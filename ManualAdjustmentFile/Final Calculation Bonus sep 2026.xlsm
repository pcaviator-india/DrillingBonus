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fo-Tech\Desktop\sep 26\Final\"/>
    </mc:Choice>
  </mc:AlternateContent>
  <xr:revisionPtr revIDLastSave="0" documentId="8_{1ED0F1F7-4C81-40A0-8D68-0E6829B211B9}" xr6:coauthVersionLast="47" xr6:coauthVersionMax="47" xr10:uidLastSave="{00000000-0000-0000-0000-000000000000}"/>
  <bookViews>
    <workbookView xWindow="38280" yWindow="-120" windowWidth="29040" windowHeight="15720" xr2:uid="{8A284A9B-6A19-46CE-BCDA-DAA260516C6A}"/>
  </bookViews>
  <sheets>
    <sheet name="comparisons_batches-3_2026-10-2" sheetId="1" r:id="rId1"/>
    <sheet name="Planilla" sheetId="2" r:id="rId2"/>
    <sheet name="Workera" sheetId="4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'comparisons_batches-3_2026-10-2'!$A$1:$T$333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" l="1"/>
  <c r="R3" i="1"/>
  <c r="S3" i="1"/>
  <c r="R4" i="1"/>
  <c r="S4" i="1"/>
  <c r="R5" i="1"/>
  <c r="S5" i="1"/>
  <c r="R6" i="1"/>
  <c r="S6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R68" i="1"/>
  <c r="S68" i="1"/>
  <c r="R69" i="1"/>
  <c r="S69" i="1"/>
  <c r="R70" i="1"/>
  <c r="S70" i="1"/>
  <c r="R71" i="1"/>
  <c r="S71" i="1"/>
  <c r="R72" i="1"/>
  <c r="S72" i="1"/>
  <c r="R73" i="1"/>
  <c r="S73" i="1"/>
  <c r="R74" i="1"/>
  <c r="S74" i="1"/>
  <c r="R75" i="1"/>
  <c r="S75" i="1"/>
  <c r="R76" i="1"/>
  <c r="S76" i="1"/>
  <c r="R77" i="1"/>
  <c r="S77" i="1"/>
  <c r="R78" i="1"/>
  <c r="S78" i="1"/>
  <c r="R79" i="1"/>
  <c r="S79" i="1"/>
  <c r="R80" i="1"/>
  <c r="S80" i="1"/>
  <c r="R81" i="1"/>
  <c r="S81" i="1"/>
  <c r="R82" i="1"/>
  <c r="S82" i="1"/>
  <c r="R83" i="1"/>
  <c r="S83" i="1"/>
  <c r="R84" i="1"/>
  <c r="S84" i="1"/>
  <c r="R85" i="1"/>
  <c r="S85" i="1"/>
  <c r="R86" i="1"/>
  <c r="S86" i="1"/>
  <c r="R87" i="1"/>
  <c r="S87" i="1"/>
  <c r="R88" i="1"/>
  <c r="S88" i="1"/>
  <c r="R89" i="1"/>
  <c r="S89" i="1"/>
  <c r="R90" i="1"/>
  <c r="S90" i="1"/>
  <c r="R91" i="1"/>
  <c r="S91" i="1"/>
  <c r="R92" i="1"/>
  <c r="S92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103" i="1"/>
  <c r="S103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0" i="1"/>
  <c r="S110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8" i="1"/>
  <c r="S118" i="1"/>
  <c r="R119" i="1"/>
  <c r="S119" i="1"/>
  <c r="R120" i="1"/>
  <c r="S120" i="1"/>
  <c r="R121" i="1"/>
  <c r="S121" i="1"/>
  <c r="R122" i="1"/>
  <c r="S122" i="1"/>
  <c r="R123" i="1"/>
  <c r="S123" i="1"/>
  <c r="R124" i="1"/>
  <c r="S124" i="1"/>
  <c r="R125" i="1"/>
  <c r="S125" i="1"/>
  <c r="R126" i="1"/>
  <c r="S126" i="1"/>
  <c r="R127" i="1"/>
  <c r="S127" i="1"/>
  <c r="R128" i="1"/>
  <c r="S128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R135" i="1"/>
  <c r="S135" i="1"/>
  <c r="R136" i="1"/>
  <c r="S136" i="1"/>
  <c r="R137" i="1"/>
  <c r="S137" i="1"/>
  <c r="R138" i="1"/>
  <c r="S138" i="1"/>
  <c r="R139" i="1"/>
  <c r="S139" i="1"/>
  <c r="R140" i="1"/>
  <c r="S140" i="1"/>
  <c r="R141" i="1"/>
  <c r="S141" i="1"/>
  <c r="R142" i="1"/>
  <c r="S142" i="1"/>
  <c r="R143" i="1"/>
  <c r="S143" i="1"/>
  <c r="R144" i="1"/>
  <c r="S144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4" i="1"/>
  <c r="S154" i="1"/>
  <c r="R155" i="1"/>
  <c r="S155" i="1"/>
  <c r="R156" i="1"/>
  <c r="S156" i="1"/>
  <c r="R157" i="1"/>
  <c r="S157" i="1"/>
  <c r="R158" i="1"/>
  <c r="S158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5" i="1"/>
  <c r="S165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5" i="1"/>
  <c r="S175" i="1"/>
  <c r="R176" i="1"/>
  <c r="S176" i="1"/>
  <c r="R177" i="1"/>
  <c r="S177" i="1"/>
  <c r="R178" i="1"/>
  <c r="S178" i="1"/>
  <c r="R179" i="1"/>
  <c r="S179" i="1"/>
  <c r="R180" i="1"/>
  <c r="S180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0" i="1"/>
  <c r="S190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3" i="1"/>
  <c r="S203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0" i="1"/>
  <c r="S210" i="1"/>
  <c r="R211" i="1"/>
  <c r="S211" i="1"/>
  <c r="R212" i="1"/>
  <c r="S212" i="1"/>
  <c r="R213" i="1"/>
  <c r="S213" i="1"/>
  <c r="R214" i="1"/>
  <c r="S214" i="1"/>
  <c r="R215" i="1"/>
  <c r="S215" i="1"/>
  <c r="R216" i="1"/>
  <c r="S216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R227" i="1"/>
  <c r="S227" i="1"/>
  <c r="R228" i="1"/>
  <c r="S228" i="1"/>
  <c r="R229" i="1"/>
  <c r="S229" i="1"/>
  <c r="R230" i="1"/>
  <c r="S230" i="1"/>
  <c r="R231" i="1"/>
  <c r="S231" i="1"/>
  <c r="R232" i="1"/>
  <c r="S232" i="1"/>
  <c r="R233" i="1"/>
  <c r="S233" i="1"/>
  <c r="R234" i="1"/>
  <c r="S234" i="1"/>
  <c r="R235" i="1"/>
  <c r="S235" i="1"/>
  <c r="R236" i="1"/>
  <c r="S236" i="1"/>
  <c r="R237" i="1"/>
  <c r="S237" i="1"/>
  <c r="R238" i="1"/>
  <c r="S238" i="1"/>
  <c r="R239" i="1"/>
  <c r="S239" i="1"/>
  <c r="R240" i="1"/>
  <c r="S240" i="1"/>
  <c r="R241" i="1"/>
  <c r="S241" i="1"/>
  <c r="R242" i="1"/>
  <c r="S242" i="1"/>
  <c r="R243" i="1"/>
  <c r="S243" i="1"/>
  <c r="R244" i="1"/>
  <c r="S244" i="1"/>
  <c r="R245" i="1"/>
  <c r="S245" i="1"/>
  <c r="R246" i="1"/>
  <c r="S246" i="1"/>
  <c r="R247" i="1"/>
  <c r="S247" i="1"/>
  <c r="R248" i="1"/>
  <c r="S248" i="1"/>
  <c r="R249" i="1"/>
  <c r="S249" i="1"/>
  <c r="R250" i="1"/>
  <c r="S250" i="1"/>
  <c r="R251" i="1"/>
  <c r="S251" i="1"/>
  <c r="R252" i="1"/>
  <c r="S252" i="1"/>
  <c r="R253" i="1"/>
  <c r="S253" i="1"/>
  <c r="R254" i="1"/>
  <c r="S254" i="1"/>
  <c r="R255" i="1"/>
  <c r="S255" i="1"/>
  <c r="R256" i="1"/>
  <c r="S256" i="1"/>
  <c r="R257" i="1"/>
  <c r="S257" i="1"/>
  <c r="R258" i="1"/>
  <c r="S258" i="1"/>
  <c r="R259" i="1"/>
  <c r="S259" i="1"/>
  <c r="R260" i="1"/>
  <c r="S260" i="1"/>
  <c r="R261" i="1"/>
  <c r="S261" i="1"/>
  <c r="R262" i="1"/>
  <c r="S262" i="1"/>
  <c r="R263" i="1"/>
  <c r="S263" i="1"/>
  <c r="R264" i="1"/>
  <c r="S264" i="1"/>
  <c r="R265" i="1"/>
  <c r="S265" i="1"/>
  <c r="R266" i="1"/>
  <c r="S266" i="1"/>
  <c r="R267" i="1"/>
  <c r="S267" i="1"/>
  <c r="R268" i="1"/>
  <c r="S268" i="1"/>
  <c r="R269" i="1"/>
  <c r="S269" i="1"/>
  <c r="R270" i="1"/>
  <c r="S270" i="1"/>
  <c r="R271" i="1"/>
  <c r="S271" i="1"/>
  <c r="R272" i="1"/>
  <c r="S272" i="1"/>
  <c r="R273" i="1"/>
  <c r="S273" i="1"/>
  <c r="R274" i="1"/>
  <c r="S274" i="1"/>
  <c r="R275" i="1"/>
  <c r="S275" i="1"/>
  <c r="R276" i="1"/>
  <c r="S276" i="1"/>
  <c r="R277" i="1"/>
  <c r="S277" i="1"/>
  <c r="R278" i="1"/>
  <c r="S278" i="1"/>
  <c r="R279" i="1"/>
  <c r="S279" i="1"/>
  <c r="R280" i="1"/>
  <c r="S280" i="1"/>
  <c r="R281" i="1"/>
  <c r="S281" i="1"/>
  <c r="R282" i="1"/>
  <c r="S282" i="1"/>
  <c r="R283" i="1"/>
  <c r="S283" i="1"/>
  <c r="R284" i="1"/>
  <c r="S284" i="1"/>
  <c r="R285" i="1"/>
  <c r="S285" i="1"/>
  <c r="R286" i="1"/>
  <c r="S286" i="1"/>
  <c r="R287" i="1"/>
  <c r="S287" i="1"/>
  <c r="R288" i="1"/>
  <c r="S288" i="1"/>
  <c r="R289" i="1"/>
  <c r="S289" i="1"/>
  <c r="R290" i="1"/>
  <c r="S290" i="1"/>
  <c r="R291" i="1"/>
  <c r="S291" i="1"/>
  <c r="R292" i="1"/>
  <c r="S292" i="1"/>
  <c r="R293" i="1"/>
  <c r="S293" i="1"/>
  <c r="R294" i="1"/>
  <c r="S294" i="1"/>
  <c r="R295" i="1"/>
  <c r="S295" i="1"/>
  <c r="R296" i="1"/>
  <c r="S296" i="1"/>
  <c r="R297" i="1"/>
  <c r="S297" i="1"/>
  <c r="R298" i="1"/>
  <c r="S298" i="1"/>
  <c r="R299" i="1"/>
  <c r="S299" i="1"/>
  <c r="R300" i="1"/>
  <c r="S300" i="1"/>
  <c r="R301" i="1"/>
  <c r="S301" i="1"/>
  <c r="R302" i="1"/>
  <c r="S302" i="1"/>
  <c r="R303" i="1"/>
  <c r="S303" i="1"/>
  <c r="R304" i="1"/>
  <c r="S304" i="1"/>
  <c r="R305" i="1"/>
  <c r="S305" i="1"/>
  <c r="R306" i="1"/>
  <c r="S306" i="1"/>
  <c r="R307" i="1"/>
  <c r="S307" i="1"/>
  <c r="R308" i="1"/>
  <c r="S308" i="1"/>
  <c r="R309" i="1"/>
  <c r="S309" i="1"/>
  <c r="R310" i="1"/>
  <c r="S310" i="1"/>
  <c r="R311" i="1"/>
  <c r="S311" i="1"/>
  <c r="R312" i="1"/>
  <c r="S312" i="1"/>
  <c r="R313" i="1"/>
  <c r="S313" i="1"/>
  <c r="R314" i="1"/>
  <c r="S314" i="1"/>
  <c r="R315" i="1"/>
  <c r="S315" i="1"/>
  <c r="R316" i="1"/>
  <c r="S316" i="1"/>
  <c r="R317" i="1"/>
  <c r="S317" i="1"/>
  <c r="R318" i="1"/>
  <c r="S318" i="1"/>
  <c r="R319" i="1"/>
  <c r="S319" i="1"/>
  <c r="R320" i="1"/>
  <c r="S320" i="1"/>
  <c r="R321" i="1"/>
  <c r="S321" i="1"/>
  <c r="R322" i="1"/>
  <c r="S322" i="1"/>
  <c r="R323" i="1"/>
  <c r="S323" i="1"/>
  <c r="R324" i="1"/>
  <c r="S324" i="1"/>
  <c r="R325" i="1"/>
  <c r="S325" i="1"/>
  <c r="R326" i="1"/>
  <c r="S326" i="1"/>
  <c r="R327" i="1"/>
  <c r="S327" i="1"/>
  <c r="R328" i="1"/>
  <c r="S328" i="1"/>
  <c r="R329" i="1"/>
  <c r="S329" i="1"/>
  <c r="R330" i="1"/>
  <c r="S330" i="1"/>
  <c r="R331" i="1"/>
  <c r="S331" i="1"/>
  <c r="R332" i="1"/>
  <c r="S332" i="1"/>
  <c r="R333" i="1"/>
  <c r="S333" i="1"/>
  <c r="R2" i="1"/>
  <c r="S2" i="1"/>
  <c r="U2" i="1"/>
  <c r="A171" i="4" a="1"/>
  <c r="A111" i="4" a="1"/>
  <c r="A86" i="4" a="1"/>
  <c r="A2" i="4" a="1"/>
  <c r="A220" i="2" a="1"/>
  <c r="A197" i="2" a="1"/>
  <c r="A116" i="2" a="1"/>
  <c r="A88" i="2" a="1"/>
  <c r="A2" i="2" a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2" i="1"/>
  <c r="T124" i="1" l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62" i="1"/>
  <c r="T164" i="1"/>
  <c r="T166" i="1"/>
  <c r="T167" i="1"/>
  <c r="T175" i="1"/>
  <c r="T177" i="1"/>
  <c r="T179" i="1"/>
  <c r="T181" i="1"/>
  <c r="T183" i="1"/>
  <c r="T185" i="1"/>
  <c r="T187" i="1"/>
  <c r="T190" i="1"/>
  <c r="T192" i="1"/>
  <c r="T193" i="1"/>
  <c r="T195" i="1"/>
  <c r="T197" i="1"/>
  <c r="T200" i="1"/>
  <c r="T202" i="1"/>
  <c r="T204" i="1"/>
  <c r="T206" i="1"/>
  <c r="T208" i="1"/>
  <c r="T210" i="1"/>
  <c r="T212" i="1"/>
  <c r="T215" i="1"/>
  <c r="T218" i="1"/>
  <c r="T222" i="1"/>
  <c r="T224" i="1"/>
  <c r="T227" i="1"/>
  <c r="T230" i="1"/>
  <c r="T234" i="1"/>
  <c r="T237" i="1"/>
  <c r="T239" i="1"/>
  <c r="T242" i="1"/>
  <c r="T245" i="1"/>
  <c r="T249" i="1"/>
  <c r="T252" i="1"/>
  <c r="T271" i="1"/>
  <c r="T274" i="1"/>
  <c r="T279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3" i="1"/>
  <c r="T165" i="1"/>
  <c r="T168" i="1"/>
  <c r="T176" i="1"/>
  <c r="T178" i="1"/>
  <c r="T182" i="1"/>
  <c r="T184" i="1"/>
  <c r="T186" i="1"/>
  <c r="T189" i="1"/>
  <c r="T191" i="1"/>
  <c r="T194" i="1"/>
  <c r="T196" i="1"/>
  <c r="T198" i="1"/>
  <c r="T201" i="1"/>
  <c r="T203" i="1"/>
  <c r="T205" i="1"/>
  <c r="T209" i="1"/>
  <c r="T211" i="1"/>
  <c r="T213" i="1"/>
  <c r="T216" i="1"/>
  <c r="T221" i="1"/>
  <c r="T225" i="1"/>
  <c r="T229" i="1"/>
  <c r="T232" i="1"/>
  <c r="T236" i="1"/>
  <c r="T240" i="1"/>
  <c r="T244" i="1"/>
  <c r="T247" i="1"/>
  <c r="T251" i="1"/>
  <c r="T270" i="1"/>
  <c r="T273" i="1"/>
  <c r="T276" i="1"/>
  <c r="T169" i="1"/>
  <c r="T170" i="1"/>
  <c r="T171" i="1"/>
  <c r="T172" i="1"/>
  <c r="T173" i="1"/>
  <c r="T174" i="1"/>
  <c r="T180" i="1"/>
  <c r="T188" i="1"/>
  <c r="T199" i="1"/>
  <c r="T207" i="1"/>
  <c r="T219" i="1"/>
  <c r="T235" i="1"/>
  <c r="T248" i="1"/>
  <c r="T280" i="1"/>
  <c r="T20" i="1"/>
  <c r="T26" i="1"/>
  <c r="T34" i="1"/>
  <c r="T42" i="1"/>
  <c r="T49" i="1"/>
  <c r="T57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78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2" i="1"/>
  <c r="T5" i="1"/>
  <c r="T7" i="1"/>
  <c r="T9" i="1"/>
  <c r="T10" i="1"/>
  <c r="T16" i="1"/>
  <c r="T18" i="1"/>
  <c r="T22" i="1"/>
  <c r="T23" i="1"/>
  <c r="T25" i="1"/>
  <c r="T27" i="1"/>
  <c r="T28" i="1"/>
  <c r="T29" i="1"/>
  <c r="T30" i="1"/>
  <c r="T31" i="1"/>
  <c r="T33" i="1"/>
  <c r="T35" i="1"/>
  <c r="T36" i="1"/>
  <c r="T37" i="1"/>
  <c r="T38" i="1"/>
  <c r="T40" i="1"/>
  <c r="T41" i="1"/>
  <c r="T43" i="1"/>
  <c r="T44" i="1"/>
  <c r="T45" i="1"/>
  <c r="T46" i="1"/>
  <c r="T48" i="1"/>
  <c r="T50" i="1"/>
  <c r="T51" i="1"/>
  <c r="T52" i="1"/>
  <c r="T53" i="1"/>
  <c r="T55" i="1"/>
  <c r="T56" i="1"/>
  <c r="T12" i="1"/>
  <c r="T21" i="1"/>
  <c r="T24" i="1"/>
  <c r="T32" i="1"/>
  <c r="T39" i="1"/>
  <c r="T47" i="1"/>
  <c r="T54" i="1"/>
  <c r="T14" i="1"/>
  <c r="T58" i="1"/>
  <c r="T59" i="1"/>
  <c r="T60" i="1"/>
  <c r="T61" i="1"/>
  <c r="T62" i="1"/>
  <c r="T63" i="1"/>
  <c r="T64" i="1"/>
  <c r="T65" i="1"/>
  <c r="T300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214" i="1"/>
  <c r="T217" i="1"/>
  <c r="T220" i="1"/>
  <c r="T223" i="1"/>
  <c r="T226" i="1"/>
  <c r="T228" i="1"/>
  <c r="T231" i="1"/>
  <c r="T233" i="1"/>
  <c r="T238" i="1"/>
  <c r="T241" i="1"/>
  <c r="T243" i="1"/>
  <c r="T246" i="1"/>
  <c r="T250" i="1"/>
  <c r="T269" i="1"/>
  <c r="T272" i="1"/>
  <c r="T275" i="1"/>
  <c r="T277" i="1"/>
  <c r="T114" i="1"/>
  <c r="T115" i="1"/>
  <c r="T116" i="1"/>
  <c r="T117" i="1"/>
  <c r="T118" i="1"/>
  <c r="T119" i="1"/>
  <c r="T120" i="1"/>
  <c r="T121" i="1"/>
  <c r="T122" i="1"/>
  <c r="T123" i="1"/>
  <c r="T4" i="1"/>
  <c r="T6" i="1"/>
  <c r="T8" i="1"/>
  <c r="T11" i="1"/>
  <c r="T13" i="1"/>
  <c r="T15" i="1"/>
  <c r="T17" i="1"/>
  <c r="T1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8143BF-6329-4E8D-90D3-1D246E2F71E6}" keepAlive="1" name="Query - Resumen" description="Connection to the 'Resumen' query in the workbook." type="5" refreshedVersion="0" background="1">
    <dbPr connection="Provider=Microsoft.Mashup.OleDb.1;Data Source=$Workbook$;Location=Resumen;Extended Properties=&quot;&quot;" command="SELECT * FROM [Resume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<sst xmlns="http://schemas.openxmlformats.org/spreadsheetml/2006/main" count="3694" uniqueCount="410">
  <si>
    <t>Created</t>
  </si>
  <si>
    <t>Workera project</t>
  </si>
  <si>
    <t>Planilla project</t>
  </si>
  <si>
    <t>Site mismatch</t>
  </si>
  <si>
    <t>Employee</t>
  </si>
  <si>
    <t>Cargo</t>
  </si>
  <si>
    <t>Workera days</t>
  </si>
  <si>
    <t>Planilla days</t>
  </si>
  <si>
    <t>Workera bonus</t>
  </si>
  <si>
    <t>Difference</t>
  </si>
  <si>
    <t>Review status</t>
  </si>
  <si>
    <t>Review note</t>
  </si>
  <si>
    <t>Workera calculation ID</t>
  </si>
  <si>
    <t>Planilla calculation ID</t>
  </si>
  <si>
    <t>Period Start</t>
  </si>
  <si>
    <t>Period End</t>
  </si>
  <si>
    <t>2026-10-22T14:20:54.653Z</t>
  </si>
  <si>
    <t>Proyecto La Coipa</t>
  </si>
  <si>
    <t>No</t>
  </si>
  <si>
    <t>VICTOR MANUEL MONDACA VEGA</t>
  </si>
  <si>
    <t>Ayudante de Perforista</t>
  </si>
  <si>
    <t>pending</t>
  </si>
  <si>
    <t>cmvi9tvzs00ccn098og2lyobw</t>
  </si>
  <si>
    <t>cmvi9twl000cqn098w145nlum</t>
  </si>
  <si>
    <t>2026-09-01T00:00:00.000Z</t>
  </si>
  <si>
    <t>2026-09-30T00:00:00.000Z</t>
  </si>
  <si>
    <t>ARIEL ANDRES SILVA RIQUELME</t>
  </si>
  <si>
    <t>Supervisor de Operaciones</t>
  </si>
  <si>
    <t>Perforista</t>
  </si>
  <si>
    <t>JORGE ENRIQUE CEBALLOS JOFRE</t>
  </si>
  <si>
    <t>Prevencionista de Riesgos</t>
  </si>
  <si>
    <t>DAYNE JEFFERY PASSMORE</t>
  </si>
  <si>
    <t>MANUEL OMAR ZAPATA AQUINO</t>
  </si>
  <si>
    <t>Soldador</t>
  </si>
  <si>
    <t>PABLO LUCAS POBLETE KUHNE</t>
  </si>
  <si>
    <t>Chofer</t>
  </si>
  <si>
    <t>HANS YERKO MARQUEZ MUÃ‘OZ</t>
  </si>
  <si>
    <t>Superintendente de MantenciÃ³n</t>
  </si>
  <si>
    <t>JOHN ALEXIS BRICEÃ‘O HONORES</t>
  </si>
  <si>
    <t>EDINSON RODRIGO GONZALEZ CORTINEZ</t>
  </si>
  <si>
    <t>DIEGO FELIPE GONZALEZ CASTILLO</t>
  </si>
  <si>
    <t>LÃ­der de PrevenciÃ³n</t>
  </si>
  <si>
    <t>HECTOR ORLANDO RAMOS ROJAS</t>
  </si>
  <si>
    <t>MAURICIO ANDRES OYARZUN SALAMANCA</t>
  </si>
  <si>
    <t>RODRIGO ALEX BALLADARES PEREZ</t>
  </si>
  <si>
    <t>Jefe de Faena</t>
  </si>
  <si>
    <t>ESTEFANIA CONSTANZA NAETER QUIROZ</t>
  </si>
  <si>
    <t>WALDO RAFAEL CASTRO PASTENE</t>
  </si>
  <si>
    <t>JUAN PABLO MORALES CAMPUSANO</t>
  </si>
  <si>
    <t>JORGE ARMANDO TINOCO OSPINO</t>
  </si>
  <si>
    <t>JORGE ESTEBAN SAAVEDRA MENA</t>
  </si>
  <si>
    <t>LUIS ARMANDO MORALES NAVEA</t>
  </si>
  <si>
    <t>NATALY ANTONIA SALAS ESCOBAR</t>
  </si>
  <si>
    <t>Administrativo de Faena</t>
  </si>
  <si>
    <t>JHON CHRISTOPHER VELIZ HIDALGO</t>
  </si>
  <si>
    <t>ULINSON DIAZ CORTES</t>
  </si>
  <si>
    <t>LEONIDAS  LUIS  ARCE  OLIVARES</t>
  </si>
  <si>
    <t>WALTER DEL CARMEN PIZARRO ALVAREZ</t>
  </si>
  <si>
    <t>ELIAS NICOLAS CORTEZ CORTEZ</t>
  </si>
  <si>
    <t>CRISTIAN ALBERTO MARÃN CORTES</t>
  </si>
  <si>
    <t>Jefe de FormaciÃ³n y EvaluaciÃ³n</t>
  </si>
  <si>
    <t>JOHN AMARO MICHEA RIVERA</t>
  </si>
  <si>
    <t>VLADIMIR OMAR CASTRO ENCINA</t>
  </si>
  <si>
    <t>JOSE CRISTIAN BASTIAS PEREZ</t>
  </si>
  <si>
    <t>FABIAN PATRICIO CABRERA GODOY</t>
  </si>
  <si>
    <t>IGNACIO ALEJANDRO ROBLES BARRIOS</t>
  </si>
  <si>
    <t>ALISSON AYLEEN VILLAGRA CABALLERO</t>
  </si>
  <si>
    <t>BENIGNO EDUARDO PAEZ MENESES</t>
  </si>
  <si>
    <t>FELIPE DAVID SAAVEDRA CAMPOS</t>
  </si>
  <si>
    <t>HUGO MARCELO LORENZO ZAMARCA EGAÃ‘A</t>
  </si>
  <si>
    <t>JOSE LEANDRO PARRA SARAVIA</t>
  </si>
  <si>
    <t>MAURICIO ENRIQUE TAPIA CARVAJAL</t>
  </si>
  <si>
    <t>DANIEL ANTONIO MANSO DIAZ</t>
  </si>
  <si>
    <t>ALEJANDRO ALBERTO CAMPILLAY RUIZ</t>
  </si>
  <si>
    <t>MecÃ¡nico</t>
  </si>
  <si>
    <t>VICENTE ANDRES LOPEZ MARTINEZ</t>
  </si>
  <si>
    <t>CARLOS EDUARDO RODRIGUEZ HERNANDEZ</t>
  </si>
  <si>
    <t>Administrador de Contrato</t>
  </si>
  <si>
    <t>CARLOS ALBERTO PIZARRO PIZARRO</t>
  </si>
  <si>
    <t>CRISTIAN EDUARDO CARVAJAL JAIME</t>
  </si>
  <si>
    <t>JOHN BYRON VASQUEZ CARROZA</t>
  </si>
  <si>
    <t>CRISTIAN ROGELIO PASTEN VERGARA</t>
  </si>
  <si>
    <t>CARLOS ROBINSON VALDES PAEZ</t>
  </si>
  <si>
    <t>NORA ALEXANDRA SALAS ROJAS</t>
  </si>
  <si>
    <t>JORGE ERIKSON DURAND RUIZ</t>
  </si>
  <si>
    <t>FERNANDO EDUARDO PICON SANCHEZ</t>
  </si>
  <si>
    <t>ALEX MARIO MORALES ANTIQUERA</t>
  </si>
  <si>
    <t>FELIPE IVAN LUIS ZAMBRA GONZALEZ</t>
  </si>
  <si>
    <t>Bodeguero</t>
  </si>
  <si>
    <t>FELIX JORGE JIMENEZ CASTILLO</t>
  </si>
  <si>
    <t>JAVIER EDUARDO CATALAN ESPINOZA</t>
  </si>
  <si>
    <t>HEBER ANTONIO CARVAJAL CASTRO</t>
  </si>
  <si>
    <t>BENJAMIN JOSEFATT ESPINOZA URIBE</t>
  </si>
  <si>
    <t>MATIAS PATRICIO CARVAJAL CERDA</t>
  </si>
  <si>
    <t>LEONEL GUILLERMO CAMPUSANO DUBO</t>
  </si>
  <si>
    <t>PAOLO ALEJANDRO MANRIQUEZ SILVA</t>
  </si>
  <si>
    <t>JOSÃ‰ LEONARDO RODRIGUEZ ROBLES</t>
  </si>
  <si>
    <t>MANUEL ALEJANDRO TILLERIA SAAVEDRA</t>
  </si>
  <si>
    <t>LEONARDO ANDRES MENESES ARREDONDO</t>
  </si>
  <si>
    <t>LUIS HUMBERTO PEÃ‘A AHUMADA</t>
  </si>
  <si>
    <t>RENE ALFREDO RIOS MALDONADO</t>
  </si>
  <si>
    <t>ROBERTO MARIO VARGAS RODRIGUEZ</t>
  </si>
  <si>
    <t>PABLO ANDRES ALBARNEZ LOPEZ</t>
  </si>
  <si>
    <t>WILLIAM HERNAN ALVAREZ TRUJILLO</t>
  </si>
  <si>
    <t>RODRIGO ALEJANDRO FLORES ZEPEDA</t>
  </si>
  <si>
    <t>2026-10-22T14:20:44.319Z</t>
  </si>
  <si>
    <t>Proyecto Mantoverde</t>
  </si>
  <si>
    <t>HERNAN EDUARDO SEPULVEDA MORENO</t>
  </si>
  <si>
    <t>cmvia85jq00ebn0kglasl16kf</t>
  </si>
  <si>
    <t>cmvi9twtc00dan098366gsjl1</t>
  </si>
  <si>
    <t>PAUL GIOVANNI BRIONES BRIONES</t>
  </si>
  <si>
    <t>JUAN CARLOS ROJAS IRIARTE</t>
  </si>
  <si>
    <t>LEONARDO IVAN MUNDACA PEREZ</t>
  </si>
  <si>
    <t>ElectromecÃ¡nico</t>
  </si>
  <si>
    <t>ROBERTO CARLOS NUÃ‘EZ GONZALEZ</t>
  </si>
  <si>
    <t>LUIS RENATO DE JESUS JIMENEZ VEGA</t>
  </si>
  <si>
    <t>LUIS DAVID LORCA SANCHEZ</t>
  </si>
  <si>
    <t>MANUEL SEBASTIAN PAZ CORTES</t>
  </si>
  <si>
    <t>WILLIAMS RENAN ASTROZA INOSTROZA</t>
  </si>
  <si>
    <t>RODRIGO FERNANDO ALFARO VEAS</t>
  </si>
  <si>
    <t>NESTOR RENE SUAREZ MORALES</t>
  </si>
  <si>
    <t>PEDRO BALDOMERO LOPEZ ARAYA</t>
  </si>
  <si>
    <t>MARCO ANDRES ROJAS ROJAS</t>
  </si>
  <si>
    <t>MILENCO ALEXIS MOYANO GUERRERO</t>
  </si>
  <si>
    <t>MANUEL ANDRES LISAMBARTH CARABANTES</t>
  </si>
  <si>
    <t>Administrativo Avanzado</t>
  </si>
  <si>
    <t>PEDRO GABRIEL NARANJO ACUÃ‘A</t>
  </si>
  <si>
    <t>HUGO ITALO NUÃ‘EZ PENDOLA</t>
  </si>
  <si>
    <t>LUIS ALBERT CHAMBLAS CARTE</t>
  </si>
  <si>
    <t>MARCELO GIOVANNI RAMIREZ BARRAZA</t>
  </si>
  <si>
    <t>MecÃ¡nico LÃ­der</t>
  </si>
  <si>
    <t>JONATHAN FERNANDO BARRIOS GODOY</t>
  </si>
  <si>
    <t>JENNIFER ALEJANDRA SOTO FLORES</t>
  </si>
  <si>
    <t>KAZUKI CASTRO HOHMANN</t>
  </si>
  <si>
    <t>SEBASTIAN ENRIQUE SASSO ARAYA</t>
  </si>
  <si>
    <t>PATRICIO COLLO VEGA GONZALEZ</t>
  </si>
  <si>
    <t>NELSON ANDRES CASTRO AVALOS</t>
  </si>
  <si>
    <t>ANCHELO JAVIER TORRES NAVARRO</t>
  </si>
  <si>
    <t>ANGELO IGNACIO GOMEZ PIZARRO</t>
  </si>
  <si>
    <t>RODRIGO ALEJANDRO AVILES VERGARA</t>
  </si>
  <si>
    <t>STEPHANIA ANDRES DAHLBOKUM OLIVARES</t>
  </si>
  <si>
    <t>RAMON ALEJANDRO RIVERA GONZALEZ</t>
  </si>
  <si>
    <t>BARBARA ANAIS ASTORGA PINTO</t>
  </si>
  <si>
    <t>DAVID SEBASTIAN CABALLERO LABARCA</t>
  </si>
  <si>
    <t>ANDRES ALEJANDRO VALENCIA CAMPOS</t>
  </si>
  <si>
    <t>VICTOR IGNACIO HENRIQUEZ VARGAS</t>
  </si>
  <si>
    <t>SEBASTIAN ALFONSO PERALTA CORTES</t>
  </si>
  <si>
    <t>DANIEL IGNACIO ROJO TORRES</t>
  </si>
  <si>
    <t>CARLOS JAVIER ALVAREZ RIVERA</t>
  </si>
  <si>
    <t>DANIEL ALEJANDRO YAÃ‘EZ VARAS</t>
  </si>
  <si>
    <t>ERNESTO RAMIRO VALENCIA CAMPOS</t>
  </si>
  <si>
    <t>CLAUDIO ANDRES FERNANDEZ CASTILLO</t>
  </si>
  <si>
    <t>CRISTOFER JESUS MALDONADO MONDACA</t>
  </si>
  <si>
    <t>GUSTAVO ADOLFO MALDONADO OLIVARES</t>
  </si>
  <si>
    <t>FELIX JOEL CASTILLO VALDIVIA</t>
  </si>
  <si>
    <t>JUAN IGNACIO CORTES GONZALEZ</t>
  </si>
  <si>
    <t>MANUEL ANTONIO ESCALONA VERA</t>
  </si>
  <si>
    <t>KAREN ANDREA VIGORENA DUARTE</t>
  </si>
  <si>
    <t>LUIS GERARDO LOPEZ OLAVE</t>
  </si>
  <si>
    <t>VICTOR IGNACIO PEREZ LORCA</t>
  </si>
  <si>
    <t>RODRIGO ARMANDO FERNANDEZ BRICEÃ‘O</t>
  </si>
  <si>
    <t>FABIAN SEGUNDO ALVARADO MUÃ‘OZ</t>
  </si>
  <si>
    <t>JUAN CARLOS MAURICIO ARAYA CAMPAÃ‘A</t>
  </si>
  <si>
    <t>RODRIGO ALEJANDRO SANCHEZ ACUÃ‘A</t>
  </si>
  <si>
    <t>CLAUDIO ANDRES MORALES CASTILLO</t>
  </si>
  <si>
    <t>EMERSON GIOVANNY DONAIRE VADULLI</t>
  </si>
  <si>
    <t>FREDDY IGNACIO THOMPSON DIAZ</t>
  </si>
  <si>
    <t>GERARDO ANTONIO GAETE PAZ</t>
  </si>
  <si>
    <t>ANGELO JAVIER NEGRETE MADRID</t>
  </si>
  <si>
    <t>ANGELO PATRICIO RIVERA HERRERA</t>
  </si>
  <si>
    <t>JAVIER ANDRES MILLA PALACIOS</t>
  </si>
  <si>
    <t>ALEJANDRO MIGUEL APABLAZA GUZMAN</t>
  </si>
  <si>
    <t>JOSE MIGUEL ORMEÃ‘O ARREDONDO</t>
  </si>
  <si>
    <t>BRENDA LIZETH LEON AVELLA</t>
  </si>
  <si>
    <t>ANITA FERNANDA AGUIRRE CASTILLO</t>
  </si>
  <si>
    <t>DANIEL EDUARDO JERALDO CORTES</t>
  </si>
  <si>
    <t>RICHARD FABIAN RAMIREZ RAMIREZ</t>
  </si>
  <si>
    <t>VICTORIA DEL PILAR COFRE ROMERO</t>
  </si>
  <si>
    <t>CRISTIAN ESTEBAN DIAZ GUAJARDO</t>
  </si>
  <si>
    <t>MAIKOL MANUEL ANTONIO CORTES OLIVARES</t>
  </si>
  <si>
    <t>RICHARD FERNANDO CONTRERAS FLORES</t>
  </si>
  <si>
    <t>IBAR ALEXIS BORQUEZ CARVAJAL</t>
  </si>
  <si>
    <t>BORIS ALEXIS NOVOA TORO</t>
  </si>
  <si>
    <t>CRISTOBAL ALEXIC SANDERSON SALCEDO</t>
  </si>
  <si>
    <t>BRIAN ANTONIO FARIAS ROJAS</t>
  </si>
  <si>
    <t>CLAUDIA ALEJANDRA TORRES ROJAS</t>
  </si>
  <si>
    <t>BRAHYAN SCARLY GALVEZ ABALOS</t>
  </si>
  <si>
    <t>IVAN ESTEBAN LOPEZ GARCIA</t>
  </si>
  <si>
    <t>ERICK ADOLFO REYES GONZALEZ</t>
  </si>
  <si>
    <t>PEDRO OCTAVIO OLIVARES ALVAREZ</t>
  </si>
  <si>
    <t>DANIEL OSVALDO ARAYA REYES</t>
  </si>
  <si>
    <t>PAULO ANDRES RODRIGUEZ OPAZO</t>
  </si>
  <si>
    <t>FRANCISCO JAVIER ROJAS MARTINEZ</t>
  </si>
  <si>
    <t>MIGUEL EDUARDO LOPEZ CLAVERIA</t>
  </si>
  <si>
    <t>FRANCISCO JAVIER NAVARRO ESPINOZA</t>
  </si>
  <si>
    <t>ORLANDO PATRICIO CONTRERAS RIOS</t>
  </si>
  <si>
    <t>JORGE IVAN SOTO FARIÃ‘A</t>
  </si>
  <si>
    <t>JORGE GREGORIO TRIGO TRIGO</t>
  </si>
  <si>
    <t>NICOLAS NEIL MUÃ‘OZ ARANDA</t>
  </si>
  <si>
    <t>VICTOR ALEJANDRO VALENZUELA PASTEN</t>
  </si>
  <si>
    <t>SEBASTIAN MATIAS MUÃ‘OZ VILLALOBOS</t>
  </si>
  <si>
    <t>GABRIEL ALEJANDRO GALLEGUILLOS ARANCIBIA</t>
  </si>
  <si>
    <t>DANIEL SEBASTIAN ARAYA GALLARDO</t>
  </si>
  <si>
    <t>ENDER ALEXANDER MUJICA MENDEZ</t>
  </si>
  <si>
    <t>ERIC ALFONSO GALLEGUILLOS DIAZ</t>
  </si>
  <si>
    <t>DIEGO ALEJANDRO ROJAS JOPIA</t>
  </si>
  <si>
    <t>DIANA CATALINA ANGEL MUNITA</t>
  </si>
  <si>
    <t>ESLEMAN GONZALO MOHAMED MOHAMED</t>
  </si>
  <si>
    <t>ERNESTO ALIRO ZEPEDA SOTO</t>
  </si>
  <si>
    <t>DAVID JESUS CASSRA ORELLANA</t>
  </si>
  <si>
    <t>ESTEBAN DAGOBERTO LOPEZ BARRIOS</t>
  </si>
  <si>
    <t>GERSON ANDRES SANDOVAL SEPULVEDA</t>
  </si>
  <si>
    <t>JORGE ALEXIS CORTES PAZ</t>
  </si>
  <si>
    <t>CARLOS JAVIER ALFARO CASTELLANO</t>
  </si>
  <si>
    <t>JAVIER AURELIO QUIROZ APABLAZA</t>
  </si>
  <si>
    <t>FRANCISCO JAVIER LEIVA LEIVA</t>
  </si>
  <si>
    <t>JAMIS ALONSO NETTLE MALUENDA</t>
  </si>
  <si>
    <t>CARLOS ANDRES ZAPATA SEGUEL</t>
  </si>
  <si>
    <t>GUMERCINDO DEL ROSARIO PASTEN GUERRERO</t>
  </si>
  <si>
    <t>JAIME NICOLAS CARVAJAL ALVARADO</t>
  </si>
  <si>
    <t>JOSUE SALOMÃ“N CASTRO VARAS</t>
  </si>
  <si>
    <t>JONATHAN ANDRES ARDILES NUÃ‘EZ</t>
  </si>
  <si>
    <t>GUSTAVO ALEXIS REINUABA RODRIGUEZ</t>
  </si>
  <si>
    <t>JUAN ANTONIO VEGA ESPINOZA</t>
  </si>
  <si>
    <t>Perforista Training</t>
  </si>
  <si>
    <t>RODRIGO ANDRES ARAYA ROJAS</t>
  </si>
  <si>
    <t>MARIO ALBERTO AQUEA GONZALEZ</t>
  </si>
  <si>
    <t>JUAN MAURICIO TABILO ARAYA</t>
  </si>
  <si>
    <t>RODRIGO ALEJANDRO GONZALEZ RODRIGUEZ</t>
  </si>
  <si>
    <t>LEONARDO PATRICIO GATICA CASTRO</t>
  </si>
  <si>
    <t>JILBERTO FRANCISCO ROJAS FERNANDEZ</t>
  </si>
  <si>
    <t>JORGE ANDRES ARANCIBIA LEDEZMA</t>
  </si>
  <si>
    <t>JOSE LUIS FLORES FLORES</t>
  </si>
  <si>
    <t>IVAN ALEJANDRO SAN FRANCISCO ARDILES</t>
  </si>
  <si>
    <t>JOEL ANDRES CARO GALLARDO</t>
  </si>
  <si>
    <t>JOSE MIGUEL ARDILES NUÃ‘EZ</t>
  </si>
  <si>
    <t>JORGE CRISTIAN FUENTES ROBLEDO</t>
  </si>
  <si>
    <t>JUAN EDUARDO GONZALEZ ROMERO</t>
  </si>
  <si>
    <t>2026-10-22T14:20:40.866Z</t>
  </si>
  <si>
    <t>Proyecto La Coipa "2"</t>
  </si>
  <si>
    <t>ALBERTO PATRICIO CALDERON CALDERON</t>
  </si>
  <si>
    <t>cmvi9twlw00cun098g7xl56ch</t>
  </si>
  <si>
    <t>cmvi9twif00cmn098ffta0nu0</t>
  </si>
  <si>
    <t>JUAN FRANCISCO LAMAS HIDALGO</t>
  </si>
  <si>
    <t>JOSE LUIS EDUARDO VASQUEZ SILVA</t>
  </si>
  <si>
    <t>ALAN PATRICIO ASTORGA ORREGO</t>
  </si>
  <si>
    <t>JORGE ANDRE GUERRA CUBILLOS</t>
  </si>
  <si>
    <t>MAURICIO GIOVANI VENEGAS BOCCHIERI</t>
  </si>
  <si>
    <t>FRANCISCO ALEJANDRO ARAYA BARRAZA</t>
  </si>
  <si>
    <t>FERNANDO ANDRES ARDILES PISAYA</t>
  </si>
  <si>
    <t>DANIEL ANDRES MARTINEZ GONZALEZ</t>
  </si>
  <si>
    <t>NELCIO ANTONIO RAMIREZ PIZARRO</t>
  </si>
  <si>
    <t>VICTOR RODRIGO GARCIA ROJAS</t>
  </si>
  <si>
    <t>DUBAN ANDRES CONTRERAS BORDONES</t>
  </si>
  <si>
    <t>RICARDO MAURICIO ARAYA BARRAZA</t>
  </si>
  <si>
    <t>KEVIN MATIAS ARAYA ALVAREZ</t>
  </si>
  <si>
    <t>NIBALDO ENRIQUE CASTRO CORTES</t>
  </si>
  <si>
    <t>MICHAEL IGNACIO VALENCIA MUÃ‘OZ</t>
  </si>
  <si>
    <t>SEBASTIAN ALFONSO RAMOS ESQUIVEL</t>
  </si>
  <si>
    <t>SEBASTIAN ANDRES BRICEÃ‘O GALLEGUILLOS</t>
  </si>
  <si>
    <t>ALEX EDUARDO TABILO RIVERA</t>
  </si>
  <si>
    <t>JULIO ANDRES CISTERNAS ROJAS</t>
  </si>
  <si>
    <t>CARLOS ANDRES CORNEJO OSORIO</t>
  </si>
  <si>
    <t>CRISTIAN NICOLAS SAMBRA TORRES</t>
  </si>
  <si>
    <t>RUBEN ANDRES VALLEJOS ARDILES</t>
  </si>
  <si>
    <t>JAIME MARCELO ESCOBAR CORTES</t>
  </si>
  <si>
    <t>preguntar estuve 29, 30</t>
  </si>
  <si>
    <t>porque no esta en planilla</t>
  </si>
  <si>
    <t>no he marcado ningun dia en workera, no se deberia pagar bono</t>
  </si>
  <si>
    <t>2026-10-20T15:44:00.674Z</t>
  </si>
  <si>
    <t>Proyecto Chile Chico</t>
  </si>
  <si>
    <t>PATRICIO ANTONIO MANSILLA REYES</t>
  </si>
  <si>
    <t>cmvgtti7101ujn05odsptv7c1</t>
  </si>
  <si>
    <t>cmvgttixh01unn05oqrueady9</t>
  </si>
  <si>
    <t>MAXIMILIANO ANDRES ARAYA CALDERON</t>
  </si>
  <si>
    <t>MIGUEL SEBASTIAN JUAREZ MORALES</t>
  </si>
  <si>
    <t>JUAN ANTONIO DE JESUS SALAZAR BUSTOS</t>
  </si>
  <si>
    <t>CRISTIAN ALEJANDRO TOLEDO GONZALEZ</t>
  </si>
  <si>
    <t>RICARDO NICOLAS QUINTANA SANTANA</t>
  </si>
  <si>
    <t>JUAN ALEXIS AVILEZ MOLINA</t>
  </si>
  <si>
    <t>MARCELO DAVID VASQUEZ AVILEZ</t>
  </si>
  <si>
    <t>CARLOS ALBERTO RAMOS VELASQUEZ</t>
  </si>
  <si>
    <t>ADAN YOVANY BESUAIN DIAZ</t>
  </si>
  <si>
    <t>ALVARO IGNACIO GODOY BRUNA</t>
  </si>
  <si>
    <t>DANIEL ARMANDO LINDERMANN LINDERMANN</t>
  </si>
  <si>
    <t>JOSE IGNACIO HERNANDEZ ARAYA</t>
  </si>
  <si>
    <t>ANTONIO HIPOLITO OTINIANO RUIZ</t>
  </si>
  <si>
    <t>EMIL EDGARDO VARGAS BORDONES</t>
  </si>
  <si>
    <t>DIEGO BRANCO BARRAZA CHAVEZ</t>
  </si>
  <si>
    <t>YONATHAN ALBERTO MOROSO CORTES</t>
  </si>
  <si>
    <t>KEVIN ALEXIS NEYRA CORTES</t>
  </si>
  <si>
    <t>FELIPE OCTAVIO VEGA ASTUDILLO</t>
  </si>
  <si>
    <t>DANIEL ANDRES VENEGAS CARRASCO</t>
  </si>
  <si>
    <t>EDUARDO ANTONIO CASTILLO VALENZUELA</t>
  </si>
  <si>
    <t>FELIPE ANDRES BOLBARAN ROJAS</t>
  </si>
  <si>
    <t>DANIEL ANDRES ANDRADE AGUILAR</t>
  </si>
  <si>
    <t>CARLOS JAVIER ARENA ROJAS</t>
  </si>
  <si>
    <t>DAVID AUGUSTO MARSHALL FLORES</t>
  </si>
  <si>
    <t>GUILLERMO NICOLAS GODOY CARVAJAL</t>
  </si>
  <si>
    <t>JEAN CHARLES CERDA ORREGO</t>
  </si>
  <si>
    <t>GUILLERMO ALFREDO CASTRO ZUÃ‘IGA</t>
  </si>
  <si>
    <t>DIEGO NICOLAS GONZALEZ OLIVARES</t>
  </si>
  <si>
    <t>HECTOR  HUGO  SEPULVEDA  GAVILAN</t>
  </si>
  <si>
    <t>KATHERINE ANGELICA LINZMAYER TRASLAVIÃ‘A</t>
  </si>
  <si>
    <t>CAMILO FELIPE CRUZ MOLINA</t>
  </si>
  <si>
    <t>LUIS ALBERTO ROJAS FLORES</t>
  </si>
  <si>
    <t>MARCO ANTONIO VELASQUEZ CIFUENTES</t>
  </si>
  <si>
    <t>PEDRO ENRIQUE BOLBARAN ROJAS</t>
  </si>
  <si>
    <t>PATRICIO RICARDO OETIKER OYARZUN</t>
  </si>
  <si>
    <t>SERGIO ALFONSO BRUNA LEDEZMA</t>
  </si>
  <si>
    <t>MARIO ANDRES PUCHI CORTEZ</t>
  </si>
  <si>
    <t>RICARDO ALEXIS LEMUS LOPEZ</t>
  </si>
  <si>
    <t>MARCOS ANTONIO ALDEA BEROIZA</t>
  </si>
  <si>
    <t>RODRIGO ANDRES DIAZ INOSTROZA</t>
  </si>
  <si>
    <t>RICKY DONNELLY ARAVENA POBLETE</t>
  </si>
  <si>
    <t>MANUEL ARNOLDO ALISTE OLIVARES</t>
  </si>
  <si>
    <t>CHRISTIAN DARIEM PIZARRO MUÃ‘OZ</t>
  </si>
  <si>
    <t>JOAQUIN IGNACIO TORO ALCAYAGA</t>
  </si>
  <si>
    <t>ESTEBAN ELIUT GONZALEZ JAQUE</t>
  </si>
  <si>
    <t>MARCELO ALEJANDRO INZUNZA ALARCON</t>
  </si>
  <si>
    <t>PABLO ROMARIO BOSSA ZAMORANO</t>
  </si>
  <si>
    <t>OSCAR RODRIGO ARIAS LEIVA</t>
  </si>
  <si>
    <t>MANUEL ALEJANDRO LISAMBARTH CARABANTES</t>
  </si>
  <si>
    <t>KARINA MABEL VEGA LOBERA</t>
  </si>
  <si>
    <t>NICOLAS ISAIAS VALENZUELA CASTILLO</t>
  </si>
  <si>
    <t>OMAR ANDRES ARAYA ZUÃ‘IGA</t>
  </si>
  <si>
    <t>PATRICIO RENAN GONZALEZ CABELLO</t>
  </si>
  <si>
    <t>SEBASTIAN ALEJANDRO ARANEDA MILLAR</t>
  </si>
  <si>
    <t>OSCAR MANUEL ESPINOZA ESPINOZA</t>
  </si>
  <si>
    <t>SEBASTIAN GONZALO ROJAS CLARO</t>
  </si>
  <si>
    <t>RICARDO DE LAS NIEVES GUTIERREZ FUENTES</t>
  </si>
  <si>
    <t>RAUL MANUEL BUSTAMANTE CERON</t>
  </si>
  <si>
    <t>PABLO ANTONIO ALVAREZ CORTES</t>
  </si>
  <si>
    <t>PATRICIO IGNACIO VEGA ARTEAGA</t>
  </si>
  <si>
    <t>CHRISTOFER HUESLY OLIVARES FERNANDEZ</t>
  </si>
  <si>
    <t>RAUL  ESTEBAN  HERNANDEZ PIZARRO</t>
  </si>
  <si>
    <t>SEBASTIAN IGNACIO ORTEGA GOMEZ</t>
  </si>
  <si>
    <t>SIMONNE DE LA PAZ REYES BATLLE</t>
  </si>
  <si>
    <t>RUBEN IGNACIO CORTES BORBON</t>
  </si>
  <si>
    <t>ANGELO GIOVANNI BIZAMA ORELLANA</t>
  </si>
  <si>
    <t>YENIFFER ANDREA CONTRERAS MERY</t>
  </si>
  <si>
    <t>ROBERTO MAURICIO VERGARA NEGRETE</t>
  </si>
  <si>
    <t>ROMEO ALEXANDRU SUCIU</t>
  </si>
  <si>
    <t>JORGE ANDRES LICANQUEO PEREZ</t>
  </si>
  <si>
    <t>LUIS ALFREDO MORENO RIOS</t>
  </si>
  <si>
    <t>RAUL ALEJANDRO RIVERO RIVERO</t>
  </si>
  <si>
    <t>KALIL SEBASTIAN NAYEN INOSTROZA</t>
  </si>
  <si>
    <t>KEVIN ESTEBAN VALENZUELA VALENZUELA</t>
  </si>
  <si>
    <t>OSCAR ALEXIS JARA MEJÃAS</t>
  </si>
  <si>
    <t>SEBASTIAN ANTONIO VALDERRAMA HERRERA</t>
  </si>
  <si>
    <t>NICOLAS ALBERTO CARVAJAL PASTEN</t>
  </si>
  <si>
    <t>WALTER LISANDRO SALAS MESA</t>
  </si>
  <si>
    <t>JOSE MANUEL CASTILLO GARCIA</t>
  </si>
  <si>
    <t>JONATHAN ALEXANDER OLIVARES NATES</t>
  </si>
  <si>
    <t>CELSO ANDRES ORREGO OLIVARES</t>
  </si>
  <si>
    <t>ELMER RISCO RAMOS</t>
  </si>
  <si>
    <t>RONALD SEBASTIAN BORQUEZ CAMPUSANO</t>
  </si>
  <si>
    <t>DENYS SAUL VERGARA TOCAS</t>
  </si>
  <si>
    <t>ISRAEL AARÃ“N VERGARA ELGUETA</t>
  </si>
  <si>
    <t>SHANNAN ELIZABETH DOBB</t>
  </si>
  <si>
    <t>NELSON PATRICIO FLORES SANHUEZA</t>
  </si>
  <si>
    <t>FELIX ALEJANDRO MERY ROBLEDO</t>
  </si>
  <si>
    <t>FRANCISCO PEDRO BORNAZ DELGADO</t>
  </si>
  <si>
    <t>2026-10-20T12:47:27.229Z</t>
  </si>
  <si>
    <t>Dos Amigos</t>
  </si>
  <si>
    <t>ANDRES SEBASTIAN CASTILLO ENCINA</t>
  </si>
  <si>
    <t>cmvgnwd4e0002n0qs4ym8fms9</t>
  </si>
  <si>
    <t>cmvgnwtoq0005n0qsn29clkzh</t>
  </si>
  <si>
    <t>ALBERTO SEGUNDO CALLPA NUÃ‘EZ</t>
  </si>
  <si>
    <t>CLAUDIO ALEXI ELIZALDE OLAVARRIA</t>
  </si>
  <si>
    <t>MANUEL ALEJANDRO ROJAS VEGA</t>
  </si>
  <si>
    <t>ENRIQUE ANTONIO CORTES SANTANA</t>
  </si>
  <si>
    <t>CRISTIAN REINALDO VERDEJO CISTERNAS</t>
  </si>
  <si>
    <t>ENRIQUE ALFONSO ROJAS MUÃ‘OZ</t>
  </si>
  <si>
    <t>GONZALO FELIPE GALVEZ RIVERA</t>
  </si>
  <si>
    <t>JONATHAN ALEJANDRO BERENGUELA RIVEROS</t>
  </si>
  <si>
    <t>MOISES ARON DAZA CANALES</t>
  </si>
  <si>
    <t>YERKO HUMBERTO ARAYA MILLAÃ‘IR</t>
  </si>
  <si>
    <t>RICHARD MAURICIO MALLA MAYA</t>
  </si>
  <si>
    <t>MIGUEL LLANOS CULQUI</t>
  </si>
  <si>
    <t>VICTOR DANIEL MONTAÃ‘O ARAYA</t>
  </si>
  <si>
    <t>CARLOS ANDRES VASQUEZ ESQUIVEL</t>
  </si>
  <si>
    <t>VICTOR ALFONSO ALVAREZ CORTES</t>
  </si>
  <si>
    <t>JAIME ERNESTO ESPINOZA ALCAYAGA</t>
  </si>
  <si>
    <t>MATIAS IGNACIO HANNUCSH GRUNENWALD</t>
  </si>
  <si>
    <t>MICHAEL ANDRES GONZALEZ ACEVEDO</t>
  </si>
  <si>
    <t>JOSE LUIS GALLARDO VERGARA</t>
  </si>
  <si>
    <t>PATRICIO HERNAN PIMIENTO ARIAS</t>
  </si>
  <si>
    <t>JUAN FELIPE SANHUEZA CARVAJAL</t>
  </si>
  <si>
    <t>ROBERTO ANTONIO PINILLA PEREZ</t>
  </si>
  <si>
    <t>Planilla bonus por pagar</t>
  </si>
  <si>
    <t>Administrativo Senior</t>
  </si>
  <si>
    <t>Instructor de Operaciones</t>
  </si>
  <si>
    <t>Ayudante MecÃ¡nico</t>
  </si>
  <si>
    <t>Controladora de GestiÃ³n HSEC</t>
  </si>
  <si>
    <t>Administrador de Contrato Junior</t>
  </si>
  <si>
    <t>Supervisor ElÃ©ctrico</t>
  </si>
  <si>
    <t>Empleado</t>
  </si>
  <si>
    <t>RUT</t>
  </si>
  <si>
    <t>Días en faena</t>
  </si>
  <si>
    <t>Metros (turnos)</t>
  </si>
  <si>
    <t>Horas</t>
  </si>
  <si>
    <t>Bono Metro</t>
  </si>
  <si>
    <t>Mejor Máquina</t>
  </si>
  <si>
    <t>Bono Extra</t>
  </si>
  <si>
    <t>Bono Meta</t>
  </si>
  <si>
    <t>Otros</t>
  </si>
  <si>
    <t>TOTAL $</t>
  </si>
  <si>
    <t>planilla</t>
  </si>
  <si>
    <t>workera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</si>
</sst>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FFFFFF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F2937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6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6" fillId="35" borderId="10" xfId="0" applyFont="1" applyFill="1" applyBorder="1"/>
    <xf numFmtId="0" fontId="0" fillId="35" borderId="10" xfId="0" applyFill="1" applyBorder="1"/>
    <xf numFmtId="2" fontId="0" fillId="35" borderId="10" xfId="0" applyNumberFormat="1" applyFill="1" applyBorder="1"/>
    <xf numFmtId="0" fontId="16" fillId="0" borderId="10" xfId="0" applyFont="1" applyBorder="1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2" fontId="0" fillId="0" borderId="10" xfId="0" applyNumberFormat="1" applyBorder="1"/>
    <xf numFmtId="0" fontId="18" fillId="36" borderId="0" xfId="0" applyFont="1" applyFill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7.xml"/><Relationship Id="rId19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nfo-Tech\Desktop\sep%2026\Final\calculation_super_detail_Proyecto_La_Coipa_2026-09-01_to_2026-09-30.xlsx" TargetMode="External"/><Relationship Id="rId1" Type="http://schemas.openxmlformats.org/officeDocument/2006/relationships/externalLinkPath" Target="calculation_super_detail_Proyecto_La_Coipa_2026-09-01_to_2026-09-30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nfo-Tech\Desktop\sep%2026\Final\calculation_planiilla_super_detail_Proyecto_Mantoverde_2026-09-01_to_2026-09-30.xlsx" TargetMode="External"/><Relationship Id="rId1" Type="http://schemas.openxmlformats.org/officeDocument/2006/relationships/externalLinkPath" Target="calculation_planiilla_super_detail_Proyecto_Mantoverde_2026-09-01_to_2026-09-30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nfo-Tech\Desktop\sep%2026\Final\calculation_planilla_super_detail_Proyecto_La_Coipa_2__2026-09-01_to_2026-09-30.xlsx" TargetMode="External"/><Relationship Id="rId1" Type="http://schemas.openxmlformats.org/officeDocument/2006/relationships/externalLinkPath" Target="calculation_planilla_super_detail_Proyecto_La_Coipa_2__2026-09-01_to_2026-09-30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nfo-Tech\Desktop\sep%2026\Final\calculation_planilla_super_detail_Proyecto_Chile_Chico_2026-09-01_to_2026-09-30.xlsx" TargetMode="External"/><Relationship Id="rId1" Type="http://schemas.openxmlformats.org/officeDocument/2006/relationships/externalLinkPath" Target="calculation_planilla_super_detail_Proyecto_Chile_Chico_2026-09-01_to_2026-09-30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nfo-Tech\Desktop\sep%2026\Final\calculation_planilla_super_detail_Dos_Amigos_2026-09-01_to_2026-09-30.xlsx" TargetMode="External"/><Relationship Id="rId1" Type="http://schemas.openxmlformats.org/officeDocument/2006/relationships/externalLinkPath" Target="calculation_planilla_super_detail_Dos_Amigos_2026-09-01_to_2026-09-30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nfo-Tech\Desktop\sep%2026\Final\calculation_super_detail_Proyecto_Chile_Chico_2026-09-01_to_2026-09-30.xlsx" TargetMode="External"/><Relationship Id="rId1" Type="http://schemas.openxmlformats.org/officeDocument/2006/relationships/externalLinkPath" Target="calculation_super_detail_Proyecto_Chile_Chico_2026-09-01_to_2026-09-30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nfo-Tech\Desktop\sep%2026\Final\calculation_super_detail_Proyecto_La_Coipa_2__2026-09-01_to_2026-09-30.xlsx" TargetMode="External"/><Relationship Id="rId1" Type="http://schemas.openxmlformats.org/officeDocument/2006/relationships/externalLinkPath" Target="calculation_super_detail_Proyecto_La_Coipa_2__2026-09-01_to_2026-09-30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nfo-Tech\Desktop\sep%2026\Final\calculation_super_detail_Proyecto_Mantoverde_2026-09-01_to_2026-09-30.xlsx" TargetMode="External"/><Relationship Id="rId1" Type="http://schemas.openxmlformats.org/officeDocument/2006/relationships/externalLinkPath" Target="calculation_super_detail_Proyecto_Mantoverde_2026-09-01_to_2026-09-30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nfo-Tech\Desktop\sep%2026\Final\calculation_planilla_super_detail_Proyecto_La_Coipa_2026-09-01_to_2026-09-30.xlsx" TargetMode="External"/><Relationship Id="rId1" Type="http://schemas.openxmlformats.org/officeDocument/2006/relationships/externalLinkPath" Target="calculation_planilla_super_detail_Proyecto_La_Coipa_2026-09-01_to_2026-09-3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JOSE CRISTIAN BASTIAS PEREZ"/>
      <sheetName val="FABIAN PATRICIO CABRERA GODO"/>
      <sheetName val="IGNACIO ALEJANDRO ROBLES BAR"/>
      <sheetName val="ALISSON AYLEEN VILLAGRA CABA"/>
      <sheetName val="FELIPE DAVID SAAVEDRA CAMPOS"/>
      <sheetName val="HUGO MARCELO LORENZO ZAMARCA"/>
      <sheetName val="JOSE LEANDRO PARRA SARAVIA"/>
      <sheetName val="MAURICIO ENRIQUE TAPIA CARVA"/>
      <sheetName val="DANIEL ANTONIO MANSO DIAZ"/>
      <sheetName val="ALEJANDRO ALBERTO CAMPILLAY "/>
      <sheetName val="VICENTE ANDRES LOPEZ MARTINE"/>
      <sheetName val="CARLOS EDUARDO RODRIGUEZ HER"/>
      <sheetName val="BENIGNO EDUARDO PAEZ MENESES"/>
      <sheetName val="CARLOS ALBERTO PIZARRO PIZAR"/>
      <sheetName val="CRISTIAN EDUARDO CARVAJAL JA"/>
      <sheetName val="CRISTIAN ROGELIO PASTEN VERG"/>
      <sheetName val="CARLOS ROBINSON VALDES PAEZ"/>
      <sheetName val="JOHN BYRON VASQUEZ CARROZA"/>
      <sheetName val="NORA ALEXANDRA SALAS ROJAS"/>
      <sheetName val="ALEX MARIO MORALES ANTIQUERA"/>
      <sheetName val="FELIPE IVAN LUIS ZAMBRA GONZ"/>
      <sheetName val="JORGE ERIKSON DURAND RUIZ"/>
      <sheetName val="FERNANDO EDUARDO PICON SANCH"/>
      <sheetName val="FELIX JORGE JIMENEZ CASTILLO"/>
      <sheetName val="GANTSOOJ KHISHIGBAYAR"/>
      <sheetName val="JAVIER EDUARDO CATALAN ESPIN"/>
      <sheetName val="HEBER ANTONIO CARVAJAL CASTR"/>
      <sheetName val="BENJAMIN JOSEFATT ESPINOZA U"/>
      <sheetName val="MATIAS PATRICIO CARVAJAL CER"/>
      <sheetName val="LEONEL GUILLERMO CAMPUSANO D"/>
      <sheetName val="PAOLO ALEJANDRO MANRIQUEZ SI"/>
      <sheetName val="JOSÉ LEONARDO RODRIGUEZ ROBL"/>
      <sheetName val="MANUEL ALEJANDRO TILLERIA SA"/>
      <sheetName val="LEONARDO ANDRES MENESES ARRE"/>
      <sheetName val="LUIS HUMBERTO PEÑA AHUMADA"/>
      <sheetName val="RENE ALFREDO RIOS MALDONADO"/>
      <sheetName val="ROBERTO MARIO VARGAS RODRIGU"/>
      <sheetName val="PABLO ANDRES ALBARNEZ LOPEZ"/>
      <sheetName val="WILLIAM HERNAN ALVAREZ TRUJI"/>
      <sheetName val="RODRIGO ALEJANDRO FLORES ZEP"/>
      <sheetName val="RODRIGO ALEX BALLADARES PERE"/>
      <sheetName val="ARIEL ANDRES SILVA RIQUELME"/>
      <sheetName val="VICTOR MANUEL MONDACA VEGA"/>
      <sheetName val="VLADIMIR OMAR CASTRO ENCINA"/>
      <sheetName val="CRISTIAN ALBERTO MARÍN CORTE"/>
      <sheetName val="ELIAS NICOLAS CORTEZ CORTEZ"/>
      <sheetName val="WALTER DEL CARMEN PIZARRO AL"/>
      <sheetName val="LEONIDAS  LUIS  ARCE  OLIVAR"/>
      <sheetName val="ULINSON DIAZ CORTES"/>
      <sheetName val="JHON CHRISTOPHER VELIZ HIDAL"/>
      <sheetName val="JOHN AMARO MICHEA RIVERA"/>
      <sheetName val="NATALY ANTONIA SALAS ESCOBAR"/>
      <sheetName val="JORGE ESTEBAN SAAVEDRA MENA"/>
      <sheetName val="JORGE ARMANDO TINOCO OSPINO"/>
      <sheetName val="LUIS ARMANDO MORALES NAVEA"/>
      <sheetName val="WALDO RAFAEL CASTRO PASTENE"/>
      <sheetName val="ESTEFANIA CONSTANZA NAETER Q"/>
      <sheetName val="JUAN PABLO MORALES CAMPUSANO"/>
      <sheetName val="MIGUEL ANTONIO BEAS GONZALEZ"/>
      <sheetName val="MAURICIO ANDRES OYARZUN SALA"/>
      <sheetName val="Tarifas y Reglas"/>
    </sheetNames>
    <sheetDataSet>
      <sheetData sheetId="0">
        <row r="5">
          <cell r="A5" t="str">
            <v>JOSE CRISTIAN BASTIAS PEREZ</v>
          </cell>
          <cell r="B5" t="str">
            <v>14.413.231-9</v>
          </cell>
          <cell r="C5" t="str">
            <v>Supervisor</v>
          </cell>
          <cell r="D5">
            <v>16</v>
          </cell>
          <cell r="E5">
            <v>113.55</v>
          </cell>
          <cell r="F5">
            <v>132</v>
          </cell>
          <cell r="G5">
            <v>0</v>
          </cell>
          <cell r="H5">
            <v>230048</v>
          </cell>
          <cell r="I5">
            <v>0</v>
          </cell>
          <cell r="J5">
            <v>0</v>
          </cell>
          <cell r="K5">
            <v>0</v>
          </cell>
          <cell r="L5">
            <v>230048</v>
          </cell>
        </row>
        <row r="6">
          <cell r="A6" t="str">
            <v>FABIAN PATRICIO CABRERA GODOY</v>
          </cell>
          <cell r="B6" t="str">
            <v>19.949.787-1</v>
          </cell>
          <cell r="C6" t="str">
            <v>Ayudante Perforista</v>
          </cell>
          <cell r="D6">
            <v>15</v>
          </cell>
          <cell r="E6">
            <v>1.1499999999999999</v>
          </cell>
          <cell r="F6">
            <v>132</v>
          </cell>
          <cell r="G6">
            <v>1035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1035</v>
          </cell>
        </row>
        <row r="7">
          <cell r="A7" t="str">
            <v>IGNACIO ALEJANDRO ROBLES BARRIOS</v>
          </cell>
          <cell r="B7" t="str">
            <v>20.718.093-9</v>
          </cell>
          <cell r="C7" t="str">
            <v>Ayudante Perforista</v>
          </cell>
          <cell r="D7">
            <v>2</v>
          </cell>
          <cell r="E7">
            <v>1.1499999999999999</v>
          </cell>
          <cell r="F7">
            <v>36</v>
          </cell>
          <cell r="G7">
            <v>1035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1035</v>
          </cell>
        </row>
        <row r="8">
          <cell r="A8" t="str">
            <v>ALISSON AYLEEN VILLAGRA CABALLERO</v>
          </cell>
          <cell r="B8" t="str">
            <v>18.919.440-4</v>
          </cell>
          <cell r="C8" t="str">
            <v>Conductor</v>
          </cell>
          <cell r="D8">
            <v>15</v>
          </cell>
          <cell r="E8">
            <v>188.7</v>
          </cell>
          <cell r="F8">
            <v>168</v>
          </cell>
          <cell r="G8">
            <v>0</v>
          </cell>
          <cell r="H8">
            <v>161752.5</v>
          </cell>
          <cell r="I8">
            <v>0</v>
          </cell>
          <cell r="J8">
            <v>0</v>
          </cell>
          <cell r="K8">
            <v>0</v>
          </cell>
          <cell r="L8">
            <v>161752.5</v>
          </cell>
        </row>
        <row r="9">
          <cell r="A9" t="str">
            <v>FELIPE DAVID SAAVEDRA CAMPOS</v>
          </cell>
          <cell r="B9" t="str">
            <v>18.450.168-6</v>
          </cell>
          <cell r="C9" t="str">
            <v>Ayudante Perforista</v>
          </cell>
          <cell r="D9">
            <v>14</v>
          </cell>
          <cell r="E9">
            <v>169.6</v>
          </cell>
          <cell r="F9">
            <v>168</v>
          </cell>
          <cell r="G9">
            <v>322470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322470</v>
          </cell>
        </row>
        <row r="10">
          <cell r="A10" t="str">
            <v>HUGO MARCELO LORENZO ZAMARCA EGAÑA</v>
          </cell>
          <cell r="B10" t="str">
            <v>16.732.650-1</v>
          </cell>
          <cell r="C10" t="str">
            <v>Prevencionista de Riesgos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431340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</row>
        <row r="11">
          <cell r="A11" t="str">
            <v>JOSE LEANDRO PARRA SARAVIA</v>
          </cell>
          <cell r="B11" t="str">
            <v>13.809.180-5</v>
          </cell>
          <cell r="C11" t="str">
            <v>Conductor</v>
          </cell>
          <cell r="D11">
            <v>10</v>
          </cell>
          <cell r="E11">
            <v>0</v>
          </cell>
          <cell r="F11">
            <v>12</v>
          </cell>
          <cell r="G11">
            <v>0</v>
          </cell>
          <cell r="H11">
            <v>107835</v>
          </cell>
          <cell r="I11">
            <v>0</v>
          </cell>
          <cell r="J11">
            <v>0</v>
          </cell>
          <cell r="K11">
            <v>0</v>
          </cell>
          <cell r="L11">
            <v>107835</v>
          </cell>
        </row>
        <row r="12">
          <cell r="A12" t="str">
            <v>MAURICIO ENRIQUE TAPIA CARVAJAL</v>
          </cell>
          <cell r="B12" t="str">
            <v>17.626.968-5</v>
          </cell>
          <cell r="C12" t="str">
            <v>Perforista</v>
          </cell>
          <cell r="D12">
            <v>16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 t="str">
            <v>DANIEL ANTONIO MANSO DIAZ</v>
          </cell>
          <cell r="B13" t="str">
            <v>15.037.826-5</v>
          </cell>
          <cell r="C13" t="str">
            <v>Ayudante de Perforista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</row>
        <row r="14">
          <cell r="A14" t="str">
            <v>ALEJANDRO ALBERTO CAMPILLAY RUIZ</v>
          </cell>
          <cell r="B14" t="str">
            <v>13.412.582-9</v>
          </cell>
          <cell r="C14" t="str">
            <v>Mecánico</v>
          </cell>
          <cell r="D14">
            <v>15</v>
          </cell>
          <cell r="E14">
            <v>169.6</v>
          </cell>
          <cell r="F14">
            <v>168</v>
          </cell>
          <cell r="G14">
            <v>0</v>
          </cell>
          <cell r="H14">
            <v>161752.5</v>
          </cell>
          <cell r="I14">
            <v>0</v>
          </cell>
          <cell r="J14">
            <v>0</v>
          </cell>
          <cell r="K14">
            <v>0</v>
          </cell>
          <cell r="L14">
            <v>161752.5</v>
          </cell>
        </row>
        <row r="15">
          <cell r="A15" t="str">
            <v>VICENTE ANDRES LOPEZ MARTINEZ</v>
          </cell>
          <cell r="B15" t="str">
            <v>21.294.612-5</v>
          </cell>
          <cell r="C15" t="str">
            <v>Ayudante Perforista</v>
          </cell>
          <cell r="D15">
            <v>15</v>
          </cell>
          <cell r="E15">
            <v>169.6</v>
          </cell>
          <cell r="F15">
            <v>168</v>
          </cell>
          <cell r="G15">
            <v>322470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322470</v>
          </cell>
        </row>
        <row r="16">
          <cell r="A16" t="str">
            <v>CARLOS EDUARDO RODRIGUEZ HERNANDEZ</v>
          </cell>
          <cell r="B16" t="str">
            <v>15.593.625-8</v>
          </cell>
          <cell r="C16" t="str">
            <v>Administrador de Contrato</v>
          </cell>
          <cell r="D16">
            <v>18</v>
          </cell>
          <cell r="E16">
            <v>71.55</v>
          </cell>
          <cell r="F16">
            <v>180</v>
          </cell>
          <cell r="G16">
            <v>0</v>
          </cell>
          <cell r="H16">
            <v>258804</v>
          </cell>
          <cell r="I16">
            <v>0</v>
          </cell>
          <cell r="J16">
            <v>0</v>
          </cell>
          <cell r="K16">
            <v>0</v>
          </cell>
          <cell r="L16">
            <v>258804</v>
          </cell>
        </row>
        <row r="17">
          <cell r="A17" t="str">
            <v>BENIGNO EDUARDO PAEZ MENESES</v>
          </cell>
          <cell r="B17" t="str">
            <v>17.643.998-K</v>
          </cell>
          <cell r="C17" t="str">
            <v>Conductor</v>
          </cell>
          <cell r="D17">
            <v>15</v>
          </cell>
          <cell r="E17">
            <v>1.1499999999999999</v>
          </cell>
          <cell r="F17">
            <v>132</v>
          </cell>
          <cell r="G17">
            <v>0</v>
          </cell>
          <cell r="H17">
            <v>161752.5</v>
          </cell>
          <cell r="I17">
            <v>0</v>
          </cell>
          <cell r="J17">
            <v>0</v>
          </cell>
          <cell r="K17">
            <v>0</v>
          </cell>
          <cell r="L17">
            <v>161752.5</v>
          </cell>
        </row>
        <row r="18">
          <cell r="A18" t="str">
            <v>CARLOS ALBERTO PIZARRO PIZARRO</v>
          </cell>
          <cell r="B18" t="str">
            <v>17.721.340-3</v>
          </cell>
          <cell r="C18" t="str">
            <v>Ayudante Perforista</v>
          </cell>
          <cell r="D18">
            <v>14</v>
          </cell>
          <cell r="E18">
            <v>169.6</v>
          </cell>
          <cell r="F18">
            <v>180</v>
          </cell>
          <cell r="G18">
            <v>322470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322470</v>
          </cell>
        </row>
        <row r="19">
          <cell r="A19" t="str">
            <v>CRISTIAN EDUARDO CARVAJAL JAIME</v>
          </cell>
          <cell r="B19" t="str">
            <v>12.806.491-5</v>
          </cell>
          <cell r="C19" t="str">
            <v>Perforista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A20" t="str">
            <v>CRISTIAN ROGELIO PASTEN VERGARA</v>
          </cell>
          <cell r="B20" t="str">
            <v>16.053.497-4</v>
          </cell>
          <cell r="C20" t="str">
            <v>Jefe de Faena</v>
          </cell>
          <cell r="D20">
            <v>14</v>
          </cell>
          <cell r="E20">
            <v>57.2</v>
          </cell>
          <cell r="F20">
            <v>168</v>
          </cell>
          <cell r="G20">
            <v>0</v>
          </cell>
          <cell r="H20">
            <v>201292</v>
          </cell>
          <cell r="I20">
            <v>0</v>
          </cell>
          <cell r="J20">
            <v>0</v>
          </cell>
          <cell r="K20">
            <v>0</v>
          </cell>
          <cell r="L20">
            <v>201292</v>
          </cell>
        </row>
        <row r="21">
          <cell r="A21" t="str">
            <v>CARLOS ROBINSON VALDES PAEZ</v>
          </cell>
          <cell r="B21" t="str">
            <v>15.570.854-9</v>
          </cell>
          <cell r="C21" t="str">
            <v>Perforista</v>
          </cell>
          <cell r="D21">
            <v>13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A22" t="str">
            <v>JOHN BYRON VASQUEZ CARROZA</v>
          </cell>
          <cell r="B22" t="str">
            <v>19.339.512-0</v>
          </cell>
          <cell r="C22" t="str">
            <v>Ayudante Perforista</v>
          </cell>
          <cell r="D22">
            <v>13</v>
          </cell>
          <cell r="E22">
            <v>188.7</v>
          </cell>
          <cell r="F22">
            <v>168</v>
          </cell>
          <cell r="G22">
            <v>322470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322470</v>
          </cell>
        </row>
        <row r="23">
          <cell r="A23" t="str">
            <v>NORA ALEXANDRA SALAS ROJAS</v>
          </cell>
          <cell r="B23" t="str">
            <v>18.352.777-0</v>
          </cell>
          <cell r="C23" t="str">
            <v>HSEC</v>
          </cell>
          <cell r="D23">
            <v>18</v>
          </cell>
          <cell r="E23">
            <v>113.55</v>
          </cell>
          <cell r="F23">
            <v>96</v>
          </cell>
          <cell r="G23">
            <v>0</v>
          </cell>
          <cell r="H23">
            <v>258804</v>
          </cell>
          <cell r="I23">
            <v>0</v>
          </cell>
          <cell r="J23">
            <v>0</v>
          </cell>
          <cell r="K23">
            <v>0</v>
          </cell>
          <cell r="L23">
            <v>258804</v>
          </cell>
        </row>
        <row r="24">
          <cell r="A24" t="str">
            <v>ALEX MARIO MORALES ANTIQUERA</v>
          </cell>
          <cell r="B24" t="str">
            <v>11.384.027-7</v>
          </cell>
          <cell r="C24" t="str">
            <v>Jefe de Faena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431340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A25" t="str">
            <v>FELIPE IVAN LUIS ZAMBRA GONZALEZ</v>
          </cell>
          <cell r="B25" t="str">
            <v>19.507.111-K</v>
          </cell>
          <cell r="C25" t="str">
            <v>BODEGUERO</v>
          </cell>
          <cell r="D25">
            <v>9</v>
          </cell>
          <cell r="E25">
            <v>57.2</v>
          </cell>
          <cell r="F25">
            <v>120</v>
          </cell>
          <cell r="G25">
            <v>0</v>
          </cell>
          <cell r="H25">
            <v>97051.5</v>
          </cell>
          <cell r="I25">
            <v>0</v>
          </cell>
          <cell r="J25">
            <v>0</v>
          </cell>
          <cell r="K25">
            <v>0</v>
          </cell>
          <cell r="L25">
            <v>97051.5</v>
          </cell>
        </row>
        <row r="26">
          <cell r="A26" t="str">
            <v>JORGE ERIKSON DURAND RUIZ</v>
          </cell>
          <cell r="B26" t="str">
            <v>21.254.681-K</v>
          </cell>
          <cell r="C26" t="str">
            <v>Mecánico</v>
          </cell>
          <cell r="D26">
            <v>15</v>
          </cell>
          <cell r="E26">
            <v>0</v>
          </cell>
          <cell r="F26">
            <v>132</v>
          </cell>
          <cell r="G26">
            <v>0</v>
          </cell>
          <cell r="H26">
            <v>161752.5</v>
          </cell>
          <cell r="I26">
            <v>0</v>
          </cell>
          <cell r="J26">
            <v>0</v>
          </cell>
          <cell r="K26">
            <v>0</v>
          </cell>
          <cell r="L26">
            <v>161752.5</v>
          </cell>
        </row>
        <row r="27">
          <cell r="A27" t="str">
            <v>FERNANDO EDUARDO PICON SANCHEZ</v>
          </cell>
          <cell r="B27" t="str">
            <v>15.611.374-3</v>
          </cell>
          <cell r="C27" t="str">
            <v>Ayudante de Perforista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A28" t="str">
            <v>FELIX JORGE JIMENEZ CASTILLO</v>
          </cell>
          <cell r="B28" t="str">
            <v>12.951.924-K</v>
          </cell>
          <cell r="C28" t="str">
            <v>Chofer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323505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 t="str">
            <v>GANTSOOJ KHISHIGBAYAR</v>
          </cell>
          <cell r="B29" t="str">
            <v>44.591.746-K</v>
          </cell>
          <cell r="C29" t="str">
            <v>Perforista</v>
          </cell>
          <cell r="D29">
            <v>0</v>
          </cell>
          <cell r="E29">
            <v>23.55</v>
          </cell>
          <cell r="F29">
            <v>36</v>
          </cell>
          <cell r="G29">
            <v>56940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56940</v>
          </cell>
        </row>
        <row r="30">
          <cell r="A30" t="str">
            <v>JAVIER EDUARDO CATALAN ESPINOZA</v>
          </cell>
          <cell r="B30" t="str">
            <v>13.775.192-5</v>
          </cell>
          <cell r="C30" t="str">
            <v>Ayudante de Perforista</v>
          </cell>
          <cell r="D30">
            <v>12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A31" t="str">
            <v>HEBER ANTONIO CARVAJAL CASTRO</v>
          </cell>
          <cell r="B31" t="str">
            <v>17.831.608-7</v>
          </cell>
          <cell r="C31" t="str">
            <v>Ayudante de Perforista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A32" t="str">
            <v>BENJAMIN JOSEFATT ESPINOZA URIBE</v>
          </cell>
          <cell r="B32" t="str">
            <v>17.805.184-9</v>
          </cell>
          <cell r="C32" t="str">
            <v>Conductor</v>
          </cell>
          <cell r="D32">
            <v>15</v>
          </cell>
          <cell r="E32">
            <v>0</v>
          </cell>
          <cell r="F32">
            <v>132</v>
          </cell>
          <cell r="G32">
            <v>0</v>
          </cell>
          <cell r="H32">
            <v>161752.5</v>
          </cell>
          <cell r="I32">
            <v>0</v>
          </cell>
          <cell r="J32">
            <v>0</v>
          </cell>
          <cell r="K32">
            <v>0</v>
          </cell>
          <cell r="L32">
            <v>161752.5</v>
          </cell>
        </row>
        <row r="33">
          <cell r="A33" t="str">
            <v>MATIAS PATRICIO CARVAJAL CERDA</v>
          </cell>
          <cell r="B33" t="str">
            <v>19.349.807-8</v>
          </cell>
          <cell r="C33" t="str">
            <v>Ayudante de Perforista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 t="str">
            <v>LEONEL GUILLERMO CAMPUSANO DUBO</v>
          </cell>
          <cell r="B34" t="str">
            <v>18.889.617-0</v>
          </cell>
          <cell r="C34" t="str">
            <v>Ayudante Perforista</v>
          </cell>
          <cell r="D34">
            <v>13</v>
          </cell>
          <cell r="E34">
            <v>0</v>
          </cell>
          <cell r="F34">
            <v>132</v>
          </cell>
          <cell r="G34">
            <v>1035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1035</v>
          </cell>
        </row>
        <row r="35">
          <cell r="A35" t="str">
            <v>PAOLO ALEJANDRO MANRIQUEZ SILVA</v>
          </cell>
          <cell r="B35" t="str">
            <v>13.855.440-6</v>
          </cell>
          <cell r="C35" t="str">
            <v>BODEGUERO</v>
          </cell>
          <cell r="D35">
            <v>18</v>
          </cell>
          <cell r="E35">
            <v>113.55</v>
          </cell>
          <cell r="F35">
            <v>132</v>
          </cell>
          <cell r="G35">
            <v>0</v>
          </cell>
          <cell r="H35">
            <v>194103</v>
          </cell>
          <cell r="I35">
            <v>0</v>
          </cell>
          <cell r="J35">
            <v>0</v>
          </cell>
          <cell r="K35">
            <v>0</v>
          </cell>
          <cell r="L35">
            <v>194103</v>
          </cell>
        </row>
        <row r="36">
          <cell r="A36" t="str">
            <v>JOSÉ LEONARDO RODRIGUEZ ROBLES</v>
          </cell>
          <cell r="B36" t="str">
            <v>25.832.490-0</v>
          </cell>
          <cell r="C36" t="str">
            <v>Conductor</v>
          </cell>
          <cell r="D36">
            <v>15</v>
          </cell>
          <cell r="E36">
            <v>169.6</v>
          </cell>
          <cell r="F36">
            <v>168</v>
          </cell>
          <cell r="G36">
            <v>0</v>
          </cell>
          <cell r="H36">
            <v>161752.5</v>
          </cell>
          <cell r="I36">
            <v>0</v>
          </cell>
          <cell r="J36">
            <v>0</v>
          </cell>
          <cell r="K36">
            <v>0</v>
          </cell>
          <cell r="L36">
            <v>161752.5</v>
          </cell>
        </row>
        <row r="37">
          <cell r="A37" t="str">
            <v>MANUEL ALEJANDRO TILLERIA SAAVEDRA</v>
          </cell>
          <cell r="B37" t="str">
            <v>19.804.200-5</v>
          </cell>
          <cell r="C37" t="str">
            <v>Mecánico</v>
          </cell>
          <cell r="D37">
            <v>15</v>
          </cell>
          <cell r="E37">
            <v>188.7</v>
          </cell>
          <cell r="F37">
            <v>168</v>
          </cell>
          <cell r="G37">
            <v>0</v>
          </cell>
          <cell r="H37">
            <v>161752.5</v>
          </cell>
          <cell r="I37">
            <v>0</v>
          </cell>
          <cell r="J37">
            <v>0</v>
          </cell>
          <cell r="K37">
            <v>0</v>
          </cell>
          <cell r="L37">
            <v>161752.5</v>
          </cell>
        </row>
        <row r="38">
          <cell r="A38" t="str">
            <v>LEONARDO ANDRES MENESES ARREDONDO</v>
          </cell>
          <cell r="B38" t="str">
            <v>14.043.656-9</v>
          </cell>
          <cell r="C38" t="str">
            <v>Supervisor</v>
          </cell>
          <cell r="D38">
            <v>14</v>
          </cell>
          <cell r="E38">
            <v>0</v>
          </cell>
          <cell r="F38">
            <v>132</v>
          </cell>
          <cell r="G38">
            <v>0</v>
          </cell>
          <cell r="H38">
            <v>201292</v>
          </cell>
          <cell r="I38">
            <v>0</v>
          </cell>
          <cell r="J38">
            <v>0</v>
          </cell>
          <cell r="K38">
            <v>0</v>
          </cell>
          <cell r="L38">
            <v>201292</v>
          </cell>
        </row>
        <row r="39">
          <cell r="A39" t="str">
            <v>LUIS HUMBERTO PEÑA AHUMADA</v>
          </cell>
          <cell r="B39" t="str">
            <v>8.851.229-4</v>
          </cell>
          <cell r="C39" t="str">
            <v>Conductor</v>
          </cell>
          <cell r="D39">
            <v>15</v>
          </cell>
          <cell r="E39">
            <v>187.2</v>
          </cell>
          <cell r="F39">
            <v>168</v>
          </cell>
          <cell r="G39">
            <v>0</v>
          </cell>
          <cell r="H39">
            <v>161752.5</v>
          </cell>
          <cell r="I39">
            <v>0</v>
          </cell>
          <cell r="J39">
            <v>0</v>
          </cell>
          <cell r="K39">
            <v>0</v>
          </cell>
          <cell r="L39">
            <v>161752.5</v>
          </cell>
        </row>
        <row r="40">
          <cell r="A40" t="str">
            <v>RENE ALFREDO RIOS MALDONADO</v>
          </cell>
          <cell r="B40" t="str">
            <v>17.628.970-8</v>
          </cell>
          <cell r="C40" t="str">
            <v>Administrativo</v>
          </cell>
          <cell r="D40">
            <v>14</v>
          </cell>
          <cell r="E40">
            <v>57.2</v>
          </cell>
          <cell r="F40">
            <v>168</v>
          </cell>
          <cell r="G40">
            <v>0</v>
          </cell>
          <cell r="H40">
            <v>150969</v>
          </cell>
          <cell r="I40">
            <v>0</v>
          </cell>
          <cell r="J40">
            <v>0</v>
          </cell>
          <cell r="K40">
            <v>0</v>
          </cell>
          <cell r="L40">
            <v>150969</v>
          </cell>
        </row>
        <row r="41">
          <cell r="A41" t="str">
            <v>ROBERTO MARIO VARGAS RODRIGUEZ</v>
          </cell>
          <cell r="B41" t="str">
            <v>14.594.999-8</v>
          </cell>
          <cell r="C41" t="str">
            <v>Mecánico</v>
          </cell>
          <cell r="D41">
            <v>14</v>
          </cell>
          <cell r="E41">
            <v>1.1499999999999999</v>
          </cell>
          <cell r="F41">
            <v>132</v>
          </cell>
          <cell r="G41">
            <v>0</v>
          </cell>
          <cell r="H41">
            <v>150969</v>
          </cell>
          <cell r="I41">
            <v>0</v>
          </cell>
          <cell r="J41">
            <v>0</v>
          </cell>
          <cell r="K41">
            <v>0</v>
          </cell>
          <cell r="L41">
            <v>150969</v>
          </cell>
        </row>
        <row r="42">
          <cell r="A42" t="str">
            <v>PABLO ANDRES ALBARNEZ LOPEZ</v>
          </cell>
          <cell r="B42" t="str">
            <v>14.117.289-1</v>
          </cell>
          <cell r="C42" t="str">
            <v>Perforista</v>
          </cell>
          <cell r="D42">
            <v>13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 t="str">
            <v>WILLIAM HERNAN ALVAREZ TRUJILLO</v>
          </cell>
          <cell r="B43" t="str">
            <v>11.508.866-1</v>
          </cell>
          <cell r="C43" t="str">
            <v>Soldador</v>
          </cell>
          <cell r="D43">
            <v>15</v>
          </cell>
          <cell r="E43">
            <v>1.1499999999999999</v>
          </cell>
          <cell r="F43">
            <v>132</v>
          </cell>
          <cell r="G43">
            <v>0</v>
          </cell>
          <cell r="H43">
            <v>161752.5</v>
          </cell>
          <cell r="I43">
            <v>0</v>
          </cell>
          <cell r="J43">
            <v>0</v>
          </cell>
          <cell r="K43">
            <v>0</v>
          </cell>
          <cell r="L43">
            <v>161752.5</v>
          </cell>
        </row>
        <row r="44">
          <cell r="A44" t="str">
            <v>RODRIGO ALEJANDRO FLORES ZEPEDA</v>
          </cell>
          <cell r="B44" t="str">
            <v>16.188.552-5</v>
          </cell>
          <cell r="C44" t="str">
            <v>Ayudante Perforista</v>
          </cell>
          <cell r="D44">
            <v>15</v>
          </cell>
          <cell r="E44">
            <v>1.1499999999999999</v>
          </cell>
          <cell r="F44">
            <v>132</v>
          </cell>
          <cell r="G44">
            <v>1035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1035</v>
          </cell>
        </row>
        <row r="45">
          <cell r="A45" t="str">
            <v>RODRIGO ALEX BALLADARES PEREZ</v>
          </cell>
          <cell r="B45" t="str">
            <v>16.425.205-1</v>
          </cell>
          <cell r="C45" t="str">
            <v>Jefe de Faena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431340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 t="str">
            <v>ARIEL ANDRES SILVA RIQUELME</v>
          </cell>
          <cell r="B46" t="str">
            <v>15.613.806-1</v>
          </cell>
          <cell r="C46" t="str">
            <v>Supervisor</v>
          </cell>
          <cell r="D46">
            <v>15</v>
          </cell>
          <cell r="E46">
            <v>188.7</v>
          </cell>
          <cell r="F46">
            <v>168</v>
          </cell>
          <cell r="G46">
            <v>0</v>
          </cell>
          <cell r="H46">
            <v>215670</v>
          </cell>
          <cell r="I46">
            <v>0</v>
          </cell>
          <cell r="J46">
            <v>0</v>
          </cell>
          <cell r="K46">
            <v>0</v>
          </cell>
          <cell r="L46">
            <v>215670</v>
          </cell>
        </row>
        <row r="47">
          <cell r="A47" t="str">
            <v>VICTOR MANUEL MONDACA VEGA</v>
          </cell>
          <cell r="B47" t="str">
            <v>16.706.064-1</v>
          </cell>
          <cell r="C47" t="str">
            <v>Ayudante Perforista</v>
          </cell>
          <cell r="D47">
            <v>15</v>
          </cell>
          <cell r="E47">
            <v>0</v>
          </cell>
          <cell r="F47">
            <v>132</v>
          </cell>
          <cell r="G47">
            <v>1035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1035</v>
          </cell>
        </row>
        <row r="48">
          <cell r="A48" t="str">
            <v>VLADIMIR OMAR CASTRO ENCINA</v>
          </cell>
          <cell r="B48" t="str">
            <v>16.441.822-7</v>
          </cell>
          <cell r="C48" t="str">
            <v>Perforista</v>
          </cell>
          <cell r="D48">
            <v>7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</row>
        <row r="49">
          <cell r="A49" t="str">
            <v>CRISTIAN ALBERTO MARÍN CORTES</v>
          </cell>
          <cell r="B49" t="str">
            <v>14.615.536-7</v>
          </cell>
          <cell r="C49" t="str">
            <v>Jefe de Formación y Evaluación</v>
          </cell>
          <cell r="D49">
            <v>14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  <row r="50">
          <cell r="A50" t="str">
            <v>ELIAS NICOLAS CORTEZ CORTEZ</v>
          </cell>
          <cell r="B50" t="str">
            <v>20.173.381-2</v>
          </cell>
          <cell r="C50" t="str">
            <v>Conductor</v>
          </cell>
          <cell r="D50">
            <v>14</v>
          </cell>
          <cell r="E50">
            <v>169.6</v>
          </cell>
          <cell r="F50">
            <v>168</v>
          </cell>
          <cell r="G50">
            <v>0</v>
          </cell>
          <cell r="H50">
            <v>150969</v>
          </cell>
          <cell r="I50">
            <v>0</v>
          </cell>
          <cell r="J50">
            <v>0</v>
          </cell>
          <cell r="K50">
            <v>0</v>
          </cell>
          <cell r="L50">
            <v>150969</v>
          </cell>
        </row>
        <row r="51">
          <cell r="A51" t="str">
            <v>WALTER DEL CARMEN PIZARRO ALVAREZ</v>
          </cell>
          <cell r="B51" t="str">
            <v>12.814.487-0</v>
          </cell>
          <cell r="C51" t="str">
            <v>Conductor</v>
          </cell>
          <cell r="D51">
            <v>15</v>
          </cell>
          <cell r="E51">
            <v>1.1499999999999999</v>
          </cell>
          <cell r="F51">
            <v>132</v>
          </cell>
          <cell r="G51">
            <v>0</v>
          </cell>
          <cell r="H51">
            <v>161752.5</v>
          </cell>
          <cell r="I51">
            <v>0</v>
          </cell>
          <cell r="J51">
            <v>0</v>
          </cell>
          <cell r="K51">
            <v>0</v>
          </cell>
          <cell r="L51">
            <v>161752.5</v>
          </cell>
        </row>
        <row r="52">
          <cell r="A52" t="str">
            <v>LEONIDAS  LUIS  ARCE  OLIVARES</v>
          </cell>
          <cell r="B52" t="str">
            <v>10.269.976-9</v>
          </cell>
          <cell r="C52" t="str">
            <v>Supervisor</v>
          </cell>
          <cell r="D52">
            <v>6</v>
          </cell>
          <cell r="E52">
            <v>57.2</v>
          </cell>
          <cell r="F52">
            <v>72</v>
          </cell>
          <cell r="G52">
            <v>0</v>
          </cell>
          <cell r="H52">
            <v>86268</v>
          </cell>
          <cell r="I52">
            <v>0</v>
          </cell>
          <cell r="J52">
            <v>0</v>
          </cell>
          <cell r="K52">
            <v>0</v>
          </cell>
          <cell r="L52">
            <v>86268</v>
          </cell>
        </row>
        <row r="53">
          <cell r="A53" t="str">
            <v>ULINSON DIAZ CORTES</v>
          </cell>
          <cell r="B53" t="str">
            <v>15.814.058-6</v>
          </cell>
          <cell r="C53" t="str">
            <v>Supervisor</v>
          </cell>
          <cell r="D53">
            <v>15</v>
          </cell>
          <cell r="E53">
            <v>1.1499999999999999</v>
          </cell>
          <cell r="F53">
            <v>132</v>
          </cell>
          <cell r="G53">
            <v>0</v>
          </cell>
          <cell r="H53">
            <v>215670</v>
          </cell>
          <cell r="I53">
            <v>0</v>
          </cell>
          <cell r="J53">
            <v>0</v>
          </cell>
          <cell r="K53">
            <v>0</v>
          </cell>
          <cell r="L53">
            <v>215670</v>
          </cell>
        </row>
        <row r="54">
          <cell r="A54" t="str">
            <v>JHON CHRISTOPHER VELIZ HIDALGO</v>
          </cell>
          <cell r="B54" t="str">
            <v>17.295.160-0</v>
          </cell>
          <cell r="C54" t="str">
            <v>Supervisor de Operaciones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431340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A55" t="str">
            <v>JOHN AMARO MICHEA RIVERA</v>
          </cell>
          <cell r="B55" t="str">
            <v>21.190.478-K</v>
          </cell>
          <cell r="C55" t="str">
            <v>Ayudante de Perforista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A56" t="str">
            <v>NATALY ANTONIA SALAS ESCOBAR</v>
          </cell>
          <cell r="B56" t="str">
            <v>21.516.063-7</v>
          </cell>
          <cell r="C56" t="str">
            <v>Administrativo</v>
          </cell>
          <cell r="D56">
            <v>16</v>
          </cell>
          <cell r="E56">
            <v>113.55</v>
          </cell>
          <cell r="F56">
            <v>132</v>
          </cell>
          <cell r="G56">
            <v>0</v>
          </cell>
          <cell r="H56">
            <v>172536</v>
          </cell>
          <cell r="I56">
            <v>0</v>
          </cell>
          <cell r="J56">
            <v>0</v>
          </cell>
          <cell r="K56">
            <v>0</v>
          </cell>
          <cell r="L56">
            <v>172536</v>
          </cell>
        </row>
        <row r="57">
          <cell r="A57" t="str">
            <v>JORGE ESTEBAN SAAVEDRA MENA</v>
          </cell>
          <cell r="B57" t="str">
            <v>12.152.241-1</v>
          </cell>
          <cell r="C57" t="str">
            <v>Conductor</v>
          </cell>
          <cell r="D57">
            <v>14</v>
          </cell>
          <cell r="E57">
            <v>169.6</v>
          </cell>
          <cell r="F57">
            <v>168</v>
          </cell>
          <cell r="G57">
            <v>0</v>
          </cell>
          <cell r="H57">
            <v>150969</v>
          </cell>
          <cell r="I57">
            <v>0</v>
          </cell>
          <cell r="J57">
            <v>0</v>
          </cell>
          <cell r="K57">
            <v>0</v>
          </cell>
          <cell r="L57">
            <v>150969</v>
          </cell>
        </row>
        <row r="58">
          <cell r="A58" t="str">
            <v>JORGE ARMANDO TINOCO OSPINO</v>
          </cell>
          <cell r="B58" t="str">
            <v>23.868.099-9</v>
          </cell>
          <cell r="C58" t="str">
            <v>Conductor</v>
          </cell>
          <cell r="D58">
            <v>15</v>
          </cell>
          <cell r="E58">
            <v>0</v>
          </cell>
          <cell r="F58">
            <v>132</v>
          </cell>
          <cell r="G58">
            <v>0</v>
          </cell>
          <cell r="H58">
            <v>161752.5</v>
          </cell>
          <cell r="I58">
            <v>0</v>
          </cell>
          <cell r="J58">
            <v>0</v>
          </cell>
          <cell r="K58">
            <v>0</v>
          </cell>
          <cell r="L58">
            <v>161752.5</v>
          </cell>
        </row>
        <row r="59">
          <cell r="A59" t="str">
            <v>LUIS ARMANDO MORALES NAVEA</v>
          </cell>
          <cell r="B59" t="str">
            <v>18.589.217-4</v>
          </cell>
          <cell r="C59" t="str">
            <v>Ayudante de Perforista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A60" t="str">
            <v>WALDO RAFAEL CASTRO PASTENE</v>
          </cell>
          <cell r="B60" t="str">
            <v>13.744.310-4</v>
          </cell>
          <cell r="C60" t="str">
            <v>Soldador</v>
          </cell>
          <cell r="D60">
            <v>14</v>
          </cell>
          <cell r="E60">
            <v>169.6</v>
          </cell>
          <cell r="F60">
            <v>168</v>
          </cell>
          <cell r="G60">
            <v>0</v>
          </cell>
          <cell r="H60">
            <v>150969</v>
          </cell>
          <cell r="I60">
            <v>0</v>
          </cell>
          <cell r="J60">
            <v>0</v>
          </cell>
          <cell r="K60">
            <v>0</v>
          </cell>
          <cell r="L60">
            <v>150969</v>
          </cell>
        </row>
        <row r="61">
          <cell r="A61" t="str">
            <v>ESTEFANIA CONSTANZA NAETER QUIROZ</v>
          </cell>
          <cell r="B61" t="str">
            <v>15.831.074-0</v>
          </cell>
          <cell r="C61" t="str">
            <v>Conductor</v>
          </cell>
          <cell r="D61">
            <v>14</v>
          </cell>
          <cell r="E61">
            <v>1.1499999999999999</v>
          </cell>
          <cell r="F61">
            <v>132</v>
          </cell>
          <cell r="G61">
            <v>0</v>
          </cell>
          <cell r="H61">
            <v>150969</v>
          </cell>
          <cell r="I61">
            <v>0</v>
          </cell>
          <cell r="J61">
            <v>0</v>
          </cell>
          <cell r="K61">
            <v>0</v>
          </cell>
          <cell r="L61">
            <v>150969</v>
          </cell>
        </row>
        <row r="62">
          <cell r="A62" t="str">
            <v>JUAN PABLO MORALES CAMPUSANO</v>
          </cell>
          <cell r="B62" t="str">
            <v>18.449.925-8</v>
          </cell>
          <cell r="C62" t="str">
            <v>Ayudante de Perforista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</row>
        <row r="63">
          <cell r="A63" t="str">
            <v>MIGUEL ANTONIO BEAS GONZALEZ</v>
          </cell>
          <cell r="B63" t="str">
            <v>17.210.409-6</v>
          </cell>
          <cell r="C63" t="str">
            <v>Chofer</v>
          </cell>
          <cell r="D63">
            <v>2</v>
          </cell>
          <cell r="E63">
            <v>0</v>
          </cell>
          <cell r="F63">
            <v>0</v>
          </cell>
          <cell r="G63">
            <v>0</v>
          </cell>
          <cell r="H63">
            <v>21567</v>
          </cell>
          <cell r="I63">
            <v>0</v>
          </cell>
          <cell r="J63">
            <v>0</v>
          </cell>
          <cell r="K63">
            <v>0</v>
          </cell>
          <cell r="L63">
            <v>21567</v>
          </cell>
        </row>
        <row r="64">
          <cell r="A64" t="str">
            <v>MAURICIO ANDRES OYARZUN SALAMANCA</v>
          </cell>
          <cell r="B64" t="str">
            <v>17.964.013-9</v>
          </cell>
          <cell r="C64" t="str">
            <v>Ayudante Perforista</v>
          </cell>
          <cell r="D64">
            <v>15</v>
          </cell>
          <cell r="E64">
            <v>188.7</v>
          </cell>
          <cell r="F64">
            <v>168</v>
          </cell>
          <cell r="G64">
            <v>322470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322470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EMERSON GIOVANNY DONAIRE VAD"/>
      <sheetName val="FREDDY IGNACIO THOMPSON DIAZ"/>
      <sheetName val="GERARDO ANTONIO GAETE PAZ"/>
      <sheetName val="ANGELO PATRICIO RIVERA HERRE"/>
      <sheetName val="JAVIER ANDRES MILLA PALACIOS"/>
      <sheetName val="BRENDA LIZETH LEON AVELLA"/>
      <sheetName val="ALEJANDRO MIGUEL APABLAZA GU"/>
      <sheetName val="DANIEL EDUARDO JERALDO CORTE"/>
      <sheetName val="RICHARD FABIAN RAMIREZ RAMIR"/>
      <sheetName val="VICTORIA DEL PILAR COFRE ROM"/>
      <sheetName val="MAIKOL MANUEL ANTONIO CORTES"/>
      <sheetName val="RICHARD FERNANDO CONTRERAS F"/>
      <sheetName val="IBAR ALEXIS BORQUEZ CARVAJAL"/>
      <sheetName val="BORIS ALEXIS NOVOA TORO"/>
      <sheetName val="CRISTOBAL ALEXIC SANDERSON S"/>
      <sheetName val="CRISTIAN ESTEBAN DIAZ GUAJAR"/>
      <sheetName val="IVAN ESTEBAN LOPEZ GARCIA"/>
      <sheetName val="PAULO ANDRES RODRIGUEZ OPAZO"/>
      <sheetName val="FRANCISCO JAVIER ROJAS MARTI"/>
      <sheetName val="CLAUDIA ALEJANDRA TORRES ROJ"/>
      <sheetName val="FRANCISCO JAVIER NAVARRO ESP"/>
      <sheetName val="PEDRO OCTAVIO OLIVARES ALVAR"/>
      <sheetName val="VICTOR ALEJANDRO VALENZUELA "/>
      <sheetName val="GABRIEL ALEJANDRO GALLEGUILL"/>
      <sheetName val="DANIEL SEBASTIAN ARAYA GALLA"/>
      <sheetName val="ERIC ALFONSO GALLEGUILLOS DI"/>
      <sheetName val="DIEGO ALEJANDRO ROJAS JOPIA"/>
      <sheetName val="DIANA CATALINA ANGEL MUNITA"/>
      <sheetName val="ERNESTO ALIRO ZEPEDA SOTO"/>
      <sheetName val="DAVID JESUS CASSRA ORELLANA"/>
      <sheetName val="ESTEBAN DAGOBERTO LOPEZ BARR"/>
      <sheetName val="GERSON ANDRES SANDOVAL SEPUL"/>
      <sheetName val="JORGE ALEXIS CORTES PAZ"/>
      <sheetName val="JAVIER AURELIO QUIROZ APABLA"/>
      <sheetName val="FRANCISCO JAVIER LEIVA LEIVA"/>
      <sheetName val="JONATHAN ANDRES ARDILES NUÑE"/>
      <sheetName val="JUAN ANTONIO VEGA ESPINOZA"/>
      <sheetName val="CARLOS ANDRES ZAPATA SEGUEL"/>
      <sheetName val="GUMERCINDO DEL ROSARIO PASTE"/>
      <sheetName val="JAIME NICOLAS CARVAJAL ALVAR"/>
      <sheetName val="RODRIGO ANDRES ARAYA ROJAS"/>
      <sheetName val="MARIO ALBERTO AQUEA GONZALEZ"/>
      <sheetName val="RODRIGO ALEJANDRO GONZALEZ R"/>
      <sheetName val="JUAN MAURICIO TABILO ARAYA"/>
      <sheetName val="FABIAN SEGUNDO ALVARADO MUÑO"/>
      <sheetName val="JILBERTO FRANCISCO ROJAS FER"/>
      <sheetName val="JOSE LUIS FLORES FLORES"/>
      <sheetName val="IVAN ALEJANDRO SAN FRANCISCO"/>
      <sheetName val="JUAN EDUARDO GONZALEZ ROMERO"/>
      <sheetName val="LEONARDO PATRICIO GATICA CAS"/>
      <sheetName val="PAUL GIOVANNI BRIONES BRIONE"/>
      <sheetName val="JUAN CARLOS MAURICIO ARAYA C"/>
      <sheetName val="LUIS RENATO DE JESUS JIMENEZ"/>
      <sheetName val="RODRIGO ALEJANDRO SANCHEZ AC"/>
      <sheetName val="LEONARDO IVAN MUNDACA PEREZ"/>
      <sheetName val="ROBERTO CARLOS NUÑEZ GONZALE"/>
      <sheetName val="NESTOR RENE SUAREZ MORALES"/>
      <sheetName val="PEDRO BALDOMERO LOPEZ ARAYA"/>
      <sheetName val="MARCO ANDRES ROJAS ROJAS"/>
      <sheetName val="MILENCO ALEXIS MOYANO GUERRE"/>
      <sheetName val="MANUEL ANDRES LISAMBARTH CAR"/>
      <sheetName val="PEDRO GABRIEL NARANJO ACUÑA"/>
      <sheetName val="HUGO ITALO NUÑEZ PENDOLA"/>
      <sheetName val="LUIS ALBERT CHAMBLAS CARTE"/>
      <sheetName val="JONATHAN FERNANDO BARRIOS GO"/>
      <sheetName val="JENNIFER ALEJANDRA SOTO FLOR"/>
      <sheetName val="KAZUKI CASTRO HOHMANN"/>
      <sheetName val="SEBASTIAN ENRIQUE SASSO ARAY"/>
      <sheetName val="PATRICIO COLLO VEGA GONZALEZ"/>
      <sheetName val="NELSON ANDRES CASTRO AVALOS"/>
      <sheetName val="RODRIGO ALEJANDRO AVILES VER"/>
      <sheetName val="RAMON ALEJANDRO RIVERA GONZA"/>
      <sheetName val="ANDRES ALEJANDRO VALENCIA CA"/>
      <sheetName val="VICTOR IGNACIO HENRIQUEZ VAR"/>
      <sheetName val="SEBASTIAN ALFONSO PERALTA CO"/>
      <sheetName val="CARLOS JAVIER ALVAREZ RIVERA"/>
      <sheetName val="DANIEL ALEJANDRO YAÑEZ VARAS"/>
      <sheetName val="CLAUDIO ANDRES FERNANDEZ CAS"/>
      <sheetName val="FELIX JOEL CASTILLO VALDIVIA"/>
      <sheetName val="JUAN IGNACIO CORTES GONZALEZ"/>
      <sheetName val="MANUEL ANTONIO ESCALONA VERA"/>
      <sheetName val="LUIS DAVID LORCA SANCHEZ"/>
      <sheetName val="WILLIAMS RENAN ASTROZA INOST"/>
      <sheetName val="RODRIGO FERNANDO ALFARO VEAS"/>
      <sheetName val="VICTOR IGNACIO PEREZ LORCA"/>
      <sheetName val="RODRIGO ARMANDO FERNANDEZ BR"/>
      <sheetName val="Tarifas y Reglas"/>
    </sheetNames>
    <sheetDataSet>
      <sheetData sheetId="0">
        <row r="5">
          <cell r="A5" t="str">
            <v>EMERSON GIOVANNY DONAIRE VADULLI</v>
          </cell>
          <cell r="B5" t="str">
            <v>19.690.710-6</v>
          </cell>
          <cell r="C5" t="str">
            <v>Ayudante Perforista</v>
          </cell>
          <cell r="D5">
            <v>10</v>
          </cell>
          <cell r="E5">
            <v>324</v>
          </cell>
          <cell r="F5">
            <v>120</v>
          </cell>
          <cell r="G5">
            <v>90400</v>
          </cell>
          <cell r="H5">
            <v>0</v>
          </cell>
          <cell r="I5">
            <v>5600</v>
          </cell>
          <cell r="J5">
            <v>0</v>
          </cell>
          <cell r="K5">
            <v>0</v>
          </cell>
          <cell r="L5">
            <v>96000</v>
          </cell>
        </row>
        <row r="6">
          <cell r="A6" t="str">
            <v>FREDDY IGNACIO THOMPSON DIAZ</v>
          </cell>
          <cell r="B6" t="str">
            <v>19.167.554-1</v>
          </cell>
          <cell r="C6" t="str">
            <v>Ayudante Perforista</v>
          </cell>
          <cell r="D6">
            <v>20</v>
          </cell>
          <cell r="E6">
            <v>355.4</v>
          </cell>
          <cell r="F6">
            <v>240</v>
          </cell>
          <cell r="G6">
            <v>368425</v>
          </cell>
          <cell r="H6">
            <v>0</v>
          </cell>
          <cell r="I6">
            <v>15575</v>
          </cell>
          <cell r="J6">
            <v>125000</v>
          </cell>
          <cell r="K6">
            <v>0</v>
          </cell>
          <cell r="L6">
            <v>509000</v>
          </cell>
        </row>
        <row r="7">
          <cell r="A7" t="str">
            <v>GERARDO ANTONIO GAETE PAZ</v>
          </cell>
          <cell r="B7" t="str">
            <v>19.214.178-8</v>
          </cell>
          <cell r="C7" t="str">
            <v>Ayudante Perforista</v>
          </cell>
          <cell r="D7">
            <v>20</v>
          </cell>
          <cell r="E7">
            <v>357.8</v>
          </cell>
          <cell r="F7">
            <v>240</v>
          </cell>
          <cell r="G7">
            <v>356600</v>
          </cell>
          <cell r="H7">
            <v>0</v>
          </cell>
          <cell r="I7">
            <v>14650</v>
          </cell>
          <cell r="J7">
            <v>125000</v>
          </cell>
          <cell r="K7">
            <v>0</v>
          </cell>
          <cell r="L7">
            <v>496250</v>
          </cell>
        </row>
        <row r="8">
          <cell r="A8" t="str">
            <v>ANGELO PATRICIO RIVERA HERRERA</v>
          </cell>
          <cell r="B8" t="str">
            <v>17.998.731-7</v>
          </cell>
          <cell r="C8" t="str">
            <v>Mecánico</v>
          </cell>
          <cell r="D8">
            <v>20</v>
          </cell>
          <cell r="E8">
            <v>0</v>
          </cell>
          <cell r="F8">
            <v>0</v>
          </cell>
          <cell r="G8">
            <v>0</v>
          </cell>
          <cell r="H8">
            <v>401566.67</v>
          </cell>
          <cell r="I8">
            <v>0</v>
          </cell>
          <cell r="J8">
            <v>0</v>
          </cell>
          <cell r="K8">
            <v>0</v>
          </cell>
          <cell r="L8">
            <v>401566.67</v>
          </cell>
        </row>
        <row r="9">
          <cell r="A9" t="str">
            <v>JAVIER ANDRES MILLA PALACIOS</v>
          </cell>
          <cell r="B9" t="str">
            <v>17.818.652-3</v>
          </cell>
          <cell r="C9" t="str">
            <v>Perforista</v>
          </cell>
          <cell r="D9">
            <v>10</v>
          </cell>
          <cell r="E9">
            <v>344</v>
          </cell>
          <cell r="F9">
            <v>120</v>
          </cell>
          <cell r="G9">
            <v>174600</v>
          </cell>
          <cell r="H9">
            <v>0</v>
          </cell>
          <cell r="I9">
            <v>8100</v>
          </cell>
          <cell r="J9">
            <v>0</v>
          </cell>
          <cell r="K9">
            <v>0</v>
          </cell>
          <cell r="L9">
            <v>182700</v>
          </cell>
        </row>
        <row r="10">
          <cell r="A10" t="str">
            <v>BRENDA LIZETH LEON AVELLA</v>
          </cell>
          <cell r="B10" t="str">
            <v>25.073.481-6</v>
          </cell>
          <cell r="C10" t="str">
            <v>Ayudante Perforista</v>
          </cell>
          <cell r="D10">
            <v>10</v>
          </cell>
          <cell r="E10">
            <v>163.6</v>
          </cell>
          <cell r="F10">
            <v>120</v>
          </cell>
          <cell r="G10">
            <v>189825</v>
          </cell>
          <cell r="H10">
            <v>0</v>
          </cell>
          <cell r="I10">
            <v>6940</v>
          </cell>
          <cell r="J10">
            <v>125000</v>
          </cell>
          <cell r="K10">
            <v>0</v>
          </cell>
          <cell r="L10">
            <v>321765</v>
          </cell>
        </row>
        <row r="11">
          <cell r="A11" t="str">
            <v>ALEJANDRO MIGUEL APABLAZA GUZMAN</v>
          </cell>
          <cell r="B11" t="str">
            <v>12.951.196-6</v>
          </cell>
          <cell r="C11" t="str">
            <v>Supervisor de Operaciones</v>
          </cell>
          <cell r="D11">
            <v>20</v>
          </cell>
          <cell r="E11">
            <v>0</v>
          </cell>
          <cell r="F11">
            <v>0</v>
          </cell>
          <cell r="G11">
            <v>0</v>
          </cell>
          <cell r="H11">
            <v>602350</v>
          </cell>
          <cell r="I11">
            <v>0</v>
          </cell>
          <cell r="J11">
            <v>0</v>
          </cell>
          <cell r="K11">
            <v>0</v>
          </cell>
          <cell r="L11">
            <v>602350</v>
          </cell>
        </row>
        <row r="12">
          <cell r="A12" t="str">
            <v>DANIEL EDUARDO JERALDO CORTES</v>
          </cell>
          <cell r="B12" t="str">
            <v>17.294.242-3</v>
          </cell>
          <cell r="C12" t="str">
            <v>Perforista</v>
          </cell>
          <cell r="D12">
            <v>20</v>
          </cell>
          <cell r="E12">
            <v>357.8</v>
          </cell>
          <cell r="F12">
            <v>240</v>
          </cell>
          <cell r="G12">
            <v>534900</v>
          </cell>
          <cell r="H12">
            <v>0</v>
          </cell>
          <cell r="I12">
            <v>21975</v>
          </cell>
          <cell r="J12">
            <v>250000</v>
          </cell>
          <cell r="K12">
            <v>0</v>
          </cell>
          <cell r="L12">
            <v>806875</v>
          </cell>
        </row>
        <row r="13">
          <cell r="A13" t="str">
            <v>RICHARD FABIAN RAMIREZ RAMIREZ</v>
          </cell>
          <cell r="B13" t="str">
            <v>18.011.716-4</v>
          </cell>
          <cell r="C13" t="str">
            <v>Ayudante Perforista</v>
          </cell>
          <cell r="D13">
            <v>20</v>
          </cell>
          <cell r="E13">
            <v>357.8</v>
          </cell>
          <cell r="F13">
            <v>240</v>
          </cell>
          <cell r="G13">
            <v>356600</v>
          </cell>
          <cell r="H13">
            <v>0</v>
          </cell>
          <cell r="I13">
            <v>14650</v>
          </cell>
          <cell r="J13">
            <v>125000</v>
          </cell>
          <cell r="K13">
            <v>0</v>
          </cell>
          <cell r="L13">
            <v>496250</v>
          </cell>
        </row>
        <row r="14">
          <cell r="A14" t="str">
            <v>VICTORIA DEL PILAR COFRE ROMERO</v>
          </cell>
          <cell r="B14" t="str">
            <v>15.446.035-7</v>
          </cell>
          <cell r="C14" t="str">
            <v>Bodeguero</v>
          </cell>
          <cell r="D14">
            <v>10</v>
          </cell>
          <cell r="E14">
            <v>0</v>
          </cell>
          <cell r="F14">
            <v>0</v>
          </cell>
          <cell r="G14">
            <v>0</v>
          </cell>
          <cell r="H14">
            <v>200783.33</v>
          </cell>
          <cell r="I14">
            <v>0</v>
          </cell>
          <cell r="J14">
            <v>0</v>
          </cell>
          <cell r="K14">
            <v>0</v>
          </cell>
          <cell r="L14">
            <v>200783.33</v>
          </cell>
        </row>
        <row r="15">
          <cell r="A15" t="str">
            <v>MAIKOL MANUEL ANTONIO CORTES OLIVARES</v>
          </cell>
          <cell r="B15" t="str">
            <v>19.041.873-1</v>
          </cell>
          <cell r="C15" t="str">
            <v>Perforista</v>
          </cell>
          <cell r="D15">
            <v>10</v>
          </cell>
          <cell r="E15">
            <v>133.6</v>
          </cell>
          <cell r="F15">
            <v>120</v>
          </cell>
          <cell r="G15">
            <v>210487.5</v>
          </cell>
          <cell r="H15">
            <v>0</v>
          </cell>
          <cell r="I15">
            <v>1530</v>
          </cell>
          <cell r="J15">
            <v>0</v>
          </cell>
          <cell r="K15">
            <v>0</v>
          </cell>
          <cell r="L15">
            <v>212017.5</v>
          </cell>
        </row>
        <row r="16">
          <cell r="A16" t="str">
            <v>RICHARD FERNANDO CONTRERAS FLORES</v>
          </cell>
          <cell r="B16" t="str">
            <v>13.425.369-K</v>
          </cell>
          <cell r="C16" t="str">
            <v>Ayudante Perforista</v>
          </cell>
          <cell r="D16">
            <v>20</v>
          </cell>
          <cell r="E16">
            <v>466</v>
          </cell>
          <cell r="F16">
            <v>211.25</v>
          </cell>
          <cell r="G16">
            <v>182400</v>
          </cell>
          <cell r="H16">
            <v>0</v>
          </cell>
          <cell r="I16">
            <v>6800</v>
          </cell>
          <cell r="J16">
            <v>0</v>
          </cell>
          <cell r="K16">
            <v>0</v>
          </cell>
          <cell r="L16">
            <v>189200</v>
          </cell>
        </row>
        <row r="17">
          <cell r="A17" t="str">
            <v>IBAR ALEXIS BORQUEZ CARVAJAL</v>
          </cell>
          <cell r="B17" t="str">
            <v>13.011.075-4</v>
          </cell>
          <cell r="C17" t="str">
            <v>Jefe de Faena</v>
          </cell>
          <cell r="D17">
            <v>15</v>
          </cell>
          <cell r="E17">
            <v>0</v>
          </cell>
          <cell r="F17">
            <v>0</v>
          </cell>
          <cell r="G17">
            <v>0</v>
          </cell>
          <cell r="H17">
            <v>451762.5</v>
          </cell>
          <cell r="I17">
            <v>0</v>
          </cell>
          <cell r="J17">
            <v>0</v>
          </cell>
          <cell r="K17">
            <v>0</v>
          </cell>
          <cell r="L17">
            <v>451762.5</v>
          </cell>
        </row>
        <row r="18">
          <cell r="A18" t="str">
            <v>BORIS ALEXIS NOVOA TORO</v>
          </cell>
          <cell r="B18" t="str">
            <v>20.111.998-7</v>
          </cell>
          <cell r="C18" t="str">
            <v>Ayudante Perforista</v>
          </cell>
          <cell r="D18">
            <v>3</v>
          </cell>
          <cell r="E18">
            <v>78</v>
          </cell>
          <cell r="F18">
            <v>48</v>
          </cell>
          <cell r="G18">
            <v>34800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34800</v>
          </cell>
        </row>
        <row r="19">
          <cell r="A19" t="str">
            <v>CRISTOBAL ALEXIC SANDERSON SALCEDO</v>
          </cell>
          <cell r="B19" t="str">
            <v>19.910.908-1</v>
          </cell>
          <cell r="C19" t="str">
            <v>Mecánico</v>
          </cell>
          <cell r="D19">
            <v>20</v>
          </cell>
          <cell r="E19">
            <v>0</v>
          </cell>
          <cell r="F19">
            <v>0</v>
          </cell>
          <cell r="G19">
            <v>0</v>
          </cell>
          <cell r="H19">
            <v>401566.67</v>
          </cell>
          <cell r="I19">
            <v>0</v>
          </cell>
          <cell r="J19">
            <v>0</v>
          </cell>
          <cell r="K19">
            <v>0</v>
          </cell>
          <cell r="L19">
            <v>401566.67</v>
          </cell>
        </row>
        <row r="20">
          <cell r="A20" t="str">
            <v>CRISTIAN ESTEBAN DIAZ GUAJARDO</v>
          </cell>
          <cell r="B20" t="str">
            <v>16.400.165-2</v>
          </cell>
          <cell r="C20" t="str">
            <v>Ayudante Perforista</v>
          </cell>
          <cell r="D20">
            <v>10</v>
          </cell>
          <cell r="E20">
            <v>141.05000000000001</v>
          </cell>
          <cell r="F20">
            <v>120</v>
          </cell>
          <cell r="G20">
            <v>143325</v>
          </cell>
          <cell r="H20">
            <v>0</v>
          </cell>
          <cell r="I20">
            <v>4060</v>
          </cell>
          <cell r="J20">
            <v>0</v>
          </cell>
          <cell r="K20">
            <v>0</v>
          </cell>
          <cell r="L20">
            <v>147385</v>
          </cell>
        </row>
        <row r="21">
          <cell r="A21" t="str">
            <v>IVAN ESTEBAN LOPEZ GARCIA</v>
          </cell>
          <cell r="B21" t="str">
            <v>18.575.188-0</v>
          </cell>
          <cell r="C21" t="str">
            <v>Chofer</v>
          </cell>
          <cell r="D21">
            <v>10</v>
          </cell>
          <cell r="E21">
            <v>0</v>
          </cell>
          <cell r="F21">
            <v>0</v>
          </cell>
          <cell r="G21">
            <v>0</v>
          </cell>
          <cell r="H21">
            <v>200783.33</v>
          </cell>
          <cell r="I21">
            <v>0</v>
          </cell>
          <cell r="J21">
            <v>0</v>
          </cell>
          <cell r="K21">
            <v>0</v>
          </cell>
          <cell r="L21">
            <v>200783.33</v>
          </cell>
        </row>
        <row r="22">
          <cell r="A22" t="str">
            <v>PAULO ANDRES RODRIGUEZ OPAZO</v>
          </cell>
          <cell r="B22" t="str">
            <v>14.401.561-4</v>
          </cell>
          <cell r="C22" t="str">
            <v>Ayudante Perforista</v>
          </cell>
          <cell r="D22">
            <v>10</v>
          </cell>
          <cell r="E22">
            <v>142.5</v>
          </cell>
          <cell r="F22">
            <v>120</v>
          </cell>
          <cell r="G22">
            <v>174000</v>
          </cell>
          <cell r="H22">
            <v>0</v>
          </cell>
          <cell r="I22">
            <v>8100</v>
          </cell>
          <cell r="J22">
            <v>125000</v>
          </cell>
          <cell r="K22">
            <v>0</v>
          </cell>
          <cell r="L22">
            <v>307100</v>
          </cell>
        </row>
        <row r="23">
          <cell r="A23" t="str">
            <v>FRANCISCO JAVIER ROJAS MARTINEZ</v>
          </cell>
          <cell r="B23" t="str">
            <v>16.463.792-1</v>
          </cell>
          <cell r="C23" t="str">
            <v>Jefe de Faena</v>
          </cell>
          <cell r="D23">
            <v>15</v>
          </cell>
          <cell r="E23">
            <v>0</v>
          </cell>
          <cell r="F23">
            <v>0</v>
          </cell>
          <cell r="G23">
            <v>0</v>
          </cell>
          <cell r="H23">
            <v>451762.5</v>
          </cell>
          <cell r="I23">
            <v>0</v>
          </cell>
          <cell r="J23">
            <v>0</v>
          </cell>
          <cell r="K23">
            <v>0</v>
          </cell>
          <cell r="L23">
            <v>451762.5</v>
          </cell>
        </row>
        <row r="24">
          <cell r="A24" t="str">
            <v>CLAUDIA ALEJANDRA TORRES ROJAS</v>
          </cell>
          <cell r="B24" t="str">
            <v>18.757.602-4</v>
          </cell>
          <cell r="C24" t="str">
            <v>Prevencionista de Riesgos</v>
          </cell>
          <cell r="D24">
            <v>20</v>
          </cell>
          <cell r="E24">
            <v>0</v>
          </cell>
          <cell r="F24">
            <v>0</v>
          </cell>
          <cell r="G24">
            <v>0</v>
          </cell>
          <cell r="H24">
            <v>602350</v>
          </cell>
          <cell r="I24">
            <v>0</v>
          </cell>
          <cell r="J24">
            <v>0</v>
          </cell>
          <cell r="K24">
            <v>0</v>
          </cell>
          <cell r="L24">
            <v>602350</v>
          </cell>
        </row>
        <row r="25">
          <cell r="A25" t="str">
            <v>FRANCISCO JAVIER NAVARRO ESPINOZA</v>
          </cell>
          <cell r="B25" t="str">
            <v>16.281.802-3</v>
          </cell>
          <cell r="C25" t="str">
            <v>Electromecánico</v>
          </cell>
          <cell r="D25">
            <v>10</v>
          </cell>
          <cell r="E25">
            <v>0</v>
          </cell>
          <cell r="F25">
            <v>0</v>
          </cell>
          <cell r="G25">
            <v>0</v>
          </cell>
          <cell r="H25">
            <v>200783.33</v>
          </cell>
          <cell r="I25">
            <v>0</v>
          </cell>
          <cell r="J25">
            <v>0</v>
          </cell>
          <cell r="K25">
            <v>0</v>
          </cell>
          <cell r="L25">
            <v>200783.33</v>
          </cell>
        </row>
        <row r="26">
          <cell r="A26" t="str">
            <v>PEDRO OCTAVIO OLIVARES ALVAREZ</v>
          </cell>
          <cell r="B26" t="str">
            <v>13.176.765-K</v>
          </cell>
          <cell r="C26" t="str">
            <v>Perforista</v>
          </cell>
          <cell r="D26">
            <v>20</v>
          </cell>
          <cell r="E26">
            <v>301.2</v>
          </cell>
          <cell r="F26">
            <v>180</v>
          </cell>
          <cell r="G26">
            <v>416025</v>
          </cell>
          <cell r="H26">
            <v>0</v>
          </cell>
          <cell r="I26">
            <v>40931.25</v>
          </cell>
          <cell r="J26">
            <v>250000</v>
          </cell>
          <cell r="K26">
            <v>0</v>
          </cell>
          <cell r="L26">
            <v>706956.25</v>
          </cell>
        </row>
        <row r="27">
          <cell r="A27" t="str">
            <v>VICTOR ALEJANDRO VALENZUELA PASTEN</v>
          </cell>
          <cell r="B27" t="str">
            <v>12.802.451-4</v>
          </cell>
          <cell r="C27" t="str">
            <v>Supervisor de Operaciones</v>
          </cell>
          <cell r="D27">
            <v>10</v>
          </cell>
          <cell r="E27">
            <v>0</v>
          </cell>
          <cell r="F27">
            <v>0</v>
          </cell>
          <cell r="G27">
            <v>0</v>
          </cell>
          <cell r="H27">
            <v>301175</v>
          </cell>
          <cell r="I27">
            <v>0</v>
          </cell>
          <cell r="J27">
            <v>0</v>
          </cell>
          <cell r="K27">
            <v>0</v>
          </cell>
          <cell r="L27">
            <v>301175</v>
          </cell>
        </row>
        <row r="28">
          <cell r="A28" t="str">
            <v>GABRIEL ALEJANDRO GALLEGUILLOS ARANCIBIA</v>
          </cell>
          <cell r="B28" t="str">
            <v>15.909.798-6</v>
          </cell>
          <cell r="C28" t="str">
            <v>Mecánico</v>
          </cell>
          <cell r="D28">
            <v>20</v>
          </cell>
          <cell r="E28">
            <v>0</v>
          </cell>
          <cell r="F28">
            <v>0</v>
          </cell>
          <cell r="G28">
            <v>0</v>
          </cell>
          <cell r="H28">
            <v>401566.67</v>
          </cell>
          <cell r="I28">
            <v>0</v>
          </cell>
          <cell r="J28">
            <v>0</v>
          </cell>
          <cell r="K28">
            <v>0</v>
          </cell>
          <cell r="L28">
            <v>401566.67</v>
          </cell>
        </row>
        <row r="29">
          <cell r="A29" t="str">
            <v>DANIEL SEBASTIAN ARAYA GALLARDO</v>
          </cell>
          <cell r="B29" t="str">
            <v>15.785.558-1</v>
          </cell>
          <cell r="C29" t="str">
            <v>Ayudante Perforista</v>
          </cell>
          <cell r="D29">
            <v>10</v>
          </cell>
          <cell r="E29">
            <v>160.75</v>
          </cell>
          <cell r="F29">
            <v>120</v>
          </cell>
          <cell r="G29">
            <v>260500</v>
          </cell>
          <cell r="H29">
            <v>0</v>
          </cell>
          <cell r="I29">
            <v>9750</v>
          </cell>
          <cell r="J29">
            <v>125000</v>
          </cell>
          <cell r="K29">
            <v>0</v>
          </cell>
          <cell r="L29">
            <v>395250</v>
          </cell>
        </row>
        <row r="30">
          <cell r="A30" t="str">
            <v>ERIC ALFONSO GALLEGUILLOS DIAZ</v>
          </cell>
          <cell r="B30" t="str">
            <v>16.892.590-5</v>
          </cell>
          <cell r="C30" t="str">
            <v>Ayudante Perforista</v>
          </cell>
          <cell r="D30">
            <v>10</v>
          </cell>
          <cell r="E30">
            <v>184.65</v>
          </cell>
          <cell r="F30">
            <v>120</v>
          </cell>
          <cell r="G30">
            <v>184850</v>
          </cell>
          <cell r="H30">
            <v>0</v>
          </cell>
          <cell r="I30">
            <v>9762.5</v>
          </cell>
          <cell r="J30">
            <v>0</v>
          </cell>
          <cell r="K30">
            <v>0</v>
          </cell>
          <cell r="L30">
            <v>194612.5</v>
          </cell>
        </row>
        <row r="31">
          <cell r="A31" t="str">
            <v>DIEGO ALEJANDRO ROJAS JOPIA</v>
          </cell>
          <cell r="B31" t="str">
            <v>16.442.931-8</v>
          </cell>
          <cell r="C31" t="str">
            <v>Perforista</v>
          </cell>
          <cell r="D31">
            <v>10</v>
          </cell>
          <cell r="E31">
            <v>160.75</v>
          </cell>
          <cell r="F31">
            <v>120</v>
          </cell>
          <cell r="G31">
            <v>390750</v>
          </cell>
          <cell r="H31">
            <v>0</v>
          </cell>
          <cell r="I31">
            <v>14625</v>
          </cell>
          <cell r="J31">
            <v>250000</v>
          </cell>
          <cell r="K31">
            <v>0</v>
          </cell>
          <cell r="L31">
            <v>655375</v>
          </cell>
        </row>
        <row r="32">
          <cell r="A32" t="str">
            <v>DIANA CATALINA ANGEL MUNITA</v>
          </cell>
          <cell r="B32" t="str">
            <v>21.236.457-6</v>
          </cell>
          <cell r="C32" t="str">
            <v>Ayudante Perforista</v>
          </cell>
          <cell r="D32">
            <v>20</v>
          </cell>
          <cell r="E32">
            <v>355.4</v>
          </cell>
          <cell r="F32">
            <v>240</v>
          </cell>
          <cell r="G32">
            <v>356600</v>
          </cell>
          <cell r="H32">
            <v>0</v>
          </cell>
          <cell r="I32">
            <v>15575</v>
          </cell>
          <cell r="J32">
            <v>125000</v>
          </cell>
          <cell r="K32">
            <v>0</v>
          </cell>
          <cell r="L32">
            <v>497175</v>
          </cell>
        </row>
        <row r="33">
          <cell r="A33" t="str">
            <v>ERNESTO ALIRO ZEPEDA SOTO</v>
          </cell>
          <cell r="B33" t="str">
            <v>17.293.877-9</v>
          </cell>
          <cell r="C33" t="str">
            <v>Ayudante Perforista</v>
          </cell>
          <cell r="D33">
            <v>10</v>
          </cell>
          <cell r="E33">
            <v>141.05000000000001</v>
          </cell>
          <cell r="F33">
            <v>120</v>
          </cell>
          <cell r="G33">
            <v>149100</v>
          </cell>
          <cell r="H33">
            <v>0</v>
          </cell>
          <cell r="I33">
            <v>4060</v>
          </cell>
          <cell r="J33">
            <v>125000</v>
          </cell>
          <cell r="K33">
            <v>0</v>
          </cell>
          <cell r="L33">
            <v>278160</v>
          </cell>
        </row>
        <row r="34">
          <cell r="A34" t="str">
            <v>DAVID JESUS CASSRA ORELLANA</v>
          </cell>
          <cell r="B34" t="str">
            <v>17.939.732-3</v>
          </cell>
          <cell r="C34" t="str">
            <v>Ayudante Perforista</v>
          </cell>
          <cell r="D34">
            <v>20</v>
          </cell>
          <cell r="E34">
            <v>452</v>
          </cell>
          <cell r="F34">
            <v>228</v>
          </cell>
          <cell r="G34">
            <v>182400</v>
          </cell>
          <cell r="H34">
            <v>0</v>
          </cell>
          <cell r="I34">
            <v>7600</v>
          </cell>
          <cell r="J34">
            <v>0</v>
          </cell>
          <cell r="K34">
            <v>0</v>
          </cell>
          <cell r="L34">
            <v>190000</v>
          </cell>
        </row>
        <row r="35">
          <cell r="A35" t="str">
            <v>ESTEBAN DAGOBERTO LOPEZ BARRIOS</v>
          </cell>
          <cell r="B35" t="str">
            <v>13.223.287-3</v>
          </cell>
          <cell r="C35" t="str">
            <v>Chofer</v>
          </cell>
          <cell r="D35">
            <v>10</v>
          </cell>
          <cell r="E35">
            <v>0</v>
          </cell>
          <cell r="F35">
            <v>0</v>
          </cell>
          <cell r="G35">
            <v>0</v>
          </cell>
          <cell r="H35">
            <v>200783.33</v>
          </cell>
          <cell r="I35">
            <v>0</v>
          </cell>
          <cell r="J35">
            <v>0</v>
          </cell>
          <cell r="K35">
            <v>0</v>
          </cell>
          <cell r="L35">
            <v>200783.33</v>
          </cell>
        </row>
        <row r="36">
          <cell r="A36" t="str">
            <v>GERSON ANDRES SANDOVAL SEPULVEDA</v>
          </cell>
          <cell r="B36" t="str">
            <v>13.804.452-1</v>
          </cell>
          <cell r="C36" t="str">
            <v>Chofer</v>
          </cell>
          <cell r="D36">
            <v>20</v>
          </cell>
          <cell r="E36">
            <v>0</v>
          </cell>
          <cell r="F36">
            <v>0</v>
          </cell>
          <cell r="G36">
            <v>0</v>
          </cell>
          <cell r="H36">
            <v>401566.67</v>
          </cell>
          <cell r="I36">
            <v>0</v>
          </cell>
          <cell r="J36">
            <v>0</v>
          </cell>
          <cell r="K36">
            <v>0</v>
          </cell>
          <cell r="L36">
            <v>401566.67</v>
          </cell>
        </row>
        <row r="37">
          <cell r="A37" t="str">
            <v>JORGE ALEXIS CORTES PAZ</v>
          </cell>
          <cell r="B37" t="str">
            <v>13.541.133-7</v>
          </cell>
          <cell r="C37" t="str">
            <v>Soldador</v>
          </cell>
          <cell r="D37">
            <v>10</v>
          </cell>
          <cell r="E37">
            <v>0</v>
          </cell>
          <cell r="F37">
            <v>0</v>
          </cell>
          <cell r="G37">
            <v>0</v>
          </cell>
          <cell r="H37">
            <v>200783.33</v>
          </cell>
          <cell r="I37">
            <v>0</v>
          </cell>
          <cell r="J37">
            <v>0</v>
          </cell>
          <cell r="K37">
            <v>0</v>
          </cell>
          <cell r="L37">
            <v>200783.33</v>
          </cell>
        </row>
        <row r="38">
          <cell r="A38" t="str">
            <v>JAVIER AURELIO QUIROZ APABLAZA</v>
          </cell>
          <cell r="B38" t="str">
            <v>11.730.786-7</v>
          </cell>
          <cell r="C38" t="str">
            <v>Chofer</v>
          </cell>
          <cell r="D38">
            <v>10</v>
          </cell>
          <cell r="E38">
            <v>0</v>
          </cell>
          <cell r="F38">
            <v>0</v>
          </cell>
          <cell r="G38">
            <v>0</v>
          </cell>
          <cell r="H38">
            <v>200783.33</v>
          </cell>
          <cell r="I38">
            <v>0</v>
          </cell>
          <cell r="J38">
            <v>0</v>
          </cell>
          <cell r="K38">
            <v>0</v>
          </cell>
          <cell r="L38">
            <v>200783.33</v>
          </cell>
        </row>
        <row r="39">
          <cell r="A39" t="str">
            <v>FRANCISCO JAVIER LEIVA LEIVA</v>
          </cell>
          <cell r="B39" t="str">
            <v>12.115.176-6</v>
          </cell>
          <cell r="C39" t="str">
            <v>Perforista</v>
          </cell>
          <cell r="D39">
            <v>20</v>
          </cell>
          <cell r="E39">
            <v>355.4</v>
          </cell>
          <cell r="F39">
            <v>240</v>
          </cell>
          <cell r="G39">
            <v>534900</v>
          </cell>
          <cell r="H39">
            <v>0</v>
          </cell>
          <cell r="I39">
            <v>23362.5</v>
          </cell>
          <cell r="J39">
            <v>250000</v>
          </cell>
          <cell r="K39">
            <v>0</v>
          </cell>
          <cell r="L39">
            <v>808262.5</v>
          </cell>
        </row>
        <row r="40">
          <cell r="A40" t="str">
            <v>JONATHAN ANDRES ARDILES NUÑEZ</v>
          </cell>
          <cell r="B40" t="str">
            <v>15.056.140-K</v>
          </cell>
          <cell r="C40" t="str">
            <v>Chofer</v>
          </cell>
          <cell r="D40">
            <v>20</v>
          </cell>
          <cell r="E40">
            <v>0</v>
          </cell>
          <cell r="F40">
            <v>0</v>
          </cell>
          <cell r="G40">
            <v>0</v>
          </cell>
          <cell r="H40">
            <v>401566.67</v>
          </cell>
          <cell r="I40">
            <v>0</v>
          </cell>
          <cell r="J40">
            <v>0</v>
          </cell>
          <cell r="K40">
            <v>0</v>
          </cell>
          <cell r="L40">
            <v>401566.67</v>
          </cell>
        </row>
        <row r="41">
          <cell r="A41" t="str">
            <v>JUAN ANTONIO VEGA ESPINOZA</v>
          </cell>
          <cell r="B41" t="str">
            <v>16.581.290-5</v>
          </cell>
          <cell r="C41" t="str">
            <v>Ayudante Perforista</v>
          </cell>
          <cell r="D41">
            <v>10</v>
          </cell>
          <cell r="E41">
            <v>160.75</v>
          </cell>
          <cell r="F41">
            <v>120</v>
          </cell>
          <cell r="G41">
            <v>260500</v>
          </cell>
          <cell r="H41">
            <v>0</v>
          </cell>
          <cell r="I41">
            <v>9750</v>
          </cell>
          <cell r="J41">
            <v>125000</v>
          </cell>
          <cell r="K41">
            <v>0</v>
          </cell>
          <cell r="L41">
            <v>395250</v>
          </cell>
        </row>
        <row r="42">
          <cell r="A42" t="str">
            <v>CARLOS ANDRES ZAPATA SEGUEL</v>
          </cell>
          <cell r="B42" t="str">
            <v>17.775.054-9</v>
          </cell>
          <cell r="C42" t="str">
            <v>Ayudante Perforista</v>
          </cell>
          <cell r="D42">
            <v>20</v>
          </cell>
          <cell r="E42">
            <v>364.6</v>
          </cell>
          <cell r="F42">
            <v>180</v>
          </cell>
          <cell r="G42">
            <v>272700</v>
          </cell>
          <cell r="H42">
            <v>0</v>
          </cell>
          <cell r="I42">
            <v>26225</v>
          </cell>
          <cell r="J42">
            <v>125000</v>
          </cell>
          <cell r="K42">
            <v>0</v>
          </cell>
          <cell r="L42">
            <v>423925</v>
          </cell>
        </row>
        <row r="43">
          <cell r="A43" t="str">
            <v>GUMERCINDO DEL ROSARIO PASTEN GUERRERO</v>
          </cell>
          <cell r="B43" t="str">
            <v>10.792.747-6</v>
          </cell>
          <cell r="C43" t="str">
            <v>Supervisor de Operaciones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602350</v>
          </cell>
          <cell r="I43">
            <v>0</v>
          </cell>
          <cell r="J43">
            <v>0</v>
          </cell>
          <cell r="K43">
            <v>0</v>
          </cell>
          <cell r="L43">
            <v>602350</v>
          </cell>
        </row>
        <row r="44">
          <cell r="A44" t="str">
            <v>JAIME NICOLAS CARVAJAL ALVARADO</v>
          </cell>
          <cell r="B44" t="str">
            <v>19.911.323-2</v>
          </cell>
          <cell r="C44" t="str">
            <v>Ayudante Perforista</v>
          </cell>
          <cell r="D44">
            <v>10</v>
          </cell>
          <cell r="E44">
            <v>378.35</v>
          </cell>
          <cell r="F44">
            <v>120</v>
          </cell>
          <cell r="G44">
            <v>238500</v>
          </cell>
          <cell r="H44">
            <v>0</v>
          </cell>
          <cell r="I44">
            <v>37887.5</v>
          </cell>
          <cell r="J44">
            <v>125000</v>
          </cell>
          <cell r="K44">
            <v>0</v>
          </cell>
          <cell r="L44">
            <v>401387.5</v>
          </cell>
        </row>
        <row r="45">
          <cell r="A45" t="str">
            <v>RODRIGO ANDRES ARAYA ROJAS</v>
          </cell>
          <cell r="B45" t="str">
            <v>13.423.391-5</v>
          </cell>
          <cell r="C45" t="str">
            <v>Supervisor de Operaciones</v>
          </cell>
          <cell r="D45">
            <v>10</v>
          </cell>
          <cell r="E45">
            <v>0</v>
          </cell>
          <cell r="F45">
            <v>0</v>
          </cell>
          <cell r="G45">
            <v>0</v>
          </cell>
          <cell r="H45">
            <v>301175</v>
          </cell>
          <cell r="I45">
            <v>0</v>
          </cell>
          <cell r="J45">
            <v>0</v>
          </cell>
          <cell r="K45">
            <v>0</v>
          </cell>
          <cell r="L45">
            <v>301175</v>
          </cell>
        </row>
        <row r="46">
          <cell r="A46" t="str">
            <v>MARIO ALBERTO AQUEA GONZALEZ</v>
          </cell>
          <cell r="B46" t="str">
            <v>21.637.836-9</v>
          </cell>
          <cell r="C46" t="str">
            <v>Ayudante Perforista</v>
          </cell>
          <cell r="D46">
            <v>8</v>
          </cell>
          <cell r="E46">
            <v>20.7</v>
          </cell>
          <cell r="F46">
            <v>24</v>
          </cell>
          <cell r="G46">
            <v>10350</v>
          </cell>
          <cell r="H46">
            <v>0</v>
          </cell>
          <cell r="I46">
            <v>0</v>
          </cell>
          <cell r="J46">
            <v>125000</v>
          </cell>
          <cell r="K46">
            <v>0</v>
          </cell>
          <cell r="L46">
            <v>135350</v>
          </cell>
        </row>
        <row r="47">
          <cell r="A47" t="str">
            <v>RODRIGO ALEJANDRO GONZALEZ RODRIGUEZ</v>
          </cell>
          <cell r="B47" t="str">
            <v>17.015.679-K</v>
          </cell>
          <cell r="C47" t="str">
            <v>Ayudante Perforista</v>
          </cell>
          <cell r="D47">
            <v>10</v>
          </cell>
          <cell r="E47">
            <v>360.25</v>
          </cell>
          <cell r="F47">
            <v>120</v>
          </cell>
          <cell r="G47">
            <v>260500</v>
          </cell>
          <cell r="H47">
            <v>0</v>
          </cell>
          <cell r="I47">
            <v>42875</v>
          </cell>
          <cell r="J47">
            <v>125000</v>
          </cell>
          <cell r="K47">
            <v>0</v>
          </cell>
          <cell r="L47">
            <v>428375</v>
          </cell>
        </row>
        <row r="48">
          <cell r="A48" t="str">
            <v>JUAN MAURICIO TABILO ARAYA</v>
          </cell>
          <cell r="B48" t="str">
            <v>14.117.235-2</v>
          </cell>
          <cell r="C48" t="str">
            <v>Perforista</v>
          </cell>
          <cell r="D48">
            <v>10</v>
          </cell>
          <cell r="E48">
            <v>141.05000000000001</v>
          </cell>
          <cell r="F48">
            <v>120</v>
          </cell>
          <cell r="G48">
            <v>210487.5</v>
          </cell>
          <cell r="H48">
            <v>0</v>
          </cell>
          <cell r="I48">
            <v>5220</v>
          </cell>
          <cell r="J48">
            <v>0</v>
          </cell>
          <cell r="K48">
            <v>0</v>
          </cell>
          <cell r="L48">
            <v>215707.5</v>
          </cell>
        </row>
        <row r="49">
          <cell r="A49" t="str">
            <v>FABIAN SEGUNDO ALVARADO MUÑOZ</v>
          </cell>
          <cell r="B49" t="str">
            <v>11.210.318-K</v>
          </cell>
          <cell r="C49" t="str">
            <v>Bodeguero</v>
          </cell>
          <cell r="D49">
            <v>10</v>
          </cell>
          <cell r="E49">
            <v>0</v>
          </cell>
          <cell r="F49">
            <v>0</v>
          </cell>
          <cell r="G49">
            <v>0</v>
          </cell>
          <cell r="H49">
            <v>200783.33</v>
          </cell>
          <cell r="I49">
            <v>0</v>
          </cell>
          <cell r="J49">
            <v>0</v>
          </cell>
          <cell r="K49">
            <v>0</v>
          </cell>
          <cell r="L49">
            <v>200783.33</v>
          </cell>
        </row>
        <row r="50">
          <cell r="A50" t="str">
            <v>JILBERTO FRANCISCO ROJAS FERNANDEZ</v>
          </cell>
          <cell r="B50" t="str">
            <v>15.521.744-8</v>
          </cell>
          <cell r="C50" t="str">
            <v>Ayudante Perforista</v>
          </cell>
          <cell r="D50">
            <v>10</v>
          </cell>
          <cell r="E50">
            <v>185.05</v>
          </cell>
          <cell r="F50">
            <v>120</v>
          </cell>
          <cell r="G50">
            <v>184850</v>
          </cell>
          <cell r="H50">
            <v>0</v>
          </cell>
          <cell r="I50">
            <v>11250</v>
          </cell>
          <cell r="J50">
            <v>0</v>
          </cell>
          <cell r="K50">
            <v>0</v>
          </cell>
          <cell r="L50">
            <v>196100</v>
          </cell>
        </row>
        <row r="51">
          <cell r="A51" t="str">
            <v>JOSE LUIS FLORES FLORES</v>
          </cell>
          <cell r="B51" t="str">
            <v>15.494.173-8</v>
          </cell>
          <cell r="C51" t="str">
            <v>Ayudante Perforista</v>
          </cell>
          <cell r="D51">
            <v>10</v>
          </cell>
          <cell r="E51">
            <v>378.35</v>
          </cell>
          <cell r="F51">
            <v>120</v>
          </cell>
          <cell r="G51">
            <v>238500</v>
          </cell>
          <cell r="H51">
            <v>0</v>
          </cell>
          <cell r="I51">
            <v>37887.5</v>
          </cell>
          <cell r="J51">
            <v>125000</v>
          </cell>
          <cell r="K51">
            <v>0</v>
          </cell>
          <cell r="L51">
            <v>401387.5</v>
          </cell>
        </row>
        <row r="52">
          <cell r="A52" t="str">
            <v>IVAN ALEJANDRO SAN FRANCISCO ARDILES</v>
          </cell>
          <cell r="B52" t="str">
            <v>17.295.192-9</v>
          </cell>
          <cell r="C52" t="str">
            <v>Ayudante Perforista</v>
          </cell>
          <cell r="D52">
            <v>20</v>
          </cell>
          <cell r="E52">
            <v>253.5</v>
          </cell>
          <cell r="F52">
            <v>180</v>
          </cell>
          <cell r="G52">
            <v>277350</v>
          </cell>
          <cell r="H52">
            <v>0</v>
          </cell>
          <cell r="I52">
            <v>19350</v>
          </cell>
          <cell r="J52">
            <v>125000</v>
          </cell>
          <cell r="K52">
            <v>0</v>
          </cell>
          <cell r="L52">
            <v>421700</v>
          </cell>
        </row>
        <row r="53">
          <cell r="A53" t="str">
            <v>JUAN EDUARDO GONZALEZ ROMERO</v>
          </cell>
          <cell r="B53" t="str">
            <v>17.827.549-6</v>
          </cell>
          <cell r="C53" t="str">
            <v>Ayudante Perforista</v>
          </cell>
          <cell r="D53">
            <v>20</v>
          </cell>
          <cell r="E53">
            <v>376.5</v>
          </cell>
          <cell r="F53">
            <v>228</v>
          </cell>
          <cell r="G53">
            <v>295800</v>
          </cell>
          <cell r="H53">
            <v>0</v>
          </cell>
          <cell r="I53">
            <v>29487.5</v>
          </cell>
          <cell r="J53">
            <v>125000</v>
          </cell>
          <cell r="K53">
            <v>0</v>
          </cell>
          <cell r="L53">
            <v>450287.5</v>
          </cell>
        </row>
        <row r="54">
          <cell r="A54" t="str">
            <v>LEONARDO PATRICIO GATICA CASTRO</v>
          </cell>
          <cell r="B54" t="str">
            <v>18.520.647-5</v>
          </cell>
          <cell r="C54" t="str">
            <v>Soldador</v>
          </cell>
          <cell r="D54">
            <v>10</v>
          </cell>
          <cell r="E54">
            <v>0</v>
          </cell>
          <cell r="F54">
            <v>0</v>
          </cell>
          <cell r="G54">
            <v>0</v>
          </cell>
          <cell r="H54">
            <v>200783.33</v>
          </cell>
          <cell r="I54">
            <v>0</v>
          </cell>
          <cell r="J54">
            <v>0</v>
          </cell>
          <cell r="K54">
            <v>0</v>
          </cell>
          <cell r="L54">
            <v>200783.33</v>
          </cell>
        </row>
        <row r="55">
          <cell r="A55" t="str">
            <v>PAUL GIOVANNI BRIONES BRIONES</v>
          </cell>
          <cell r="B55" t="str">
            <v>17.626.566-3</v>
          </cell>
          <cell r="C55" t="str">
            <v>Perforista</v>
          </cell>
          <cell r="D55">
            <v>10</v>
          </cell>
          <cell r="E55">
            <v>160.75</v>
          </cell>
          <cell r="F55">
            <v>120</v>
          </cell>
          <cell r="G55">
            <v>390750</v>
          </cell>
          <cell r="H55">
            <v>0</v>
          </cell>
          <cell r="I55">
            <v>14625</v>
          </cell>
          <cell r="J55">
            <v>250000</v>
          </cell>
          <cell r="K55">
            <v>0</v>
          </cell>
          <cell r="L55">
            <v>655375</v>
          </cell>
        </row>
        <row r="56">
          <cell r="A56" t="str">
            <v>JUAN CARLOS MAURICIO ARAYA CAMPAÑA</v>
          </cell>
          <cell r="B56" t="str">
            <v>20.406.500-4</v>
          </cell>
          <cell r="C56" t="str">
            <v>Soldador</v>
          </cell>
          <cell r="D56">
            <v>20</v>
          </cell>
          <cell r="E56">
            <v>0</v>
          </cell>
          <cell r="F56">
            <v>0</v>
          </cell>
          <cell r="G56">
            <v>0</v>
          </cell>
          <cell r="H56">
            <v>401566.67</v>
          </cell>
          <cell r="I56">
            <v>0</v>
          </cell>
          <cell r="J56">
            <v>0</v>
          </cell>
          <cell r="K56">
            <v>0</v>
          </cell>
          <cell r="L56">
            <v>401566.67</v>
          </cell>
        </row>
        <row r="57">
          <cell r="A57" t="str">
            <v>LUIS RENATO DE JESUS JIMENEZ VEGA</v>
          </cell>
          <cell r="B57" t="str">
            <v>17.294.428-0</v>
          </cell>
          <cell r="C57" t="str">
            <v>Chofer</v>
          </cell>
          <cell r="D57">
            <v>20</v>
          </cell>
          <cell r="E57">
            <v>0</v>
          </cell>
          <cell r="F57">
            <v>0</v>
          </cell>
          <cell r="G57">
            <v>0</v>
          </cell>
          <cell r="H57">
            <v>401566.67</v>
          </cell>
          <cell r="I57">
            <v>0</v>
          </cell>
          <cell r="J57">
            <v>0</v>
          </cell>
          <cell r="K57">
            <v>0</v>
          </cell>
          <cell r="L57">
            <v>401566.67</v>
          </cell>
        </row>
        <row r="58">
          <cell r="A58" t="str">
            <v>RODRIGO ALEJANDRO SANCHEZ ACUÑA</v>
          </cell>
          <cell r="B58" t="str">
            <v>16.603.465-5</v>
          </cell>
          <cell r="C58" t="str">
            <v>Perforista</v>
          </cell>
          <cell r="D58">
            <v>18</v>
          </cell>
          <cell r="E58">
            <v>356</v>
          </cell>
          <cell r="F58">
            <v>199.25</v>
          </cell>
          <cell r="G58">
            <v>236400</v>
          </cell>
          <cell r="H58">
            <v>0</v>
          </cell>
          <cell r="I58">
            <v>3600</v>
          </cell>
          <cell r="J58">
            <v>0</v>
          </cell>
          <cell r="K58">
            <v>0</v>
          </cell>
          <cell r="L58">
            <v>240000</v>
          </cell>
        </row>
        <row r="59">
          <cell r="A59" t="str">
            <v>LEONARDO IVAN MUNDACA PEREZ</v>
          </cell>
          <cell r="B59" t="str">
            <v>12.441.529-2</v>
          </cell>
          <cell r="C59" t="str">
            <v>Electromecánico</v>
          </cell>
          <cell r="D59">
            <v>20</v>
          </cell>
          <cell r="E59">
            <v>0</v>
          </cell>
          <cell r="F59">
            <v>0</v>
          </cell>
          <cell r="G59">
            <v>0</v>
          </cell>
          <cell r="H59">
            <v>401566.67</v>
          </cell>
          <cell r="I59">
            <v>0</v>
          </cell>
          <cell r="J59">
            <v>0</v>
          </cell>
          <cell r="K59">
            <v>0</v>
          </cell>
          <cell r="L59">
            <v>401566.67</v>
          </cell>
        </row>
        <row r="60">
          <cell r="A60" t="str">
            <v>ROBERTO CARLOS NUÑEZ GONZALEZ</v>
          </cell>
          <cell r="B60" t="str">
            <v>12.419.789-9</v>
          </cell>
          <cell r="C60" t="str">
            <v>Administrador de Contrato</v>
          </cell>
          <cell r="D60">
            <v>18</v>
          </cell>
          <cell r="E60">
            <v>0</v>
          </cell>
          <cell r="F60">
            <v>0</v>
          </cell>
          <cell r="G60">
            <v>0</v>
          </cell>
          <cell r="H60">
            <v>542115</v>
          </cell>
          <cell r="I60">
            <v>0</v>
          </cell>
          <cell r="J60">
            <v>0</v>
          </cell>
          <cell r="K60">
            <v>0</v>
          </cell>
          <cell r="L60">
            <v>542115</v>
          </cell>
        </row>
        <row r="61">
          <cell r="A61" t="str">
            <v>NESTOR RENE SUAREZ MORALES</v>
          </cell>
          <cell r="B61" t="str">
            <v>15.061.835-5</v>
          </cell>
          <cell r="C61" t="str">
            <v>Perforista</v>
          </cell>
          <cell r="D61">
            <v>20</v>
          </cell>
          <cell r="E61">
            <v>466</v>
          </cell>
          <cell r="F61">
            <v>211.25</v>
          </cell>
          <cell r="G61">
            <v>273600</v>
          </cell>
          <cell r="H61">
            <v>0</v>
          </cell>
          <cell r="I61">
            <v>10200</v>
          </cell>
          <cell r="J61">
            <v>0</v>
          </cell>
          <cell r="K61">
            <v>0</v>
          </cell>
          <cell r="L61">
            <v>283800</v>
          </cell>
        </row>
        <row r="62">
          <cell r="A62" t="str">
            <v>PEDRO BALDOMERO LOPEZ ARAYA</v>
          </cell>
          <cell r="B62" t="str">
            <v>20.600.531-9</v>
          </cell>
          <cell r="C62" t="str">
            <v>Mecánico</v>
          </cell>
          <cell r="D62">
            <v>10</v>
          </cell>
          <cell r="E62">
            <v>0</v>
          </cell>
          <cell r="F62">
            <v>0</v>
          </cell>
          <cell r="G62">
            <v>0</v>
          </cell>
          <cell r="H62">
            <v>200783.33</v>
          </cell>
          <cell r="I62">
            <v>0</v>
          </cell>
          <cell r="J62">
            <v>0</v>
          </cell>
          <cell r="K62">
            <v>0</v>
          </cell>
          <cell r="L62">
            <v>200783.33</v>
          </cell>
        </row>
        <row r="63">
          <cell r="A63" t="str">
            <v>MARCO ANDRES ROJAS ROJAS</v>
          </cell>
          <cell r="B63" t="str">
            <v>16.442.547-9</v>
          </cell>
          <cell r="C63" t="str">
            <v>Perforista</v>
          </cell>
          <cell r="D63">
            <v>10</v>
          </cell>
          <cell r="E63">
            <v>360.25</v>
          </cell>
          <cell r="F63">
            <v>120</v>
          </cell>
          <cell r="G63">
            <v>390750</v>
          </cell>
          <cell r="H63">
            <v>0</v>
          </cell>
          <cell r="I63">
            <v>64312.5</v>
          </cell>
          <cell r="J63">
            <v>250000</v>
          </cell>
          <cell r="K63">
            <v>0</v>
          </cell>
          <cell r="L63">
            <v>705062.5</v>
          </cell>
        </row>
        <row r="64">
          <cell r="A64" t="str">
            <v>MILENCO ALEXIS MOYANO GUERRERO</v>
          </cell>
          <cell r="B64" t="str">
            <v>16.550.436-4</v>
          </cell>
          <cell r="C64" t="str">
            <v>Perforista</v>
          </cell>
          <cell r="D64">
            <v>10</v>
          </cell>
          <cell r="E64">
            <v>360.25</v>
          </cell>
          <cell r="F64">
            <v>120</v>
          </cell>
          <cell r="G64">
            <v>390750</v>
          </cell>
          <cell r="H64">
            <v>0</v>
          </cell>
          <cell r="I64">
            <v>64312.5</v>
          </cell>
          <cell r="J64">
            <v>250000</v>
          </cell>
          <cell r="K64">
            <v>0</v>
          </cell>
          <cell r="L64">
            <v>705062.5</v>
          </cell>
        </row>
        <row r="65">
          <cell r="A65" t="str">
            <v>MANUEL ANDRES LISAMBARTH CARABANTES</v>
          </cell>
          <cell r="B65" t="str">
            <v>16.892.086-5</v>
          </cell>
          <cell r="C65" t="str">
            <v>Administrativo Avanzado</v>
          </cell>
          <cell r="D65">
            <v>10</v>
          </cell>
          <cell r="E65">
            <v>0</v>
          </cell>
          <cell r="F65">
            <v>0</v>
          </cell>
          <cell r="G65">
            <v>0</v>
          </cell>
          <cell r="H65">
            <v>200783.33</v>
          </cell>
          <cell r="I65">
            <v>0</v>
          </cell>
          <cell r="J65">
            <v>0</v>
          </cell>
          <cell r="K65">
            <v>0</v>
          </cell>
          <cell r="L65">
            <v>200783.33</v>
          </cell>
        </row>
        <row r="66">
          <cell r="A66" t="str">
            <v>PEDRO GABRIEL NARANJO ACUÑA</v>
          </cell>
          <cell r="B66" t="str">
            <v>14.310.737-K</v>
          </cell>
          <cell r="C66" t="str">
            <v>Mecánico</v>
          </cell>
          <cell r="D66">
            <v>10</v>
          </cell>
          <cell r="E66">
            <v>0</v>
          </cell>
          <cell r="F66">
            <v>0</v>
          </cell>
          <cell r="G66">
            <v>0</v>
          </cell>
          <cell r="H66">
            <v>200783.33</v>
          </cell>
          <cell r="I66">
            <v>0</v>
          </cell>
          <cell r="J66">
            <v>0</v>
          </cell>
          <cell r="K66">
            <v>0</v>
          </cell>
          <cell r="L66">
            <v>200783.33</v>
          </cell>
        </row>
        <row r="67">
          <cell r="A67" t="str">
            <v>HUGO ITALO NUÑEZ PENDOLA</v>
          </cell>
          <cell r="B67" t="str">
            <v>13.904.830-K</v>
          </cell>
          <cell r="C67" t="str">
            <v>Chofer</v>
          </cell>
          <cell r="D67">
            <v>10</v>
          </cell>
          <cell r="E67">
            <v>0</v>
          </cell>
          <cell r="F67">
            <v>0</v>
          </cell>
          <cell r="G67">
            <v>0</v>
          </cell>
          <cell r="H67">
            <v>200783.33</v>
          </cell>
          <cell r="I67">
            <v>0</v>
          </cell>
          <cell r="J67">
            <v>0</v>
          </cell>
          <cell r="K67">
            <v>0</v>
          </cell>
          <cell r="L67">
            <v>200783.33</v>
          </cell>
        </row>
        <row r="68">
          <cell r="A68" t="str">
            <v>LUIS ALBERT CHAMBLAS CARTE</v>
          </cell>
          <cell r="B68" t="str">
            <v>13.411.442-8</v>
          </cell>
          <cell r="C68" t="str">
            <v>Ayudante Perforista</v>
          </cell>
          <cell r="D68">
            <v>10</v>
          </cell>
          <cell r="E68">
            <v>324</v>
          </cell>
          <cell r="F68">
            <v>120</v>
          </cell>
          <cell r="G68">
            <v>90400</v>
          </cell>
          <cell r="H68">
            <v>0</v>
          </cell>
          <cell r="I68">
            <v>5600</v>
          </cell>
          <cell r="J68">
            <v>0</v>
          </cell>
          <cell r="K68">
            <v>0</v>
          </cell>
          <cell r="L68">
            <v>96000</v>
          </cell>
        </row>
        <row r="69">
          <cell r="A69" t="str">
            <v>JONATHAN FERNANDO BARRIOS GODOY</v>
          </cell>
          <cell r="B69" t="str">
            <v>15.031.055-5</v>
          </cell>
          <cell r="C69" t="str">
            <v>Mecánico</v>
          </cell>
          <cell r="D69">
            <v>10</v>
          </cell>
          <cell r="E69">
            <v>0</v>
          </cell>
          <cell r="F69">
            <v>0</v>
          </cell>
          <cell r="G69">
            <v>0</v>
          </cell>
          <cell r="H69">
            <v>200783.33</v>
          </cell>
          <cell r="I69">
            <v>0</v>
          </cell>
          <cell r="J69">
            <v>0</v>
          </cell>
          <cell r="K69">
            <v>0</v>
          </cell>
          <cell r="L69">
            <v>200783.33</v>
          </cell>
        </row>
        <row r="70">
          <cell r="A70" t="str">
            <v>JENNIFER ALEJANDRA SOTO FLORES</v>
          </cell>
          <cell r="B70" t="str">
            <v>19.825.638-2</v>
          </cell>
          <cell r="C70" t="str">
            <v>Bodeguero</v>
          </cell>
          <cell r="D70">
            <v>10</v>
          </cell>
          <cell r="E70">
            <v>0</v>
          </cell>
          <cell r="F70">
            <v>0</v>
          </cell>
          <cell r="G70">
            <v>0</v>
          </cell>
          <cell r="H70">
            <v>200783.33</v>
          </cell>
          <cell r="I70">
            <v>0</v>
          </cell>
          <cell r="J70">
            <v>0</v>
          </cell>
          <cell r="K70">
            <v>0</v>
          </cell>
          <cell r="L70">
            <v>200783.33</v>
          </cell>
        </row>
        <row r="71">
          <cell r="A71" t="str">
            <v>KAZUKI CASTRO HOHMANN</v>
          </cell>
          <cell r="B71" t="str">
            <v>19.454.353-0</v>
          </cell>
          <cell r="C71" t="str">
            <v>Ayudante Perforista</v>
          </cell>
          <cell r="D71">
            <v>20</v>
          </cell>
          <cell r="E71">
            <v>292.60000000000002</v>
          </cell>
          <cell r="F71">
            <v>144</v>
          </cell>
          <cell r="G71">
            <v>140250</v>
          </cell>
          <cell r="H71">
            <v>0</v>
          </cell>
          <cell r="I71">
            <v>6462.5</v>
          </cell>
          <cell r="J71">
            <v>125000</v>
          </cell>
          <cell r="K71">
            <v>0</v>
          </cell>
          <cell r="L71">
            <v>271712.5</v>
          </cell>
        </row>
        <row r="72">
          <cell r="A72" t="str">
            <v>SEBASTIAN ENRIQUE SASSO ARAYA</v>
          </cell>
          <cell r="B72" t="str">
            <v>16.133.155-4</v>
          </cell>
          <cell r="C72" t="str">
            <v>Perforista</v>
          </cell>
          <cell r="D72">
            <v>4</v>
          </cell>
          <cell r="E72">
            <v>128</v>
          </cell>
          <cell r="F72">
            <v>48</v>
          </cell>
          <cell r="G72">
            <v>78000</v>
          </cell>
          <cell r="H72">
            <v>0</v>
          </cell>
          <cell r="I72">
            <v>4200</v>
          </cell>
          <cell r="J72">
            <v>0</v>
          </cell>
          <cell r="K72">
            <v>0</v>
          </cell>
          <cell r="L72">
            <v>82200</v>
          </cell>
        </row>
        <row r="73">
          <cell r="A73" t="str">
            <v>PATRICIO COLLO VEGA GONZALEZ</v>
          </cell>
          <cell r="B73" t="str">
            <v>13.743.972-7</v>
          </cell>
          <cell r="C73" t="str">
            <v>Ayudante Perforista</v>
          </cell>
          <cell r="D73">
            <v>20</v>
          </cell>
          <cell r="E73">
            <v>111</v>
          </cell>
          <cell r="F73">
            <v>60</v>
          </cell>
          <cell r="G73">
            <v>103350</v>
          </cell>
          <cell r="H73">
            <v>0</v>
          </cell>
          <cell r="I73">
            <v>11250</v>
          </cell>
          <cell r="J73">
            <v>125000</v>
          </cell>
          <cell r="K73">
            <v>0</v>
          </cell>
          <cell r="L73">
            <v>239600</v>
          </cell>
        </row>
        <row r="74">
          <cell r="A74" t="str">
            <v>NELSON ANDRES CASTRO AVALOS</v>
          </cell>
          <cell r="B74" t="str">
            <v>17.624.527-1</v>
          </cell>
          <cell r="C74" t="str">
            <v>Perforista</v>
          </cell>
          <cell r="D74">
            <v>20</v>
          </cell>
          <cell r="E74">
            <v>306.05</v>
          </cell>
          <cell r="F74">
            <v>192</v>
          </cell>
          <cell r="G74">
            <v>428550</v>
          </cell>
          <cell r="H74">
            <v>0</v>
          </cell>
          <cell r="I74">
            <v>38025</v>
          </cell>
          <cell r="J74">
            <v>250000</v>
          </cell>
          <cell r="K74">
            <v>0</v>
          </cell>
          <cell r="L74">
            <v>716575</v>
          </cell>
        </row>
        <row r="75">
          <cell r="A75" t="str">
            <v>RODRIGO ALEJANDRO AVILES VERGARA</v>
          </cell>
          <cell r="B75" t="str">
            <v>15.232.639-4</v>
          </cell>
          <cell r="C75" t="str">
            <v>Perforista</v>
          </cell>
          <cell r="D75">
            <v>10</v>
          </cell>
          <cell r="E75">
            <v>309</v>
          </cell>
          <cell r="F75">
            <v>120</v>
          </cell>
          <cell r="G75">
            <v>144600</v>
          </cell>
          <cell r="H75">
            <v>0</v>
          </cell>
          <cell r="I75">
            <v>8400</v>
          </cell>
          <cell r="J75">
            <v>0</v>
          </cell>
          <cell r="K75">
            <v>0</v>
          </cell>
          <cell r="L75">
            <v>153000</v>
          </cell>
        </row>
        <row r="76">
          <cell r="A76" t="str">
            <v>RAMON ALEJANDRO RIVERA GONZALEZ</v>
          </cell>
          <cell r="B76" t="str">
            <v>18.219.407-7</v>
          </cell>
          <cell r="C76" t="str">
            <v>Ayudante Perforista</v>
          </cell>
          <cell r="D76">
            <v>20</v>
          </cell>
          <cell r="E76">
            <v>466</v>
          </cell>
          <cell r="F76">
            <v>211.25</v>
          </cell>
          <cell r="G76">
            <v>182400</v>
          </cell>
          <cell r="H76">
            <v>0</v>
          </cell>
          <cell r="I76">
            <v>6800</v>
          </cell>
          <cell r="J76">
            <v>0</v>
          </cell>
          <cell r="K76">
            <v>0</v>
          </cell>
          <cell r="L76">
            <v>189200</v>
          </cell>
        </row>
        <row r="77">
          <cell r="A77" t="str">
            <v>ANDRES ALEJANDRO VALENCIA CAMPOS</v>
          </cell>
          <cell r="B77" t="str">
            <v>14.903.561-3</v>
          </cell>
          <cell r="C77" t="str">
            <v>Supervisor de Operaciones</v>
          </cell>
          <cell r="D77">
            <v>20</v>
          </cell>
          <cell r="E77">
            <v>0</v>
          </cell>
          <cell r="F77">
            <v>0</v>
          </cell>
          <cell r="G77">
            <v>0</v>
          </cell>
          <cell r="H77">
            <v>602350</v>
          </cell>
          <cell r="I77">
            <v>0</v>
          </cell>
          <cell r="J77">
            <v>0</v>
          </cell>
          <cell r="K77">
            <v>0</v>
          </cell>
          <cell r="L77">
            <v>602350</v>
          </cell>
        </row>
        <row r="78">
          <cell r="A78" t="str">
            <v>VICTOR IGNACIO HENRIQUEZ VARGAS</v>
          </cell>
          <cell r="B78" t="str">
            <v>19.347.572-8</v>
          </cell>
          <cell r="C78" t="str">
            <v>Ayudante Perforista</v>
          </cell>
          <cell r="D78">
            <v>10</v>
          </cell>
          <cell r="E78">
            <v>360.25</v>
          </cell>
          <cell r="F78">
            <v>120</v>
          </cell>
          <cell r="G78">
            <v>260500</v>
          </cell>
          <cell r="H78">
            <v>0</v>
          </cell>
          <cell r="I78">
            <v>42875</v>
          </cell>
          <cell r="J78">
            <v>125000</v>
          </cell>
          <cell r="K78">
            <v>0</v>
          </cell>
          <cell r="L78">
            <v>428375</v>
          </cell>
        </row>
        <row r="79">
          <cell r="A79" t="str">
            <v>SEBASTIAN ALFONSO PERALTA CORTES</v>
          </cell>
          <cell r="B79" t="str">
            <v>19.349.419-6</v>
          </cell>
          <cell r="C79" t="str">
            <v>Ayudante Perforista</v>
          </cell>
          <cell r="D79">
            <v>10</v>
          </cell>
          <cell r="E79">
            <v>133.6</v>
          </cell>
          <cell r="F79">
            <v>120</v>
          </cell>
          <cell r="G79">
            <v>143325</v>
          </cell>
          <cell r="H79">
            <v>0</v>
          </cell>
          <cell r="I79">
            <v>1190</v>
          </cell>
          <cell r="J79">
            <v>0</v>
          </cell>
          <cell r="K79">
            <v>0</v>
          </cell>
          <cell r="L79">
            <v>144515</v>
          </cell>
        </row>
        <row r="80">
          <cell r="A80" t="str">
            <v>CARLOS JAVIER ALVAREZ RIVERA</v>
          </cell>
          <cell r="B80" t="str">
            <v>18.710.376-2</v>
          </cell>
          <cell r="C80" t="str">
            <v>Ayudante Perforista</v>
          </cell>
          <cell r="D80">
            <v>10</v>
          </cell>
          <cell r="E80">
            <v>179.05</v>
          </cell>
          <cell r="F80">
            <v>120</v>
          </cell>
          <cell r="G80">
            <v>233000</v>
          </cell>
          <cell r="H80">
            <v>0</v>
          </cell>
          <cell r="I80">
            <v>3940</v>
          </cell>
          <cell r="J80">
            <v>125000</v>
          </cell>
          <cell r="K80">
            <v>0</v>
          </cell>
          <cell r="L80">
            <v>361940</v>
          </cell>
        </row>
        <row r="81">
          <cell r="A81" t="str">
            <v>DANIEL ALEJANDRO YAÑEZ VARAS</v>
          </cell>
          <cell r="B81" t="str">
            <v>16.772.735-2</v>
          </cell>
          <cell r="C81" t="str">
            <v>Ayudante Perforista</v>
          </cell>
          <cell r="D81">
            <v>10</v>
          </cell>
          <cell r="E81">
            <v>141.05000000000001</v>
          </cell>
          <cell r="F81">
            <v>120</v>
          </cell>
          <cell r="G81">
            <v>143325</v>
          </cell>
          <cell r="H81">
            <v>0</v>
          </cell>
          <cell r="I81">
            <v>4060</v>
          </cell>
          <cell r="J81">
            <v>0</v>
          </cell>
          <cell r="K81">
            <v>0</v>
          </cell>
          <cell r="L81">
            <v>147385</v>
          </cell>
        </row>
        <row r="82">
          <cell r="A82" t="str">
            <v>CLAUDIO ANDRES FERNANDEZ CASTILLO</v>
          </cell>
          <cell r="B82" t="str">
            <v>17.118.820-2</v>
          </cell>
          <cell r="C82" t="str">
            <v>Administrativo Avanzado</v>
          </cell>
          <cell r="D82">
            <v>20</v>
          </cell>
          <cell r="E82">
            <v>0</v>
          </cell>
          <cell r="F82">
            <v>0</v>
          </cell>
          <cell r="G82">
            <v>0</v>
          </cell>
          <cell r="H82">
            <v>401566.67</v>
          </cell>
          <cell r="I82">
            <v>0</v>
          </cell>
          <cell r="J82">
            <v>0</v>
          </cell>
          <cell r="K82">
            <v>0</v>
          </cell>
          <cell r="L82">
            <v>401566.67</v>
          </cell>
        </row>
        <row r="83">
          <cell r="A83" t="str">
            <v>FELIX JOEL CASTILLO VALDIVIA</v>
          </cell>
          <cell r="B83" t="str">
            <v>16.581.787-7</v>
          </cell>
          <cell r="C83" t="str">
            <v>Soldador</v>
          </cell>
          <cell r="D83">
            <v>1</v>
          </cell>
          <cell r="E83">
            <v>0</v>
          </cell>
          <cell r="F83">
            <v>0</v>
          </cell>
          <cell r="G83">
            <v>0</v>
          </cell>
          <cell r="H83">
            <v>20078.330000000002</v>
          </cell>
          <cell r="I83">
            <v>0</v>
          </cell>
          <cell r="J83">
            <v>0</v>
          </cell>
          <cell r="K83">
            <v>0</v>
          </cell>
          <cell r="L83">
            <v>20078.330000000002</v>
          </cell>
        </row>
        <row r="84">
          <cell r="A84" t="str">
            <v>JUAN IGNACIO CORTES GONZALEZ</v>
          </cell>
          <cell r="B84" t="str">
            <v>17.629.034-K</v>
          </cell>
          <cell r="C84" t="str">
            <v>Perforista</v>
          </cell>
          <cell r="D84">
            <v>20</v>
          </cell>
          <cell r="E84">
            <v>253.5</v>
          </cell>
          <cell r="F84">
            <v>180</v>
          </cell>
          <cell r="G84">
            <v>416025</v>
          </cell>
          <cell r="H84">
            <v>0</v>
          </cell>
          <cell r="I84">
            <v>29025</v>
          </cell>
          <cell r="J84">
            <v>250000</v>
          </cell>
          <cell r="K84">
            <v>0</v>
          </cell>
          <cell r="L84">
            <v>695050</v>
          </cell>
        </row>
        <row r="85">
          <cell r="A85" t="str">
            <v>MANUEL ANTONIO ESCALONA VERA</v>
          </cell>
          <cell r="B85" t="str">
            <v>16.280.454-5</v>
          </cell>
          <cell r="C85" t="str">
            <v>Perforista</v>
          </cell>
          <cell r="D85">
            <v>20</v>
          </cell>
          <cell r="E85">
            <v>253.5</v>
          </cell>
          <cell r="F85">
            <v>180</v>
          </cell>
          <cell r="G85">
            <v>416025</v>
          </cell>
          <cell r="H85">
            <v>0</v>
          </cell>
          <cell r="I85">
            <v>29025</v>
          </cell>
          <cell r="J85">
            <v>250000</v>
          </cell>
          <cell r="K85">
            <v>0</v>
          </cell>
          <cell r="L85">
            <v>695050</v>
          </cell>
        </row>
        <row r="86">
          <cell r="A86" t="str">
            <v>LUIS DAVID LORCA SANCHEZ</v>
          </cell>
          <cell r="B86" t="str">
            <v>18.688.482-5</v>
          </cell>
          <cell r="C86" t="str">
            <v>Prevencionista de Riesgos</v>
          </cell>
          <cell r="D86">
            <v>10</v>
          </cell>
          <cell r="E86">
            <v>0</v>
          </cell>
          <cell r="F86">
            <v>0</v>
          </cell>
          <cell r="G86">
            <v>0</v>
          </cell>
          <cell r="H86">
            <v>301175</v>
          </cell>
          <cell r="I86">
            <v>0</v>
          </cell>
          <cell r="J86">
            <v>0</v>
          </cell>
          <cell r="K86">
            <v>0</v>
          </cell>
          <cell r="L86">
            <v>301175</v>
          </cell>
        </row>
        <row r="87">
          <cell r="A87" t="str">
            <v>WILLIAMS RENAN ASTROZA INOSTROZA</v>
          </cell>
          <cell r="B87" t="str">
            <v>10.997.323-8</v>
          </cell>
          <cell r="C87" t="str">
            <v>Chofer</v>
          </cell>
          <cell r="D87">
            <v>20</v>
          </cell>
          <cell r="E87">
            <v>0</v>
          </cell>
          <cell r="F87">
            <v>0</v>
          </cell>
          <cell r="G87">
            <v>0</v>
          </cell>
          <cell r="H87">
            <v>401566.67</v>
          </cell>
          <cell r="I87">
            <v>0</v>
          </cell>
          <cell r="J87">
            <v>0</v>
          </cell>
          <cell r="K87">
            <v>0</v>
          </cell>
          <cell r="L87">
            <v>401566.67</v>
          </cell>
        </row>
        <row r="88">
          <cell r="A88" t="str">
            <v>RODRIGO FERNANDO ALFARO VEAS</v>
          </cell>
          <cell r="B88" t="str">
            <v>12.219.201-6</v>
          </cell>
          <cell r="C88" t="str">
            <v>Líder de Prevención</v>
          </cell>
          <cell r="D88">
            <v>15</v>
          </cell>
          <cell r="E88">
            <v>0</v>
          </cell>
          <cell r="F88">
            <v>0</v>
          </cell>
          <cell r="G88">
            <v>0</v>
          </cell>
          <cell r="H88">
            <v>451762.5</v>
          </cell>
          <cell r="I88">
            <v>0</v>
          </cell>
          <cell r="J88">
            <v>0</v>
          </cell>
          <cell r="K88">
            <v>0</v>
          </cell>
          <cell r="L88">
            <v>451762.5</v>
          </cell>
        </row>
        <row r="89">
          <cell r="A89" t="str">
            <v>VICTOR IGNACIO PEREZ LORCA</v>
          </cell>
          <cell r="B89" t="str">
            <v>21.303.273-9</v>
          </cell>
          <cell r="C89" t="str">
            <v>Ayudante Perforista</v>
          </cell>
          <cell r="D89">
            <v>10</v>
          </cell>
          <cell r="E89">
            <v>194.2</v>
          </cell>
          <cell r="F89">
            <v>120</v>
          </cell>
          <cell r="G89">
            <v>96325</v>
          </cell>
          <cell r="H89">
            <v>0</v>
          </cell>
          <cell r="I89">
            <v>4600</v>
          </cell>
          <cell r="J89">
            <v>0</v>
          </cell>
          <cell r="K89">
            <v>0</v>
          </cell>
          <cell r="L89">
            <v>100925</v>
          </cell>
        </row>
        <row r="90">
          <cell r="A90" t="str">
            <v>RODRIGO ARMANDO FERNANDEZ BRICEÑO</v>
          </cell>
          <cell r="B90" t="str">
            <v>16.058.317-7</v>
          </cell>
          <cell r="C90" t="str">
            <v>Ayudante Perforista</v>
          </cell>
          <cell r="D90">
            <v>10</v>
          </cell>
          <cell r="E90">
            <v>169.45</v>
          </cell>
          <cell r="F90">
            <v>120</v>
          </cell>
          <cell r="G90">
            <v>102325</v>
          </cell>
          <cell r="H90">
            <v>0</v>
          </cell>
          <cell r="I90">
            <v>2800</v>
          </cell>
          <cell r="J90">
            <v>0</v>
          </cell>
          <cell r="K90">
            <v>0</v>
          </cell>
          <cell r="L90">
            <v>105125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ALBERTO PATRICIO CALDERON CA"/>
      <sheetName val="ALEX EDUARDO TABILO RIVERA"/>
      <sheetName val="CRISTIAN EDUARDO CARVAJAL JA"/>
      <sheetName val="CRISTIAN NICOLAS SAMBRA TORR"/>
      <sheetName val="CARLOS ANDRES CORNEJO OSORIO"/>
      <sheetName val="CARLOS ROBINSON VALDES PAEZ"/>
      <sheetName val="JAVIER EDUARDO CATALAN ESPIN"/>
      <sheetName val="JULIO ANDRES CISTERNAS ROJAS"/>
      <sheetName val="JOEL ANDRES CARO GALLARDO"/>
      <sheetName val="SEBASTIAN ALFONSO RAMOS ESQU"/>
      <sheetName val="MICHAEL IGNACIO VALENCIA MUÑ"/>
      <sheetName val="NIBALDO ENRIQUE CASTRO CORTE"/>
      <sheetName val="JUAN FRANCISCO LAMAS HIDALGO"/>
      <sheetName val="PABLO ANDRES ALBARNEZ LOPEZ"/>
      <sheetName val="SEBASTIAN ANDRES BRICEÑO GAL"/>
      <sheetName val="CRISTIAN ALBERTO MARÍN CORTE"/>
      <sheetName val="DUBAN ANDRES CONTRERAS BORDO"/>
      <sheetName val="DANIEL ANDRES MARTINEZ GONZA"/>
      <sheetName val="FERNANDO ANDRES ARDILES PISA"/>
      <sheetName val="CRISTOFER JESUS MALDONADO MO"/>
      <sheetName val="FRANCISCO ALEJANDRO ARAYA BA"/>
      <sheetName val="JOSE LUIS EDUARDO VASQUEZ SI"/>
      <sheetName val="JORGE ANDRE GUERRA CUBILLOS"/>
      <sheetName val="Tarifas y Reglas"/>
    </sheetNames>
    <sheetDataSet>
      <sheetData sheetId="0">
        <row r="5">
          <cell r="A5" t="str">
            <v>ALBERTO PATRICIO CALDERON CALDERON</v>
          </cell>
          <cell r="B5" t="str">
            <v>11.345.634-5</v>
          </cell>
          <cell r="C5" t="str">
            <v>Supervisor</v>
          </cell>
          <cell r="D5">
            <v>15</v>
          </cell>
          <cell r="E5">
            <v>117.5</v>
          </cell>
          <cell r="F5">
            <v>180</v>
          </cell>
          <cell r="G5">
            <v>0</v>
          </cell>
          <cell r="H5">
            <v>227220</v>
          </cell>
          <cell r="I5">
            <v>0</v>
          </cell>
          <cell r="J5">
            <v>0</v>
          </cell>
          <cell r="K5">
            <v>0</v>
          </cell>
          <cell r="L5">
            <v>227220</v>
          </cell>
        </row>
        <row r="6">
          <cell r="A6" t="str">
            <v>ALEX EDUARDO TABILO RIVERA</v>
          </cell>
          <cell r="B6" t="str">
            <v>14.313.865-8</v>
          </cell>
          <cell r="C6" t="str">
            <v>Perforista</v>
          </cell>
          <cell r="D6">
            <v>15</v>
          </cell>
          <cell r="E6">
            <v>80.900000000000006</v>
          </cell>
          <cell r="F6">
            <v>180</v>
          </cell>
          <cell r="G6">
            <v>209077.5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209077.5</v>
          </cell>
        </row>
        <row r="7">
          <cell r="A7" t="str">
            <v>CRISTIAN EDUARDO CARVAJAL JAIME</v>
          </cell>
          <cell r="B7" t="str">
            <v>12.806.491-5</v>
          </cell>
          <cell r="C7" t="str">
            <v>Perforista</v>
          </cell>
          <cell r="D7">
            <v>15</v>
          </cell>
          <cell r="E7">
            <v>117.5</v>
          </cell>
          <cell r="F7">
            <v>180</v>
          </cell>
          <cell r="G7">
            <v>209077.5</v>
          </cell>
          <cell r="H7">
            <v>0</v>
          </cell>
          <cell r="I7">
            <v>11700</v>
          </cell>
          <cell r="J7">
            <v>0</v>
          </cell>
          <cell r="K7">
            <v>0</v>
          </cell>
          <cell r="L7">
            <v>220777.5</v>
          </cell>
        </row>
        <row r="8">
          <cell r="A8" t="str">
            <v>CRISTIAN NICOLAS SAMBRA TORRES</v>
          </cell>
          <cell r="B8" t="str">
            <v>19.322.282-K</v>
          </cell>
          <cell r="C8" t="str">
            <v>Ayudante Perforista</v>
          </cell>
          <cell r="D8">
            <v>15</v>
          </cell>
          <cell r="E8">
            <v>196.15</v>
          </cell>
          <cell r="F8">
            <v>180</v>
          </cell>
          <cell r="G8">
            <v>163575</v>
          </cell>
          <cell r="H8">
            <v>0</v>
          </cell>
          <cell r="I8">
            <v>50962.5</v>
          </cell>
          <cell r="J8">
            <v>0</v>
          </cell>
          <cell r="K8">
            <v>0</v>
          </cell>
          <cell r="L8">
            <v>214537.5</v>
          </cell>
        </row>
        <row r="9">
          <cell r="A9" t="str">
            <v>CARLOS ANDRES CORNEJO OSORIO</v>
          </cell>
          <cell r="B9" t="str">
            <v>13.049.877-9</v>
          </cell>
          <cell r="C9" t="str">
            <v>Supervisor</v>
          </cell>
          <cell r="D9">
            <v>15</v>
          </cell>
          <cell r="E9">
            <v>131</v>
          </cell>
          <cell r="F9">
            <v>180</v>
          </cell>
          <cell r="G9">
            <v>0</v>
          </cell>
          <cell r="H9">
            <v>227220</v>
          </cell>
          <cell r="I9">
            <v>0</v>
          </cell>
          <cell r="J9">
            <v>0</v>
          </cell>
          <cell r="K9">
            <v>0</v>
          </cell>
          <cell r="L9">
            <v>227220</v>
          </cell>
        </row>
        <row r="10">
          <cell r="A10" t="str">
            <v>CARLOS ROBINSON VALDES PAEZ</v>
          </cell>
          <cell r="B10" t="str">
            <v>15.570.854-9</v>
          </cell>
          <cell r="C10" t="str">
            <v>Perforista</v>
          </cell>
          <cell r="D10">
            <v>15</v>
          </cell>
          <cell r="E10">
            <v>131</v>
          </cell>
          <cell r="F10">
            <v>180</v>
          </cell>
          <cell r="G10">
            <v>245362.5</v>
          </cell>
          <cell r="H10">
            <v>0</v>
          </cell>
          <cell r="I10">
            <v>47700</v>
          </cell>
          <cell r="J10">
            <v>0</v>
          </cell>
          <cell r="K10">
            <v>0</v>
          </cell>
          <cell r="L10">
            <v>293062.5</v>
          </cell>
        </row>
        <row r="11">
          <cell r="A11" t="str">
            <v>JAVIER EDUARDO CATALAN ESPINOZA</v>
          </cell>
          <cell r="B11" t="str">
            <v>13.775.192-5</v>
          </cell>
          <cell r="C11" t="str">
            <v>Ayudante Perforista</v>
          </cell>
          <cell r="D11">
            <v>15</v>
          </cell>
          <cell r="E11">
            <v>196.15</v>
          </cell>
          <cell r="F11">
            <v>180</v>
          </cell>
          <cell r="G11">
            <v>163575</v>
          </cell>
          <cell r="H11">
            <v>0</v>
          </cell>
          <cell r="I11">
            <v>50962.5</v>
          </cell>
          <cell r="J11">
            <v>0</v>
          </cell>
          <cell r="K11">
            <v>0</v>
          </cell>
          <cell r="L11">
            <v>214537.5</v>
          </cell>
        </row>
        <row r="12">
          <cell r="A12" t="str">
            <v>JULIO ANDRES CISTERNAS ROJAS</v>
          </cell>
          <cell r="B12" t="str">
            <v>15.572.472-2</v>
          </cell>
          <cell r="C12" t="str">
            <v>Ayudante Perforista</v>
          </cell>
          <cell r="D12">
            <v>15</v>
          </cell>
          <cell r="E12">
            <v>80.900000000000006</v>
          </cell>
          <cell r="F12">
            <v>180</v>
          </cell>
          <cell r="G12">
            <v>152780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152780</v>
          </cell>
        </row>
        <row r="13">
          <cell r="A13" t="str">
            <v>JOEL ANDRES CARO GALLARDO</v>
          </cell>
          <cell r="B13" t="str">
            <v>18.403.993-1</v>
          </cell>
          <cell r="C13" t="str">
            <v>Conductor</v>
          </cell>
          <cell r="D13">
            <v>15</v>
          </cell>
          <cell r="E13">
            <v>80.900000000000006</v>
          </cell>
          <cell r="F13">
            <v>180</v>
          </cell>
          <cell r="G13">
            <v>0</v>
          </cell>
          <cell r="H13">
            <v>158177.5</v>
          </cell>
          <cell r="I13">
            <v>0</v>
          </cell>
          <cell r="J13">
            <v>0</v>
          </cell>
          <cell r="K13">
            <v>0</v>
          </cell>
          <cell r="L13">
            <v>158177.5</v>
          </cell>
        </row>
        <row r="14">
          <cell r="A14" t="str">
            <v>SEBASTIAN ALFONSO RAMOS ESQUIVEL</v>
          </cell>
          <cell r="B14" t="str">
            <v>14.099.614-9</v>
          </cell>
          <cell r="C14" t="str">
            <v>HSEC</v>
          </cell>
          <cell r="D14">
            <v>16</v>
          </cell>
          <cell r="E14">
            <v>123.65</v>
          </cell>
          <cell r="F14">
            <v>192</v>
          </cell>
          <cell r="G14">
            <v>0</v>
          </cell>
          <cell r="H14">
            <v>242368</v>
          </cell>
          <cell r="I14">
            <v>0</v>
          </cell>
          <cell r="J14">
            <v>0</v>
          </cell>
          <cell r="K14">
            <v>0</v>
          </cell>
          <cell r="L14">
            <v>242368</v>
          </cell>
        </row>
        <row r="15">
          <cell r="A15" t="str">
            <v>MICHAEL IGNACIO VALENCIA MUÑOZ</v>
          </cell>
          <cell r="B15" t="str">
            <v>19.753.292-0</v>
          </cell>
          <cell r="C15" t="str">
            <v>Ayudante Perforista</v>
          </cell>
          <cell r="D15">
            <v>15</v>
          </cell>
          <cell r="E15">
            <v>117.5</v>
          </cell>
          <cell r="F15">
            <v>180</v>
          </cell>
          <cell r="G15">
            <v>152780</v>
          </cell>
          <cell r="H15">
            <v>0</v>
          </cell>
          <cell r="I15">
            <v>8025</v>
          </cell>
          <cell r="J15">
            <v>0</v>
          </cell>
          <cell r="K15">
            <v>0</v>
          </cell>
          <cell r="L15">
            <v>160805</v>
          </cell>
        </row>
        <row r="16">
          <cell r="A16" t="str">
            <v>NIBALDO ENRIQUE CASTRO CORTES</v>
          </cell>
          <cell r="B16" t="str">
            <v>10.362.133-K</v>
          </cell>
          <cell r="C16" t="str">
            <v>Conductor</v>
          </cell>
          <cell r="D16">
            <v>15</v>
          </cell>
          <cell r="E16">
            <v>157.4</v>
          </cell>
          <cell r="F16">
            <v>180</v>
          </cell>
          <cell r="G16">
            <v>0</v>
          </cell>
          <cell r="H16">
            <v>158177.5</v>
          </cell>
          <cell r="I16">
            <v>0</v>
          </cell>
          <cell r="J16">
            <v>0</v>
          </cell>
          <cell r="K16">
            <v>0</v>
          </cell>
          <cell r="L16">
            <v>158177.5</v>
          </cell>
        </row>
        <row r="17">
          <cell r="A17" t="str">
            <v>JUAN FRANCISCO LAMAS HIDALGO</v>
          </cell>
          <cell r="B17" t="str">
            <v>17.625.404-1</v>
          </cell>
          <cell r="C17" t="str">
            <v>Ayudante Perforista</v>
          </cell>
          <cell r="D17">
            <v>15</v>
          </cell>
          <cell r="E17">
            <v>117.5</v>
          </cell>
          <cell r="F17">
            <v>180</v>
          </cell>
          <cell r="G17">
            <v>152780</v>
          </cell>
          <cell r="H17">
            <v>0</v>
          </cell>
          <cell r="I17">
            <v>8025</v>
          </cell>
          <cell r="J17">
            <v>0</v>
          </cell>
          <cell r="K17">
            <v>0</v>
          </cell>
          <cell r="L17">
            <v>160805</v>
          </cell>
        </row>
        <row r="18">
          <cell r="A18" t="str">
            <v>PABLO ANDRES ALBARNEZ LOPEZ</v>
          </cell>
          <cell r="B18" t="str">
            <v>14.117.289-1</v>
          </cell>
          <cell r="C18" t="str">
            <v>Perforista</v>
          </cell>
          <cell r="D18">
            <v>15</v>
          </cell>
          <cell r="E18">
            <v>196.15</v>
          </cell>
          <cell r="F18">
            <v>180</v>
          </cell>
          <cell r="G18">
            <v>245362.5</v>
          </cell>
          <cell r="H18">
            <v>0</v>
          </cell>
          <cell r="I18">
            <v>76443.75</v>
          </cell>
          <cell r="J18">
            <v>0</v>
          </cell>
          <cell r="K18">
            <v>0</v>
          </cell>
          <cell r="L18">
            <v>321806.25</v>
          </cell>
        </row>
        <row r="19">
          <cell r="A19" t="str">
            <v>SEBASTIAN ANDRES BRICEÑO GALLEGUILLOS</v>
          </cell>
          <cell r="B19" t="str">
            <v>17.643.890-8</v>
          </cell>
          <cell r="C19" t="str">
            <v>Ayudante Perforista</v>
          </cell>
          <cell r="D19">
            <v>15</v>
          </cell>
          <cell r="E19">
            <v>80.900000000000006</v>
          </cell>
          <cell r="F19">
            <v>180</v>
          </cell>
          <cell r="G19">
            <v>152780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152780</v>
          </cell>
        </row>
        <row r="20">
          <cell r="A20" t="str">
            <v>CRISTIAN ALBERTO MARÍN CORTES</v>
          </cell>
          <cell r="B20" t="str">
            <v>14.615.536-7</v>
          </cell>
          <cell r="C20" t="str">
            <v>Conductor</v>
          </cell>
          <cell r="D20">
            <v>15</v>
          </cell>
          <cell r="E20">
            <v>80.900000000000006</v>
          </cell>
          <cell r="F20">
            <v>180</v>
          </cell>
          <cell r="G20">
            <v>0</v>
          </cell>
          <cell r="H20">
            <v>158177.5</v>
          </cell>
          <cell r="I20">
            <v>0</v>
          </cell>
          <cell r="J20">
            <v>0</v>
          </cell>
          <cell r="K20">
            <v>0</v>
          </cell>
          <cell r="L20">
            <v>158177.5</v>
          </cell>
        </row>
        <row r="21">
          <cell r="A21" t="str">
            <v>DUBAN ANDRES CONTRERAS BORDONES</v>
          </cell>
          <cell r="B21" t="str">
            <v>20.921.611-6</v>
          </cell>
          <cell r="C21" t="str">
            <v>Ayudante Perforista</v>
          </cell>
          <cell r="D21">
            <v>15</v>
          </cell>
          <cell r="E21">
            <v>131</v>
          </cell>
          <cell r="F21">
            <v>180</v>
          </cell>
          <cell r="G21">
            <v>163575</v>
          </cell>
          <cell r="H21">
            <v>0</v>
          </cell>
          <cell r="I21">
            <v>31800</v>
          </cell>
          <cell r="J21">
            <v>0</v>
          </cell>
          <cell r="K21">
            <v>0</v>
          </cell>
          <cell r="L21">
            <v>195375</v>
          </cell>
        </row>
        <row r="22">
          <cell r="A22" t="str">
            <v>DANIEL ANDRES MARTINEZ GONZALEZ</v>
          </cell>
          <cell r="B22" t="str">
            <v>18.141.318-2</v>
          </cell>
          <cell r="C22" t="str">
            <v>HSEC</v>
          </cell>
          <cell r="D22">
            <v>14</v>
          </cell>
          <cell r="E22">
            <v>114.65</v>
          </cell>
          <cell r="F22">
            <v>168</v>
          </cell>
          <cell r="G22">
            <v>0</v>
          </cell>
          <cell r="H22">
            <v>212072</v>
          </cell>
          <cell r="I22">
            <v>0</v>
          </cell>
          <cell r="J22">
            <v>0</v>
          </cell>
          <cell r="K22">
            <v>0</v>
          </cell>
          <cell r="L22">
            <v>212072</v>
          </cell>
        </row>
        <row r="23">
          <cell r="A23" t="str">
            <v>FERNANDO ANDRES ARDILES PISAYA</v>
          </cell>
          <cell r="B23" t="str">
            <v>10.508.202-9</v>
          </cell>
          <cell r="C23" t="str">
            <v>Supervisor</v>
          </cell>
          <cell r="D23">
            <v>15</v>
          </cell>
          <cell r="E23">
            <v>196.15</v>
          </cell>
          <cell r="F23">
            <v>180</v>
          </cell>
          <cell r="G23">
            <v>0</v>
          </cell>
          <cell r="H23">
            <v>227220</v>
          </cell>
          <cell r="I23">
            <v>0</v>
          </cell>
          <cell r="J23">
            <v>0</v>
          </cell>
          <cell r="K23">
            <v>0</v>
          </cell>
          <cell r="L23">
            <v>227220</v>
          </cell>
        </row>
        <row r="24">
          <cell r="A24" t="str">
            <v>CRISTOFER JESUS MALDONADO MONDACA</v>
          </cell>
          <cell r="B24" t="str">
            <v>18.633.143-5</v>
          </cell>
          <cell r="C24" t="str">
            <v>Conductor</v>
          </cell>
          <cell r="D24">
            <v>14</v>
          </cell>
          <cell r="E24">
            <v>157.4</v>
          </cell>
          <cell r="F24">
            <v>180</v>
          </cell>
          <cell r="G24">
            <v>0</v>
          </cell>
          <cell r="H24">
            <v>147632.32999999999</v>
          </cell>
          <cell r="I24">
            <v>0</v>
          </cell>
          <cell r="J24">
            <v>0</v>
          </cell>
          <cell r="K24">
            <v>0</v>
          </cell>
          <cell r="L24">
            <v>147632.32999999999</v>
          </cell>
        </row>
        <row r="25">
          <cell r="A25" t="str">
            <v>FRANCISCO ALEJANDRO ARAYA BARRAZA</v>
          </cell>
          <cell r="B25" t="str">
            <v>21.028.758-2</v>
          </cell>
          <cell r="C25" t="str">
            <v>Ayudante Perforista</v>
          </cell>
          <cell r="D25">
            <v>15</v>
          </cell>
          <cell r="E25">
            <v>131</v>
          </cell>
          <cell r="F25">
            <v>180</v>
          </cell>
          <cell r="G25">
            <v>163575</v>
          </cell>
          <cell r="H25">
            <v>0</v>
          </cell>
          <cell r="I25">
            <v>31800</v>
          </cell>
          <cell r="J25">
            <v>0</v>
          </cell>
          <cell r="K25">
            <v>0</v>
          </cell>
          <cell r="L25">
            <v>195375</v>
          </cell>
        </row>
        <row r="26">
          <cell r="A26" t="str">
            <v>JOSE LUIS EDUARDO VASQUEZ SILVA</v>
          </cell>
          <cell r="B26" t="str">
            <v>15.946.640-K</v>
          </cell>
          <cell r="C26" t="str">
            <v>Ayudante Perforista</v>
          </cell>
          <cell r="D26">
            <v>1</v>
          </cell>
          <cell r="E26">
            <v>0</v>
          </cell>
          <cell r="F26">
            <v>12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A27" t="str">
            <v>JORGE ANDRE GUERRA CUBILLOS</v>
          </cell>
          <cell r="B27" t="str">
            <v>14.128.763-K</v>
          </cell>
          <cell r="C27" t="str">
            <v>Supervisor</v>
          </cell>
          <cell r="D27">
            <v>15</v>
          </cell>
          <cell r="E27">
            <v>80.900000000000006</v>
          </cell>
          <cell r="F27">
            <v>180</v>
          </cell>
          <cell r="G27">
            <v>0</v>
          </cell>
          <cell r="H27">
            <v>227220</v>
          </cell>
          <cell r="I27">
            <v>0</v>
          </cell>
          <cell r="J27">
            <v>0</v>
          </cell>
          <cell r="K27">
            <v>0</v>
          </cell>
          <cell r="L27">
            <v>227220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STEWART PHILLIP WHITEHURST M"/>
      <sheetName val="ANDREW JAMES WILSON ."/>
      <sheetName val="CRISTIAN ALEJANDRO TOLEDO GO"/>
      <sheetName val="RICARDO NICOLAS QUINTANA SAN"/>
      <sheetName val="JUAN ALEXIS AVILEZ MOLINA"/>
      <sheetName val="MARCELO DAVID VASQUEZ AVILEZ"/>
      <sheetName val="JOSHUA MANN ."/>
      <sheetName val="CARLOS ALBERTO RAMOS VELASQU"/>
      <sheetName val="ALVARO IGNACIO GODOY BRUNA"/>
      <sheetName val="JONATHAN ALEXANDER OLIVARES "/>
      <sheetName val="DANIEL ARMANDO LINDERMANN LI"/>
      <sheetName val="JOSE IGNACIO HERNANDEZ ARAYA"/>
      <sheetName val="ANTONIO HIPOLITO OTINIANO RU"/>
      <sheetName val="EMIL EDGARDO VARGAS BORDONES"/>
      <sheetName val="DIEGO BRANCO BARRAZA CHAVEZ"/>
      <sheetName val="YONATHAN ALBERTO MOROSO CORT"/>
      <sheetName val="CELSO ANDRES ORREGO OLIVARES"/>
      <sheetName val="KEVIN ALEXIS NEYRA CORTES"/>
      <sheetName val="ORLANDO PATRICIO CONTRERAS R"/>
      <sheetName val="DANIEL ANDRES VENEGAS CARRAS"/>
      <sheetName val="ELMER RISCO RAMOS"/>
      <sheetName val="RONALD SEBASTIAN BORQUEZ CAM"/>
      <sheetName val="EDUARDO ANTONIO CASTILLO VAL"/>
      <sheetName val="FELIPE ANDRES BOLBARAN ROJAS"/>
      <sheetName val="DANIEL ANDRES ANDRADE AGUILA"/>
      <sheetName val="DENYS SAUL VERGARA TOCAS"/>
      <sheetName val="DAVID AUGUSTO MARSHALL FLORE"/>
      <sheetName val="GUILLERMO NICOLAS GODOY CARV"/>
      <sheetName val="JEAN CHARLES CERDA ORREGO"/>
      <sheetName val="GUILLERMO ALFREDO CASTRO ZUÑ"/>
      <sheetName val="DIEGO NICOLAS GONZALEZ OLIVA"/>
      <sheetName val="ISRAEL AARÓN VERGARA ELGUETA"/>
      <sheetName val="HANS YERKO MARQUEZ MUÑOZ"/>
      <sheetName val="CAMILO FELIPE CRUZ MOLINA"/>
      <sheetName val="MARCO ANTONIO VELASQUEZ CIFU"/>
      <sheetName val="PEDRO ENRIQUE BOLBARAN ROJAS"/>
      <sheetName val="HECTOR  HUGO  SEPULVEDA  GAV"/>
      <sheetName val="PATRICIO RICARDO OETIKER OYA"/>
      <sheetName val="SERGIO ALFONSO BRUNA LEDEZMA"/>
      <sheetName val="MARIO ANDRES PUCHI CORTEZ"/>
      <sheetName val="MANUEL ARNOLDO ALISTE OLIVAR"/>
      <sheetName val="MARCOS ANTONIO ALDEA BEROIZA"/>
      <sheetName val="RICARDO ALEXIS LEMUS LOPEZ"/>
      <sheetName val="PABLO ROMARIO BOSSA ZAMORANO"/>
      <sheetName val="OSCAR RODRIGO ARIAS LEIVA"/>
      <sheetName val="MANUEL ALEJANDRO LISAMBARTH "/>
      <sheetName val="NELSON PATRICIO FLORES SANHU"/>
      <sheetName val="OMAR ANDRES ARAYA ZUÑIGA"/>
      <sheetName val="PATRICIO RENAN GONZALEZ CABE"/>
      <sheetName val="SEBASTIAN ALEJANDRO ARANEDA "/>
      <sheetName val="OSCAR MANUEL ESPINOZA ESPINO"/>
      <sheetName val="SEBASTIAN GONZALO ROJAS CLAR"/>
      <sheetName val="RICARDO DE LAS NIEVES GUTIER"/>
      <sheetName val="RODRIGO ANDRES DIAZ INOSTROZ"/>
      <sheetName val="RAUL MANUEL BUSTAMANTE CERON"/>
      <sheetName val="RICKY DONNELLY ARAVENA POBLE"/>
      <sheetName val="PABLO ANTONIO ALVAREZ CORTES"/>
      <sheetName val="CHRISTOFER HUESLY OLIVARES F"/>
      <sheetName val="RAUL  ESTEBAN  HERNANDEZ PIZ"/>
      <sheetName val="SEBASTIAN IGNACIO ORTEGA GOM"/>
      <sheetName val="VLADIMIR OMAR CASTRO ENCINA"/>
      <sheetName val="SHANNAN ELIZABETH DOBB"/>
      <sheetName val="SIMONNE DE LA PAZ REYES BATL"/>
      <sheetName val="RUBEN IGNACIO CORTES BORBON"/>
      <sheetName val="CHRISTIAN DARIEM PIZARRO MUÑ"/>
      <sheetName val="JOAQUIN IGNACIO TORO ALCAYAG"/>
      <sheetName val="MARCELO ALEJANDRO INZUNZA AL"/>
      <sheetName val="FELIX ALEJANDRO MERY ROBLEDO"/>
      <sheetName val="FRANCISCO PEDRO BORNAZ DELGA"/>
      <sheetName val="LUIS GERARDO LOPEZ OLAVE"/>
      <sheetName val="ROBERTO MAURICIO VERGARA NEG"/>
      <sheetName val="JOSE MANUEL CASTILLO GARCIA"/>
      <sheetName val="JORGE ANDRES LICANQUEO PEREZ"/>
      <sheetName val="LUIS ALFREDO MORENO RIOS"/>
      <sheetName val="RAUL ALEJANDRO RIVERO RIVERO"/>
      <sheetName val="KEVIN ESTEBAN VALENZUELA VAL"/>
      <sheetName val="OSCAR ALEXIS JARA MEJÍAS"/>
      <sheetName val="SEBASTIAN ANTONIO VALDERRAMA"/>
      <sheetName val="NICOLAS ALBERTO CARVAJAL PAS"/>
      <sheetName val="WALTER LISANDRO SALAS MESA"/>
      <sheetName val="ANGELO GIOVANNI BIZAMA ORELL"/>
      <sheetName val="Tarifas y Reglas"/>
    </sheetNames>
    <sheetDataSet>
      <sheetData sheetId="0">
        <row r="5">
          <cell r="A5" t="str">
            <v>STEWART PHILLIP WHITEHURST MEJIA</v>
          </cell>
          <cell r="B5" t="str">
            <v>289359893</v>
          </cell>
          <cell r="C5" t="str">
            <v>Perforista</v>
          </cell>
          <cell r="D5">
            <v>12</v>
          </cell>
          <cell r="E5">
            <v>327.75</v>
          </cell>
          <cell r="F5">
            <v>132</v>
          </cell>
          <cell r="G5">
            <v>0</v>
          </cell>
          <cell r="H5">
            <v>146751.5</v>
          </cell>
          <cell r="I5">
            <v>0</v>
          </cell>
          <cell r="J5">
            <v>0</v>
          </cell>
          <cell r="K5">
            <v>0</v>
          </cell>
          <cell r="L5">
            <v>146751.5</v>
          </cell>
        </row>
        <row r="6">
          <cell r="A6" t="str">
            <v>ANDREW JAMES WILSON .</v>
          </cell>
          <cell r="B6" t="str">
            <v>446325078</v>
          </cell>
          <cell r="C6" t="str">
            <v>Perforista</v>
          </cell>
          <cell r="D6">
            <v>14</v>
          </cell>
          <cell r="E6">
            <v>618.4</v>
          </cell>
          <cell r="F6">
            <v>240</v>
          </cell>
          <cell r="G6">
            <v>0</v>
          </cell>
          <cell r="H6">
            <v>171210.08</v>
          </cell>
          <cell r="I6">
            <v>0</v>
          </cell>
          <cell r="J6">
            <v>0</v>
          </cell>
          <cell r="K6">
            <v>0</v>
          </cell>
          <cell r="L6">
            <v>171210.08</v>
          </cell>
        </row>
        <row r="7">
          <cell r="A7" t="str">
            <v>CRISTIAN ALEJANDRO TOLEDO GONZALEZ</v>
          </cell>
          <cell r="B7" t="str">
            <v>156836982</v>
          </cell>
          <cell r="C7" t="str">
            <v>Electromecánico</v>
          </cell>
          <cell r="D7">
            <v>7</v>
          </cell>
          <cell r="E7">
            <v>139.35</v>
          </cell>
          <cell r="F7">
            <v>72</v>
          </cell>
          <cell r="G7">
            <v>0</v>
          </cell>
          <cell r="H7">
            <v>56495.54</v>
          </cell>
          <cell r="I7">
            <v>0</v>
          </cell>
          <cell r="J7">
            <v>0</v>
          </cell>
          <cell r="K7">
            <v>0</v>
          </cell>
          <cell r="L7">
            <v>56495.54</v>
          </cell>
        </row>
        <row r="8">
          <cell r="A8" t="str">
            <v>RICARDO NICOLAS QUINTANA SANTANA</v>
          </cell>
          <cell r="B8" t="str">
            <v>208985779</v>
          </cell>
          <cell r="C8" t="str">
            <v>Ayudante Perforista</v>
          </cell>
          <cell r="D8">
            <v>7</v>
          </cell>
          <cell r="E8">
            <v>154.69999999999999</v>
          </cell>
          <cell r="F8">
            <v>84</v>
          </cell>
          <cell r="G8">
            <v>0</v>
          </cell>
          <cell r="H8">
            <v>56495.54</v>
          </cell>
          <cell r="I8">
            <v>0</v>
          </cell>
          <cell r="J8">
            <v>0</v>
          </cell>
          <cell r="K8">
            <v>0</v>
          </cell>
          <cell r="L8">
            <v>56495.54</v>
          </cell>
        </row>
        <row r="9">
          <cell r="A9" t="str">
            <v>JUAN ALEXIS AVILEZ MOLINA</v>
          </cell>
          <cell r="B9" t="str">
            <v>140434221</v>
          </cell>
          <cell r="C9" t="str">
            <v>Ayudante Perforista</v>
          </cell>
          <cell r="D9">
            <v>7</v>
          </cell>
          <cell r="E9">
            <v>186.75</v>
          </cell>
          <cell r="F9">
            <v>84</v>
          </cell>
          <cell r="G9">
            <v>0</v>
          </cell>
          <cell r="H9">
            <v>56495.54</v>
          </cell>
          <cell r="I9">
            <v>0</v>
          </cell>
          <cell r="J9">
            <v>0</v>
          </cell>
          <cell r="K9">
            <v>0</v>
          </cell>
          <cell r="L9">
            <v>56495.54</v>
          </cell>
        </row>
        <row r="10">
          <cell r="A10" t="str">
            <v>MARCELO DAVID VASQUEZ AVILEZ</v>
          </cell>
          <cell r="B10" t="str">
            <v>224554265</v>
          </cell>
          <cell r="C10" t="str">
            <v/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</row>
        <row r="11">
          <cell r="A11" t="str">
            <v>JOSHUA MANN .</v>
          </cell>
          <cell r="B11" t="str">
            <v>293792283</v>
          </cell>
          <cell r="C11" t="str">
            <v>Supervisor</v>
          </cell>
          <cell r="D11">
            <v>3</v>
          </cell>
          <cell r="E11">
            <v>241.35</v>
          </cell>
          <cell r="F11">
            <v>108</v>
          </cell>
          <cell r="G11">
            <v>0</v>
          </cell>
          <cell r="H11">
            <v>36687.879999999997</v>
          </cell>
          <cell r="I11">
            <v>0</v>
          </cell>
          <cell r="J11">
            <v>0</v>
          </cell>
          <cell r="K11">
            <v>0</v>
          </cell>
          <cell r="L11">
            <v>36687.879999999997</v>
          </cell>
        </row>
        <row r="12">
          <cell r="A12" t="str">
            <v>CARLOS ALBERTO RAMOS VELASQUEZ</v>
          </cell>
          <cell r="B12" t="str">
            <v>14.400.090-0</v>
          </cell>
          <cell r="C12" t="str">
            <v>Supervisor</v>
          </cell>
          <cell r="D12">
            <v>16</v>
          </cell>
          <cell r="E12">
            <v>451.6</v>
          </cell>
          <cell r="F12">
            <v>180</v>
          </cell>
          <cell r="G12">
            <v>0</v>
          </cell>
          <cell r="H12">
            <v>195668.67</v>
          </cell>
          <cell r="I12">
            <v>0</v>
          </cell>
          <cell r="J12">
            <v>0</v>
          </cell>
          <cell r="K12">
            <v>0</v>
          </cell>
          <cell r="L12">
            <v>195668.67</v>
          </cell>
        </row>
        <row r="13">
          <cell r="A13" t="str">
            <v>ALVARO IGNACIO GODOY BRUNA</v>
          </cell>
          <cell r="B13" t="str">
            <v>20.168.605-9</v>
          </cell>
          <cell r="C13" t="str">
            <v>Perforista</v>
          </cell>
          <cell r="D13">
            <v>16</v>
          </cell>
          <cell r="E13">
            <v>255.35</v>
          </cell>
          <cell r="F13">
            <v>192</v>
          </cell>
          <cell r="G13">
            <v>0</v>
          </cell>
          <cell r="H13">
            <v>195668.67</v>
          </cell>
          <cell r="I13">
            <v>0</v>
          </cell>
          <cell r="J13">
            <v>0</v>
          </cell>
          <cell r="K13">
            <v>0</v>
          </cell>
          <cell r="L13">
            <v>195668.67</v>
          </cell>
        </row>
        <row r="14">
          <cell r="A14" t="str">
            <v>JONATHAN ALEXANDER OLIVARES NATES</v>
          </cell>
          <cell r="B14" t="str">
            <v>20.944.055-5</v>
          </cell>
          <cell r="C14" t="str">
            <v>Mecánico</v>
          </cell>
          <cell r="D14">
            <v>14</v>
          </cell>
          <cell r="E14">
            <v>409.2</v>
          </cell>
          <cell r="F14">
            <v>144</v>
          </cell>
          <cell r="G14">
            <v>0</v>
          </cell>
          <cell r="H14">
            <v>112991.08</v>
          </cell>
          <cell r="I14">
            <v>0</v>
          </cell>
          <cell r="J14">
            <v>0</v>
          </cell>
          <cell r="K14">
            <v>0</v>
          </cell>
          <cell r="L14">
            <v>112991.08</v>
          </cell>
        </row>
        <row r="15">
          <cell r="A15" t="str">
            <v>DANIEL ARMANDO LINDERMANN LINDERMANN</v>
          </cell>
          <cell r="B15" t="str">
            <v>16.597.409-3</v>
          </cell>
          <cell r="C15" t="str">
            <v>Supervisor</v>
          </cell>
          <cell r="D15">
            <v>14</v>
          </cell>
          <cell r="E15">
            <v>405.2</v>
          </cell>
          <cell r="F15">
            <v>144</v>
          </cell>
          <cell r="G15">
            <v>0</v>
          </cell>
          <cell r="H15">
            <v>171210.08</v>
          </cell>
          <cell r="I15">
            <v>0</v>
          </cell>
          <cell r="J15">
            <v>0</v>
          </cell>
          <cell r="K15">
            <v>0</v>
          </cell>
          <cell r="L15">
            <v>171210.08</v>
          </cell>
        </row>
        <row r="16">
          <cell r="A16" t="str">
            <v>JOSE IGNACIO HERNANDEZ ARAYA</v>
          </cell>
          <cell r="B16" t="str">
            <v>17.753.119-7</v>
          </cell>
          <cell r="C16" t="str">
            <v>Perforista</v>
          </cell>
          <cell r="D16">
            <v>14</v>
          </cell>
          <cell r="E16">
            <v>288.5</v>
          </cell>
          <cell r="F16">
            <v>168</v>
          </cell>
          <cell r="G16">
            <v>0</v>
          </cell>
          <cell r="H16">
            <v>171210.08</v>
          </cell>
          <cell r="I16">
            <v>0</v>
          </cell>
          <cell r="J16">
            <v>0</v>
          </cell>
          <cell r="K16">
            <v>0</v>
          </cell>
          <cell r="L16">
            <v>171210.08</v>
          </cell>
        </row>
        <row r="17">
          <cell r="A17" t="str">
            <v>ANTONIO HIPOLITO OTINIANO RUIZ</v>
          </cell>
          <cell r="B17" t="str">
            <v>44.601.894-9</v>
          </cell>
          <cell r="C17" t="str">
            <v>Perforista</v>
          </cell>
          <cell r="D17">
            <v>2</v>
          </cell>
          <cell r="E17">
            <v>62.7</v>
          </cell>
          <cell r="F17">
            <v>24</v>
          </cell>
          <cell r="G17">
            <v>0</v>
          </cell>
          <cell r="H17">
            <v>24458.58</v>
          </cell>
          <cell r="I17">
            <v>0</v>
          </cell>
          <cell r="J17">
            <v>0</v>
          </cell>
          <cell r="K17">
            <v>0</v>
          </cell>
          <cell r="L17">
            <v>24458.58</v>
          </cell>
        </row>
        <row r="18">
          <cell r="A18" t="str">
            <v>EMIL EDGARDO VARGAS BORDONES</v>
          </cell>
          <cell r="B18" t="str">
            <v>19.394.534-1</v>
          </cell>
          <cell r="C18" t="str">
            <v>Ayudante Perforista</v>
          </cell>
          <cell r="D18">
            <v>14</v>
          </cell>
          <cell r="E18">
            <v>303</v>
          </cell>
          <cell r="F18">
            <v>168</v>
          </cell>
          <cell r="G18">
            <v>0</v>
          </cell>
          <cell r="H18">
            <v>112991.08</v>
          </cell>
          <cell r="I18">
            <v>0</v>
          </cell>
          <cell r="J18">
            <v>0</v>
          </cell>
          <cell r="K18">
            <v>0</v>
          </cell>
          <cell r="L18">
            <v>112991.08</v>
          </cell>
        </row>
        <row r="19">
          <cell r="A19" t="str">
            <v>DIEGO BRANCO BARRAZA CHAVEZ</v>
          </cell>
          <cell r="B19" t="str">
            <v>20.456.931-2</v>
          </cell>
          <cell r="C19" t="str">
            <v>Ayudante Perforista</v>
          </cell>
          <cell r="D19">
            <v>9</v>
          </cell>
          <cell r="E19">
            <v>173.7</v>
          </cell>
          <cell r="F19">
            <v>108</v>
          </cell>
          <cell r="G19">
            <v>0</v>
          </cell>
          <cell r="H19">
            <v>72637.13</v>
          </cell>
          <cell r="I19">
            <v>0</v>
          </cell>
          <cell r="J19">
            <v>0</v>
          </cell>
          <cell r="K19">
            <v>0</v>
          </cell>
          <cell r="L19">
            <v>72637.13</v>
          </cell>
        </row>
        <row r="20">
          <cell r="A20" t="str">
            <v>YONATHAN ALBERTO MOROSO CORTES</v>
          </cell>
          <cell r="B20" t="str">
            <v>17.112.278-3</v>
          </cell>
          <cell r="C20" t="str">
            <v>Administrativo</v>
          </cell>
          <cell r="D20">
            <v>14</v>
          </cell>
          <cell r="E20">
            <v>409.2</v>
          </cell>
          <cell r="F20">
            <v>144</v>
          </cell>
          <cell r="G20">
            <v>0</v>
          </cell>
          <cell r="H20">
            <v>112991.08</v>
          </cell>
          <cell r="I20">
            <v>0</v>
          </cell>
          <cell r="J20">
            <v>0</v>
          </cell>
          <cell r="K20">
            <v>0</v>
          </cell>
          <cell r="L20">
            <v>112991.08</v>
          </cell>
        </row>
        <row r="21">
          <cell r="A21" t="str">
            <v>CELSO ANDRES ORREGO OLIVARES</v>
          </cell>
          <cell r="B21" t="str">
            <v>15.977.589-5</v>
          </cell>
          <cell r="C21" t="str">
            <v>Conductor</v>
          </cell>
          <cell r="D21">
            <v>14</v>
          </cell>
          <cell r="E21">
            <v>409.2</v>
          </cell>
          <cell r="F21">
            <v>144</v>
          </cell>
          <cell r="G21">
            <v>0</v>
          </cell>
          <cell r="H21">
            <v>112991.08</v>
          </cell>
          <cell r="I21">
            <v>0</v>
          </cell>
          <cell r="J21">
            <v>0</v>
          </cell>
          <cell r="K21">
            <v>0</v>
          </cell>
          <cell r="L21">
            <v>112991.08</v>
          </cell>
        </row>
        <row r="22">
          <cell r="A22" t="str">
            <v>KEVIN ALEXIS NEYRA CORTES</v>
          </cell>
          <cell r="B22" t="str">
            <v>20.460.401-0</v>
          </cell>
          <cell r="C22" t="str">
            <v>Perforista</v>
          </cell>
          <cell r="D22">
            <v>16</v>
          </cell>
          <cell r="E22">
            <v>297.95</v>
          </cell>
          <cell r="F22">
            <v>192</v>
          </cell>
          <cell r="G22">
            <v>0</v>
          </cell>
          <cell r="H22">
            <v>195668.67</v>
          </cell>
          <cell r="I22">
            <v>0</v>
          </cell>
          <cell r="J22">
            <v>0</v>
          </cell>
          <cell r="K22">
            <v>0</v>
          </cell>
          <cell r="L22">
            <v>195668.67</v>
          </cell>
        </row>
        <row r="23">
          <cell r="A23" t="str">
            <v>ORLANDO PATRICIO CONTRERAS RIOS</v>
          </cell>
          <cell r="B23" t="str">
            <v>11.778.172-0</v>
          </cell>
          <cell r="C23" t="str">
            <v>Perforista</v>
          </cell>
          <cell r="D23">
            <v>13</v>
          </cell>
          <cell r="E23">
            <v>316.5</v>
          </cell>
          <cell r="F23">
            <v>156</v>
          </cell>
          <cell r="G23">
            <v>0</v>
          </cell>
          <cell r="H23">
            <v>158980.79</v>
          </cell>
          <cell r="I23">
            <v>0</v>
          </cell>
          <cell r="J23">
            <v>0</v>
          </cell>
          <cell r="K23">
            <v>0</v>
          </cell>
          <cell r="L23">
            <v>158980.79</v>
          </cell>
        </row>
        <row r="24">
          <cell r="A24" t="str">
            <v>DANIEL ANDRES VENEGAS CARRASCO</v>
          </cell>
          <cell r="B24" t="str">
            <v>18.665.544-3</v>
          </cell>
          <cell r="C24" t="str">
            <v>Perforista</v>
          </cell>
          <cell r="D24">
            <v>16</v>
          </cell>
          <cell r="E24">
            <v>303.5</v>
          </cell>
          <cell r="F24">
            <v>192</v>
          </cell>
          <cell r="G24">
            <v>0</v>
          </cell>
          <cell r="H24">
            <v>195668.67</v>
          </cell>
          <cell r="I24">
            <v>0</v>
          </cell>
          <cell r="J24">
            <v>0</v>
          </cell>
          <cell r="K24">
            <v>0</v>
          </cell>
          <cell r="L24">
            <v>195668.67</v>
          </cell>
        </row>
        <row r="25">
          <cell r="A25" t="str">
            <v>ELMER RISCO RAMOS</v>
          </cell>
          <cell r="B25" t="str">
            <v>44.598.439-6</v>
          </cell>
          <cell r="C25" t="str">
            <v>Perforista</v>
          </cell>
          <cell r="D25">
            <v>14</v>
          </cell>
          <cell r="E25">
            <v>289</v>
          </cell>
          <cell r="F25">
            <v>132</v>
          </cell>
          <cell r="G25">
            <v>0</v>
          </cell>
          <cell r="H25">
            <v>171210.08</v>
          </cell>
          <cell r="I25">
            <v>0</v>
          </cell>
          <cell r="J25">
            <v>0</v>
          </cell>
          <cell r="K25">
            <v>0</v>
          </cell>
          <cell r="L25">
            <v>171210.08</v>
          </cell>
        </row>
        <row r="26">
          <cell r="A26" t="str">
            <v>RONALD SEBASTIAN BORQUEZ CAMPUSANO</v>
          </cell>
          <cell r="B26" t="str">
            <v>19.271.256-4</v>
          </cell>
          <cell r="C26" t="str">
            <v>Conductor</v>
          </cell>
          <cell r="D26">
            <v>7</v>
          </cell>
          <cell r="E26">
            <v>139.35</v>
          </cell>
          <cell r="F26">
            <v>72</v>
          </cell>
          <cell r="G26">
            <v>0</v>
          </cell>
          <cell r="H26">
            <v>56495.54</v>
          </cell>
          <cell r="I26">
            <v>0</v>
          </cell>
          <cell r="J26">
            <v>0</v>
          </cell>
          <cell r="K26">
            <v>0</v>
          </cell>
          <cell r="L26">
            <v>56495.54</v>
          </cell>
        </row>
        <row r="27">
          <cell r="A27" t="str">
            <v>EDUARDO ANTONIO CASTILLO VALENZUELA</v>
          </cell>
          <cell r="B27" t="str">
            <v>12.218.170-7</v>
          </cell>
          <cell r="C27" t="str">
            <v>Perforista</v>
          </cell>
          <cell r="D27">
            <v>16</v>
          </cell>
          <cell r="E27">
            <v>356.6</v>
          </cell>
          <cell r="F27">
            <v>180</v>
          </cell>
          <cell r="G27">
            <v>0</v>
          </cell>
          <cell r="H27">
            <v>195668.67</v>
          </cell>
          <cell r="I27">
            <v>0</v>
          </cell>
          <cell r="J27">
            <v>0</v>
          </cell>
          <cell r="K27">
            <v>0</v>
          </cell>
          <cell r="L27">
            <v>195668.67</v>
          </cell>
        </row>
        <row r="28">
          <cell r="A28" t="str">
            <v>FELIPE ANDRES BOLBARAN ROJAS</v>
          </cell>
          <cell r="B28" t="str">
            <v>16.755.492-K</v>
          </cell>
          <cell r="C28" t="str">
            <v>Perforista</v>
          </cell>
          <cell r="D28">
            <v>14</v>
          </cell>
          <cell r="E28">
            <v>245.9</v>
          </cell>
          <cell r="F28">
            <v>168</v>
          </cell>
          <cell r="G28">
            <v>0</v>
          </cell>
          <cell r="H28">
            <v>171210.08</v>
          </cell>
          <cell r="I28">
            <v>0</v>
          </cell>
          <cell r="J28">
            <v>0</v>
          </cell>
          <cell r="K28">
            <v>0</v>
          </cell>
          <cell r="L28">
            <v>171210.08</v>
          </cell>
        </row>
        <row r="29">
          <cell r="A29" t="str">
            <v>DANIEL ANDRES ANDRADE AGUILAR</v>
          </cell>
          <cell r="B29" t="str">
            <v>17.465.056-K</v>
          </cell>
          <cell r="C29" t="str">
            <v>Mecánico</v>
          </cell>
          <cell r="D29">
            <v>13</v>
          </cell>
          <cell r="E29">
            <v>406.75</v>
          </cell>
          <cell r="F29">
            <v>156</v>
          </cell>
          <cell r="G29">
            <v>0</v>
          </cell>
          <cell r="H29">
            <v>104920.29</v>
          </cell>
          <cell r="I29">
            <v>0</v>
          </cell>
          <cell r="J29">
            <v>0</v>
          </cell>
          <cell r="K29">
            <v>0</v>
          </cell>
          <cell r="L29">
            <v>104920.29</v>
          </cell>
        </row>
        <row r="30">
          <cell r="A30" t="str">
            <v>DENYS SAUL VERGARA TOCAS</v>
          </cell>
          <cell r="B30" t="str">
            <v>44.599.981-4</v>
          </cell>
          <cell r="C30" t="str">
            <v>Perforista</v>
          </cell>
          <cell r="D30">
            <v>8</v>
          </cell>
          <cell r="E30">
            <v>185.25</v>
          </cell>
          <cell r="F30">
            <v>96</v>
          </cell>
          <cell r="G30">
            <v>0</v>
          </cell>
          <cell r="H30">
            <v>97834.33</v>
          </cell>
          <cell r="I30">
            <v>0</v>
          </cell>
          <cell r="J30">
            <v>0</v>
          </cell>
          <cell r="K30">
            <v>0</v>
          </cell>
          <cell r="L30">
            <v>97834.33</v>
          </cell>
        </row>
        <row r="31">
          <cell r="A31" t="str">
            <v>DAVID AUGUSTO MARSHALL FLORES</v>
          </cell>
          <cell r="B31" t="str">
            <v>18.328.176-3</v>
          </cell>
          <cell r="C31" t="str">
            <v>BODEGUERO</v>
          </cell>
          <cell r="D31">
            <v>14</v>
          </cell>
          <cell r="E31">
            <v>409.2</v>
          </cell>
          <cell r="F31">
            <v>144</v>
          </cell>
          <cell r="G31">
            <v>0</v>
          </cell>
          <cell r="H31">
            <v>112991.08</v>
          </cell>
          <cell r="I31">
            <v>0</v>
          </cell>
          <cell r="J31">
            <v>0</v>
          </cell>
          <cell r="K31">
            <v>0</v>
          </cell>
          <cell r="L31">
            <v>112991.08</v>
          </cell>
        </row>
        <row r="32">
          <cell r="A32" t="str">
            <v>GUILLERMO NICOLAS GODOY CARVAJAL</v>
          </cell>
          <cell r="B32" t="str">
            <v>18.012.671-6</v>
          </cell>
          <cell r="C32" t="str">
            <v>Ayudante Perforista</v>
          </cell>
          <cell r="D32">
            <v>9</v>
          </cell>
          <cell r="E32">
            <v>141</v>
          </cell>
          <cell r="F32">
            <v>108</v>
          </cell>
          <cell r="G32">
            <v>0</v>
          </cell>
          <cell r="H32">
            <v>72637.13</v>
          </cell>
          <cell r="I32">
            <v>0</v>
          </cell>
          <cell r="J32">
            <v>0</v>
          </cell>
          <cell r="K32">
            <v>0</v>
          </cell>
          <cell r="L32">
            <v>72637.13</v>
          </cell>
        </row>
        <row r="33">
          <cell r="A33" t="str">
            <v>JEAN CHARLES CERDA ORREGO</v>
          </cell>
          <cell r="B33" t="str">
            <v>19.349.619-9</v>
          </cell>
          <cell r="C33" t="str">
            <v>Ayudante Perforista</v>
          </cell>
          <cell r="D33">
            <v>10</v>
          </cell>
          <cell r="E33">
            <v>208.05</v>
          </cell>
          <cell r="F33">
            <v>120</v>
          </cell>
          <cell r="G33">
            <v>0</v>
          </cell>
          <cell r="H33">
            <v>80707.92</v>
          </cell>
          <cell r="I33">
            <v>0</v>
          </cell>
          <cell r="J33">
            <v>0</v>
          </cell>
          <cell r="K33">
            <v>0</v>
          </cell>
          <cell r="L33">
            <v>80707.92</v>
          </cell>
        </row>
        <row r="34">
          <cell r="A34" t="str">
            <v>GUILLERMO ALFREDO CASTRO ZUÑIGA</v>
          </cell>
          <cell r="B34" t="str">
            <v>15.134.240-K</v>
          </cell>
          <cell r="C34" t="str">
            <v>Perforista</v>
          </cell>
          <cell r="D34">
            <v>14</v>
          </cell>
          <cell r="E34">
            <v>265.60000000000002</v>
          </cell>
          <cell r="F34">
            <v>168</v>
          </cell>
          <cell r="G34">
            <v>0</v>
          </cell>
          <cell r="H34">
            <v>171210.08</v>
          </cell>
          <cell r="I34">
            <v>0</v>
          </cell>
          <cell r="J34">
            <v>0</v>
          </cell>
          <cell r="K34">
            <v>0</v>
          </cell>
          <cell r="L34">
            <v>171210.08</v>
          </cell>
        </row>
        <row r="35">
          <cell r="A35" t="str">
            <v>DIEGO NICOLAS GONZALEZ OLIVARES</v>
          </cell>
          <cell r="B35" t="str">
            <v>19.506.189-0</v>
          </cell>
          <cell r="C35" t="str">
            <v>Mecánico</v>
          </cell>
          <cell r="D35">
            <v>16</v>
          </cell>
          <cell r="E35">
            <v>451.6</v>
          </cell>
          <cell r="F35">
            <v>180</v>
          </cell>
          <cell r="G35">
            <v>0</v>
          </cell>
          <cell r="H35">
            <v>129132.67</v>
          </cell>
          <cell r="I35">
            <v>0</v>
          </cell>
          <cell r="J35">
            <v>0</v>
          </cell>
          <cell r="K35">
            <v>0</v>
          </cell>
          <cell r="L35">
            <v>129132.67</v>
          </cell>
        </row>
        <row r="36">
          <cell r="A36" t="str">
            <v>ISRAEL AARÓN VERGARA ELGUETA</v>
          </cell>
          <cell r="B36" t="str">
            <v>15.475.908-5</v>
          </cell>
          <cell r="C36" t="str">
            <v>Administrador de Contrato</v>
          </cell>
          <cell r="D36">
            <v>13</v>
          </cell>
          <cell r="E36">
            <v>406.75</v>
          </cell>
          <cell r="F36">
            <v>156</v>
          </cell>
          <cell r="G36">
            <v>0</v>
          </cell>
          <cell r="H36">
            <v>158980.79</v>
          </cell>
          <cell r="I36">
            <v>0</v>
          </cell>
          <cell r="J36">
            <v>0</v>
          </cell>
          <cell r="K36">
            <v>0</v>
          </cell>
          <cell r="L36">
            <v>158980.79</v>
          </cell>
        </row>
        <row r="37">
          <cell r="A37" t="str">
            <v>HANS YERKO MARQUEZ MUÑOZ</v>
          </cell>
          <cell r="B37" t="str">
            <v>18.223.319-6</v>
          </cell>
          <cell r="C37" t="str">
            <v>Superintendente de Mantención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733757.5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A38" t="str">
            <v>CAMILO FELIPE CRUZ MOLINA</v>
          </cell>
          <cell r="B38" t="str">
            <v>17.580.584-2</v>
          </cell>
          <cell r="C38" t="str">
            <v>Supervisor</v>
          </cell>
          <cell r="D38">
            <v>16</v>
          </cell>
          <cell r="E38">
            <v>342</v>
          </cell>
          <cell r="F38">
            <v>180</v>
          </cell>
          <cell r="G38">
            <v>0</v>
          </cell>
          <cell r="H38">
            <v>195668.67</v>
          </cell>
          <cell r="I38">
            <v>0</v>
          </cell>
          <cell r="J38">
            <v>0</v>
          </cell>
          <cell r="K38">
            <v>0</v>
          </cell>
          <cell r="L38">
            <v>195668.67</v>
          </cell>
        </row>
        <row r="39">
          <cell r="A39" t="str">
            <v>MARCO ANTONIO VELASQUEZ CIFUENTES</v>
          </cell>
          <cell r="B39" t="str">
            <v>12.982.701-7</v>
          </cell>
          <cell r="C39" t="str">
            <v>Ayudante Perforista</v>
          </cell>
          <cell r="D39">
            <v>16</v>
          </cell>
          <cell r="E39">
            <v>303.5</v>
          </cell>
          <cell r="F39">
            <v>192</v>
          </cell>
          <cell r="G39">
            <v>0</v>
          </cell>
          <cell r="H39">
            <v>129132.67</v>
          </cell>
          <cell r="I39">
            <v>0</v>
          </cell>
          <cell r="J39">
            <v>0</v>
          </cell>
          <cell r="K39">
            <v>0</v>
          </cell>
          <cell r="L39">
            <v>129132.67</v>
          </cell>
        </row>
        <row r="40">
          <cell r="A40" t="str">
            <v>PEDRO ENRIQUE BOLBARAN ROJAS</v>
          </cell>
          <cell r="B40" t="str">
            <v>17.388.599-7</v>
          </cell>
          <cell r="C40" t="str">
            <v>Ayudante Perforista</v>
          </cell>
          <cell r="D40">
            <v>14</v>
          </cell>
          <cell r="E40">
            <v>288.5</v>
          </cell>
          <cell r="F40">
            <v>168</v>
          </cell>
          <cell r="G40">
            <v>0</v>
          </cell>
          <cell r="H40">
            <v>112991.08</v>
          </cell>
          <cell r="I40">
            <v>0</v>
          </cell>
          <cell r="J40">
            <v>0</v>
          </cell>
          <cell r="K40">
            <v>0</v>
          </cell>
          <cell r="L40">
            <v>112991.08</v>
          </cell>
        </row>
        <row r="41">
          <cell r="A41" t="str">
            <v>HECTOR  HUGO  SEPULVEDA  GAVILAN</v>
          </cell>
          <cell r="B41" t="str">
            <v>14.071.144-6</v>
          </cell>
          <cell r="C41" t="str">
            <v>Ayudante Perforista</v>
          </cell>
          <cell r="D41">
            <v>7</v>
          </cell>
          <cell r="E41">
            <v>121.05</v>
          </cell>
          <cell r="F41">
            <v>84</v>
          </cell>
          <cell r="G41">
            <v>0</v>
          </cell>
          <cell r="H41">
            <v>56495.54</v>
          </cell>
          <cell r="I41">
            <v>0</v>
          </cell>
          <cell r="J41">
            <v>0</v>
          </cell>
          <cell r="K41">
            <v>0</v>
          </cell>
          <cell r="L41">
            <v>56495.54</v>
          </cell>
        </row>
        <row r="42">
          <cell r="A42" t="str">
            <v>PATRICIO RICARDO OETIKER OYARZUN</v>
          </cell>
          <cell r="B42" t="str">
            <v>9.528.480-9</v>
          </cell>
          <cell r="C42" t="str">
            <v>HSEC</v>
          </cell>
          <cell r="D42">
            <v>14</v>
          </cell>
          <cell r="E42">
            <v>405.2</v>
          </cell>
          <cell r="F42">
            <v>144</v>
          </cell>
          <cell r="G42">
            <v>0</v>
          </cell>
          <cell r="H42">
            <v>171210.08</v>
          </cell>
          <cell r="I42">
            <v>0</v>
          </cell>
          <cell r="J42">
            <v>0</v>
          </cell>
          <cell r="K42">
            <v>0</v>
          </cell>
          <cell r="L42">
            <v>171210.08</v>
          </cell>
        </row>
        <row r="43">
          <cell r="A43" t="str">
            <v>SERGIO ALFONSO BRUNA LEDEZMA</v>
          </cell>
          <cell r="B43" t="str">
            <v>16.687.336-3</v>
          </cell>
          <cell r="C43" t="str">
            <v>Ayudante Perforista</v>
          </cell>
          <cell r="D43">
            <v>14</v>
          </cell>
          <cell r="E43">
            <v>303</v>
          </cell>
          <cell r="F43">
            <v>168</v>
          </cell>
          <cell r="G43">
            <v>0</v>
          </cell>
          <cell r="H43">
            <v>112991.08</v>
          </cell>
          <cell r="I43">
            <v>0</v>
          </cell>
          <cell r="J43">
            <v>0</v>
          </cell>
          <cell r="K43">
            <v>0</v>
          </cell>
          <cell r="L43">
            <v>112991.08</v>
          </cell>
        </row>
        <row r="44">
          <cell r="A44" t="str">
            <v>MARIO ANDRES PUCHI CORTEZ</v>
          </cell>
          <cell r="B44" t="str">
            <v>16.684.239-5</v>
          </cell>
          <cell r="C44" t="str">
            <v>Mecánico</v>
          </cell>
          <cell r="D44">
            <v>14</v>
          </cell>
          <cell r="E44">
            <v>405.2</v>
          </cell>
          <cell r="F44">
            <v>144</v>
          </cell>
          <cell r="G44">
            <v>0</v>
          </cell>
          <cell r="H44">
            <v>112991.08</v>
          </cell>
          <cell r="I44">
            <v>0</v>
          </cell>
          <cell r="J44">
            <v>0</v>
          </cell>
          <cell r="K44">
            <v>0</v>
          </cell>
          <cell r="L44">
            <v>112991.08</v>
          </cell>
        </row>
        <row r="45">
          <cell r="A45" t="str">
            <v>MANUEL ARNOLDO ALISTE OLIVARES</v>
          </cell>
          <cell r="B45" t="str">
            <v>12.807.074-5</v>
          </cell>
          <cell r="C45" t="str">
            <v>Ayudante Perforista</v>
          </cell>
          <cell r="D45">
            <v>14</v>
          </cell>
          <cell r="E45">
            <v>288.5</v>
          </cell>
          <cell r="F45">
            <v>168</v>
          </cell>
          <cell r="G45">
            <v>0</v>
          </cell>
          <cell r="H45">
            <v>112991.08</v>
          </cell>
          <cell r="I45">
            <v>0</v>
          </cell>
          <cell r="J45">
            <v>0</v>
          </cell>
          <cell r="K45">
            <v>0</v>
          </cell>
          <cell r="L45">
            <v>112991.08</v>
          </cell>
        </row>
        <row r="46">
          <cell r="A46" t="str">
            <v>MARCOS ANTONIO ALDEA BEROIZA</v>
          </cell>
          <cell r="B46" t="str">
            <v>16.981.319-1</v>
          </cell>
          <cell r="C46" t="str">
            <v>Conductor</v>
          </cell>
          <cell r="D46">
            <v>16</v>
          </cell>
          <cell r="E46">
            <v>451.6</v>
          </cell>
          <cell r="F46">
            <v>180</v>
          </cell>
          <cell r="G46">
            <v>0</v>
          </cell>
          <cell r="H46">
            <v>129132.67</v>
          </cell>
          <cell r="I46">
            <v>0</v>
          </cell>
          <cell r="J46">
            <v>0</v>
          </cell>
          <cell r="K46">
            <v>0</v>
          </cell>
          <cell r="L46">
            <v>129132.67</v>
          </cell>
        </row>
        <row r="47">
          <cell r="A47" t="str">
            <v>RICARDO ALEXIS LEMUS LOPEZ</v>
          </cell>
          <cell r="B47" t="str">
            <v>15.969.452-6</v>
          </cell>
          <cell r="C47" t="str">
            <v>Ayudante Perforista</v>
          </cell>
          <cell r="D47">
            <v>11</v>
          </cell>
          <cell r="E47">
            <v>163.05000000000001</v>
          </cell>
          <cell r="F47">
            <v>120</v>
          </cell>
          <cell r="G47">
            <v>0</v>
          </cell>
          <cell r="H47">
            <v>88778.71</v>
          </cell>
          <cell r="I47">
            <v>0</v>
          </cell>
          <cell r="J47">
            <v>0</v>
          </cell>
          <cell r="K47">
            <v>0</v>
          </cell>
          <cell r="L47">
            <v>88778.71</v>
          </cell>
        </row>
        <row r="48">
          <cell r="A48" t="str">
            <v>PABLO ROMARIO BOSSA ZAMORANO</v>
          </cell>
          <cell r="B48" t="str">
            <v>17.521.166-7</v>
          </cell>
          <cell r="C48" t="str">
            <v>Conductor</v>
          </cell>
          <cell r="D48">
            <v>14</v>
          </cell>
          <cell r="E48">
            <v>405.2</v>
          </cell>
          <cell r="F48">
            <v>144</v>
          </cell>
          <cell r="G48">
            <v>0</v>
          </cell>
          <cell r="H48">
            <v>112991.08</v>
          </cell>
          <cell r="I48">
            <v>0</v>
          </cell>
          <cell r="J48">
            <v>0</v>
          </cell>
          <cell r="K48">
            <v>0</v>
          </cell>
          <cell r="L48">
            <v>112991.08</v>
          </cell>
        </row>
        <row r="49">
          <cell r="A49" t="str">
            <v>OSCAR RODRIGO ARIAS LEIVA</v>
          </cell>
          <cell r="B49" t="str">
            <v>20.774.155-8</v>
          </cell>
          <cell r="C49" t="str">
            <v>Ayudante Perforista</v>
          </cell>
          <cell r="D49">
            <v>10</v>
          </cell>
          <cell r="E49">
            <v>185.35</v>
          </cell>
          <cell r="F49">
            <v>120</v>
          </cell>
          <cell r="G49">
            <v>0</v>
          </cell>
          <cell r="H49">
            <v>80707.92</v>
          </cell>
          <cell r="I49">
            <v>0</v>
          </cell>
          <cell r="J49">
            <v>0</v>
          </cell>
          <cell r="K49">
            <v>0</v>
          </cell>
          <cell r="L49">
            <v>80707.92</v>
          </cell>
        </row>
        <row r="50">
          <cell r="A50" t="str">
            <v>MANUEL ALEJANDRO LISAMBARTH CARABANTES</v>
          </cell>
          <cell r="B50" t="str">
            <v>16.892.085-7</v>
          </cell>
          <cell r="C50" t="str">
            <v>Administrativo</v>
          </cell>
          <cell r="D50">
            <v>16</v>
          </cell>
          <cell r="E50">
            <v>397</v>
          </cell>
          <cell r="F50">
            <v>180</v>
          </cell>
          <cell r="G50">
            <v>0</v>
          </cell>
          <cell r="H50">
            <v>129132.67</v>
          </cell>
          <cell r="I50">
            <v>0</v>
          </cell>
          <cell r="J50">
            <v>0</v>
          </cell>
          <cell r="K50">
            <v>0</v>
          </cell>
          <cell r="L50">
            <v>129132.67</v>
          </cell>
        </row>
        <row r="51">
          <cell r="A51" t="str">
            <v>NELSON PATRICIO FLORES SANHUEZA</v>
          </cell>
          <cell r="B51" t="str">
            <v>15.196.627-6</v>
          </cell>
          <cell r="C51" t="str">
            <v>HSEC</v>
          </cell>
          <cell r="D51">
            <v>16</v>
          </cell>
          <cell r="E51">
            <v>451.6</v>
          </cell>
          <cell r="F51">
            <v>180</v>
          </cell>
          <cell r="G51">
            <v>0</v>
          </cell>
          <cell r="H51">
            <v>195668.67</v>
          </cell>
          <cell r="I51">
            <v>0</v>
          </cell>
          <cell r="J51">
            <v>0</v>
          </cell>
          <cell r="K51">
            <v>0</v>
          </cell>
          <cell r="L51">
            <v>195668.67</v>
          </cell>
        </row>
        <row r="52">
          <cell r="A52" t="str">
            <v>OMAR ANDRES ARAYA ZUÑIGA</v>
          </cell>
          <cell r="B52" t="str">
            <v>16.771.866-3</v>
          </cell>
          <cell r="C52" t="str">
            <v>Ayudante Perforista</v>
          </cell>
          <cell r="D52">
            <v>16</v>
          </cell>
          <cell r="E52">
            <v>324.39999999999998</v>
          </cell>
          <cell r="F52">
            <v>192</v>
          </cell>
          <cell r="G52">
            <v>0</v>
          </cell>
          <cell r="H52">
            <v>129132.67</v>
          </cell>
          <cell r="I52">
            <v>0</v>
          </cell>
          <cell r="J52">
            <v>0</v>
          </cell>
          <cell r="K52">
            <v>0</v>
          </cell>
          <cell r="L52">
            <v>129132.67</v>
          </cell>
        </row>
        <row r="53">
          <cell r="A53" t="str">
            <v>PATRICIO RENAN GONZALEZ CABELLO</v>
          </cell>
          <cell r="B53" t="str">
            <v>17.980.395-K</v>
          </cell>
          <cell r="C53" t="str">
            <v>Ayudante Perforista</v>
          </cell>
          <cell r="D53">
            <v>16</v>
          </cell>
          <cell r="E53">
            <v>357.75</v>
          </cell>
          <cell r="F53">
            <v>192</v>
          </cell>
          <cell r="G53">
            <v>0</v>
          </cell>
          <cell r="H53">
            <v>129132.67</v>
          </cell>
          <cell r="I53">
            <v>0</v>
          </cell>
          <cell r="J53">
            <v>0</v>
          </cell>
          <cell r="K53">
            <v>0</v>
          </cell>
          <cell r="L53">
            <v>129132.67</v>
          </cell>
        </row>
        <row r="54">
          <cell r="A54" t="str">
            <v>SEBASTIAN ALEJANDRO ARANEDA MILLAR</v>
          </cell>
          <cell r="B54" t="str">
            <v>18.987.429-4</v>
          </cell>
          <cell r="C54" t="str">
            <v>Ayudante Perforista</v>
          </cell>
          <cell r="D54">
            <v>14</v>
          </cell>
          <cell r="E54">
            <v>303</v>
          </cell>
          <cell r="F54">
            <v>168</v>
          </cell>
          <cell r="G54">
            <v>0</v>
          </cell>
          <cell r="H54">
            <v>112991.08</v>
          </cell>
          <cell r="I54">
            <v>0</v>
          </cell>
          <cell r="J54">
            <v>0</v>
          </cell>
          <cell r="K54">
            <v>0</v>
          </cell>
          <cell r="L54">
            <v>112991.08</v>
          </cell>
        </row>
        <row r="55">
          <cell r="A55" t="str">
            <v>OSCAR MANUEL ESPINOZA ESPINOZA</v>
          </cell>
          <cell r="B55" t="str">
            <v>18.494.069-8</v>
          </cell>
          <cell r="C55" t="str">
            <v>Ayudante Perforista</v>
          </cell>
          <cell r="D55">
            <v>14</v>
          </cell>
          <cell r="E55">
            <v>245.9</v>
          </cell>
          <cell r="F55">
            <v>168</v>
          </cell>
          <cell r="G55">
            <v>0</v>
          </cell>
          <cell r="H55">
            <v>112991.08</v>
          </cell>
          <cell r="I55">
            <v>0</v>
          </cell>
          <cell r="J55">
            <v>0</v>
          </cell>
          <cell r="K55">
            <v>0</v>
          </cell>
          <cell r="L55">
            <v>112991.08</v>
          </cell>
        </row>
        <row r="56">
          <cell r="A56" t="str">
            <v>SEBASTIAN GONZALO ROJAS CLARO</v>
          </cell>
          <cell r="B56" t="str">
            <v>26.931.695-0</v>
          </cell>
          <cell r="C56" t="str">
            <v>Mecánico</v>
          </cell>
          <cell r="D56">
            <v>9</v>
          </cell>
          <cell r="E56">
            <v>202.65</v>
          </cell>
          <cell r="F56">
            <v>108</v>
          </cell>
          <cell r="G56">
            <v>0</v>
          </cell>
          <cell r="H56">
            <v>72637.13</v>
          </cell>
          <cell r="I56">
            <v>0</v>
          </cell>
          <cell r="J56">
            <v>0</v>
          </cell>
          <cell r="K56">
            <v>0</v>
          </cell>
          <cell r="L56">
            <v>72637.13</v>
          </cell>
        </row>
        <row r="57">
          <cell r="A57" t="str">
            <v>RICARDO DE LAS NIEVES GUTIERREZ FUENTES</v>
          </cell>
          <cell r="B57" t="str">
            <v>12.707.776-2</v>
          </cell>
          <cell r="C57" t="str">
            <v>Conductor</v>
          </cell>
          <cell r="D57">
            <v>9</v>
          </cell>
          <cell r="E57">
            <v>202.65</v>
          </cell>
          <cell r="F57">
            <v>108</v>
          </cell>
          <cell r="G57">
            <v>0</v>
          </cell>
          <cell r="H57">
            <v>72637.13</v>
          </cell>
          <cell r="I57">
            <v>0</v>
          </cell>
          <cell r="J57">
            <v>0</v>
          </cell>
          <cell r="K57">
            <v>0</v>
          </cell>
          <cell r="L57">
            <v>72637.13</v>
          </cell>
        </row>
        <row r="58">
          <cell r="A58" t="str">
            <v>RODRIGO ANDRES DIAZ INOSTROZA</v>
          </cell>
          <cell r="B58" t="str">
            <v>17.697.158-4</v>
          </cell>
          <cell r="C58" t="str">
            <v>BODEGUERO</v>
          </cell>
          <cell r="D58">
            <v>16</v>
          </cell>
          <cell r="E58">
            <v>397</v>
          </cell>
          <cell r="F58">
            <v>180</v>
          </cell>
          <cell r="G58">
            <v>0</v>
          </cell>
          <cell r="H58">
            <v>129132.67</v>
          </cell>
          <cell r="I58">
            <v>0</v>
          </cell>
          <cell r="J58">
            <v>0</v>
          </cell>
          <cell r="K58">
            <v>0</v>
          </cell>
          <cell r="L58">
            <v>129132.67</v>
          </cell>
        </row>
        <row r="59">
          <cell r="A59" t="str">
            <v>RAUL MANUEL BUSTAMANTE CERON</v>
          </cell>
          <cell r="B59" t="str">
            <v>16.290.708-5</v>
          </cell>
          <cell r="C59" t="str">
            <v>Soldador</v>
          </cell>
          <cell r="D59">
            <v>14</v>
          </cell>
          <cell r="E59">
            <v>409.2</v>
          </cell>
          <cell r="F59">
            <v>144</v>
          </cell>
          <cell r="G59">
            <v>0</v>
          </cell>
          <cell r="H59">
            <v>112991.08</v>
          </cell>
          <cell r="I59">
            <v>0</v>
          </cell>
          <cell r="J59">
            <v>0</v>
          </cell>
          <cell r="K59">
            <v>0</v>
          </cell>
          <cell r="L59">
            <v>112991.08</v>
          </cell>
        </row>
        <row r="60">
          <cell r="A60" t="str">
            <v>RICKY DONNELLY ARAVENA POBLETE</v>
          </cell>
          <cell r="B60" t="str">
            <v>15.608.134-5</v>
          </cell>
          <cell r="C60" t="str">
            <v>Ayudante Perforista</v>
          </cell>
          <cell r="D60">
            <v>14</v>
          </cell>
          <cell r="E60">
            <v>265.60000000000002</v>
          </cell>
          <cell r="F60">
            <v>168</v>
          </cell>
          <cell r="G60">
            <v>0</v>
          </cell>
          <cell r="H60">
            <v>112991.08</v>
          </cell>
          <cell r="I60">
            <v>0</v>
          </cell>
          <cell r="J60">
            <v>0</v>
          </cell>
          <cell r="K60">
            <v>0</v>
          </cell>
          <cell r="L60">
            <v>112991.08</v>
          </cell>
        </row>
        <row r="61">
          <cell r="A61" t="str">
            <v>PABLO ANTONIO ALVAREZ CORTES</v>
          </cell>
          <cell r="B61" t="str">
            <v>18.184.052-8</v>
          </cell>
          <cell r="C61" t="str">
            <v>HSEC</v>
          </cell>
          <cell r="D61">
            <v>14</v>
          </cell>
          <cell r="E61">
            <v>409.2</v>
          </cell>
          <cell r="F61">
            <v>144</v>
          </cell>
          <cell r="G61">
            <v>0</v>
          </cell>
          <cell r="H61">
            <v>171210.08</v>
          </cell>
          <cell r="I61">
            <v>0</v>
          </cell>
          <cell r="J61">
            <v>0</v>
          </cell>
          <cell r="K61">
            <v>0</v>
          </cell>
          <cell r="L61">
            <v>171210.08</v>
          </cell>
        </row>
        <row r="62">
          <cell r="A62" t="str">
            <v>CHRISTOFER HUESLY OLIVARES FERNANDEZ</v>
          </cell>
          <cell r="B62" t="str">
            <v>16.755.649-3</v>
          </cell>
          <cell r="C62" t="str">
            <v>Ayudante Perforista</v>
          </cell>
          <cell r="D62">
            <v>14</v>
          </cell>
          <cell r="E62">
            <v>265.60000000000002</v>
          </cell>
          <cell r="F62">
            <v>168</v>
          </cell>
          <cell r="G62">
            <v>0</v>
          </cell>
          <cell r="H62">
            <v>112991.08</v>
          </cell>
          <cell r="I62">
            <v>0</v>
          </cell>
          <cell r="J62">
            <v>0</v>
          </cell>
          <cell r="K62">
            <v>0</v>
          </cell>
          <cell r="L62">
            <v>112991.08</v>
          </cell>
        </row>
        <row r="63">
          <cell r="A63" t="str">
            <v>RAUL  ESTEBAN  HERNANDEZ PIZARRO</v>
          </cell>
          <cell r="B63" t="str">
            <v>18.494.463-4</v>
          </cell>
          <cell r="C63" t="str">
            <v>HSEC</v>
          </cell>
          <cell r="D63">
            <v>16</v>
          </cell>
          <cell r="E63">
            <v>342</v>
          </cell>
          <cell r="F63">
            <v>180</v>
          </cell>
          <cell r="G63">
            <v>0</v>
          </cell>
          <cell r="H63">
            <v>195668.67</v>
          </cell>
          <cell r="I63">
            <v>0</v>
          </cell>
          <cell r="J63">
            <v>0</v>
          </cell>
          <cell r="K63">
            <v>0</v>
          </cell>
          <cell r="L63">
            <v>195668.67</v>
          </cell>
        </row>
        <row r="64">
          <cell r="A64" t="str">
            <v>SEBASTIAN IGNACIO ORTEGA GOMEZ</v>
          </cell>
          <cell r="B64" t="str">
            <v>19.460.307-K</v>
          </cell>
          <cell r="C64" t="str">
            <v>Mecánico</v>
          </cell>
          <cell r="D64">
            <v>7</v>
          </cell>
          <cell r="E64">
            <v>153</v>
          </cell>
          <cell r="F64">
            <v>48</v>
          </cell>
          <cell r="G64">
            <v>0</v>
          </cell>
          <cell r="H64">
            <v>56495.54</v>
          </cell>
          <cell r="I64">
            <v>0</v>
          </cell>
          <cell r="J64">
            <v>0</v>
          </cell>
          <cell r="K64">
            <v>0</v>
          </cell>
          <cell r="L64">
            <v>56495.54</v>
          </cell>
        </row>
        <row r="65">
          <cell r="A65" t="str">
            <v>VLADIMIR OMAR CASTRO ENCINA</v>
          </cell>
          <cell r="B65" t="str">
            <v>16.441.822-7</v>
          </cell>
          <cell r="C65" t="str">
            <v>Perforista</v>
          </cell>
          <cell r="D65">
            <v>7</v>
          </cell>
          <cell r="E65">
            <v>139.35</v>
          </cell>
          <cell r="F65">
            <v>72</v>
          </cell>
          <cell r="G65">
            <v>0</v>
          </cell>
          <cell r="H65">
            <v>85605.04</v>
          </cell>
          <cell r="I65">
            <v>0</v>
          </cell>
          <cell r="J65">
            <v>0</v>
          </cell>
          <cell r="K65">
            <v>0</v>
          </cell>
          <cell r="L65">
            <v>85605.04</v>
          </cell>
        </row>
        <row r="66">
          <cell r="A66" t="str">
            <v>SHANNAN ELIZABETH DOBB</v>
          </cell>
          <cell r="B66" t="str">
            <v>44.630.339-2</v>
          </cell>
          <cell r="C66" t="str">
            <v>Ayudante Perforista</v>
          </cell>
          <cell r="D66">
            <v>7</v>
          </cell>
          <cell r="E66">
            <v>139.35</v>
          </cell>
          <cell r="F66">
            <v>72</v>
          </cell>
          <cell r="G66">
            <v>0</v>
          </cell>
          <cell r="H66">
            <v>56495.54</v>
          </cell>
          <cell r="I66">
            <v>0</v>
          </cell>
          <cell r="J66">
            <v>0</v>
          </cell>
          <cell r="K66">
            <v>0</v>
          </cell>
          <cell r="L66">
            <v>56495.54</v>
          </cell>
        </row>
        <row r="67">
          <cell r="A67" t="str">
            <v>SIMONNE DE LA PAZ REYES BATLLE</v>
          </cell>
          <cell r="B67" t="str">
            <v>18.490.734-8</v>
          </cell>
          <cell r="C67" t="str">
            <v>Administrativo</v>
          </cell>
          <cell r="D67">
            <v>18</v>
          </cell>
          <cell r="E67">
            <v>508.45</v>
          </cell>
          <cell r="F67">
            <v>228</v>
          </cell>
          <cell r="G67">
            <v>0</v>
          </cell>
          <cell r="H67">
            <v>145274.25</v>
          </cell>
          <cell r="I67">
            <v>0</v>
          </cell>
          <cell r="J67">
            <v>0</v>
          </cell>
          <cell r="K67">
            <v>0</v>
          </cell>
          <cell r="L67">
            <v>145274.25</v>
          </cell>
        </row>
        <row r="68">
          <cell r="A68" t="str">
            <v>RUBEN IGNACIO CORTES BORBON</v>
          </cell>
          <cell r="B68" t="str">
            <v>19.983.747-8</v>
          </cell>
          <cell r="C68" t="str">
            <v>Ayudante Perforista</v>
          </cell>
          <cell r="D68">
            <v>16</v>
          </cell>
          <cell r="E68">
            <v>389.95</v>
          </cell>
          <cell r="F68">
            <v>192</v>
          </cell>
          <cell r="G68">
            <v>0</v>
          </cell>
          <cell r="H68">
            <v>129132.67</v>
          </cell>
          <cell r="I68">
            <v>0</v>
          </cell>
          <cell r="J68">
            <v>0</v>
          </cell>
          <cell r="K68">
            <v>0</v>
          </cell>
          <cell r="L68">
            <v>129132.67</v>
          </cell>
        </row>
        <row r="69">
          <cell r="A69" t="str">
            <v>CHRISTIAN DARIEM PIZARRO MUÑOZ</v>
          </cell>
          <cell r="B69" t="str">
            <v>20.456.853-7</v>
          </cell>
          <cell r="C69" t="str">
            <v>Soldador</v>
          </cell>
          <cell r="D69">
            <v>16</v>
          </cell>
          <cell r="E69">
            <v>397</v>
          </cell>
          <cell r="F69">
            <v>180</v>
          </cell>
          <cell r="G69">
            <v>0</v>
          </cell>
          <cell r="H69">
            <v>129132.67</v>
          </cell>
          <cell r="I69">
            <v>0</v>
          </cell>
          <cell r="J69">
            <v>0</v>
          </cell>
          <cell r="K69">
            <v>0</v>
          </cell>
          <cell r="L69">
            <v>129132.67</v>
          </cell>
        </row>
        <row r="70">
          <cell r="A70" t="str">
            <v>JOAQUIN IGNACIO TORO ALCAYAGA</v>
          </cell>
          <cell r="B70" t="str">
            <v>19.189.343-3</v>
          </cell>
          <cell r="C70" t="str">
            <v>Ayudante Perforista</v>
          </cell>
          <cell r="D70">
            <v>9</v>
          </cell>
          <cell r="E70">
            <v>170.85</v>
          </cell>
          <cell r="F70">
            <v>108</v>
          </cell>
          <cell r="G70">
            <v>0</v>
          </cell>
          <cell r="H70">
            <v>72637.13</v>
          </cell>
          <cell r="I70">
            <v>0</v>
          </cell>
          <cell r="J70">
            <v>0</v>
          </cell>
          <cell r="K70">
            <v>0</v>
          </cell>
          <cell r="L70">
            <v>72637.13</v>
          </cell>
        </row>
        <row r="71">
          <cell r="A71" t="str">
            <v>MARCELO ALEJANDRO INZUNZA ALARCON</v>
          </cell>
          <cell r="B71" t="str">
            <v>15.197.539-9</v>
          </cell>
          <cell r="C71" t="str">
            <v>Ayudante Perforista</v>
          </cell>
          <cell r="D71">
            <v>14</v>
          </cell>
          <cell r="E71">
            <v>288.5</v>
          </cell>
          <cell r="F71">
            <v>168</v>
          </cell>
          <cell r="G71">
            <v>0</v>
          </cell>
          <cell r="H71">
            <v>112991.08</v>
          </cell>
          <cell r="I71">
            <v>0</v>
          </cell>
          <cell r="J71">
            <v>0</v>
          </cell>
          <cell r="K71">
            <v>0</v>
          </cell>
          <cell r="L71">
            <v>112991.08</v>
          </cell>
        </row>
        <row r="72">
          <cell r="A72" t="str">
            <v>FELIX ALEJANDRO MERY ROBLEDO</v>
          </cell>
          <cell r="B72" t="str">
            <v>15.050.755-3</v>
          </cell>
          <cell r="C72" t="str">
            <v>Administrador de Contrato</v>
          </cell>
          <cell r="D72">
            <v>14</v>
          </cell>
          <cell r="E72">
            <v>277.05</v>
          </cell>
          <cell r="F72">
            <v>120</v>
          </cell>
          <cell r="G72">
            <v>0</v>
          </cell>
          <cell r="H72">
            <v>171210.08</v>
          </cell>
          <cell r="I72">
            <v>0</v>
          </cell>
          <cell r="J72">
            <v>0</v>
          </cell>
          <cell r="K72">
            <v>0</v>
          </cell>
          <cell r="L72">
            <v>171210.08</v>
          </cell>
        </row>
        <row r="73">
          <cell r="A73" t="str">
            <v>FRANCISCO PEDRO BORNAZ DELGADO</v>
          </cell>
          <cell r="B73" t="str">
            <v>44.599.978-4</v>
          </cell>
          <cell r="C73" t="str">
            <v>Supervisor</v>
          </cell>
          <cell r="D73">
            <v>20</v>
          </cell>
          <cell r="E73">
            <v>568.9</v>
          </cell>
          <cell r="F73">
            <v>240</v>
          </cell>
          <cell r="G73">
            <v>0</v>
          </cell>
          <cell r="H73">
            <v>244585.83</v>
          </cell>
          <cell r="I73">
            <v>0</v>
          </cell>
          <cell r="J73">
            <v>0</v>
          </cell>
          <cell r="K73">
            <v>0</v>
          </cell>
          <cell r="L73">
            <v>244585.83</v>
          </cell>
        </row>
        <row r="74">
          <cell r="A74" t="str">
            <v>LUIS GERARDO LOPEZ OLAVE</v>
          </cell>
          <cell r="B74" t="str">
            <v>17.169.171-0</v>
          </cell>
          <cell r="C74" t="str">
            <v>Mecánico</v>
          </cell>
          <cell r="D74">
            <v>17</v>
          </cell>
          <cell r="E74">
            <v>399.45</v>
          </cell>
          <cell r="F74">
            <v>168</v>
          </cell>
          <cell r="G74">
            <v>0</v>
          </cell>
          <cell r="H74">
            <v>137203.46</v>
          </cell>
          <cell r="I74">
            <v>0</v>
          </cell>
          <cell r="J74">
            <v>0</v>
          </cell>
          <cell r="K74">
            <v>0</v>
          </cell>
          <cell r="L74">
            <v>137203.46</v>
          </cell>
        </row>
        <row r="75">
          <cell r="A75" t="str">
            <v>ROBERTO MAURICIO VERGARA NEGRETE</v>
          </cell>
          <cell r="B75" t="str">
            <v>16.005.822-6</v>
          </cell>
          <cell r="C75" t="str">
            <v>Electromecánico</v>
          </cell>
          <cell r="D75">
            <v>14</v>
          </cell>
          <cell r="E75">
            <v>409.2</v>
          </cell>
          <cell r="F75">
            <v>144</v>
          </cell>
          <cell r="G75">
            <v>0</v>
          </cell>
          <cell r="H75">
            <v>112991.08</v>
          </cell>
          <cell r="I75">
            <v>0</v>
          </cell>
          <cell r="J75">
            <v>0</v>
          </cell>
          <cell r="K75">
            <v>0</v>
          </cell>
          <cell r="L75">
            <v>112991.08</v>
          </cell>
        </row>
        <row r="76">
          <cell r="A76" t="str">
            <v>JOSE MANUEL CASTILLO GARCIA</v>
          </cell>
          <cell r="B76" t="str">
            <v>13.745.724-5</v>
          </cell>
          <cell r="C76" t="str">
            <v>INSTRUCTOR DE OPERACIONES</v>
          </cell>
          <cell r="D76">
            <v>3</v>
          </cell>
          <cell r="E76">
            <v>97.9</v>
          </cell>
          <cell r="F76">
            <v>36</v>
          </cell>
          <cell r="G76">
            <v>0</v>
          </cell>
          <cell r="H76">
            <v>24212.38</v>
          </cell>
          <cell r="I76">
            <v>0</v>
          </cell>
          <cell r="J76">
            <v>0</v>
          </cell>
          <cell r="K76">
            <v>0</v>
          </cell>
          <cell r="L76">
            <v>24212.38</v>
          </cell>
        </row>
        <row r="77">
          <cell r="A77" t="str">
            <v>JORGE ANDRES LICANQUEO PEREZ</v>
          </cell>
          <cell r="B77" t="str">
            <v>19.518.296-5</v>
          </cell>
          <cell r="C77" t="str">
            <v>Mecánico</v>
          </cell>
          <cell r="D77">
            <v>16</v>
          </cell>
          <cell r="E77">
            <v>397</v>
          </cell>
          <cell r="F77">
            <v>180</v>
          </cell>
          <cell r="G77">
            <v>0</v>
          </cell>
          <cell r="H77">
            <v>129132.67</v>
          </cell>
          <cell r="I77">
            <v>0</v>
          </cell>
          <cell r="J77">
            <v>0</v>
          </cell>
          <cell r="K77">
            <v>0</v>
          </cell>
          <cell r="L77">
            <v>129132.67</v>
          </cell>
        </row>
        <row r="78">
          <cell r="A78" t="str">
            <v>LUIS ALFREDO MORENO RIOS</v>
          </cell>
          <cell r="B78" t="str">
            <v>18.318.426-1</v>
          </cell>
          <cell r="C78" t="str">
            <v>Chofer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484247.5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</row>
        <row r="79">
          <cell r="A79" t="str">
            <v>RAUL ALEJANDRO RIVERO RIVERO</v>
          </cell>
          <cell r="B79" t="str">
            <v>18.520.328-K</v>
          </cell>
          <cell r="C79" t="str">
            <v>Supervisor</v>
          </cell>
          <cell r="D79">
            <v>14</v>
          </cell>
          <cell r="E79">
            <v>409.2</v>
          </cell>
          <cell r="F79">
            <v>144</v>
          </cell>
          <cell r="G79">
            <v>0</v>
          </cell>
          <cell r="H79">
            <v>171210.08</v>
          </cell>
          <cell r="I79">
            <v>0</v>
          </cell>
          <cell r="J79">
            <v>0</v>
          </cell>
          <cell r="K79">
            <v>0</v>
          </cell>
          <cell r="L79">
            <v>171210.08</v>
          </cell>
        </row>
        <row r="80">
          <cell r="A80" t="str">
            <v>KEVIN ESTEBAN VALENZUELA VALENZUELA</v>
          </cell>
          <cell r="B80" t="str">
            <v>21.474.308-6</v>
          </cell>
          <cell r="C80" t="str">
            <v>Perforista</v>
          </cell>
          <cell r="D80">
            <v>14</v>
          </cell>
          <cell r="E80">
            <v>303</v>
          </cell>
          <cell r="F80">
            <v>168</v>
          </cell>
          <cell r="G80">
            <v>0</v>
          </cell>
          <cell r="H80">
            <v>171210.08</v>
          </cell>
          <cell r="I80">
            <v>0</v>
          </cell>
          <cell r="J80">
            <v>0</v>
          </cell>
          <cell r="K80">
            <v>0</v>
          </cell>
          <cell r="L80">
            <v>171210.08</v>
          </cell>
        </row>
        <row r="81">
          <cell r="A81" t="str">
            <v>OSCAR ALEXIS JARA MEJÍAS</v>
          </cell>
          <cell r="B81" t="str">
            <v>14.043.436-1</v>
          </cell>
          <cell r="C81" t="str">
            <v>Conductor</v>
          </cell>
          <cell r="D81">
            <v>7</v>
          </cell>
          <cell r="E81">
            <v>139.35</v>
          </cell>
          <cell r="F81">
            <v>72</v>
          </cell>
          <cell r="G81">
            <v>0</v>
          </cell>
          <cell r="H81">
            <v>56495.54</v>
          </cell>
          <cell r="I81">
            <v>0</v>
          </cell>
          <cell r="J81">
            <v>0</v>
          </cell>
          <cell r="K81">
            <v>0</v>
          </cell>
          <cell r="L81">
            <v>56495.54</v>
          </cell>
        </row>
        <row r="82">
          <cell r="A82" t="str">
            <v>SEBASTIAN ANTONIO VALDERRAMA HERRERA</v>
          </cell>
          <cell r="B82" t="str">
            <v>18.403.269-4</v>
          </cell>
          <cell r="C82" t="str">
            <v>Ayudante Perforista</v>
          </cell>
          <cell r="D82">
            <v>9</v>
          </cell>
          <cell r="E82">
            <v>141</v>
          </cell>
          <cell r="F82">
            <v>108</v>
          </cell>
          <cell r="G82">
            <v>0</v>
          </cell>
          <cell r="H82">
            <v>72637.13</v>
          </cell>
          <cell r="I82">
            <v>0</v>
          </cell>
          <cell r="J82">
            <v>0</v>
          </cell>
          <cell r="K82">
            <v>0</v>
          </cell>
          <cell r="L82">
            <v>72637.13</v>
          </cell>
        </row>
        <row r="83">
          <cell r="A83" t="str">
            <v>NICOLAS ALBERTO CARVAJAL PASTEN</v>
          </cell>
          <cell r="B83" t="str">
            <v>20.308.969-4</v>
          </cell>
          <cell r="C83" t="str">
            <v>Ayudante Perforista</v>
          </cell>
          <cell r="D83">
            <v>14</v>
          </cell>
          <cell r="E83">
            <v>245.9</v>
          </cell>
          <cell r="F83">
            <v>168</v>
          </cell>
          <cell r="G83">
            <v>0</v>
          </cell>
          <cell r="H83">
            <v>112991.08</v>
          </cell>
          <cell r="I83">
            <v>0</v>
          </cell>
          <cell r="J83">
            <v>0</v>
          </cell>
          <cell r="K83">
            <v>0</v>
          </cell>
          <cell r="L83">
            <v>112991.08</v>
          </cell>
        </row>
        <row r="84">
          <cell r="A84" t="str">
            <v>WALTER LISANDRO SALAS MESA</v>
          </cell>
          <cell r="B84" t="str">
            <v>15.955.871-1</v>
          </cell>
          <cell r="C84" t="str">
            <v>Perforista</v>
          </cell>
          <cell r="D84">
            <v>7</v>
          </cell>
          <cell r="E84">
            <v>151.69999999999999</v>
          </cell>
          <cell r="F84">
            <v>96</v>
          </cell>
          <cell r="G84">
            <v>0</v>
          </cell>
          <cell r="H84">
            <v>85605.04</v>
          </cell>
          <cell r="I84">
            <v>0</v>
          </cell>
          <cell r="J84">
            <v>0</v>
          </cell>
          <cell r="K84">
            <v>0</v>
          </cell>
          <cell r="L84">
            <v>85605.04</v>
          </cell>
        </row>
        <row r="85">
          <cell r="A85" t="str">
            <v>ANGELO GIOVANNI BIZAMA ORELLANA</v>
          </cell>
          <cell r="B85" t="str">
            <v>20.037.472-K</v>
          </cell>
          <cell r="C85" t="str">
            <v>Ayudante Perforista</v>
          </cell>
          <cell r="D85">
            <v>8</v>
          </cell>
          <cell r="E85">
            <v>128.25</v>
          </cell>
          <cell r="F85">
            <v>96</v>
          </cell>
          <cell r="G85">
            <v>0</v>
          </cell>
          <cell r="H85">
            <v>64566.33</v>
          </cell>
          <cell r="I85">
            <v>0</v>
          </cell>
          <cell r="J85">
            <v>0</v>
          </cell>
          <cell r="K85">
            <v>0</v>
          </cell>
          <cell r="L85">
            <v>64566.33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ANDRES SEBASTIAN CASTILLO EN"/>
      <sheetName val="JOSE LEANDRO PARRA SARAVIA"/>
      <sheetName val="ALBERTO SEGUNDO CALLPA NUÑEZ"/>
      <sheetName val="CLAUDIO ALEXI ELIZALDE OLAVA"/>
      <sheetName val="MANUEL ALEJANDRO ROJAS VEGA"/>
      <sheetName val="NORA ALEXANDRA SALAS ROJAS"/>
      <sheetName val="ENRIQUE ANTONIO CORTES SANTA"/>
      <sheetName val="CRISTIAN REINALDO VERDEJO CI"/>
      <sheetName val="ENRIQUE ALFONSO ROJAS MUÑOZ"/>
      <sheetName val="GONZALO FELIPE GALVEZ RIVERA"/>
      <sheetName val="JONATHAN ALEJANDRO BERENGUEL"/>
      <sheetName val="MOISES ARON DAZA CANALES"/>
      <sheetName val="YERKO HUMBERTO ARAYA MILLAÑI"/>
      <sheetName val="RICHARD MAURICIO MALLA MAYA"/>
      <sheetName val="MARCELO GIOVANNI RAMIREZ BAR"/>
      <sheetName val="MIGUEL LLANOS CULQUI"/>
      <sheetName val="ANGELO IGNACIO GOMEZ PIZARRO"/>
      <sheetName val="VICTOR DANIEL MONTAÑO ARAYA"/>
      <sheetName val="CARLOS ANDRES VASQUEZ ESQUIV"/>
      <sheetName val="VICTOR ALFONSO ALVAREZ CORTE"/>
      <sheetName val="JAIME ERNESTO ESPINOZA ALCAY"/>
      <sheetName val="DAYNE JEFFERY PASSMORE"/>
      <sheetName val="MATIAS IGNACIO HANNUCSH GRUN"/>
      <sheetName val="MICHAEL ANDRES GONZALEZ ACEV"/>
      <sheetName val="JOSE LUIS GALLARDO VERGARA"/>
      <sheetName val="PATRICIO HERNAN PIMIENTO ARI"/>
      <sheetName val="JUAN FELIPE SANHUEZA CARVAJA"/>
      <sheetName val="ROBERTO ANTONIO PINILLA PERE"/>
      <sheetName val="Tarifas y Reglas"/>
    </sheetNames>
    <sheetDataSet>
      <sheetData sheetId="0">
        <row r="5">
          <cell r="A5" t="str">
            <v>ANDRES SEBASTIAN CASTILLO ENCINA</v>
          </cell>
          <cell r="B5" t="str">
            <v>15.885.524-0</v>
          </cell>
          <cell r="C5" t="str">
            <v>Chofer</v>
          </cell>
          <cell r="D5">
            <v>8</v>
          </cell>
          <cell r="E5">
            <v>0</v>
          </cell>
          <cell r="F5">
            <v>0</v>
          </cell>
          <cell r="G5">
            <v>0</v>
          </cell>
          <cell r="H5">
            <v>26077.33</v>
          </cell>
          <cell r="I5">
            <v>0</v>
          </cell>
          <cell r="J5">
            <v>0</v>
          </cell>
          <cell r="K5">
            <v>0</v>
          </cell>
          <cell r="L5">
            <v>26077.33</v>
          </cell>
        </row>
        <row r="6">
          <cell r="A6" t="str">
            <v>JOSE LEANDRO PARRA SARAVIA</v>
          </cell>
          <cell r="B6" t="str">
            <v>13.809.180-5</v>
          </cell>
          <cell r="C6" t="str">
            <v>Chofer</v>
          </cell>
          <cell r="D6">
            <v>10</v>
          </cell>
          <cell r="E6">
            <v>0</v>
          </cell>
          <cell r="F6">
            <v>0</v>
          </cell>
          <cell r="G6">
            <v>0</v>
          </cell>
          <cell r="H6">
            <v>32596.67</v>
          </cell>
          <cell r="I6">
            <v>0</v>
          </cell>
          <cell r="J6">
            <v>0</v>
          </cell>
          <cell r="K6">
            <v>0</v>
          </cell>
          <cell r="L6">
            <v>32596.67</v>
          </cell>
        </row>
        <row r="7">
          <cell r="A7" t="str">
            <v>ALBERTO SEGUNDO CALLPA NUÑEZ</v>
          </cell>
          <cell r="B7" t="str">
            <v>16.250.239-5</v>
          </cell>
          <cell r="C7" t="str">
            <v>Ayudante de Perforista</v>
          </cell>
          <cell r="D7">
            <v>10</v>
          </cell>
          <cell r="E7">
            <v>0</v>
          </cell>
          <cell r="F7">
            <v>0</v>
          </cell>
          <cell r="G7">
            <v>0</v>
          </cell>
          <cell r="H7">
            <v>32596.67</v>
          </cell>
          <cell r="I7">
            <v>0</v>
          </cell>
          <cell r="J7">
            <v>0</v>
          </cell>
          <cell r="K7">
            <v>0</v>
          </cell>
          <cell r="L7">
            <v>32596.67</v>
          </cell>
        </row>
        <row r="8">
          <cell r="A8" t="str">
            <v>CLAUDIO ALEXI ELIZALDE OLAVARRIA</v>
          </cell>
          <cell r="B8" t="str">
            <v>13.874.482-5</v>
          </cell>
          <cell r="C8" t="str">
            <v>Ayudante de Perforista</v>
          </cell>
          <cell r="D8">
            <v>10</v>
          </cell>
          <cell r="E8">
            <v>0</v>
          </cell>
          <cell r="F8">
            <v>0</v>
          </cell>
          <cell r="G8">
            <v>0</v>
          </cell>
          <cell r="H8">
            <v>32596.67</v>
          </cell>
          <cell r="I8">
            <v>0</v>
          </cell>
          <cell r="J8">
            <v>0</v>
          </cell>
          <cell r="K8">
            <v>0</v>
          </cell>
          <cell r="L8">
            <v>32596.67</v>
          </cell>
        </row>
        <row r="9">
          <cell r="A9" t="str">
            <v>MANUEL ALEJANDRO ROJAS VEGA</v>
          </cell>
          <cell r="B9" t="str">
            <v>15.051.760-5</v>
          </cell>
          <cell r="C9" t="str">
            <v>Ayudante de Perforista</v>
          </cell>
          <cell r="D9">
            <v>10</v>
          </cell>
          <cell r="E9">
            <v>0</v>
          </cell>
          <cell r="F9">
            <v>0</v>
          </cell>
          <cell r="G9">
            <v>0</v>
          </cell>
          <cell r="H9">
            <v>32596.67</v>
          </cell>
          <cell r="I9">
            <v>0</v>
          </cell>
          <cell r="J9">
            <v>0</v>
          </cell>
          <cell r="K9">
            <v>0</v>
          </cell>
          <cell r="L9">
            <v>32596.67</v>
          </cell>
        </row>
        <row r="10">
          <cell r="A10" t="str">
            <v>NORA ALEXANDRA SALAS ROJAS</v>
          </cell>
          <cell r="B10" t="str">
            <v>18.352.777-0</v>
          </cell>
          <cell r="C10" t="str">
            <v>Prevencionista de Riesgos</v>
          </cell>
          <cell r="D10">
            <v>10</v>
          </cell>
          <cell r="E10">
            <v>0</v>
          </cell>
          <cell r="F10">
            <v>0</v>
          </cell>
          <cell r="G10">
            <v>0</v>
          </cell>
          <cell r="H10">
            <v>45703.33</v>
          </cell>
          <cell r="I10">
            <v>0</v>
          </cell>
          <cell r="J10">
            <v>0</v>
          </cell>
          <cell r="K10">
            <v>0</v>
          </cell>
          <cell r="L10">
            <v>45703.33</v>
          </cell>
        </row>
        <row r="11">
          <cell r="A11" t="str">
            <v>ENRIQUE ANTONIO CORTES SANTANA</v>
          </cell>
          <cell r="B11" t="str">
            <v>14.116.898-3</v>
          </cell>
          <cell r="C11" t="str">
            <v>Ayudante de Perforista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32596.67</v>
          </cell>
          <cell r="I11">
            <v>0</v>
          </cell>
          <cell r="J11">
            <v>0</v>
          </cell>
          <cell r="K11">
            <v>0</v>
          </cell>
          <cell r="L11">
            <v>32596.67</v>
          </cell>
        </row>
        <row r="12">
          <cell r="A12" t="str">
            <v>CRISTIAN REINALDO VERDEJO CISTERNAS</v>
          </cell>
          <cell r="B12" t="str">
            <v>13.186.913-4</v>
          </cell>
          <cell r="C12" t="str">
            <v>Bodeguero</v>
          </cell>
          <cell r="D12">
            <v>10</v>
          </cell>
          <cell r="E12">
            <v>0</v>
          </cell>
          <cell r="F12">
            <v>0</v>
          </cell>
          <cell r="G12">
            <v>0</v>
          </cell>
          <cell r="H12">
            <v>32596.67</v>
          </cell>
          <cell r="I12">
            <v>0</v>
          </cell>
          <cell r="J12">
            <v>0</v>
          </cell>
          <cell r="K12">
            <v>0</v>
          </cell>
          <cell r="L12">
            <v>32596.67</v>
          </cell>
        </row>
        <row r="13">
          <cell r="A13" t="str">
            <v>ENRIQUE ALFONSO ROJAS MUÑOZ</v>
          </cell>
          <cell r="B13" t="str">
            <v>16.053.860-0</v>
          </cell>
          <cell r="C13" t="str">
            <v>Perforista</v>
          </cell>
          <cell r="D13">
            <v>10</v>
          </cell>
          <cell r="E13">
            <v>0</v>
          </cell>
          <cell r="F13">
            <v>0</v>
          </cell>
          <cell r="G13">
            <v>0</v>
          </cell>
          <cell r="H13">
            <v>45703.33</v>
          </cell>
          <cell r="I13">
            <v>0</v>
          </cell>
          <cell r="J13">
            <v>0</v>
          </cell>
          <cell r="K13">
            <v>0</v>
          </cell>
          <cell r="L13">
            <v>45703.33</v>
          </cell>
        </row>
        <row r="14">
          <cell r="A14" t="str">
            <v>GONZALO FELIPE GALVEZ RIVERA</v>
          </cell>
          <cell r="B14" t="str">
            <v>13.650.378-2</v>
          </cell>
          <cell r="C14" t="str">
            <v>Perforista</v>
          </cell>
          <cell r="D14">
            <v>10</v>
          </cell>
          <cell r="E14">
            <v>0</v>
          </cell>
          <cell r="F14">
            <v>0</v>
          </cell>
          <cell r="G14">
            <v>0</v>
          </cell>
          <cell r="H14">
            <v>45703.33</v>
          </cell>
          <cell r="I14">
            <v>0</v>
          </cell>
          <cell r="J14">
            <v>0</v>
          </cell>
          <cell r="K14">
            <v>0</v>
          </cell>
          <cell r="L14">
            <v>45703.33</v>
          </cell>
        </row>
        <row r="15">
          <cell r="A15" t="str">
            <v>JONATHAN ALEJANDRO BERENGUELA RIVEROS</v>
          </cell>
          <cell r="B15" t="str">
            <v>19.347.920-0</v>
          </cell>
          <cell r="C15" t="str">
            <v>Ayudante de Perforista</v>
          </cell>
          <cell r="D15">
            <v>10</v>
          </cell>
          <cell r="E15">
            <v>0</v>
          </cell>
          <cell r="F15">
            <v>0</v>
          </cell>
          <cell r="G15">
            <v>0</v>
          </cell>
          <cell r="H15">
            <v>32596.67</v>
          </cell>
          <cell r="I15">
            <v>0</v>
          </cell>
          <cell r="J15">
            <v>0</v>
          </cell>
          <cell r="K15">
            <v>0</v>
          </cell>
          <cell r="L15">
            <v>32596.67</v>
          </cell>
        </row>
        <row r="16">
          <cell r="A16" t="str">
            <v>MOISES ARON DAZA CANALES</v>
          </cell>
          <cell r="B16" t="str">
            <v>11.726.428-9</v>
          </cell>
          <cell r="C16" t="str">
            <v>Perforista</v>
          </cell>
          <cell r="D16">
            <v>10</v>
          </cell>
          <cell r="E16">
            <v>0</v>
          </cell>
          <cell r="F16">
            <v>0</v>
          </cell>
          <cell r="G16">
            <v>0</v>
          </cell>
          <cell r="H16">
            <v>45703.33</v>
          </cell>
          <cell r="I16">
            <v>0</v>
          </cell>
          <cell r="J16">
            <v>0</v>
          </cell>
          <cell r="K16">
            <v>0</v>
          </cell>
          <cell r="L16">
            <v>45703.33</v>
          </cell>
        </row>
        <row r="17">
          <cell r="A17" t="str">
            <v>YERKO HUMBERTO ARAYA MILLAÑIR</v>
          </cell>
          <cell r="B17" t="str">
            <v>15.584.254-7</v>
          </cell>
          <cell r="C17" t="str">
            <v>Supervisor de Operaciones</v>
          </cell>
          <cell r="D17">
            <v>10</v>
          </cell>
          <cell r="E17">
            <v>0</v>
          </cell>
          <cell r="F17">
            <v>0</v>
          </cell>
          <cell r="G17">
            <v>0</v>
          </cell>
          <cell r="H17">
            <v>45703.33</v>
          </cell>
          <cell r="I17">
            <v>0</v>
          </cell>
          <cell r="J17">
            <v>0</v>
          </cell>
          <cell r="K17">
            <v>0</v>
          </cell>
          <cell r="L17">
            <v>45703.33</v>
          </cell>
        </row>
        <row r="18">
          <cell r="A18" t="str">
            <v>RICHARD MAURICIO MALLA MAYA</v>
          </cell>
          <cell r="B18" t="str">
            <v>12.939.165-0</v>
          </cell>
          <cell r="C18" t="str">
            <v>Mecánico</v>
          </cell>
          <cell r="D18">
            <v>10</v>
          </cell>
          <cell r="E18">
            <v>0</v>
          </cell>
          <cell r="F18">
            <v>0</v>
          </cell>
          <cell r="G18">
            <v>0</v>
          </cell>
          <cell r="H18">
            <v>32596.67</v>
          </cell>
          <cell r="I18">
            <v>0</v>
          </cell>
          <cell r="J18">
            <v>0</v>
          </cell>
          <cell r="K18">
            <v>0</v>
          </cell>
          <cell r="L18">
            <v>32596.67</v>
          </cell>
        </row>
        <row r="19">
          <cell r="A19" t="str">
            <v>MARCELO GIOVANNI RAMIREZ BARRAZA</v>
          </cell>
          <cell r="B19" t="str">
            <v>19.948.246-7</v>
          </cell>
          <cell r="C19" t="str">
            <v>Mecánico Líder</v>
          </cell>
          <cell r="D19">
            <v>10</v>
          </cell>
          <cell r="E19">
            <v>0</v>
          </cell>
          <cell r="F19">
            <v>0</v>
          </cell>
          <cell r="G19">
            <v>0</v>
          </cell>
          <cell r="H19">
            <v>45703.33</v>
          </cell>
          <cell r="I19">
            <v>0</v>
          </cell>
          <cell r="J19">
            <v>0</v>
          </cell>
          <cell r="K19">
            <v>0</v>
          </cell>
          <cell r="L19">
            <v>45703.33</v>
          </cell>
        </row>
        <row r="20">
          <cell r="A20" t="str">
            <v>MIGUEL LLANOS CULQUI</v>
          </cell>
          <cell r="B20" t="str">
            <v>44.601.250-9</v>
          </cell>
          <cell r="C20" t="str">
            <v>Perforista</v>
          </cell>
          <cell r="D20">
            <v>10</v>
          </cell>
          <cell r="E20">
            <v>0</v>
          </cell>
          <cell r="F20">
            <v>0</v>
          </cell>
          <cell r="G20">
            <v>0</v>
          </cell>
          <cell r="H20">
            <v>45703.33</v>
          </cell>
          <cell r="I20">
            <v>0</v>
          </cell>
          <cell r="J20">
            <v>0</v>
          </cell>
          <cell r="K20">
            <v>0</v>
          </cell>
          <cell r="L20">
            <v>45703.33</v>
          </cell>
        </row>
        <row r="21">
          <cell r="A21" t="str">
            <v>ANGELO IGNACIO GOMEZ PIZARRO</v>
          </cell>
          <cell r="B21" t="str">
            <v>19.662.155-5</v>
          </cell>
          <cell r="C21" t="str">
            <v>Ayudante de Perforista</v>
          </cell>
          <cell r="D21">
            <v>10</v>
          </cell>
          <cell r="E21">
            <v>0</v>
          </cell>
          <cell r="F21">
            <v>0</v>
          </cell>
          <cell r="G21">
            <v>0</v>
          </cell>
          <cell r="H21">
            <v>32596.67</v>
          </cell>
          <cell r="I21">
            <v>0</v>
          </cell>
          <cell r="J21">
            <v>0</v>
          </cell>
          <cell r="K21">
            <v>0</v>
          </cell>
          <cell r="L21">
            <v>32596.67</v>
          </cell>
        </row>
        <row r="22">
          <cell r="A22" t="str">
            <v>VICTOR DANIEL MONTAÑO ARAYA</v>
          </cell>
          <cell r="B22" t="str">
            <v>11.197.049-1</v>
          </cell>
          <cell r="C22" t="str">
            <v>Chofer</v>
          </cell>
          <cell r="D22">
            <v>10</v>
          </cell>
          <cell r="E22">
            <v>0</v>
          </cell>
          <cell r="F22">
            <v>0</v>
          </cell>
          <cell r="G22">
            <v>0</v>
          </cell>
          <cell r="H22">
            <v>32596.67</v>
          </cell>
          <cell r="I22">
            <v>0</v>
          </cell>
          <cell r="J22">
            <v>0</v>
          </cell>
          <cell r="K22">
            <v>0</v>
          </cell>
          <cell r="L22">
            <v>32596.67</v>
          </cell>
        </row>
        <row r="23">
          <cell r="A23" t="str">
            <v>CARLOS ANDRES VASQUEZ ESQUIVEL</v>
          </cell>
          <cell r="B23" t="str">
            <v>15.052.220-K</v>
          </cell>
          <cell r="C23" t="str">
            <v>Soldador</v>
          </cell>
          <cell r="D23">
            <v>10</v>
          </cell>
          <cell r="E23">
            <v>0</v>
          </cell>
          <cell r="F23">
            <v>0</v>
          </cell>
          <cell r="G23">
            <v>0</v>
          </cell>
          <cell r="H23">
            <v>32596.67</v>
          </cell>
          <cell r="I23">
            <v>0</v>
          </cell>
          <cell r="J23">
            <v>0</v>
          </cell>
          <cell r="K23">
            <v>0</v>
          </cell>
          <cell r="L23">
            <v>32596.67</v>
          </cell>
        </row>
        <row r="24">
          <cell r="A24" t="str">
            <v>VICTOR ALFONSO ALVAREZ CORTES</v>
          </cell>
          <cell r="B24" t="str">
            <v>15.037.843-5</v>
          </cell>
          <cell r="C24" t="str">
            <v>Perforista</v>
          </cell>
          <cell r="D24">
            <v>10</v>
          </cell>
          <cell r="E24">
            <v>0</v>
          </cell>
          <cell r="F24">
            <v>0</v>
          </cell>
          <cell r="G24">
            <v>0</v>
          </cell>
          <cell r="H24">
            <v>45703.33</v>
          </cell>
          <cell r="I24">
            <v>0</v>
          </cell>
          <cell r="J24">
            <v>0</v>
          </cell>
          <cell r="K24">
            <v>0</v>
          </cell>
          <cell r="L24">
            <v>45703.33</v>
          </cell>
        </row>
        <row r="25">
          <cell r="A25" t="str">
            <v>JAIME ERNESTO ESPINOZA ALCAYAGA</v>
          </cell>
          <cell r="B25" t="str">
            <v>14.161.667-6</v>
          </cell>
          <cell r="C25" t="str">
            <v>Supervisor de Operaciones</v>
          </cell>
          <cell r="D25">
            <v>10</v>
          </cell>
          <cell r="E25">
            <v>0</v>
          </cell>
          <cell r="F25">
            <v>0</v>
          </cell>
          <cell r="G25">
            <v>0</v>
          </cell>
          <cell r="H25">
            <v>45703.33</v>
          </cell>
          <cell r="I25">
            <v>0</v>
          </cell>
          <cell r="J25">
            <v>0</v>
          </cell>
          <cell r="K25">
            <v>0</v>
          </cell>
          <cell r="L25">
            <v>45703.33</v>
          </cell>
        </row>
        <row r="26">
          <cell r="A26" t="str">
            <v>DAYNE JEFFERY PASSMORE</v>
          </cell>
          <cell r="B26" t="str">
            <v>44.623.904-K</v>
          </cell>
          <cell r="C26" t="str">
            <v>Supervisor de Operaciones</v>
          </cell>
          <cell r="D26">
            <v>10</v>
          </cell>
          <cell r="E26">
            <v>0</v>
          </cell>
          <cell r="F26">
            <v>0</v>
          </cell>
          <cell r="G26">
            <v>0</v>
          </cell>
          <cell r="H26">
            <v>45703.33</v>
          </cell>
          <cell r="I26">
            <v>0</v>
          </cell>
          <cell r="J26">
            <v>0</v>
          </cell>
          <cell r="K26">
            <v>0</v>
          </cell>
          <cell r="L26">
            <v>45703.33</v>
          </cell>
        </row>
        <row r="27">
          <cell r="A27" t="str">
            <v>MATIAS IGNACIO HANNUCSH GRUNENWALD</v>
          </cell>
          <cell r="B27" t="str">
            <v>21.003.892-2</v>
          </cell>
          <cell r="C27" t="str">
            <v>Administrativo de Faena</v>
          </cell>
          <cell r="D27">
            <v>10</v>
          </cell>
          <cell r="E27">
            <v>0</v>
          </cell>
          <cell r="F27">
            <v>0</v>
          </cell>
          <cell r="G27">
            <v>0</v>
          </cell>
          <cell r="H27">
            <v>32596.67</v>
          </cell>
          <cell r="I27">
            <v>0</v>
          </cell>
          <cell r="J27">
            <v>0</v>
          </cell>
          <cell r="K27">
            <v>0</v>
          </cell>
          <cell r="L27">
            <v>32596.67</v>
          </cell>
        </row>
        <row r="28">
          <cell r="A28" t="str">
            <v>MICHAEL ANDRES GONZALEZ ACEVEDO</v>
          </cell>
          <cell r="B28" t="str">
            <v>13.762.337-4</v>
          </cell>
          <cell r="C28" t="str">
            <v>Supervisor Eléctrico</v>
          </cell>
          <cell r="D28">
            <v>10</v>
          </cell>
          <cell r="E28">
            <v>0</v>
          </cell>
          <cell r="F28">
            <v>0</v>
          </cell>
          <cell r="G28">
            <v>0</v>
          </cell>
          <cell r="H28">
            <v>45703.33</v>
          </cell>
          <cell r="I28">
            <v>0</v>
          </cell>
          <cell r="J28">
            <v>0</v>
          </cell>
          <cell r="K28">
            <v>0</v>
          </cell>
          <cell r="L28">
            <v>45703.33</v>
          </cell>
        </row>
        <row r="29">
          <cell r="A29" t="str">
            <v>JOSE LUIS GALLARDO VERGARA</v>
          </cell>
          <cell r="B29" t="str">
            <v>17.016.281-1</v>
          </cell>
          <cell r="C29" t="str">
            <v>Ayudante de Perforista</v>
          </cell>
          <cell r="D29">
            <v>10</v>
          </cell>
          <cell r="E29">
            <v>0</v>
          </cell>
          <cell r="F29">
            <v>0</v>
          </cell>
          <cell r="G29">
            <v>0</v>
          </cell>
          <cell r="H29">
            <v>32596.67</v>
          </cell>
          <cell r="I29">
            <v>0</v>
          </cell>
          <cell r="J29">
            <v>0</v>
          </cell>
          <cell r="K29">
            <v>0</v>
          </cell>
          <cell r="L29">
            <v>32596.67</v>
          </cell>
        </row>
        <row r="30">
          <cell r="A30" t="str">
            <v>PATRICIO HERNAN PIMIENTO ARIAS</v>
          </cell>
          <cell r="B30" t="str">
            <v>10.855.160-7</v>
          </cell>
          <cell r="C30" t="str">
            <v>Chofer</v>
          </cell>
          <cell r="D30">
            <v>2</v>
          </cell>
          <cell r="E30">
            <v>0</v>
          </cell>
          <cell r="F30">
            <v>0</v>
          </cell>
          <cell r="G30">
            <v>0</v>
          </cell>
          <cell r="H30">
            <v>6519.33</v>
          </cell>
          <cell r="I30">
            <v>0</v>
          </cell>
          <cell r="J30">
            <v>0</v>
          </cell>
          <cell r="K30">
            <v>0</v>
          </cell>
          <cell r="L30">
            <v>6519.33</v>
          </cell>
        </row>
        <row r="31">
          <cell r="A31" t="str">
            <v>JUAN FELIPE SANHUEZA CARVAJAL</v>
          </cell>
          <cell r="B31" t="str">
            <v>15.870.057-3</v>
          </cell>
          <cell r="C31" t="str">
            <v>Ayudante de Perforista</v>
          </cell>
          <cell r="D31">
            <v>10</v>
          </cell>
          <cell r="E31">
            <v>0</v>
          </cell>
          <cell r="F31">
            <v>0</v>
          </cell>
          <cell r="G31">
            <v>0</v>
          </cell>
          <cell r="H31">
            <v>32596.67</v>
          </cell>
          <cell r="I31">
            <v>0</v>
          </cell>
          <cell r="J31">
            <v>0</v>
          </cell>
          <cell r="K31">
            <v>0</v>
          </cell>
          <cell r="L31">
            <v>32596.67</v>
          </cell>
        </row>
        <row r="32">
          <cell r="A32" t="str">
            <v>ROBERTO ANTONIO PINILLA PEREZ</v>
          </cell>
          <cell r="B32" t="str">
            <v>13.176.649-1</v>
          </cell>
          <cell r="C32" t="str">
            <v>Perforista</v>
          </cell>
          <cell r="D32">
            <v>10</v>
          </cell>
          <cell r="E32">
            <v>0</v>
          </cell>
          <cell r="F32">
            <v>0</v>
          </cell>
          <cell r="G32">
            <v>0</v>
          </cell>
          <cell r="H32">
            <v>45703.33</v>
          </cell>
          <cell r="I32">
            <v>0</v>
          </cell>
          <cell r="J32">
            <v>0</v>
          </cell>
          <cell r="K32">
            <v>0</v>
          </cell>
          <cell r="L32">
            <v>45703.33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STEWART PHILLIP WHITEHURST M"/>
      <sheetName val="ANDREW JAMES WILSON ."/>
      <sheetName val="CRISTIAN ALEJANDRO TOLEDO GO"/>
      <sheetName val="RICARDO NICOLAS QUINTANA SAN"/>
      <sheetName val="JUAN ALEXIS AVILEZ MOLINA"/>
      <sheetName val="MARCELO DAVID VASQUEZ AVILEZ"/>
      <sheetName val="JOSHUA MANN ."/>
      <sheetName val="CARLOS ALBERTO RAMOS VELASQU"/>
      <sheetName val="ADAN YOVANY BESUAIN DIAZ"/>
      <sheetName val="ALVARO IGNACIO GODOY BRUNA"/>
      <sheetName val="DANIEL ARMANDO LINDERMANN LI"/>
      <sheetName val="JOSE IGNACIO HERNANDEZ ARAYA"/>
      <sheetName val="PATRICIO ANTONIO MANSILLA RE"/>
      <sheetName val="ANTONIO HIPOLITO OTINIANO RU"/>
      <sheetName val="EMIL EDGARDO VARGAS BORDONES"/>
      <sheetName val="DIEGO BRANCO BARRAZA CHAVEZ"/>
      <sheetName val="YONATHAN ALBERTO MOROSO CORT"/>
      <sheetName val="KEVIN ALEXIS NEYRA CORTES"/>
      <sheetName val="FELIPE OCTAVIO VEGA ASTUDILL"/>
      <sheetName val="DANIEL ANDRES VENEGAS CARRAS"/>
      <sheetName val="EDUARDO ANTONIO CASTILLO VAL"/>
      <sheetName val="FELIPE ANDRES BOLBARAN ROJAS"/>
      <sheetName val="DANIEL ANDRES ANDRADE AGUILA"/>
      <sheetName val="CARLOS JAVIER ARENA ROJAS"/>
      <sheetName val="DAVID AUGUSTO MARSHALL FLORE"/>
      <sheetName val="GUILLERMO NICOLAS GODOY CARV"/>
      <sheetName val="JEAN CHARLES CERDA ORREGO"/>
      <sheetName val="GUILLERMO ALFREDO CASTRO ZUÑ"/>
      <sheetName val="DIEGO NICOLAS GONZALEZ OLIVA"/>
      <sheetName val="CAMILO FELIPE CRUZ MOLINA"/>
      <sheetName val="LUIS ALBERTO ROJAS FLORES"/>
      <sheetName val="MARCO ANTONIO VELASQUEZ CIFU"/>
      <sheetName val="PEDRO ENRIQUE BOLBARAN ROJAS"/>
      <sheetName val="HECTOR  HUGO  SEPULVEDA  GAV"/>
      <sheetName val="MAXIMILIANO ANDRES ARAYA CAL"/>
      <sheetName val="KATHERINE ANGELICA LINZMAYER"/>
      <sheetName val="PATRICIO RICARDO OETIKER OYA"/>
      <sheetName val="SERGIO ALFONSO BRUNA LEDEZMA"/>
      <sheetName val="MARIO ANDRES PUCHI CORTEZ"/>
      <sheetName val="MIGUEL SEBASTIAN JUAREZ MORA"/>
      <sheetName val="MANUEL ARNOLDO ALISTE OLIVAR"/>
      <sheetName val="MARCOS ANTONIO ALDEA BEROIZA"/>
      <sheetName val="RICARDO ALEXIS LEMUS LOPEZ"/>
      <sheetName val="PABLO ROMARIO BOSSA ZAMORANO"/>
      <sheetName val="OSCAR RODRIGO ARIAS LEIVA"/>
      <sheetName val="MANUEL ALEJANDRO LISAMBARTH "/>
      <sheetName val="KARINA MABEL VEGA LOBERA"/>
      <sheetName val="NICOLAS ISAIAS VALENZUELA CA"/>
      <sheetName val="OMAR ANDRES ARAYA ZUÑIGA"/>
      <sheetName val="PATRICIO RENAN GONZALEZ CABE"/>
      <sheetName val="SEBASTIAN ALEJANDRO ARANEDA "/>
      <sheetName val="OSCAR MANUEL ESPINOZA ESPINO"/>
      <sheetName val="SEBASTIAN GONZALO ROJAS CLAR"/>
      <sheetName val="RICARDO DE LAS NIEVES GUTIER"/>
      <sheetName val="RODRIGO ANDRES DIAZ INOSTROZ"/>
      <sheetName val="RAUL MANUEL BUSTAMANTE CERON"/>
      <sheetName val="RICKY DONNELLY ARAVENA POBLE"/>
      <sheetName val="PABLO ANTONIO ALVAREZ CORTES"/>
      <sheetName val="VICTOR DANIEL MONTAÑO ARAYA"/>
      <sheetName val="PATRICIO IGNACIO VEGA ARTEAG"/>
      <sheetName val="CHRISTOFER HUESLY OLIVARES F"/>
      <sheetName val="RAUL  ESTEBAN  HERNANDEZ PIZ"/>
      <sheetName val="SEBASTIAN IGNACIO ORTEGA GOM"/>
      <sheetName val="SIMONNE DE LA PAZ REYES BATL"/>
      <sheetName val="RUBEN IGNACIO CORTES BORBON"/>
      <sheetName val="VICTOR ALFONSO ALVAREZ CORTE"/>
      <sheetName val="CHRISTIAN DARIEM PIZARRO MUÑ"/>
      <sheetName val="JOAQUIN IGNACIO TORO ALCAYAG"/>
      <sheetName val="ESTEBAN ELIUT GONZALEZ JAQUE"/>
      <sheetName val="MARCELO ALEJANDRO INZUNZA AL"/>
      <sheetName val="ROBERTO MAURICIO VERGARA NEG"/>
      <sheetName val="ROMEO ALEXANDRU SUCIU"/>
      <sheetName val="JORGE ANDRES LICANQUEO PEREZ"/>
      <sheetName val="JUAN ANTONIO DE JESUS SALAZA"/>
      <sheetName val="LUIS ALFREDO MORENO RIOS"/>
      <sheetName val="RAUL ALEJANDRO RIVERO RIVERO"/>
      <sheetName val="KALIL SEBASTIAN NAYEN INOSTR"/>
      <sheetName val="KEVIN ESTEBAN VALENZUELA VAL"/>
      <sheetName val="OSCAR ALEXIS JARA MEJÍAS"/>
      <sheetName val="SEBASTIAN ANTONIO VALDERRAMA"/>
      <sheetName val="NICOLAS ALBERTO CARVAJAL PAS"/>
      <sheetName val="WALTER LISANDRO SALAS MESA"/>
      <sheetName val="ANGELO GIOVANNI BIZAMA ORELL"/>
      <sheetName val="YENIFFER ANDREA CONTRERAS ME"/>
      <sheetName val="Tarifas y Reglas"/>
    </sheetNames>
    <sheetDataSet>
      <sheetData sheetId="0">
        <row r="5">
          <cell r="A5" t="str">
            <v>STEWART PHILLIP WHITEHURST MEJIA</v>
          </cell>
          <cell r="B5" t="str">
            <v>289359893</v>
          </cell>
          <cell r="C5" t="str">
            <v>Perforista</v>
          </cell>
          <cell r="D5">
            <v>0</v>
          </cell>
          <cell r="E5">
            <v>327.75</v>
          </cell>
          <cell r="F5">
            <v>132</v>
          </cell>
          <cell r="G5">
            <v>0</v>
          </cell>
          <cell r="H5">
            <v>733757.5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</row>
        <row r="6">
          <cell r="A6" t="str">
            <v>ANDREW JAMES WILSON .</v>
          </cell>
          <cell r="B6" t="str">
            <v>446325078</v>
          </cell>
          <cell r="C6" t="str">
            <v>Perforista</v>
          </cell>
          <cell r="D6">
            <v>0</v>
          </cell>
          <cell r="E6">
            <v>618.4</v>
          </cell>
          <cell r="F6">
            <v>240</v>
          </cell>
          <cell r="G6">
            <v>0</v>
          </cell>
          <cell r="H6">
            <v>733757.5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A7" t="str">
            <v>CRISTIAN ALEJANDRO TOLEDO GONZALEZ</v>
          </cell>
          <cell r="B7" t="str">
            <v>156836982</v>
          </cell>
          <cell r="C7" t="str">
            <v>Electromecánico</v>
          </cell>
          <cell r="D7">
            <v>7</v>
          </cell>
          <cell r="E7">
            <v>139.35</v>
          </cell>
          <cell r="F7">
            <v>72</v>
          </cell>
          <cell r="G7">
            <v>0</v>
          </cell>
          <cell r="H7">
            <v>56495.54</v>
          </cell>
          <cell r="I7">
            <v>0</v>
          </cell>
          <cell r="J7">
            <v>0</v>
          </cell>
          <cell r="K7">
            <v>0</v>
          </cell>
          <cell r="L7">
            <v>56495.54</v>
          </cell>
        </row>
        <row r="8">
          <cell r="A8" t="str">
            <v>RICARDO NICOLAS QUINTANA SANTANA</v>
          </cell>
          <cell r="B8" t="str">
            <v>208985779</v>
          </cell>
          <cell r="C8" t="str">
            <v>Ayudante Perforista</v>
          </cell>
          <cell r="D8">
            <v>7</v>
          </cell>
          <cell r="E8">
            <v>154.69999999999999</v>
          </cell>
          <cell r="F8">
            <v>84</v>
          </cell>
          <cell r="G8">
            <v>0</v>
          </cell>
          <cell r="H8">
            <v>56495.54</v>
          </cell>
          <cell r="I8">
            <v>0</v>
          </cell>
          <cell r="J8">
            <v>0</v>
          </cell>
          <cell r="K8">
            <v>0</v>
          </cell>
          <cell r="L8">
            <v>56495.54</v>
          </cell>
        </row>
        <row r="9">
          <cell r="A9" t="str">
            <v>JUAN ALEXIS AVILEZ MOLINA</v>
          </cell>
          <cell r="B9" t="str">
            <v>140434221</v>
          </cell>
          <cell r="C9" t="str">
            <v>Ayudante Perforista</v>
          </cell>
          <cell r="D9">
            <v>7</v>
          </cell>
          <cell r="E9">
            <v>186.75</v>
          </cell>
          <cell r="F9">
            <v>84</v>
          </cell>
          <cell r="G9">
            <v>0</v>
          </cell>
          <cell r="H9">
            <v>56495.54</v>
          </cell>
          <cell r="I9">
            <v>0</v>
          </cell>
          <cell r="J9">
            <v>0</v>
          </cell>
          <cell r="K9">
            <v>0</v>
          </cell>
          <cell r="L9">
            <v>56495.54</v>
          </cell>
        </row>
        <row r="10">
          <cell r="A10" t="str">
            <v>MARCELO DAVID VASQUEZ AVILEZ</v>
          </cell>
          <cell r="B10" t="str">
            <v>224554265</v>
          </cell>
          <cell r="C10" t="str">
            <v/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</row>
        <row r="11">
          <cell r="A11" t="str">
            <v>JOSHUA MANN .</v>
          </cell>
          <cell r="B11" t="str">
            <v>293792283</v>
          </cell>
          <cell r="C11" t="str">
            <v>Supervisor</v>
          </cell>
          <cell r="D11">
            <v>0</v>
          </cell>
          <cell r="E11">
            <v>241.35</v>
          </cell>
          <cell r="F11">
            <v>108</v>
          </cell>
          <cell r="G11">
            <v>0</v>
          </cell>
          <cell r="H11">
            <v>733757.5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A12" t="str">
            <v>CARLOS ALBERTO RAMOS VELASQUEZ</v>
          </cell>
          <cell r="B12" t="str">
            <v>14.400.090-0</v>
          </cell>
          <cell r="C12" t="str">
            <v>Supervisor</v>
          </cell>
          <cell r="D12">
            <v>15</v>
          </cell>
          <cell r="E12">
            <v>451.6</v>
          </cell>
          <cell r="F12">
            <v>180</v>
          </cell>
          <cell r="G12">
            <v>0</v>
          </cell>
          <cell r="H12">
            <v>183439.38</v>
          </cell>
          <cell r="I12">
            <v>0</v>
          </cell>
          <cell r="J12">
            <v>0</v>
          </cell>
          <cell r="K12">
            <v>0</v>
          </cell>
          <cell r="L12">
            <v>183439.38</v>
          </cell>
        </row>
        <row r="13">
          <cell r="A13" t="str">
            <v>ADAN YOVANY BESUAIN DIAZ</v>
          </cell>
          <cell r="B13" t="str">
            <v>19.145.137-6</v>
          </cell>
          <cell r="C13" t="str">
            <v>Ayudante de Perforista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484247.5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</row>
        <row r="14">
          <cell r="A14" t="str">
            <v>ALVARO IGNACIO GODOY BRUNA</v>
          </cell>
          <cell r="B14" t="str">
            <v>20.168.605-9</v>
          </cell>
          <cell r="C14" t="str">
            <v>Perforista</v>
          </cell>
          <cell r="D14">
            <v>16</v>
          </cell>
          <cell r="E14">
            <v>255.35</v>
          </cell>
          <cell r="F14">
            <v>192</v>
          </cell>
          <cell r="G14">
            <v>0</v>
          </cell>
          <cell r="H14">
            <v>195668.67</v>
          </cell>
          <cell r="I14">
            <v>0</v>
          </cell>
          <cell r="J14">
            <v>0</v>
          </cell>
          <cell r="K14">
            <v>0</v>
          </cell>
          <cell r="L14">
            <v>195668.67</v>
          </cell>
        </row>
        <row r="15">
          <cell r="A15" t="str">
            <v>DANIEL ARMANDO LINDERMANN LINDERMANN</v>
          </cell>
          <cell r="B15" t="str">
            <v>16.597.409-3</v>
          </cell>
          <cell r="C15" t="str">
            <v>Supervisor</v>
          </cell>
          <cell r="D15">
            <v>14</v>
          </cell>
          <cell r="E15">
            <v>405.2</v>
          </cell>
          <cell r="F15">
            <v>144</v>
          </cell>
          <cell r="G15">
            <v>0</v>
          </cell>
          <cell r="H15">
            <v>171210.08</v>
          </cell>
          <cell r="I15">
            <v>0</v>
          </cell>
          <cell r="J15">
            <v>0</v>
          </cell>
          <cell r="K15">
            <v>0</v>
          </cell>
          <cell r="L15">
            <v>171210.08</v>
          </cell>
        </row>
        <row r="16">
          <cell r="A16" t="str">
            <v>JOSE IGNACIO HERNANDEZ ARAYA</v>
          </cell>
          <cell r="B16" t="str">
            <v>17.753.119-7</v>
          </cell>
          <cell r="C16" t="str">
            <v>Perforista</v>
          </cell>
          <cell r="D16">
            <v>13</v>
          </cell>
          <cell r="E16">
            <v>288.5</v>
          </cell>
          <cell r="F16">
            <v>168</v>
          </cell>
          <cell r="G16">
            <v>0</v>
          </cell>
          <cell r="H16">
            <v>158980.79</v>
          </cell>
          <cell r="I16">
            <v>0</v>
          </cell>
          <cell r="J16">
            <v>0</v>
          </cell>
          <cell r="K16">
            <v>0</v>
          </cell>
          <cell r="L16">
            <v>158980.79</v>
          </cell>
        </row>
        <row r="17">
          <cell r="A17" t="str">
            <v>PATRICIO ANTONIO MANSILLA REYES</v>
          </cell>
          <cell r="B17" t="str">
            <v>12.385.856-5</v>
          </cell>
          <cell r="C17" t="str">
            <v>Supervisor de Operaciones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733757.5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 t="str">
            <v>ANTONIO HIPOLITO OTINIANO RUIZ</v>
          </cell>
          <cell r="B18" t="str">
            <v>44.601.894-9</v>
          </cell>
          <cell r="C18" t="str">
            <v>Perforista</v>
          </cell>
          <cell r="D18">
            <v>12</v>
          </cell>
          <cell r="E18">
            <v>62.7</v>
          </cell>
          <cell r="F18">
            <v>24</v>
          </cell>
          <cell r="G18">
            <v>0</v>
          </cell>
          <cell r="H18">
            <v>146751.5</v>
          </cell>
          <cell r="I18">
            <v>0</v>
          </cell>
          <cell r="J18">
            <v>0</v>
          </cell>
          <cell r="K18">
            <v>0</v>
          </cell>
          <cell r="L18">
            <v>146751.5</v>
          </cell>
        </row>
        <row r="19">
          <cell r="A19" t="str">
            <v>EMIL EDGARDO VARGAS BORDONES</v>
          </cell>
          <cell r="B19" t="str">
            <v>19.394.534-1</v>
          </cell>
          <cell r="C19" t="str">
            <v>Ayudante Perforista</v>
          </cell>
          <cell r="D19">
            <v>14</v>
          </cell>
          <cell r="E19">
            <v>303</v>
          </cell>
          <cell r="F19">
            <v>168</v>
          </cell>
          <cell r="G19">
            <v>0</v>
          </cell>
          <cell r="H19">
            <v>112991.08</v>
          </cell>
          <cell r="I19">
            <v>0</v>
          </cell>
          <cell r="J19">
            <v>0</v>
          </cell>
          <cell r="K19">
            <v>0</v>
          </cell>
          <cell r="L19">
            <v>112991.08</v>
          </cell>
        </row>
        <row r="20">
          <cell r="A20" t="str">
            <v>DIEGO BRANCO BARRAZA CHAVEZ</v>
          </cell>
          <cell r="B20" t="str">
            <v>20.456.931-2</v>
          </cell>
          <cell r="C20" t="str">
            <v>Ayudante Perforista</v>
          </cell>
          <cell r="D20">
            <v>7</v>
          </cell>
          <cell r="E20">
            <v>173.7</v>
          </cell>
          <cell r="F20">
            <v>108</v>
          </cell>
          <cell r="G20">
            <v>0</v>
          </cell>
          <cell r="H20">
            <v>56495.54</v>
          </cell>
          <cell r="I20">
            <v>0</v>
          </cell>
          <cell r="J20">
            <v>0</v>
          </cell>
          <cell r="K20">
            <v>0</v>
          </cell>
          <cell r="L20">
            <v>56495.54</v>
          </cell>
        </row>
        <row r="21">
          <cell r="A21" t="str">
            <v>YONATHAN ALBERTO MOROSO CORTES</v>
          </cell>
          <cell r="B21" t="str">
            <v>17.112.278-3</v>
          </cell>
          <cell r="C21" t="str">
            <v>Administrativo</v>
          </cell>
          <cell r="D21">
            <v>14</v>
          </cell>
          <cell r="E21">
            <v>409.2</v>
          </cell>
          <cell r="F21">
            <v>144</v>
          </cell>
          <cell r="G21">
            <v>0</v>
          </cell>
          <cell r="H21">
            <v>112991.08</v>
          </cell>
          <cell r="I21">
            <v>0</v>
          </cell>
          <cell r="J21">
            <v>0</v>
          </cell>
          <cell r="K21">
            <v>0</v>
          </cell>
          <cell r="L21">
            <v>112991.08</v>
          </cell>
        </row>
        <row r="22">
          <cell r="A22" t="str">
            <v>KEVIN ALEXIS NEYRA CORTES</v>
          </cell>
          <cell r="B22" t="str">
            <v>20.460.401-0</v>
          </cell>
          <cell r="C22" t="str">
            <v>Perforista</v>
          </cell>
          <cell r="D22">
            <v>16</v>
          </cell>
          <cell r="E22">
            <v>297.95</v>
          </cell>
          <cell r="F22">
            <v>192</v>
          </cell>
          <cell r="G22">
            <v>0</v>
          </cell>
          <cell r="H22">
            <v>195668.67</v>
          </cell>
          <cell r="I22">
            <v>0</v>
          </cell>
          <cell r="J22">
            <v>0</v>
          </cell>
          <cell r="K22">
            <v>0</v>
          </cell>
          <cell r="L22">
            <v>195668.67</v>
          </cell>
        </row>
        <row r="23">
          <cell r="A23" t="str">
            <v>FELIPE OCTAVIO VEGA ASTUDILLO</v>
          </cell>
          <cell r="B23" t="str">
            <v>15.594.928-7</v>
          </cell>
          <cell r="C23" t="str">
            <v>Chofer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484247.5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 t="str">
            <v>DANIEL ANDRES VENEGAS CARRASCO</v>
          </cell>
          <cell r="B24" t="str">
            <v>18.665.544-3</v>
          </cell>
          <cell r="C24" t="str">
            <v>Perforista</v>
          </cell>
          <cell r="D24">
            <v>14</v>
          </cell>
          <cell r="E24">
            <v>303.5</v>
          </cell>
          <cell r="F24">
            <v>192</v>
          </cell>
          <cell r="G24">
            <v>0</v>
          </cell>
          <cell r="H24">
            <v>171210.08</v>
          </cell>
          <cell r="I24">
            <v>0</v>
          </cell>
          <cell r="J24">
            <v>0</v>
          </cell>
          <cell r="K24">
            <v>0</v>
          </cell>
          <cell r="L24">
            <v>171210.08</v>
          </cell>
        </row>
        <row r="25">
          <cell r="A25" t="str">
            <v>EDUARDO ANTONIO CASTILLO VALENZUELA</v>
          </cell>
          <cell r="B25" t="str">
            <v>12.218.170-7</v>
          </cell>
          <cell r="C25" t="str">
            <v>Perforista</v>
          </cell>
          <cell r="D25">
            <v>15</v>
          </cell>
          <cell r="E25">
            <v>356.6</v>
          </cell>
          <cell r="F25">
            <v>180</v>
          </cell>
          <cell r="G25">
            <v>0</v>
          </cell>
          <cell r="H25">
            <v>183439.38</v>
          </cell>
          <cell r="I25">
            <v>0</v>
          </cell>
          <cell r="J25">
            <v>0</v>
          </cell>
          <cell r="K25">
            <v>0</v>
          </cell>
          <cell r="L25">
            <v>183439.38</v>
          </cell>
        </row>
        <row r="26">
          <cell r="A26" t="str">
            <v>FELIPE ANDRES BOLBARAN ROJAS</v>
          </cell>
          <cell r="B26" t="str">
            <v>16.755.492-K</v>
          </cell>
          <cell r="C26" t="str">
            <v>Perforista</v>
          </cell>
          <cell r="D26">
            <v>13</v>
          </cell>
          <cell r="E26">
            <v>245.9</v>
          </cell>
          <cell r="F26">
            <v>168</v>
          </cell>
          <cell r="G26">
            <v>0</v>
          </cell>
          <cell r="H26">
            <v>158980.79</v>
          </cell>
          <cell r="I26">
            <v>0</v>
          </cell>
          <cell r="J26">
            <v>0</v>
          </cell>
          <cell r="K26">
            <v>0</v>
          </cell>
          <cell r="L26">
            <v>158980.79</v>
          </cell>
        </row>
        <row r="27">
          <cell r="A27" t="str">
            <v>DANIEL ANDRES ANDRADE AGUILAR</v>
          </cell>
          <cell r="B27" t="str">
            <v>17.465.056-K</v>
          </cell>
          <cell r="C27" t="str">
            <v>Mecánico</v>
          </cell>
          <cell r="D27">
            <v>13</v>
          </cell>
          <cell r="E27">
            <v>406.75</v>
          </cell>
          <cell r="F27">
            <v>156</v>
          </cell>
          <cell r="G27">
            <v>0</v>
          </cell>
          <cell r="H27">
            <v>104920.29</v>
          </cell>
          <cell r="I27">
            <v>0</v>
          </cell>
          <cell r="J27">
            <v>0</v>
          </cell>
          <cell r="K27">
            <v>0</v>
          </cell>
          <cell r="L27">
            <v>104920.29</v>
          </cell>
        </row>
        <row r="28">
          <cell r="A28" t="str">
            <v>CARLOS JAVIER ARENA ROJAS</v>
          </cell>
          <cell r="B28" t="str">
            <v>14.055.945-8</v>
          </cell>
          <cell r="C28" t="str">
            <v>Perforista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733757.5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 t="str">
            <v>DAVID AUGUSTO MARSHALL FLORES</v>
          </cell>
          <cell r="B29" t="str">
            <v>18.328.176-3</v>
          </cell>
          <cell r="C29" t="str">
            <v>BODEGUERO</v>
          </cell>
          <cell r="D29">
            <v>14</v>
          </cell>
          <cell r="E29">
            <v>409.2</v>
          </cell>
          <cell r="F29">
            <v>144</v>
          </cell>
          <cell r="G29">
            <v>0</v>
          </cell>
          <cell r="H29">
            <v>112991.08</v>
          </cell>
          <cell r="I29">
            <v>0</v>
          </cell>
          <cell r="J29">
            <v>0</v>
          </cell>
          <cell r="K29">
            <v>0</v>
          </cell>
          <cell r="L29">
            <v>112991.08</v>
          </cell>
        </row>
        <row r="30">
          <cell r="A30" t="str">
            <v>GUILLERMO NICOLAS GODOY CARVAJAL</v>
          </cell>
          <cell r="B30" t="str">
            <v>18.012.671-6</v>
          </cell>
          <cell r="C30" t="str">
            <v>Ayudante Perforista</v>
          </cell>
          <cell r="D30">
            <v>9</v>
          </cell>
          <cell r="E30">
            <v>141</v>
          </cell>
          <cell r="F30">
            <v>108</v>
          </cell>
          <cell r="G30">
            <v>0</v>
          </cell>
          <cell r="H30">
            <v>72637.13</v>
          </cell>
          <cell r="I30">
            <v>0</v>
          </cell>
          <cell r="J30">
            <v>0</v>
          </cell>
          <cell r="K30">
            <v>0</v>
          </cell>
          <cell r="L30">
            <v>72637.13</v>
          </cell>
        </row>
        <row r="31">
          <cell r="A31" t="str">
            <v>JEAN CHARLES CERDA ORREGO</v>
          </cell>
          <cell r="B31" t="str">
            <v>19.349.619-9</v>
          </cell>
          <cell r="C31" t="str">
            <v>Ayudante Perforista</v>
          </cell>
          <cell r="D31">
            <v>9</v>
          </cell>
          <cell r="E31">
            <v>208.05</v>
          </cell>
          <cell r="F31">
            <v>120</v>
          </cell>
          <cell r="G31">
            <v>0</v>
          </cell>
          <cell r="H31">
            <v>72637.13</v>
          </cell>
          <cell r="I31">
            <v>0</v>
          </cell>
          <cell r="J31">
            <v>0</v>
          </cell>
          <cell r="K31">
            <v>0</v>
          </cell>
          <cell r="L31">
            <v>72637.13</v>
          </cell>
        </row>
        <row r="32">
          <cell r="A32" t="str">
            <v>GUILLERMO ALFREDO CASTRO ZUÑIGA</v>
          </cell>
          <cell r="B32" t="str">
            <v>15.134.240-K</v>
          </cell>
          <cell r="C32" t="str">
            <v>Perforista</v>
          </cell>
          <cell r="D32">
            <v>14</v>
          </cell>
          <cell r="E32">
            <v>265.60000000000002</v>
          </cell>
          <cell r="F32">
            <v>168</v>
          </cell>
          <cell r="G32">
            <v>0</v>
          </cell>
          <cell r="H32">
            <v>171210.08</v>
          </cell>
          <cell r="I32">
            <v>0</v>
          </cell>
          <cell r="J32">
            <v>0</v>
          </cell>
          <cell r="K32">
            <v>0</v>
          </cell>
          <cell r="L32">
            <v>171210.08</v>
          </cell>
        </row>
        <row r="33">
          <cell r="A33" t="str">
            <v>DIEGO NICOLAS GONZALEZ OLIVARES</v>
          </cell>
          <cell r="B33" t="str">
            <v>19.506.189-0</v>
          </cell>
          <cell r="C33" t="str">
            <v>Mecánico</v>
          </cell>
          <cell r="D33">
            <v>16</v>
          </cell>
          <cell r="E33">
            <v>451.6</v>
          </cell>
          <cell r="F33">
            <v>180</v>
          </cell>
          <cell r="G33">
            <v>0</v>
          </cell>
          <cell r="H33">
            <v>129132.67</v>
          </cell>
          <cell r="I33">
            <v>0</v>
          </cell>
          <cell r="J33">
            <v>0</v>
          </cell>
          <cell r="K33">
            <v>0</v>
          </cell>
          <cell r="L33">
            <v>129132.67</v>
          </cell>
        </row>
        <row r="34">
          <cell r="A34" t="str">
            <v>CAMILO FELIPE CRUZ MOLINA</v>
          </cell>
          <cell r="B34" t="str">
            <v>17.580.584-2</v>
          </cell>
          <cell r="C34" t="str">
            <v>Supervisor</v>
          </cell>
          <cell r="D34">
            <v>14</v>
          </cell>
          <cell r="E34">
            <v>342</v>
          </cell>
          <cell r="F34">
            <v>180</v>
          </cell>
          <cell r="G34">
            <v>0</v>
          </cell>
          <cell r="H34">
            <v>171210.08</v>
          </cell>
          <cell r="I34">
            <v>0</v>
          </cell>
          <cell r="J34">
            <v>0</v>
          </cell>
          <cell r="K34">
            <v>0</v>
          </cell>
          <cell r="L34">
            <v>171210.08</v>
          </cell>
        </row>
        <row r="35">
          <cell r="A35" t="str">
            <v>LUIS ALBERTO ROJAS FLORES</v>
          </cell>
          <cell r="B35" t="str">
            <v>16.998.450-6</v>
          </cell>
          <cell r="C35" t="str">
            <v>Electromecánico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484247.5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A36" t="str">
            <v>MARCO ANTONIO VELASQUEZ CIFUENTES</v>
          </cell>
          <cell r="B36" t="str">
            <v>12.982.701-7</v>
          </cell>
          <cell r="C36" t="str">
            <v>Ayudante Perforista</v>
          </cell>
          <cell r="D36">
            <v>14</v>
          </cell>
          <cell r="E36">
            <v>303.5</v>
          </cell>
          <cell r="F36">
            <v>192</v>
          </cell>
          <cell r="G36">
            <v>0</v>
          </cell>
          <cell r="H36">
            <v>112991.08</v>
          </cell>
          <cell r="I36">
            <v>0</v>
          </cell>
          <cell r="J36">
            <v>0</v>
          </cell>
          <cell r="K36">
            <v>0</v>
          </cell>
          <cell r="L36">
            <v>112991.08</v>
          </cell>
        </row>
        <row r="37">
          <cell r="A37" t="str">
            <v>PEDRO ENRIQUE BOLBARAN ROJAS</v>
          </cell>
          <cell r="B37" t="str">
            <v>17.388.599-7</v>
          </cell>
          <cell r="C37" t="str">
            <v>Ayudante Perforista</v>
          </cell>
          <cell r="D37">
            <v>15</v>
          </cell>
          <cell r="E37">
            <v>288.5</v>
          </cell>
          <cell r="F37">
            <v>168</v>
          </cell>
          <cell r="G37">
            <v>0</v>
          </cell>
          <cell r="H37">
            <v>121061.88</v>
          </cell>
          <cell r="I37">
            <v>0</v>
          </cell>
          <cell r="J37">
            <v>0</v>
          </cell>
          <cell r="K37">
            <v>0</v>
          </cell>
          <cell r="L37">
            <v>121061.88</v>
          </cell>
        </row>
        <row r="38">
          <cell r="A38" t="str">
            <v>HECTOR  HUGO  SEPULVEDA  GAVILAN</v>
          </cell>
          <cell r="B38" t="str">
            <v>14.071.144-6</v>
          </cell>
          <cell r="C38" t="str">
            <v>Ayudante Perforista</v>
          </cell>
          <cell r="D38">
            <v>7</v>
          </cell>
          <cell r="E38">
            <v>121.05</v>
          </cell>
          <cell r="F38">
            <v>84</v>
          </cell>
          <cell r="G38">
            <v>0</v>
          </cell>
          <cell r="H38">
            <v>56495.54</v>
          </cell>
          <cell r="I38">
            <v>0</v>
          </cell>
          <cell r="J38">
            <v>0</v>
          </cell>
          <cell r="K38">
            <v>0</v>
          </cell>
          <cell r="L38">
            <v>56495.54</v>
          </cell>
        </row>
        <row r="39">
          <cell r="A39" t="str">
            <v>MAXIMILIANO ANDRES ARAYA CALDERON</v>
          </cell>
          <cell r="B39" t="str">
            <v>20.650.374-2</v>
          </cell>
          <cell r="C39" t="str">
            <v>Mecánico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484247.5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A40" t="str">
            <v>KATHERINE ANGELICA LINZMAYER TRASLAVIÑA</v>
          </cell>
          <cell r="B40" t="str">
            <v>16.625.839-1</v>
          </cell>
          <cell r="C40" t="str">
            <v>Administrativo de Faena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484247.5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A41" t="str">
            <v>PATRICIO RICARDO OETIKER OYARZUN</v>
          </cell>
          <cell r="B41" t="str">
            <v>9.528.480-9</v>
          </cell>
          <cell r="C41" t="str">
            <v>HSEC</v>
          </cell>
          <cell r="D41">
            <v>13</v>
          </cell>
          <cell r="E41">
            <v>405.2</v>
          </cell>
          <cell r="F41">
            <v>144</v>
          </cell>
          <cell r="G41">
            <v>0</v>
          </cell>
          <cell r="H41">
            <v>158980.79</v>
          </cell>
          <cell r="I41">
            <v>0</v>
          </cell>
          <cell r="J41">
            <v>0</v>
          </cell>
          <cell r="K41">
            <v>0</v>
          </cell>
          <cell r="L41">
            <v>158980.79</v>
          </cell>
        </row>
        <row r="42">
          <cell r="A42" t="str">
            <v>SERGIO ALFONSO BRUNA LEDEZMA</v>
          </cell>
          <cell r="B42" t="str">
            <v>16.687.336-3</v>
          </cell>
          <cell r="C42" t="str">
            <v>Ayudante Perforista</v>
          </cell>
          <cell r="D42">
            <v>14</v>
          </cell>
          <cell r="E42">
            <v>303</v>
          </cell>
          <cell r="F42">
            <v>168</v>
          </cell>
          <cell r="G42">
            <v>0</v>
          </cell>
          <cell r="H42">
            <v>112991.08</v>
          </cell>
          <cell r="I42">
            <v>0</v>
          </cell>
          <cell r="J42">
            <v>0</v>
          </cell>
          <cell r="K42">
            <v>0</v>
          </cell>
          <cell r="L42">
            <v>112991.08</v>
          </cell>
        </row>
        <row r="43">
          <cell r="A43" t="str">
            <v>MARIO ANDRES PUCHI CORTEZ</v>
          </cell>
          <cell r="B43" t="str">
            <v>16.684.239-5</v>
          </cell>
          <cell r="C43" t="str">
            <v>Mecánico</v>
          </cell>
          <cell r="D43">
            <v>13</v>
          </cell>
          <cell r="E43">
            <v>405.2</v>
          </cell>
          <cell r="F43">
            <v>144</v>
          </cell>
          <cell r="G43">
            <v>0</v>
          </cell>
          <cell r="H43">
            <v>104920.29</v>
          </cell>
          <cell r="I43">
            <v>0</v>
          </cell>
          <cell r="J43">
            <v>0</v>
          </cell>
          <cell r="K43">
            <v>0</v>
          </cell>
          <cell r="L43">
            <v>104920.29</v>
          </cell>
        </row>
        <row r="44">
          <cell r="A44" t="str">
            <v>MIGUEL SEBASTIAN JUAREZ MORALES</v>
          </cell>
          <cell r="B44" t="str">
            <v>16.581.882-2</v>
          </cell>
          <cell r="C44" t="str">
            <v>Chofer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484247.5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 t="str">
            <v>MANUEL ARNOLDO ALISTE OLIVARES</v>
          </cell>
          <cell r="B45" t="str">
            <v>12.807.074-5</v>
          </cell>
          <cell r="C45" t="str">
            <v>Ayudante Perforista</v>
          </cell>
          <cell r="D45">
            <v>15</v>
          </cell>
          <cell r="E45">
            <v>288.5</v>
          </cell>
          <cell r="F45">
            <v>168</v>
          </cell>
          <cell r="G45">
            <v>0</v>
          </cell>
          <cell r="H45">
            <v>121061.88</v>
          </cell>
          <cell r="I45">
            <v>0</v>
          </cell>
          <cell r="J45">
            <v>0</v>
          </cell>
          <cell r="K45">
            <v>0</v>
          </cell>
          <cell r="L45">
            <v>121061.88</v>
          </cell>
        </row>
        <row r="46">
          <cell r="A46" t="str">
            <v>MARCOS ANTONIO ALDEA BEROIZA</v>
          </cell>
          <cell r="B46" t="str">
            <v>16.981.319-1</v>
          </cell>
          <cell r="C46" t="str">
            <v>Conductor</v>
          </cell>
          <cell r="D46">
            <v>16</v>
          </cell>
          <cell r="E46">
            <v>451.6</v>
          </cell>
          <cell r="F46">
            <v>180</v>
          </cell>
          <cell r="G46">
            <v>0</v>
          </cell>
          <cell r="H46">
            <v>129132.67</v>
          </cell>
          <cell r="I46">
            <v>0</v>
          </cell>
          <cell r="J46">
            <v>0</v>
          </cell>
          <cell r="K46">
            <v>0</v>
          </cell>
          <cell r="L46">
            <v>129132.67</v>
          </cell>
        </row>
        <row r="47">
          <cell r="A47" t="str">
            <v>RICARDO ALEXIS LEMUS LOPEZ</v>
          </cell>
          <cell r="B47" t="str">
            <v>15.969.452-6</v>
          </cell>
          <cell r="C47" t="str">
            <v>Ayudante Perforista</v>
          </cell>
          <cell r="D47">
            <v>11</v>
          </cell>
          <cell r="E47">
            <v>163.05000000000001</v>
          </cell>
          <cell r="F47">
            <v>120</v>
          </cell>
          <cell r="G47">
            <v>0</v>
          </cell>
          <cell r="H47">
            <v>88778.71</v>
          </cell>
          <cell r="I47">
            <v>0</v>
          </cell>
          <cell r="J47">
            <v>0</v>
          </cell>
          <cell r="K47">
            <v>0</v>
          </cell>
          <cell r="L47">
            <v>88778.71</v>
          </cell>
        </row>
        <row r="48">
          <cell r="A48" t="str">
            <v>PABLO ROMARIO BOSSA ZAMORANO</v>
          </cell>
          <cell r="B48" t="str">
            <v>17.521.166-7</v>
          </cell>
          <cell r="C48" t="str">
            <v>Conductor</v>
          </cell>
          <cell r="D48">
            <v>14</v>
          </cell>
          <cell r="E48">
            <v>405.2</v>
          </cell>
          <cell r="F48">
            <v>144</v>
          </cell>
          <cell r="G48">
            <v>0</v>
          </cell>
          <cell r="H48">
            <v>112991.08</v>
          </cell>
          <cell r="I48">
            <v>0</v>
          </cell>
          <cell r="J48">
            <v>0</v>
          </cell>
          <cell r="K48">
            <v>0</v>
          </cell>
          <cell r="L48">
            <v>112991.08</v>
          </cell>
        </row>
        <row r="49">
          <cell r="A49" t="str">
            <v>OSCAR RODRIGO ARIAS LEIVA</v>
          </cell>
          <cell r="B49" t="str">
            <v>20.774.155-8</v>
          </cell>
          <cell r="C49" t="str">
            <v>Ayudante Perforista</v>
          </cell>
          <cell r="D49">
            <v>10</v>
          </cell>
          <cell r="E49">
            <v>185.35</v>
          </cell>
          <cell r="F49">
            <v>120</v>
          </cell>
          <cell r="G49">
            <v>0</v>
          </cell>
          <cell r="H49">
            <v>80707.92</v>
          </cell>
          <cell r="I49">
            <v>0</v>
          </cell>
          <cell r="J49">
            <v>0</v>
          </cell>
          <cell r="K49">
            <v>0</v>
          </cell>
          <cell r="L49">
            <v>80707.92</v>
          </cell>
        </row>
        <row r="50">
          <cell r="A50" t="str">
            <v>MANUEL ALEJANDRO LISAMBARTH CARABANTES</v>
          </cell>
          <cell r="B50" t="str">
            <v>16.892.085-7</v>
          </cell>
          <cell r="C50" t="str">
            <v>Administrativo</v>
          </cell>
          <cell r="D50">
            <v>16</v>
          </cell>
          <cell r="E50">
            <v>397</v>
          </cell>
          <cell r="F50">
            <v>180</v>
          </cell>
          <cell r="G50">
            <v>0</v>
          </cell>
          <cell r="H50">
            <v>129132.67</v>
          </cell>
          <cell r="I50">
            <v>0</v>
          </cell>
          <cell r="J50">
            <v>0</v>
          </cell>
          <cell r="K50">
            <v>0</v>
          </cell>
          <cell r="L50">
            <v>129132.67</v>
          </cell>
        </row>
        <row r="51">
          <cell r="A51" t="str">
            <v>KARINA MABEL VEGA LOBERA</v>
          </cell>
          <cell r="B51" t="str">
            <v>10.989.707-8</v>
          </cell>
          <cell r="C51" t="str">
            <v>Prevencionista de Riesgos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733757.5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 t="str">
            <v>NICOLAS ISAIAS VALENZUELA CASTILLO</v>
          </cell>
          <cell r="B52" t="str">
            <v>20.457.483-9</v>
          </cell>
          <cell r="C52" t="str">
            <v>Ayudante de Perforista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484247.5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A53" t="str">
            <v>OMAR ANDRES ARAYA ZUÑIGA</v>
          </cell>
          <cell r="B53" t="str">
            <v>16.771.866-3</v>
          </cell>
          <cell r="C53" t="str">
            <v>Ayudante Perforista</v>
          </cell>
          <cell r="D53">
            <v>16</v>
          </cell>
          <cell r="E53">
            <v>324.39999999999998</v>
          </cell>
          <cell r="F53">
            <v>192</v>
          </cell>
          <cell r="G53">
            <v>0</v>
          </cell>
          <cell r="H53">
            <v>129132.67</v>
          </cell>
          <cell r="I53">
            <v>0</v>
          </cell>
          <cell r="J53">
            <v>0</v>
          </cell>
          <cell r="K53">
            <v>0</v>
          </cell>
          <cell r="L53">
            <v>129132.67</v>
          </cell>
        </row>
        <row r="54">
          <cell r="A54" t="str">
            <v>PATRICIO RENAN GONZALEZ CABELLO</v>
          </cell>
          <cell r="B54" t="str">
            <v>17.980.395-K</v>
          </cell>
          <cell r="C54" t="str">
            <v>Ayudante Perforista</v>
          </cell>
          <cell r="D54">
            <v>16</v>
          </cell>
          <cell r="E54">
            <v>357.75</v>
          </cell>
          <cell r="F54">
            <v>192</v>
          </cell>
          <cell r="G54">
            <v>0</v>
          </cell>
          <cell r="H54">
            <v>129132.67</v>
          </cell>
          <cell r="I54">
            <v>0</v>
          </cell>
          <cell r="J54">
            <v>0</v>
          </cell>
          <cell r="K54">
            <v>0</v>
          </cell>
          <cell r="L54">
            <v>129132.67</v>
          </cell>
        </row>
        <row r="55">
          <cell r="A55" t="str">
            <v>SEBASTIAN ALEJANDRO ARANEDA MILLAR</v>
          </cell>
          <cell r="B55" t="str">
            <v>18.987.429-4</v>
          </cell>
          <cell r="C55" t="str">
            <v>Ayudante Perforista</v>
          </cell>
          <cell r="D55">
            <v>14</v>
          </cell>
          <cell r="E55">
            <v>303</v>
          </cell>
          <cell r="F55">
            <v>168</v>
          </cell>
          <cell r="G55">
            <v>0</v>
          </cell>
          <cell r="H55">
            <v>112991.08</v>
          </cell>
          <cell r="I55">
            <v>0</v>
          </cell>
          <cell r="J55">
            <v>0</v>
          </cell>
          <cell r="K55">
            <v>0</v>
          </cell>
          <cell r="L55">
            <v>112991.08</v>
          </cell>
        </row>
        <row r="56">
          <cell r="A56" t="str">
            <v>OSCAR MANUEL ESPINOZA ESPINOZA</v>
          </cell>
          <cell r="B56" t="str">
            <v>18.494.069-8</v>
          </cell>
          <cell r="C56" t="str">
            <v>Ayudante Perforista</v>
          </cell>
          <cell r="D56">
            <v>13</v>
          </cell>
          <cell r="E56">
            <v>245.9</v>
          </cell>
          <cell r="F56">
            <v>168</v>
          </cell>
          <cell r="G56">
            <v>0</v>
          </cell>
          <cell r="H56">
            <v>104920.29</v>
          </cell>
          <cell r="I56">
            <v>0</v>
          </cell>
          <cell r="J56">
            <v>0</v>
          </cell>
          <cell r="K56">
            <v>0</v>
          </cell>
          <cell r="L56">
            <v>104920.29</v>
          </cell>
        </row>
        <row r="57">
          <cell r="A57" t="str">
            <v>SEBASTIAN GONZALO ROJAS CLARO</v>
          </cell>
          <cell r="B57" t="str">
            <v>26.931.695-0</v>
          </cell>
          <cell r="C57" t="str">
            <v>Mecánico</v>
          </cell>
          <cell r="D57">
            <v>8</v>
          </cell>
          <cell r="E57">
            <v>202.65</v>
          </cell>
          <cell r="F57">
            <v>108</v>
          </cell>
          <cell r="G57">
            <v>0</v>
          </cell>
          <cell r="H57">
            <v>64566.33</v>
          </cell>
          <cell r="I57">
            <v>0</v>
          </cell>
          <cell r="J57">
            <v>0</v>
          </cell>
          <cell r="K57">
            <v>0</v>
          </cell>
          <cell r="L57">
            <v>64566.33</v>
          </cell>
        </row>
        <row r="58">
          <cell r="A58" t="str">
            <v>RICARDO DE LAS NIEVES GUTIERREZ FUENTES</v>
          </cell>
          <cell r="B58" t="str">
            <v>12.707.776-2</v>
          </cell>
          <cell r="C58" t="str">
            <v>Conductor</v>
          </cell>
          <cell r="D58">
            <v>12</v>
          </cell>
          <cell r="E58">
            <v>202.65</v>
          </cell>
          <cell r="F58">
            <v>108</v>
          </cell>
          <cell r="G58">
            <v>0</v>
          </cell>
          <cell r="H58">
            <v>96849.5</v>
          </cell>
          <cell r="I58">
            <v>0</v>
          </cell>
          <cell r="J58">
            <v>0</v>
          </cell>
          <cell r="K58">
            <v>0</v>
          </cell>
          <cell r="L58">
            <v>96849.5</v>
          </cell>
        </row>
        <row r="59">
          <cell r="A59" t="str">
            <v>RODRIGO ANDRES DIAZ INOSTROZA</v>
          </cell>
          <cell r="B59" t="str">
            <v>17.697.158-4</v>
          </cell>
          <cell r="C59" t="str">
            <v>BODEGUERO</v>
          </cell>
          <cell r="D59">
            <v>16</v>
          </cell>
          <cell r="E59">
            <v>397</v>
          </cell>
          <cell r="F59">
            <v>180</v>
          </cell>
          <cell r="G59">
            <v>0</v>
          </cell>
          <cell r="H59">
            <v>129132.67</v>
          </cell>
          <cell r="I59">
            <v>0</v>
          </cell>
          <cell r="J59">
            <v>0</v>
          </cell>
          <cell r="K59">
            <v>0</v>
          </cell>
          <cell r="L59">
            <v>129132.67</v>
          </cell>
        </row>
        <row r="60">
          <cell r="A60" t="str">
            <v>RAUL MANUEL BUSTAMANTE CERON</v>
          </cell>
          <cell r="B60" t="str">
            <v>16.290.708-5</v>
          </cell>
          <cell r="C60" t="str">
            <v>Soldador</v>
          </cell>
          <cell r="D60">
            <v>14</v>
          </cell>
          <cell r="E60">
            <v>409.2</v>
          </cell>
          <cell r="F60">
            <v>144</v>
          </cell>
          <cell r="G60">
            <v>0</v>
          </cell>
          <cell r="H60">
            <v>112991.08</v>
          </cell>
          <cell r="I60">
            <v>0</v>
          </cell>
          <cell r="J60">
            <v>0</v>
          </cell>
          <cell r="K60">
            <v>0</v>
          </cell>
          <cell r="L60">
            <v>112991.08</v>
          </cell>
        </row>
        <row r="61">
          <cell r="A61" t="str">
            <v>RICKY DONNELLY ARAVENA POBLETE</v>
          </cell>
          <cell r="B61" t="str">
            <v>15.608.134-5</v>
          </cell>
          <cell r="C61" t="str">
            <v>Ayudante Perforista</v>
          </cell>
          <cell r="D61">
            <v>13</v>
          </cell>
          <cell r="E61">
            <v>265.60000000000002</v>
          </cell>
          <cell r="F61">
            <v>168</v>
          </cell>
          <cell r="G61">
            <v>0</v>
          </cell>
          <cell r="H61">
            <v>104920.29</v>
          </cell>
          <cell r="I61">
            <v>0</v>
          </cell>
          <cell r="J61">
            <v>0</v>
          </cell>
          <cell r="K61">
            <v>0</v>
          </cell>
          <cell r="L61">
            <v>104920.29</v>
          </cell>
        </row>
        <row r="62">
          <cell r="A62" t="str">
            <v>PABLO ANTONIO ALVAREZ CORTES</v>
          </cell>
          <cell r="B62" t="str">
            <v>18.184.052-8</v>
          </cell>
          <cell r="C62" t="str">
            <v>HSEC</v>
          </cell>
          <cell r="D62">
            <v>13</v>
          </cell>
          <cell r="E62">
            <v>409.2</v>
          </cell>
          <cell r="F62">
            <v>144</v>
          </cell>
          <cell r="G62">
            <v>0</v>
          </cell>
          <cell r="H62">
            <v>158980.79</v>
          </cell>
          <cell r="I62">
            <v>0</v>
          </cell>
          <cell r="J62">
            <v>0</v>
          </cell>
          <cell r="K62">
            <v>0</v>
          </cell>
          <cell r="L62">
            <v>158980.79</v>
          </cell>
        </row>
        <row r="63">
          <cell r="A63" t="str">
            <v>VICTOR DANIEL MONTAÑO ARAYA</v>
          </cell>
          <cell r="B63" t="str">
            <v>11.197.049-1</v>
          </cell>
          <cell r="C63" t="str">
            <v>Chofer</v>
          </cell>
          <cell r="D63">
            <v>14</v>
          </cell>
          <cell r="E63">
            <v>0</v>
          </cell>
          <cell r="F63">
            <v>0</v>
          </cell>
          <cell r="G63">
            <v>0</v>
          </cell>
          <cell r="H63">
            <v>112991.08</v>
          </cell>
          <cell r="I63">
            <v>0</v>
          </cell>
          <cell r="J63">
            <v>0</v>
          </cell>
          <cell r="K63">
            <v>0</v>
          </cell>
          <cell r="L63">
            <v>112991.08</v>
          </cell>
        </row>
        <row r="64">
          <cell r="A64" t="str">
            <v>PATRICIO IGNACIO VEGA ARTEAGA</v>
          </cell>
          <cell r="B64" t="str">
            <v>22.436.160-2</v>
          </cell>
          <cell r="C64" t="str">
            <v>Ayudante de Perforista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484247.5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A65" t="str">
            <v>CHRISTOFER HUESLY OLIVARES FERNANDEZ</v>
          </cell>
          <cell r="B65" t="str">
            <v>16.755.649-3</v>
          </cell>
          <cell r="C65" t="str">
            <v>Ayudante Perforista</v>
          </cell>
          <cell r="D65">
            <v>13</v>
          </cell>
          <cell r="E65">
            <v>265.60000000000002</v>
          </cell>
          <cell r="F65">
            <v>168</v>
          </cell>
          <cell r="G65">
            <v>0</v>
          </cell>
          <cell r="H65">
            <v>104920.29</v>
          </cell>
          <cell r="I65">
            <v>0</v>
          </cell>
          <cell r="J65">
            <v>0</v>
          </cell>
          <cell r="K65">
            <v>0</v>
          </cell>
          <cell r="L65">
            <v>104920.29</v>
          </cell>
        </row>
        <row r="66">
          <cell r="A66" t="str">
            <v>RAUL  ESTEBAN  HERNANDEZ PIZARRO</v>
          </cell>
          <cell r="B66" t="str">
            <v>18.494.463-4</v>
          </cell>
          <cell r="C66" t="str">
            <v>HSEC</v>
          </cell>
          <cell r="D66">
            <v>15</v>
          </cell>
          <cell r="E66">
            <v>342</v>
          </cell>
          <cell r="F66">
            <v>180</v>
          </cell>
          <cell r="G66">
            <v>0</v>
          </cell>
          <cell r="H66">
            <v>183439.38</v>
          </cell>
          <cell r="I66">
            <v>0</v>
          </cell>
          <cell r="J66">
            <v>0</v>
          </cell>
          <cell r="K66">
            <v>0</v>
          </cell>
          <cell r="L66">
            <v>183439.38</v>
          </cell>
        </row>
        <row r="67">
          <cell r="A67" t="str">
            <v>SEBASTIAN IGNACIO ORTEGA GOMEZ</v>
          </cell>
          <cell r="B67" t="str">
            <v>19.460.307-K</v>
          </cell>
          <cell r="C67" t="str">
            <v>Mecánico</v>
          </cell>
          <cell r="D67">
            <v>6</v>
          </cell>
          <cell r="E67">
            <v>153</v>
          </cell>
          <cell r="F67">
            <v>48</v>
          </cell>
          <cell r="G67">
            <v>0</v>
          </cell>
          <cell r="H67">
            <v>48424.75</v>
          </cell>
          <cell r="I67">
            <v>0</v>
          </cell>
          <cell r="J67">
            <v>0</v>
          </cell>
          <cell r="K67">
            <v>0</v>
          </cell>
          <cell r="L67">
            <v>48424.75</v>
          </cell>
        </row>
        <row r="68">
          <cell r="A68" t="str">
            <v>SIMONNE DE LA PAZ REYES BATLLE</v>
          </cell>
          <cell r="B68" t="str">
            <v>18.490.734-8</v>
          </cell>
          <cell r="C68" t="str">
            <v>Administrativo</v>
          </cell>
          <cell r="D68">
            <v>17</v>
          </cell>
          <cell r="E68">
            <v>508.45</v>
          </cell>
          <cell r="F68">
            <v>228</v>
          </cell>
          <cell r="G68">
            <v>0</v>
          </cell>
          <cell r="H68">
            <v>137203.46</v>
          </cell>
          <cell r="I68">
            <v>0</v>
          </cell>
          <cell r="J68">
            <v>0</v>
          </cell>
          <cell r="K68">
            <v>0</v>
          </cell>
          <cell r="L68">
            <v>137203.46</v>
          </cell>
        </row>
        <row r="69">
          <cell r="A69" t="str">
            <v>RUBEN IGNACIO CORTES BORBON</v>
          </cell>
          <cell r="B69" t="str">
            <v>19.983.747-8</v>
          </cell>
          <cell r="C69" t="str">
            <v>Ayudante Perforista</v>
          </cell>
          <cell r="D69">
            <v>16</v>
          </cell>
          <cell r="E69">
            <v>389.95</v>
          </cell>
          <cell r="F69">
            <v>192</v>
          </cell>
          <cell r="G69">
            <v>0</v>
          </cell>
          <cell r="H69">
            <v>129132.67</v>
          </cell>
          <cell r="I69">
            <v>0</v>
          </cell>
          <cell r="J69">
            <v>0</v>
          </cell>
          <cell r="K69">
            <v>0</v>
          </cell>
          <cell r="L69">
            <v>129132.67</v>
          </cell>
        </row>
        <row r="70">
          <cell r="A70" t="str">
            <v>VICTOR ALFONSO ALVAREZ CORTES</v>
          </cell>
          <cell r="B70" t="str">
            <v>15.037.843-5</v>
          </cell>
          <cell r="C70" t="str">
            <v>Perforista</v>
          </cell>
          <cell r="D70">
            <v>10</v>
          </cell>
          <cell r="E70">
            <v>0</v>
          </cell>
          <cell r="F70">
            <v>0</v>
          </cell>
          <cell r="G70">
            <v>0</v>
          </cell>
          <cell r="H70">
            <v>122292.92</v>
          </cell>
          <cell r="I70">
            <v>0</v>
          </cell>
          <cell r="J70">
            <v>0</v>
          </cell>
          <cell r="K70">
            <v>0</v>
          </cell>
          <cell r="L70">
            <v>122292.92</v>
          </cell>
        </row>
        <row r="71">
          <cell r="A71" t="str">
            <v>CHRISTIAN DARIEM PIZARRO MUÑOZ</v>
          </cell>
          <cell r="B71" t="str">
            <v>20.456.853-7</v>
          </cell>
          <cell r="C71" t="str">
            <v>Soldador</v>
          </cell>
          <cell r="D71">
            <v>15</v>
          </cell>
          <cell r="E71">
            <v>397</v>
          </cell>
          <cell r="F71">
            <v>180</v>
          </cell>
          <cell r="G71">
            <v>0</v>
          </cell>
          <cell r="H71">
            <v>121061.88</v>
          </cell>
          <cell r="I71">
            <v>0</v>
          </cell>
          <cell r="J71">
            <v>0</v>
          </cell>
          <cell r="K71">
            <v>0</v>
          </cell>
          <cell r="L71">
            <v>121061.88</v>
          </cell>
        </row>
        <row r="72">
          <cell r="A72" t="str">
            <v>JOAQUIN IGNACIO TORO ALCAYAGA</v>
          </cell>
          <cell r="B72" t="str">
            <v>19.189.343-3</v>
          </cell>
          <cell r="C72" t="str">
            <v>Ayudante Perforista</v>
          </cell>
          <cell r="D72">
            <v>9</v>
          </cell>
          <cell r="E72">
            <v>170.85</v>
          </cell>
          <cell r="F72">
            <v>108</v>
          </cell>
          <cell r="G72">
            <v>0</v>
          </cell>
          <cell r="H72">
            <v>72637.13</v>
          </cell>
          <cell r="I72">
            <v>0</v>
          </cell>
          <cell r="J72">
            <v>0</v>
          </cell>
          <cell r="K72">
            <v>0</v>
          </cell>
          <cell r="L72">
            <v>72637.13</v>
          </cell>
        </row>
        <row r="73">
          <cell r="A73" t="str">
            <v>ESTEBAN ELIUT GONZALEZ JAQUE</v>
          </cell>
          <cell r="B73" t="str">
            <v>14.016.356-2</v>
          </cell>
          <cell r="C73" t="str">
            <v>Ayudante de Perforista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484247.5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A74" t="str">
            <v>MARCELO ALEJANDRO INZUNZA ALARCON</v>
          </cell>
          <cell r="B74" t="str">
            <v>15.197.539-9</v>
          </cell>
          <cell r="C74" t="str">
            <v>Ayudante Perforista</v>
          </cell>
          <cell r="D74">
            <v>13</v>
          </cell>
          <cell r="E74">
            <v>288.5</v>
          </cell>
          <cell r="F74">
            <v>168</v>
          </cell>
          <cell r="G74">
            <v>0</v>
          </cell>
          <cell r="H74">
            <v>104920.29</v>
          </cell>
          <cell r="I74">
            <v>0</v>
          </cell>
          <cell r="J74">
            <v>0</v>
          </cell>
          <cell r="K74">
            <v>0</v>
          </cell>
          <cell r="L74">
            <v>104920.29</v>
          </cell>
        </row>
        <row r="75">
          <cell r="A75" t="str">
            <v>ROBERTO MAURICIO VERGARA NEGRETE</v>
          </cell>
          <cell r="B75" t="str">
            <v>16.005.822-6</v>
          </cell>
          <cell r="C75" t="str">
            <v>Electromecánico</v>
          </cell>
          <cell r="D75">
            <v>14</v>
          </cell>
          <cell r="E75">
            <v>409.2</v>
          </cell>
          <cell r="F75">
            <v>144</v>
          </cell>
          <cell r="G75">
            <v>0</v>
          </cell>
          <cell r="H75">
            <v>112991.08</v>
          </cell>
          <cell r="I75">
            <v>0</v>
          </cell>
          <cell r="J75">
            <v>0</v>
          </cell>
          <cell r="K75">
            <v>0</v>
          </cell>
          <cell r="L75">
            <v>112991.08</v>
          </cell>
        </row>
        <row r="76">
          <cell r="A76" t="str">
            <v>ROMEO ALEXANDRU SUCIU</v>
          </cell>
          <cell r="B76" t="str">
            <v>28.821.672-K</v>
          </cell>
          <cell r="C76" t="str">
            <v>Jefe de Faena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733757.5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A77" t="str">
            <v>JORGE ANDRES LICANQUEO PEREZ</v>
          </cell>
          <cell r="B77" t="str">
            <v>19.518.296-5</v>
          </cell>
          <cell r="C77" t="str">
            <v>Mecánico</v>
          </cell>
          <cell r="D77">
            <v>16</v>
          </cell>
          <cell r="E77">
            <v>397</v>
          </cell>
          <cell r="F77">
            <v>180</v>
          </cell>
          <cell r="G77">
            <v>0</v>
          </cell>
          <cell r="H77">
            <v>129132.67</v>
          </cell>
          <cell r="I77">
            <v>0</v>
          </cell>
          <cell r="J77">
            <v>0</v>
          </cell>
          <cell r="K77">
            <v>0</v>
          </cell>
          <cell r="L77">
            <v>129132.67</v>
          </cell>
        </row>
        <row r="78">
          <cell r="A78" t="str">
            <v>JUAN ANTONIO DE JESUS SALAZAR BUSTOS</v>
          </cell>
          <cell r="B78" t="str">
            <v>19.734.247-1</v>
          </cell>
          <cell r="C78" t="str">
            <v>Mecánico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484247.5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</row>
        <row r="79">
          <cell r="A79" t="str">
            <v>LUIS ALFREDO MORENO RIOS</v>
          </cell>
          <cell r="B79" t="str">
            <v>18.318.426-1</v>
          </cell>
          <cell r="C79" t="str">
            <v>Chofer</v>
          </cell>
          <cell r="D79">
            <v>1</v>
          </cell>
          <cell r="E79">
            <v>0</v>
          </cell>
          <cell r="F79">
            <v>0</v>
          </cell>
          <cell r="G79">
            <v>0</v>
          </cell>
          <cell r="H79">
            <v>8070.79</v>
          </cell>
          <cell r="I79">
            <v>0</v>
          </cell>
          <cell r="J79">
            <v>0</v>
          </cell>
          <cell r="K79">
            <v>0</v>
          </cell>
          <cell r="L79">
            <v>8070.79</v>
          </cell>
        </row>
        <row r="80">
          <cell r="A80" t="str">
            <v>RAUL ALEJANDRO RIVERO RIVERO</v>
          </cell>
          <cell r="B80" t="str">
            <v>18.520.328-K</v>
          </cell>
          <cell r="C80" t="str">
            <v>Supervisor</v>
          </cell>
          <cell r="D80">
            <v>15</v>
          </cell>
          <cell r="E80">
            <v>409.2</v>
          </cell>
          <cell r="F80">
            <v>144</v>
          </cell>
          <cell r="G80">
            <v>0</v>
          </cell>
          <cell r="H80">
            <v>183439.38</v>
          </cell>
          <cell r="I80">
            <v>0</v>
          </cell>
          <cell r="J80">
            <v>0</v>
          </cell>
          <cell r="K80">
            <v>0</v>
          </cell>
          <cell r="L80">
            <v>183439.38</v>
          </cell>
        </row>
        <row r="81">
          <cell r="A81" t="str">
            <v>KALIL SEBASTIAN NAYEN INOSTROZA</v>
          </cell>
          <cell r="B81" t="str">
            <v>20.121.975-2</v>
          </cell>
          <cell r="C81" t="str">
            <v>Bodeguero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484247.5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</row>
        <row r="82">
          <cell r="A82" t="str">
            <v>KEVIN ESTEBAN VALENZUELA VALENZUELA</v>
          </cell>
          <cell r="B82" t="str">
            <v>21.474.308-6</v>
          </cell>
          <cell r="C82" t="str">
            <v>Perforista</v>
          </cell>
          <cell r="D82">
            <v>14</v>
          </cell>
          <cell r="E82">
            <v>303</v>
          </cell>
          <cell r="F82">
            <v>168</v>
          </cell>
          <cell r="G82">
            <v>0</v>
          </cell>
          <cell r="H82">
            <v>171210.08</v>
          </cell>
          <cell r="I82">
            <v>0</v>
          </cell>
          <cell r="J82">
            <v>0</v>
          </cell>
          <cell r="K82">
            <v>0</v>
          </cell>
          <cell r="L82">
            <v>171210.08</v>
          </cell>
        </row>
        <row r="83">
          <cell r="A83" t="str">
            <v>OSCAR ALEXIS JARA MEJÍAS</v>
          </cell>
          <cell r="B83" t="str">
            <v>14.043.436-1</v>
          </cell>
          <cell r="C83" t="str">
            <v>Conductor</v>
          </cell>
          <cell r="D83">
            <v>8</v>
          </cell>
          <cell r="E83">
            <v>139.35</v>
          </cell>
          <cell r="F83">
            <v>72</v>
          </cell>
          <cell r="G83">
            <v>0</v>
          </cell>
          <cell r="H83">
            <v>64566.33</v>
          </cell>
          <cell r="I83">
            <v>0</v>
          </cell>
          <cell r="J83">
            <v>0</v>
          </cell>
          <cell r="K83">
            <v>0</v>
          </cell>
          <cell r="L83">
            <v>64566.33</v>
          </cell>
        </row>
        <row r="84">
          <cell r="A84" t="str">
            <v>SEBASTIAN ANTONIO VALDERRAMA HERRERA</v>
          </cell>
          <cell r="B84" t="str">
            <v>18.403.269-4</v>
          </cell>
          <cell r="C84" t="str">
            <v>Ayudante Perforista</v>
          </cell>
          <cell r="D84">
            <v>9</v>
          </cell>
          <cell r="E84">
            <v>141</v>
          </cell>
          <cell r="F84">
            <v>108</v>
          </cell>
          <cell r="G84">
            <v>0</v>
          </cell>
          <cell r="H84">
            <v>72637.13</v>
          </cell>
          <cell r="I84">
            <v>0</v>
          </cell>
          <cell r="J84">
            <v>0</v>
          </cell>
          <cell r="K84">
            <v>0</v>
          </cell>
          <cell r="L84">
            <v>72637.13</v>
          </cell>
        </row>
        <row r="85">
          <cell r="A85" t="str">
            <v>NICOLAS ALBERTO CARVAJAL PASTEN</v>
          </cell>
          <cell r="B85" t="str">
            <v>20.308.969-4</v>
          </cell>
          <cell r="C85" t="str">
            <v>Ayudante Perforista</v>
          </cell>
          <cell r="D85">
            <v>14</v>
          </cell>
          <cell r="E85">
            <v>245.9</v>
          </cell>
          <cell r="F85">
            <v>168</v>
          </cell>
          <cell r="G85">
            <v>0</v>
          </cell>
          <cell r="H85">
            <v>112991.08</v>
          </cell>
          <cell r="I85">
            <v>0</v>
          </cell>
          <cell r="J85">
            <v>0</v>
          </cell>
          <cell r="K85">
            <v>0</v>
          </cell>
          <cell r="L85">
            <v>112991.08</v>
          </cell>
        </row>
        <row r="86">
          <cell r="A86" t="str">
            <v>WALTER LISANDRO SALAS MESA</v>
          </cell>
          <cell r="B86" t="str">
            <v>15.955.871-1</v>
          </cell>
          <cell r="C86" t="str">
            <v>Perforista</v>
          </cell>
          <cell r="D86">
            <v>5</v>
          </cell>
          <cell r="E86">
            <v>151.69999999999999</v>
          </cell>
          <cell r="F86">
            <v>96</v>
          </cell>
          <cell r="G86">
            <v>0</v>
          </cell>
          <cell r="H86">
            <v>61146.46</v>
          </cell>
          <cell r="I86">
            <v>0</v>
          </cell>
          <cell r="J86">
            <v>0</v>
          </cell>
          <cell r="K86">
            <v>0</v>
          </cell>
          <cell r="L86">
            <v>61146.46</v>
          </cell>
        </row>
        <row r="87">
          <cell r="A87" t="str">
            <v>ANGELO GIOVANNI BIZAMA ORELLANA</v>
          </cell>
          <cell r="B87" t="str">
            <v>20.037.472-K</v>
          </cell>
          <cell r="C87" t="str">
            <v>Ayudante Perforista</v>
          </cell>
          <cell r="D87">
            <v>8</v>
          </cell>
          <cell r="E87">
            <v>128.25</v>
          </cell>
          <cell r="F87">
            <v>96</v>
          </cell>
          <cell r="G87">
            <v>0</v>
          </cell>
          <cell r="H87">
            <v>64566.33</v>
          </cell>
          <cell r="I87">
            <v>0</v>
          </cell>
          <cell r="J87">
            <v>0</v>
          </cell>
          <cell r="K87">
            <v>0</v>
          </cell>
          <cell r="L87">
            <v>64566.33</v>
          </cell>
        </row>
        <row r="88">
          <cell r="A88" t="str">
            <v>YENIFFER ANDREA CONTRERAS MERY</v>
          </cell>
          <cell r="B88" t="str">
            <v>17.015.433-9</v>
          </cell>
          <cell r="C88" t="str">
            <v>Prevencionista de Riesgos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733757.5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ALBERTO PATRICIO CALDERON CA"/>
      <sheetName val="JAIME MARCELO ESCOBAR CORTES"/>
      <sheetName val="ALEX EDUARDO TABILO RIVERA"/>
      <sheetName val="EDINSON RODRIGO GONZALEZ COR"/>
      <sheetName val="RUBEN ANDRES VALLEJOS ARDILE"/>
      <sheetName val="CRISTIAN NICOLAS SAMBRA TORR"/>
      <sheetName val="CARLOS ANDRES CORNEJO OSORIO"/>
      <sheetName val="JULIO ANDRES CISTERNAS ROJAS"/>
      <sheetName val="SEBASTIAN ALFONSO RAMOS ESQU"/>
      <sheetName val="MICHAEL IGNACIO VALENCIA MUÑ"/>
      <sheetName val="NIBALDO ENRIQUE CASTRO CORTE"/>
      <sheetName val="KEVIN MATIAS ARAYA ALVAREZ"/>
      <sheetName val="RICARDO MAURICIO ARAYA BARRA"/>
      <sheetName val="SEBASTIAN ANDRES BRICEÑO GAL"/>
      <sheetName val="DUBAN ANDRES CONTRERAS BORDO"/>
      <sheetName val="VICTOR RODRIGO GARCIA ROJAS"/>
      <sheetName val="DANIEL ANDRES MARTINEZ GONZA"/>
      <sheetName val="BORIS JULIAN JIMENEZ DIAZ"/>
      <sheetName val="FERNANDO ANDRES ARDILES PISA"/>
      <sheetName val="FRANCISCO ALEJANDRO ARAYA BA"/>
      <sheetName val="MAURICIO GIOVANI VENEGAS BOC"/>
      <sheetName val="JORGE ANDRE GUERRA CUBILLOS"/>
      <sheetName val="ALAN PATRICIO ASTORGA ORREGO"/>
      <sheetName val="NELCIO ANTONIO RAMIREZ PIZAR"/>
      <sheetName val="PATRICIO ALEJANDRO CASTILLO "/>
      <sheetName val="Tarifas y Reglas"/>
    </sheetNames>
    <sheetDataSet>
      <sheetData sheetId="0">
        <row r="5">
          <cell r="A5" t="str">
            <v>ALBERTO PATRICIO CALDERON CALDERON</v>
          </cell>
          <cell r="B5" t="str">
            <v>11.345.634-5</v>
          </cell>
          <cell r="C5" t="str">
            <v>Supervisor</v>
          </cell>
          <cell r="D5">
            <v>11</v>
          </cell>
          <cell r="E5">
            <v>117.5</v>
          </cell>
          <cell r="F5">
            <v>180</v>
          </cell>
          <cell r="G5">
            <v>0</v>
          </cell>
          <cell r="H5">
            <v>166628</v>
          </cell>
          <cell r="I5">
            <v>0</v>
          </cell>
          <cell r="J5">
            <v>0</v>
          </cell>
          <cell r="K5">
            <v>0</v>
          </cell>
          <cell r="L5">
            <v>166628</v>
          </cell>
        </row>
        <row r="6">
          <cell r="A6" t="str">
            <v>JAIME MARCELO ESCOBAR CORTES</v>
          </cell>
          <cell r="B6" t="str">
            <v>13.329.197-0</v>
          </cell>
          <cell r="C6" t="str">
            <v>Perforista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A7" t="str">
            <v>ALEX EDUARDO TABILO RIVERA</v>
          </cell>
          <cell r="B7" t="str">
            <v>14.313.865-8</v>
          </cell>
          <cell r="C7" t="str">
            <v>Perforista</v>
          </cell>
          <cell r="D7">
            <v>15</v>
          </cell>
          <cell r="E7">
            <v>80.900000000000006</v>
          </cell>
          <cell r="F7">
            <v>180</v>
          </cell>
          <cell r="G7">
            <v>209077.5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209077.5</v>
          </cell>
        </row>
        <row r="8">
          <cell r="A8" t="str">
            <v>EDINSON RODRIGO GONZALEZ CORTINEZ</v>
          </cell>
          <cell r="B8" t="str">
            <v>11.934.921-4</v>
          </cell>
          <cell r="C8" t="str">
            <v>Ayudante de Perforista</v>
          </cell>
          <cell r="D8">
            <v>14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A9" t="str">
            <v>RUBEN ANDRES VALLEJOS ARDILES</v>
          </cell>
          <cell r="B9" t="str">
            <v>15.000.375-K</v>
          </cell>
          <cell r="C9" t="str">
            <v>Perforista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A10" t="str">
            <v>CRISTIAN NICOLAS SAMBRA TORRES</v>
          </cell>
          <cell r="B10" t="str">
            <v>19.322.282-K</v>
          </cell>
          <cell r="C10" t="str">
            <v>Ayudante Perforista</v>
          </cell>
          <cell r="D10">
            <v>9</v>
          </cell>
          <cell r="E10">
            <v>196.15</v>
          </cell>
          <cell r="F10">
            <v>180</v>
          </cell>
          <cell r="G10">
            <v>163575</v>
          </cell>
          <cell r="H10">
            <v>0</v>
          </cell>
          <cell r="I10">
            <v>50962.5</v>
          </cell>
          <cell r="J10">
            <v>0</v>
          </cell>
          <cell r="K10">
            <v>0</v>
          </cell>
          <cell r="L10">
            <v>214537.5</v>
          </cell>
        </row>
        <row r="11">
          <cell r="A11" t="str">
            <v>CARLOS ANDRES CORNEJO OSORIO</v>
          </cell>
          <cell r="B11" t="str">
            <v>13.049.877-9</v>
          </cell>
          <cell r="C11" t="str">
            <v>Supervisor</v>
          </cell>
          <cell r="D11">
            <v>15</v>
          </cell>
          <cell r="E11">
            <v>131</v>
          </cell>
          <cell r="F11">
            <v>180</v>
          </cell>
          <cell r="G11">
            <v>0</v>
          </cell>
          <cell r="H11">
            <v>227220</v>
          </cell>
          <cell r="I11">
            <v>0</v>
          </cell>
          <cell r="J11">
            <v>0</v>
          </cell>
          <cell r="K11">
            <v>0</v>
          </cell>
          <cell r="L11">
            <v>227220</v>
          </cell>
        </row>
        <row r="12">
          <cell r="A12" t="str">
            <v>JULIO ANDRES CISTERNAS ROJAS</v>
          </cell>
          <cell r="B12" t="str">
            <v>15.572.472-2</v>
          </cell>
          <cell r="C12" t="str">
            <v>Ayudante Perforista</v>
          </cell>
          <cell r="D12">
            <v>11</v>
          </cell>
          <cell r="E12">
            <v>80.900000000000006</v>
          </cell>
          <cell r="F12">
            <v>180</v>
          </cell>
          <cell r="G12">
            <v>152780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152780</v>
          </cell>
        </row>
        <row r="13">
          <cell r="A13" t="str">
            <v>SEBASTIAN ALFONSO RAMOS ESQUIVEL</v>
          </cell>
          <cell r="B13" t="str">
            <v>14.099.614-9</v>
          </cell>
          <cell r="C13" t="str">
            <v>HSEC</v>
          </cell>
          <cell r="D13">
            <v>14</v>
          </cell>
          <cell r="E13">
            <v>123.65</v>
          </cell>
          <cell r="F13">
            <v>192</v>
          </cell>
          <cell r="G13">
            <v>0</v>
          </cell>
          <cell r="H13">
            <v>212072</v>
          </cell>
          <cell r="I13">
            <v>0</v>
          </cell>
          <cell r="J13">
            <v>0</v>
          </cell>
          <cell r="K13">
            <v>0</v>
          </cell>
          <cell r="L13">
            <v>212072</v>
          </cell>
        </row>
        <row r="14">
          <cell r="A14" t="str">
            <v>MICHAEL IGNACIO VALENCIA MUÑOZ</v>
          </cell>
          <cell r="B14" t="str">
            <v>19.753.292-0</v>
          </cell>
          <cell r="C14" t="str">
            <v>Ayudante Perforista</v>
          </cell>
          <cell r="D14">
            <v>1</v>
          </cell>
          <cell r="E14">
            <v>117.5</v>
          </cell>
          <cell r="F14">
            <v>180</v>
          </cell>
          <cell r="G14">
            <v>152780</v>
          </cell>
          <cell r="H14">
            <v>0</v>
          </cell>
          <cell r="I14">
            <v>8025</v>
          </cell>
          <cell r="J14">
            <v>0</v>
          </cell>
          <cell r="K14">
            <v>0</v>
          </cell>
          <cell r="L14">
            <v>160805</v>
          </cell>
        </row>
        <row r="15">
          <cell r="A15" t="str">
            <v>NIBALDO ENRIQUE CASTRO CORTES</v>
          </cell>
          <cell r="B15" t="str">
            <v>10.362.133-K</v>
          </cell>
          <cell r="C15" t="str">
            <v>Conductor</v>
          </cell>
          <cell r="D15">
            <v>15</v>
          </cell>
          <cell r="E15">
            <v>157.4</v>
          </cell>
          <cell r="F15">
            <v>180</v>
          </cell>
          <cell r="G15">
            <v>0</v>
          </cell>
          <cell r="H15">
            <v>158177.5</v>
          </cell>
          <cell r="I15">
            <v>0</v>
          </cell>
          <cell r="J15">
            <v>0</v>
          </cell>
          <cell r="K15">
            <v>0</v>
          </cell>
          <cell r="L15">
            <v>158177.5</v>
          </cell>
        </row>
        <row r="16">
          <cell r="A16" t="str">
            <v>KEVIN MATIAS ARAYA ALVAREZ</v>
          </cell>
          <cell r="B16" t="str">
            <v>21.817.932-0</v>
          </cell>
          <cell r="C16" t="str">
            <v>Ayudante de Perforista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A17" t="str">
            <v>RICARDO MAURICIO ARAYA BARRAZA</v>
          </cell>
          <cell r="B17" t="str">
            <v>12.447.356-K</v>
          </cell>
          <cell r="C17" t="str">
            <v>Mecánico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316355</v>
          </cell>
          <cell r="I17">
            <v>0</v>
          </cell>
          <cell r="J17">
            <v>0</v>
          </cell>
          <cell r="K17">
            <v>0</v>
          </cell>
          <cell r="L17">
            <v>316355</v>
          </cell>
        </row>
        <row r="18">
          <cell r="A18" t="str">
            <v>SEBASTIAN ANDRES BRICEÑO GALLEGUILLOS</v>
          </cell>
          <cell r="B18" t="str">
            <v>17.643.890-8</v>
          </cell>
          <cell r="C18" t="str">
            <v>Ayudante Perforista</v>
          </cell>
          <cell r="D18">
            <v>14</v>
          </cell>
          <cell r="E18">
            <v>80.900000000000006</v>
          </cell>
          <cell r="F18">
            <v>180</v>
          </cell>
          <cell r="G18">
            <v>152780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152780</v>
          </cell>
        </row>
        <row r="19">
          <cell r="A19" t="str">
            <v>DUBAN ANDRES CONTRERAS BORDONES</v>
          </cell>
          <cell r="B19" t="str">
            <v>20.921.611-6</v>
          </cell>
          <cell r="C19" t="str">
            <v>Ayudante Perforista</v>
          </cell>
          <cell r="D19">
            <v>13</v>
          </cell>
          <cell r="E19">
            <v>131</v>
          </cell>
          <cell r="F19">
            <v>180</v>
          </cell>
          <cell r="G19">
            <v>163575</v>
          </cell>
          <cell r="H19">
            <v>0</v>
          </cell>
          <cell r="I19">
            <v>31800</v>
          </cell>
          <cell r="J19">
            <v>0</v>
          </cell>
          <cell r="K19">
            <v>0</v>
          </cell>
          <cell r="L19">
            <v>195375</v>
          </cell>
        </row>
        <row r="20">
          <cell r="A20" t="str">
            <v>VICTOR RODRIGO GARCIA ROJAS</v>
          </cell>
          <cell r="B20" t="str">
            <v>15.885.001-K</v>
          </cell>
          <cell r="C20" t="str">
            <v>Chofer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316355</v>
          </cell>
          <cell r="I20">
            <v>0</v>
          </cell>
          <cell r="J20">
            <v>0</v>
          </cell>
          <cell r="K20">
            <v>0</v>
          </cell>
          <cell r="L20">
            <v>316355</v>
          </cell>
        </row>
        <row r="21">
          <cell r="A21" t="str">
            <v>DANIEL ANDRES MARTINEZ GONZALEZ</v>
          </cell>
          <cell r="B21" t="str">
            <v>18.141.318-2</v>
          </cell>
          <cell r="C21" t="str">
            <v>HSEC</v>
          </cell>
          <cell r="D21">
            <v>11</v>
          </cell>
          <cell r="E21">
            <v>114.65</v>
          </cell>
          <cell r="F21">
            <v>168</v>
          </cell>
          <cell r="G21">
            <v>0</v>
          </cell>
          <cell r="H21">
            <v>166628</v>
          </cell>
          <cell r="I21">
            <v>0</v>
          </cell>
          <cell r="J21">
            <v>0</v>
          </cell>
          <cell r="K21">
            <v>0</v>
          </cell>
          <cell r="L21">
            <v>166628</v>
          </cell>
        </row>
        <row r="22">
          <cell r="A22" t="str">
            <v>BORIS JULIAN JIMENEZ DIAZ</v>
          </cell>
          <cell r="B22" t="str">
            <v>11.726.306-1</v>
          </cell>
          <cell r="C22" t="str">
            <v>Perforista</v>
          </cell>
          <cell r="D22">
            <v>15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 t="str">
            <v>FERNANDO ANDRES ARDILES PISAYA</v>
          </cell>
          <cell r="B23" t="str">
            <v>10.508.202-9</v>
          </cell>
          <cell r="C23" t="str">
            <v>Supervisor</v>
          </cell>
          <cell r="D23">
            <v>12</v>
          </cell>
          <cell r="E23">
            <v>196.15</v>
          </cell>
          <cell r="F23">
            <v>180</v>
          </cell>
          <cell r="G23">
            <v>0</v>
          </cell>
          <cell r="H23">
            <v>181776</v>
          </cell>
          <cell r="I23">
            <v>0</v>
          </cell>
          <cell r="J23">
            <v>0</v>
          </cell>
          <cell r="K23">
            <v>0</v>
          </cell>
          <cell r="L23">
            <v>181776</v>
          </cell>
        </row>
        <row r="24">
          <cell r="A24" t="str">
            <v>FRANCISCO ALEJANDRO ARAYA BARRAZA</v>
          </cell>
          <cell r="B24" t="str">
            <v>21.028.758-2</v>
          </cell>
          <cell r="C24" t="str">
            <v>Ayudante Perforista</v>
          </cell>
          <cell r="D24">
            <v>9</v>
          </cell>
          <cell r="E24">
            <v>131</v>
          </cell>
          <cell r="F24">
            <v>180</v>
          </cell>
          <cell r="G24">
            <v>163575</v>
          </cell>
          <cell r="H24">
            <v>0</v>
          </cell>
          <cell r="I24">
            <v>31800</v>
          </cell>
          <cell r="J24">
            <v>0</v>
          </cell>
          <cell r="K24">
            <v>0</v>
          </cell>
          <cell r="L24">
            <v>195375</v>
          </cell>
        </row>
        <row r="25">
          <cell r="A25" t="str">
            <v>MAURICIO GIOVANI VENEGAS BOCCHIERI</v>
          </cell>
          <cell r="B25" t="str">
            <v>19.078.552-1</v>
          </cell>
          <cell r="C25" t="str">
            <v>Ayudante de Perforista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A26" t="str">
            <v>JORGE ANDRE GUERRA CUBILLOS</v>
          </cell>
          <cell r="B26" t="str">
            <v>14.128.763-K</v>
          </cell>
          <cell r="C26" t="str">
            <v>Supervisor</v>
          </cell>
          <cell r="D26">
            <v>13</v>
          </cell>
          <cell r="E26">
            <v>80.900000000000006</v>
          </cell>
          <cell r="F26">
            <v>180</v>
          </cell>
          <cell r="G26">
            <v>0</v>
          </cell>
          <cell r="H26">
            <v>196924</v>
          </cell>
          <cell r="I26">
            <v>0</v>
          </cell>
          <cell r="J26">
            <v>0</v>
          </cell>
          <cell r="K26">
            <v>0</v>
          </cell>
          <cell r="L26">
            <v>196924</v>
          </cell>
        </row>
        <row r="27">
          <cell r="A27" t="str">
            <v>ALAN PATRICIO ASTORGA ORREGO</v>
          </cell>
          <cell r="B27" t="str">
            <v>20.955.488-7</v>
          </cell>
          <cell r="C27" t="str">
            <v>Ayudante de Perforista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A28" t="str">
            <v>NELCIO ANTONIO RAMIREZ PIZARRO</v>
          </cell>
          <cell r="B28" t="str">
            <v>16.732.957-8</v>
          </cell>
          <cell r="C28" t="str">
            <v>Ayudante de Perforista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 t="str">
            <v>PATRICIO ALEJANDRO CASTILLO TRONCOSO</v>
          </cell>
          <cell r="B29" t="str">
            <v>13.044.962-K</v>
          </cell>
          <cell r="C29" t="str">
            <v>Perforista</v>
          </cell>
          <cell r="D29">
            <v>15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EMERSON GIOVANNY DONAIRE VAD"/>
      <sheetName val="FREDDY IGNACIO THOMPSON DIAZ"/>
      <sheetName val="GERARDO ANTONIO GAETE PAZ"/>
      <sheetName val="ANGELO JAVIER NEGRETE MADRID"/>
      <sheetName val="ANGELO PATRICIO RIVERA HERRE"/>
      <sheetName val="JAVIER ANDRES MILLA PALACIOS"/>
      <sheetName val="JOSE MIGUEL ORMEÑO ARREDONDO"/>
      <sheetName val="BRENDA LIZETH LEON AVELLA"/>
      <sheetName val="ALEJANDRO MIGUEL APABLAZA GU"/>
      <sheetName val="ANITA FERNANDA AGUIRRE CASTI"/>
      <sheetName val="DANIEL EDUARDO JERALDO CORTE"/>
      <sheetName val="RICHARD FABIAN RAMIREZ RAMIR"/>
      <sheetName val="VICTORIA DEL PILAR COFRE ROM"/>
      <sheetName val="MAIKOL MANUEL ANTONIO CORTES"/>
      <sheetName val="RICHARD FERNANDO CONTRERAS F"/>
      <sheetName val="IBAR ALEXIS BORQUEZ CARVAJAL"/>
      <sheetName val="BORIS ALEXIS NOVOA TORO"/>
      <sheetName val="CRISTOBAL ALEXIC SANDERSON S"/>
      <sheetName val="BRIAN ANTONIO FARIAS ROJAS"/>
      <sheetName val="CRISTIAN ESTEBAN DIAZ GUAJAR"/>
      <sheetName val="IVAN ESTEBAN LOPEZ GARCIA"/>
      <sheetName val="ERICK ADOLFO REYES GONZALEZ"/>
      <sheetName val="PAULO ANDRES RODRIGUEZ OPAZO"/>
      <sheetName val="FRANCISCO JAVIER ROJAS MARTI"/>
      <sheetName val="CLAUDIA ALEJANDRA TORRES ROJ"/>
      <sheetName val="BRAHYAN SCARLY GALVEZ ABALOS"/>
      <sheetName val="MIGUEL EDUARDO LOPEZ CLAVERI"/>
      <sheetName val="FRANCISCO JAVIER NAVARRO ESP"/>
      <sheetName val="JORGE IVAN SOTO FARIÑA"/>
      <sheetName val="JORGE GREGORIO TRIGO TRIGO"/>
      <sheetName val="ORLANDO PATRICIO CONTRERAS R"/>
      <sheetName val="NICOLAS NEIL MUÑOZ ARANDA"/>
      <sheetName val="SEBASTIAN MATIAS MUÑOZ VILLA"/>
      <sheetName val="PEDRO OCTAVIO OLIVARES ALVAR"/>
      <sheetName val="VICTOR ALEJANDRO VALENZUELA "/>
      <sheetName val="GABRIEL ALEJANDRO GALLEGUILL"/>
      <sheetName val="DANIEL SEBASTIAN ARAYA GALLA"/>
      <sheetName val="DANIEL OSVALDO ARAYA REYES"/>
      <sheetName val="ENDER ALEXANDER MUJICA MENDE"/>
      <sheetName val="ERIC ALFONSO GALLEGUILLOS DI"/>
      <sheetName val="DIEGO ALEJANDRO ROJAS JOPIA"/>
      <sheetName val="DIANA CATALINA ANGEL MUNITA"/>
      <sheetName val="ESLEMAN GONZALO MOHAMED MOHA"/>
      <sheetName val="ERNESTO ALIRO ZEPEDA SOTO"/>
      <sheetName val="DAVID JESUS CASSRA ORELLANA"/>
      <sheetName val="ESTEBAN DAGOBERTO LOPEZ BARR"/>
      <sheetName val="GERSON ANDRES SANDOVAL SEPUL"/>
      <sheetName val="JORGE ALEXIS CORTES PAZ"/>
      <sheetName val="CARLOS JAVIER ALFARO CASTELL"/>
      <sheetName val="JAVIER AURELIO QUIROZ APABLA"/>
      <sheetName val="FRANCISCO JAVIER LEIVA LEIVA"/>
      <sheetName val="JAMIS ALONSO NETTLE MALUENDA"/>
      <sheetName val="JONATHAN ANDRES ARDILES NUÑE"/>
      <sheetName val="GUSTAVO ALEXIS REINUABA RODR"/>
      <sheetName val="JUAN ANTONIO VEGA ESPINOZA"/>
      <sheetName val="CARLOS ANDRES ZAPATA SEGUEL"/>
      <sheetName val="GUMERCINDO DEL ROSARIO PASTE"/>
      <sheetName val="JAIME NICOLAS CARVAJAL ALVAR"/>
      <sheetName val="RODRIGO ANDRES ARAYA ROJAS"/>
      <sheetName val="JOSUE SALOMÓN CASTRO VARAS"/>
      <sheetName val="MARIO ALBERTO AQUEA GONZALEZ"/>
      <sheetName val="RODRIGO ALEJANDRO GONZALEZ R"/>
      <sheetName val="JUAN MAURICIO TABILO ARAYA"/>
      <sheetName val="JILBERTO FRANCISCO ROJAS FER"/>
      <sheetName val="JORGE ANDRES ARANCIBIA LEDEZ"/>
      <sheetName val="JOSE LUIS FLORES FLORES"/>
      <sheetName val="IVAN ALEJANDRO SAN FRANCISCO"/>
      <sheetName val="JOEL ANDRES CARO GALLARDO"/>
      <sheetName val="JOSE MIGUEL ARDILES NUÑEZ"/>
      <sheetName val="JORGE CRISTIAN FUENTES ROBLE"/>
      <sheetName val="JUAN EDUARDO GONZALEZ ROMERO"/>
      <sheetName val="HAMIR ALONSO GONZALEZ JERALD"/>
      <sheetName val="HERNAN EDUARDO SEPULVEDA MOR"/>
      <sheetName val="LEONARDO PATRICIO GATICA CAS"/>
      <sheetName val="PAUL GIOVANNI BRIONES BRIONE"/>
      <sheetName val="LUIS RENATO DE JESUS JIMENEZ"/>
      <sheetName val="JUAN CARLOS ROJAS IRIARTE"/>
      <sheetName val="LEONARDO IVAN MUNDACA PEREZ"/>
      <sheetName val="ROBERTO CARLOS NUÑEZ GONZALE"/>
      <sheetName val="NESTOR RENE SUAREZ MORALES"/>
      <sheetName val="PEDRO BALDOMERO LOPEZ ARAYA"/>
      <sheetName val="MARCO ANDRES ROJAS ROJAS"/>
      <sheetName val="MILENCO ALEXIS MOYANO GUERRE"/>
      <sheetName val="MANUEL ANDRES LISAMBARTH CAR"/>
      <sheetName val="PEDRO GABRIEL NARANJO ACUÑA"/>
      <sheetName val="HUGO ITALO NUÑEZ PENDOLA"/>
      <sheetName val="PABLO LUCAS POBLETE KUHNE"/>
      <sheetName val="LUIS ALBERT CHAMBLAS CARTE"/>
      <sheetName val="MARCELO GIOVANNI RAMIREZ BAR"/>
      <sheetName val="JONATHAN FERNANDO BARRIOS GO"/>
      <sheetName val="JENNIFER ALEJANDRA SOTO FLOR"/>
      <sheetName val="KAZUKI CASTRO HOHMANN"/>
      <sheetName val="SEBASTIAN ENRIQUE SASSO ARAY"/>
      <sheetName val="PATRICIO COLLO VEGA GONZALEZ"/>
      <sheetName val="NELSON ANDRES CASTRO AVALOS"/>
      <sheetName val="ANCHELO JAVIER TORRES NAVARR"/>
      <sheetName val="ANGELO IGNACIO GOMEZ PIZARRO"/>
      <sheetName val="RODRIGO ALEJANDRO AVILES VER"/>
      <sheetName val="STEPHANIA ANDRES DAHLBOKUM O"/>
      <sheetName val="RAMON ALEJANDRO RIVERA GONZA"/>
      <sheetName val="BARBARA ANAIS ASTORGA PINTO"/>
      <sheetName val="DAVID SEBASTIAN CABALLERO LA"/>
      <sheetName val="ANDRES ALEJANDRO VALENCIA CA"/>
      <sheetName val="VICTOR IGNACIO HENRIQUEZ VAR"/>
      <sheetName val="SEBASTIAN ALFONSO PERALTA CO"/>
      <sheetName val="DANIEL IGNACIO ROJO TORRES"/>
      <sheetName val="CARLOS JAVIER ALVAREZ RIVERA"/>
      <sheetName val="CRISTIAN GUMERCINDO MUÑOZ PO"/>
      <sheetName val="DANIEL ALEJANDRO YAÑEZ VARAS"/>
      <sheetName val="CLAUDIO ANDRES MORALES CASTI"/>
      <sheetName val="FRANCO HERNAN OLIVA CASTILLO"/>
      <sheetName val="ERNESTO RAMIRO VALENCIA CAMP"/>
      <sheetName val="CLAUDIO ANDRES FERNANDEZ CAS"/>
      <sheetName val="CRISTOFER JESUS MALDONADO MO"/>
      <sheetName val="GUSTAVO ADOLFO MALDONADO OLI"/>
      <sheetName val="FELIPE ANTONIO CARMONA LEITO"/>
      <sheetName val="FELIX JOEL CASTILLO VALDIVIA"/>
      <sheetName val="JUAN IGNACIO CORTES GONZALEZ"/>
      <sheetName val="MANUEL ANTONIO ESCALONA VERA"/>
      <sheetName val="KAREN ANDREA VIGORENA DUARTE"/>
      <sheetName val="LUIS GERARDO LOPEZ OLAVE"/>
      <sheetName val="LEANDRO RUBEN BOSSA ZAMORANO"/>
      <sheetName val="LUIS DAVID LORCA SANCHEZ"/>
      <sheetName val="MANUEL SEBASTIAN PAZ CORTES"/>
      <sheetName val="WILLIAMS RENAN ASTROZA INOST"/>
      <sheetName val="RODRIGO FERNANDO ALFARO VEAS"/>
      <sheetName val="VICTOR IGNACIO PEREZ LORCA"/>
      <sheetName val="RODRIGO ARMANDO FERNANDEZ BR"/>
      <sheetName val="Tarifas y Reglas"/>
    </sheetNames>
    <sheetDataSet>
      <sheetData sheetId="0">
        <row r="5">
          <cell r="A5" t="str">
            <v>EMERSON GIOVANNY DONAIRE VADULLI</v>
          </cell>
          <cell r="B5" t="str">
            <v>19.690.710-6</v>
          </cell>
          <cell r="C5" t="str">
            <v>Ayudante Perforista</v>
          </cell>
          <cell r="D5">
            <v>11</v>
          </cell>
          <cell r="E5">
            <v>324</v>
          </cell>
          <cell r="F5">
            <v>120</v>
          </cell>
          <cell r="G5">
            <v>90400</v>
          </cell>
          <cell r="H5">
            <v>0</v>
          </cell>
          <cell r="I5">
            <v>5600</v>
          </cell>
          <cell r="J5">
            <v>0</v>
          </cell>
          <cell r="K5">
            <v>0</v>
          </cell>
          <cell r="L5">
            <v>96000</v>
          </cell>
        </row>
        <row r="6">
          <cell r="A6" t="str">
            <v>FREDDY IGNACIO THOMPSON DIAZ</v>
          </cell>
          <cell r="B6" t="str">
            <v>19.167.554-1</v>
          </cell>
          <cell r="C6" t="str">
            <v>Ayudante Perforista</v>
          </cell>
          <cell r="D6">
            <v>20</v>
          </cell>
          <cell r="E6">
            <v>355.4</v>
          </cell>
          <cell r="F6">
            <v>240</v>
          </cell>
          <cell r="G6">
            <v>368425</v>
          </cell>
          <cell r="H6">
            <v>0</v>
          </cell>
          <cell r="I6">
            <v>15575</v>
          </cell>
          <cell r="J6">
            <v>125000</v>
          </cell>
          <cell r="K6">
            <v>0</v>
          </cell>
          <cell r="L6">
            <v>509000</v>
          </cell>
        </row>
        <row r="7">
          <cell r="A7" t="str">
            <v>GERARDO ANTONIO GAETE PAZ</v>
          </cell>
          <cell r="B7" t="str">
            <v>19.214.178-8</v>
          </cell>
          <cell r="C7" t="str">
            <v>Ayudante Perforista</v>
          </cell>
          <cell r="D7">
            <v>20</v>
          </cell>
          <cell r="E7">
            <v>357.8</v>
          </cell>
          <cell r="F7">
            <v>240</v>
          </cell>
          <cell r="G7">
            <v>356600</v>
          </cell>
          <cell r="H7">
            <v>0</v>
          </cell>
          <cell r="I7">
            <v>14650</v>
          </cell>
          <cell r="J7">
            <v>125000</v>
          </cell>
          <cell r="K7">
            <v>0</v>
          </cell>
          <cell r="L7">
            <v>496250</v>
          </cell>
        </row>
        <row r="8">
          <cell r="A8" t="str">
            <v>ANGELO JAVIER NEGRETE MADRID</v>
          </cell>
          <cell r="B8" t="str">
            <v>19.506.760-0</v>
          </cell>
          <cell r="C8" t="str">
            <v>Ayudante de Perforista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A9" t="str">
            <v>ANGELO PATRICIO RIVERA HERRERA</v>
          </cell>
          <cell r="B9" t="str">
            <v>17.998.731-7</v>
          </cell>
          <cell r="C9" t="str">
            <v>Mecánico</v>
          </cell>
          <cell r="D9">
            <v>20</v>
          </cell>
          <cell r="E9">
            <v>0</v>
          </cell>
          <cell r="F9">
            <v>0</v>
          </cell>
          <cell r="G9">
            <v>0</v>
          </cell>
          <cell r="H9">
            <v>401566.67</v>
          </cell>
          <cell r="I9">
            <v>0</v>
          </cell>
          <cell r="J9">
            <v>0</v>
          </cell>
          <cell r="K9">
            <v>0</v>
          </cell>
          <cell r="L9">
            <v>401566.67</v>
          </cell>
        </row>
        <row r="10">
          <cell r="A10" t="str">
            <v>JAVIER ANDRES MILLA PALACIOS</v>
          </cell>
          <cell r="B10" t="str">
            <v>17.818.652-3</v>
          </cell>
          <cell r="C10" t="str">
            <v>Perforista</v>
          </cell>
          <cell r="D10">
            <v>10</v>
          </cell>
          <cell r="E10">
            <v>344</v>
          </cell>
          <cell r="F10">
            <v>120</v>
          </cell>
          <cell r="G10">
            <v>174600</v>
          </cell>
          <cell r="H10">
            <v>0</v>
          </cell>
          <cell r="I10">
            <v>8100</v>
          </cell>
          <cell r="J10">
            <v>0</v>
          </cell>
          <cell r="K10">
            <v>0</v>
          </cell>
          <cell r="L10">
            <v>182700</v>
          </cell>
        </row>
        <row r="11">
          <cell r="A11" t="str">
            <v>JOSE MIGUEL ORMEÑO ARREDONDO</v>
          </cell>
          <cell r="B11" t="str">
            <v>15.051.336-7</v>
          </cell>
          <cell r="C11" t="str">
            <v>Ayudante de Perforista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A12" t="str">
            <v>BRENDA LIZETH LEON AVELLA</v>
          </cell>
          <cell r="B12" t="str">
            <v>25.073.481-6</v>
          </cell>
          <cell r="C12" t="str">
            <v>Ayudante Perforista</v>
          </cell>
          <cell r="D12">
            <v>11</v>
          </cell>
          <cell r="E12">
            <v>163.6</v>
          </cell>
          <cell r="F12">
            <v>120</v>
          </cell>
          <cell r="G12">
            <v>189825</v>
          </cell>
          <cell r="H12">
            <v>0</v>
          </cell>
          <cell r="I12">
            <v>6940</v>
          </cell>
          <cell r="J12">
            <v>125000</v>
          </cell>
          <cell r="K12">
            <v>0</v>
          </cell>
          <cell r="L12">
            <v>321765</v>
          </cell>
        </row>
        <row r="13">
          <cell r="A13" t="str">
            <v>ALEJANDRO MIGUEL APABLAZA GUZMAN</v>
          </cell>
          <cell r="B13" t="str">
            <v>12.951.196-6</v>
          </cell>
          <cell r="C13" t="str">
            <v>Supervisor de Operaciones</v>
          </cell>
          <cell r="D13">
            <v>20</v>
          </cell>
          <cell r="E13">
            <v>0</v>
          </cell>
          <cell r="F13">
            <v>0</v>
          </cell>
          <cell r="G13">
            <v>0</v>
          </cell>
          <cell r="H13">
            <v>602350</v>
          </cell>
          <cell r="I13">
            <v>0</v>
          </cell>
          <cell r="J13">
            <v>0</v>
          </cell>
          <cell r="K13">
            <v>0</v>
          </cell>
          <cell r="L13">
            <v>602350</v>
          </cell>
        </row>
        <row r="14">
          <cell r="A14" t="str">
            <v>ANITA FERNANDA AGUIRRE CASTILLO</v>
          </cell>
          <cell r="B14" t="str">
            <v>16.442.692-0</v>
          </cell>
          <cell r="C14" t="str">
            <v>Prevencionista de Riesgos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903525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A15" t="str">
            <v>DANIEL EDUARDO JERALDO CORTES</v>
          </cell>
          <cell r="B15" t="str">
            <v>17.294.242-3</v>
          </cell>
          <cell r="C15" t="str">
            <v>Perforista</v>
          </cell>
          <cell r="D15">
            <v>20</v>
          </cell>
          <cell r="E15">
            <v>357.8</v>
          </cell>
          <cell r="F15">
            <v>240</v>
          </cell>
          <cell r="G15">
            <v>534900</v>
          </cell>
          <cell r="H15">
            <v>0</v>
          </cell>
          <cell r="I15">
            <v>21975</v>
          </cell>
          <cell r="J15">
            <v>250000</v>
          </cell>
          <cell r="K15">
            <v>0</v>
          </cell>
          <cell r="L15">
            <v>806875</v>
          </cell>
        </row>
        <row r="16">
          <cell r="A16" t="str">
            <v>RICHARD FABIAN RAMIREZ RAMIREZ</v>
          </cell>
          <cell r="B16" t="str">
            <v>18.011.716-4</v>
          </cell>
          <cell r="C16" t="str">
            <v>Ayudante Perforista</v>
          </cell>
          <cell r="D16">
            <v>20</v>
          </cell>
          <cell r="E16">
            <v>357.8</v>
          </cell>
          <cell r="F16">
            <v>240</v>
          </cell>
          <cell r="G16">
            <v>356600</v>
          </cell>
          <cell r="H16">
            <v>0</v>
          </cell>
          <cell r="I16">
            <v>14650</v>
          </cell>
          <cell r="J16">
            <v>125000</v>
          </cell>
          <cell r="K16">
            <v>0</v>
          </cell>
          <cell r="L16">
            <v>496250</v>
          </cell>
        </row>
        <row r="17">
          <cell r="A17" t="str">
            <v>VICTORIA DEL PILAR COFRE ROMERO</v>
          </cell>
          <cell r="B17" t="str">
            <v>15.446.035-7</v>
          </cell>
          <cell r="C17" t="str">
            <v>Bodeguero</v>
          </cell>
          <cell r="D17">
            <v>10</v>
          </cell>
          <cell r="E17">
            <v>0</v>
          </cell>
          <cell r="F17">
            <v>0</v>
          </cell>
          <cell r="G17">
            <v>0</v>
          </cell>
          <cell r="H17">
            <v>200783.33</v>
          </cell>
          <cell r="I17">
            <v>0</v>
          </cell>
          <cell r="J17">
            <v>0</v>
          </cell>
          <cell r="K17">
            <v>0</v>
          </cell>
          <cell r="L17">
            <v>200783.33</v>
          </cell>
        </row>
        <row r="18">
          <cell r="A18" t="str">
            <v>MAIKOL MANUEL ANTONIO CORTES OLIVARES</v>
          </cell>
          <cell r="B18" t="str">
            <v>19.041.873-1</v>
          </cell>
          <cell r="C18" t="str">
            <v>Perforista</v>
          </cell>
          <cell r="D18">
            <v>11</v>
          </cell>
          <cell r="E18">
            <v>133.6</v>
          </cell>
          <cell r="F18">
            <v>120</v>
          </cell>
          <cell r="G18">
            <v>210487.5</v>
          </cell>
          <cell r="H18">
            <v>0</v>
          </cell>
          <cell r="I18">
            <v>1530</v>
          </cell>
          <cell r="J18">
            <v>0</v>
          </cell>
          <cell r="K18">
            <v>0</v>
          </cell>
          <cell r="L18">
            <v>212017.5</v>
          </cell>
        </row>
        <row r="19">
          <cell r="A19" t="str">
            <v>RICHARD FERNANDO CONTRERAS FLORES</v>
          </cell>
          <cell r="B19" t="str">
            <v>13.425.369-K</v>
          </cell>
          <cell r="C19" t="str">
            <v>Ayudante Perforista</v>
          </cell>
          <cell r="D19">
            <v>19</v>
          </cell>
          <cell r="E19">
            <v>466</v>
          </cell>
          <cell r="F19">
            <v>211.25</v>
          </cell>
          <cell r="G19">
            <v>182400</v>
          </cell>
          <cell r="H19">
            <v>0</v>
          </cell>
          <cell r="I19">
            <v>6800</v>
          </cell>
          <cell r="J19">
            <v>0</v>
          </cell>
          <cell r="K19">
            <v>0</v>
          </cell>
          <cell r="L19">
            <v>189200</v>
          </cell>
        </row>
        <row r="20">
          <cell r="A20" t="str">
            <v>IBAR ALEXIS BORQUEZ CARVAJAL</v>
          </cell>
          <cell r="B20" t="str">
            <v>13.011.075-4</v>
          </cell>
          <cell r="C20" t="str">
            <v>Jefe de Faena</v>
          </cell>
          <cell r="D20">
            <v>14</v>
          </cell>
          <cell r="E20">
            <v>0</v>
          </cell>
          <cell r="F20">
            <v>0</v>
          </cell>
          <cell r="G20">
            <v>0</v>
          </cell>
          <cell r="H20">
            <v>421645</v>
          </cell>
          <cell r="I20">
            <v>0</v>
          </cell>
          <cell r="J20">
            <v>0</v>
          </cell>
          <cell r="K20">
            <v>0</v>
          </cell>
          <cell r="L20">
            <v>421645</v>
          </cell>
        </row>
        <row r="21">
          <cell r="A21" t="str">
            <v>BORIS ALEXIS NOVOA TORO</v>
          </cell>
          <cell r="B21" t="str">
            <v>20.111.998-7</v>
          </cell>
          <cell r="C21" t="str">
            <v>Ayudante Perforista</v>
          </cell>
          <cell r="D21">
            <v>4</v>
          </cell>
          <cell r="E21">
            <v>78</v>
          </cell>
          <cell r="F21">
            <v>48</v>
          </cell>
          <cell r="G21">
            <v>34800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34800</v>
          </cell>
        </row>
        <row r="22">
          <cell r="A22" t="str">
            <v>CRISTOBAL ALEXIC SANDERSON SALCEDO</v>
          </cell>
          <cell r="B22" t="str">
            <v>19.910.908-1</v>
          </cell>
          <cell r="C22" t="str">
            <v>Mecánico</v>
          </cell>
          <cell r="D22">
            <v>19</v>
          </cell>
          <cell r="E22">
            <v>0</v>
          </cell>
          <cell r="F22">
            <v>0</v>
          </cell>
          <cell r="G22">
            <v>0</v>
          </cell>
          <cell r="H22">
            <v>381488.33</v>
          </cell>
          <cell r="I22">
            <v>0</v>
          </cell>
          <cell r="J22">
            <v>0</v>
          </cell>
          <cell r="K22">
            <v>0</v>
          </cell>
          <cell r="L22">
            <v>381488.33</v>
          </cell>
        </row>
        <row r="23">
          <cell r="A23" t="str">
            <v>BRIAN ANTONIO FARIAS ROJAS</v>
          </cell>
          <cell r="B23" t="str">
            <v>19.771.194-9</v>
          </cell>
          <cell r="C23" t="str">
            <v>Ayudante de Perforista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 t="str">
            <v>CRISTIAN ESTEBAN DIAZ GUAJARDO</v>
          </cell>
          <cell r="B24" t="str">
            <v>16.400.165-2</v>
          </cell>
          <cell r="C24" t="str">
            <v>Ayudante Perforista</v>
          </cell>
          <cell r="D24">
            <v>10</v>
          </cell>
          <cell r="E24">
            <v>141.05000000000001</v>
          </cell>
          <cell r="F24">
            <v>120</v>
          </cell>
          <cell r="G24">
            <v>143325</v>
          </cell>
          <cell r="H24">
            <v>0</v>
          </cell>
          <cell r="I24">
            <v>4060</v>
          </cell>
          <cell r="J24">
            <v>0</v>
          </cell>
          <cell r="K24">
            <v>0</v>
          </cell>
          <cell r="L24">
            <v>147385</v>
          </cell>
        </row>
        <row r="25">
          <cell r="A25" t="str">
            <v>IVAN ESTEBAN LOPEZ GARCIA</v>
          </cell>
          <cell r="B25" t="str">
            <v>18.575.188-0</v>
          </cell>
          <cell r="C25" t="str">
            <v>Chofer</v>
          </cell>
          <cell r="D25">
            <v>11</v>
          </cell>
          <cell r="E25">
            <v>0</v>
          </cell>
          <cell r="F25">
            <v>0</v>
          </cell>
          <cell r="G25">
            <v>0</v>
          </cell>
          <cell r="H25">
            <v>220861.67</v>
          </cell>
          <cell r="I25">
            <v>0</v>
          </cell>
          <cell r="J25">
            <v>0</v>
          </cell>
          <cell r="K25">
            <v>0</v>
          </cell>
          <cell r="L25">
            <v>220861.67</v>
          </cell>
        </row>
        <row r="26">
          <cell r="A26" t="str">
            <v>ERICK ADOLFO REYES GONZALEZ</v>
          </cell>
          <cell r="B26" t="str">
            <v>15.412.546-9</v>
          </cell>
          <cell r="C26" t="str">
            <v>Mecánico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602350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A27" t="str">
            <v>PAULO ANDRES RODRIGUEZ OPAZO</v>
          </cell>
          <cell r="B27" t="str">
            <v>14.401.561-4</v>
          </cell>
          <cell r="C27" t="str">
            <v>Ayudante Perforista</v>
          </cell>
          <cell r="D27">
            <v>10</v>
          </cell>
          <cell r="E27">
            <v>142.5</v>
          </cell>
          <cell r="F27">
            <v>120</v>
          </cell>
          <cell r="G27">
            <v>174000</v>
          </cell>
          <cell r="H27">
            <v>0</v>
          </cell>
          <cell r="I27">
            <v>8100</v>
          </cell>
          <cell r="J27">
            <v>125000</v>
          </cell>
          <cell r="K27">
            <v>0</v>
          </cell>
          <cell r="L27">
            <v>307100</v>
          </cell>
        </row>
        <row r="28">
          <cell r="A28" t="str">
            <v>FRANCISCO JAVIER ROJAS MARTINEZ</v>
          </cell>
          <cell r="B28" t="str">
            <v>16.463.792-1</v>
          </cell>
          <cell r="C28" t="str">
            <v>Jefe de Faena</v>
          </cell>
          <cell r="D28">
            <v>15</v>
          </cell>
          <cell r="E28">
            <v>0</v>
          </cell>
          <cell r="F28">
            <v>0</v>
          </cell>
          <cell r="G28">
            <v>0</v>
          </cell>
          <cell r="H28">
            <v>451762.5</v>
          </cell>
          <cell r="I28">
            <v>0</v>
          </cell>
          <cell r="J28">
            <v>0</v>
          </cell>
          <cell r="K28">
            <v>0</v>
          </cell>
          <cell r="L28">
            <v>451762.5</v>
          </cell>
        </row>
        <row r="29">
          <cell r="A29" t="str">
            <v>CLAUDIA ALEJANDRA TORRES ROJAS</v>
          </cell>
          <cell r="B29" t="str">
            <v>18.757.602-4</v>
          </cell>
          <cell r="C29" t="str">
            <v>Prevencionista de Riesgos</v>
          </cell>
          <cell r="D29">
            <v>20</v>
          </cell>
          <cell r="E29">
            <v>0</v>
          </cell>
          <cell r="F29">
            <v>0</v>
          </cell>
          <cell r="G29">
            <v>0</v>
          </cell>
          <cell r="H29">
            <v>602350</v>
          </cell>
          <cell r="I29">
            <v>0</v>
          </cell>
          <cell r="J29">
            <v>0</v>
          </cell>
          <cell r="K29">
            <v>0</v>
          </cell>
          <cell r="L29">
            <v>602350</v>
          </cell>
        </row>
        <row r="30">
          <cell r="A30" t="str">
            <v>BRAHYAN SCARLY GALVEZ ABALOS</v>
          </cell>
          <cell r="B30" t="str">
            <v>19.662.114-8</v>
          </cell>
          <cell r="C30" t="str">
            <v>Ayudante de Perforista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A31" t="str">
            <v>MIGUEL EDUARDO LOPEZ CLAVERIA</v>
          </cell>
          <cell r="B31" t="str">
            <v>15.052.994-8</v>
          </cell>
          <cell r="C31" t="str">
            <v>Perforista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A32" t="str">
            <v>FRANCISCO JAVIER NAVARRO ESPINOZA</v>
          </cell>
          <cell r="B32" t="str">
            <v>16.281.802-3</v>
          </cell>
          <cell r="C32" t="str">
            <v>Electromecánico</v>
          </cell>
          <cell r="D32">
            <v>10</v>
          </cell>
          <cell r="E32">
            <v>0</v>
          </cell>
          <cell r="F32">
            <v>0</v>
          </cell>
          <cell r="G32">
            <v>0</v>
          </cell>
          <cell r="H32">
            <v>200783.33</v>
          </cell>
          <cell r="I32">
            <v>0</v>
          </cell>
          <cell r="J32">
            <v>0</v>
          </cell>
          <cell r="K32">
            <v>0</v>
          </cell>
          <cell r="L32">
            <v>200783.33</v>
          </cell>
        </row>
        <row r="33">
          <cell r="A33" t="str">
            <v>JORGE IVAN SOTO FARIÑA</v>
          </cell>
          <cell r="B33" t="str">
            <v>10.726.051-K</v>
          </cell>
          <cell r="C33" t="str">
            <v>Administrativo de Faena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602350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 t="str">
            <v>JORGE GREGORIO TRIGO TRIGO</v>
          </cell>
          <cell r="B34" t="str">
            <v>15.038.779-5</v>
          </cell>
          <cell r="C34" t="str">
            <v>Perforista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</row>
        <row r="35">
          <cell r="A35" t="str">
            <v>ORLANDO PATRICIO CONTRERAS RIOS</v>
          </cell>
          <cell r="B35" t="str">
            <v>11.778.172-0</v>
          </cell>
          <cell r="C35" t="str">
            <v>Perforista</v>
          </cell>
          <cell r="D35">
            <v>14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A36" t="str">
            <v>NICOLAS NEIL MUÑOZ ARANDA</v>
          </cell>
          <cell r="B36" t="str">
            <v>20.912.297-9</v>
          </cell>
          <cell r="C36" t="str">
            <v>Ayudante de Perforista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</row>
        <row r="37">
          <cell r="A37" t="str">
            <v>SEBASTIAN MATIAS MUÑOZ VILLALOBOS</v>
          </cell>
          <cell r="B37" t="str">
            <v>18.021.892-0</v>
          </cell>
          <cell r="C37" t="str">
            <v>Mecánico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602350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A38" t="str">
            <v>PEDRO OCTAVIO OLIVARES ALVAREZ</v>
          </cell>
          <cell r="B38" t="str">
            <v>13.176.765-K</v>
          </cell>
          <cell r="C38" t="str">
            <v>Perforista</v>
          </cell>
          <cell r="D38">
            <v>20</v>
          </cell>
          <cell r="E38">
            <v>301.2</v>
          </cell>
          <cell r="F38">
            <v>180</v>
          </cell>
          <cell r="G38">
            <v>416025</v>
          </cell>
          <cell r="H38">
            <v>0</v>
          </cell>
          <cell r="I38">
            <v>40931.25</v>
          </cell>
          <cell r="J38">
            <v>250000</v>
          </cell>
          <cell r="K38">
            <v>0</v>
          </cell>
          <cell r="L38">
            <v>706956.25</v>
          </cell>
        </row>
        <row r="39">
          <cell r="A39" t="str">
            <v>VICTOR ALEJANDRO VALENZUELA PASTEN</v>
          </cell>
          <cell r="B39" t="str">
            <v>12.802.451-4</v>
          </cell>
          <cell r="C39" t="str">
            <v>Supervisor de Operaciones</v>
          </cell>
          <cell r="D39">
            <v>10</v>
          </cell>
          <cell r="E39">
            <v>0</v>
          </cell>
          <cell r="F39">
            <v>0</v>
          </cell>
          <cell r="G39">
            <v>0</v>
          </cell>
          <cell r="H39">
            <v>301175</v>
          </cell>
          <cell r="I39">
            <v>0</v>
          </cell>
          <cell r="J39">
            <v>0</v>
          </cell>
          <cell r="K39">
            <v>0</v>
          </cell>
          <cell r="L39">
            <v>301175</v>
          </cell>
        </row>
        <row r="40">
          <cell r="A40" t="str">
            <v>GABRIEL ALEJANDRO GALLEGUILLOS ARANCIBIA</v>
          </cell>
          <cell r="B40" t="str">
            <v>15.909.798-6</v>
          </cell>
          <cell r="C40" t="str">
            <v>Mecánico</v>
          </cell>
          <cell r="D40">
            <v>20</v>
          </cell>
          <cell r="E40">
            <v>0</v>
          </cell>
          <cell r="F40">
            <v>0</v>
          </cell>
          <cell r="G40">
            <v>0</v>
          </cell>
          <cell r="H40">
            <v>401566.67</v>
          </cell>
          <cell r="I40">
            <v>0</v>
          </cell>
          <cell r="J40">
            <v>0</v>
          </cell>
          <cell r="K40">
            <v>0</v>
          </cell>
          <cell r="L40">
            <v>401566.67</v>
          </cell>
        </row>
        <row r="41">
          <cell r="A41" t="str">
            <v>DANIEL SEBASTIAN ARAYA GALLARDO</v>
          </cell>
          <cell r="B41" t="str">
            <v>15.785.558-1</v>
          </cell>
          <cell r="C41" t="str">
            <v>Ayudante Perforista</v>
          </cell>
          <cell r="D41">
            <v>11</v>
          </cell>
          <cell r="E41">
            <v>160.75</v>
          </cell>
          <cell r="F41">
            <v>120</v>
          </cell>
          <cell r="G41">
            <v>260500</v>
          </cell>
          <cell r="H41">
            <v>0</v>
          </cell>
          <cell r="I41">
            <v>9750</v>
          </cell>
          <cell r="J41">
            <v>125000</v>
          </cell>
          <cell r="K41">
            <v>0</v>
          </cell>
          <cell r="L41">
            <v>395250</v>
          </cell>
        </row>
        <row r="42">
          <cell r="A42" t="str">
            <v>DANIEL OSVALDO ARAYA REYES</v>
          </cell>
          <cell r="B42" t="str">
            <v>13.173.870-6</v>
          </cell>
          <cell r="C42" t="str">
            <v>Perforista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 t="str">
            <v>ENDER ALEXANDER MUJICA MENDEZ</v>
          </cell>
          <cell r="B43" t="str">
            <v>25.606.451-0</v>
          </cell>
          <cell r="C43" t="str">
            <v>Ayudante de Perforista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 t="str">
            <v>ERIC ALFONSO GALLEGUILLOS DIAZ</v>
          </cell>
          <cell r="B44" t="str">
            <v>16.892.590-5</v>
          </cell>
          <cell r="C44" t="str">
            <v>Ayudante Perforista</v>
          </cell>
          <cell r="D44">
            <v>10</v>
          </cell>
          <cell r="E44">
            <v>184.65</v>
          </cell>
          <cell r="F44">
            <v>120</v>
          </cell>
          <cell r="G44">
            <v>184850</v>
          </cell>
          <cell r="H44">
            <v>0</v>
          </cell>
          <cell r="I44">
            <v>9762.5</v>
          </cell>
          <cell r="J44">
            <v>0</v>
          </cell>
          <cell r="K44">
            <v>0</v>
          </cell>
          <cell r="L44">
            <v>194612.5</v>
          </cell>
        </row>
        <row r="45">
          <cell r="A45" t="str">
            <v>DIEGO ALEJANDRO ROJAS JOPIA</v>
          </cell>
          <cell r="B45" t="str">
            <v>16.442.931-8</v>
          </cell>
          <cell r="C45" t="str">
            <v>Perforista</v>
          </cell>
          <cell r="D45">
            <v>12</v>
          </cell>
          <cell r="E45">
            <v>160.75</v>
          </cell>
          <cell r="F45">
            <v>120</v>
          </cell>
          <cell r="G45">
            <v>390750</v>
          </cell>
          <cell r="H45">
            <v>0</v>
          </cell>
          <cell r="I45">
            <v>14625</v>
          </cell>
          <cell r="J45">
            <v>250000</v>
          </cell>
          <cell r="K45">
            <v>0</v>
          </cell>
          <cell r="L45">
            <v>655375</v>
          </cell>
        </row>
        <row r="46">
          <cell r="A46" t="str">
            <v>DIANA CATALINA ANGEL MUNITA</v>
          </cell>
          <cell r="B46" t="str">
            <v>21.236.457-6</v>
          </cell>
          <cell r="C46" t="str">
            <v>Ayudante Perforista</v>
          </cell>
          <cell r="D46">
            <v>20</v>
          </cell>
          <cell r="E46">
            <v>355.4</v>
          </cell>
          <cell r="F46">
            <v>240</v>
          </cell>
          <cell r="G46">
            <v>356600</v>
          </cell>
          <cell r="H46">
            <v>0</v>
          </cell>
          <cell r="I46">
            <v>15575</v>
          </cell>
          <cell r="J46">
            <v>125000</v>
          </cell>
          <cell r="K46">
            <v>0</v>
          </cell>
          <cell r="L46">
            <v>497175</v>
          </cell>
        </row>
        <row r="47">
          <cell r="A47" t="str">
            <v>ESLEMAN GONZALO MOHAMED MOHAMED</v>
          </cell>
          <cell r="B47" t="str">
            <v>17.542.518-7</v>
          </cell>
          <cell r="C47" t="str">
            <v>Prevencionista de Riesgos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903525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A48" t="str">
            <v>ERNESTO ALIRO ZEPEDA SOTO</v>
          </cell>
          <cell r="B48" t="str">
            <v>17.293.877-9</v>
          </cell>
          <cell r="C48" t="str">
            <v>Ayudante Perforista</v>
          </cell>
          <cell r="D48">
            <v>10</v>
          </cell>
          <cell r="E48">
            <v>141.05000000000001</v>
          </cell>
          <cell r="F48">
            <v>120</v>
          </cell>
          <cell r="G48">
            <v>149100</v>
          </cell>
          <cell r="H48">
            <v>0</v>
          </cell>
          <cell r="I48">
            <v>4060</v>
          </cell>
          <cell r="J48">
            <v>125000</v>
          </cell>
          <cell r="K48">
            <v>0</v>
          </cell>
          <cell r="L48">
            <v>278160</v>
          </cell>
        </row>
        <row r="49">
          <cell r="A49" t="str">
            <v>DAVID JESUS CASSRA ORELLANA</v>
          </cell>
          <cell r="B49" t="str">
            <v>17.939.732-3</v>
          </cell>
          <cell r="C49" t="str">
            <v>Ayudante Perforista</v>
          </cell>
          <cell r="D49">
            <v>18</v>
          </cell>
          <cell r="E49">
            <v>452</v>
          </cell>
          <cell r="F49">
            <v>228</v>
          </cell>
          <cell r="G49">
            <v>182400</v>
          </cell>
          <cell r="H49">
            <v>0</v>
          </cell>
          <cell r="I49">
            <v>7600</v>
          </cell>
          <cell r="J49">
            <v>0</v>
          </cell>
          <cell r="K49">
            <v>0</v>
          </cell>
          <cell r="L49">
            <v>190000</v>
          </cell>
        </row>
        <row r="50">
          <cell r="A50" t="str">
            <v>ESTEBAN DAGOBERTO LOPEZ BARRIOS</v>
          </cell>
          <cell r="B50" t="str">
            <v>13.223.287-3</v>
          </cell>
          <cell r="C50" t="str">
            <v>Chofer</v>
          </cell>
          <cell r="D50">
            <v>11</v>
          </cell>
          <cell r="E50">
            <v>0</v>
          </cell>
          <cell r="F50">
            <v>0</v>
          </cell>
          <cell r="G50">
            <v>0</v>
          </cell>
          <cell r="H50">
            <v>220861.67</v>
          </cell>
          <cell r="I50">
            <v>0</v>
          </cell>
          <cell r="J50">
            <v>0</v>
          </cell>
          <cell r="K50">
            <v>0</v>
          </cell>
          <cell r="L50">
            <v>220861.67</v>
          </cell>
        </row>
        <row r="51">
          <cell r="A51" t="str">
            <v>GERSON ANDRES SANDOVAL SEPULVEDA</v>
          </cell>
          <cell r="B51" t="str">
            <v>13.804.452-1</v>
          </cell>
          <cell r="C51" t="str">
            <v>Chofer</v>
          </cell>
          <cell r="D51">
            <v>20</v>
          </cell>
          <cell r="E51">
            <v>0</v>
          </cell>
          <cell r="F51">
            <v>0</v>
          </cell>
          <cell r="G51">
            <v>0</v>
          </cell>
          <cell r="H51">
            <v>401566.67</v>
          </cell>
          <cell r="I51">
            <v>0</v>
          </cell>
          <cell r="J51">
            <v>0</v>
          </cell>
          <cell r="K51">
            <v>0</v>
          </cell>
          <cell r="L51">
            <v>401566.67</v>
          </cell>
        </row>
        <row r="52">
          <cell r="A52" t="str">
            <v>JORGE ALEXIS CORTES PAZ</v>
          </cell>
          <cell r="B52" t="str">
            <v>13.541.133-7</v>
          </cell>
          <cell r="C52" t="str">
            <v>Soldador</v>
          </cell>
          <cell r="D52">
            <v>10</v>
          </cell>
          <cell r="E52">
            <v>0</v>
          </cell>
          <cell r="F52">
            <v>0</v>
          </cell>
          <cell r="G52">
            <v>0</v>
          </cell>
          <cell r="H52">
            <v>200783.33</v>
          </cell>
          <cell r="I52">
            <v>0</v>
          </cell>
          <cell r="J52">
            <v>0</v>
          </cell>
          <cell r="K52">
            <v>0</v>
          </cell>
          <cell r="L52">
            <v>200783.33</v>
          </cell>
        </row>
        <row r="53">
          <cell r="A53" t="str">
            <v>CARLOS JAVIER ALFARO CASTELLANO</v>
          </cell>
          <cell r="B53" t="str">
            <v>13.748.728-4</v>
          </cell>
          <cell r="C53" t="str">
            <v>Ayudante de Perforista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A54" t="str">
            <v>JAVIER AURELIO QUIROZ APABLAZA</v>
          </cell>
          <cell r="B54" t="str">
            <v>11.730.786-7</v>
          </cell>
          <cell r="C54" t="str">
            <v>Chofer</v>
          </cell>
          <cell r="D54">
            <v>11</v>
          </cell>
          <cell r="E54">
            <v>0</v>
          </cell>
          <cell r="F54">
            <v>0</v>
          </cell>
          <cell r="G54">
            <v>0</v>
          </cell>
          <cell r="H54">
            <v>220861.67</v>
          </cell>
          <cell r="I54">
            <v>0</v>
          </cell>
          <cell r="J54">
            <v>0</v>
          </cell>
          <cell r="K54">
            <v>0</v>
          </cell>
          <cell r="L54">
            <v>220861.67</v>
          </cell>
        </row>
        <row r="55">
          <cell r="A55" t="str">
            <v>FRANCISCO JAVIER LEIVA LEIVA</v>
          </cell>
          <cell r="B55" t="str">
            <v>12.115.176-6</v>
          </cell>
          <cell r="C55" t="str">
            <v>Perforista</v>
          </cell>
          <cell r="D55">
            <v>19</v>
          </cell>
          <cell r="E55">
            <v>355.4</v>
          </cell>
          <cell r="F55">
            <v>240</v>
          </cell>
          <cell r="G55">
            <v>534900</v>
          </cell>
          <cell r="H55">
            <v>0</v>
          </cell>
          <cell r="I55">
            <v>23362.5</v>
          </cell>
          <cell r="J55">
            <v>250000</v>
          </cell>
          <cell r="K55">
            <v>0</v>
          </cell>
          <cell r="L55">
            <v>808262.5</v>
          </cell>
        </row>
        <row r="56">
          <cell r="A56" t="str">
            <v>JAMIS ALONSO NETTLE MALUENDA</v>
          </cell>
          <cell r="B56" t="str">
            <v>17.713.235-7</v>
          </cell>
          <cell r="C56" t="str">
            <v>Perforista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A57" t="str">
            <v>JONATHAN ANDRES ARDILES NUÑEZ</v>
          </cell>
          <cell r="B57" t="str">
            <v>15.056.140-K</v>
          </cell>
          <cell r="C57" t="str">
            <v>Chofer</v>
          </cell>
          <cell r="D57">
            <v>19</v>
          </cell>
          <cell r="E57">
            <v>0</v>
          </cell>
          <cell r="F57">
            <v>0</v>
          </cell>
          <cell r="G57">
            <v>0</v>
          </cell>
          <cell r="H57">
            <v>381488.33</v>
          </cell>
          <cell r="I57">
            <v>0</v>
          </cell>
          <cell r="J57">
            <v>0</v>
          </cell>
          <cell r="K57">
            <v>0</v>
          </cell>
          <cell r="L57">
            <v>381488.33</v>
          </cell>
        </row>
        <row r="58">
          <cell r="A58" t="str">
            <v>GUSTAVO ALEXIS REINUABA RODRIGUEZ</v>
          </cell>
          <cell r="B58" t="str">
            <v>16.450.418-2</v>
          </cell>
          <cell r="C58" t="str">
            <v>Administrativo de Faena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602350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A59" t="str">
            <v>JUAN ANTONIO VEGA ESPINOZA</v>
          </cell>
          <cell r="B59" t="str">
            <v>16.581.290-5</v>
          </cell>
          <cell r="C59" t="str">
            <v>Ayudante Perforista</v>
          </cell>
          <cell r="D59">
            <v>11</v>
          </cell>
          <cell r="E59">
            <v>160.75</v>
          </cell>
          <cell r="F59">
            <v>120</v>
          </cell>
          <cell r="G59">
            <v>260500</v>
          </cell>
          <cell r="H59">
            <v>0</v>
          </cell>
          <cell r="I59">
            <v>9750</v>
          </cell>
          <cell r="J59">
            <v>125000</v>
          </cell>
          <cell r="K59">
            <v>0</v>
          </cell>
          <cell r="L59">
            <v>395250</v>
          </cell>
        </row>
        <row r="60">
          <cell r="A60" t="str">
            <v>CARLOS ANDRES ZAPATA SEGUEL</v>
          </cell>
          <cell r="B60" t="str">
            <v>17.775.054-9</v>
          </cell>
          <cell r="C60" t="str">
            <v>Ayudante Perforista</v>
          </cell>
          <cell r="D60">
            <v>20</v>
          </cell>
          <cell r="E60">
            <v>364.6</v>
          </cell>
          <cell r="F60">
            <v>180</v>
          </cell>
          <cell r="G60">
            <v>272700</v>
          </cell>
          <cell r="H60">
            <v>0</v>
          </cell>
          <cell r="I60">
            <v>26225</v>
          </cell>
          <cell r="J60">
            <v>125000</v>
          </cell>
          <cell r="K60">
            <v>0</v>
          </cell>
          <cell r="L60">
            <v>423925</v>
          </cell>
        </row>
        <row r="61">
          <cell r="A61" t="str">
            <v>GUMERCINDO DEL ROSARIO PASTEN GUERRERO</v>
          </cell>
          <cell r="B61" t="str">
            <v>10.792.747-6</v>
          </cell>
          <cell r="C61" t="str">
            <v>Supervisor de Operaciones</v>
          </cell>
          <cell r="D61">
            <v>19</v>
          </cell>
          <cell r="E61">
            <v>0</v>
          </cell>
          <cell r="F61">
            <v>0</v>
          </cell>
          <cell r="G61">
            <v>0</v>
          </cell>
          <cell r="H61">
            <v>572232.5</v>
          </cell>
          <cell r="I61">
            <v>0</v>
          </cell>
          <cell r="J61">
            <v>0</v>
          </cell>
          <cell r="K61">
            <v>0</v>
          </cell>
          <cell r="L61">
            <v>572232.5</v>
          </cell>
        </row>
        <row r="62">
          <cell r="A62" t="str">
            <v>JAIME NICOLAS CARVAJAL ALVARADO</v>
          </cell>
          <cell r="B62" t="str">
            <v>19.911.323-2</v>
          </cell>
          <cell r="C62" t="str">
            <v>Ayudante Perforista</v>
          </cell>
          <cell r="D62">
            <v>10</v>
          </cell>
          <cell r="E62">
            <v>378.35</v>
          </cell>
          <cell r="F62">
            <v>120</v>
          </cell>
          <cell r="G62">
            <v>238500</v>
          </cell>
          <cell r="H62">
            <v>0</v>
          </cell>
          <cell r="I62">
            <v>37887.5</v>
          </cell>
          <cell r="J62">
            <v>125000</v>
          </cell>
          <cell r="K62">
            <v>0</v>
          </cell>
          <cell r="L62">
            <v>401387.5</v>
          </cell>
        </row>
        <row r="63">
          <cell r="A63" t="str">
            <v>RODRIGO ANDRES ARAYA ROJAS</v>
          </cell>
          <cell r="B63" t="str">
            <v>13.423.391-5</v>
          </cell>
          <cell r="C63" t="str">
            <v>Supervisor de Operaciones</v>
          </cell>
          <cell r="D63">
            <v>11</v>
          </cell>
          <cell r="E63">
            <v>0</v>
          </cell>
          <cell r="F63">
            <v>0</v>
          </cell>
          <cell r="G63">
            <v>0</v>
          </cell>
          <cell r="H63">
            <v>331292.5</v>
          </cell>
          <cell r="I63">
            <v>0</v>
          </cell>
          <cell r="J63">
            <v>0</v>
          </cell>
          <cell r="K63">
            <v>0</v>
          </cell>
          <cell r="L63">
            <v>331292.5</v>
          </cell>
        </row>
        <row r="64">
          <cell r="A64" t="str">
            <v>JOSUE SALOMÓN CASTRO VARAS</v>
          </cell>
          <cell r="B64" t="str">
            <v>17.014.579-8</v>
          </cell>
          <cell r="C64" t="str">
            <v>Perforista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A65" t="str">
            <v>MARIO ALBERTO AQUEA GONZALEZ</v>
          </cell>
          <cell r="B65" t="str">
            <v>21.637.836-9</v>
          </cell>
          <cell r="C65" t="str">
            <v>Ayudante Perforista</v>
          </cell>
          <cell r="D65">
            <v>18</v>
          </cell>
          <cell r="E65">
            <v>20.7</v>
          </cell>
          <cell r="F65">
            <v>24</v>
          </cell>
          <cell r="G65">
            <v>10350</v>
          </cell>
          <cell r="H65">
            <v>0</v>
          </cell>
          <cell r="I65">
            <v>0</v>
          </cell>
          <cell r="J65">
            <v>125000</v>
          </cell>
          <cell r="K65">
            <v>0</v>
          </cell>
          <cell r="L65">
            <v>135350</v>
          </cell>
        </row>
        <row r="66">
          <cell r="A66" t="str">
            <v>RODRIGO ALEJANDRO GONZALEZ RODRIGUEZ</v>
          </cell>
          <cell r="B66" t="str">
            <v>17.015.679-K</v>
          </cell>
          <cell r="C66" t="str">
            <v>Ayudante Perforista</v>
          </cell>
          <cell r="D66">
            <v>10</v>
          </cell>
          <cell r="E66">
            <v>360.25</v>
          </cell>
          <cell r="F66">
            <v>120</v>
          </cell>
          <cell r="G66">
            <v>260500</v>
          </cell>
          <cell r="H66">
            <v>0</v>
          </cell>
          <cell r="I66">
            <v>42875</v>
          </cell>
          <cell r="J66">
            <v>125000</v>
          </cell>
          <cell r="K66">
            <v>0</v>
          </cell>
          <cell r="L66">
            <v>428375</v>
          </cell>
        </row>
        <row r="67">
          <cell r="A67" t="str">
            <v>JUAN MAURICIO TABILO ARAYA</v>
          </cell>
          <cell r="B67" t="str">
            <v>14.117.235-2</v>
          </cell>
          <cell r="C67" t="str">
            <v>Perforista</v>
          </cell>
          <cell r="D67">
            <v>11</v>
          </cell>
          <cell r="E67">
            <v>141.05000000000001</v>
          </cell>
          <cell r="F67">
            <v>120</v>
          </cell>
          <cell r="G67">
            <v>210487.5</v>
          </cell>
          <cell r="H67">
            <v>0</v>
          </cell>
          <cell r="I67">
            <v>5220</v>
          </cell>
          <cell r="J67">
            <v>0</v>
          </cell>
          <cell r="K67">
            <v>0</v>
          </cell>
          <cell r="L67">
            <v>215707.5</v>
          </cell>
        </row>
        <row r="68">
          <cell r="A68" t="str">
            <v>JILBERTO FRANCISCO ROJAS FERNANDEZ</v>
          </cell>
          <cell r="B68" t="str">
            <v>15.521.744-8</v>
          </cell>
          <cell r="C68" t="str">
            <v>Ayudante Perforista</v>
          </cell>
          <cell r="D68">
            <v>10</v>
          </cell>
          <cell r="E68">
            <v>185.05</v>
          </cell>
          <cell r="F68">
            <v>120</v>
          </cell>
          <cell r="G68">
            <v>184850</v>
          </cell>
          <cell r="H68">
            <v>0</v>
          </cell>
          <cell r="I68">
            <v>11250</v>
          </cell>
          <cell r="J68">
            <v>0</v>
          </cell>
          <cell r="K68">
            <v>0</v>
          </cell>
          <cell r="L68">
            <v>196100</v>
          </cell>
        </row>
        <row r="69">
          <cell r="A69" t="str">
            <v>JORGE ANDRES ARANCIBIA LEDEZMA</v>
          </cell>
          <cell r="B69" t="str">
            <v>18.755.121-8</v>
          </cell>
          <cell r="C69" t="str">
            <v>Ayudante de Perforista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</row>
        <row r="70">
          <cell r="A70" t="str">
            <v>JOSE LUIS FLORES FLORES</v>
          </cell>
          <cell r="B70" t="str">
            <v>15.494.173-8</v>
          </cell>
          <cell r="C70" t="str">
            <v>Ayudante Perforista</v>
          </cell>
          <cell r="D70">
            <v>10</v>
          </cell>
          <cell r="E70">
            <v>378.35</v>
          </cell>
          <cell r="F70">
            <v>120</v>
          </cell>
          <cell r="G70">
            <v>238500</v>
          </cell>
          <cell r="H70">
            <v>0</v>
          </cell>
          <cell r="I70">
            <v>37887.5</v>
          </cell>
          <cell r="J70">
            <v>125000</v>
          </cell>
          <cell r="K70">
            <v>0</v>
          </cell>
          <cell r="L70">
            <v>401387.5</v>
          </cell>
        </row>
        <row r="71">
          <cell r="A71" t="str">
            <v>IVAN ALEJANDRO SAN FRANCISCO ARDILES</v>
          </cell>
          <cell r="B71" t="str">
            <v>17.295.192-9</v>
          </cell>
          <cell r="C71" t="str">
            <v>Ayudante Perforista</v>
          </cell>
          <cell r="D71">
            <v>20</v>
          </cell>
          <cell r="E71">
            <v>253.5</v>
          </cell>
          <cell r="F71">
            <v>180</v>
          </cell>
          <cell r="G71">
            <v>277350</v>
          </cell>
          <cell r="H71">
            <v>0</v>
          </cell>
          <cell r="I71">
            <v>19350</v>
          </cell>
          <cell r="J71">
            <v>125000</v>
          </cell>
          <cell r="K71">
            <v>0</v>
          </cell>
          <cell r="L71">
            <v>421700</v>
          </cell>
        </row>
        <row r="72">
          <cell r="A72" t="str">
            <v>JOEL ANDRES CARO GALLARDO</v>
          </cell>
          <cell r="B72" t="str">
            <v>18.403.993-1</v>
          </cell>
          <cell r="C72" t="str">
            <v>Chofer</v>
          </cell>
          <cell r="D72">
            <v>15</v>
          </cell>
          <cell r="E72">
            <v>0</v>
          </cell>
          <cell r="F72">
            <v>0</v>
          </cell>
          <cell r="G72">
            <v>0</v>
          </cell>
          <cell r="H72">
            <v>301175</v>
          </cell>
          <cell r="I72">
            <v>0</v>
          </cell>
          <cell r="J72">
            <v>0</v>
          </cell>
          <cell r="K72">
            <v>0</v>
          </cell>
          <cell r="L72">
            <v>301175</v>
          </cell>
        </row>
        <row r="73">
          <cell r="A73" t="str">
            <v>JOSE MIGUEL ARDILES NUÑEZ</v>
          </cell>
          <cell r="B73" t="str">
            <v>16.052.742-0</v>
          </cell>
          <cell r="C73" t="str">
            <v>Chofer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602350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A74" t="str">
            <v>JORGE CRISTIAN FUENTES ROBLEDO</v>
          </cell>
          <cell r="B74" t="str">
            <v>13.424.802-5</v>
          </cell>
          <cell r="C74" t="str">
            <v>Perforista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A75" t="str">
            <v>JUAN EDUARDO GONZALEZ ROMERO</v>
          </cell>
          <cell r="B75" t="str">
            <v>17.827.549-6</v>
          </cell>
          <cell r="C75" t="str">
            <v>Ayudante Perforista</v>
          </cell>
          <cell r="D75">
            <v>20</v>
          </cell>
          <cell r="E75">
            <v>376.5</v>
          </cell>
          <cell r="F75">
            <v>228</v>
          </cell>
          <cell r="G75">
            <v>295800</v>
          </cell>
          <cell r="H75">
            <v>0</v>
          </cell>
          <cell r="I75">
            <v>29487.5</v>
          </cell>
          <cell r="J75">
            <v>125000</v>
          </cell>
          <cell r="K75">
            <v>0</v>
          </cell>
          <cell r="L75">
            <v>450287.5</v>
          </cell>
        </row>
        <row r="76">
          <cell r="A76" t="str">
            <v>HAMIR ALONSO GONZALEZ JERALDO</v>
          </cell>
          <cell r="B76" t="str">
            <v>17.293.946-5</v>
          </cell>
          <cell r="C76" t="str">
            <v>Perforista</v>
          </cell>
          <cell r="D76">
            <v>5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A77" t="str">
            <v>HERNAN EDUARDO SEPULVEDA MORENO</v>
          </cell>
          <cell r="B77" t="str">
            <v>16.914.867-8</v>
          </cell>
          <cell r="C77" t="str">
            <v>Ayudante de Perforista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A78" t="str">
            <v>LEONARDO PATRICIO GATICA CASTRO</v>
          </cell>
          <cell r="B78" t="str">
            <v>18.520.647-5</v>
          </cell>
          <cell r="C78" t="str">
            <v>Soldador</v>
          </cell>
          <cell r="D78">
            <v>11</v>
          </cell>
          <cell r="E78">
            <v>0</v>
          </cell>
          <cell r="F78">
            <v>0</v>
          </cell>
          <cell r="G78">
            <v>0</v>
          </cell>
          <cell r="H78">
            <v>220861.67</v>
          </cell>
          <cell r="I78">
            <v>0</v>
          </cell>
          <cell r="J78">
            <v>0</v>
          </cell>
          <cell r="K78">
            <v>0</v>
          </cell>
          <cell r="L78">
            <v>220861.67</v>
          </cell>
        </row>
        <row r="79">
          <cell r="A79" t="str">
            <v>PAUL GIOVANNI BRIONES BRIONES</v>
          </cell>
          <cell r="B79" t="str">
            <v>17.626.566-3</v>
          </cell>
          <cell r="C79" t="str">
            <v>Perforista</v>
          </cell>
          <cell r="D79">
            <v>11</v>
          </cell>
          <cell r="E79">
            <v>160.75</v>
          </cell>
          <cell r="F79">
            <v>120</v>
          </cell>
          <cell r="G79">
            <v>390750</v>
          </cell>
          <cell r="H79">
            <v>0</v>
          </cell>
          <cell r="I79">
            <v>14625</v>
          </cell>
          <cell r="J79">
            <v>250000</v>
          </cell>
          <cell r="K79">
            <v>0</v>
          </cell>
          <cell r="L79">
            <v>655375</v>
          </cell>
        </row>
        <row r="80">
          <cell r="A80" t="str">
            <v>LUIS RENATO DE JESUS JIMENEZ VEGA</v>
          </cell>
          <cell r="B80" t="str">
            <v>17.294.428-0</v>
          </cell>
          <cell r="C80" t="str">
            <v>Chofer</v>
          </cell>
          <cell r="D80">
            <v>20</v>
          </cell>
          <cell r="E80">
            <v>0</v>
          </cell>
          <cell r="F80">
            <v>0</v>
          </cell>
          <cell r="G80">
            <v>0</v>
          </cell>
          <cell r="H80">
            <v>401566.67</v>
          </cell>
          <cell r="I80">
            <v>0</v>
          </cell>
          <cell r="J80">
            <v>0</v>
          </cell>
          <cell r="K80">
            <v>0</v>
          </cell>
          <cell r="L80">
            <v>401566.67</v>
          </cell>
        </row>
        <row r="81">
          <cell r="A81" t="str">
            <v>JUAN CARLOS ROJAS IRIARTE</v>
          </cell>
          <cell r="B81" t="str">
            <v>17.015.514-9</v>
          </cell>
          <cell r="C81" t="str">
            <v>Ayudante de Perforista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</row>
        <row r="82">
          <cell r="A82" t="str">
            <v>LEONARDO IVAN MUNDACA PEREZ</v>
          </cell>
          <cell r="B82" t="str">
            <v>12.441.529-2</v>
          </cell>
          <cell r="C82" t="str">
            <v>Electromecánico</v>
          </cell>
          <cell r="D82">
            <v>20</v>
          </cell>
          <cell r="E82">
            <v>0</v>
          </cell>
          <cell r="F82">
            <v>0</v>
          </cell>
          <cell r="G82">
            <v>0</v>
          </cell>
          <cell r="H82">
            <v>401566.67</v>
          </cell>
          <cell r="I82">
            <v>0</v>
          </cell>
          <cell r="J82">
            <v>0</v>
          </cell>
          <cell r="K82">
            <v>0</v>
          </cell>
          <cell r="L82">
            <v>401566.67</v>
          </cell>
        </row>
        <row r="83">
          <cell r="A83" t="str">
            <v>ROBERTO CARLOS NUÑEZ GONZALEZ</v>
          </cell>
          <cell r="B83" t="str">
            <v>12.419.789-9</v>
          </cell>
          <cell r="C83" t="str">
            <v>Administrador de Contrato</v>
          </cell>
          <cell r="D83">
            <v>16</v>
          </cell>
          <cell r="E83">
            <v>0</v>
          </cell>
          <cell r="F83">
            <v>0</v>
          </cell>
          <cell r="G83">
            <v>0</v>
          </cell>
          <cell r="H83">
            <v>481880</v>
          </cell>
          <cell r="I83">
            <v>0</v>
          </cell>
          <cell r="J83">
            <v>0</v>
          </cell>
          <cell r="K83">
            <v>0</v>
          </cell>
          <cell r="L83">
            <v>481880</v>
          </cell>
        </row>
        <row r="84">
          <cell r="A84" t="str">
            <v>NESTOR RENE SUAREZ MORALES</v>
          </cell>
          <cell r="B84" t="str">
            <v>15.061.835-5</v>
          </cell>
          <cell r="C84" t="str">
            <v>Perforista</v>
          </cell>
          <cell r="D84">
            <v>18</v>
          </cell>
          <cell r="E84">
            <v>466</v>
          </cell>
          <cell r="F84">
            <v>211.25</v>
          </cell>
          <cell r="G84">
            <v>273600</v>
          </cell>
          <cell r="H84">
            <v>0</v>
          </cell>
          <cell r="I84">
            <v>10200</v>
          </cell>
          <cell r="J84">
            <v>0</v>
          </cell>
          <cell r="K84">
            <v>0</v>
          </cell>
          <cell r="L84">
            <v>283800</v>
          </cell>
        </row>
        <row r="85">
          <cell r="A85" t="str">
            <v>PEDRO BALDOMERO LOPEZ ARAYA</v>
          </cell>
          <cell r="B85" t="str">
            <v>20.600.531-9</v>
          </cell>
          <cell r="C85" t="str">
            <v>Mecánico</v>
          </cell>
          <cell r="D85">
            <v>10</v>
          </cell>
          <cell r="E85">
            <v>0</v>
          </cell>
          <cell r="F85">
            <v>0</v>
          </cell>
          <cell r="G85">
            <v>0</v>
          </cell>
          <cell r="H85">
            <v>200783.33</v>
          </cell>
          <cell r="I85">
            <v>0</v>
          </cell>
          <cell r="J85">
            <v>0</v>
          </cell>
          <cell r="K85">
            <v>0</v>
          </cell>
          <cell r="L85">
            <v>200783.33</v>
          </cell>
        </row>
        <row r="86">
          <cell r="A86" t="str">
            <v>MARCO ANDRES ROJAS ROJAS</v>
          </cell>
          <cell r="B86" t="str">
            <v>16.442.547-9</v>
          </cell>
          <cell r="C86" t="str">
            <v>Perforista</v>
          </cell>
          <cell r="D86">
            <v>11</v>
          </cell>
          <cell r="E86">
            <v>360.25</v>
          </cell>
          <cell r="F86">
            <v>120</v>
          </cell>
          <cell r="G86">
            <v>390750</v>
          </cell>
          <cell r="H86">
            <v>0</v>
          </cell>
          <cell r="I86">
            <v>64312.5</v>
          </cell>
          <cell r="J86">
            <v>250000</v>
          </cell>
          <cell r="K86">
            <v>0</v>
          </cell>
          <cell r="L86">
            <v>705062.5</v>
          </cell>
        </row>
        <row r="87">
          <cell r="A87" t="str">
            <v>MILENCO ALEXIS MOYANO GUERRERO</v>
          </cell>
          <cell r="B87" t="str">
            <v>16.550.436-4</v>
          </cell>
          <cell r="C87" t="str">
            <v>Perforista</v>
          </cell>
          <cell r="D87">
            <v>11</v>
          </cell>
          <cell r="E87">
            <v>360.25</v>
          </cell>
          <cell r="F87">
            <v>120</v>
          </cell>
          <cell r="G87">
            <v>390750</v>
          </cell>
          <cell r="H87">
            <v>0</v>
          </cell>
          <cell r="I87">
            <v>64312.5</v>
          </cell>
          <cell r="J87">
            <v>250000</v>
          </cell>
          <cell r="K87">
            <v>0</v>
          </cell>
          <cell r="L87">
            <v>705062.5</v>
          </cell>
        </row>
        <row r="88">
          <cell r="A88" t="str">
            <v>MANUEL ANDRES LISAMBARTH CARABANTES</v>
          </cell>
          <cell r="B88" t="str">
            <v>16.892.086-5</v>
          </cell>
          <cell r="C88" t="str">
            <v>Administrativo Avanzado</v>
          </cell>
          <cell r="D88">
            <v>10</v>
          </cell>
          <cell r="E88">
            <v>0</v>
          </cell>
          <cell r="F88">
            <v>0</v>
          </cell>
          <cell r="G88">
            <v>0</v>
          </cell>
          <cell r="H88">
            <v>200783.33</v>
          </cell>
          <cell r="I88">
            <v>0</v>
          </cell>
          <cell r="J88">
            <v>0</v>
          </cell>
          <cell r="K88">
            <v>0</v>
          </cell>
          <cell r="L88">
            <v>200783.33</v>
          </cell>
        </row>
        <row r="89">
          <cell r="A89" t="str">
            <v>PEDRO GABRIEL NARANJO ACUÑA</v>
          </cell>
          <cell r="B89" t="str">
            <v>14.310.737-K</v>
          </cell>
          <cell r="C89" t="str">
            <v>Mecánico</v>
          </cell>
          <cell r="D89">
            <v>10</v>
          </cell>
          <cell r="E89">
            <v>0</v>
          </cell>
          <cell r="F89">
            <v>0</v>
          </cell>
          <cell r="G89">
            <v>0</v>
          </cell>
          <cell r="H89">
            <v>200783.33</v>
          </cell>
          <cell r="I89">
            <v>0</v>
          </cell>
          <cell r="J89">
            <v>0</v>
          </cell>
          <cell r="K89">
            <v>0</v>
          </cell>
          <cell r="L89">
            <v>200783.33</v>
          </cell>
        </row>
        <row r="90">
          <cell r="A90" t="str">
            <v>HUGO ITALO NUÑEZ PENDOLA</v>
          </cell>
          <cell r="B90" t="str">
            <v>13.904.830-K</v>
          </cell>
          <cell r="C90" t="str">
            <v>Chofer</v>
          </cell>
          <cell r="D90">
            <v>10</v>
          </cell>
          <cell r="E90">
            <v>0</v>
          </cell>
          <cell r="F90">
            <v>0</v>
          </cell>
          <cell r="G90">
            <v>0</v>
          </cell>
          <cell r="H90">
            <v>200783.33</v>
          </cell>
          <cell r="I90">
            <v>0</v>
          </cell>
          <cell r="J90">
            <v>0</v>
          </cell>
          <cell r="K90">
            <v>0</v>
          </cell>
          <cell r="L90">
            <v>200783.33</v>
          </cell>
        </row>
        <row r="91">
          <cell r="A91" t="str">
            <v>PABLO LUCAS POBLETE KUHNE</v>
          </cell>
          <cell r="B91" t="str">
            <v>19.460.207-3</v>
          </cell>
          <cell r="C91" t="str">
            <v>Chofer</v>
          </cell>
          <cell r="D91">
            <v>10</v>
          </cell>
          <cell r="E91">
            <v>0</v>
          </cell>
          <cell r="F91">
            <v>0</v>
          </cell>
          <cell r="G91">
            <v>0</v>
          </cell>
          <cell r="H91">
            <v>200783.33</v>
          </cell>
          <cell r="I91">
            <v>0</v>
          </cell>
          <cell r="J91">
            <v>0</v>
          </cell>
          <cell r="K91">
            <v>0</v>
          </cell>
          <cell r="L91">
            <v>200783.33</v>
          </cell>
        </row>
        <row r="92">
          <cell r="A92" t="str">
            <v>LUIS ALBERT CHAMBLAS CARTE</v>
          </cell>
          <cell r="B92" t="str">
            <v>13.411.442-8</v>
          </cell>
          <cell r="C92" t="str">
            <v>Ayudante Perforista</v>
          </cell>
          <cell r="D92">
            <v>10</v>
          </cell>
          <cell r="E92">
            <v>324</v>
          </cell>
          <cell r="F92">
            <v>120</v>
          </cell>
          <cell r="G92">
            <v>90400</v>
          </cell>
          <cell r="H92">
            <v>0</v>
          </cell>
          <cell r="I92">
            <v>5600</v>
          </cell>
          <cell r="J92">
            <v>0</v>
          </cell>
          <cell r="K92">
            <v>0</v>
          </cell>
          <cell r="L92">
            <v>96000</v>
          </cell>
        </row>
        <row r="93">
          <cell r="A93" t="str">
            <v>MARCELO GIOVANNI RAMIREZ BARRAZA</v>
          </cell>
          <cell r="B93" t="str">
            <v>19.948.246-7</v>
          </cell>
          <cell r="C93" t="str">
            <v>Mecánico Líder</v>
          </cell>
          <cell r="D93">
            <v>11</v>
          </cell>
          <cell r="E93">
            <v>0</v>
          </cell>
          <cell r="F93">
            <v>0</v>
          </cell>
          <cell r="G93">
            <v>0</v>
          </cell>
          <cell r="H93">
            <v>331292.5</v>
          </cell>
          <cell r="I93">
            <v>0</v>
          </cell>
          <cell r="J93">
            <v>0</v>
          </cell>
          <cell r="K93">
            <v>0</v>
          </cell>
          <cell r="L93">
            <v>331292.5</v>
          </cell>
        </row>
        <row r="94">
          <cell r="A94" t="str">
            <v>JONATHAN FERNANDO BARRIOS GODOY</v>
          </cell>
          <cell r="B94" t="str">
            <v>15.031.055-5</v>
          </cell>
          <cell r="C94" t="str">
            <v>Mecánico</v>
          </cell>
          <cell r="D94">
            <v>11</v>
          </cell>
          <cell r="E94">
            <v>0</v>
          </cell>
          <cell r="F94">
            <v>0</v>
          </cell>
          <cell r="G94">
            <v>0</v>
          </cell>
          <cell r="H94">
            <v>220861.67</v>
          </cell>
          <cell r="I94">
            <v>0</v>
          </cell>
          <cell r="J94">
            <v>0</v>
          </cell>
          <cell r="K94">
            <v>0</v>
          </cell>
          <cell r="L94">
            <v>220861.67</v>
          </cell>
        </row>
        <row r="95">
          <cell r="A95" t="str">
            <v>JENNIFER ALEJANDRA SOTO FLORES</v>
          </cell>
          <cell r="B95" t="str">
            <v>19.825.638-2</v>
          </cell>
          <cell r="C95" t="str">
            <v>Bodeguero</v>
          </cell>
          <cell r="D95">
            <v>11</v>
          </cell>
          <cell r="E95">
            <v>0</v>
          </cell>
          <cell r="F95">
            <v>0</v>
          </cell>
          <cell r="G95">
            <v>0</v>
          </cell>
          <cell r="H95">
            <v>220861.67</v>
          </cell>
          <cell r="I95">
            <v>0</v>
          </cell>
          <cell r="J95">
            <v>0</v>
          </cell>
          <cell r="K95">
            <v>0</v>
          </cell>
          <cell r="L95">
            <v>220861.67</v>
          </cell>
        </row>
        <row r="96">
          <cell r="A96" t="str">
            <v>KAZUKI CASTRO HOHMANN</v>
          </cell>
          <cell r="B96" t="str">
            <v>19.454.353-0</v>
          </cell>
          <cell r="C96" t="str">
            <v>Ayudante Perforista</v>
          </cell>
          <cell r="D96">
            <v>20</v>
          </cell>
          <cell r="E96">
            <v>292.60000000000002</v>
          </cell>
          <cell r="F96">
            <v>144</v>
          </cell>
          <cell r="G96">
            <v>140250</v>
          </cell>
          <cell r="H96">
            <v>0</v>
          </cell>
          <cell r="I96">
            <v>6462.5</v>
          </cell>
          <cell r="J96">
            <v>125000</v>
          </cell>
          <cell r="K96">
            <v>0</v>
          </cell>
          <cell r="L96">
            <v>271712.5</v>
          </cell>
        </row>
        <row r="97">
          <cell r="A97" t="str">
            <v>SEBASTIAN ENRIQUE SASSO ARAYA</v>
          </cell>
          <cell r="B97" t="str">
            <v>16.133.155-4</v>
          </cell>
          <cell r="C97" t="str">
            <v>Perforista</v>
          </cell>
          <cell r="D97">
            <v>4</v>
          </cell>
          <cell r="E97">
            <v>128</v>
          </cell>
          <cell r="F97">
            <v>48</v>
          </cell>
          <cell r="G97">
            <v>78000</v>
          </cell>
          <cell r="H97">
            <v>0</v>
          </cell>
          <cell r="I97">
            <v>4200</v>
          </cell>
          <cell r="J97">
            <v>0</v>
          </cell>
          <cell r="K97">
            <v>0</v>
          </cell>
          <cell r="L97">
            <v>82200</v>
          </cell>
        </row>
        <row r="98">
          <cell r="A98" t="str">
            <v>PATRICIO COLLO VEGA GONZALEZ</v>
          </cell>
          <cell r="B98" t="str">
            <v>13.743.972-7</v>
          </cell>
          <cell r="C98" t="str">
            <v>Ayudante Perforista</v>
          </cell>
          <cell r="D98">
            <v>19</v>
          </cell>
          <cell r="E98">
            <v>111</v>
          </cell>
          <cell r="F98">
            <v>60</v>
          </cell>
          <cell r="G98">
            <v>103350</v>
          </cell>
          <cell r="H98">
            <v>0</v>
          </cell>
          <cell r="I98">
            <v>11250</v>
          </cell>
          <cell r="J98">
            <v>125000</v>
          </cell>
          <cell r="K98">
            <v>0</v>
          </cell>
          <cell r="L98">
            <v>239600</v>
          </cell>
        </row>
        <row r="99">
          <cell r="A99" t="str">
            <v>NELSON ANDRES CASTRO AVALOS</v>
          </cell>
          <cell r="B99" t="str">
            <v>17.624.527-1</v>
          </cell>
          <cell r="C99" t="str">
            <v>Perforista</v>
          </cell>
          <cell r="D99">
            <v>19</v>
          </cell>
          <cell r="E99">
            <v>306.05</v>
          </cell>
          <cell r="F99">
            <v>192</v>
          </cell>
          <cell r="G99">
            <v>428550</v>
          </cell>
          <cell r="H99">
            <v>0</v>
          </cell>
          <cell r="I99">
            <v>38025</v>
          </cell>
          <cell r="J99">
            <v>250000</v>
          </cell>
          <cell r="K99">
            <v>0</v>
          </cell>
          <cell r="L99">
            <v>716575</v>
          </cell>
        </row>
        <row r="100">
          <cell r="A100" t="str">
            <v>ANCHELO JAVIER TORRES NAVARRO</v>
          </cell>
          <cell r="B100" t="str">
            <v>13.802.507-1</v>
          </cell>
          <cell r="C100" t="str">
            <v>Ayudante de Perforista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A101" t="str">
            <v>ANGELO IGNACIO GOMEZ PIZARRO</v>
          </cell>
          <cell r="B101" t="str">
            <v>19.662.155-5</v>
          </cell>
          <cell r="C101" t="str">
            <v>Ayudante de Perforista</v>
          </cell>
          <cell r="D101">
            <v>21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</row>
        <row r="102">
          <cell r="A102" t="str">
            <v>RODRIGO ALEJANDRO AVILES VERGARA</v>
          </cell>
          <cell r="B102" t="str">
            <v>15.232.639-4</v>
          </cell>
          <cell r="C102" t="str">
            <v>Perforista</v>
          </cell>
          <cell r="D102">
            <v>11</v>
          </cell>
          <cell r="E102">
            <v>309</v>
          </cell>
          <cell r="F102">
            <v>120</v>
          </cell>
          <cell r="G102">
            <v>144600</v>
          </cell>
          <cell r="H102">
            <v>0</v>
          </cell>
          <cell r="I102">
            <v>8400</v>
          </cell>
          <cell r="J102">
            <v>0</v>
          </cell>
          <cell r="K102">
            <v>0</v>
          </cell>
          <cell r="L102">
            <v>153000</v>
          </cell>
        </row>
        <row r="103">
          <cell r="A103" t="str">
            <v>STEPHANIA ANDRES DAHLBOKUM OLIVARES</v>
          </cell>
          <cell r="B103" t="str">
            <v>16.627.778-7</v>
          </cell>
          <cell r="C103" t="str">
            <v>Administrativo de Faena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602350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</row>
        <row r="104">
          <cell r="A104" t="str">
            <v>RAMON ALEJANDRO RIVERA GONZALEZ</v>
          </cell>
          <cell r="B104" t="str">
            <v>18.219.407-7</v>
          </cell>
          <cell r="C104" t="str">
            <v>Ayudante Perforista</v>
          </cell>
          <cell r="D104">
            <v>20</v>
          </cell>
          <cell r="E104">
            <v>466</v>
          </cell>
          <cell r="F104">
            <v>211.25</v>
          </cell>
          <cell r="G104">
            <v>182400</v>
          </cell>
          <cell r="H104">
            <v>0</v>
          </cell>
          <cell r="I104">
            <v>6800</v>
          </cell>
          <cell r="J104">
            <v>0</v>
          </cell>
          <cell r="K104">
            <v>0</v>
          </cell>
          <cell r="L104">
            <v>189200</v>
          </cell>
        </row>
        <row r="105">
          <cell r="A105" t="str">
            <v>BARBARA ANAIS ASTORGA PINTO</v>
          </cell>
          <cell r="B105" t="str">
            <v>21.336.141-4</v>
          </cell>
          <cell r="C105" t="str">
            <v>Administrativo de Faena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602350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</row>
        <row r="106">
          <cell r="A106" t="str">
            <v>DAVID SEBASTIAN CABALLERO LABARCA</v>
          </cell>
          <cell r="B106" t="str">
            <v>16.833.300-5</v>
          </cell>
          <cell r="C106" t="str">
            <v>Ayudante de Perforista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</row>
        <row r="107">
          <cell r="A107" t="str">
            <v>ANDRES ALEJANDRO VALENCIA CAMPOS</v>
          </cell>
          <cell r="B107" t="str">
            <v>14.903.561-3</v>
          </cell>
          <cell r="C107" t="str">
            <v>Supervisor de Operaciones</v>
          </cell>
          <cell r="D107">
            <v>20</v>
          </cell>
          <cell r="E107">
            <v>0</v>
          </cell>
          <cell r="F107">
            <v>0</v>
          </cell>
          <cell r="G107">
            <v>0</v>
          </cell>
          <cell r="H107">
            <v>602350</v>
          </cell>
          <cell r="I107">
            <v>0</v>
          </cell>
          <cell r="J107">
            <v>0</v>
          </cell>
          <cell r="K107">
            <v>0</v>
          </cell>
          <cell r="L107">
            <v>602350</v>
          </cell>
        </row>
        <row r="108">
          <cell r="A108" t="str">
            <v>VICTOR IGNACIO HENRIQUEZ VARGAS</v>
          </cell>
          <cell r="B108" t="str">
            <v>19.347.572-8</v>
          </cell>
          <cell r="C108" t="str">
            <v>Ayudante Perforista</v>
          </cell>
          <cell r="D108">
            <v>11</v>
          </cell>
          <cell r="E108">
            <v>360.25</v>
          </cell>
          <cell r="F108">
            <v>120</v>
          </cell>
          <cell r="G108">
            <v>260500</v>
          </cell>
          <cell r="H108">
            <v>0</v>
          </cell>
          <cell r="I108">
            <v>42875</v>
          </cell>
          <cell r="J108">
            <v>125000</v>
          </cell>
          <cell r="K108">
            <v>0</v>
          </cell>
          <cell r="L108">
            <v>428375</v>
          </cell>
        </row>
        <row r="109">
          <cell r="A109" t="str">
            <v>SEBASTIAN ALFONSO PERALTA CORTES</v>
          </cell>
          <cell r="B109" t="str">
            <v>19.349.419-6</v>
          </cell>
          <cell r="C109" t="str">
            <v>Ayudante Perforista</v>
          </cell>
          <cell r="D109">
            <v>11</v>
          </cell>
          <cell r="E109">
            <v>133.6</v>
          </cell>
          <cell r="F109">
            <v>120</v>
          </cell>
          <cell r="G109">
            <v>143325</v>
          </cell>
          <cell r="H109">
            <v>0</v>
          </cell>
          <cell r="I109">
            <v>1190</v>
          </cell>
          <cell r="J109">
            <v>0</v>
          </cell>
          <cell r="K109">
            <v>0</v>
          </cell>
          <cell r="L109">
            <v>144515</v>
          </cell>
        </row>
        <row r="110">
          <cell r="A110" t="str">
            <v>DANIEL IGNACIO ROJO TORRES</v>
          </cell>
          <cell r="B110" t="str">
            <v>20.962.133-9</v>
          </cell>
          <cell r="C110" t="str">
            <v>Ayudante de Perforista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</row>
        <row r="111">
          <cell r="A111" t="str">
            <v>CARLOS JAVIER ALVAREZ RIVERA</v>
          </cell>
          <cell r="B111" t="str">
            <v>18.710.376-2</v>
          </cell>
          <cell r="C111" t="str">
            <v>Ayudante Perforista</v>
          </cell>
          <cell r="D111">
            <v>11</v>
          </cell>
          <cell r="E111">
            <v>179.05</v>
          </cell>
          <cell r="F111">
            <v>120</v>
          </cell>
          <cell r="G111">
            <v>233000</v>
          </cell>
          <cell r="H111">
            <v>0</v>
          </cell>
          <cell r="I111">
            <v>3940</v>
          </cell>
          <cell r="J111">
            <v>125000</v>
          </cell>
          <cell r="K111">
            <v>0</v>
          </cell>
          <cell r="L111">
            <v>361940</v>
          </cell>
        </row>
        <row r="112">
          <cell r="A112" t="str">
            <v>CRISTIAN GUMERCINDO MUÑOZ PORTILLA</v>
          </cell>
          <cell r="B112" t="str">
            <v>13.533.794-3</v>
          </cell>
          <cell r="C112" t="str">
            <v>Soldador</v>
          </cell>
          <cell r="D112">
            <v>5</v>
          </cell>
          <cell r="E112">
            <v>0</v>
          </cell>
          <cell r="F112">
            <v>0</v>
          </cell>
          <cell r="G112">
            <v>0</v>
          </cell>
          <cell r="H112">
            <v>100391.67</v>
          </cell>
          <cell r="I112">
            <v>0</v>
          </cell>
          <cell r="J112">
            <v>0</v>
          </cell>
          <cell r="K112">
            <v>0</v>
          </cell>
          <cell r="L112">
            <v>100391.67</v>
          </cell>
        </row>
        <row r="113">
          <cell r="A113" t="str">
            <v>DANIEL ALEJANDRO YAÑEZ VARAS</v>
          </cell>
          <cell r="B113" t="str">
            <v>16.772.735-2</v>
          </cell>
          <cell r="C113" t="str">
            <v>Ayudante Perforista</v>
          </cell>
          <cell r="D113">
            <v>10</v>
          </cell>
          <cell r="E113">
            <v>141.05000000000001</v>
          </cell>
          <cell r="F113">
            <v>120</v>
          </cell>
          <cell r="G113">
            <v>143325</v>
          </cell>
          <cell r="H113">
            <v>0</v>
          </cell>
          <cell r="I113">
            <v>4060</v>
          </cell>
          <cell r="J113">
            <v>0</v>
          </cell>
          <cell r="K113">
            <v>0</v>
          </cell>
          <cell r="L113">
            <v>147385</v>
          </cell>
        </row>
        <row r="114">
          <cell r="A114" t="str">
            <v>CLAUDIO ANDRES MORALES CASTILLO</v>
          </cell>
          <cell r="B114" t="str">
            <v>19.349.275-4</v>
          </cell>
          <cell r="C114" t="str">
            <v>Ayudante de Perforista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</row>
        <row r="115">
          <cell r="A115" t="str">
            <v>FRANCO HERNAN OLIVA CASTILLO</v>
          </cell>
          <cell r="B115" t="str">
            <v>18.632.466-8</v>
          </cell>
          <cell r="C115" t="str">
            <v>Ayudante de Perforista</v>
          </cell>
          <cell r="D115">
            <v>16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A116" t="str">
            <v>ERNESTO RAMIRO VALENCIA CAMPOS</v>
          </cell>
          <cell r="B116" t="str">
            <v>13.017.660-7</v>
          </cell>
          <cell r="C116" t="str">
            <v>Perforista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A117" t="str">
            <v>CLAUDIO ANDRES FERNANDEZ CASTILLO</v>
          </cell>
          <cell r="B117" t="str">
            <v>17.118.820-2</v>
          </cell>
          <cell r="C117" t="str">
            <v>Administrativo Avanzado</v>
          </cell>
          <cell r="D117">
            <v>19</v>
          </cell>
          <cell r="E117">
            <v>0</v>
          </cell>
          <cell r="F117">
            <v>0</v>
          </cell>
          <cell r="G117">
            <v>0</v>
          </cell>
          <cell r="H117">
            <v>381488.33</v>
          </cell>
          <cell r="I117">
            <v>0</v>
          </cell>
          <cell r="J117">
            <v>0</v>
          </cell>
          <cell r="K117">
            <v>0</v>
          </cell>
          <cell r="L117">
            <v>381488.33</v>
          </cell>
        </row>
        <row r="118">
          <cell r="A118" t="str">
            <v>CRISTOFER JESUS MALDONADO MONDACA</v>
          </cell>
          <cell r="B118" t="str">
            <v>18.633.143-5</v>
          </cell>
          <cell r="C118" t="str">
            <v>Chofer</v>
          </cell>
          <cell r="D118">
            <v>7</v>
          </cell>
          <cell r="E118">
            <v>0</v>
          </cell>
          <cell r="F118">
            <v>0</v>
          </cell>
          <cell r="G118">
            <v>0</v>
          </cell>
          <cell r="H118">
            <v>140548.32999999999</v>
          </cell>
          <cell r="I118">
            <v>0</v>
          </cell>
          <cell r="J118">
            <v>0</v>
          </cell>
          <cell r="K118">
            <v>0</v>
          </cell>
          <cell r="L118">
            <v>140548.32999999999</v>
          </cell>
        </row>
        <row r="119">
          <cell r="A119" t="str">
            <v>GUSTAVO ADOLFO MALDONADO OLIVARES</v>
          </cell>
          <cell r="B119" t="str">
            <v>18.139.820-5</v>
          </cell>
          <cell r="C119" t="str">
            <v>Ayudante de Perforista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</row>
        <row r="120">
          <cell r="A120" t="str">
            <v>FELIPE ANTONIO CARMONA LEITON</v>
          </cell>
          <cell r="B120" t="str">
            <v>20.457.549-5</v>
          </cell>
          <cell r="C120" t="str">
            <v>Mecánico</v>
          </cell>
          <cell r="D120">
            <v>1</v>
          </cell>
          <cell r="E120">
            <v>0</v>
          </cell>
          <cell r="F120">
            <v>0</v>
          </cell>
          <cell r="G120">
            <v>0</v>
          </cell>
          <cell r="H120">
            <v>20078.330000000002</v>
          </cell>
          <cell r="I120">
            <v>0</v>
          </cell>
          <cell r="J120">
            <v>0</v>
          </cell>
          <cell r="K120">
            <v>0</v>
          </cell>
          <cell r="L120">
            <v>20078.330000000002</v>
          </cell>
        </row>
        <row r="121">
          <cell r="A121" t="str">
            <v>FELIX JOEL CASTILLO VALDIVIA</v>
          </cell>
          <cell r="B121" t="str">
            <v>16.581.787-7</v>
          </cell>
          <cell r="C121" t="str">
            <v>Soldador</v>
          </cell>
          <cell r="D121">
            <v>1</v>
          </cell>
          <cell r="E121">
            <v>0</v>
          </cell>
          <cell r="F121">
            <v>0</v>
          </cell>
          <cell r="G121">
            <v>0</v>
          </cell>
          <cell r="H121">
            <v>20078.330000000002</v>
          </cell>
          <cell r="I121">
            <v>0</v>
          </cell>
          <cell r="J121">
            <v>0</v>
          </cell>
          <cell r="K121">
            <v>0</v>
          </cell>
          <cell r="L121">
            <v>20078.330000000002</v>
          </cell>
        </row>
        <row r="122">
          <cell r="A122" t="str">
            <v>JUAN IGNACIO CORTES GONZALEZ</v>
          </cell>
          <cell r="B122" t="str">
            <v>17.629.034-K</v>
          </cell>
          <cell r="C122" t="str">
            <v>Perforista</v>
          </cell>
          <cell r="D122">
            <v>20</v>
          </cell>
          <cell r="E122">
            <v>253.5</v>
          </cell>
          <cell r="F122">
            <v>180</v>
          </cell>
          <cell r="G122">
            <v>416025</v>
          </cell>
          <cell r="H122">
            <v>0</v>
          </cell>
          <cell r="I122">
            <v>29025</v>
          </cell>
          <cell r="J122">
            <v>250000</v>
          </cell>
          <cell r="K122">
            <v>0</v>
          </cell>
          <cell r="L122">
            <v>695050</v>
          </cell>
        </row>
        <row r="123">
          <cell r="A123" t="str">
            <v>MANUEL ANTONIO ESCALONA VERA</v>
          </cell>
          <cell r="B123" t="str">
            <v>16.280.454-5</v>
          </cell>
          <cell r="C123" t="str">
            <v>Perforista</v>
          </cell>
          <cell r="D123">
            <v>19</v>
          </cell>
          <cell r="E123">
            <v>253.5</v>
          </cell>
          <cell r="F123">
            <v>180</v>
          </cell>
          <cell r="G123">
            <v>416025</v>
          </cell>
          <cell r="H123">
            <v>0</v>
          </cell>
          <cell r="I123">
            <v>29025</v>
          </cell>
          <cell r="J123">
            <v>250000</v>
          </cell>
          <cell r="K123">
            <v>0</v>
          </cell>
          <cell r="L123">
            <v>695050</v>
          </cell>
        </row>
        <row r="124">
          <cell r="A124" t="str">
            <v>KAREN ANDREA VIGORENA DUARTE</v>
          </cell>
          <cell r="B124" t="str">
            <v>15.050.618-2</v>
          </cell>
          <cell r="C124" t="str">
            <v>Administrativo de Faena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602350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</row>
        <row r="125">
          <cell r="A125" t="str">
            <v>LUIS GERARDO LOPEZ OLAVE</v>
          </cell>
          <cell r="B125" t="str">
            <v>17.169.171-0</v>
          </cell>
          <cell r="C125" t="str">
            <v>Mecánico Líder</v>
          </cell>
          <cell r="D125">
            <v>17</v>
          </cell>
          <cell r="E125">
            <v>0</v>
          </cell>
          <cell r="F125">
            <v>0</v>
          </cell>
          <cell r="G125">
            <v>0</v>
          </cell>
          <cell r="H125">
            <v>511997.5</v>
          </cell>
          <cell r="I125">
            <v>0</v>
          </cell>
          <cell r="J125">
            <v>0</v>
          </cell>
          <cell r="K125">
            <v>0</v>
          </cell>
          <cell r="L125">
            <v>511997.5</v>
          </cell>
        </row>
        <row r="126">
          <cell r="A126" t="str">
            <v>LEANDRO RUBEN BOSSA ZAMORANO</v>
          </cell>
          <cell r="B126" t="str">
            <v>16.491.212-4</v>
          </cell>
          <cell r="C126" t="str">
            <v>Supervisor de Operaciones</v>
          </cell>
          <cell r="D126">
            <v>13</v>
          </cell>
          <cell r="E126">
            <v>0</v>
          </cell>
          <cell r="F126">
            <v>0</v>
          </cell>
          <cell r="G126">
            <v>0</v>
          </cell>
          <cell r="H126">
            <v>391527.5</v>
          </cell>
          <cell r="I126">
            <v>0</v>
          </cell>
          <cell r="J126">
            <v>0</v>
          </cell>
          <cell r="K126">
            <v>0</v>
          </cell>
          <cell r="L126">
            <v>391527.5</v>
          </cell>
        </row>
        <row r="127">
          <cell r="A127" t="str">
            <v>LUIS DAVID LORCA SANCHEZ</v>
          </cell>
          <cell r="B127" t="str">
            <v>18.688.482-5</v>
          </cell>
          <cell r="C127" t="str">
            <v>Prevencionista de Riesgos</v>
          </cell>
          <cell r="D127">
            <v>10</v>
          </cell>
          <cell r="E127">
            <v>0</v>
          </cell>
          <cell r="F127">
            <v>0</v>
          </cell>
          <cell r="G127">
            <v>0</v>
          </cell>
          <cell r="H127">
            <v>301175</v>
          </cell>
          <cell r="I127">
            <v>0</v>
          </cell>
          <cell r="J127">
            <v>0</v>
          </cell>
          <cell r="K127">
            <v>0</v>
          </cell>
          <cell r="L127">
            <v>301175</v>
          </cell>
        </row>
        <row r="128">
          <cell r="A128" t="str">
            <v>MANUEL SEBASTIAN PAZ CORTES</v>
          </cell>
          <cell r="B128" t="str">
            <v>17.723.194-0</v>
          </cell>
          <cell r="C128" t="str">
            <v>Ayudante de Perforista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</row>
        <row r="129">
          <cell r="A129" t="str">
            <v>WILLIAMS RENAN ASTROZA INOSTROZA</v>
          </cell>
          <cell r="B129" t="str">
            <v>10.997.323-8</v>
          </cell>
          <cell r="C129" t="str">
            <v>Chofer</v>
          </cell>
          <cell r="D129">
            <v>19</v>
          </cell>
          <cell r="E129">
            <v>0</v>
          </cell>
          <cell r="F129">
            <v>0</v>
          </cell>
          <cell r="G129">
            <v>0</v>
          </cell>
          <cell r="H129">
            <v>381488.33</v>
          </cell>
          <cell r="I129">
            <v>0</v>
          </cell>
          <cell r="J129">
            <v>0</v>
          </cell>
          <cell r="K129">
            <v>0</v>
          </cell>
          <cell r="L129">
            <v>381488.33</v>
          </cell>
        </row>
        <row r="130">
          <cell r="A130" t="str">
            <v>RODRIGO FERNANDO ALFARO VEAS</v>
          </cell>
          <cell r="B130" t="str">
            <v>12.219.201-6</v>
          </cell>
          <cell r="C130" t="str">
            <v>Líder de Prevención</v>
          </cell>
          <cell r="D130">
            <v>15</v>
          </cell>
          <cell r="E130">
            <v>0</v>
          </cell>
          <cell r="F130">
            <v>0</v>
          </cell>
          <cell r="G130">
            <v>0</v>
          </cell>
          <cell r="H130">
            <v>451762.5</v>
          </cell>
          <cell r="I130">
            <v>0</v>
          </cell>
          <cell r="J130">
            <v>0</v>
          </cell>
          <cell r="K130">
            <v>0</v>
          </cell>
          <cell r="L130">
            <v>451762.5</v>
          </cell>
        </row>
        <row r="131">
          <cell r="A131" t="str">
            <v>VICTOR IGNACIO PEREZ LORCA</v>
          </cell>
          <cell r="B131" t="str">
            <v>21.303.273-9</v>
          </cell>
          <cell r="C131" t="str">
            <v>Ayudante Perforista</v>
          </cell>
          <cell r="D131">
            <v>11</v>
          </cell>
          <cell r="E131">
            <v>194.2</v>
          </cell>
          <cell r="F131">
            <v>120</v>
          </cell>
          <cell r="G131">
            <v>96325</v>
          </cell>
          <cell r="H131">
            <v>0</v>
          </cell>
          <cell r="I131">
            <v>4600</v>
          </cell>
          <cell r="J131">
            <v>0</v>
          </cell>
          <cell r="K131">
            <v>0</v>
          </cell>
          <cell r="L131">
            <v>100925</v>
          </cell>
        </row>
        <row r="132">
          <cell r="A132" t="str">
            <v>RODRIGO ARMANDO FERNANDEZ BRICEÑO</v>
          </cell>
          <cell r="B132" t="str">
            <v>16.058.317-7</v>
          </cell>
          <cell r="C132" t="str">
            <v>Ayudante Perforista</v>
          </cell>
          <cell r="D132">
            <v>10</v>
          </cell>
          <cell r="E132">
            <v>169.45</v>
          </cell>
          <cell r="F132">
            <v>120</v>
          </cell>
          <cell r="G132">
            <v>102325</v>
          </cell>
          <cell r="H132">
            <v>0</v>
          </cell>
          <cell r="I132">
            <v>2800</v>
          </cell>
          <cell r="J132">
            <v>0</v>
          </cell>
          <cell r="K132">
            <v>0</v>
          </cell>
          <cell r="L132">
            <v>105125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en"/>
      <sheetName val="JOSE CRISTIAN BASTIAS PEREZ"/>
      <sheetName val="IGNACIO ALEJANDRO ROBLES BAR"/>
      <sheetName val="ARIUNBOLD TSOGKHORKHOI"/>
      <sheetName val="FABIAN PATRICIO CABRERA GODO"/>
      <sheetName val="FELIPE DAVID SAAVEDRA CAMPOS"/>
      <sheetName val="ALISSON AYLEEN VILLAGRA CABA"/>
      <sheetName val="JOSE LEANDRO PARRA SARAVIA"/>
      <sheetName val="ALEJANDRO ALBERTO CAMPILLAY "/>
      <sheetName val="VICENTE ANDRES LOPEZ MARTINE"/>
      <sheetName val="HECTOR ORLANDO RAMOS ROJAS"/>
      <sheetName val="DIEGO FELIPE GONZALEZ CASTIL"/>
      <sheetName val="EDINSON RODRIGO GONZALEZ COR"/>
      <sheetName val="BYAMBATSEREN TSERENDAVAA"/>
      <sheetName val="CARLOS EDUARDO RODRIGUEZ HER"/>
      <sheetName val="BENIGNO EDUARDO PAEZ MENESES"/>
      <sheetName val="CARLOS ALBERTO PIZARRO PIZAR"/>
      <sheetName val="CRISTIAN ROGELIO PASTEN VERG"/>
      <sheetName val="JOHN BYRON VASQUEZ CARROZA"/>
      <sheetName val="NORA ALEXANDRA SALAS ROJAS"/>
      <sheetName val="FELIPE IVAN LUIS ZAMBRA GONZ"/>
      <sheetName val="JORGE ERIKSON DURAND RUIZ"/>
      <sheetName val="GANTSOOJ KHISHIGBAYAR"/>
      <sheetName val="JOHN ALEXIS BRICEÑO HONORES"/>
      <sheetName val="HANS YERKO MARQUEZ MUÑOZ"/>
      <sheetName val="BENJAMIN JOSEFATT ESPINOZA U"/>
      <sheetName val="JOSÉ LEONARDO RODRIGUEZ ROBL"/>
      <sheetName val="LEONEL GUILLERMO CAMPUSANO D"/>
      <sheetName val="PAOLO ALEJANDRO MANRIQUEZ SI"/>
      <sheetName val="MANUEL ALEJANDRO TILLERIA SA"/>
      <sheetName val="LEONARDO ANDRES MENESES ARRE"/>
      <sheetName val="LUIS HUMBERTO PEÑA AHUMADA"/>
      <sheetName val="ULZIIBADRAKH BAYANMUNKH"/>
      <sheetName val="PABLO LUCAS POBLETE KUHNE"/>
      <sheetName val="RENE ALFREDO RIOS MALDONADO"/>
      <sheetName val="ROBERTO MARIO VARGAS RODRIGU"/>
      <sheetName val="WILLIAM HERNAN ALVAREZ TRUJI"/>
      <sheetName val="RODRIGO ALEJANDRO FLORES ZEP"/>
      <sheetName val="VICTOR MANUEL MONDACA VEGA"/>
      <sheetName val="ARIEL ANDRES SILVA RIQUELME"/>
      <sheetName val="ENKHAZAYA GANBAATAR"/>
      <sheetName val="ELIAS NICOLAS CORTEZ CORTEZ"/>
      <sheetName val="WALTER DEL CARMEN PIZARRO AL"/>
      <sheetName val="ULINSON DIAZ CORTES"/>
      <sheetName val="LEONIDAS  LUIS  ARCE  OLIVAR"/>
      <sheetName val="DAYNE JEFFERY PASSMORE"/>
      <sheetName val="MANUEL OMAR ZAPATA AQUINO"/>
      <sheetName val="JORGE ESTEBAN SAAVEDRA MENA"/>
      <sheetName val="NATALY ANTONIA SALAS ESCOBAR"/>
      <sheetName val="JORGE ENRIQUE CEBALLOS JOFRE"/>
      <sheetName val="JORGE ARMANDO TINOCO OSPINO"/>
      <sheetName val="WALDO RAFAEL CASTRO PASTENE"/>
      <sheetName val="ESTEFANIA CONSTANZA NAETER Q"/>
      <sheetName val="MAURICIO ANDRES OYARZUN SALA"/>
      <sheetName val="TUMENNASAN SANSRAI"/>
      <sheetName val="Tarifas y Reglas"/>
    </sheetNames>
    <sheetDataSet>
      <sheetData sheetId="0">
        <row r="5">
          <cell r="A5" t="str">
            <v>JOSE CRISTIAN BASTIAS PEREZ</v>
          </cell>
          <cell r="B5" t="str">
            <v>14.413.231-9</v>
          </cell>
          <cell r="C5" t="str">
            <v>Supervisor</v>
          </cell>
          <cell r="D5">
            <v>16</v>
          </cell>
          <cell r="E5">
            <v>113.55</v>
          </cell>
          <cell r="F5">
            <v>132</v>
          </cell>
          <cell r="G5">
            <v>0</v>
          </cell>
          <cell r="H5">
            <v>230048</v>
          </cell>
          <cell r="I5">
            <v>0</v>
          </cell>
          <cell r="J5">
            <v>0</v>
          </cell>
          <cell r="K5">
            <v>0</v>
          </cell>
          <cell r="L5">
            <v>230048</v>
          </cell>
        </row>
        <row r="6">
          <cell r="A6" t="str">
            <v>IGNACIO ALEJANDRO ROBLES BARRIOS</v>
          </cell>
          <cell r="B6" t="str">
            <v>20.718.093-9</v>
          </cell>
          <cell r="C6" t="str">
            <v>Ayudante Perforista</v>
          </cell>
          <cell r="D6">
            <v>3</v>
          </cell>
          <cell r="E6">
            <v>1.1499999999999999</v>
          </cell>
          <cell r="F6">
            <v>36</v>
          </cell>
          <cell r="G6">
            <v>1035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1035</v>
          </cell>
        </row>
        <row r="7">
          <cell r="A7" t="str">
            <v>ARIUNBOLD TSOGKHORKHOI</v>
          </cell>
          <cell r="B7" t="str">
            <v>28.683.244-K</v>
          </cell>
          <cell r="C7" t="str">
            <v>Perforista</v>
          </cell>
          <cell r="D7">
            <v>6</v>
          </cell>
          <cell r="E7">
            <v>95.9</v>
          </cell>
          <cell r="F7">
            <v>72</v>
          </cell>
          <cell r="G7">
            <v>229740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229740</v>
          </cell>
        </row>
        <row r="8">
          <cell r="A8" t="str">
            <v>FABIAN PATRICIO CABRERA GODOY</v>
          </cell>
          <cell r="B8" t="str">
            <v>19.949.787-1</v>
          </cell>
          <cell r="C8" t="str">
            <v>Ayudante Perforista</v>
          </cell>
          <cell r="D8">
            <v>15</v>
          </cell>
          <cell r="E8">
            <v>1.1499999999999999</v>
          </cell>
          <cell r="F8">
            <v>132</v>
          </cell>
          <cell r="G8">
            <v>1035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1035</v>
          </cell>
        </row>
        <row r="9">
          <cell r="A9" t="str">
            <v>FELIPE DAVID SAAVEDRA CAMPOS</v>
          </cell>
          <cell r="B9" t="str">
            <v>18.450.168-6</v>
          </cell>
          <cell r="C9" t="str">
            <v>Ayudante Perforista</v>
          </cell>
          <cell r="D9">
            <v>15</v>
          </cell>
          <cell r="E9">
            <v>169.6</v>
          </cell>
          <cell r="F9">
            <v>168</v>
          </cell>
          <cell r="G9">
            <v>322470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322470</v>
          </cell>
        </row>
        <row r="10">
          <cell r="A10" t="str">
            <v>ALISSON AYLEEN VILLAGRA CABALLERO</v>
          </cell>
          <cell r="B10" t="str">
            <v>18.919.440-4</v>
          </cell>
          <cell r="C10" t="str">
            <v>Conductor</v>
          </cell>
          <cell r="D10">
            <v>15</v>
          </cell>
          <cell r="E10">
            <v>188.7</v>
          </cell>
          <cell r="F10">
            <v>168</v>
          </cell>
          <cell r="G10">
            <v>0</v>
          </cell>
          <cell r="H10">
            <v>161752.5</v>
          </cell>
          <cell r="I10">
            <v>0</v>
          </cell>
          <cell r="J10">
            <v>0</v>
          </cell>
          <cell r="K10">
            <v>0</v>
          </cell>
          <cell r="L10">
            <v>161752.5</v>
          </cell>
        </row>
        <row r="11">
          <cell r="A11" t="str">
            <v>JOSE LEANDRO PARRA SARAVIA</v>
          </cell>
          <cell r="B11" t="str">
            <v>13.809.180-5</v>
          </cell>
          <cell r="C11" t="str">
            <v>Conductor</v>
          </cell>
          <cell r="D11">
            <v>1</v>
          </cell>
          <cell r="E11">
            <v>0</v>
          </cell>
          <cell r="F11">
            <v>12</v>
          </cell>
          <cell r="G11">
            <v>0</v>
          </cell>
          <cell r="H11">
            <v>10783.5</v>
          </cell>
          <cell r="I11">
            <v>0</v>
          </cell>
          <cell r="J11">
            <v>0</v>
          </cell>
          <cell r="K11">
            <v>0</v>
          </cell>
          <cell r="L11">
            <v>10783.5</v>
          </cell>
        </row>
        <row r="12">
          <cell r="A12" t="str">
            <v>ALEJANDRO ALBERTO CAMPILLAY RUIZ</v>
          </cell>
          <cell r="B12" t="str">
            <v>13.412.582-9</v>
          </cell>
          <cell r="C12" t="str">
            <v>Mecánico</v>
          </cell>
          <cell r="D12">
            <v>15</v>
          </cell>
          <cell r="E12">
            <v>169.6</v>
          </cell>
          <cell r="F12">
            <v>168</v>
          </cell>
          <cell r="G12">
            <v>0</v>
          </cell>
          <cell r="H12">
            <v>161752.5</v>
          </cell>
          <cell r="I12">
            <v>0</v>
          </cell>
          <cell r="J12">
            <v>0</v>
          </cell>
          <cell r="K12">
            <v>0</v>
          </cell>
          <cell r="L12">
            <v>161752.5</v>
          </cell>
        </row>
        <row r="13">
          <cell r="A13" t="str">
            <v>VICENTE ANDRES LOPEZ MARTINEZ</v>
          </cell>
          <cell r="B13" t="str">
            <v>21.294.612-5</v>
          </cell>
          <cell r="C13" t="str">
            <v>Ayudante Perforista</v>
          </cell>
          <cell r="D13">
            <v>15</v>
          </cell>
          <cell r="E13">
            <v>169.6</v>
          </cell>
          <cell r="F13">
            <v>168</v>
          </cell>
          <cell r="G13">
            <v>322470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322470</v>
          </cell>
        </row>
        <row r="14">
          <cell r="A14" t="str">
            <v>HECTOR ORLANDO RAMOS ROJAS</v>
          </cell>
          <cell r="B14" t="str">
            <v>15.674.651-7</v>
          </cell>
          <cell r="C14" t="str">
            <v>Supervisor</v>
          </cell>
          <cell r="D14">
            <v>1</v>
          </cell>
          <cell r="E14">
            <v>0</v>
          </cell>
          <cell r="F14">
            <v>0</v>
          </cell>
          <cell r="G14">
            <v>0</v>
          </cell>
          <cell r="H14">
            <v>14378</v>
          </cell>
          <cell r="I14">
            <v>0</v>
          </cell>
          <cell r="J14">
            <v>0</v>
          </cell>
          <cell r="K14">
            <v>0</v>
          </cell>
          <cell r="L14">
            <v>14378</v>
          </cell>
        </row>
        <row r="15">
          <cell r="A15" t="str">
            <v>DIEGO FELIPE GONZALEZ CASTILLO</v>
          </cell>
          <cell r="B15" t="str">
            <v>18.178.758-9</v>
          </cell>
          <cell r="C15" t="str">
            <v>Líder de Prevención</v>
          </cell>
          <cell r="D15">
            <v>4</v>
          </cell>
          <cell r="E15">
            <v>0</v>
          </cell>
          <cell r="F15">
            <v>48</v>
          </cell>
          <cell r="G15">
            <v>0</v>
          </cell>
          <cell r="H15">
            <v>57512</v>
          </cell>
          <cell r="I15">
            <v>0</v>
          </cell>
          <cell r="J15">
            <v>0</v>
          </cell>
          <cell r="K15">
            <v>0</v>
          </cell>
          <cell r="L15">
            <v>57512</v>
          </cell>
        </row>
        <row r="16">
          <cell r="A16" t="str">
            <v>EDINSON RODRIGO GONZALEZ CORTINEZ</v>
          </cell>
          <cell r="B16" t="str">
            <v>11.934.921-4</v>
          </cell>
          <cell r="C16" t="str">
            <v>Ayudante Perforista</v>
          </cell>
          <cell r="D16">
            <v>10</v>
          </cell>
          <cell r="E16">
            <v>119.9</v>
          </cell>
          <cell r="F16">
            <v>108</v>
          </cell>
          <cell r="G16">
            <v>209070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209070</v>
          </cell>
        </row>
        <row r="17">
          <cell r="A17" t="str">
            <v>BYAMBATSEREN TSERENDAVAA</v>
          </cell>
          <cell r="B17" t="str">
            <v>44.611.876-5</v>
          </cell>
          <cell r="C17" t="str">
            <v>Perforista</v>
          </cell>
          <cell r="D17">
            <v>12</v>
          </cell>
          <cell r="E17">
            <v>0</v>
          </cell>
          <cell r="F17">
            <v>96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 t="str">
            <v>CARLOS EDUARDO RODRIGUEZ HERNANDEZ</v>
          </cell>
          <cell r="B18" t="str">
            <v>15.593.625-8</v>
          </cell>
          <cell r="C18" t="str">
            <v>Administrador de Contrato</v>
          </cell>
          <cell r="D18">
            <v>16</v>
          </cell>
          <cell r="E18">
            <v>71.55</v>
          </cell>
          <cell r="F18">
            <v>180</v>
          </cell>
          <cell r="G18">
            <v>0</v>
          </cell>
          <cell r="H18">
            <v>230048</v>
          </cell>
          <cell r="I18">
            <v>0</v>
          </cell>
          <cell r="J18">
            <v>0</v>
          </cell>
          <cell r="K18">
            <v>0</v>
          </cell>
          <cell r="L18">
            <v>230048</v>
          </cell>
        </row>
        <row r="19">
          <cell r="A19" t="str">
            <v>BENIGNO EDUARDO PAEZ MENESES</v>
          </cell>
          <cell r="B19" t="str">
            <v>17.643.998-K</v>
          </cell>
          <cell r="C19" t="str">
            <v>Conductor</v>
          </cell>
          <cell r="D19">
            <v>15</v>
          </cell>
          <cell r="E19">
            <v>1.1499999999999999</v>
          </cell>
          <cell r="F19">
            <v>132</v>
          </cell>
          <cell r="G19">
            <v>0</v>
          </cell>
          <cell r="H19">
            <v>161752.5</v>
          </cell>
          <cell r="I19">
            <v>0</v>
          </cell>
          <cell r="J19">
            <v>0</v>
          </cell>
          <cell r="K19">
            <v>0</v>
          </cell>
          <cell r="L19">
            <v>161752.5</v>
          </cell>
        </row>
        <row r="20">
          <cell r="A20" t="str">
            <v>CARLOS ALBERTO PIZARRO PIZARRO</v>
          </cell>
          <cell r="B20" t="str">
            <v>17.721.340-3</v>
          </cell>
          <cell r="C20" t="str">
            <v>Ayudante Perforista</v>
          </cell>
          <cell r="D20">
            <v>16</v>
          </cell>
          <cell r="E20">
            <v>169.6</v>
          </cell>
          <cell r="F20">
            <v>180</v>
          </cell>
          <cell r="G20">
            <v>322470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322470</v>
          </cell>
        </row>
        <row r="21">
          <cell r="A21" t="str">
            <v>CRISTIAN ROGELIO PASTEN VERGARA</v>
          </cell>
          <cell r="B21" t="str">
            <v>16.053.497-4</v>
          </cell>
          <cell r="C21" t="str">
            <v>Jefe de Faena</v>
          </cell>
          <cell r="D21">
            <v>14</v>
          </cell>
          <cell r="E21">
            <v>57.2</v>
          </cell>
          <cell r="F21">
            <v>168</v>
          </cell>
          <cell r="G21">
            <v>0</v>
          </cell>
          <cell r="H21">
            <v>201292</v>
          </cell>
          <cell r="I21">
            <v>0</v>
          </cell>
          <cell r="J21">
            <v>0</v>
          </cell>
          <cell r="K21">
            <v>0</v>
          </cell>
          <cell r="L21">
            <v>201292</v>
          </cell>
        </row>
        <row r="22">
          <cell r="A22" t="str">
            <v>JOHN BYRON VASQUEZ CARROZA</v>
          </cell>
          <cell r="B22" t="str">
            <v>19.339.512-0</v>
          </cell>
          <cell r="C22" t="str">
            <v>Ayudante Perforista</v>
          </cell>
          <cell r="D22">
            <v>15</v>
          </cell>
          <cell r="E22">
            <v>188.7</v>
          </cell>
          <cell r="F22">
            <v>168</v>
          </cell>
          <cell r="G22">
            <v>322470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322470</v>
          </cell>
        </row>
        <row r="23">
          <cell r="A23" t="str">
            <v>NORA ALEXANDRA SALAS ROJAS</v>
          </cell>
          <cell r="B23" t="str">
            <v>18.352.777-0</v>
          </cell>
          <cell r="C23" t="str">
            <v>HSEC</v>
          </cell>
          <cell r="D23">
            <v>8</v>
          </cell>
          <cell r="E23">
            <v>113.55</v>
          </cell>
          <cell r="F23">
            <v>96</v>
          </cell>
          <cell r="G23">
            <v>0</v>
          </cell>
          <cell r="H23">
            <v>115024</v>
          </cell>
          <cell r="I23">
            <v>0</v>
          </cell>
          <cell r="J23">
            <v>0</v>
          </cell>
          <cell r="K23">
            <v>0</v>
          </cell>
          <cell r="L23">
            <v>115024</v>
          </cell>
        </row>
        <row r="24">
          <cell r="A24" t="str">
            <v>FELIPE IVAN LUIS ZAMBRA GONZALEZ</v>
          </cell>
          <cell r="B24" t="str">
            <v>19.507.111-K</v>
          </cell>
          <cell r="C24" t="str">
            <v>BODEGUERO</v>
          </cell>
          <cell r="D24">
            <v>10</v>
          </cell>
          <cell r="E24">
            <v>57.2</v>
          </cell>
          <cell r="F24">
            <v>120</v>
          </cell>
          <cell r="G24">
            <v>0</v>
          </cell>
          <cell r="H24">
            <v>107835</v>
          </cell>
          <cell r="I24">
            <v>0</v>
          </cell>
          <cell r="J24">
            <v>0</v>
          </cell>
          <cell r="K24">
            <v>0</v>
          </cell>
          <cell r="L24">
            <v>107835</v>
          </cell>
        </row>
        <row r="25">
          <cell r="A25" t="str">
            <v>JORGE ERIKSON DURAND RUIZ</v>
          </cell>
          <cell r="B25" t="str">
            <v>21.254.681-K</v>
          </cell>
          <cell r="C25" t="str">
            <v>Mecánico</v>
          </cell>
          <cell r="D25">
            <v>15</v>
          </cell>
          <cell r="E25">
            <v>0</v>
          </cell>
          <cell r="F25">
            <v>132</v>
          </cell>
          <cell r="G25">
            <v>0</v>
          </cell>
          <cell r="H25">
            <v>161752.5</v>
          </cell>
          <cell r="I25">
            <v>0</v>
          </cell>
          <cell r="J25">
            <v>0</v>
          </cell>
          <cell r="K25">
            <v>0</v>
          </cell>
          <cell r="L25">
            <v>161752.5</v>
          </cell>
        </row>
        <row r="26">
          <cell r="A26" t="str">
            <v>GANTSOOJ KHISHIGBAYAR</v>
          </cell>
          <cell r="B26" t="str">
            <v>44.591.746-K</v>
          </cell>
          <cell r="C26" t="str">
            <v>Perforista</v>
          </cell>
          <cell r="D26">
            <v>3</v>
          </cell>
          <cell r="E26">
            <v>23.55</v>
          </cell>
          <cell r="F26">
            <v>36</v>
          </cell>
          <cell r="G26">
            <v>56940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56940</v>
          </cell>
        </row>
        <row r="27">
          <cell r="A27" t="str">
            <v>JOHN ALEXIS BRICEÑO HONORES</v>
          </cell>
          <cell r="B27" t="str">
            <v>17.979.787-9</v>
          </cell>
          <cell r="C27" t="str">
            <v>HSEC</v>
          </cell>
          <cell r="D27">
            <v>14</v>
          </cell>
          <cell r="E27">
            <v>57.2</v>
          </cell>
          <cell r="F27">
            <v>168</v>
          </cell>
          <cell r="G27">
            <v>0</v>
          </cell>
          <cell r="H27">
            <v>201292</v>
          </cell>
          <cell r="I27">
            <v>0</v>
          </cell>
          <cell r="J27">
            <v>0</v>
          </cell>
          <cell r="K27">
            <v>0</v>
          </cell>
          <cell r="L27">
            <v>201292</v>
          </cell>
        </row>
        <row r="28">
          <cell r="A28" t="str">
            <v>HANS YERKO MARQUEZ MUÑOZ</v>
          </cell>
          <cell r="B28" t="str">
            <v>18.223.319-6</v>
          </cell>
          <cell r="C28" t="str">
            <v>Mecánico Líder</v>
          </cell>
          <cell r="D28">
            <v>5</v>
          </cell>
          <cell r="E28">
            <v>0</v>
          </cell>
          <cell r="F28">
            <v>24</v>
          </cell>
          <cell r="G28">
            <v>0</v>
          </cell>
          <cell r="H28">
            <v>71890</v>
          </cell>
          <cell r="I28">
            <v>0</v>
          </cell>
          <cell r="J28">
            <v>0</v>
          </cell>
          <cell r="K28">
            <v>0</v>
          </cell>
          <cell r="L28">
            <v>71890</v>
          </cell>
        </row>
        <row r="29">
          <cell r="A29" t="str">
            <v>BENJAMIN JOSEFATT ESPINOZA URIBE</v>
          </cell>
          <cell r="B29" t="str">
            <v>17.805.184-9</v>
          </cell>
          <cell r="C29" t="str">
            <v>Conductor</v>
          </cell>
          <cell r="D29">
            <v>15</v>
          </cell>
          <cell r="E29">
            <v>0</v>
          </cell>
          <cell r="F29">
            <v>132</v>
          </cell>
          <cell r="G29">
            <v>0</v>
          </cell>
          <cell r="H29">
            <v>161752.5</v>
          </cell>
          <cell r="I29">
            <v>0</v>
          </cell>
          <cell r="J29">
            <v>0</v>
          </cell>
          <cell r="K29">
            <v>0</v>
          </cell>
          <cell r="L29">
            <v>161752.5</v>
          </cell>
        </row>
        <row r="30">
          <cell r="A30" t="str">
            <v>JOSÉ LEONARDO RODRIGUEZ ROBLES</v>
          </cell>
          <cell r="B30" t="str">
            <v>25.832.490-0</v>
          </cell>
          <cell r="C30" t="str">
            <v>Conductor</v>
          </cell>
          <cell r="D30">
            <v>15</v>
          </cell>
          <cell r="E30">
            <v>169.6</v>
          </cell>
          <cell r="F30">
            <v>168</v>
          </cell>
          <cell r="G30">
            <v>0</v>
          </cell>
          <cell r="H30">
            <v>161752.5</v>
          </cell>
          <cell r="I30">
            <v>0</v>
          </cell>
          <cell r="J30">
            <v>0</v>
          </cell>
          <cell r="K30">
            <v>0</v>
          </cell>
          <cell r="L30">
            <v>161752.5</v>
          </cell>
        </row>
        <row r="31">
          <cell r="A31" t="str">
            <v>LEONEL GUILLERMO CAMPUSANO DUBO</v>
          </cell>
          <cell r="B31" t="str">
            <v>18.889.617-0</v>
          </cell>
          <cell r="C31" t="str">
            <v>Ayudante Perforista</v>
          </cell>
          <cell r="D31">
            <v>15</v>
          </cell>
          <cell r="E31">
            <v>0</v>
          </cell>
          <cell r="F31">
            <v>132</v>
          </cell>
          <cell r="G31">
            <v>1035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1035</v>
          </cell>
        </row>
        <row r="32">
          <cell r="A32" t="str">
            <v>PAOLO ALEJANDRO MANRIQUEZ SILVA</v>
          </cell>
          <cell r="B32" t="str">
            <v>13.855.440-6</v>
          </cell>
          <cell r="C32" t="str">
            <v>BODEGUERO</v>
          </cell>
          <cell r="D32">
            <v>16</v>
          </cell>
          <cell r="E32">
            <v>113.55</v>
          </cell>
          <cell r="F32">
            <v>132</v>
          </cell>
          <cell r="G32">
            <v>0</v>
          </cell>
          <cell r="H32">
            <v>172536</v>
          </cell>
          <cell r="I32">
            <v>0</v>
          </cell>
          <cell r="J32">
            <v>0</v>
          </cell>
          <cell r="K32">
            <v>0</v>
          </cell>
          <cell r="L32">
            <v>172536</v>
          </cell>
        </row>
        <row r="33">
          <cell r="A33" t="str">
            <v>MANUEL ALEJANDRO TILLERIA SAAVEDRA</v>
          </cell>
          <cell r="B33" t="str">
            <v>19.804.200-5</v>
          </cell>
          <cell r="C33" t="str">
            <v>Mecánico</v>
          </cell>
          <cell r="D33">
            <v>15</v>
          </cell>
          <cell r="E33">
            <v>188.7</v>
          </cell>
          <cell r="F33">
            <v>168</v>
          </cell>
          <cell r="G33">
            <v>0</v>
          </cell>
          <cell r="H33">
            <v>161752.5</v>
          </cell>
          <cell r="I33">
            <v>0</v>
          </cell>
          <cell r="J33">
            <v>0</v>
          </cell>
          <cell r="K33">
            <v>0</v>
          </cell>
          <cell r="L33">
            <v>161752.5</v>
          </cell>
        </row>
        <row r="34">
          <cell r="A34" t="str">
            <v>LEONARDO ANDRES MENESES ARREDONDO</v>
          </cell>
          <cell r="B34" t="str">
            <v>14.043.656-9</v>
          </cell>
          <cell r="C34" t="str">
            <v>Supervisor</v>
          </cell>
          <cell r="D34">
            <v>15</v>
          </cell>
          <cell r="E34">
            <v>0</v>
          </cell>
          <cell r="F34">
            <v>132</v>
          </cell>
          <cell r="G34">
            <v>0</v>
          </cell>
          <cell r="H34">
            <v>215670</v>
          </cell>
          <cell r="I34">
            <v>0</v>
          </cell>
          <cell r="J34">
            <v>0</v>
          </cell>
          <cell r="K34">
            <v>0</v>
          </cell>
          <cell r="L34">
            <v>215670</v>
          </cell>
        </row>
        <row r="35">
          <cell r="A35" t="str">
            <v>LUIS HUMBERTO PEÑA AHUMADA</v>
          </cell>
          <cell r="B35" t="str">
            <v>8.851.229-4</v>
          </cell>
          <cell r="C35" t="str">
            <v>Conductor</v>
          </cell>
          <cell r="D35">
            <v>15</v>
          </cell>
          <cell r="E35">
            <v>187.2</v>
          </cell>
          <cell r="F35">
            <v>168</v>
          </cell>
          <cell r="G35">
            <v>0</v>
          </cell>
          <cell r="H35">
            <v>161752.5</v>
          </cell>
          <cell r="I35">
            <v>0</v>
          </cell>
          <cell r="J35">
            <v>0</v>
          </cell>
          <cell r="K35">
            <v>0</v>
          </cell>
          <cell r="L35">
            <v>161752.5</v>
          </cell>
        </row>
        <row r="36">
          <cell r="A36" t="str">
            <v>ULZIIBADRAKH BAYANMUNKH</v>
          </cell>
          <cell r="B36" t="str">
            <v>44.601.231-2</v>
          </cell>
          <cell r="C36" t="str">
            <v>Perforista</v>
          </cell>
          <cell r="D36">
            <v>13</v>
          </cell>
          <cell r="E36">
            <v>164.8</v>
          </cell>
          <cell r="F36">
            <v>156</v>
          </cell>
          <cell r="G36">
            <v>374400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374400</v>
          </cell>
        </row>
        <row r="37">
          <cell r="A37" t="str">
            <v>PABLO LUCAS POBLETE KUHNE</v>
          </cell>
          <cell r="B37" t="str">
            <v>19.460.207-3</v>
          </cell>
          <cell r="C37" t="str">
            <v>Conductor</v>
          </cell>
          <cell r="D37">
            <v>9</v>
          </cell>
          <cell r="E37">
            <v>57.2</v>
          </cell>
          <cell r="F37">
            <v>96</v>
          </cell>
          <cell r="G37">
            <v>0</v>
          </cell>
          <cell r="H37">
            <v>97051.5</v>
          </cell>
          <cell r="I37">
            <v>0</v>
          </cell>
          <cell r="J37">
            <v>0</v>
          </cell>
          <cell r="K37">
            <v>0</v>
          </cell>
          <cell r="L37">
            <v>97051.5</v>
          </cell>
        </row>
        <row r="38">
          <cell r="A38" t="str">
            <v>RENE ALFREDO RIOS MALDONADO</v>
          </cell>
          <cell r="B38" t="str">
            <v>17.628.970-8</v>
          </cell>
          <cell r="C38" t="str">
            <v>Administrativo</v>
          </cell>
          <cell r="D38">
            <v>14</v>
          </cell>
          <cell r="E38">
            <v>57.2</v>
          </cell>
          <cell r="F38">
            <v>168</v>
          </cell>
          <cell r="G38">
            <v>0</v>
          </cell>
          <cell r="H38">
            <v>150969</v>
          </cell>
          <cell r="I38">
            <v>0</v>
          </cell>
          <cell r="J38">
            <v>0</v>
          </cell>
          <cell r="K38">
            <v>0</v>
          </cell>
          <cell r="L38">
            <v>150969</v>
          </cell>
        </row>
        <row r="39">
          <cell r="A39" t="str">
            <v>ROBERTO MARIO VARGAS RODRIGUEZ</v>
          </cell>
          <cell r="B39" t="str">
            <v>14.594.999-8</v>
          </cell>
          <cell r="C39" t="str">
            <v>Mecánico</v>
          </cell>
          <cell r="D39">
            <v>15</v>
          </cell>
          <cell r="E39">
            <v>1.1499999999999999</v>
          </cell>
          <cell r="F39">
            <v>132</v>
          </cell>
          <cell r="G39">
            <v>0</v>
          </cell>
          <cell r="H39">
            <v>161752.5</v>
          </cell>
          <cell r="I39">
            <v>0</v>
          </cell>
          <cell r="J39">
            <v>0</v>
          </cell>
          <cell r="K39">
            <v>0</v>
          </cell>
          <cell r="L39">
            <v>161752.5</v>
          </cell>
        </row>
        <row r="40">
          <cell r="A40" t="str">
            <v>WILLIAM HERNAN ALVAREZ TRUJILLO</v>
          </cell>
          <cell r="B40" t="str">
            <v>11.508.866-1</v>
          </cell>
          <cell r="C40" t="str">
            <v>Soldador</v>
          </cell>
          <cell r="D40">
            <v>15</v>
          </cell>
          <cell r="E40">
            <v>1.1499999999999999</v>
          </cell>
          <cell r="F40">
            <v>132</v>
          </cell>
          <cell r="G40">
            <v>0</v>
          </cell>
          <cell r="H40">
            <v>161752.5</v>
          </cell>
          <cell r="I40">
            <v>0</v>
          </cell>
          <cell r="J40">
            <v>0</v>
          </cell>
          <cell r="K40">
            <v>0</v>
          </cell>
          <cell r="L40">
            <v>161752.5</v>
          </cell>
        </row>
        <row r="41">
          <cell r="A41" t="str">
            <v>RODRIGO ALEJANDRO FLORES ZEPEDA</v>
          </cell>
          <cell r="B41" t="str">
            <v>16.188.552-5</v>
          </cell>
          <cell r="C41" t="str">
            <v>Ayudante Perforista</v>
          </cell>
          <cell r="D41">
            <v>15</v>
          </cell>
          <cell r="E41">
            <v>1.1499999999999999</v>
          </cell>
          <cell r="F41">
            <v>132</v>
          </cell>
          <cell r="G41">
            <v>1035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1035</v>
          </cell>
        </row>
        <row r="42">
          <cell r="A42" t="str">
            <v>VICTOR MANUEL MONDACA VEGA</v>
          </cell>
          <cell r="B42" t="str">
            <v>16.706.064-1</v>
          </cell>
          <cell r="C42" t="str">
            <v>Ayudante Perforista</v>
          </cell>
          <cell r="D42">
            <v>15</v>
          </cell>
          <cell r="E42">
            <v>0</v>
          </cell>
          <cell r="F42">
            <v>132</v>
          </cell>
          <cell r="G42">
            <v>1035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1035</v>
          </cell>
        </row>
        <row r="43">
          <cell r="A43" t="str">
            <v>ARIEL ANDRES SILVA RIQUELME</v>
          </cell>
          <cell r="B43" t="str">
            <v>15.613.806-1</v>
          </cell>
          <cell r="C43" t="str">
            <v>Supervisor</v>
          </cell>
          <cell r="D43">
            <v>15</v>
          </cell>
          <cell r="E43">
            <v>188.7</v>
          </cell>
          <cell r="F43">
            <v>168</v>
          </cell>
          <cell r="G43">
            <v>0</v>
          </cell>
          <cell r="H43">
            <v>215670</v>
          </cell>
          <cell r="I43">
            <v>0</v>
          </cell>
          <cell r="J43">
            <v>0</v>
          </cell>
          <cell r="K43">
            <v>0</v>
          </cell>
          <cell r="L43">
            <v>215670</v>
          </cell>
        </row>
        <row r="44">
          <cell r="A44" t="str">
            <v>ENKHAZAYA GANBAATAR</v>
          </cell>
          <cell r="B44" t="str">
            <v>44.601.238-K</v>
          </cell>
          <cell r="C44" t="str">
            <v>Perforista</v>
          </cell>
          <cell r="D44">
            <v>13</v>
          </cell>
          <cell r="E44">
            <v>147.19999999999999</v>
          </cell>
          <cell r="F44">
            <v>156</v>
          </cell>
          <cell r="G44">
            <v>374400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374400</v>
          </cell>
        </row>
        <row r="45">
          <cell r="A45" t="str">
            <v>ELIAS NICOLAS CORTEZ CORTEZ</v>
          </cell>
          <cell r="B45" t="str">
            <v>20.173.381-2</v>
          </cell>
          <cell r="C45" t="str">
            <v>Conductor</v>
          </cell>
          <cell r="D45">
            <v>15</v>
          </cell>
          <cell r="E45">
            <v>169.6</v>
          </cell>
          <cell r="F45">
            <v>168</v>
          </cell>
          <cell r="G45">
            <v>0</v>
          </cell>
          <cell r="H45">
            <v>161752.5</v>
          </cell>
          <cell r="I45">
            <v>0</v>
          </cell>
          <cell r="J45">
            <v>0</v>
          </cell>
          <cell r="K45">
            <v>0</v>
          </cell>
          <cell r="L45">
            <v>161752.5</v>
          </cell>
        </row>
        <row r="46">
          <cell r="A46" t="str">
            <v>WALTER DEL CARMEN PIZARRO ALVAREZ</v>
          </cell>
          <cell r="B46" t="str">
            <v>12.814.487-0</v>
          </cell>
          <cell r="C46" t="str">
            <v>Conductor</v>
          </cell>
          <cell r="D46">
            <v>15</v>
          </cell>
          <cell r="E46">
            <v>1.1499999999999999</v>
          </cell>
          <cell r="F46">
            <v>132</v>
          </cell>
          <cell r="G46">
            <v>0</v>
          </cell>
          <cell r="H46">
            <v>161752.5</v>
          </cell>
          <cell r="I46">
            <v>0</v>
          </cell>
          <cell r="J46">
            <v>0</v>
          </cell>
          <cell r="K46">
            <v>0</v>
          </cell>
          <cell r="L46">
            <v>161752.5</v>
          </cell>
        </row>
        <row r="47">
          <cell r="A47" t="str">
            <v>ULINSON DIAZ CORTES</v>
          </cell>
          <cell r="B47" t="str">
            <v>15.814.058-6</v>
          </cell>
          <cell r="C47" t="str">
            <v>Supervisor</v>
          </cell>
          <cell r="D47">
            <v>15</v>
          </cell>
          <cell r="E47">
            <v>1.1499999999999999</v>
          </cell>
          <cell r="F47">
            <v>132</v>
          </cell>
          <cell r="G47">
            <v>0</v>
          </cell>
          <cell r="H47">
            <v>215670</v>
          </cell>
          <cell r="I47">
            <v>0</v>
          </cell>
          <cell r="J47">
            <v>0</v>
          </cell>
          <cell r="K47">
            <v>0</v>
          </cell>
          <cell r="L47">
            <v>215670</v>
          </cell>
        </row>
        <row r="48">
          <cell r="A48" t="str">
            <v>LEONIDAS  LUIS  ARCE  OLIVARES</v>
          </cell>
          <cell r="B48" t="str">
            <v>10.269.976-9</v>
          </cell>
          <cell r="C48" t="str">
            <v>Supervisor</v>
          </cell>
          <cell r="D48">
            <v>6</v>
          </cell>
          <cell r="E48">
            <v>57.2</v>
          </cell>
          <cell r="F48">
            <v>72</v>
          </cell>
          <cell r="G48">
            <v>0</v>
          </cell>
          <cell r="H48">
            <v>86268</v>
          </cell>
          <cell r="I48">
            <v>0</v>
          </cell>
          <cell r="J48">
            <v>0</v>
          </cell>
          <cell r="K48">
            <v>0</v>
          </cell>
          <cell r="L48">
            <v>86268</v>
          </cell>
        </row>
        <row r="49">
          <cell r="A49" t="str">
            <v>DAYNE JEFFERY PASSMORE</v>
          </cell>
          <cell r="B49" t="str">
            <v>44.623.904-K</v>
          </cell>
          <cell r="C49" t="str">
            <v>Administrador de Contrato</v>
          </cell>
          <cell r="D49">
            <v>15</v>
          </cell>
          <cell r="E49">
            <v>170.75</v>
          </cell>
          <cell r="F49">
            <v>180</v>
          </cell>
          <cell r="G49">
            <v>0</v>
          </cell>
          <cell r="H49">
            <v>215670</v>
          </cell>
          <cell r="I49">
            <v>0</v>
          </cell>
          <cell r="J49">
            <v>0</v>
          </cell>
          <cell r="K49">
            <v>0</v>
          </cell>
          <cell r="L49">
            <v>215670</v>
          </cell>
        </row>
        <row r="50">
          <cell r="A50" t="str">
            <v>MANUEL OMAR ZAPATA AQUINO</v>
          </cell>
          <cell r="B50" t="str">
            <v>25.188.298-3</v>
          </cell>
          <cell r="C50" t="str">
            <v>Soldador</v>
          </cell>
          <cell r="D50">
            <v>1</v>
          </cell>
          <cell r="E50">
            <v>0</v>
          </cell>
          <cell r="F50">
            <v>0</v>
          </cell>
          <cell r="G50">
            <v>0</v>
          </cell>
          <cell r="H50">
            <v>10783.5</v>
          </cell>
          <cell r="I50">
            <v>0</v>
          </cell>
          <cell r="J50">
            <v>0</v>
          </cell>
          <cell r="K50">
            <v>0</v>
          </cell>
          <cell r="L50">
            <v>10783.5</v>
          </cell>
        </row>
        <row r="51">
          <cell r="A51" t="str">
            <v>JORGE ESTEBAN SAAVEDRA MENA</v>
          </cell>
          <cell r="B51" t="str">
            <v>12.152.241-1</v>
          </cell>
          <cell r="C51" t="str">
            <v>Conductor</v>
          </cell>
          <cell r="D51">
            <v>14</v>
          </cell>
          <cell r="E51">
            <v>169.6</v>
          </cell>
          <cell r="F51">
            <v>168</v>
          </cell>
          <cell r="G51">
            <v>0</v>
          </cell>
          <cell r="H51">
            <v>150969</v>
          </cell>
          <cell r="I51">
            <v>0</v>
          </cell>
          <cell r="J51">
            <v>0</v>
          </cell>
          <cell r="K51">
            <v>0</v>
          </cell>
          <cell r="L51">
            <v>150969</v>
          </cell>
        </row>
        <row r="52">
          <cell r="A52" t="str">
            <v>NATALY ANTONIA SALAS ESCOBAR</v>
          </cell>
          <cell r="B52" t="str">
            <v>21.516.063-7</v>
          </cell>
          <cell r="C52" t="str">
            <v>Administrativo</v>
          </cell>
          <cell r="D52">
            <v>16</v>
          </cell>
          <cell r="E52">
            <v>113.55</v>
          </cell>
          <cell r="F52">
            <v>132</v>
          </cell>
          <cell r="G52">
            <v>0</v>
          </cell>
          <cell r="H52">
            <v>172536</v>
          </cell>
          <cell r="I52">
            <v>0</v>
          </cell>
          <cell r="J52">
            <v>0</v>
          </cell>
          <cell r="K52">
            <v>0</v>
          </cell>
          <cell r="L52">
            <v>172536</v>
          </cell>
        </row>
        <row r="53">
          <cell r="A53" t="str">
            <v>JORGE ENRIQUE CEBALLOS JOFRE</v>
          </cell>
          <cell r="B53" t="str">
            <v>15.596.250-K</v>
          </cell>
          <cell r="C53" t="str">
            <v>HSEC</v>
          </cell>
          <cell r="D53">
            <v>8</v>
          </cell>
          <cell r="E53">
            <v>0</v>
          </cell>
          <cell r="F53">
            <v>36</v>
          </cell>
          <cell r="G53">
            <v>0</v>
          </cell>
          <cell r="H53">
            <v>115024</v>
          </cell>
          <cell r="I53">
            <v>0</v>
          </cell>
          <cell r="J53">
            <v>0</v>
          </cell>
          <cell r="K53">
            <v>0</v>
          </cell>
          <cell r="L53">
            <v>115024</v>
          </cell>
        </row>
        <row r="54">
          <cell r="A54" t="str">
            <v>JORGE ARMANDO TINOCO OSPINO</v>
          </cell>
          <cell r="B54" t="str">
            <v>23.868.099-9</v>
          </cell>
          <cell r="C54" t="str">
            <v>Conductor</v>
          </cell>
          <cell r="D54">
            <v>15</v>
          </cell>
          <cell r="E54">
            <v>0</v>
          </cell>
          <cell r="F54">
            <v>132</v>
          </cell>
          <cell r="G54">
            <v>0</v>
          </cell>
          <cell r="H54">
            <v>161752.5</v>
          </cell>
          <cell r="I54">
            <v>0</v>
          </cell>
          <cell r="J54">
            <v>0</v>
          </cell>
          <cell r="K54">
            <v>0</v>
          </cell>
          <cell r="L54">
            <v>161752.5</v>
          </cell>
        </row>
        <row r="55">
          <cell r="A55" t="str">
            <v>WALDO RAFAEL CASTRO PASTENE</v>
          </cell>
          <cell r="B55" t="str">
            <v>13.744.310-4</v>
          </cell>
          <cell r="C55" t="str">
            <v>Soldador</v>
          </cell>
          <cell r="D55">
            <v>14</v>
          </cell>
          <cell r="E55">
            <v>169.6</v>
          </cell>
          <cell r="F55">
            <v>168</v>
          </cell>
          <cell r="G55">
            <v>0</v>
          </cell>
          <cell r="H55">
            <v>150969</v>
          </cell>
          <cell r="I55">
            <v>0</v>
          </cell>
          <cell r="J55">
            <v>0</v>
          </cell>
          <cell r="K55">
            <v>0</v>
          </cell>
          <cell r="L55">
            <v>150969</v>
          </cell>
        </row>
        <row r="56">
          <cell r="A56" t="str">
            <v>ESTEFANIA CONSTANZA NAETER QUIROZ</v>
          </cell>
          <cell r="B56" t="str">
            <v>15.831.074-0</v>
          </cell>
          <cell r="C56" t="str">
            <v>Conductor</v>
          </cell>
          <cell r="D56">
            <v>15</v>
          </cell>
          <cell r="E56">
            <v>1.1499999999999999</v>
          </cell>
          <cell r="F56">
            <v>132</v>
          </cell>
          <cell r="G56">
            <v>0</v>
          </cell>
          <cell r="H56">
            <v>161752.5</v>
          </cell>
          <cell r="I56">
            <v>0</v>
          </cell>
          <cell r="J56">
            <v>0</v>
          </cell>
          <cell r="K56">
            <v>0</v>
          </cell>
          <cell r="L56">
            <v>161752.5</v>
          </cell>
        </row>
        <row r="57">
          <cell r="A57" t="str">
            <v>MAURICIO ANDRES OYARZUN SALAMANCA</v>
          </cell>
          <cell r="B57" t="str">
            <v>17.964.013-9</v>
          </cell>
          <cell r="C57" t="str">
            <v>Ayudante Perforista</v>
          </cell>
          <cell r="D57">
            <v>15</v>
          </cell>
          <cell r="E57">
            <v>188.7</v>
          </cell>
          <cell r="F57">
            <v>168</v>
          </cell>
          <cell r="G57">
            <v>322470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322470</v>
          </cell>
        </row>
        <row r="58">
          <cell r="A58" t="str">
            <v>TUMENNASAN SANSRAI</v>
          </cell>
          <cell r="B58" t="str">
            <v>28.698.456-8</v>
          </cell>
          <cell r="C58" t="str">
            <v>Perforista</v>
          </cell>
          <cell r="D58">
            <v>12</v>
          </cell>
          <cell r="E58">
            <v>0</v>
          </cell>
          <cell r="F58">
            <v>96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2F59-A282-46FD-B7A0-276FFEDDDC33}">
  <sheetPr codeName="Sheet1"/>
  <dimension ref="A1:U333"/>
  <sheetViews>
    <sheetView tabSelected="1" workbookViewId="0">
      <pane ySplit="1" topLeftCell="A2" activePane="bottomLeft" state="frozen"/>
      <selection pane="bottomLeft" activeCell="G13" sqref="G13"/>
    </sheetView>
  </sheetViews>
  <sheetFormatPr defaultRowHeight="14.5" x14ac:dyDescent="0.35"/>
  <cols>
    <col min="1" max="1" width="22.81640625" hidden="1" customWidth="1"/>
    <col min="2" max="2" width="18.81640625" hidden="1" customWidth="1"/>
    <col min="3" max="3" width="18.81640625" bestFit="1" customWidth="1"/>
    <col min="4" max="4" width="15.6328125" hidden="1" customWidth="1"/>
    <col min="5" max="5" width="41.1796875" bestFit="1" customWidth="1"/>
    <col min="6" max="6" width="12.08984375" customWidth="1"/>
    <col min="7" max="7" width="12.54296875" bestFit="1" customWidth="1"/>
    <col min="8" max="8" width="11.81640625" bestFit="1" customWidth="1"/>
    <col min="9" max="9" width="13.90625" bestFit="1" customWidth="1"/>
    <col min="10" max="10" width="23.7265625" style="4" customWidth="1"/>
    <col min="11" max="11" width="10.453125" bestFit="1" customWidth="1"/>
    <col min="12" max="12" width="12.26953125" bestFit="1" customWidth="1"/>
    <col min="13" max="13" width="10.7265625" bestFit="1" customWidth="1"/>
    <col min="14" max="14" width="25.36328125" hidden="1" customWidth="1"/>
    <col min="15" max="15" width="26.26953125" hidden="1" customWidth="1"/>
    <col min="16" max="17" width="22.81640625" hidden="1" customWidth="1"/>
  </cols>
  <sheetData>
    <row r="1" spans="1:21" s="1" customFormat="1" x14ac:dyDescent="0.3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" t="s">
        <v>390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14</v>
      </c>
      <c r="Q1" s="8" t="s">
        <v>15</v>
      </c>
      <c r="R1" s="1" t="s">
        <v>409</v>
      </c>
      <c r="S1" s="1" t="s">
        <v>408</v>
      </c>
    </row>
    <row r="2" spans="1:21" x14ac:dyDescent="0.35">
      <c r="A2" s="9" t="s">
        <v>16</v>
      </c>
      <c r="B2" s="9" t="s">
        <v>17</v>
      </c>
      <c r="C2" s="9" t="s">
        <v>17</v>
      </c>
      <c r="D2" s="9" t="s">
        <v>18</v>
      </c>
      <c r="E2" s="9" t="s">
        <v>19</v>
      </c>
      <c r="F2" s="9" t="s">
        <v>20</v>
      </c>
      <c r="G2" s="9">
        <v>15</v>
      </c>
      <c r="H2" s="9">
        <v>15</v>
      </c>
      <c r="I2" s="9">
        <v>1035</v>
      </c>
      <c r="J2" s="6">
        <v>1035</v>
      </c>
      <c r="K2" s="9">
        <f>+J2-I2</f>
        <v>0</v>
      </c>
      <c r="L2" s="9" t="s">
        <v>21</v>
      </c>
      <c r="M2" s="9"/>
      <c r="N2" s="9" t="s">
        <v>22</v>
      </c>
      <c r="O2" s="9" t="s">
        <v>23</v>
      </c>
      <c r="P2" s="9" t="s">
        <v>24</v>
      </c>
      <c r="Q2" s="9" t="s">
        <v>25</v>
      </c>
      <c r="R2">
        <f>VLOOKUP(E2,Workera!A$2:L$273,12,FALSE)</f>
        <v>1035</v>
      </c>
      <c r="S2">
        <f>VLOOKUP(E2,Planilla!A$2:L$273,12,FALSE)</f>
        <v>1035</v>
      </c>
      <c r="T2" t="str">
        <f>IF(J2=S2,"OK","Wrong")</f>
        <v>OK</v>
      </c>
      <c r="U2">
        <f>VLOOKUP(E2,Planilla!A2:L273,12,FALSE)</f>
        <v>1035</v>
      </c>
    </row>
    <row r="3" spans="1:21" x14ac:dyDescent="0.35">
      <c r="A3" s="9" t="s">
        <v>16</v>
      </c>
      <c r="B3" s="9" t="s">
        <v>17</v>
      </c>
      <c r="C3" s="9" t="s">
        <v>17</v>
      </c>
      <c r="D3" s="9" t="s">
        <v>18</v>
      </c>
      <c r="E3" s="9" t="s">
        <v>26</v>
      </c>
      <c r="F3" s="9" t="s">
        <v>27</v>
      </c>
      <c r="G3" s="9">
        <v>15</v>
      </c>
      <c r="H3" s="9">
        <v>15</v>
      </c>
      <c r="I3" s="9">
        <v>215670</v>
      </c>
      <c r="J3" s="6">
        <v>215670</v>
      </c>
      <c r="K3" s="9">
        <f t="shared" ref="K3:K65" si="0">+J3-I3</f>
        <v>0</v>
      </c>
      <c r="L3" s="9" t="s">
        <v>21</v>
      </c>
      <c r="M3" s="9"/>
      <c r="N3" s="9" t="s">
        <v>22</v>
      </c>
      <c r="O3" s="9" t="s">
        <v>23</v>
      </c>
      <c r="P3" s="9" t="s">
        <v>24</v>
      </c>
      <c r="Q3" s="9" t="s">
        <v>25</v>
      </c>
      <c r="R3">
        <f>VLOOKUP(E3,Workera!A$2:L$273,12,FALSE)</f>
        <v>215670</v>
      </c>
      <c r="S3">
        <f>VLOOKUP(E3,Planilla!A$2:L$273,12,FALSE)</f>
        <v>215670</v>
      </c>
      <c r="T3" t="str">
        <f t="shared" ref="T3:T66" si="1">IF(J3=S3,"OK","Wrong")</f>
        <v>OK</v>
      </c>
    </row>
    <row r="4" spans="1:21" x14ac:dyDescent="0.35">
      <c r="A4" s="9" t="s">
        <v>16</v>
      </c>
      <c r="B4" s="9" t="s">
        <v>17</v>
      </c>
      <c r="C4" s="9" t="s">
        <v>17</v>
      </c>
      <c r="D4" s="9" t="s">
        <v>18</v>
      </c>
      <c r="E4" s="9" t="s">
        <v>29</v>
      </c>
      <c r="F4" s="9" t="s">
        <v>30</v>
      </c>
      <c r="G4" s="9">
        <v>8</v>
      </c>
      <c r="H4" s="9">
        <v>8</v>
      </c>
      <c r="I4" s="9">
        <v>115024</v>
      </c>
      <c r="J4" s="6">
        <v>115024</v>
      </c>
      <c r="K4" s="9">
        <f t="shared" si="0"/>
        <v>0</v>
      </c>
      <c r="L4" s="9" t="s">
        <v>21</v>
      </c>
      <c r="M4" s="9"/>
      <c r="N4" s="9" t="s">
        <v>22</v>
      </c>
      <c r="O4" s="9" t="s">
        <v>23</v>
      </c>
      <c r="P4" s="9" t="s">
        <v>24</v>
      </c>
      <c r="Q4" s="9" t="s">
        <v>25</v>
      </c>
      <c r="R4" t="e">
        <f>VLOOKUP(E4,Workera!A$2:L$273,12,FALSE)</f>
        <v>#N/A</v>
      </c>
      <c r="S4">
        <f>VLOOKUP(E4,Planilla!A$2:L$273,12,FALSE)</f>
        <v>115024</v>
      </c>
      <c r="T4" t="str">
        <f t="shared" si="1"/>
        <v>OK</v>
      </c>
    </row>
    <row r="5" spans="1:21" x14ac:dyDescent="0.35">
      <c r="A5" s="9" t="s">
        <v>16</v>
      </c>
      <c r="B5" s="9" t="s">
        <v>17</v>
      </c>
      <c r="C5" s="9" t="s">
        <v>17</v>
      </c>
      <c r="D5" s="9" t="s">
        <v>18</v>
      </c>
      <c r="E5" s="9" t="s">
        <v>32</v>
      </c>
      <c r="F5" s="9" t="s">
        <v>33</v>
      </c>
      <c r="G5" s="9">
        <v>1</v>
      </c>
      <c r="H5" s="9">
        <v>1</v>
      </c>
      <c r="I5" s="9">
        <v>10783.5</v>
      </c>
      <c r="J5" s="6">
        <v>10783.5</v>
      </c>
      <c r="K5" s="9">
        <f t="shared" si="0"/>
        <v>0</v>
      </c>
      <c r="L5" s="9" t="s">
        <v>21</v>
      </c>
      <c r="M5" s="9"/>
      <c r="N5" s="9" t="s">
        <v>22</v>
      </c>
      <c r="O5" s="9" t="s">
        <v>23</v>
      </c>
      <c r="P5" s="9" t="s">
        <v>24</v>
      </c>
      <c r="Q5" s="9" t="s">
        <v>25</v>
      </c>
      <c r="R5" t="e">
        <f>VLOOKUP(E5,Workera!A$2:L$273,12,FALSE)</f>
        <v>#N/A</v>
      </c>
      <c r="S5">
        <f>VLOOKUP(E5,Planilla!A$2:L$273,12,FALSE)</f>
        <v>10783.5</v>
      </c>
      <c r="T5" t="str">
        <f t="shared" si="1"/>
        <v>OK</v>
      </c>
    </row>
    <row r="6" spans="1:21" x14ac:dyDescent="0.35">
      <c r="A6" s="9" t="s">
        <v>16</v>
      </c>
      <c r="B6" s="9" t="s">
        <v>17</v>
      </c>
      <c r="C6" s="9" t="s">
        <v>17</v>
      </c>
      <c r="D6" s="9" t="s">
        <v>18</v>
      </c>
      <c r="E6" s="9" t="s">
        <v>34</v>
      </c>
      <c r="F6" s="9" t="s">
        <v>35</v>
      </c>
      <c r="G6" s="9">
        <v>9</v>
      </c>
      <c r="H6" s="9">
        <v>9</v>
      </c>
      <c r="I6" s="9">
        <v>97051.5</v>
      </c>
      <c r="J6" s="6">
        <v>97051.5</v>
      </c>
      <c r="K6" s="9">
        <f t="shared" si="0"/>
        <v>0</v>
      </c>
      <c r="L6" s="9" t="s">
        <v>21</v>
      </c>
      <c r="M6" s="9"/>
      <c r="N6" s="9" t="s">
        <v>22</v>
      </c>
      <c r="O6" s="9" t="s">
        <v>23</v>
      </c>
      <c r="P6" s="9" t="s">
        <v>24</v>
      </c>
      <c r="Q6" s="9" t="s">
        <v>25</v>
      </c>
      <c r="R6">
        <f>VLOOKUP(E6,Workera!A$2:L$273,12,FALSE)</f>
        <v>200783.33</v>
      </c>
      <c r="S6">
        <f>VLOOKUP(E6,Planilla!A$2:L$273,12,FALSE)</f>
        <v>97051.5</v>
      </c>
      <c r="T6" t="str">
        <f t="shared" si="1"/>
        <v>OK</v>
      </c>
    </row>
    <row r="7" spans="1:21" x14ac:dyDescent="0.35">
      <c r="A7" s="9" t="s">
        <v>16</v>
      </c>
      <c r="B7" s="9" t="s">
        <v>17</v>
      </c>
      <c r="C7" s="9" t="s">
        <v>17</v>
      </c>
      <c r="D7" s="9" t="s">
        <v>18</v>
      </c>
      <c r="E7" s="9" t="s">
        <v>38</v>
      </c>
      <c r="F7" s="9" t="s">
        <v>30</v>
      </c>
      <c r="G7" s="9">
        <v>14</v>
      </c>
      <c r="H7" s="9">
        <v>14</v>
      </c>
      <c r="I7" s="9">
        <v>201292</v>
      </c>
      <c r="J7" s="6">
        <v>201292</v>
      </c>
      <c r="K7" s="9">
        <f t="shared" si="0"/>
        <v>0</v>
      </c>
      <c r="L7" s="9" t="s">
        <v>21</v>
      </c>
      <c r="M7" s="9"/>
      <c r="N7" s="9" t="s">
        <v>22</v>
      </c>
      <c r="O7" s="9" t="s">
        <v>23</v>
      </c>
      <c r="P7" s="9" t="s">
        <v>24</v>
      </c>
      <c r="Q7" s="9" t="s">
        <v>25</v>
      </c>
      <c r="R7" t="e">
        <f>VLOOKUP(E7,Workera!A$2:L$273,12,)</f>
        <v>#N/A</v>
      </c>
      <c r="S7" t="e">
        <f>VLOOKUP(E7,Planilla!A$2:L$273,12,FALSE)</f>
        <v>#N/A</v>
      </c>
      <c r="T7" t="e">
        <f t="shared" si="1"/>
        <v>#N/A</v>
      </c>
    </row>
    <row r="8" spans="1:21" x14ac:dyDescent="0.35">
      <c r="A8" s="9" t="s">
        <v>16</v>
      </c>
      <c r="B8" s="9" t="s">
        <v>17</v>
      </c>
      <c r="C8" s="9" t="s">
        <v>17</v>
      </c>
      <c r="D8" s="9" t="s">
        <v>18</v>
      </c>
      <c r="E8" s="9" t="s">
        <v>39</v>
      </c>
      <c r="F8" s="9" t="s">
        <v>20</v>
      </c>
      <c r="G8" s="9">
        <v>10</v>
      </c>
      <c r="H8" s="9">
        <v>10</v>
      </c>
      <c r="I8" s="9">
        <v>209070</v>
      </c>
      <c r="J8" s="6">
        <v>209070</v>
      </c>
      <c r="K8" s="9">
        <f t="shared" si="0"/>
        <v>0</v>
      </c>
      <c r="L8" s="9" t="s">
        <v>21</v>
      </c>
      <c r="M8" s="9"/>
      <c r="N8" s="9" t="s">
        <v>22</v>
      </c>
      <c r="O8" s="9" t="s">
        <v>23</v>
      </c>
      <c r="P8" s="9" t="s">
        <v>24</v>
      </c>
      <c r="Q8" s="9" t="s">
        <v>25</v>
      </c>
      <c r="R8">
        <f>VLOOKUP(E8,Workera!A$2:L$273,12,FALSE)</f>
        <v>0</v>
      </c>
      <c r="S8">
        <f>VLOOKUP(E8,Planilla!A$2:L$273,12,FALSE)</f>
        <v>209070</v>
      </c>
      <c r="T8" t="str">
        <f t="shared" si="1"/>
        <v>OK</v>
      </c>
    </row>
    <row r="9" spans="1:21" x14ac:dyDescent="0.35">
      <c r="A9" s="9" t="s">
        <v>16</v>
      </c>
      <c r="B9" s="9" t="s">
        <v>17</v>
      </c>
      <c r="C9" s="9" t="s">
        <v>17</v>
      </c>
      <c r="D9" s="9" t="s">
        <v>18</v>
      </c>
      <c r="E9" s="9" t="s">
        <v>40</v>
      </c>
      <c r="F9" s="9" t="s">
        <v>41</v>
      </c>
      <c r="G9" s="9">
        <v>4</v>
      </c>
      <c r="H9" s="9">
        <v>4</v>
      </c>
      <c r="I9" s="9">
        <v>57512</v>
      </c>
      <c r="J9" s="6">
        <v>57512</v>
      </c>
      <c r="K9" s="9">
        <f t="shared" si="0"/>
        <v>0</v>
      </c>
      <c r="L9" s="9" t="s">
        <v>21</v>
      </c>
      <c r="M9" s="9"/>
      <c r="N9" s="9" t="s">
        <v>22</v>
      </c>
      <c r="O9" s="9" t="s">
        <v>23</v>
      </c>
      <c r="P9" s="9" t="s">
        <v>24</v>
      </c>
      <c r="Q9" s="9" t="s">
        <v>25</v>
      </c>
      <c r="R9" t="e">
        <f>VLOOKUP(E9,Workera!A$2:L$273,12,FALSE)</f>
        <v>#N/A</v>
      </c>
      <c r="S9">
        <f>VLOOKUP(E9,Planilla!A$2:L$273,12,FALSE)</f>
        <v>57512</v>
      </c>
      <c r="T9" t="str">
        <f t="shared" si="1"/>
        <v>OK</v>
      </c>
    </row>
    <row r="10" spans="1:21" x14ac:dyDescent="0.35">
      <c r="A10" s="9" t="s">
        <v>16</v>
      </c>
      <c r="B10" s="9" t="s">
        <v>17</v>
      </c>
      <c r="C10" s="9" t="s">
        <v>17</v>
      </c>
      <c r="D10" s="9" t="s">
        <v>18</v>
      </c>
      <c r="E10" s="9" t="s">
        <v>42</v>
      </c>
      <c r="F10" s="9" t="s">
        <v>27</v>
      </c>
      <c r="G10" s="9">
        <v>1</v>
      </c>
      <c r="H10" s="9">
        <v>1</v>
      </c>
      <c r="I10" s="9">
        <v>14378</v>
      </c>
      <c r="J10" s="6">
        <v>14378</v>
      </c>
      <c r="K10" s="9">
        <f t="shared" si="0"/>
        <v>0</v>
      </c>
      <c r="L10" s="9" t="s">
        <v>21</v>
      </c>
      <c r="M10" s="9"/>
      <c r="N10" s="9" t="s">
        <v>22</v>
      </c>
      <c r="O10" s="9" t="s">
        <v>23</v>
      </c>
      <c r="P10" s="9" t="s">
        <v>24</v>
      </c>
      <c r="Q10" s="9" t="s">
        <v>25</v>
      </c>
      <c r="R10" t="e">
        <f>VLOOKUP(E10,Workera!A$2:L$273,12,FALSE)</f>
        <v>#N/A</v>
      </c>
      <c r="S10">
        <f>VLOOKUP(E10,Planilla!A$2:L$273,12,FALSE)</f>
        <v>14378</v>
      </c>
      <c r="T10" t="str">
        <f t="shared" si="1"/>
        <v>OK</v>
      </c>
    </row>
    <row r="11" spans="1:21" x14ac:dyDescent="0.35">
      <c r="A11" s="9" t="s">
        <v>16</v>
      </c>
      <c r="B11" s="9" t="s">
        <v>17</v>
      </c>
      <c r="C11" s="9" t="s">
        <v>17</v>
      </c>
      <c r="D11" s="9" t="s">
        <v>18</v>
      </c>
      <c r="E11" s="9" t="s">
        <v>43</v>
      </c>
      <c r="F11" s="9" t="s">
        <v>20</v>
      </c>
      <c r="G11" s="9">
        <v>15</v>
      </c>
      <c r="H11" s="9">
        <v>15</v>
      </c>
      <c r="I11" s="9">
        <v>322470</v>
      </c>
      <c r="J11" s="6">
        <v>322470</v>
      </c>
      <c r="K11" s="9">
        <f t="shared" si="0"/>
        <v>0</v>
      </c>
      <c r="L11" s="9" t="s">
        <v>21</v>
      </c>
      <c r="M11" s="9"/>
      <c r="N11" s="9" t="s">
        <v>22</v>
      </c>
      <c r="O11" s="9" t="s">
        <v>23</v>
      </c>
      <c r="P11" s="9" t="s">
        <v>24</v>
      </c>
      <c r="Q11" s="9" t="s">
        <v>25</v>
      </c>
      <c r="R11">
        <f>VLOOKUP(E11,Workera!A$2:L$273,12,FALSE)</f>
        <v>322470</v>
      </c>
      <c r="S11">
        <f>VLOOKUP(E11,Planilla!A$2:L$273,12,FALSE)</f>
        <v>322470</v>
      </c>
      <c r="T11" t="str">
        <f t="shared" si="1"/>
        <v>OK</v>
      </c>
    </row>
    <row r="12" spans="1:21" x14ac:dyDescent="0.35">
      <c r="A12" s="9" t="s">
        <v>16</v>
      </c>
      <c r="B12" s="9" t="s">
        <v>17</v>
      </c>
      <c r="C12" s="9" t="s">
        <v>17</v>
      </c>
      <c r="D12" s="9" t="s">
        <v>18</v>
      </c>
      <c r="E12" s="9" t="s">
        <v>44</v>
      </c>
      <c r="F12" s="9" t="s">
        <v>45</v>
      </c>
      <c r="G12" s="9">
        <v>0</v>
      </c>
      <c r="H12" s="9">
        <v>0</v>
      </c>
      <c r="I12" s="9">
        <v>0</v>
      </c>
      <c r="J12" s="6">
        <v>0</v>
      </c>
      <c r="K12" s="9">
        <f t="shared" si="0"/>
        <v>0</v>
      </c>
      <c r="L12" s="9" t="s">
        <v>21</v>
      </c>
      <c r="M12" s="9"/>
      <c r="N12" s="9" t="s">
        <v>22</v>
      </c>
      <c r="O12" s="9" t="s">
        <v>23</v>
      </c>
      <c r="P12" s="9" t="s">
        <v>24</v>
      </c>
      <c r="Q12" s="9" t="s">
        <v>25</v>
      </c>
      <c r="R12">
        <f>VLOOKUP(E12,Workera!A$2:L$273,12,FALSE)</f>
        <v>0</v>
      </c>
      <c r="S12" t="e">
        <f>VLOOKUP(E12,Planilla!A$2:L$273,12,FALSE)</f>
        <v>#N/A</v>
      </c>
      <c r="T12" t="e">
        <f t="shared" si="1"/>
        <v>#N/A</v>
      </c>
    </row>
    <row r="13" spans="1:21" x14ac:dyDescent="0.35">
      <c r="A13" s="9" t="s">
        <v>16</v>
      </c>
      <c r="B13" s="9" t="s">
        <v>17</v>
      </c>
      <c r="C13" s="9" t="s">
        <v>17</v>
      </c>
      <c r="D13" s="9" t="s">
        <v>18</v>
      </c>
      <c r="E13" s="9" t="s">
        <v>46</v>
      </c>
      <c r="F13" s="9" t="s">
        <v>35</v>
      </c>
      <c r="G13" s="9">
        <v>15</v>
      </c>
      <c r="H13" s="9">
        <v>15</v>
      </c>
      <c r="I13" s="9">
        <v>161752.5</v>
      </c>
      <c r="J13" s="6">
        <v>161752.5</v>
      </c>
      <c r="K13" s="9">
        <f t="shared" si="0"/>
        <v>0</v>
      </c>
      <c r="L13" s="9" t="s">
        <v>21</v>
      </c>
      <c r="M13" s="9"/>
      <c r="N13" s="9" t="s">
        <v>22</v>
      </c>
      <c r="O13" s="9" t="s">
        <v>23</v>
      </c>
      <c r="P13" s="9" t="s">
        <v>24</v>
      </c>
      <c r="Q13" s="9" t="s">
        <v>25</v>
      </c>
      <c r="R13">
        <f>VLOOKUP(E13,Workera!A$2:L$273,12,FALSE)</f>
        <v>150969</v>
      </c>
      <c r="S13">
        <f>VLOOKUP(E13,Planilla!A$2:L$273,12,FALSE)</f>
        <v>161752.5</v>
      </c>
      <c r="T13" t="str">
        <f t="shared" si="1"/>
        <v>OK</v>
      </c>
    </row>
    <row r="14" spans="1:21" x14ac:dyDescent="0.35">
      <c r="A14" s="9" t="s">
        <v>16</v>
      </c>
      <c r="B14" s="9" t="s">
        <v>17</v>
      </c>
      <c r="C14" s="9" t="s">
        <v>17</v>
      </c>
      <c r="D14" s="9" t="s">
        <v>18</v>
      </c>
      <c r="E14" s="9" t="s">
        <v>47</v>
      </c>
      <c r="F14" s="9" t="s">
        <v>33</v>
      </c>
      <c r="G14" s="9">
        <v>14</v>
      </c>
      <c r="H14" s="9">
        <v>14</v>
      </c>
      <c r="I14" s="9">
        <v>150969</v>
      </c>
      <c r="J14" s="6">
        <v>150969</v>
      </c>
      <c r="K14" s="9">
        <f t="shared" si="0"/>
        <v>0</v>
      </c>
      <c r="L14" s="9" t="s">
        <v>21</v>
      </c>
      <c r="M14" s="9"/>
      <c r="N14" s="9" t="s">
        <v>22</v>
      </c>
      <c r="O14" s="9" t="s">
        <v>23</v>
      </c>
      <c r="P14" s="9" t="s">
        <v>24</v>
      </c>
      <c r="Q14" s="9" t="s">
        <v>25</v>
      </c>
      <c r="R14">
        <f>VLOOKUP(E14,Workera!A$2:L$273,12,FALSE)</f>
        <v>150969</v>
      </c>
      <c r="S14">
        <f>VLOOKUP(E14,Planilla!A$2:L$273,12,FALSE)</f>
        <v>150969</v>
      </c>
      <c r="T14" t="str">
        <f t="shared" si="1"/>
        <v>OK</v>
      </c>
    </row>
    <row r="15" spans="1:21" x14ac:dyDescent="0.35">
      <c r="A15" s="9" t="s">
        <v>16</v>
      </c>
      <c r="B15" s="9" t="s">
        <v>17</v>
      </c>
      <c r="C15" s="9" t="s">
        <v>17</v>
      </c>
      <c r="D15" s="9" t="s">
        <v>18</v>
      </c>
      <c r="E15" s="9" t="s">
        <v>48</v>
      </c>
      <c r="F15" s="9" t="s">
        <v>20</v>
      </c>
      <c r="G15" s="9">
        <v>0</v>
      </c>
      <c r="H15" s="9">
        <v>0</v>
      </c>
      <c r="I15" s="9">
        <v>0</v>
      </c>
      <c r="J15" s="6">
        <v>0</v>
      </c>
      <c r="K15" s="9">
        <f t="shared" si="0"/>
        <v>0</v>
      </c>
      <c r="L15" s="9" t="s">
        <v>21</v>
      </c>
      <c r="M15" s="9"/>
      <c r="N15" s="9" t="s">
        <v>22</v>
      </c>
      <c r="O15" s="9" t="s">
        <v>23</v>
      </c>
      <c r="P15" s="9" t="s">
        <v>24</v>
      </c>
      <c r="Q15" s="9" t="s">
        <v>25</v>
      </c>
      <c r="R15">
        <f>VLOOKUP(E15,Workera!A$2:L$273,12,FALSE)</f>
        <v>0</v>
      </c>
      <c r="S15" t="e">
        <f>VLOOKUP(E15,Planilla!A$2:L$273,12,FALSE)</f>
        <v>#N/A</v>
      </c>
      <c r="T15" t="e">
        <f t="shared" si="1"/>
        <v>#N/A</v>
      </c>
    </row>
    <row r="16" spans="1:21" x14ac:dyDescent="0.35">
      <c r="A16" s="9" t="s">
        <v>16</v>
      </c>
      <c r="B16" s="9" t="s">
        <v>17</v>
      </c>
      <c r="C16" s="9" t="s">
        <v>17</v>
      </c>
      <c r="D16" s="9" t="s">
        <v>18</v>
      </c>
      <c r="E16" s="9" t="s">
        <v>49</v>
      </c>
      <c r="F16" s="9" t="s">
        <v>35</v>
      </c>
      <c r="G16" s="9">
        <v>15</v>
      </c>
      <c r="H16" s="9">
        <v>15</v>
      </c>
      <c r="I16" s="9">
        <v>161752.5</v>
      </c>
      <c r="J16" s="6">
        <v>161752.5</v>
      </c>
      <c r="K16" s="9">
        <f t="shared" si="0"/>
        <v>0</v>
      </c>
      <c r="L16" s="9" t="s">
        <v>21</v>
      </c>
      <c r="M16" s="9"/>
      <c r="N16" s="9" t="s">
        <v>22</v>
      </c>
      <c r="O16" s="9" t="s">
        <v>23</v>
      </c>
      <c r="P16" s="9" t="s">
        <v>24</v>
      </c>
      <c r="Q16" s="9" t="s">
        <v>25</v>
      </c>
      <c r="R16">
        <f>VLOOKUP(E16,Workera!A$2:L$273,12,FALSE)</f>
        <v>161752.5</v>
      </c>
      <c r="S16">
        <f>VLOOKUP(E16,Planilla!A$2:L$273,12,FALSE)</f>
        <v>161752.5</v>
      </c>
      <c r="T16" t="str">
        <f t="shared" si="1"/>
        <v>OK</v>
      </c>
    </row>
    <row r="17" spans="1:20" x14ac:dyDescent="0.35">
      <c r="A17" s="9" t="s">
        <v>16</v>
      </c>
      <c r="B17" s="9" t="s">
        <v>17</v>
      </c>
      <c r="C17" s="9" t="s">
        <v>17</v>
      </c>
      <c r="D17" s="9" t="s">
        <v>18</v>
      </c>
      <c r="E17" s="9" t="s">
        <v>50</v>
      </c>
      <c r="F17" s="9" t="s">
        <v>35</v>
      </c>
      <c r="G17" s="9">
        <v>14</v>
      </c>
      <c r="H17" s="9">
        <v>14</v>
      </c>
      <c r="I17" s="9">
        <v>150969</v>
      </c>
      <c r="J17" s="6">
        <v>150969</v>
      </c>
      <c r="K17" s="9">
        <f t="shared" si="0"/>
        <v>0</v>
      </c>
      <c r="L17" s="9" t="s">
        <v>21</v>
      </c>
      <c r="M17" s="9"/>
      <c r="N17" s="9" t="s">
        <v>22</v>
      </c>
      <c r="O17" s="9" t="s">
        <v>23</v>
      </c>
      <c r="P17" s="9" t="s">
        <v>24</v>
      </c>
      <c r="Q17" s="9" t="s">
        <v>25</v>
      </c>
      <c r="R17">
        <f>VLOOKUP(E17,Workera!A$2:L$273,12,FALSE)</f>
        <v>150969</v>
      </c>
      <c r="S17">
        <f>VLOOKUP(E17,Planilla!A$2:L$273,12,FALSE)</f>
        <v>150969</v>
      </c>
      <c r="T17" t="str">
        <f t="shared" si="1"/>
        <v>OK</v>
      </c>
    </row>
    <row r="18" spans="1:20" x14ac:dyDescent="0.35">
      <c r="A18" s="9" t="s">
        <v>16</v>
      </c>
      <c r="B18" s="9" t="s">
        <v>17</v>
      </c>
      <c r="C18" s="9" t="s">
        <v>17</v>
      </c>
      <c r="D18" s="9" t="s">
        <v>18</v>
      </c>
      <c r="E18" s="9" t="s">
        <v>51</v>
      </c>
      <c r="F18" s="9" t="s">
        <v>20</v>
      </c>
      <c r="G18" s="9">
        <v>0</v>
      </c>
      <c r="H18" s="9">
        <v>0</v>
      </c>
      <c r="I18" s="9">
        <v>0</v>
      </c>
      <c r="J18" s="6">
        <v>0</v>
      </c>
      <c r="K18" s="9">
        <f t="shared" si="0"/>
        <v>0</v>
      </c>
      <c r="L18" s="9" t="s">
        <v>21</v>
      </c>
      <c r="M18" s="9"/>
      <c r="N18" s="9" t="s">
        <v>22</v>
      </c>
      <c r="O18" s="9" t="s">
        <v>23</v>
      </c>
      <c r="P18" s="9" t="s">
        <v>24</v>
      </c>
      <c r="Q18" s="9" t="s">
        <v>25</v>
      </c>
      <c r="R18">
        <f>VLOOKUP(E18,Workera!A$2:L$273,12,FALSE)</f>
        <v>0</v>
      </c>
      <c r="S18" t="e">
        <f>VLOOKUP(E18,Planilla!A$2:L$273,12,FALSE)</f>
        <v>#N/A</v>
      </c>
      <c r="T18" t="e">
        <f t="shared" si="1"/>
        <v>#N/A</v>
      </c>
    </row>
    <row r="19" spans="1:20" x14ac:dyDescent="0.35">
      <c r="A19" s="9" t="s">
        <v>16</v>
      </c>
      <c r="B19" s="9" t="s">
        <v>17</v>
      </c>
      <c r="C19" s="9" t="s">
        <v>17</v>
      </c>
      <c r="D19" s="9" t="s">
        <v>18</v>
      </c>
      <c r="E19" s="9" t="s">
        <v>52</v>
      </c>
      <c r="F19" s="9" t="s">
        <v>53</v>
      </c>
      <c r="G19" s="9">
        <v>16</v>
      </c>
      <c r="H19" s="9">
        <v>16</v>
      </c>
      <c r="I19" s="9">
        <v>172536</v>
      </c>
      <c r="J19" s="6">
        <v>172536</v>
      </c>
      <c r="K19" s="9">
        <f t="shared" si="0"/>
        <v>0</v>
      </c>
      <c r="L19" s="9" t="s">
        <v>21</v>
      </c>
      <c r="M19" s="9"/>
      <c r="N19" s="9" t="s">
        <v>22</v>
      </c>
      <c r="O19" s="9" t="s">
        <v>23</v>
      </c>
      <c r="P19" s="9" t="s">
        <v>24</v>
      </c>
      <c r="Q19" s="9" t="s">
        <v>25</v>
      </c>
      <c r="R19">
        <f>VLOOKUP(E19,Workera!A$2:L$273,12,FALSE)</f>
        <v>172536</v>
      </c>
      <c r="S19">
        <f>VLOOKUP(E19,Planilla!A$2:L$273,12,FALSE)</f>
        <v>172536</v>
      </c>
      <c r="T19" t="str">
        <f t="shared" si="1"/>
        <v>OK</v>
      </c>
    </row>
    <row r="20" spans="1:20" x14ac:dyDescent="0.35">
      <c r="A20" s="9" t="s">
        <v>16</v>
      </c>
      <c r="B20" s="9" t="s">
        <v>17</v>
      </c>
      <c r="C20" s="9" t="s">
        <v>17</v>
      </c>
      <c r="D20" s="9" t="s">
        <v>18</v>
      </c>
      <c r="E20" s="9" t="s">
        <v>54</v>
      </c>
      <c r="F20" s="9" t="s">
        <v>27</v>
      </c>
      <c r="G20" s="9">
        <v>0</v>
      </c>
      <c r="H20" s="9">
        <v>0</v>
      </c>
      <c r="I20" s="9">
        <v>0</v>
      </c>
      <c r="J20" s="6">
        <v>0</v>
      </c>
      <c r="K20" s="9">
        <f t="shared" si="0"/>
        <v>0</v>
      </c>
      <c r="L20" s="9" t="s">
        <v>21</v>
      </c>
      <c r="M20" s="9"/>
      <c r="N20" s="9" t="s">
        <v>22</v>
      </c>
      <c r="O20" s="9" t="s">
        <v>23</v>
      </c>
      <c r="P20" s="9" t="s">
        <v>24</v>
      </c>
      <c r="Q20" s="9" t="s">
        <v>25</v>
      </c>
      <c r="R20">
        <f>VLOOKUP(E20,Workera!A$2:L$273,12,FALSE)</f>
        <v>0</v>
      </c>
      <c r="S20" t="e">
        <f>VLOOKUP(E20,Planilla!A$2:L$273,12,FALSE)</f>
        <v>#N/A</v>
      </c>
      <c r="T20" t="e">
        <f t="shared" si="1"/>
        <v>#N/A</v>
      </c>
    </row>
    <row r="21" spans="1:20" x14ac:dyDescent="0.35">
      <c r="A21" s="9" t="s">
        <v>16</v>
      </c>
      <c r="B21" s="9" t="s">
        <v>17</v>
      </c>
      <c r="C21" s="9" t="s">
        <v>17</v>
      </c>
      <c r="D21" s="9" t="s">
        <v>18</v>
      </c>
      <c r="E21" s="9" t="s">
        <v>55</v>
      </c>
      <c r="F21" s="9" t="s">
        <v>27</v>
      </c>
      <c r="G21" s="9">
        <v>15</v>
      </c>
      <c r="H21" s="9">
        <v>15</v>
      </c>
      <c r="I21" s="9">
        <v>215670</v>
      </c>
      <c r="J21" s="6">
        <v>215670</v>
      </c>
      <c r="K21" s="9">
        <f t="shared" si="0"/>
        <v>0</v>
      </c>
      <c r="L21" s="9" t="s">
        <v>21</v>
      </c>
      <c r="M21" s="9"/>
      <c r="N21" s="9" t="s">
        <v>22</v>
      </c>
      <c r="O21" s="9" t="s">
        <v>23</v>
      </c>
      <c r="P21" s="9" t="s">
        <v>24</v>
      </c>
      <c r="Q21" s="9" t="s">
        <v>25</v>
      </c>
      <c r="R21">
        <f>VLOOKUP(E21,Workera!A$2:L$273,12,FALSE)</f>
        <v>215670</v>
      </c>
      <c r="S21">
        <f>VLOOKUP(E21,Planilla!A$2:L$273,12,FALSE)</f>
        <v>215670</v>
      </c>
      <c r="T21" t="str">
        <f t="shared" si="1"/>
        <v>OK</v>
      </c>
    </row>
    <row r="22" spans="1:20" x14ac:dyDescent="0.35">
      <c r="A22" s="9" t="s">
        <v>16</v>
      </c>
      <c r="B22" s="9" t="s">
        <v>17</v>
      </c>
      <c r="C22" s="9" t="s">
        <v>17</v>
      </c>
      <c r="D22" s="9" t="s">
        <v>18</v>
      </c>
      <c r="E22" s="9" t="s">
        <v>56</v>
      </c>
      <c r="F22" s="9" t="s">
        <v>27</v>
      </c>
      <c r="G22" s="9">
        <v>6</v>
      </c>
      <c r="H22" s="9">
        <v>6</v>
      </c>
      <c r="I22" s="9">
        <v>86268</v>
      </c>
      <c r="J22" s="6">
        <v>86268</v>
      </c>
      <c r="K22" s="9">
        <f t="shared" si="0"/>
        <v>0</v>
      </c>
      <c r="L22" s="9" t="s">
        <v>21</v>
      </c>
      <c r="M22" s="9"/>
      <c r="N22" s="9" t="s">
        <v>22</v>
      </c>
      <c r="O22" s="9" t="s">
        <v>23</v>
      </c>
      <c r="P22" s="9" t="s">
        <v>24</v>
      </c>
      <c r="Q22" s="9" t="s">
        <v>25</v>
      </c>
      <c r="R22">
        <f>VLOOKUP(E22,Workera!A$2:L$273,12,FALSE)</f>
        <v>86268</v>
      </c>
      <c r="S22">
        <f>VLOOKUP(E22,Planilla!A$2:L$273,12,FALSE)</f>
        <v>86268</v>
      </c>
      <c r="T22" t="str">
        <f t="shared" si="1"/>
        <v>OK</v>
      </c>
    </row>
    <row r="23" spans="1:20" x14ac:dyDescent="0.35">
      <c r="A23" s="9" t="s">
        <v>16</v>
      </c>
      <c r="B23" s="9" t="s">
        <v>17</v>
      </c>
      <c r="C23" s="9" t="s">
        <v>17</v>
      </c>
      <c r="D23" s="9" t="s">
        <v>18</v>
      </c>
      <c r="E23" s="9" t="s">
        <v>57</v>
      </c>
      <c r="F23" s="9" t="s">
        <v>35</v>
      </c>
      <c r="G23" s="9">
        <v>15</v>
      </c>
      <c r="H23" s="9">
        <v>15</v>
      </c>
      <c r="I23" s="9">
        <v>161752.5</v>
      </c>
      <c r="J23" s="6">
        <v>161752.5</v>
      </c>
      <c r="K23" s="9">
        <f t="shared" si="0"/>
        <v>0</v>
      </c>
      <c r="L23" s="9" t="s">
        <v>21</v>
      </c>
      <c r="M23" s="9"/>
      <c r="N23" s="9" t="s">
        <v>22</v>
      </c>
      <c r="O23" s="9" t="s">
        <v>23</v>
      </c>
      <c r="P23" s="9" t="s">
        <v>24</v>
      </c>
      <c r="Q23" s="9" t="s">
        <v>25</v>
      </c>
      <c r="R23">
        <f>VLOOKUP(E23,Workera!A$2:L$273,12,FALSE)</f>
        <v>161752.5</v>
      </c>
      <c r="S23">
        <f>VLOOKUP(E23,Planilla!A$2:L$273,12,FALSE)</f>
        <v>161752.5</v>
      </c>
      <c r="T23" t="str">
        <f t="shared" si="1"/>
        <v>OK</v>
      </c>
    </row>
    <row r="24" spans="1:20" x14ac:dyDescent="0.35">
      <c r="A24" s="9" t="s">
        <v>16</v>
      </c>
      <c r="B24" s="9" t="s">
        <v>17</v>
      </c>
      <c r="C24" s="9" t="s">
        <v>17</v>
      </c>
      <c r="D24" s="9" t="s">
        <v>18</v>
      </c>
      <c r="E24" s="9" t="s">
        <v>58</v>
      </c>
      <c r="F24" s="9" t="s">
        <v>35</v>
      </c>
      <c r="G24" s="9">
        <v>15</v>
      </c>
      <c r="H24" s="9">
        <v>15</v>
      </c>
      <c r="I24" s="9">
        <v>161752.5</v>
      </c>
      <c r="J24" s="6">
        <v>161752.5</v>
      </c>
      <c r="K24" s="9">
        <f t="shared" si="0"/>
        <v>0</v>
      </c>
      <c r="L24" s="9" t="s">
        <v>21</v>
      </c>
      <c r="M24" s="9"/>
      <c r="N24" s="9" t="s">
        <v>22</v>
      </c>
      <c r="O24" s="9" t="s">
        <v>23</v>
      </c>
      <c r="P24" s="9" t="s">
        <v>24</v>
      </c>
      <c r="Q24" s="9" t="s">
        <v>25</v>
      </c>
      <c r="R24">
        <f>VLOOKUP(E24,Workera!A$2:L$273,12,FALSE)</f>
        <v>150969</v>
      </c>
      <c r="S24">
        <f>VLOOKUP(E24,Planilla!A$2:L$273,12,FALSE)</f>
        <v>161752.5</v>
      </c>
      <c r="T24" t="str">
        <f t="shared" si="1"/>
        <v>OK</v>
      </c>
    </row>
    <row r="25" spans="1:20" x14ac:dyDescent="0.35">
      <c r="A25" s="9" t="s">
        <v>16</v>
      </c>
      <c r="B25" s="9" t="s">
        <v>17</v>
      </c>
      <c r="C25" s="9" t="s">
        <v>17</v>
      </c>
      <c r="D25" s="9" t="s">
        <v>18</v>
      </c>
      <c r="E25" s="9" t="s">
        <v>61</v>
      </c>
      <c r="F25" s="9" t="s">
        <v>20</v>
      </c>
      <c r="G25" s="9">
        <v>0</v>
      </c>
      <c r="H25" s="9">
        <v>0</v>
      </c>
      <c r="I25" s="9">
        <v>0</v>
      </c>
      <c r="J25" s="6">
        <v>0</v>
      </c>
      <c r="K25" s="9">
        <f t="shared" si="0"/>
        <v>0</v>
      </c>
      <c r="L25" s="9" t="s">
        <v>21</v>
      </c>
      <c r="M25" s="9"/>
      <c r="N25" s="9" t="s">
        <v>22</v>
      </c>
      <c r="O25" s="9" t="s">
        <v>23</v>
      </c>
      <c r="P25" s="9" t="s">
        <v>24</v>
      </c>
      <c r="Q25" s="9" t="s">
        <v>25</v>
      </c>
      <c r="R25">
        <f>VLOOKUP(E25,Workera!A$2:L$273,12,FALSE)</f>
        <v>0</v>
      </c>
      <c r="S25" t="e">
        <f>VLOOKUP(E25,Planilla!A$2:L$273,12,FALSE)</f>
        <v>#N/A</v>
      </c>
      <c r="T25" t="e">
        <f t="shared" si="1"/>
        <v>#N/A</v>
      </c>
    </row>
    <row r="26" spans="1:20" x14ac:dyDescent="0.35">
      <c r="A26" s="9" t="s">
        <v>16</v>
      </c>
      <c r="B26" s="9" t="s">
        <v>17</v>
      </c>
      <c r="C26" s="9" t="s">
        <v>17</v>
      </c>
      <c r="D26" s="9" t="s">
        <v>18</v>
      </c>
      <c r="E26" s="9" t="s">
        <v>63</v>
      </c>
      <c r="F26" s="9" t="s">
        <v>27</v>
      </c>
      <c r="G26" s="9">
        <v>16</v>
      </c>
      <c r="H26" s="9">
        <v>16</v>
      </c>
      <c r="I26" s="9">
        <v>230048</v>
      </c>
      <c r="J26" s="6">
        <v>230048</v>
      </c>
      <c r="K26" s="9">
        <f t="shared" si="0"/>
        <v>0</v>
      </c>
      <c r="L26" s="9" t="s">
        <v>21</v>
      </c>
      <c r="M26" s="9"/>
      <c r="N26" s="9" t="s">
        <v>22</v>
      </c>
      <c r="O26" s="9" t="s">
        <v>23</v>
      </c>
      <c r="P26" s="9" t="s">
        <v>24</v>
      </c>
      <c r="Q26" s="9" t="s">
        <v>25</v>
      </c>
      <c r="R26">
        <f>VLOOKUP(E26,Workera!A$2:L$273,12,FALSE)</f>
        <v>230048</v>
      </c>
      <c r="S26">
        <f>VLOOKUP(E26,Planilla!A$2:L$273,12,FALSE)</f>
        <v>230048</v>
      </c>
      <c r="T26" t="str">
        <f t="shared" si="1"/>
        <v>OK</v>
      </c>
    </row>
    <row r="27" spans="1:20" x14ac:dyDescent="0.35">
      <c r="A27" s="9" t="s">
        <v>16</v>
      </c>
      <c r="B27" s="9" t="s">
        <v>17</v>
      </c>
      <c r="C27" s="9" t="s">
        <v>17</v>
      </c>
      <c r="D27" s="9" t="s">
        <v>18</v>
      </c>
      <c r="E27" s="9" t="s">
        <v>64</v>
      </c>
      <c r="F27" s="9" t="s">
        <v>20</v>
      </c>
      <c r="G27" s="9">
        <v>15</v>
      </c>
      <c r="H27" s="9">
        <v>15</v>
      </c>
      <c r="I27" s="9">
        <v>1035</v>
      </c>
      <c r="J27" s="6">
        <v>1035</v>
      </c>
      <c r="K27" s="9">
        <f t="shared" si="0"/>
        <v>0</v>
      </c>
      <c r="L27" s="9" t="s">
        <v>21</v>
      </c>
      <c r="M27" s="9"/>
      <c r="N27" s="9" t="s">
        <v>22</v>
      </c>
      <c r="O27" s="9" t="s">
        <v>23</v>
      </c>
      <c r="P27" s="9" t="s">
        <v>24</v>
      </c>
      <c r="Q27" s="9" t="s">
        <v>25</v>
      </c>
      <c r="R27">
        <f>VLOOKUP(E27,Workera!A$2:L$273,12,FALSE)</f>
        <v>1035</v>
      </c>
      <c r="S27">
        <f>VLOOKUP(E27,Planilla!A$2:L$273,12,FALSE)</f>
        <v>1035</v>
      </c>
      <c r="T27" t="str">
        <f t="shared" si="1"/>
        <v>OK</v>
      </c>
    </row>
    <row r="28" spans="1:20" x14ac:dyDescent="0.35">
      <c r="A28" s="9" t="s">
        <v>16</v>
      </c>
      <c r="B28" s="9" t="s">
        <v>17</v>
      </c>
      <c r="C28" s="9" t="s">
        <v>17</v>
      </c>
      <c r="D28" s="9" t="s">
        <v>18</v>
      </c>
      <c r="E28" s="9" t="s">
        <v>65</v>
      </c>
      <c r="F28" s="9" t="s">
        <v>20</v>
      </c>
      <c r="G28" s="9">
        <v>2</v>
      </c>
      <c r="H28" s="9">
        <v>3</v>
      </c>
      <c r="I28" s="9">
        <v>1035</v>
      </c>
      <c r="J28" s="6">
        <v>1035</v>
      </c>
      <c r="K28" s="9">
        <f t="shared" si="0"/>
        <v>0</v>
      </c>
      <c r="L28" s="9" t="s">
        <v>21</v>
      </c>
      <c r="M28" s="9"/>
      <c r="N28" s="9" t="s">
        <v>22</v>
      </c>
      <c r="O28" s="9" t="s">
        <v>23</v>
      </c>
      <c r="P28" s="9" t="s">
        <v>24</v>
      </c>
      <c r="Q28" s="9" t="s">
        <v>25</v>
      </c>
      <c r="R28">
        <f>VLOOKUP(E28,Workera!A$2:L$273,12,FALSE)</f>
        <v>1035</v>
      </c>
      <c r="S28">
        <f>VLOOKUP(E28,Planilla!A$2:L$273,12,FALSE)</f>
        <v>1035</v>
      </c>
      <c r="T28" t="str">
        <f t="shared" si="1"/>
        <v>OK</v>
      </c>
    </row>
    <row r="29" spans="1:20" x14ac:dyDescent="0.35">
      <c r="A29" s="9" t="s">
        <v>16</v>
      </c>
      <c r="B29" s="9" t="s">
        <v>17</v>
      </c>
      <c r="C29" s="9" t="s">
        <v>17</v>
      </c>
      <c r="D29" s="9" t="s">
        <v>18</v>
      </c>
      <c r="E29" s="9" t="s">
        <v>66</v>
      </c>
      <c r="F29" s="9" t="s">
        <v>60</v>
      </c>
      <c r="G29" s="9">
        <v>15</v>
      </c>
      <c r="H29" s="9">
        <v>15</v>
      </c>
      <c r="I29" s="9">
        <v>161752.5</v>
      </c>
      <c r="J29" s="6">
        <v>161752.5</v>
      </c>
      <c r="K29" s="9">
        <f t="shared" si="0"/>
        <v>0</v>
      </c>
      <c r="L29" s="9" t="s">
        <v>21</v>
      </c>
      <c r="M29" s="9"/>
      <c r="N29" s="9" t="s">
        <v>22</v>
      </c>
      <c r="O29" s="9" t="s">
        <v>23</v>
      </c>
      <c r="P29" s="9" t="s">
        <v>24</v>
      </c>
      <c r="Q29" s="9" t="s">
        <v>25</v>
      </c>
      <c r="R29">
        <f>VLOOKUP(E29,Workera!A$2:L$273,12,FALSE)</f>
        <v>161752.5</v>
      </c>
      <c r="S29">
        <f>VLOOKUP(E29,Planilla!A$2:L$273,12,FALSE)</f>
        <v>161752.5</v>
      </c>
      <c r="T29" t="str">
        <f t="shared" si="1"/>
        <v>OK</v>
      </c>
    </row>
    <row r="30" spans="1:20" x14ac:dyDescent="0.35">
      <c r="A30" s="9" t="s">
        <v>16</v>
      </c>
      <c r="B30" s="9" t="s">
        <v>17</v>
      </c>
      <c r="C30" s="9" t="s">
        <v>17</v>
      </c>
      <c r="D30" s="9" t="s">
        <v>18</v>
      </c>
      <c r="E30" s="9" t="s">
        <v>67</v>
      </c>
      <c r="F30" s="9" t="s">
        <v>35</v>
      </c>
      <c r="G30" s="9">
        <v>15</v>
      </c>
      <c r="H30" s="9">
        <v>15</v>
      </c>
      <c r="I30" s="9">
        <v>161752.5</v>
      </c>
      <c r="J30" s="6">
        <v>161752.5</v>
      </c>
      <c r="K30" s="9">
        <f t="shared" si="0"/>
        <v>0</v>
      </c>
      <c r="L30" s="9" t="s">
        <v>21</v>
      </c>
      <c r="M30" s="9"/>
      <c r="N30" s="9" t="s">
        <v>22</v>
      </c>
      <c r="O30" s="9" t="s">
        <v>23</v>
      </c>
      <c r="P30" s="9" t="s">
        <v>24</v>
      </c>
      <c r="Q30" s="9" t="s">
        <v>25</v>
      </c>
      <c r="R30">
        <f>VLOOKUP(E30,Workera!A$2:L$273,12,FALSE)</f>
        <v>161752.5</v>
      </c>
      <c r="S30">
        <f>VLOOKUP(E30,Planilla!A$2:L$273,12,FALSE)</f>
        <v>161752.5</v>
      </c>
      <c r="T30" t="str">
        <f t="shared" si="1"/>
        <v>OK</v>
      </c>
    </row>
    <row r="31" spans="1:20" x14ac:dyDescent="0.35">
      <c r="A31" s="9" t="s">
        <v>16</v>
      </c>
      <c r="B31" s="9" t="s">
        <v>17</v>
      </c>
      <c r="C31" s="9" t="s">
        <v>17</v>
      </c>
      <c r="D31" s="9" t="s">
        <v>18</v>
      </c>
      <c r="E31" s="9" t="s">
        <v>68</v>
      </c>
      <c r="F31" s="9" t="s">
        <v>20</v>
      </c>
      <c r="G31" s="9">
        <v>14</v>
      </c>
      <c r="H31" s="9">
        <v>15</v>
      </c>
      <c r="I31" s="9">
        <v>322470</v>
      </c>
      <c r="J31" s="6">
        <v>322470</v>
      </c>
      <c r="K31" s="9">
        <f t="shared" si="0"/>
        <v>0</v>
      </c>
      <c r="L31" s="9" t="s">
        <v>21</v>
      </c>
      <c r="M31" s="9"/>
      <c r="N31" s="9" t="s">
        <v>22</v>
      </c>
      <c r="O31" s="9" t="s">
        <v>23</v>
      </c>
      <c r="P31" s="9" t="s">
        <v>24</v>
      </c>
      <c r="Q31" s="9" t="s">
        <v>25</v>
      </c>
      <c r="R31">
        <f>VLOOKUP(E31,Workera!A$2:L$273,12,FALSE)</f>
        <v>322470</v>
      </c>
      <c r="S31">
        <f>VLOOKUP(E31,Planilla!A$2:L$273,12,FALSE)</f>
        <v>322470</v>
      </c>
      <c r="T31" t="str">
        <f t="shared" si="1"/>
        <v>OK</v>
      </c>
    </row>
    <row r="32" spans="1:20" x14ac:dyDescent="0.35">
      <c r="A32" s="9" t="s">
        <v>16</v>
      </c>
      <c r="B32" s="9" t="s">
        <v>17</v>
      </c>
      <c r="C32" s="9" t="s">
        <v>17</v>
      </c>
      <c r="D32" s="9" t="s">
        <v>18</v>
      </c>
      <c r="E32" s="9" t="s">
        <v>69</v>
      </c>
      <c r="F32" s="9" t="s">
        <v>30</v>
      </c>
      <c r="G32" s="9">
        <v>0</v>
      </c>
      <c r="H32" s="9">
        <v>0</v>
      </c>
      <c r="I32" s="9">
        <v>0</v>
      </c>
      <c r="J32" s="6">
        <v>0</v>
      </c>
      <c r="K32" s="9">
        <f t="shared" si="0"/>
        <v>0</v>
      </c>
      <c r="L32" s="9" t="s">
        <v>21</v>
      </c>
      <c r="M32" s="9"/>
      <c r="N32" s="9" t="s">
        <v>22</v>
      </c>
      <c r="O32" s="9" t="s">
        <v>23</v>
      </c>
      <c r="P32" s="9" t="s">
        <v>24</v>
      </c>
      <c r="Q32" s="9" t="s">
        <v>25</v>
      </c>
      <c r="R32" t="e">
        <f>VLOOKUP(E32,Workera!A$2:L$273,12,FALSE)</f>
        <v>#N/A</v>
      </c>
      <c r="S32" t="e">
        <f>VLOOKUP(E32,Planilla!A$2:L$273,12,FALSE)</f>
        <v>#N/A</v>
      </c>
      <c r="T32" t="e">
        <f t="shared" si="1"/>
        <v>#N/A</v>
      </c>
    </row>
    <row r="33" spans="1:20" x14ac:dyDescent="0.35">
      <c r="A33" s="9" t="s">
        <v>16</v>
      </c>
      <c r="B33" s="9" t="s">
        <v>17</v>
      </c>
      <c r="C33" s="9" t="s">
        <v>17</v>
      </c>
      <c r="D33" s="9" t="s">
        <v>18</v>
      </c>
      <c r="E33" s="9" t="s">
        <v>70</v>
      </c>
      <c r="F33" s="9" t="s">
        <v>35</v>
      </c>
      <c r="G33" s="9">
        <v>1</v>
      </c>
      <c r="H33" s="9">
        <v>1</v>
      </c>
      <c r="I33" s="9">
        <v>10783.5</v>
      </c>
      <c r="J33" s="6">
        <v>10783.5</v>
      </c>
      <c r="K33" s="9">
        <f t="shared" si="0"/>
        <v>0</v>
      </c>
      <c r="L33" s="9" t="s">
        <v>21</v>
      </c>
      <c r="M33" s="9"/>
      <c r="N33" s="9" t="s">
        <v>22</v>
      </c>
      <c r="O33" s="9" t="s">
        <v>23</v>
      </c>
      <c r="P33" s="9" t="s">
        <v>24</v>
      </c>
      <c r="Q33" s="9" t="s">
        <v>25</v>
      </c>
      <c r="R33">
        <f>VLOOKUP(E33,Workera!A$2:L$273,12,FALSE)</f>
        <v>107835</v>
      </c>
      <c r="S33">
        <f>VLOOKUP(E33,Planilla!A$2:L$273,12,FALSE)</f>
        <v>32596.67</v>
      </c>
      <c r="T33" t="str">
        <f t="shared" si="1"/>
        <v>Wrong</v>
      </c>
    </row>
    <row r="34" spans="1:20" s="2" customFormat="1" x14ac:dyDescent="0.35">
      <c r="A34" s="10" t="s">
        <v>16</v>
      </c>
      <c r="B34" s="10" t="s">
        <v>17</v>
      </c>
      <c r="C34" s="10" t="s">
        <v>17</v>
      </c>
      <c r="D34" s="10" t="s">
        <v>18</v>
      </c>
      <c r="E34" s="10" t="s">
        <v>71</v>
      </c>
      <c r="F34" s="10" t="s">
        <v>28</v>
      </c>
      <c r="G34" s="10">
        <v>16</v>
      </c>
      <c r="H34" s="10">
        <v>0</v>
      </c>
      <c r="I34" s="10">
        <v>0</v>
      </c>
      <c r="J34" s="6">
        <v>0</v>
      </c>
      <c r="K34" s="9">
        <f t="shared" si="0"/>
        <v>0</v>
      </c>
      <c r="L34" s="10" t="s">
        <v>21</v>
      </c>
      <c r="M34" s="10" t="s">
        <v>267</v>
      </c>
      <c r="N34" s="10" t="s">
        <v>22</v>
      </c>
      <c r="O34" s="10" t="s">
        <v>23</v>
      </c>
      <c r="P34" s="10" t="s">
        <v>24</v>
      </c>
      <c r="Q34" s="10" t="s">
        <v>25</v>
      </c>
      <c r="R34">
        <f>VLOOKUP(E34,Workera!A$2:L$273,12,FALSE)</f>
        <v>0</v>
      </c>
      <c r="S34" t="e">
        <f>VLOOKUP(E34,Planilla!A$2:L$273,12,FALSE)</f>
        <v>#N/A</v>
      </c>
      <c r="T34" t="e">
        <f t="shared" si="1"/>
        <v>#N/A</v>
      </c>
    </row>
    <row r="35" spans="1:20" x14ac:dyDescent="0.35">
      <c r="A35" s="9" t="s">
        <v>16</v>
      </c>
      <c r="B35" s="9" t="s">
        <v>17</v>
      </c>
      <c r="C35" s="9" t="s">
        <v>17</v>
      </c>
      <c r="D35" s="9" t="s">
        <v>18</v>
      </c>
      <c r="E35" s="9" t="s">
        <v>72</v>
      </c>
      <c r="F35" s="9" t="s">
        <v>20</v>
      </c>
      <c r="G35" s="9">
        <v>0</v>
      </c>
      <c r="H35" s="9">
        <v>0</v>
      </c>
      <c r="I35" s="9">
        <v>0</v>
      </c>
      <c r="J35" s="6">
        <v>0</v>
      </c>
      <c r="K35" s="9">
        <f t="shared" si="0"/>
        <v>0</v>
      </c>
      <c r="L35" s="9" t="s">
        <v>21</v>
      </c>
      <c r="M35" s="9"/>
      <c r="N35" s="9" t="s">
        <v>22</v>
      </c>
      <c r="O35" s="9" t="s">
        <v>23</v>
      </c>
      <c r="P35" s="9" t="s">
        <v>24</v>
      </c>
      <c r="Q35" s="9" t="s">
        <v>25</v>
      </c>
      <c r="R35">
        <f>VLOOKUP(E35,Workera!A$2:L$273,12,FALSE)</f>
        <v>0</v>
      </c>
      <c r="S35" t="e">
        <f>VLOOKUP(E35,Planilla!A$2:L$273,12,FALSE)</f>
        <v>#N/A</v>
      </c>
      <c r="T35" t="e">
        <f t="shared" si="1"/>
        <v>#N/A</v>
      </c>
    </row>
    <row r="36" spans="1:20" x14ac:dyDescent="0.35">
      <c r="A36" s="9" t="s">
        <v>16</v>
      </c>
      <c r="B36" s="9" t="s">
        <v>17</v>
      </c>
      <c r="C36" s="9" t="s">
        <v>17</v>
      </c>
      <c r="D36" s="9" t="s">
        <v>18</v>
      </c>
      <c r="E36" s="9" t="s">
        <v>73</v>
      </c>
      <c r="F36" s="9" t="s">
        <v>74</v>
      </c>
      <c r="G36" s="9">
        <v>15</v>
      </c>
      <c r="H36" s="9">
        <v>15</v>
      </c>
      <c r="I36" s="9">
        <v>161752.5</v>
      </c>
      <c r="J36" s="6">
        <v>161752.5</v>
      </c>
      <c r="K36" s="9">
        <f t="shared" si="0"/>
        <v>0</v>
      </c>
      <c r="L36" s="9" t="s">
        <v>21</v>
      </c>
      <c r="M36" s="9"/>
      <c r="N36" s="9" t="s">
        <v>22</v>
      </c>
      <c r="O36" s="9" t="s">
        <v>23</v>
      </c>
      <c r="P36" s="9" t="s">
        <v>24</v>
      </c>
      <c r="Q36" s="9" t="s">
        <v>25</v>
      </c>
      <c r="R36">
        <f>VLOOKUP(E36,Workera!A$2:L$273,12,FALSE)</f>
        <v>161752.5</v>
      </c>
      <c r="S36">
        <f>VLOOKUP(E36,Planilla!A$2:L$273,12,FALSE)</f>
        <v>161752.5</v>
      </c>
      <c r="T36" t="str">
        <f t="shared" si="1"/>
        <v>OK</v>
      </c>
    </row>
    <row r="37" spans="1:20" x14ac:dyDescent="0.35">
      <c r="A37" s="9" t="s">
        <v>16</v>
      </c>
      <c r="B37" s="9" t="s">
        <v>17</v>
      </c>
      <c r="C37" s="9" t="s">
        <v>17</v>
      </c>
      <c r="D37" s="9" t="s">
        <v>18</v>
      </c>
      <c r="E37" s="9" t="s">
        <v>75</v>
      </c>
      <c r="F37" s="9" t="s">
        <v>20</v>
      </c>
      <c r="G37" s="9">
        <v>15</v>
      </c>
      <c r="H37" s="9">
        <v>15</v>
      </c>
      <c r="I37" s="9">
        <v>322470</v>
      </c>
      <c r="J37" s="6">
        <v>322470</v>
      </c>
      <c r="K37" s="9">
        <f t="shared" si="0"/>
        <v>0</v>
      </c>
      <c r="L37" s="9" t="s">
        <v>21</v>
      </c>
      <c r="M37" s="9"/>
      <c r="N37" s="9" t="s">
        <v>22</v>
      </c>
      <c r="O37" s="9" t="s">
        <v>23</v>
      </c>
      <c r="P37" s="9" t="s">
        <v>24</v>
      </c>
      <c r="Q37" s="9" t="s">
        <v>25</v>
      </c>
      <c r="R37">
        <f>VLOOKUP(E37,Workera!A$2:L$273,12,FALSE)</f>
        <v>322470</v>
      </c>
      <c r="S37">
        <f>VLOOKUP(E37,Planilla!A$2:L$273,12,FALSE)</f>
        <v>322470</v>
      </c>
      <c r="T37" t="str">
        <f t="shared" si="1"/>
        <v>OK</v>
      </c>
    </row>
    <row r="38" spans="1:20" s="2" customFormat="1" x14ac:dyDescent="0.35">
      <c r="A38" s="10" t="s">
        <v>16</v>
      </c>
      <c r="B38" s="10" t="s">
        <v>17</v>
      </c>
      <c r="C38" s="10" t="s">
        <v>17</v>
      </c>
      <c r="D38" s="10" t="s">
        <v>18</v>
      </c>
      <c r="E38" s="10" t="s">
        <v>76</v>
      </c>
      <c r="F38" s="10" t="s">
        <v>77</v>
      </c>
      <c r="G38" s="10">
        <v>18</v>
      </c>
      <c r="H38" s="10">
        <v>16</v>
      </c>
      <c r="I38" s="10">
        <v>258804</v>
      </c>
      <c r="J38" s="6">
        <v>230048</v>
      </c>
      <c r="K38" s="9">
        <f t="shared" si="0"/>
        <v>-28756</v>
      </c>
      <c r="L38" s="10" t="s">
        <v>21</v>
      </c>
      <c r="M38" s="10" t="s">
        <v>266</v>
      </c>
      <c r="N38" s="10" t="s">
        <v>22</v>
      </c>
      <c r="O38" s="10" t="s">
        <v>23</v>
      </c>
      <c r="P38" s="10" t="s">
        <v>24</v>
      </c>
      <c r="Q38" s="10" t="s">
        <v>25</v>
      </c>
      <c r="R38">
        <f>VLOOKUP(E38,Workera!A$2:L$273,12,FALSE)</f>
        <v>258804</v>
      </c>
      <c r="S38">
        <f>VLOOKUP(E38,Planilla!A$2:L$273,12,FALSE)</f>
        <v>230048</v>
      </c>
      <c r="T38" t="str">
        <f t="shared" si="1"/>
        <v>OK</v>
      </c>
    </row>
    <row r="39" spans="1:20" x14ac:dyDescent="0.35">
      <c r="A39" s="9" t="s">
        <v>16</v>
      </c>
      <c r="B39" s="9" t="s">
        <v>17</v>
      </c>
      <c r="C39" s="9" t="s">
        <v>17</v>
      </c>
      <c r="D39" s="9" t="s">
        <v>18</v>
      </c>
      <c r="E39" s="9" t="s">
        <v>78</v>
      </c>
      <c r="F39" s="9" t="s">
        <v>20</v>
      </c>
      <c r="G39" s="9">
        <v>14</v>
      </c>
      <c r="H39" s="9">
        <v>16</v>
      </c>
      <c r="I39" s="9">
        <v>322470</v>
      </c>
      <c r="J39" s="6">
        <v>322470</v>
      </c>
      <c r="K39" s="9">
        <f t="shared" si="0"/>
        <v>0</v>
      </c>
      <c r="L39" s="9" t="s">
        <v>21</v>
      </c>
      <c r="M39" s="9"/>
      <c r="N39" s="9" t="s">
        <v>22</v>
      </c>
      <c r="O39" s="9" t="s">
        <v>23</v>
      </c>
      <c r="P39" s="9" t="s">
        <v>24</v>
      </c>
      <c r="Q39" s="9" t="s">
        <v>25</v>
      </c>
      <c r="R39">
        <f>VLOOKUP(E39,Workera!A$2:L$273,12,FALSE)</f>
        <v>322470</v>
      </c>
      <c r="S39">
        <f>VLOOKUP(E39,Planilla!A$2:L$273,12,FALSE)</f>
        <v>322470</v>
      </c>
      <c r="T39" t="str">
        <f t="shared" si="1"/>
        <v>OK</v>
      </c>
    </row>
    <row r="40" spans="1:20" x14ac:dyDescent="0.35">
      <c r="A40" s="9" t="s">
        <v>16</v>
      </c>
      <c r="B40" s="9" t="s">
        <v>17</v>
      </c>
      <c r="C40" s="9" t="s">
        <v>17</v>
      </c>
      <c r="D40" s="9" t="s">
        <v>18</v>
      </c>
      <c r="E40" s="9" t="s">
        <v>79</v>
      </c>
      <c r="F40" s="9" t="s">
        <v>28</v>
      </c>
      <c r="G40" s="9">
        <v>0</v>
      </c>
      <c r="H40" s="9">
        <v>0</v>
      </c>
      <c r="I40" s="9">
        <v>0</v>
      </c>
      <c r="J40" s="6">
        <v>0</v>
      </c>
      <c r="K40" s="9">
        <f t="shared" si="0"/>
        <v>0</v>
      </c>
      <c r="L40" s="9" t="s">
        <v>21</v>
      </c>
      <c r="M40" s="9"/>
      <c r="N40" s="9" t="s">
        <v>22</v>
      </c>
      <c r="O40" s="9" t="s">
        <v>23</v>
      </c>
      <c r="P40" s="9" t="s">
        <v>24</v>
      </c>
      <c r="Q40" s="9" t="s">
        <v>25</v>
      </c>
      <c r="R40">
        <f>VLOOKUP(E40,Workera!A$2:L$273,12,FALSE)</f>
        <v>0</v>
      </c>
      <c r="S40">
        <f>VLOOKUP(E40,Planilla!A$2:L$273,12,FALSE)</f>
        <v>220777.5</v>
      </c>
      <c r="T40" t="str">
        <f t="shared" si="1"/>
        <v>Wrong</v>
      </c>
    </row>
    <row r="41" spans="1:20" x14ac:dyDescent="0.35">
      <c r="A41" s="9" t="s">
        <v>16</v>
      </c>
      <c r="B41" s="9" t="s">
        <v>17</v>
      </c>
      <c r="C41" s="9" t="s">
        <v>17</v>
      </c>
      <c r="D41" s="9" t="s">
        <v>18</v>
      </c>
      <c r="E41" s="9" t="s">
        <v>80</v>
      </c>
      <c r="F41" s="9" t="s">
        <v>20</v>
      </c>
      <c r="G41" s="9">
        <v>13</v>
      </c>
      <c r="H41" s="9">
        <v>15</v>
      </c>
      <c r="I41" s="9">
        <v>322470</v>
      </c>
      <c r="J41" s="6">
        <v>322470</v>
      </c>
      <c r="K41" s="9">
        <f t="shared" si="0"/>
        <v>0</v>
      </c>
      <c r="L41" s="9" t="s">
        <v>21</v>
      </c>
      <c r="M41" s="9"/>
      <c r="N41" s="9" t="s">
        <v>22</v>
      </c>
      <c r="O41" s="9" t="s">
        <v>23</v>
      </c>
      <c r="P41" s="9" t="s">
        <v>24</v>
      </c>
      <c r="Q41" s="9" t="s">
        <v>25</v>
      </c>
      <c r="R41">
        <f>VLOOKUP(E41,Workera!A$2:L$273,12,FALSE)</f>
        <v>322470</v>
      </c>
      <c r="S41">
        <f>VLOOKUP(E41,Planilla!A$2:L$273,12,FALSE)</f>
        <v>322470</v>
      </c>
      <c r="T41" t="str">
        <f t="shared" si="1"/>
        <v>OK</v>
      </c>
    </row>
    <row r="42" spans="1:20" x14ac:dyDescent="0.35">
      <c r="A42" s="9" t="s">
        <v>16</v>
      </c>
      <c r="B42" s="9" t="s">
        <v>17</v>
      </c>
      <c r="C42" s="9" t="s">
        <v>17</v>
      </c>
      <c r="D42" s="9" t="s">
        <v>18</v>
      </c>
      <c r="E42" s="9" t="s">
        <v>81</v>
      </c>
      <c r="F42" s="9" t="s">
        <v>45</v>
      </c>
      <c r="G42" s="9">
        <v>14</v>
      </c>
      <c r="H42" s="9">
        <v>14</v>
      </c>
      <c r="I42" s="9">
        <v>201292</v>
      </c>
      <c r="J42" s="6">
        <v>201292</v>
      </c>
      <c r="K42" s="9">
        <f t="shared" si="0"/>
        <v>0</v>
      </c>
      <c r="L42" s="9" t="s">
        <v>21</v>
      </c>
      <c r="M42" s="9"/>
      <c r="N42" s="9" t="s">
        <v>22</v>
      </c>
      <c r="O42" s="9" t="s">
        <v>23</v>
      </c>
      <c r="P42" s="9" t="s">
        <v>24</v>
      </c>
      <c r="Q42" s="9" t="s">
        <v>25</v>
      </c>
      <c r="R42">
        <f>VLOOKUP(E42,Workera!A$2:L$273,12,FALSE)</f>
        <v>201292</v>
      </c>
      <c r="S42">
        <f>VLOOKUP(E42,Planilla!A$2:L$273,12,FALSE)</f>
        <v>201292</v>
      </c>
      <c r="T42" t="str">
        <f t="shared" si="1"/>
        <v>OK</v>
      </c>
    </row>
    <row r="43" spans="1:20" x14ac:dyDescent="0.35">
      <c r="A43" s="9" t="s">
        <v>16</v>
      </c>
      <c r="B43" s="9" t="s">
        <v>17</v>
      </c>
      <c r="C43" s="9" t="s">
        <v>17</v>
      </c>
      <c r="D43" s="9" t="s">
        <v>18</v>
      </c>
      <c r="E43" s="9" t="s">
        <v>83</v>
      </c>
      <c r="F43" s="9" t="s">
        <v>30</v>
      </c>
      <c r="G43" s="9">
        <v>8</v>
      </c>
      <c r="H43" s="9">
        <v>8</v>
      </c>
      <c r="I43" s="9">
        <v>115024</v>
      </c>
      <c r="J43" s="6">
        <v>115024</v>
      </c>
      <c r="K43" s="9">
        <f t="shared" si="0"/>
        <v>0</v>
      </c>
      <c r="L43" s="9" t="s">
        <v>21</v>
      </c>
      <c r="M43" s="9"/>
      <c r="N43" s="9" t="s">
        <v>22</v>
      </c>
      <c r="O43" s="9" t="s">
        <v>23</v>
      </c>
      <c r="P43" s="9" t="s">
        <v>24</v>
      </c>
      <c r="Q43" s="9" t="s">
        <v>25</v>
      </c>
      <c r="R43">
        <f>VLOOKUP(E43,Workera!A$2:L$273,12,FALSE)</f>
        <v>258804</v>
      </c>
      <c r="S43">
        <f>VLOOKUP(E43,Planilla!A$2:L$273,12,FALSE)</f>
        <v>45703.33</v>
      </c>
      <c r="T43" t="str">
        <f t="shared" si="1"/>
        <v>Wrong</v>
      </c>
    </row>
    <row r="44" spans="1:20" x14ac:dyDescent="0.35">
      <c r="A44" s="9" t="s">
        <v>16</v>
      </c>
      <c r="B44" s="9" t="s">
        <v>17</v>
      </c>
      <c r="C44" s="9" t="s">
        <v>17</v>
      </c>
      <c r="D44" s="9" t="s">
        <v>18</v>
      </c>
      <c r="E44" s="9" t="s">
        <v>84</v>
      </c>
      <c r="F44" s="9" t="s">
        <v>74</v>
      </c>
      <c r="G44" s="9">
        <v>15</v>
      </c>
      <c r="H44" s="9">
        <v>15</v>
      </c>
      <c r="I44" s="9">
        <v>161752.5</v>
      </c>
      <c r="J44" s="6">
        <v>161752.5</v>
      </c>
      <c r="K44" s="9">
        <f t="shared" si="0"/>
        <v>0</v>
      </c>
      <c r="L44" s="9" t="s">
        <v>21</v>
      </c>
      <c r="M44" s="9"/>
      <c r="N44" s="9" t="s">
        <v>22</v>
      </c>
      <c r="O44" s="9" t="s">
        <v>23</v>
      </c>
      <c r="P44" s="9" t="s">
        <v>24</v>
      </c>
      <c r="Q44" s="9" t="s">
        <v>25</v>
      </c>
      <c r="R44">
        <f>VLOOKUP(E44,Workera!A$2:L$273,12,FALSE)</f>
        <v>161752.5</v>
      </c>
      <c r="S44">
        <f>VLOOKUP(E44,Planilla!A$2:L$273,12,FALSE)</f>
        <v>161752.5</v>
      </c>
      <c r="T44" t="str">
        <f t="shared" si="1"/>
        <v>OK</v>
      </c>
    </row>
    <row r="45" spans="1:20" x14ac:dyDescent="0.35">
      <c r="A45" s="9" t="s">
        <v>16</v>
      </c>
      <c r="B45" s="9" t="s">
        <v>17</v>
      </c>
      <c r="C45" s="9" t="s">
        <v>17</v>
      </c>
      <c r="D45" s="9" t="s">
        <v>18</v>
      </c>
      <c r="E45" s="9" t="s">
        <v>85</v>
      </c>
      <c r="F45" s="9" t="s">
        <v>20</v>
      </c>
      <c r="G45" s="9">
        <v>0</v>
      </c>
      <c r="H45" s="9">
        <v>0</v>
      </c>
      <c r="I45" s="9">
        <v>0</v>
      </c>
      <c r="J45" s="6">
        <v>0</v>
      </c>
      <c r="K45" s="9">
        <f t="shared" si="0"/>
        <v>0</v>
      </c>
      <c r="L45" s="9" t="s">
        <v>21</v>
      </c>
      <c r="M45" s="9"/>
      <c r="N45" s="9" t="s">
        <v>22</v>
      </c>
      <c r="O45" s="9" t="s">
        <v>23</v>
      </c>
      <c r="P45" s="9" t="s">
        <v>24</v>
      </c>
      <c r="Q45" s="9" t="s">
        <v>25</v>
      </c>
      <c r="R45">
        <f>VLOOKUP(E45,Workera!A$2:L$273,12,FALSE)</f>
        <v>0</v>
      </c>
      <c r="S45" t="e">
        <f>VLOOKUP(E45,Planilla!A$2:L$273,12,FALSE)</f>
        <v>#N/A</v>
      </c>
      <c r="T45" t="e">
        <f t="shared" si="1"/>
        <v>#N/A</v>
      </c>
    </row>
    <row r="46" spans="1:20" x14ac:dyDescent="0.35">
      <c r="A46" s="9" t="s">
        <v>16</v>
      </c>
      <c r="B46" s="9" t="s">
        <v>17</v>
      </c>
      <c r="C46" s="9" t="s">
        <v>17</v>
      </c>
      <c r="D46" s="9" t="s">
        <v>18</v>
      </c>
      <c r="E46" s="9" t="s">
        <v>86</v>
      </c>
      <c r="F46" s="9" t="s">
        <v>45</v>
      </c>
      <c r="G46" s="9">
        <v>0</v>
      </c>
      <c r="H46" s="9">
        <v>0</v>
      </c>
      <c r="I46" s="9">
        <v>0</v>
      </c>
      <c r="J46" s="6">
        <v>0</v>
      </c>
      <c r="K46" s="9">
        <f t="shared" si="0"/>
        <v>0</v>
      </c>
      <c r="L46" s="9" t="s">
        <v>21</v>
      </c>
      <c r="M46" s="9"/>
      <c r="N46" s="9" t="s">
        <v>22</v>
      </c>
      <c r="O46" s="9" t="s">
        <v>23</v>
      </c>
      <c r="P46" s="9" t="s">
        <v>24</v>
      </c>
      <c r="Q46" s="9" t="s">
        <v>25</v>
      </c>
      <c r="R46">
        <f>VLOOKUP(E46,Workera!A$2:L$273,12,FALSE)</f>
        <v>0</v>
      </c>
      <c r="S46" t="e">
        <f>VLOOKUP(E46,Planilla!A$2:L$273,12,FALSE)</f>
        <v>#N/A</v>
      </c>
      <c r="T46" t="e">
        <f t="shared" si="1"/>
        <v>#N/A</v>
      </c>
    </row>
    <row r="47" spans="1:20" x14ac:dyDescent="0.35">
      <c r="A47" s="9" t="s">
        <v>16</v>
      </c>
      <c r="B47" s="9" t="s">
        <v>17</v>
      </c>
      <c r="C47" s="9" t="s">
        <v>17</v>
      </c>
      <c r="D47" s="9" t="s">
        <v>18</v>
      </c>
      <c r="E47" s="9" t="s">
        <v>87</v>
      </c>
      <c r="F47" s="9" t="s">
        <v>88</v>
      </c>
      <c r="G47" s="9">
        <v>10</v>
      </c>
      <c r="H47" s="9">
        <v>10</v>
      </c>
      <c r="I47" s="9">
        <v>107835</v>
      </c>
      <c r="J47" s="6">
        <v>107835</v>
      </c>
      <c r="K47" s="9">
        <f t="shared" si="0"/>
        <v>0</v>
      </c>
      <c r="L47" s="9" t="s">
        <v>21</v>
      </c>
      <c r="M47" s="9"/>
      <c r="N47" s="9" t="s">
        <v>22</v>
      </c>
      <c r="O47" s="9" t="s">
        <v>23</v>
      </c>
      <c r="P47" s="9" t="s">
        <v>24</v>
      </c>
      <c r="Q47" s="9" t="s">
        <v>25</v>
      </c>
      <c r="R47">
        <f>VLOOKUP(E47,Workera!A$2:L$273,12,FALSE)</f>
        <v>97051.5</v>
      </c>
      <c r="S47">
        <f>VLOOKUP(E47,Planilla!A$2:L$273,12,FALSE)</f>
        <v>107835</v>
      </c>
      <c r="T47" t="str">
        <f t="shared" si="1"/>
        <v>OK</v>
      </c>
    </row>
    <row r="48" spans="1:20" x14ac:dyDescent="0.35">
      <c r="A48" s="9" t="s">
        <v>16</v>
      </c>
      <c r="B48" s="9" t="s">
        <v>17</v>
      </c>
      <c r="C48" s="9" t="s">
        <v>17</v>
      </c>
      <c r="D48" s="9" t="s">
        <v>18</v>
      </c>
      <c r="E48" s="9" t="s">
        <v>89</v>
      </c>
      <c r="F48" s="9" t="s">
        <v>35</v>
      </c>
      <c r="G48" s="9">
        <v>0</v>
      </c>
      <c r="H48" s="9">
        <v>0</v>
      </c>
      <c r="I48" s="9">
        <v>0</v>
      </c>
      <c r="J48" s="6">
        <v>0</v>
      </c>
      <c r="K48" s="9">
        <f t="shared" si="0"/>
        <v>0</v>
      </c>
      <c r="L48" s="9" t="s">
        <v>21</v>
      </c>
      <c r="M48" s="9"/>
      <c r="N48" s="9" t="s">
        <v>22</v>
      </c>
      <c r="O48" s="9" t="s">
        <v>23</v>
      </c>
      <c r="P48" s="9" t="s">
        <v>24</v>
      </c>
      <c r="Q48" s="9" t="s">
        <v>25</v>
      </c>
      <c r="R48">
        <f>VLOOKUP(E48,Workera!A$2:L$273,12,FALSE)</f>
        <v>0</v>
      </c>
      <c r="S48" t="e">
        <f>VLOOKUP(E48,Planilla!A$2:L$273,12,FALSE)</f>
        <v>#N/A</v>
      </c>
      <c r="T48" t="e">
        <f t="shared" si="1"/>
        <v>#N/A</v>
      </c>
    </row>
    <row r="49" spans="1:20" x14ac:dyDescent="0.35">
      <c r="A49" s="9" t="s">
        <v>16</v>
      </c>
      <c r="B49" s="9" t="s">
        <v>17</v>
      </c>
      <c r="C49" s="9" t="s">
        <v>17</v>
      </c>
      <c r="D49" s="9" t="s">
        <v>18</v>
      </c>
      <c r="E49" s="9" t="s">
        <v>91</v>
      </c>
      <c r="F49" s="9" t="s">
        <v>20</v>
      </c>
      <c r="G49" s="9">
        <v>0</v>
      </c>
      <c r="H49" s="9">
        <v>0</v>
      </c>
      <c r="I49" s="9">
        <v>0</v>
      </c>
      <c r="J49" s="6">
        <v>0</v>
      </c>
      <c r="K49" s="9">
        <f t="shared" si="0"/>
        <v>0</v>
      </c>
      <c r="L49" s="9" t="s">
        <v>21</v>
      </c>
      <c r="M49" s="9"/>
      <c r="N49" s="9" t="s">
        <v>22</v>
      </c>
      <c r="O49" s="9" t="s">
        <v>23</v>
      </c>
      <c r="P49" s="9" t="s">
        <v>24</v>
      </c>
      <c r="Q49" s="9" t="s">
        <v>25</v>
      </c>
      <c r="R49">
        <f>VLOOKUP(E49,Workera!A$2:L$273,12,FALSE)</f>
        <v>0</v>
      </c>
      <c r="S49" t="e">
        <f>VLOOKUP(E49,Planilla!A$2:L$273,12,FALSE)</f>
        <v>#N/A</v>
      </c>
      <c r="T49" t="e">
        <f t="shared" si="1"/>
        <v>#N/A</v>
      </c>
    </row>
    <row r="50" spans="1:20" x14ac:dyDescent="0.35">
      <c r="A50" s="9" t="s">
        <v>16</v>
      </c>
      <c r="B50" s="9" t="s">
        <v>17</v>
      </c>
      <c r="C50" s="9" t="s">
        <v>17</v>
      </c>
      <c r="D50" s="9" t="s">
        <v>18</v>
      </c>
      <c r="E50" s="9" t="s">
        <v>92</v>
      </c>
      <c r="F50" s="9" t="s">
        <v>35</v>
      </c>
      <c r="G50" s="9">
        <v>15</v>
      </c>
      <c r="H50" s="9">
        <v>15</v>
      </c>
      <c r="I50" s="9">
        <v>161752.5</v>
      </c>
      <c r="J50" s="6">
        <v>161752.5</v>
      </c>
      <c r="K50" s="9">
        <f t="shared" si="0"/>
        <v>0</v>
      </c>
      <c r="L50" s="9" t="s">
        <v>21</v>
      </c>
      <c r="M50" s="9"/>
      <c r="N50" s="9" t="s">
        <v>22</v>
      </c>
      <c r="O50" s="9" t="s">
        <v>23</v>
      </c>
      <c r="P50" s="9" t="s">
        <v>24</v>
      </c>
      <c r="Q50" s="9" t="s">
        <v>25</v>
      </c>
      <c r="R50">
        <f>VLOOKUP(E50,Workera!A$2:L$273,12,FALSE)</f>
        <v>161752.5</v>
      </c>
      <c r="S50">
        <f>VLOOKUP(E50,Planilla!A$2:L$273,12,FALSE)</f>
        <v>161752.5</v>
      </c>
      <c r="T50" t="str">
        <f t="shared" si="1"/>
        <v>OK</v>
      </c>
    </row>
    <row r="51" spans="1:20" x14ac:dyDescent="0.35">
      <c r="A51" s="9" t="s">
        <v>16</v>
      </c>
      <c r="B51" s="9" t="s">
        <v>17</v>
      </c>
      <c r="C51" s="9" t="s">
        <v>17</v>
      </c>
      <c r="D51" s="9" t="s">
        <v>18</v>
      </c>
      <c r="E51" s="9" t="s">
        <v>93</v>
      </c>
      <c r="F51" s="9" t="s">
        <v>20</v>
      </c>
      <c r="G51" s="9">
        <v>0</v>
      </c>
      <c r="H51" s="9">
        <v>0</v>
      </c>
      <c r="I51" s="9">
        <v>0</v>
      </c>
      <c r="J51" s="6">
        <v>0</v>
      </c>
      <c r="K51" s="9">
        <f t="shared" si="0"/>
        <v>0</v>
      </c>
      <c r="L51" s="9" t="s">
        <v>21</v>
      </c>
      <c r="M51" s="9"/>
      <c r="N51" s="9" t="s">
        <v>22</v>
      </c>
      <c r="O51" s="9" t="s">
        <v>23</v>
      </c>
      <c r="P51" s="9" t="s">
        <v>24</v>
      </c>
      <c r="Q51" s="9" t="s">
        <v>25</v>
      </c>
      <c r="R51">
        <f>VLOOKUP(E51,Workera!A$2:L$273,12,FALSE)</f>
        <v>0</v>
      </c>
      <c r="S51" t="e">
        <f>VLOOKUP(E51,Planilla!A$2:L$273,12,FALSE)</f>
        <v>#N/A</v>
      </c>
      <c r="T51" t="e">
        <f t="shared" si="1"/>
        <v>#N/A</v>
      </c>
    </row>
    <row r="52" spans="1:20" x14ac:dyDescent="0.35">
      <c r="A52" s="9" t="s">
        <v>16</v>
      </c>
      <c r="B52" s="9" t="s">
        <v>17</v>
      </c>
      <c r="C52" s="9" t="s">
        <v>17</v>
      </c>
      <c r="D52" s="9" t="s">
        <v>18</v>
      </c>
      <c r="E52" s="9" t="s">
        <v>94</v>
      </c>
      <c r="F52" s="9" t="s">
        <v>20</v>
      </c>
      <c r="G52" s="9">
        <v>13</v>
      </c>
      <c r="H52" s="9">
        <v>15</v>
      </c>
      <c r="I52" s="9">
        <v>1035</v>
      </c>
      <c r="J52" s="6">
        <v>1035</v>
      </c>
      <c r="K52" s="9">
        <f t="shared" si="0"/>
        <v>0</v>
      </c>
      <c r="L52" s="9" t="s">
        <v>21</v>
      </c>
      <c r="M52" s="9"/>
      <c r="N52" s="9" t="s">
        <v>22</v>
      </c>
      <c r="O52" s="9" t="s">
        <v>23</v>
      </c>
      <c r="P52" s="9" t="s">
        <v>24</v>
      </c>
      <c r="Q52" s="9" t="s">
        <v>25</v>
      </c>
      <c r="R52">
        <f>VLOOKUP(E52,Workera!A$2:L$273,12,FALSE)</f>
        <v>1035</v>
      </c>
      <c r="S52">
        <f>VLOOKUP(E52,Planilla!A$2:L$273,12,FALSE)</f>
        <v>1035</v>
      </c>
      <c r="T52" t="str">
        <f t="shared" si="1"/>
        <v>OK</v>
      </c>
    </row>
    <row r="53" spans="1:20" x14ac:dyDescent="0.35">
      <c r="A53" s="9" t="s">
        <v>16</v>
      </c>
      <c r="B53" s="9" t="s">
        <v>17</v>
      </c>
      <c r="C53" s="9" t="s">
        <v>17</v>
      </c>
      <c r="D53" s="9" t="s">
        <v>18</v>
      </c>
      <c r="E53" s="9" t="s">
        <v>95</v>
      </c>
      <c r="F53" s="9" t="s">
        <v>88</v>
      </c>
      <c r="G53" s="9">
        <v>16</v>
      </c>
      <c r="H53" s="9">
        <v>16</v>
      </c>
      <c r="I53" s="9">
        <v>172536</v>
      </c>
      <c r="J53" s="6">
        <v>172536</v>
      </c>
      <c r="K53" s="9">
        <f t="shared" si="0"/>
        <v>0</v>
      </c>
      <c r="L53" s="9" t="s">
        <v>21</v>
      </c>
      <c r="M53" s="9"/>
      <c r="N53" s="9" t="s">
        <v>22</v>
      </c>
      <c r="O53" s="9" t="s">
        <v>23</v>
      </c>
      <c r="P53" s="9" t="s">
        <v>24</v>
      </c>
      <c r="Q53" s="9" t="s">
        <v>25</v>
      </c>
      <c r="R53">
        <f>VLOOKUP(E53,Workera!A$2:L$273,12,FALSE)</f>
        <v>194103</v>
      </c>
      <c r="S53">
        <f>VLOOKUP(E53,Planilla!A$2:L$273,12,FALSE)</f>
        <v>172536</v>
      </c>
      <c r="T53" t="str">
        <f t="shared" si="1"/>
        <v>OK</v>
      </c>
    </row>
    <row r="54" spans="1:20" x14ac:dyDescent="0.35">
      <c r="A54" s="9" t="s">
        <v>16</v>
      </c>
      <c r="B54" s="9" t="s">
        <v>17</v>
      </c>
      <c r="C54" s="9" t="s">
        <v>17</v>
      </c>
      <c r="D54" s="9" t="s">
        <v>18</v>
      </c>
      <c r="E54" s="9" t="s">
        <v>96</v>
      </c>
      <c r="F54" s="9" t="s">
        <v>60</v>
      </c>
      <c r="G54" s="9">
        <v>15</v>
      </c>
      <c r="H54" s="9">
        <v>15</v>
      </c>
      <c r="I54" s="9">
        <v>161752.5</v>
      </c>
      <c r="J54" s="6">
        <v>161752.5</v>
      </c>
      <c r="K54" s="9">
        <f t="shared" si="0"/>
        <v>0</v>
      </c>
      <c r="L54" s="9" t="s">
        <v>21</v>
      </c>
      <c r="M54" s="9"/>
      <c r="N54" s="9" t="s">
        <v>22</v>
      </c>
      <c r="O54" s="9" t="s">
        <v>23</v>
      </c>
      <c r="P54" s="9" t="s">
        <v>24</v>
      </c>
      <c r="Q54" s="9" t="s">
        <v>25</v>
      </c>
      <c r="R54" t="e">
        <f>VLOOKUP(E54,Workera!A$2:L$273,12,FALSE)</f>
        <v>#N/A</v>
      </c>
      <c r="S54" t="e">
        <f>VLOOKUP(E54,Planilla!A$2:L$273,12,FALSE)</f>
        <v>#N/A</v>
      </c>
      <c r="T54" t="e">
        <f t="shared" si="1"/>
        <v>#N/A</v>
      </c>
    </row>
    <row r="55" spans="1:20" x14ac:dyDescent="0.35">
      <c r="A55" s="9" t="s">
        <v>16</v>
      </c>
      <c r="B55" s="9" t="s">
        <v>17</v>
      </c>
      <c r="C55" s="9" t="s">
        <v>17</v>
      </c>
      <c r="D55" s="9" t="s">
        <v>18</v>
      </c>
      <c r="E55" s="9" t="s">
        <v>97</v>
      </c>
      <c r="F55" s="9" t="s">
        <v>74</v>
      </c>
      <c r="G55" s="9">
        <v>15</v>
      </c>
      <c r="H55" s="9">
        <v>15</v>
      </c>
      <c r="I55" s="9">
        <v>161752.5</v>
      </c>
      <c r="J55" s="6">
        <v>161752.5</v>
      </c>
      <c r="K55" s="9">
        <f t="shared" si="0"/>
        <v>0</v>
      </c>
      <c r="L55" s="9" t="s">
        <v>21</v>
      </c>
      <c r="M55" s="9"/>
      <c r="N55" s="9" t="s">
        <v>22</v>
      </c>
      <c r="O55" s="9" t="s">
        <v>23</v>
      </c>
      <c r="P55" s="9" t="s">
        <v>24</v>
      </c>
      <c r="Q55" s="9" t="s">
        <v>25</v>
      </c>
      <c r="R55">
        <f>VLOOKUP(E55,Workera!A$2:L$273,12,FALSE)</f>
        <v>161752.5</v>
      </c>
      <c r="S55">
        <f>VLOOKUP(E55,Planilla!A$2:L$273,12,FALSE)</f>
        <v>161752.5</v>
      </c>
      <c r="T55" t="str">
        <f t="shared" si="1"/>
        <v>OK</v>
      </c>
    </row>
    <row r="56" spans="1:20" x14ac:dyDescent="0.35">
      <c r="A56" s="9" t="s">
        <v>16</v>
      </c>
      <c r="B56" s="9" t="s">
        <v>17</v>
      </c>
      <c r="C56" s="9" t="s">
        <v>17</v>
      </c>
      <c r="D56" s="9" t="s">
        <v>18</v>
      </c>
      <c r="E56" s="9" t="s">
        <v>98</v>
      </c>
      <c r="F56" s="9" t="s">
        <v>27</v>
      </c>
      <c r="G56" s="9">
        <v>15</v>
      </c>
      <c r="H56" s="9">
        <v>15</v>
      </c>
      <c r="I56" s="9">
        <v>215670</v>
      </c>
      <c r="J56" s="6">
        <v>215670</v>
      </c>
      <c r="K56" s="9">
        <f t="shared" si="0"/>
        <v>0</v>
      </c>
      <c r="L56" s="9" t="s">
        <v>21</v>
      </c>
      <c r="M56" s="9"/>
      <c r="N56" s="9" t="s">
        <v>22</v>
      </c>
      <c r="O56" s="9" t="s">
        <v>23</v>
      </c>
      <c r="P56" s="9" t="s">
        <v>24</v>
      </c>
      <c r="Q56" s="9" t="s">
        <v>25</v>
      </c>
      <c r="R56">
        <f>VLOOKUP(E56,Workera!A$2:L$273,12,FALSE)</f>
        <v>201292</v>
      </c>
      <c r="S56">
        <f>VLOOKUP(E56,Planilla!A$2:L$273,12,FALSE)</f>
        <v>215670</v>
      </c>
      <c r="T56" t="str">
        <f t="shared" si="1"/>
        <v>OK</v>
      </c>
    </row>
    <row r="57" spans="1:20" x14ac:dyDescent="0.35">
      <c r="A57" s="9" t="s">
        <v>16</v>
      </c>
      <c r="B57" s="9" t="s">
        <v>17</v>
      </c>
      <c r="C57" s="9" t="s">
        <v>17</v>
      </c>
      <c r="D57" s="9" t="s">
        <v>18</v>
      </c>
      <c r="E57" s="9" t="s">
        <v>99</v>
      </c>
      <c r="F57" s="9" t="s">
        <v>35</v>
      </c>
      <c r="G57" s="9">
        <v>15</v>
      </c>
      <c r="H57" s="9">
        <v>15</v>
      </c>
      <c r="I57" s="9">
        <v>161752.5</v>
      </c>
      <c r="J57" s="6">
        <v>161752.5</v>
      </c>
      <c r="K57" s="9">
        <f t="shared" si="0"/>
        <v>0</v>
      </c>
      <c r="L57" s="9" t="s">
        <v>21</v>
      </c>
      <c r="M57" s="9"/>
      <c r="N57" s="9" t="s">
        <v>22</v>
      </c>
      <c r="O57" s="9" t="s">
        <v>23</v>
      </c>
      <c r="P57" s="9" t="s">
        <v>24</v>
      </c>
      <c r="Q57" s="9" t="s">
        <v>25</v>
      </c>
      <c r="R57" t="e">
        <f>VLOOKUP(E57,Workera!A$2:L$273,12,FALSE)</f>
        <v>#N/A</v>
      </c>
      <c r="S57" t="e">
        <f>VLOOKUP(E57,Planilla!A$2:L$273,12,FALSE)</f>
        <v>#N/A</v>
      </c>
      <c r="T57" t="e">
        <f t="shared" si="1"/>
        <v>#N/A</v>
      </c>
    </row>
    <row r="58" spans="1:20" x14ac:dyDescent="0.35">
      <c r="A58" s="9" t="s">
        <v>16</v>
      </c>
      <c r="B58" s="9" t="s">
        <v>17</v>
      </c>
      <c r="C58" s="9" t="s">
        <v>17</v>
      </c>
      <c r="D58" s="9" t="s">
        <v>18</v>
      </c>
      <c r="E58" s="9" t="s">
        <v>100</v>
      </c>
      <c r="F58" s="9" t="s">
        <v>53</v>
      </c>
      <c r="G58" s="9">
        <v>14</v>
      </c>
      <c r="H58" s="9">
        <v>14</v>
      </c>
      <c r="I58" s="9">
        <v>150969</v>
      </c>
      <c r="J58" s="6">
        <v>150969</v>
      </c>
      <c r="K58" s="9">
        <f t="shared" si="0"/>
        <v>0</v>
      </c>
      <c r="L58" s="9" t="s">
        <v>21</v>
      </c>
      <c r="M58" s="9"/>
      <c r="N58" s="9" t="s">
        <v>22</v>
      </c>
      <c r="O58" s="9" t="s">
        <v>23</v>
      </c>
      <c r="P58" s="9" t="s">
        <v>24</v>
      </c>
      <c r="Q58" s="9" t="s">
        <v>25</v>
      </c>
      <c r="R58">
        <f>VLOOKUP(E58,Workera!A$2:L$273,12,FALSE)</f>
        <v>150969</v>
      </c>
      <c r="S58">
        <f>VLOOKUP(E58,Planilla!A$2:L$273,12,FALSE)</f>
        <v>150969</v>
      </c>
      <c r="T58" t="str">
        <f t="shared" si="1"/>
        <v>OK</v>
      </c>
    </row>
    <row r="59" spans="1:20" x14ac:dyDescent="0.35">
      <c r="A59" s="9" t="s">
        <v>16</v>
      </c>
      <c r="B59" s="9" t="s">
        <v>17</v>
      </c>
      <c r="C59" s="9" t="s">
        <v>17</v>
      </c>
      <c r="D59" s="9" t="s">
        <v>18</v>
      </c>
      <c r="E59" s="9" t="s">
        <v>101</v>
      </c>
      <c r="F59" s="9" t="s">
        <v>74</v>
      </c>
      <c r="G59" s="9">
        <v>15</v>
      </c>
      <c r="H59" s="9">
        <v>15</v>
      </c>
      <c r="I59" s="9">
        <v>161752.5</v>
      </c>
      <c r="J59" s="6">
        <v>161752.5</v>
      </c>
      <c r="K59" s="9">
        <f t="shared" si="0"/>
        <v>0</v>
      </c>
      <c r="L59" s="9" t="s">
        <v>21</v>
      </c>
      <c r="M59" s="9"/>
      <c r="N59" s="9" t="s">
        <v>22</v>
      </c>
      <c r="O59" s="9" t="s">
        <v>23</v>
      </c>
      <c r="P59" s="9" t="s">
        <v>24</v>
      </c>
      <c r="Q59" s="9" t="s">
        <v>25</v>
      </c>
      <c r="R59">
        <f>VLOOKUP(E59,Workera!A$2:L$273,12,FALSE)</f>
        <v>150969</v>
      </c>
      <c r="S59">
        <f>VLOOKUP(E59,Planilla!A$2:L$273,12,FALSE)</f>
        <v>161752.5</v>
      </c>
      <c r="T59" t="str">
        <f t="shared" si="1"/>
        <v>OK</v>
      </c>
    </row>
    <row r="60" spans="1:20" x14ac:dyDescent="0.35">
      <c r="A60" s="9" t="s">
        <v>16</v>
      </c>
      <c r="B60" s="9" t="s">
        <v>17</v>
      </c>
      <c r="C60" s="9" t="s">
        <v>17</v>
      </c>
      <c r="D60" s="9" t="s">
        <v>18</v>
      </c>
      <c r="E60" s="9" t="s">
        <v>103</v>
      </c>
      <c r="F60" s="9" t="s">
        <v>33</v>
      </c>
      <c r="G60" s="9">
        <v>15</v>
      </c>
      <c r="H60" s="9">
        <v>15</v>
      </c>
      <c r="I60" s="9">
        <v>161752.5</v>
      </c>
      <c r="J60" s="6">
        <v>161752.5</v>
      </c>
      <c r="K60" s="9">
        <f t="shared" si="0"/>
        <v>0</v>
      </c>
      <c r="L60" s="9" t="s">
        <v>21</v>
      </c>
      <c r="M60" s="9"/>
      <c r="N60" s="9" t="s">
        <v>22</v>
      </c>
      <c r="O60" s="9" t="s">
        <v>23</v>
      </c>
      <c r="P60" s="9" t="s">
        <v>24</v>
      </c>
      <c r="Q60" s="9" t="s">
        <v>25</v>
      </c>
      <c r="R60">
        <f>VLOOKUP(E60,Workera!A$2:L$273,12,FALSE)</f>
        <v>161752.5</v>
      </c>
      <c r="S60">
        <f>VLOOKUP(E60,Planilla!A$2:L$273,12,FALSE)</f>
        <v>161752.5</v>
      </c>
      <c r="T60" t="str">
        <f t="shared" si="1"/>
        <v>OK</v>
      </c>
    </row>
    <row r="61" spans="1:20" x14ac:dyDescent="0.35">
      <c r="A61" s="9" t="s">
        <v>16</v>
      </c>
      <c r="B61" s="9" t="s">
        <v>17</v>
      </c>
      <c r="C61" s="9" t="s">
        <v>17</v>
      </c>
      <c r="D61" s="9" t="s">
        <v>18</v>
      </c>
      <c r="E61" s="9" t="s">
        <v>104</v>
      </c>
      <c r="F61" s="9" t="s">
        <v>20</v>
      </c>
      <c r="G61" s="9">
        <v>15</v>
      </c>
      <c r="H61" s="9">
        <v>15</v>
      </c>
      <c r="I61" s="9">
        <v>1035</v>
      </c>
      <c r="J61" s="6">
        <v>1035</v>
      </c>
      <c r="K61" s="9">
        <f t="shared" si="0"/>
        <v>0</v>
      </c>
      <c r="L61" s="9" t="s">
        <v>21</v>
      </c>
      <c r="M61" s="9"/>
      <c r="N61" s="9" t="s">
        <v>22</v>
      </c>
      <c r="O61" s="9" t="s">
        <v>23</v>
      </c>
      <c r="P61" s="9" t="s">
        <v>24</v>
      </c>
      <c r="Q61" s="9" t="s">
        <v>25</v>
      </c>
      <c r="R61">
        <f>VLOOKUP(E61,Workera!A$2:L$273,12,FALSE)</f>
        <v>1035</v>
      </c>
      <c r="S61">
        <f>VLOOKUP(E61,Planilla!A$2:L$273,12,FALSE)</f>
        <v>1035</v>
      </c>
      <c r="T61" t="str">
        <f t="shared" si="1"/>
        <v>OK</v>
      </c>
    </row>
    <row r="62" spans="1:20" x14ac:dyDescent="0.35">
      <c r="A62" s="9" t="s">
        <v>105</v>
      </c>
      <c r="B62" s="9" t="s">
        <v>106</v>
      </c>
      <c r="C62" s="9" t="s">
        <v>106</v>
      </c>
      <c r="D62" s="9" t="s">
        <v>18</v>
      </c>
      <c r="E62" s="9" t="s">
        <v>107</v>
      </c>
      <c r="F62" s="9" t="s">
        <v>20</v>
      </c>
      <c r="G62" s="9">
        <v>0</v>
      </c>
      <c r="H62" s="9">
        <v>0</v>
      </c>
      <c r="I62" s="9">
        <v>0</v>
      </c>
      <c r="J62" s="6">
        <v>0</v>
      </c>
      <c r="K62" s="9">
        <f t="shared" si="0"/>
        <v>0</v>
      </c>
      <c r="L62" s="9" t="s">
        <v>21</v>
      </c>
      <c r="M62" s="9"/>
      <c r="N62" s="9" t="s">
        <v>108</v>
      </c>
      <c r="O62" s="9" t="s">
        <v>109</v>
      </c>
      <c r="P62" s="9" t="s">
        <v>24</v>
      </c>
      <c r="Q62" s="9" t="s">
        <v>25</v>
      </c>
      <c r="R62">
        <f>VLOOKUP(E62,Workera!A$2:L$273,12,FALSE)</f>
        <v>0</v>
      </c>
      <c r="S62" t="e">
        <f>VLOOKUP(E62,Planilla!A$2:L$273,12,FALSE)</f>
        <v>#N/A</v>
      </c>
      <c r="T62" t="e">
        <f t="shared" si="1"/>
        <v>#N/A</v>
      </c>
    </row>
    <row r="63" spans="1:20" x14ac:dyDescent="0.35">
      <c r="A63" s="9" t="s">
        <v>105</v>
      </c>
      <c r="B63" s="9" t="s">
        <v>106</v>
      </c>
      <c r="C63" s="9" t="s">
        <v>106</v>
      </c>
      <c r="D63" s="9" t="s">
        <v>18</v>
      </c>
      <c r="E63" s="9" t="s">
        <v>110</v>
      </c>
      <c r="F63" s="9" t="s">
        <v>28</v>
      </c>
      <c r="G63" s="9">
        <v>11</v>
      </c>
      <c r="H63" s="9">
        <v>10</v>
      </c>
      <c r="I63" s="9">
        <v>655375</v>
      </c>
      <c r="J63" s="6">
        <v>655375</v>
      </c>
      <c r="K63" s="9">
        <f t="shared" si="0"/>
        <v>0</v>
      </c>
      <c r="L63" s="9" t="s">
        <v>21</v>
      </c>
      <c r="M63" s="9"/>
      <c r="N63" s="9" t="s">
        <v>108</v>
      </c>
      <c r="O63" s="9" t="s">
        <v>109</v>
      </c>
      <c r="P63" s="9" t="s">
        <v>24</v>
      </c>
      <c r="Q63" s="9" t="s">
        <v>25</v>
      </c>
      <c r="R63">
        <f>VLOOKUP(E63,Workera!A$2:L$273,12,FALSE)</f>
        <v>655375</v>
      </c>
      <c r="S63">
        <f>VLOOKUP(E63,Planilla!A$2:L$273,12,FALSE)</f>
        <v>655375</v>
      </c>
      <c r="T63" t="str">
        <f t="shared" si="1"/>
        <v>OK</v>
      </c>
    </row>
    <row r="64" spans="1:20" x14ac:dyDescent="0.35">
      <c r="A64" s="9" t="s">
        <v>105</v>
      </c>
      <c r="B64" s="9" t="s">
        <v>106</v>
      </c>
      <c r="C64" s="9" t="s">
        <v>106</v>
      </c>
      <c r="D64" s="9" t="s">
        <v>18</v>
      </c>
      <c r="E64" s="9" t="s">
        <v>111</v>
      </c>
      <c r="F64" s="9" t="s">
        <v>20</v>
      </c>
      <c r="G64" s="9">
        <v>0</v>
      </c>
      <c r="H64" s="9">
        <v>0</v>
      </c>
      <c r="I64" s="9">
        <v>0</v>
      </c>
      <c r="J64" s="6">
        <v>0</v>
      </c>
      <c r="K64" s="9">
        <f t="shared" si="0"/>
        <v>0</v>
      </c>
      <c r="L64" s="9" t="s">
        <v>21</v>
      </c>
      <c r="M64" s="9"/>
      <c r="N64" s="9" t="s">
        <v>108</v>
      </c>
      <c r="O64" s="9" t="s">
        <v>109</v>
      </c>
      <c r="P64" s="9" t="s">
        <v>24</v>
      </c>
      <c r="Q64" s="9" t="s">
        <v>25</v>
      </c>
      <c r="R64">
        <f>VLOOKUP(E64,Workera!A$2:L$273,12,FALSE)</f>
        <v>0</v>
      </c>
      <c r="S64" t="e">
        <f>VLOOKUP(E64,Planilla!A$2:L$273,12,FALSE)</f>
        <v>#N/A</v>
      </c>
      <c r="T64" t="e">
        <f t="shared" si="1"/>
        <v>#N/A</v>
      </c>
    </row>
    <row r="65" spans="1:20" x14ac:dyDescent="0.35">
      <c r="A65" s="9" t="s">
        <v>105</v>
      </c>
      <c r="B65" s="9" t="s">
        <v>106</v>
      </c>
      <c r="C65" s="9" t="s">
        <v>106</v>
      </c>
      <c r="D65" s="9" t="s">
        <v>18</v>
      </c>
      <c r="E65" s="9" t="s">
        <v>112</v>
      </c>
      <c r="F65" s="9" t="s">
        <v>113</v>
      </c>
      <c r="G65" s="9">
        <v>20</v>
      </c>
      <c r="H65" s="9">
        <v>20</v>
      </c>
      <c r="I65" s="9">
        <v>401566.67</v>
      </c>
      <c r="J65" s="6">
        <v>401566.67</v>
      </c>
      <c r="K65" s="9">
        <f t="shared" si="0"/>
        <v>0</v>
      </c>
      <c r="L65" s="9" t="s">
        <v>21</v>
      </c>
      <c r="M65" s="9"/>
      <c r="N65" s="9" t="s">
        <v>108</v>
      </c>
      <c r="O65" s="9" t="s">
        <v>109</v>
      </c>
      <c r="P65" s="9" t="s">
        <v>24</v>
      </c>
      <c r="Q65" s="9" t="s">
        <v>25</v>
      </c>
      <c r="R65">
        <f>VLOOKUP(E65,Workera!A$2:L$273,12,FALSE)</f>
        <v>401566.67</v>
      </c>
      <c r="S65">
        <f>VLOOKUP(E65,Planilla!A$2:L$273,12,FALSE)</f>
        <v>401566.67</v>
      </c>
      <c r="T65" t="str">
        <f t="shared" si="1"/>
        <v>OK</v>
      </c>
    </row>
    <row r="66" spans="1:20" x14ac:dyDescent="0.35">
      <c r="A66" s="9" t="s">
        <v>105</v>
      </c>
      <c r="B66" s="9" t="s">
        <v>106</v>
      </c>
      <c r="C66" s="9" t="s">
        <v>106</v>
      </c>
      <c r="D66" s="9" t="s">
        <v>18</v>
      </c>
      <c r="E66" s="9" t="s">
        <v>114</v>
      </c>
      <c r="F66" s="9" t="s">
        <v>77</v>
      </c>
      <c r="G66" s="9">
        <v>18</v>
      </c>
      <c r="H66" s="9">
        <v>18</v>
      </c>
      <c r="I66" s="9">
        <v>542115</v>
      </c>
      <c r="J66" s="6">
        <v>542115</v>
      </c>
      <c r="K66" s="9">
        <f t="shared" ref="K66:K129" si="2">+J66-I66</f>
        <v>0</v>
      </c>
      <c r="L66" s="9" t="s">
        <v>21</v>
      </c>
      <c r="M66" s="9"/>
      <c r="N66" s="9" t="s">
        <v>108</v>
      </c>
      <c r="O66" s="9" t="s">
        <v>109</v>
      </c>
      <c r="P66" s="9" t="s">
        <v>24</v>
      </c>
      <c r="Q66" s="9" t="s">
        <v>25</v>
      </c>
      <c r="R66" t="e">
        <f>VLOOKUP(E66,Workera!A$2:L$273,12,FALSE)</f>
        <v>#N/A</v>
      </c>
      <c r="S66" t="e">
        <f>VLOOKUP(E66,Planilla!A$2:L$273,12,FALSE)</f>
        <v>#N/A</v>
      </c>
      <c r="T66" t="e">
        <f t="shared" si="1"/>
        <v>#N/A</v>
      </c>
    </row>
    <row r="67" spans="1:20" x14ac:dyDescent="0.35">
      <c r="A67" s="9" t="s">
        <v>105</v>
      </c>
      <c r="B67" s="9" t="s">
        <v>106</v>
      </c>
      <c r="C67" s="9" t="s">
        <v>106</v>
      </c>
      <c r="D67" s="9" t="s">
        <v>18</v>
      </c>
      <c r="E67" s="9" t="s">
        <v>115</v>
      </c>
      <c r="F67" s="9" t="s">
        <v>35</v>
      </c>
      <c r="G67" s="9">
        <v>20</v>
      </c>
      <c r="H67" s="9">
        <v>20</v>
      </c>
      <c r="I67" s="9">
        <v>401566.67</v>
      </c>
      <c r="J67" s="6">
        <v>401566.67</v>
      </c>
      <c r="K67" s="9">
        <f t="shared" si="2"/>
        <v>0</v>
      </c>
      <c r="L67" s="9" t="s">
        <v>21</v>
      </c>
      <c r="M67" s="9"/>
      <c r="N67" s="9" t="s">
        <v>108</v>
      </c>
      <c r="O67" s="9" t="s">
        <v>109</v>
      </c>
      <c r="P67" s="9" t="s">
        <v>24</v>
      </c>
      <c r="Q67" s="9" t="s">
        <v>25</v>
      </c>
      <c r="R67">
        <f>VLOOKUP(E67,Workera!A$2:L$273,12,FALSE)</f>
        <v>401566.67</v>
      </c>
      <c r="S67">
        <f>VLOOKUP(E67,Planilla!A$2:L$273,12,FALSE)</f>
        <v>401566.67</v>
      </c>
      <c r="T67" t="str">
        <f t="shared" ref="T67:T130" si="3">IF(J67=S67,"OK","Wrong")</f>
        <v>OK</v>
      </c>
    </row>
    <row r="68" spans="1:20" x14ac:dyDescent="0.35">
      <c r="A68" s="9" t="s">
        <v>105</v>
      </c>
      <c r="B68" s="9" t="s">
        <v>106</v>
      </c>
      <c r="C68" s="9" t="s">
        <v>106</v>
      </c>
      <c r="D68" s="9" t="s">
        <v>18</v>
      </c>
      <c r="E68" s="9" t="s">
        <v>116</v>
      </c>
      <c r="F68" s="9" t="s">
        <v>30</v>
      </c>
      <c r="G68" s="9">
        <v>10</v>
      </c>
      <c r="H68" s="9">
        <v>10</v>
      </c>
      <c r="I68" s="9">
        <v>301175</v>
      </c>
      <c r="J68" s="6">
        <v>301175</v>
      </c>
      <c r="K68" s="9">
        <f t="shared" si="2"/>
        <v>0</v>
      </c>
      <c r="L68" s="9" t="s">
        <v>21</v>
      </c>
      <c r="M68" s="9"/>
      <c r="N68" s="9" t="s">
        <v>108</v>
      </c>
      <c r="O68" s="9" t="s">
        <v>109</v>
      </c>
      <c r="P68" s="9" t="s">
        <v>24</v>
      </c>
      <c r="Q68" s="9" t="s">
        <v>25</v>
      </c>
      <c r="R68" t="e">
        <f>VLOOKUP(E68,Workera!A$2:L$273,12,FALSE)</f>
        <v>#N/A</v>
      </c>
      <c r="S68">
        <f>VLOOKUP(E68,Planilla!A$2:L$273,12,FALSE)</f>
        <v>301175</v>
      </c>
      <c r="T68" t="str">
        <f t="shared" si="3"/>
        <v>OK</v>
      </c>
    </row>
    <row r="69" spans="1:20" x14ac:dyDescent="0.35">
      <c r="A69" s="9" t="s">
        <v>105</v>
      </c>
      <c r="B69" s="9" t="s">
        <v>106</v>
      </c>
      <c r="C69" s="9" t="s">
        <v>106</v>
      </c>
      <c r="D69" s="9" t="s">
        <v>18</v>
      </c>
      <c r="E69" s="9" t="s">
        <v>117</v>
      </c>
      <c r="F69" s="9" t="s">
        <v>20</v>
      </c>
      <c r="G69" s="9">
        <v>0</v>
      </c>
      <c r="H69" s="9">
        <v>0</v>
      </c>
      <c r="I69" s="9">
        <v>0</v>
      </c>
      <c r="J69" s="6">
        <v>0</v>
      </c>
      <c r="K69" s="9">
        <f t="shared" si="2"/>
        <v>0</v>
      </c>
      <c r="L69" s="9" t="s">
        <v>21</v>
      </c>
      <c r="M69" s="9"/>
      <c r="N69" s="9" t="s">
        <v>108</v>
      </c>
      <c r="O69" s="9" t="s">
        <v>109</v>
      </c>
      <c r="P69" s="9" t="s">
        <v>24</v>
      </c>
      <c r="Q69" s="9" t="s">
        <v>25</v>
      </c>
      <c r="R69" t="e">
        <f>VLOOKUP(E69,Workera!A$2:L$273,12,FALSE)</f>
        <v>#N/A</v>
      </c>
      <c r="S69" t="e">
        <f>VLOOKUP(E69,Planilla!A$2:L$273,12,FALSE)</f>
        <v>#N/A</v>
      </c>
      <c r="T69" t="e">
        <f t="shared" si="3"/>
        <v>#N/A</v>
      </c>
    </row>
    <row r="70" spans="1:20" x14ac:dyDescent="0.35">
      <c r="A70" s="9" t="s">
        <v>105</v>
      </c>
      <c r="B70" s="9" t="s">
        <v>106</v>
      </c>
      <c r="C70" s="9" t="s">
        <v>106</v>
      </c>
      <c r="D70" s="9" t="s">
        <v>18</v>
      </c>
      <c r="E70" s="9" t="s">
        <v>118</v>
      </c>
      <c r="F70" s="9" t="s">
        <v>35</v>
      </c>
      <c r="G70" s="9">
        <v>20</v>
      </c>
      <c r="H70" s="9">
        <v>20</v>
      </c>
      <c r="I70" s="9">
        <v>401566.67</v>
      </c>
      <c r="J70" s="6">
        <v>401566.67</v>
      </c>
      <c r="K70" s="9">
        <f t="shared" si="2"/>
        <v>0</v>
      </c>
      <c r="L70" s="9" t="s">
        <v>21</v>
      </c>
      <c r="M70" s="9"/>
      <c r="N70" s="9" t="s">
        <v>108</v>
      </c>
      <c r="O70" s="9" t="s">
        <v>109</v>
      </c>
      <c r="P70" s="9" t="s">
        <v>24</v>
      </c>
      <c r="Q70" s="9" t="s">
        <v>25</v>
      </c>
      <c r="R70" t="e">
        <f>VLOOKUP(E70,Workera!A$2:L$273,12,FALSE)</f>
        <v>#N/A</v>
      </c>
      <c r="S70">
        <f>VLOOKUP(E70,Planilla!A$2:L$273,12,FALSE)</f>
        <v>401566.67</v>
      </c>
      <c r="T70" t="str">
        <f t="shared" si="3"/>
        <v>OK</v>
      </c>
    </row>
    <row r="71" spans="1:20" x14ac:dyDescent="0.35">
      <c r="A71" s="9" t="s">
        <v>105</v>
      </c>
      <c r="B71" s="9" t="s">
        <v>106</v>
      </c>
      <c r="C71" s="9" t="s">
        <v>106</v>
      </c>
      <c r="D71" s="9" t="s">
        <v>18</v>
      </c>
      <c r="E71" s="9" t="s">
        <v>119</v>
      </c>
      <c r="F71" s="9" t="s">
        <v>41</v>
      </c>
      <c r="G71" s="9">
        <v>15</v>
      </c>
      <c r="H71" s="9">
        <v>15</v>
      </c>
      <c r="I71" s="9">
        <v>451762.5</v>
      </c>
      <c r="J71" s="6">
        <v>451762.5</v>
      </c>
      <c r="K71" s="9">
        <f t="shared" si="2"/>
        <v>0</v>
      </c>
      <c r="L71" s="9" t="s">
        <v>21</v>
      </c>
      <c r="M71" s="9"/>
      <c r="N71" s="9" t="s">
        <v>108</v>
      </c>
      <c r="O71" s="9" t="s">
        <v>109</v>
      </c>
      <c r="P71" s="9" t="s">
        <v>24</v>
      </c>
      <c r="Q71" s="9" t="s">
        <v>25</v>
      </c>
      <c r="R71" t="e">
        <f>VLOOKUP(E71,Workera!A$2:L$273,12,FALSE)</f>
        <v>#N/A</v>
      </c>
      <c r="S71">
        <f>VLOOKUP(E71,Planilla!A$2:L$273,12,FALSE)</f>
        <v>451762.5</v>
      </c>
      <c r="T71" t="str">
        <f t="shared" si="3"/>
        <v>OK</v>
      </c>
    </row>
    <row r="72" spans="1:20" x14ac:dyDescent="0.35">
      <c r="A72" s="9" t="s">
        <v>105</v>
      </c>
      <c r="B72" s="9" t="s">
        <v>106</v>
      </c>
      <c r="C72" s="9" t="s">
        <v>106</v>
      </c>
      <c r="D72" s="9" t="s">
        <v>18</v>
      </c>
      <c r="E72" s="9" t="s">
        <v>120</v>
      </c>
      <c r="F72" s="9" t="s">
        <v>28</v>
      </c>
      <c r="G72" s="9">
        <v>18</v>
      </c>
      <c r="H72" s="9">
        <v>20</v>
      </c>
      <c r="I72" s="9">
        <v>283800</v>
      </c>
      <c r="J72" s="6">
        <v>283800</v>
      </c>
      <c r="K72" s="9">
        <f t="shared" si="2"/>
        <v>0</v>
      </c>
      <c r="L72" s="9" t="s">
        <v>21</v>
      </c>
      <c r="M72" s="9"/>
      <c r="N72" s="9" t="s">
        <v>108</v>
      </c>
      <c r="O72" s="9" t="s">
        <v>109</v>
      </c>
      <c r="P72" s="9" t="s">
        <v>24</v>
      </c>
      <c r="Q72" s="9" t="s">
        <v>25</v>
      </c>
      <c r="R72">
        <f>VLOOKUP(E72,Workera!A$2:L$273,12,FALSE)</f>
        <v>283800</v>
      </c>
      <c r="S72">
        <f>VLOOKUP(E72,Planilla!A$2:L$273,12,FALSE)</f>
        <v>283800</v>
      </c>
      <c r="T72" t="str">
        <f t="shared" si="3"/>
        <v>OK</v>
      </c>
    </row>
    <row r="73" spans="1:20" x14ac:dyDescent="0.35">
      <c r="A73" s="9" t="s">
        <v>105</v>
      </c>
      <c r="B73" s="9" t="s">
        <v>106</v>
      </c>
      <c r="C73" s="9" t="s">
        <v>106</v>
      </c>
      <c r="D73" s="9" t="s">
        <v>18</v>
      </c>
      <c r="E73" s="9" t="s">
        <v>121</v>
      </c>
      <c r="F73" s="9" t="s">
        <v>74</v>
      </c>
      <c r="G73" s="9">
        <v>10</v>
      </c>
      <c r="H73" s="9">
        <v>10</v>
      </c>
      <c r="I73" s="9">
        <v>200783.33</v>
      </c>
      <c r="J73" s="6">
        <v>200783.33</v>
      </c>
      <c r="K73" s="9">
        <f t="shared" si="2"/>
        <v>0</v>
      </c>
      <c r="L73" s="9" t="s">
        <v>21</v>
      </c>
      <c r="M73" s="9"/>
      <c r="N73" s="9" t="s">
        <v>108</v>
      </c>
      <c r="O73" s="9" t="s">
        <v>109</v>
      </c>
      <c r="P73" s="9" t="s">
        <v>24</v>
      </c>
      <c r="Q73" s="9" t="s">
        <v>25</v>
      </c>
      <c r="R73">
        <f>VLOOKUP(E73,Workera!A$2:L$273,12,FALSE)</f>
        <v>200783.33</v>
      </c>
      <c r="S73">
        <f>VLOOKUP(E73,Planilla!A$2:L$273,12,FALSE)</f>
        <v>200783.33</v>
      </c>
      <c r="T73" t="str">
        <f t="shared" si="3"/>
        <v>OK</v>
      </c>
    </row>
    <row r="74" spans="1:20" x14ac:dyDescent="0.35">
      <c r="A74" s="9" t="s">
        <v>105</v>
      </c>
      <c r="B74" s="9" t="s">
        <v>106</v>
      </c>
      <c r="C74" s="9" t="s">
        <v>106</v>
      </c>
      <c r="D74" s="9" t="s">
        <v>18</v>
      </c>
      <c r="E74" s="9" t="s">
        <v>122</v>
      </c>
      <c r="F74" s="9" t="s">
        <v>28</v>
      </c>
      <c r="G74" s="9">
        <v>11</v>
      </c>
      <c r="H74" s="9">
        <v>10</v>
      </c>
      <c r="I74" s="9">
        <v>705062.5</v>
      </c>
      <c r="J74" s="6">
        <v>705062.5</v>
      </c>
      <c r="K74" s="9">
        <f t="shared" si="2"/>
        <v>0</v>
      </c>
      <c r="L74" s="9" t="s">
        <v>21</v>
      </c>
      <c r="M74" s="9"/>
      <c r="N74" s="9" t="s">
        <v>108</v>
      </c>
      <c r="O74" s="9" t="s">
        <v>109</v>
      </c>
      <c r="P74" s="9" t="s">
        <v>24</v>
      </c>
      <c r="Q74" s="9" t="s">
        <v>25</v>
      </c>
      <c r="R74">
        <f>VLOOKUP(E74,Workera!A$2:L$273,12,FALSE)</f>
        <v>705062.5</v>
      </c>
      <c r="S74">
        <f>VLOOKUP(E74,Planilla!A$2:L$273,12,FALSE)</f>
        <v>705062.5</v>
      </c>
      <c r="T74" t="str">
        <f t="shared" si="3"/>
        <v>OK</v>
      </c>
    </row>
    <row r="75" spans="1:20" x14ac:dyDescent="0.35">
      <c r="A75" s="9" t="s">
        <v>105</v>
      </c>
      <c r="B75" s="9" t="s">
        <v>106</v>
      </c>
      <c r="C75" s="9" t="s">
        <v>106</v>
      </c>
      <c r="D75" s="9" t="s">
        <v>18</v>
      </c>
      <c r="E75" s="9" t="s">
        <v>123</v>
      </c>
      <c r="F75" s="9" t="s">
        <v>28</v>
      </c>
      <c r="G75" s="9">
        <v>11</v>
      </c>
      <c r="H75" s="9">
        <v>10</v>
      </c>
      <c r="I75" s="9">
        <v>705062.5</v>
      </c>
      <c r="J75" s="6">
        <v>705062.5</v>
      </c>
      <c r="K75" s="9">
        <f t="shared" si="2"/>
        <v>0</v>
      </c>
      <c r="L75" s="9" t="s">
        <v>21</v>
      </c>
      <c r="M75" s="9"/>
      <c r="N75" s="9" t="s">
        <v>108</v>
      </c>
      <c r="O75" s="9" t="s">
        <v>109</v>
      </c>
      <c r="P75" s="9" t="s">
        <v>24</v>
      </c>
      <c r="Q75" s="9" t="s">
        <v>25</v>
      </c>
      <c r="R75">
        <f>VLOOKUP(E75,Workera!A$2:L$273,12,FALSE)</f>
        <v>705062.5</v>
      </c>
      <c r="S75">
        <f>VLOOKUP(E75,Planilla!A$2:L$273,12,FALSE)</f>
        <v>705062.5</v>
      </c>
      <c r="T75" t="str">
        <f t="shared" si="3"/>
        <v>OK</v>
      </c>
    </row>
    <row r="76" spans="1:20" x14ac:dyDescent="0.35">
      <c r="A76" s="9" t="s">
        <v>105</v>
      </c>
      <c r="B76" s="9" t="s">
        <v>106</v>
      </c>
      <c r="C76" s="9" t="s">
        <v>106</v>
      </c>
      <c r="D76" s="9" t="s">
        <v>18</v>
      </c>
      <c r="E76" s="9" t="s">
        <v>124</v>
      </c>
      <c r="F76" s="9" t="s">
        <v>125</v>
      </c>
      <c r="G76" s="9">
        <v>10</v>
      </c>
      <c r="H76" s="9">
        <v>10</v>
      </c>
      <c r="I76" s="9">
        <v>200783.33</v>
      </c>
      <c r="J76" s="6">
        <v>200783.33</v>
      </c>
      <c r="K76" s="9">
        <f t="shared" si="2"/>
        <v>0</v>
      </c>
      <c r="L76" s="9" t="s">
        <v>21</v>
      </c>
      <c r="M76" s="9"/>
      <c r="N76" s="9" t="s">
        <v>108</v>
      </c>
      <c r="O76" s="9" t="s">
        <v>109</v>
      </c>
      <c r="P76" s="9" t="s">
        <v>24</v>
      </c>
      <c r="Q76" s="9" t="s">
        <v>25</v>
      </c>
      <c r="R76">
        <f>VLOOKUP(E76,Workera!A$2:L$273,12,FALSE)</f>
        <v>200783.33</v>
      </c>
      <c r="S76">
        <f>VLOOKUP(E76,Planilla!A$2:L$273,12,FALSE)</f>
        <v>200783.33</v>
      </c>
      <c r="T76" t="str">
        <f t="shared" si="3"/>
        <v>OK</v>
      </c>
    </row>
    <row r="77" spans="1:20" x14ac:dyDescent="0.35">
      <c r="A77" s="9" t="s">
        <v>105</v>
      </c>
      <c r="B77" s="9" t="s">
        <v>106</v>
      </c>
      <c r="C77" s="9" t="s">
        <v>106</v>
      </c>
      <c r="D77" s="9" t="s">
        <v>18</v>
      </c>
      <c r="E77" s="9" t="s">
        <v>126</v>
      </c>
      <c r="F77" s="9" t="s">
        <v>74</v>
      </c>
      <c r="G77" s="9">
        <v>10</v>
      </c>
      <c r="H77" s="9">
        <v>10</v>
      </c>
      <c r="I77" s="9">
        <v>200783.33</v>
      </c>
      <c r="J77" s="6">
        <v>200783.33</v>
      </c>
      <c r="K77" s="9">
        <f t="shared" si="2"/>
        <v>0</v>
      </c>
      <c r="L77" s="9" t="s">
        <v>21</v>
      </c>
      <c r="M77" s="9"/>
      <c r="N77" s="9" t="s">
        <v>108</v>
      </c>
      <c r="O77" s="9" t="s">
        <v>109</v>
      </c>
      <c r="P77" s="9" t="s">
        <v>24</v>
      </c>
      <c r="Q77" s="9" t="s">
        <v>25</v>
      </c>
      <c r="R77" t="e">
        <f>VLOOKUP(E77,Workera!A$2:L$273,12,FALSE)</f>
        <v>#N/A</v>
      </c>
      <c r="S77" t="e">
        <f>VLOOKUP(E77,Planilla!A$2:L$273,12,FALSE)</f>
        <v>#N/A</v>
      </c>
      <c r="T77" t="e">
        <f t="shared" si="3"/>
        <v>#N/A</v>
      </c>
    </row>
    <row r="78" spans="1:20" x14ac:dyDescent="0.35">
      <c r="A78" s="9" t="s">
        <v>105</v>
      </c>
      <c r="B78" s="9" t="s">
        <v>106</v>
      </c>
      <c r="C78" s="9" t="s">
        <v>106</v>
      </c>
      <c r="D78" s="9" t="s">
        <v>18</v>
      </c>
      <c r="E78" s="9" t="s">
        <v>127</v>
      </c>
      <c r="F78" s="9" t="s">
        <v>35</v>
      </c>
      <c r="G78" s="9">
        <v>10</v>
      </c>
      <c r="H78" s="9">
        <v>10</v>
      </c>
      <c r="I78" s="9">
        <v>200783.33</v>
      </c>
      <c r="J78" s="6">
        <v>200783.33</v>
      </c>
      <c r="K78" s="9">
        <f t="shared" si="2"/>
        <v>0</v>
      </c>
      <c r="L78" s="9" t="s">
        <v>21</v>
      </c>
      <c r="M78" s="9"/>
      <c r="N78" s="9" t="s">
        <v>108</v>
      </c>
      <c r="O78" s="9" t="s">
        <v>109</v>
      </c>
      <c r="P78" s="9" t="s">
        <v>24</v>
      </c>
      <c r="Q78" s="9" t="s">
        <v>25</v>
      </c>
      <c r="R78" t="e">
        <f>VLOOKUP(E78,Workera!A$2:L$273,12,FALSE)</f>
        <v>#N/A</v>
      </c>
      <c r="S78" t="e">
        <f>VLOOKUP(E78,Planilla!A$2:L$273,12,FALSE)</f>
        <v>#N/A</v>
      </c>
      <c r="T78" t="e">
        <f t="shared" si="3"/>
        <v>#N/A</v>
      </c>
    </row>
    <row r="79" spans="1:20" x14ac:dyDescent="0.35">
      <c r="A79" s="9" t="s">
        <v>105</v>
      </c>
      <c r="B79" s="9" t="s">
        <v>106</v>
      </c>
      <c r="C79" s="9" t="s">
        <v>106</v>
      </c>
      <c r="D79" s="9" t="s">
        <v>18</v>
      </c>
      <c r="E79" s="9" t="s">
        <v>128</v>
      </c>
      <c r="F79" s="9" t="s">
        <v>20</v>
      </c>
      <c r="G79" s="9">
        <v>10</v>
      </c>
      <c r="H79" s="9">
        <v>10</v>
      </c>
      <c r="I79" s="9">
        <v>96000</v>
      </c>
      <c r="J79" s="6">
        <v>96000</v>
      </c>
      <c r="K79" s="9">
        <f t="shared" si="2"/>
        <v>0</v>
      </c>
      <c r="L79" s="9" t="s">
        <v>21</v>
      </c>
      <c r="M79" s="9"/>
      <c r="N79" s="9" t="s">
        <v>108</v>
      </c>
      <c r="O79" s="9" t="s">
        <v>109</v>
      </c>
      <c r="P79" s="9" t="s">
        <v>24</v>
      </c>
      <c r="Q79" s="9" t="s">
        <v>25</v>
      </c>
      <c r="R79">
        <f>VLOOKUP(E79,Workera!A$2:L$273,12,FALSE)</f>
        <v>96000</v>
      </c>
      <c r="S79">
        <f>VLOOKUP(E79,Planilla!A$2:L$273,12,FALSE)</f>
        <v>96000</v>
      </c>
      <c r="T79" t="str">
        <f t="shared" si="3"/>
        <v>OK</v>
      </c>
    </row>
    <row r="80" spans="1:20" x14ac:dyDescent="0.35">
      <c r="A80" s="9" t="s">
        <v>105</v>
      </c>
      <c r="B80" s="9" t="s">
        <v>106</v>
      </c>
      <c r="C80" s="9" t="s">
        <v>106</v>
      </c>
      <c r="D80" s="9" t="s">
        <v>18</v>
      </c>
      <c r="E80" s="9" t="s">
        <v>131</v>
      </c>
      <c r="F80" s="9" t="s">
        <v>74</v>
      </c>
      <c r="G80" s="9">
        <v>10</v>
      </c>
      <c r="H80" s="9">
        <v>10</v>
      </c>
      <c r="I80" s="9">
        <v>200783.33</v>
      </c>
      <c r="J80" s="6">
        <v>200783.33</v>
      </c>
      <c r="K80" s="9">
        <f t="shared" si="2"/>
        <v>0</v>
      </c>
      <c r="L80" s="9" t="s">
        <v>21</v>
      </c>
      <c r="M80" s="9"/>
      <c r="N80" s="9" t="s">
        <v>108</v>
      </c>
      <c r="O80" s="9" t="s">
        <v>109</v>
      </c>
      <c r="P80" s="9" t="s">
        <v>24</v>
      </c>
      <c r="Q80" s="9" t="s">
        <v>25</v>
      </c>
      <c r="R80">
        <f>VLOOKUP(E80,Workera!A$2:L$273,12,FALSE)</f>
        <v>220861.67</v>
      </c>
      <c r="S80">
        <f>VLOOKUP(E80,Planilla!A$2:L$273,12,FALSE)</f>
        <v>200783.33</v>
      </c>
      <c r="T80" t="str">
        <f t="shared" si="3"/>
        <v>OK</v>
      </c>
    </row>
    <row r="81" spans="1:20" x14ac:dyDescent="0.35">
      <c r="A81" s="9" t="s">
        <v>105</v>
      </c>
      <c r="B81" s="9" t="s">
        <v>106</v>
      </c>
      <c r="C81" s="9" t="s">
        <v>106</v>
      </c>
      <c r="D81" s="9" t="s">
        <v>18</v>
      </c>
      <c r="E81" s="9" t="s">
        <v>132</v>
      </c>
      <c r="F81" s="9" t="s">
        <v>88</v>
      </c>
      <c r="G81" s="9">
        <v>10</v>
      </c>
      <c r="H81" s="9">
        <v>10</v>
      </c>
      <c r="I81" s="9">
        <v>200783.33</v>
      </c>
      <c r="J81" s="6">
        <v>200783.33</v>
      </c>
      <c r="K81" s="9">
        <f t="shared" si="2"/>
        <v>0</v>
      </c>
      <c r="L81" s="9" t="s">
        <v>21</v>
      </c>
      <c r="M81" s="9"/>
      <c r="N81" s="9" t="s">
        <v>108</v>
      </c>
      <c r="O81" s="9" t="s">
        <v>109</v>
      </c>
      <c r="P81" s="9" t="s">
        <v>24</v>
      </c>
      <c r="Q81" s="9" t="s">
        <v>25</v>
      </c>
      <c r="R81">
        <f>VLOOKUP(E81,Workera!A$2:L$273,12,FALSE)</f>
        <v>220861.67</v>
      </c>
      <c r="S81">
        <f>VLOOKUP(E81,Planilla!A$2:L$273,12,FALSE)</f>
        <v>200783.33</v>
      </c>
      <c r="T81" t="str">
        <f t="shared" si="3"/>
        <v>OK</v>
      </c>
    </row>
    <row r="82" spans="1:20" x14ac:dyDescent="0.35">
      <c r="A82" s="9" t="s">
        <v>105</v>
      </c>
      <c r="B82" s="9" t="s">
        <v>106</v>
      </c>
      <c r="C82" s="9" t="s">
        <v>106</v>
      </c>
      <c r="D82" s="9" t="s">
        <v>18</v>
      </c>
      <c r="E82" s="9" t="s">
        <v>133</v>
      </c>
      <c r="F82" s="9" t="s">
        <v>20</v>
      </c>
      <c r="G82" s="9">
        <v>20</v>
      </c>
      <c r="H82" s="9">
        <v>20</v>
      </c>
      <c r="I82" s="9">
        <v>271712.5</v>
      </c>
      <c r="J82" s="6">
        <v>271712.5</v>
      </c>
      <c r="K82" s="9">
        <f t="shared" si="2"/>
        <v>0</v>
      </c>
      <c r="L82" s="9" t="s">
        <v>21</v>
      </c>
      <c r="M82" s="9"/>
      <c r="N82" s="9" t="s">
        <v>108</v>
      </c>
      <c r="O82" s="9" t="s">
        <v>109</v>
      </c>
      <c r="P82" s="9" t="s">
        <v>24</v>
      </c>
      <c r="Q82" s="9" t="s">
        <v>25</v>
      </c>
      <c r="R82">
        <f>VLOOKUP(E82,Workera!A$2:L$273,12,FALSE)</f>
        <v>271712.5</v>
      </c>
      <c r="S82">
        <f>VLOOKUP(E82,Planilla!A$2:L$273,12,FALSE)</f>
        <v>271712.5</v>
      </c>
      <c r="T82" t="str">
        <f t="shared" si="3"/>
        <v>OK</v>
      </c>
    </row>
    <row r="83" spans="1:20" x14ac:dyDescent="0.35">
      <c r="A83" s="9" t="s">
        <v>105</v>
      </c>
      <c r="B83" s="9" t="s">
        <v>106</v>
      </c>
      <c r="C83" s="9" t="s">
        <v>106</v>
      </c>
      <c r="D83" s="9" t="s">
        <v>18</v>
      </c>
      <c r="E83" s="9" t="s">
        <v>134</v>
      </c>
      <c r="F83" s="9" t="s">
        <v>28</v>
      </c>
      <c r="G83" s="9">
        <v>4</v>
      </c>
      <c r="H83" s="9">
        <v>4</v>
      </c>
      <c r="I83" s="9">
        <v>82200</v>
      </c>
      <c r="J83" s="6">
        <v>82200</v>
      </c>
      <c r="K83" s="9">
        <f t="shared" si="2"/>
        <v>0</v>
      </c>
      <c r="L83" s="9" t="s">
        <v>21</v>
      </c>
      <c r="M83" s="9"/>
      <c r="N83" s="9" t="s">
        <v>108</v>
      </c>
      <c r="O83" s="9" t="s">
        <v>109</v>
      </c>
      <c r="P83" s="9" t="s">
        <v>24</v>
      </c>
      <c r="Q83" s="9" t="s">
        <v>25</v>
      </c>
      <c r="R83">
        <f>VLOOKUP(E83,Workera!A$2:L$273,12,FALSE)</f>
        <v>82200</v>
      </c>
      <c r="S83">
        <f>VLOOKUP(E83,Planilla!A$2:L$273,12,FALSE)</f>
        <v>82200</v>
      </c>
      <c r="T83" t="str">
        <f t="shared" si="3"/>
        <v>OK</v>
      </c>
    </row>
    <row r="84" spans="1:20" x14ac:dyDescent="0.35">
      <c r="A84" s="9" t="s">
        <v>105</v>
      </c>
      <c r="B84" s="9" t="s">
        <v>106</v>
      </c>
      <c r="C84" s="9" t="s">
        <v>106</v>
      </c>
      <c r="D84" s="9" t="s">
        <v>18</v>
      </c>
      <c r="E84" s="9" t="s">
        <v>135</v>
      </c>
      <c r="F84" s="9" t="s">
        <v>20</v>
      </c>
      <c r="G84" s="9">
        <v>19</v>
      </c>
      <c r="H84" s="9">
        <v>20</v>
      </c>
      <c r="I84" s="9">
        <v>239600</v>
      </c>
      <c r="J84" s="6">
        <v>239600</v>
      </c>
      <c r="K84" s="9">
        <f t="shared" si="2"/>
        <v>0</v>
      </c>
      <c r="L84" s="9" t="s">
        <v>21</v>
      </c>
      <c r="M84" s="9"/>
      <c r="N84" s="9" t="s">
        <v>108</v>
      </c>
      <c r="O84" s="9" t="s">
        <v>109</v>
      </c>
      <c r="P84" s="9" t="s">
        <v>24</v>
      </c>
      <c r="Q84" s="9" t="s">
        <v>25</v>
      </c>
      <c r="R84">
        <f>VLOOKUP(E84,Workera!A$2:L$273,12,FALSE)</f>
        <v>239600</v>
      </c>
      <c r="S84">
        <f>VLOOKUP(E84,Planilla!A$2:L$273,12,FALSE)</f>
        <v>239600</v>
      </c>
      <c r="T84" t="str">
        <f t="shared" si="3"/>
        <v>OK</v>
      </c>
    </row>
    <row r="85" spans="1:20" x14ac:dyDescent="0.35">
      <c r="A85" s="9" t="s">
        <v>105</v>
      </c>
      <c r="B85" s="9" t="s">
        <v>106</v>
      </c>
      <c r="C85" s="9" t="s">
        <v>106</v>
      </c>
      <c r="D85" s="9" t="s">
        <v>18</v>
      </c>
      <c r="E85" s="9" t="s">
        <v>136</v>
      </c>
      <c r="F85" s="9" t="s">
        <v>28</v>
      </c>
      <c r="G85" s="9">
        <v>19</v>
      </c>
      <c r="H85" s="9">
        <v>20</v>
      </c>
      <c r="I85" s="9">
        <v>716575</v>
      </c>
      <c r="J85" s="6">
        <v>716575</v>
      </c>
      <c r="K85" s="9">
        <f t="shared" si="2"/>
        <v>0</v>
      </c>
      <c r="L85" s="9" t="s">
        <v>21</v>
      </c>
      <c r="M85" s="9"/>
      <c r="N85" s="9" t="s">
        <v>108</v>
      </c>
      <c r="O85" s="9" t="s">
        <v>109</v>
      </c>
      <c r="P85" s="9" t="s">
        <v>24</v>
      </c>
      <c r="Q85" s="9" t="s">
        <v>25</v>
      </c>
      <c r="R85">
        <f>VLOOKUP(E85,Workera!A$2:L$273,12,FALSE)</f>
        <v>716575</v>
      </c>
      <c r="S85">
        <f>VLOOKUP(E85,Planilla!A$2:L$273,12,FALSE)</f>
        <v>716575</v>
      </c>
      <c r="T85" t="str">
        <f t="shared" si="3"/>
        <v>OK</v>
      </c>
    </row>
    <row r="86" spans="1:20" x14ac:dyDescent="0.35">
      <c r="A86" s="9" t="s">
        <v>105</v>
      </c>
      <c r="B86" s="9" t="s">
        <v>106</v>
      </c>
      <c r="C86" s="9" t="s">
        <v>106</v>
      </c>
      <c r="D86" s="9" t="s">
        <v>18</v>
      </c>
      <c r="E86" s="9" t="s">
        <v>137</v>
      </c>
      <c r="F86" s="9" t="s">
        <v>20</v>
      </c>
      <c r="G86" s="9">
        <v>0</v>
      </c>
      <c r="H86" s="9">
        <v>0</v>
      </c>
      <c r="I86" s="9">
        <v>0</v>
      </c>
      <c r="J86" s="6">
        <v>0</v>
      </c>
      <c r="K86" s="9">
        <f t="shared" si="2"/>
        <v>0</v>
      </c>
      <c r="L86" s="9" t="s">
        <v>21</v>
      </c>
      <c r="M86" s="9"/>
      <c r="N86" s="9" t="s">
        <v>108</v>
      </c>
      <c r="O86" s="9" t="s">
        <v>109</v>
      </c>
      <c r="P86" s="9" t="s">
        <v>24</v>
      </c>
      <c r="Q86" s="9" t="s">
        <v>25</v>
      </c>
      <c r="R86">
        <f>VLOOKUP(E86,Workera!A$2:L$273,12,FALSE)</f>
        <v>0</v>
      </c>
      <c r="S86" t="e">
        <f>VLOOKUP(E86,Planilla!A$2:L$273,12,FALSE)</f>
        <v>#N/A</v>
      </c>
      <c r="T86" t="e">
        <f t="shared" si="3"/>
        <v>#N/A</v>
      </c>
    </row>
    <row r="87" spans="1:20" x14ac:dyDescent="0.35">
      <c r="A87" s="9" t="s">
        <v>105</v>
      </c>
      <c r="B87" s="9" t="s">
        <v>106</v>
      </c>
      <c r="C87" s="9" t="s">
        <v>106</v>
      </c>
      <c r="D87" s="9" t="s">
        <v>18</v>
      </c>
      <c r="E87" s="9" t="s">
        <v>139</v>
      </c>
      <c r="F87" s="9" t="s">
        <v>28</v>
      </c>
      <c r="G87" s="9">
        <v>11</v>
      </c>
      <c r="H87" s="9">
        <v>10</v>
      </c>
      <c r="I87" s="9">
        <v>153000</v>
      </c>
      <c r="J87" s="6">
        <v>153000</v>
      </c>
      <c r="K87" s="9">
        <f t="shared" si="2"/>
        <v>0</v>
      </c>
      <c r="L87" s="9" t="s">
        <v>21</v>
      </c>
      <c r="M87" s="9"/>
      <c r="N87" s="9" t="s">
        <v>108</v>
      </c>
      <c r="O87" s="9" t="s">
        <v>109</v>
      </c>
      <c r="P87" s="9" t="s">
        <v>24</v>
      </c>
      <c r="Q87" s="9" t="s">
        <v>25</v>
      </c>
      <c r="R87">
        <f>VLOOKUP(E87,Workera!A$2:L$273,12,FALSE)</f>
        <v>153000</v>
      </c>
      <c r="S87">
        <f>VLOOKUP(E87,Planilla!A$2:L$273,12,FALSE)</f>
        <v>153000</v>
      </c>
      <c r="T87" t="str">
        <f t="shared" si="3"/>
        <v>OK</v>
      </c>
    </row>
    <row r="88" spans="1:20" x14ac:dyDescent="0.35">
      <c r="A88" s="9" t="s">
        <v>105</v>
      </c>
      <c r="B88" s="9" t="s">
        <v>106</v>
      </c>
      <c r="C88" s="9" t="s">
        <v>106</v>
      </c>
      <c r="D88" s="9" t="s">
        <v>18</v>
      </c>
      <c r="E88" s="9" t="s">
        <v>140</v>
      </c>
      <c r="F88" s="9" t="s">
        <v>53</v>
      </c>
      <c r="G88" s="9">
        <v>0</v>
      </c>
      <c r="H88" s="9">
        <v>0</v>
      </c>
      <c r="I88" s="9">
        <v>0</v>
      </c>
      <c r="J88" s="6">
        <v>0</v>
      </c>
      <c r="K88" s="9">
        <f t="shared" si="2"/>
        <v>0</v>
      </c>
      <c r="L88" s="9" t="s">
        <v>21</v>
      </c>
      <c r="M88" s="9"/>
      <c r="N88" s="9" t="s">
        <v>108</v>
      </c>
      <c r="O88" s="9" t="s">
        <v>109</v>
      </c>
      <c r="P88" s="9" t="s">
        <v>24</v>
      </c>
      <c r="Q88" s="9" t="s">
        <v>25</v>
      </c>
      <c r="R88">
        <f>VLOOKUP(E88,Workera!A$2:L$273,12,FALSE)</f>
        <v>0</v>
      </c>
      <c r="S88" t="e">
        <f>VLOOKUP(E88,Planilla!A$2:L$273,12,FALSE)</f>
        <v>#N/A</v>
      </c>
      <c r="T88" t="e">
        <f t="shared" si="3"/>
        <v>#N/A</v>
      </c>
    </row>
    <row r="89" spans="1:20" x14ac:dyDescent="0.35">
      <c r="A89" s="9" t="s">
        <v>105</v>
      </c>
      <c r="B89" s="9" t="s">
        <v>106</v>
      </c>
      <c r="C89" s="9" t="s">
        <v>106</v>
      </c>
      <c r="D89" s="9" t="s">
        <v>18</v>
      </c>
      <c r="E89" s="9" t="s">
        <v>141</v>
      </c>
      <c r="F89" s="9" t="s">
        <v>20</v>
      </c>
      <c r="G89" s="9">
        <v>20</v>
      </c>
      <c r="H89" s="9">
        <v>20</v>
      </c>
      <c r="I89" s="9">
        <v>189200</v>
      </c>
      <c r="J89" s="6">
        <v>189200</v>
      </c>
      <c r="K89" s="9">
        <f t="shared" si="2"/>
        <v>0</v>
      </c>
      <c r="L89" s="9" t="s">
        <v>21</v>
      </c>
      <c r="M89" s="9"/>
      <c r="N89" s="9" t="s">
        <v>108</v>
      </c>
      <c r="O89" s="9" t="s">
        <v>109</v>
      </c>
      <c r="P89" s="9" t="s">
        <v>24</v>
      </c>
      <c r="Q89" s="9" t="s">
        <v>25</v>
      </c>
      <c r="R89">
        <f>VLOOKUP(E89,Workera!A$2:L$273,12,FALSE)</f>
        <v>189200</v>
      </c>
      <c r="S89">
        <f>VLOOKUP(E89,Planilla!A$2:L$273,12,FALSE)</f>
        <v>189200</v>
      </c>
      <c r="T89" t="str">
        <f t="shared" si="3"/>
        <v>OK</v>
      </c>
    </row>
    <row r="90" spans="1:20" x14ac:dyDescent="0.35">
      <c r="A90" s="9" t="s">
        <v>105</v>
      </c>
      <c r="B90" s="9" t="s">
        <v>106</v>
      </c>
      <c r="C90" s="9" t="s">
        <v>106</v>
      </c>
      <c r="D90" s="9" t="s">
        <v>18</v>
      </c>
      <c r="E90" s="9" t="s">
        <v>142</v>
      </c>
      <c r="F90" s="9" t="s">
        <v>53</v>
      </c>
      <c r="G90" s="9">
        <v>0</v>
      </c>
      <c r="H90" s="9">
        <v>0</v>
      </c>
      <c r="I90" s="9">
        <v>0</v>
      </c>
      <c r="J90" s="6">
        <v>0</v>
      </c>
      <c r="K90" s="9">
        <f t="shared" si="2"/>
        <v>0</v>
      </c>
      <c r="L90" s="9" t="s">
        <v>21</v>
      </c>
      <c r="M90" s="9"/>
      <c r="N90" s="9" t="s">
        <v>108</v>
      </c>
      <c r="O90" s="9" t="s">
        <v>109</v>
      </c>
      <c r="P90" s="9" t="s">
        <v>24</v>
      </c>
      <c r="Q90" s="9" t="s">
        <v>25</v>
      </c>
      <c r="R90">
        <f>VLOOKUP(E90,Workera!A$2:L$273,12,FALSE)</f>
        <v>0</v>
      </c>
      <c r="S90" t="e">
        <f>VLOOKUP(E90,Planilla!A$2:L$273,12,FALSE)</f>
        <v>#N/A</v>
      </c>
      <c r="T90" t="e">
        <f t="shared" si="3"/>
        <v>#N/A</v>
      </c>
    </row>
    <row r="91" spans="1:20" x14ac:dyDescent="0.35">
      <c r="A91" s="9" t="s">
        <v>105</v>
      </c>
      <c r="B91" s="9" t="s">
        <v>106</v>
      </c>
      <c r="C91" s="9" t="s">
        <v>106</v>
      </c>
      <c r="D91" s="9" t="s">
        <v>18</v>
      </c>
      <c r="E91" s="9" t="s">
        <v>143</v>
      </c>
      <c r="F91" s="9" t="s">
        <v>20</v>
      </c>
      <c r="G91" s="9">
        <v>0</v>
      </c>
      <c r="H91" s="9">
        <v>0</v>
      </c>
      <c r="I91" s="9">
        <v>0</v>
      </c>
      <c r="J91" s="6">
        <v>0</v>
      </c>
      <c r="K91" s="9">
        <f t="shared" si="2"/>
        <v>0</v>
      </c>
      <c r="L91" s="9" t="s">
        <v>21</v>
      </c>
      <c r="M91" s="9"/>
      <c r="N91" s="9" t="s">
        <v>108</v>
      </c>
      <c r="O91" s="9" t="s">
        <v>109</v>
      </c>
      <c r="P91" s="9" t="s">
        <v>24</v>
      </c>
      <c r="Q91" s="9" t="s">
        <v>25</v>
      </c>
      <c r="R91">
        <f>VLOOKUP(E91,Workera!A$2:L$273,12,FALSE)</f>
        <v>0</v>
      </c>
      <c r="S91" t="e">
        <f>VLOOKUP(E91,Planilla!A$2:L$273,12,FALSE)</f>
        <v>#N/A</v>
      </c>
      <c r="T91" t="e">
        <f t="shared" si="3"/>
        <v>#N/A</v>
      </c>
    </row>
    <row r="92" spans="1:20" x14ac:dyDescent="0.35">
      <c r="A92" s="9" t="s">
        <v>105</v>
      </c>
      <c r="B92" s="9" t="s">
        <v>106</v>
      </c>
      <c r="C92" s="9" t="s">
        <v>106</v>
      </c>
      <c r="D92" s="9" t="s">
        <v>18</v>
      </c>
      <c r="E92" s="9" t="s">
        <v>144</v>
      </c>
      <c r="F92" s="9" t="s">
        <v>27</v>
      </c>
      <c r="G92" s="9">
        <v>20</v>
      </c>
      <c r="H92" s="9">
        <v>20</v>
      </c>
      <c r="I92" s="9">
        <v>602350</v>
      </c>
      <c r="J92" s="6">
        <v>602350</v>
      </c>
      <c r="K92" s="9">
        <f t="shared" si="2"/>
        <v>0</v>
      </c>
      <c r="L92" s="9" t="s">
        <v>21</v>
      </c>
      <c r="M92" s="9"/>
      <c r="N92" s="9" t="s">
        <v>108</v>
      </c>
      <c r="O92" s="9" t="s">
        <v>109</v>
      </c>
      <c r="P92" s="9" t="s">
        <v>24</v>
      </c>
      <c r="Q92" s="9" t="s">
        <v>25</v>
      </c>
      <c r="R92">
        <f>VLOOKUP(E92,Workera!A$2:L$273,12,FALSE)</f>
        <v>602350</v>
      </c>
      <c r="S92">
        <f>VLOOKUP(E92,Planilla!A$2:L$273,12,FALSE)</f>
        <v>602350</v>
      </c>
      <c r="T92" t="str">
        <f t="shared" si="3"/>
        <v>OK</v>
      </c>
    </row>
    <row r="93" spans="1:20" x14ac:dyDescent="0.35">
      <c r="A93" s="9" t="s">
        <v>105</v>
      </c>
      <c r="B93" s="9" t="s">
        <v>106</v>
      </c>
      <c r="C93" s="9" t="s">
        <v>106</v>
      </c>
      <c r="D93" s="9" t="s">
        <v>18</v>
      </c>
      <c r="E93" s="9" t="s">
        <v>145</v>
      </c>
      <c r="F93" s="9" t="s">
        <v>20</v>
      </c>
      <c r="G93" s="9">
        <v>11</v>
      </c>
      <c r="H93" s="9">
        <v>10</v>
      </c>
      <c r="I93" s="9">
        <v>428375</v>
      </c>
      <c r="J93" s="6">
        <v>428375</v>
      </c>
      <c r="K93" s="9">
        <f t="shared" si="2"/>
        <v>0</v>
      </c>
      <c r="L93" s="9" t="s">
        <v>21</v>
      </c>
      <c r="M93" s="9"/>
      <c r="N93" s="9" t="s">
        <v>108</v>
      </c>
      <c r="O93" s="9" t="s">
        <v>109</v>
      </c>
      <c r="P93" s="9" t="s">
        <v>24</v>
      </c>
      <c r="Q93" s="9" t="s">
        <v>25</v>
      </c>
      <c r="R93" t="e">
        <f>VLOOKUP(E93,Workera!A$2:L$273,12,FALSE)</f>
        <v>#N/A</v>
      </c>
      <c r="S93">
        <f>VLOOKUP(E93,Planilla!A$2:L$273,12,FALSE)</f>
        <v>428375</v>
      </c>
      <c r="T93" t="str">
        <f t="shared" si="3"/>
        <v>OK</v>
      </c>
    </row>
    <row r="94" spans="1:20" x14ac:dyDescent="0.35">
      <c r="A94" s="9" t="s">
        <v>105</v>
      </c>
      <c r="B94" s="9" t="s">
        <v>106</v>
      </c>
      <c r="C94" s="9" t="s">
        <v>106</v>
      </c>
      <c r="D94" s="9" t="s">
        <v>18</v>
      </c>
      <c r="E94" s="9" t="s">
        <v>146</v>
      </c>
      <c r="F94" s="9" t="s">
        <v>20</v>
      </c>
      <c r="G94" s="9">
        <v>11</v>
      </c>
      <c r="H94" s="9">
        <v>10</v>
      </c>
      <c r="I94" s="9">
        <v>144515</v>
      </c>
      <c r="J94" s="6">
        <v>144515</v>
      </c>
      <c r="K94" s="9">
        <f t="shared" si="2"/>
        <v>0</v>
      </c>
      <c r="L94" s="9" t="s">
        <v>21</v>
      </c>
      <c r="M94" s="9"/>
      <c r="N94" s="9" t="s">
        <v>108</v>
      </c>
      <c r="O94" s="9" t="s">
        <v>109</v>
      </c>
      <c r="P94" s="9" t="s">
        <v>24</v>
      </c>
      <c r="Q94" s="9" t="s">
        <v>25</v>
      </c>
      <c r="R94" t="e">
        <f>VLOOKUP(E94,Workera!A$2:L$273,12,FALSE)</f>
        <v>#N/A</v>
      </c>
      <c r="S94">
        <f>VLOOKUP(E94,Planilla!A$2:L$273,12,FALSE)</f>
        <v>144515</v>
      </c>
      <c r="T94" t="str">
        <f t="shared" si="3"/>
        <v>OK</v>
      </c>
    </row>
    <row r="95" spans="1:20" x14ac:dyDescent="0.35">
      <c r="A95" s="9" t="s">
        <v>105</v>
      </c>
      <c r="B95" s="9" t="s">
        <v>106</v>
      </c>
      <c r="C95" s="9" t="s">
        <v>106</v>
      </c>
      <c r="D95" s="9" t="s">
        <v>18</v>
      </c>
      <c r="E95" s="9" t="s">
        <v>147</v>
      </c>
      <c r="F95" s="9" t="s">
        <v>20</v>
      </c>
      <c r="G95" s="9">
        <v>0</v>
      </c>
      <c r="H95" s="9">
        <v>0</v>
      </c>
      <c r="I95" s="9">
        <v>0</v>
      </c>
      <c r="J95" s="6">
        <v>0</v>
      </c>
      <c r="K95" s="9">
        <f t="shared" si="2"/>
        <v>0</v>
      </c>
      <c r="L95" s="9" t="s">
        <v>21</v>
      </c>
      <c r="M95" s="9"/>
      <c r="N95" s="9" t="s">
        <v>108</v>
      </c>
      <c r="O95" s="9" t="s">
        <v>109</v>
      </c>
      <c r="P95" s="9" t="s">
        <v>24</v>
      </c>
      <c r="Q95" s="9" t="s">
        <v>25</v>
      </c>
      <c r="R95" t="e">
        <f>VLOOKUP(E95,Workera!A$2:L$273,12,FALSE)</f>
        <v>#N/A</v>
      </c>
      <c r="S95" t="e">
        <f>VLOOKUP(E95,Planilla!A$2:L$273,12,FALSE)</f>
        <v>#N/A</v>
      </c>
      <c r="T95" t="e">
        <f t="shared" si="3"/>
        <v>#N/A</v>
      </c>
    </row>
    <row r="96" spans="1:20" x14ac:dyDescent="0.35">
      <c r="A96" s="9" t="s">
        <v>105</v>
      </c>
      <c r="B96" s="9" t="s">
        <v>106</v>
      </c>
      <c r="C96" s="9" t="s">
        <v>106</v>
      </c>
      <c r="D96" s="9" t="s">
        <v>18</v>
      </c>
      <c r="E96" s="9" t="s">
        <v>148</v>
      </c>
      <c r="F96" s="9" t="s">
        <v>20</v>
      </c>
      <c r="G96" s="9">
        <v>11</v>
      </c>
      <c r="H96" s="9">
        <v>10</v>
      </c>
      <c r="I96" s="9">
        <v>361940</v>
      </c>
      <c r="J96" s="6">
        <v>361940</v>
      </c>
      <c r="K96" s="9">
        <f t="shared" si="2"/>
        <v>0</v>
      </c>
      <c r="L96" s="9" t="s">
        <v>21</v>
      </c>
      <c r="M96" s="9"/>
      <c r="N96" s="9" t="s">
        <v>108</v>
      </c>
      <c r="O96" s="9" t="s">
        <v>109</v>
      </c>
      <c r="P96" s="9" t="s">
        <v>24</v>
      </c>
      <c r="Q96" s="9" t="s">
        <v>25</v>
      </c>
      <c r="R96" t="e">
        <f>VLOOKUP(E96,Workera!A$2:L$273,12,FALSE)</f>
        <v>#N/A</v>
      </c>
      <c r="S96">
        <f>VLOOKUP(E96,Planilla!A$2:L$273,12,FALSE)</f>
        <v>361940</v>
      </c>
      <c r="T96" t="str">
        <f t="shared" si="3"/>
        <v>OK</v>
      </c>
    </row>
    <row r="97" spans="1:20" x14ac:dyDescent="0.35">
      <c r="A97" s="9" t="s">
        <v>105</v>
      </c>
      <c r="B97" s="9" t="s">
        <v>106</v>
      </c>
      <c r="C97" s="9" t="s">
        <v>106</v>
      </c>
      <c r="D97" s="9" t="s">
        <v>18</v>
      </c>
      <c r="E97" s="9" t="s">
        <v>149</v>
      </c>
      <c r="F97" s="9" t="s">
        <v>20</v>
      </c>
      <c r="G97" s="9">
        <v>10</v>
      </c>
      <c r="H97" s="9">
        <v>10</v>
      </c>
      <c r="I97" s="9">
        <v>147385</v>
      </c>
      <c r="J97" s="6">
        <v>147385</v>
      </c>
      <c r="K97" s="9">
        <f t="shared" si="2"/>
        <v>0</v>
      </c>
      <c r="L97" s="9" t="s">
        <v>21</v>
      </c>
      <c r="M97" s="9"/>
      <c r="N97" s="9" t="s">
        <v>108</v>
      </c>
      <c r="O97" s="9" t="s">
        <v>109</v>
      </c>
      <c r="P97" s="9" t="s">
        <v>24</v>
      </c>
      <c r="Q97" s="9" t="s">
        <v>25</v>
      </c>
      <c r="R97" t="e">
        <f>VLOOKUP(E97,Workera!A$2:L$273,12,FALSE)</f>
        <v>#N/A</v>
      </c>
      <c r="S97" t="e">
        <f>VLOOKUP(E97,Planilla!A$2:L$273,12,FALSE)</f>
        <v>#N/A</v>
      </c>
      <c r="T97" t="e">
        <f t="shared" si="3"/>
        <v>#N/A</v>
      </c>
    </row>
    <row r="98" spans="1:20" x14ac:dyDescent="0.35">
      <c r="A98" s="9" t="s">
        <v>105</v>
      </c>
      <c r="B98" s="9" t="s">
        <v>106</v>
      </c>
      <c r="C98" s="9" t="s">
        <v>106</v>
      </c>
      <c r="D98" s="9" t="s">
        <v>18</v>
      </c>
      <c r="E98" s="9" t="s">
        <v>150</v>
      </c>
      <c r="F98" s="9" t="s">
        <v>28</v>
      </c>
      <c r="G98" s="9">
        <v>0</v>
      </c>
      <c r="H98" s="9">
        <v>0</v>
      </c>
      <c r="I98" s="9">
        <v>0</v>
      </c>
      <c r="J98" s="6">
        <v>0</v>
      </c>
      <c r="K98" s="9">
        <f t="shared" si="2"/>
        <v>0</v>
      </c>
      <c r="L98" s="9" t="s">
        <v>21</v>
      </c>
      <c r="M98" s="9"/>
      <c r="N98" s="9" t="s">
        <v>108</v>
      </c>
      <c r="O98" s="9" t="s">
        <v>109</v>
      </c>
      <c r="P98" s="9" t="s">
        <v>24</v>
      </c>
      <c r="Q98" s="9" t="s">
        <v>25</v>
      </c>
      <c r="R98" t="e">
        <f>VLOOKUP(E98,Workera!A$2:L$273,12,FALSE)</f>
        <v>#N/A</v>
      </c>
      <c r="S98" t="e">
        <f>VLOOKUP(E98,Planilla!A$2:L$273,12,FALSE)</f>
        <v>#N/A</v>
      </c>
      <c r="T98" t="e">
        <f t="shared" si="3"/>
        <v>#N/A</v>
      </c>
    </row>
    <row r="99" spans="1:20" x14ac:dyDescent="0.35">
      <c r="A99" s="9" t="s">
        <v>105</v>
      </c>
      <c r="B99" s="9" t="s">
        <v>106</v>
      </c>
      <c r="C99" s="9" t="s">
        <v>106</v>
      </c>
      <c r="D99" s="9" t="s">
        <v>18</v>
      </c>
      <c r="E99" s="9" t="s">
        <v>151</v>
      </c>
      <c r="F99" s="9" t="s">
        <v>125</v>
      </c>
      <c r="G99" s="9">
        <v>20</v>
      </c>
      <c r="H99" s="9">
        <v>20</v>
      </c>
      <c r="I99" s="9">
        <v>401566.67</v>
      </c>
      <c r="J99" s="6">
        <v>401566.67</v>
      </c>
      <c r="K99" s="9">
        <f t="shared" si="2"/>
        <v>0</v>
      </c>
      <c r="L99" s="9" t="s">
        <v>21</v>
      </c>
      <c r="M99" s="9"/>
      <c r="N99" s="9" t="s">
        <v>108</v>
      </c>
      <c r="O99" s="9" t="s">
        <v>109</v>
      </c>
      <c r="P99" s="9" t="s">
        <v>24</v>
      </c>
      <c r="Q99" s="9" t="s">
        <v>25</v>
      </c>
      <c r="R99" t="e">
        <f>VLOOKUP(E99,Workera!A$2:L$273,12,FALSE)</f>
        <v>#N/A</v>
      </c>
      <c r="S99">
        <f>VLOOKUP(E99,Planilla!A$2:L$273,12,FALSE)</f>
        <v>401566.67</v>
      </c>
      <c r="T99" t="str">
        <f t="shared" si="3"/>
        <v>OK</v>
      </c>
    </row>
    <row r="100" spans="1:20" x14ac:dyDescent="0.35">
      <c r="A100" s="9" t="s">
        <v>105</v>
      </c>
      <c r="B100" s="9" t="s">
        <v>106</v>
      </c>
      <c r="C100" s="9" t="s">
        <v>106</v>
      </c>
      <c r="D100" s="9" t="s">
        <v>18</v>
      </c>
      <c r="E100" s="9" t="s">
        <v>153</v>
      </c>
      <c r="F100" s="9" t="s">
        <v>20</v>
      </c>
      <c r="G100" s="9">
        <v>0</v>
      </c>
      <c r="H100" s="9">
        <v>0</v>
      </c>
      <c r="I100" s="9">
        <v>0</v>
      </c>
      <c r="J100" s="6">
        <v>0</v>
      </c>
      <c r="K100" s="9">
        <f t="shared" si="2"/>
        <v>0</v>
      </c>
      <c r="L100" s="9" t="s">
        <v>21</v>
      </c>
      <c r="M100" s="9"/>
      <c r="N100" s="9" t="s">
        <v>108</v>
      </c>
      <c r="O100" s="9" t="s">
        <v>109</v>
      </c>
      <c r="P100" s="9" t="s">
        <v>24</v>
      </c>
      <c r="Q100" s="9" t="s">
        <v>25</v>
      </c>
      <c r="R100" t="e">
        <f>VLOOKUP(E100,Workera!A$2:L$273,12,FALSE)</f>
        <v>#N/A</v>
      </c>
      <c r="S100" t="e">
        <f>VLOOKUP(E100,Planilla!A$2:L$273,12,FALSE)</f>
        <v>#N/A</v>
      </c>
      <c r="T100" t="e">
        <f t="shared" si="3"/>
        <v>#N/A</v>
      </c>
    </row>
    <row r="101" spans="1:20" x14ac:dyDescent="0.35">
      <c r="A101" s="9" t="s">
        <v>105</v>
      </c>
      <c r="B101" s="9" t="s">
        <v>106</v>
      </c>
      <c r="C101" s="9" t="s">
        <v>106</v>
      </c>
      <c r="D101" s="9" t="s">
        <v>18</v>
      </c>
      <c r="E101" s="9" t="s">
        <v>154</v>
      </c>
      <c r="F101" s="9" t="s">
        <v>33</v>
      </c>
      <c r="G101" s="9">
        <v>1</v>
      </c>
      <c r="H101" s="9">
        <v>1</v>
      </c>
      <c r="I101" s="9">
        <v>20078.330000000002</v>
      </c>
      <c r="J101" s="6">
        <v>20078.330000000002</v>
      </c>
      <c r="K101" s="9">
        <f t="shared" si="2"/>
        <v>0</v>
      </c>
      <c r="L101" s="9" t="s">
        <v>21</v>
      </c>
      <c r="M101" s="9"/>
      <c r="N101" s="9" t="s">
        <v>108</v>
      </c>
      <c r="O101" s="9" t="s">
        <v>109</v>
      </c>
      <c r="P101" s="9" t="s">
        <v>24</v>
      </c>
      <c r="Q101" s="9" t="s">
        <v>25</v>
      </c>
      <c r="R101" t="e">
        <f>VLOOKUP(E101,Workera!A$2:L$273,12,FALSE)</f>
        <v>#N/A</v>
      </c>
      <c r="S101">
        <f>VLOOKUP(E101,Planilla!A$2:L$273,12,FALSE)</f>
        <v>20078.330000000002</v>
      </c>
      <c r="T101" t="str">
        <f t="shared" si="3"/>
        <v>OK</v>
      </c>
    </row>
    <row r="102" spans="1:20" x14ac:dyDescent="0.35">
      <c r="A102" s="9" t="s">
        <v>105</v>
      </c>
      <c r="B102" s="9" t="s">
        <v>106</v>
      </c>
      <c r="C102" s="9" t="s">
        <v>106</v>
      </c>
      <c r="D102" s="9" t="s">
        <v>18</v>
      </c>
      <c r="E102" s="9" t="s">
        <v>155</v>
      </c>
      <c r="F102" s="9" t="s">
        <v>28</v>
      </c>
      <c r="G102" s="9">
        <v>20</v>
      </c>
      <c r="H102" s="9">
        <v>20</v>
      </c>
      <c r="I102" s="9">
        <v>695050</v>
      </c>
      <c r="J102" s="6">
        <v>695050</v>
      </c>
      <c r="K102" s="9">
        <f t="shared" si="2"/>
        <v>0</v>
      </c>
      <c r="L102" s="9" t="s">
        <v>21</v>
      </c>
      <c r="M102" s="9"/>
      <c r="N102" s="9" t="s">
        <v>108</v>
      </c>
      <c r="O102" s="9" t="s">
        <v>109</v>
      </c>
      <c r="P102" s="9" t="s">
        <v>24</v>
      </c>
      <c r="Q102" s="9" t="s">
        <v>25</v>
      </c>
      <c r="R102" t="e">
        <f>VLOOKUP(E102,Workera!A$2:L$273,12,FALSE)</f>
        <v>#N/A</v>
      </c>
      <c r="S102">
        <f>VLOOKUP(E102,Planilla!A$2:L$273,12,FALSE)</f>
        <v>695050</v>
      </c>
      <c r="T102" t="str">
        <f t="shared" si="3"/>
        <v>OK</v>
      </c>
    </row>
    <row r="103" spans="1:20" x14ac:dyDescent="0.35">
      <c r="A103" s="9" t="s">
        <v>105</v>
      </c>
      <c r="B103" s="9" t="s">
        <v>106</v>
      </c>
      <c r="C103" s="9" t="s">
        <v>106</v>
      </c>
      <c r="D103" s="9" t="s">
        <v>18</v>
      </c>
      <c r="E103" s="9" t="s">
        <v>156</v>
      </c>
      <c r="F103" s="9" t="s">
        <v>28</v>
      </c>
      <c r="G103" s="9">
        <v>19</v>
      </c>
      <c r="H103" s="9">
        <v>20</v>
      </c>
      <c r="I103" s="9">
        <v>695050</v>
      </c>
      <c r="J103" s="6">
        <v>695050</v>
      </c>
      <c r="K103" s="9">
        <f t="shared" si="2"/>
        <v>0</v>
      </c>
      <c r="L103" s="9" t="s">
        <v>21</v>
      </c>
      <c r="M103" s="9"/>
      <c r="N103" s="9" t="s">
        <v>108</v>
      </c>
      <c r="O103" s="9" t="s">
        <v>109</v>
      </c>
      <c r="P103" s="9" t="s">
        <v>24</v>
      </c>
      <c r="Q103" s="9" t="s">
        <v>25</v>
      </c>
      <c r="R103" t="e">
        <f>VLOOKUP(E103,Workera!A$2:L$273,12,FALSE)</f>
        <v>#N/A</v>
      </c>
      <c r="S103">
        <f>VLOOKUP(E103,Planilla!A$2:L$273,12,FALSE)</f>
        <v>695050</v>
      </c>
      <c r="T103" t="str">
        <f t="shared" si="3"/>
        <v>OK</v>
      </c>
    </row>
    <row r="104" spans="1:20" x14ac:dyDescent="0.35">
      <c r="A104" s="9" t="s">
        <v>105</v>
      </c>
      <c r="B104" s="9" t="s">
        <v>106</v>
      </c>
      <c r="C104" s="9" t="s">
        <v>106</v>
      </c>
      <c r="D104" s="9" t="s">
        <v>18</v>
      </c>
      <c r="E104" s="9" t="s">
        <v>157</v>
      </c>
      <c r="F104" s="9" t="s">
        <v>53</v>
      </c>
      <c r="G104" s="9">
        <v>0</v>
      </c>
      <c r="H104" s="9">
        <v>0</v>
      </c>
      <c r="I104" s="9">
        <v>0</v>
      </c>
      <c r="J104" s="6">
        <v>0</v>
      </c>
      <c r="K104" s="9">
        <f t="shared" si="2"/>
        <v>0</v>
      </c>
      <c r="L104" s="9" t="s">
        <v>21</v>
      </c>
      <c r="M104" s="9"/>
      <c r="N104" s="9" t="s">
        <v>108</v>
      </c>
      <c r="O104" s="9" t="s">
        <v>109</v>
      </c>
      <c r="P104" s="9" t="s">
        <v>24</v>
      </c>
      <c r="Q104" s="9" t="s">
        <v>25</v>
      </c>
      <c r="R104" t="e">
        <f>VLOOKUP(E104,Workera!A$2:L$273,12,FALSE)</f>
        <v>#N/A</v>
      </c>
      <c r="S104" t="e">
        <f>VLOOKUP(E104,Planilla!A$2:L$273,12,FALSE)</f>
        <v>#N/A</v>
      </c>
      <c r="T104" t="e">
        <f t="shared" si="3"/>
        <v>#N/A</v>
      </c>
    </row>
    <row r="105" spans="1:20" x14ac:dyDescent="0.35">
      <c r="A105" s="9" t="s">
        <v>105</v>
      </c>
      <c r="B105" s="9" t="s">
        <v>106</v>
      </c>
      <c r="C105" s="9" t="s">
        <v>106</v>
      </c>
      <c r="D105" s="9" t="s">
        <v>18</v>
      </c>
      <c r="E105" s="9" t="s">
        <v>159</v>
      </c>
      <c r="F105" s="9" t="s">
        <v>20</v>
      </c>
      <c r="G105" s="9">
        <v>11</v>
      </c>
      <c r="H105" s="9">
        <v>10</v>
      </c>
      <c r="I105" s="9">
        <v>100925</v>
      </c>
      <c r="J105" s="6">
        <v>100925</v>
      </c>
      <c r="K105" s="9">
        <f t="shared" si="2"/>
        <v>0</v>
      </c>
      <c r="L105" s="9" t="s">
        <v>21</v>
      </c>
      <c r="M105" s="9"/>
      <c r="N105" s="9" t="s">
        <v>108</v>
      </c>
      <c r="O105" s="9" t="s">
        <v>109</v>
      </c>
      <c r="P105" s="9" t="s">
        <v>24</v>
      </c>
      <c r="Q105" s="9" t="s">
        <v>25</v>
      </c>
      <c r="R105" t="e">
        <f>VLOOKUP(E105,Workera!A$2:L$273,12,FALSE)</f>
        <v>#N/A</v>
      </c>
      <c r="S105">
        <f>VLOOKUP(E105,Planilla!A$2:L$273,12,FALSE)</f>
        <v>100925</v>
      </c>
      <c r="T105" t="str">
        <f t="shared" si="3"/>
        <v>OK</v>
      </c>
    </row>
    <row r="106" spans="1:20" x14ac:dyDescent="0.35">
      <c r="A106" s="9" t="s">
        <v>105</v>
      </c>
      <c r="B106" s="9" t="s">
        <v>106</v>
      </c>
      <c r="C106" s="9" t="s">
        <v>106</v>
      </c>
      <c r="D106" s="9" t="s">
        <v>18</v>
      </c>
      <c r="E106" s="9" t="s">
        <v>160</v>
      </c>
      <c r="F106" s="9" t="s">
        <v>20</v>
      </c>
      <c r="G106" s="9">
        <v>10</v>
      </c>
      <c r="H106" s="9">
        <v>10</v>
      </c>
      <c r="I106" s="9">
        <v>105125</v>
      </c>
      <c r="J106" s="6">
        <v>105125</v>
      </c>
      <c r="K106" s="9">
        <f t="shared" si="2"/>
        <v>0</v>
      </c>
      <c r="L106" s="9" t="s">
        <v>21</v>
      </c>
      <c r="M106" s="9"/>
      <c r="N106" s="9" t="s">
        <v>108</v>
      </c>
      <c r="O106" s="9" t="s">
        <v>109</v>
      </c>
      <c r="P106" s="9" t="s">
        <v>24</v>
      </c>
      <c r="Q106" s="9" t="s">
        <v>25</v>
      </c>
      <c r="R106" t="e">
        <f>VLOOKUP(E106,Workera!A$2:L$273,12,FALSE)</f>
        <v>#N/A</v>
      </c>
      <c r="S106" t="e">
        <f>VLOOKUP(E106,Planilla!A$2:L$273,12,FALSE)</f>
        <v>#N/A</v>
      </c>
      <c r="T106" t="e">
        <f t="shared" si="3"/>
        <v>#N/A</v>
      </c>
    </row>
    <row r="107" spans="1:20" x14ac:dyDescent="0.35">
      <c r="A107" s="9" t="s">
        <v>105</v>
      </c>
      <c r="B107" s="9" t="s">
        <v>106</v>
      </c>
      <c r="C107" s="9" t="s">
        <v>106</v>
      </c>
      <c r="D107" s="9" t="s">
        <v>18</v>
      </c>
      <c r="E107" s="9" t="s">
        <v>161</v>
      </c>
      <c r="F107" s="9" t="s">
        <v>88</v>
      </c>
      <c r="G107" s="9">
        <v>10</v>
      </c>
      <c r="H107" s="9">
        <v>10</v>
      </c>
      <c r="I107" s="9">
        <v>200783.33</v>
      </c>
      <c r="J107" s="6">
        <v>200783.33</v>
      </c>
      <c r="K107" s="9">
        <f t="shared" si="2"/>
        <v>0</v>
      </c>
      <c r="L107" s="9" t="s">
        <v>21</v>
      </c>
      <c r="M107" s="9"/>
      <c r="N107" s="9" t="s">
        <v>108</v>
      </c>
      <c r="O107" s="9" t="s">
        <v>109</v>
      </c>
      <c r="P107" s="9" t="s">
        <v>24</v>
      </c>
      <c r="Q107" s="9" t="s">
        <v>25</v>
      </c>
      <c r="R107" t="e">
        <f>VLOOKUP(E107,Workera!A$2:L$273,12,FALSE)</f>
        <v>#N/A</v>
      </c>
      <c r="S107" t="e">
        <f>VLOOKUP(E107,Planilla!A$2:L$273,12,FALSE)</f>
        <v>#N/A</v>
      </c>
      <c r="T107" t="e">
        <f t="shared" si="3"/>
        <v>#N/A</v>
      </c>
    </row>
    <row r="108" spans="1:20" x14ac:dyDescent="0.35">
      <c r="A108" s="9" t="s">
        <v>105</v>
      </c>
      <c r="B108" s="9" t="s">
        <v>106</v>
      </c>
      <c r="C108" s="9" t="s">
        <v>106</v>
      </c>
      <c r="D108" s="9" t="s">
        <v>18</v>
      </c>
      <c r="E108" s="9" t="s">
        <v>162</v>
      </c>
      <c r="F108" s="9" t="s">
        <v>33</v>
      </c>
      <c r="G108" s="9">
        <v>20</v>
      </c>
      <c r="H108" s="9">
        <v>20</v>
      </c>
      <c r="I108" s="9">
        <v>401566.67</v>
      </c>
      <c r="J108" s="6">
        <v>401566.67</v>
      </c>
      <c r="K108" s="9">
        <f t="shared" si="2"/>
        <v>0</v>
      </c>
      <c r="L108" s="9" t="s">
        <v>21</v>
      </c>
      <c r="M108" s="9"/>
      <c r="N108" s="9" t="s">
        <v>108</v>
      </c>
      <c r="O108" s="9" t="s">
        <v>109</v>
      </c>
      <c r="P108" s="9" t="s">
        <v>24</v>
      </c>
      <c r="Q108" s="9" t="s">
        <v>25</v>
      </c>
      <c r="R108" t="e">
        <f>VLOOKUP(E108,Workera!A$2:L$273,12,FALSE)</f>
        <v>#N/A</v>
      </c>
      <c r="S108" t="e">
        <f>VLOOKUP(E108,Planilla!A$2:L$273,12,FALSE)</f>
        <v>#N/A</v>
      </c>
      <c r="T108" t="e">
        <f t="shared" si="3"/>
        <v>#N/A</v>
      </c>
    </row>
    <row r="109" spans="1:20" x14ac:dyDescent="0.35">
      <c r="A109" s="9" t="s">
        <v>105</v>
      </c>
      <c r="B109" s="9" t="s">
        <v>106</v>
      </c>
      <c r="C109" s="9" t="s">
        <v>106</v>
      </c>
      <c r="D109" s="9" t="s">
        <v>18</v>
      </c>
      <c r="E109" s="9" t="s">
        <v>163</v>
      </c>
      <c r="F109" s="9" t="s">
        <v>28</v>
      </c>
      <c r="G109" s="9">
        <v>18</v>
      </c>
      <c r="H109" s="9">
        <v>18</v>
      </c>
      <c r="I109" s="9">
        <v>236400</v>
      </c>
      <c r="J109" s="6">
        <v>236400</v>
      </c>
      <c r="K109" s="9">
        <f t="shared" si="2"/>
        <v>0</v>
      </c>
      <c r="L109" s="9" t="s">
        <v>21</v>
      </c>
      <c r="M109" s="9"/>
      <c r="N109" s="9" t="s">
        <v>108</v>
      </c>
      <c r="O109" s="9" t="s">
        <v>109</v>
      </c>
      <c r="P109" s="9" t="s">
        <v>24</v>
      </c>
      <c r="Q109" s="9" t="s">
        <v>25</v>
      </c>
      <c r="R109" t="e">
        <f>VLOOKUP(E109,Workera!A$2:L$273,12,FALSE)</f>
        <v>#N/A</v>
      </c>
      <c r="S109" t="e">
        <f>VLOOKUP(E109,Planilla!A$2:L$273,12,FALSE)</f>
        <v>#N/A</v>
      </c>
      <c r="T109" t="e">
        <f t="shared" si="3"/>
        <v>#N/A</v>
      </c>
    </row>
    <row r="110" spans="1:20" x14ac:dyDescent="0.35">
      <c r="A110" s="9" t="s">
        <v>105</v>
      </c>
      <c r="B110" s="9" t="s">
        <v>106</v>
      </c>
      <c r="C110" s="9" t="s">
        <v>106</v>
      </c>
      <c r="D110" s="9" t="s">
        <v>18</v>
      </c>
      <c r="E110" s="9" t="s">
        <v>164</v>
      </c>
      <c r="F110" s="9" t="s">
        <v>20</v>
      </c>
      <c r="G110" s="9">
        <v>0</v>
      </c>
      <c r="H110" s="9">
        <v>0</v>
      </c>
      <c r="I110" s="9">
        <v>0</v>
      </c>
      <c r="J110" s="6">
        <v>0</v>
      </c>
      <c r="K110" s="9">
        <f t="shared" si="2"/>
        <v>0</v>
      </c>
      <c r="L110" s="9" t="s">
        <v>21</v>
      </c>
      <c r="M110" s="9"/>
      <c r="N110" s="9" t="s">
        <v>108</v>
      </c>
      <c r="O110" s="9" t="s">
        <v>109</v>
      </c>
      <c r="P110" s="9" t="s">
        <v>24</v>
      </c>
      <c r="Q110" s="9" t="s">
        <v>25</v>
      </c>
      <c r="R110" t="e">
        <f>VLOOKUP(E110,Workera!A$2:L$273,12,FALSE)</f>
        <v>#N/A</v>
      </c>
      <c r="S110" t="e">
        <f>VLOOKUP(E110,Planilla!A$2:L$273,12,FALSE)</f>
        <v>#N/A</v>
      </c>
      <c r="T110" t="e">
        <f t="shared" si="3"/>
        <v>#N/A</v>
      </c>
    </row>
    <row r="111" spans="1:20" x14ac:dyDescent="0.35">
      <c r="A111" s="9" t="s">
        <v>105</v>
      </c>
      <c r="B111" s="9" t="s">
        <v>106</v>
      </c>
      <c r="C111" s="9" t="s">
        <v>106</v>
      </c>
      <c r="D111" s="9" t="s">
        <v>18</v>
      </c>
      <c r="E111" s="9" t="s">
        <v>165</v>
      </c>
      <c r="F111" s="9" t="s">
        <v>20</v>
      </c>
      <c r="G111" s="9">
        <v>11</v>
      </c>
      <c r="H111" s="9">
        <v>10</v>
      </c>
      <c r="I111" s="9">
        <v>96000</v>
      </c>
      <c r="J111" s="6">
        <v>96000</v>
      </c>
      <c r="K111" s="9">
        <f t="shared" si="2"/>
        <v>0</v>
      </c>
      <c r="L111" s="9" t="s">
        <v>21</v>
      </c>
      <c r="M111" s="9"/>
      <c r="N111" s="9" t="s">
        <v>108</v>
      </c>
      <c r="O111" s="9" t="s">
        <v>109</v>
      </c>
      <c r="P111" s="9" t="s">
        <v>24</v>
      </c>
      <c r="Q111" s="9" t="s">
        <v>25</v>
      </c>
      <c r="R111">
        <f>VLOOKUP(E111,Workera!A$2:L$273,12,FALSE)</f>
        <v>96000</v>
      </c>
      <c r="S111">
        <f>VLOOKUP(E111,Planilla!A$2:L$273,12,FALSE)</f>
        <v>96000</v>
      </c>
      <c r="T111" t="str">
        <f t="shared" si="3"/>
        <v>OK</v>
      </c>
    </row>
    <row r="112" spans="1:20" x14ac:dyDescent="0.35">
      <c r="A112" s="9" t="s">
        <v>105</v>
      </c>
      <c r="B112" s="9" t="s">
        <v>106</v>
      </c>
      <c r="C112" s="9" t="s">
        <v>106</v>
      </c>
      <c r="D112" s="9" t="s">
        <v>18</v>
      </c>
      <c r="E112" s="9" t="s">
        <v>166</v>
      </c>
      <c r="F112" s="9" t="s">
        <v>20</v>
      </c>
      <c r="G112" s="9">
        <v>20</v>
      </c>
      <c r="H112" s="9">
        <v>20</v>
      </c>
      <c r="I112" s="9">
        <v>509000</v>
      </c>
      <c r="J112" s="6">
        <v>509000</v>
      </c>
      <c r="K112" s="9">
        <f t="shared" si="2"/>
        <v>0</v>
      </c>
      <c r="L112" s="9" t="s">
        <v>21</v>
      </c>
      <c r="M112" s="9"/>
      <c r="N112" s="9" t="s">
        <v>108</v>
      </c>
      <c r="O112" s="9" t="s">
        <v>109</v>
      </c>
      <c r="P112" s="9" t="s">
        <v>24</v>
      </c>
      <c r="Q112" s="9" t="s">
        <v>25</v>
      </c>
      <c r="R112">
        <f>VLOOKUP(E112,Workera!A$2:L$273,12,FALSE)</f>
        <v>509000</v>
      </c>
      <c r="S112">
        <f>VLOOKUP(E112,Planilla!A$2:L$273,12,FALSE)</f>
        <v>509000</v>
      </c>
      <c r="T112" t="str">
        <f t="shared" si="3"/>
        <v>OK</v>
      </c>
    </row>
    <row r="113" spans="1:20" x14ac:dyDescent="0.35">
      <c r="A113" s="9" t="s">
        <v>105</v>
      </c>
      <c r="B113" s="9" t="s">
        <v>106</v>
      </c>
      <c r="C113" s="9" t="s">
        <v>106</v>
      </c>
      <c r="D113" s="9" t="s">
        <v>18</v>
      </c>
      <c r="E113" s="9" t="s">
        <v>167</v>
      </c>
      <c r="F113" s="9" t="s">
        <v>20</v>
      </c>
      <c r="G113" s="9">
        <v>20</v>
      </c>
      <c r="H113" s="9">
        <v>20</v>
      </c>
      <c r="I113" s="9">
        <v>496250</v>
      </c>
      <c r="J113" s="6">
        <v>496250</v>
      </c>
      <c r="K113" s="9">
        <f t="shared" si="2"/>
        <v>0</v>
      </c>
      <c r="L113" s="9" t="s">
        <v>21</v>
      </c>
      <c r="M113" s="9"/>
      <c r="N113" s="9" t="s">
        <v>108</v>
      </c>
      <c r="O113" s="9" t="s">
        <v>109</v>
      </c>
      <c r="P113" s="9" t="s">
        <v>24</v>
      </c>
      <c r="Q113" s="9" t="s">
        <v>25</v>
      </c>
      <c r="R113">
        <f>VLOOKUP(E113,Workera!A$2:L$273,12,FALSE)</f>
        <v>496250</v>
      </c>
      <c r="S113">
        <f>VLOOKUP(E113,Planilla!A$2:L$273,12,FALSE)</f>
        <v>496250</v>
      </c>
      <c r="T113" t="str">
        <f t="shared" si="3"/>
        <v>OK</v>
      </c>
    </row>
    <row r="114" spans="1:20" x14ac:dyDescent="0.35">
      <c r="A114" s="9" t="s">
        <v>105</v>
      </c>
      <c r="B114" s="9" t="s">
        <v>106</v>
      </c>
      <c r="C114" s="9" t="s">
        <v>106</v>
      </c>
      <c r="D114" s="9" t="s">
        <v>18</v>
      </c>
      <c r="E114" s="9" t="s">
        <v>168</v>
      </c>
      <c r="F114" s="9" t="s">
        <v>20</v>
      </c>
      <c r="G114" s="9">
        <v>0</v>
      </c>
      <c r="H114" s="9">
        <v>0</v>
      </c>
      <c r="I114" s="9">
        <v>0</v>
      </c>
      <c r="J114" s="6">
        <v>0</v>
      </c>
      <c r="K114" s="9">
        <f t="shared" si="2"/>
        <v>0</v>
      </c>
      <c r="L114" s="9" t="s">
        <v>21</v>
      </c>
      <c r="M114" s="9"/>
      <c r="N114" s="9" t="s">
        <v>108</v>
      </c>
      <c r="O114" s="9" t="s">
        <v>109</v>
      </c>
      <c r="P114" s="9" t="s">
        <v>24</v>
      </c>
      <c r="Q114" s="9" t="s">
        <v>25</v>
      </c>
      <c r="R114">
        <f>VLOOKUP(E114,Workera!A$2:L$273,12,FALSE)</f>
        <v>0</v>
      </c>
      <c r="S114" t="e">
        <f>VLOOKUP(E114,Planilla!A$2:L$273,12,FALSE)</f>
        <v>#N/A</v>
      </c>
      <c r="T114" t="e">
        <f t="shared" si="3"/>
        <v>#N/A</v>
      </c>
    </row>
    <row r="115" spans="1:20" x14ac:dyDescent="0.35">
      <c r="A115" s="9" t="s">
        <v>105</v>
      </c>
      <c r="B115" s="9" t="s">
        <v>106</v>
      </c>
      <c r="C115" s="9" t="s">
        <v>106</v>
      </c>
      <c r="D115" s="9" t="s">
        <v>18</v>
      </c>
      <c r="E115" s="9" t="s">
        <v>169</v>
      </c>
      <c r="F115" s="9" t="s">
        <v>74</v>
      </c>
      <c r="G115" s="9">
        <v>20</v>
      </c>
      <c r="H115" s="9">
        <v>20</v>
      </c>
      <c r="I115" s="9">
        <v>401566.67</v>
      </c>
      <c r="J115" s="6">
        <v>401566.67</v>
      </c>
      <c r="K115" s="9">
        <f t="shared" si="2"/>
        <v>0</v>
      </c>
      <c r="L115" s="9" t="s">
        <v>21</v>
      </c>
      <c r="M115" s="9"/>
      <c r="N115" s="9" t="s">
        <v>108</v>
      </c>
      <c r="O115" s="9" t="s">
        <v>109</v>
      </c>
      <c r="P115" s="9" t="s">
        <v>24</v>
      </c>
      <c r="Q115" s="9" t="s">
        <v>25</v>
      </c>
      <c r="R115">
        <f>VLOOKUP(E115,Workera!A$2:L$273,12,FALSE)</f>
        <v>401566.67</v>
      </c>
      <c r="S115">
        <f>VLOOKUP(E115,Planilla!A$2:L$273,12,FALSE)</f>
        <v>401566.67</v>
      </c>
      <c r="T115" t="str">
        <f t="shared" si="3"/>
        <v>OK</v>
      </c>
    </row>
    <row r="116" spans="1:20" x14ac:dyDescent="0.35">
      <c r="A116" s="9" t="s">
        <v>105</v>
      </c>
      <c r="B116" s="9" t="s">
        <v>106</v>
      </c>
      <c r="C116" s="9" t="s">
        <v>106</v>
      </c>
      <c r="D116" s="9" t="s">
        <v>18</v>
      </c>
      <c r="E116" s="9" t="s">
        <v>170</v>
      </c>
      <c r="F116" s="9" t="s">
        <v>28</v>
      </c>
      <c r="G116" s="9">
        <v>10</v>
      </c>
      <c r="H116" s="9">
        <v>10</v>
      </c>
      <c r="I116" s="9">
        <v>182700</v>
      </c>
      <c r="J116" s="6">
        <v>182700</v>
      </c>
      <c r="K116" s="9">
        <f t="shared" si="2"/>
        <v>0</v>
      </c>
      <c r="L116" s="9" t="s">
        <v>21</v>
      </c>
      <c r="M116" s="9"/>
      <c r="N116" s="9" t="s">
        <v>108</v>
      </c>
      <c r="O116" s="9" t="s">
        <v>109</v>
      </c>
      <c r="P116" s="9" t="s">
        <v>24</v>
      </c>
      <c r="Q116" s="9" t="s">
        <v>25</v>
      </c>
      <c r="R116">
        <f>VLOOKUP(E116,Workera!A$2:L$273,12,FALSE)</f>
        <v>182700</v>
      </c>
      <c r="S116">
        <f>VLOOKUP(E116,Planilla!A$2:L$273,12,FALSE)</f>
        <v>182700</v>
      </c>
      <c r="T116" t="str">
        <f t="shared" si="3"/>
        <v>OK</v>
      </c>
    </row>
    <row r="117" spans="1:20" x14ac:dyDescent="0.35">
      <c r="A117" s="9" t="s">
        <v>105</v>
      </c>
      <c r="B117" s="9" t="s">
        <v>106</v>
      </c>
      <c r="C117" s="9" t="s">
        <v>106</v>
      </c>
      <c r="D117" s="9" t="s">
        <v>18</v>
      </c>
      <c r="E117" s="9" t="s">
        <v>171</v>
      </c>
      <c r="F117" s="9" t="s">
        <v>27</v>
      </c>
      <c r="G117" s="9">
        <v>20</v>
      </c>
      <c r="H117" s="9">
        <v>20</v>
      </c>
      <c r="I117" s="9">
        <v>602350</v>
      </c>
      <c r="J117" s="6">
        <v>602350</v>
      </c>
      <c r="K117" s="9">
        <f t="shared" si="2"/>
        <v>0</v>
      </c>
      <c r="L117" s="9" t="s">
        <v>21</v>
      </c>
      <c r="M117" s="9"/>
      <c r="N117" s="9" t="s">
        <v>108</v>
      </c>
      <c r="O117" s="9" t="s">
        <v>109</v>
      </c>
      <c r="P117" s="9" t="s">
        <v>24</v>
      </c>
      <c r="Q117" s="9" t="s">
        <v>25</v>
      </c>
      <c r="R117">
        <f>VLOOKUP(E117,Workera!A$2:L$273,12,FALSE)</f>
        <v>602350</v>
      </c>
      <c r="S117">
        <f>VLOOKUP(E117,Planilla!A$2:L$273,12,FALSE)</f>
        <v>602350</v>
      </c>
      <c r="T117" t="str">
        <f t="shared" si="3"/>
        <v>OK</v>
      </c>
    </row>
    <row r="118" spans="1:20" x14ac:dyDescent="0.35">
      <c r="A118" s="9" t="s">
        <v>105</v>
      </c>
      <c r="B118" s="9" t="s">
        <v>106</v>
      </c>
      <c r="C118" s="9" t="s">
        <v>106</v>
      </c>
      <c r="D118" s="9" t="s">
        <v>18</v>
      </c>
      <c r="E118" s="9" t="s">
        <v>172</v>
      </c>
      <c r="F118" s="9" t="s">
        <v>20</v>
      </c>
      <c r="G118" s="9">
        <v>0</v>
      </c>
      <c r="H118" s="9">
        <v>0</v>
      </c>
      <c r="I118" s="9">
        <v>0</v>
      </c>
      <c r="J118" s="6">
        <v>0</v>
      </c>
      <c r="K118" s="9">
        <f t="shared" si="2"/>
        <v>0</v>
      </c>
      <c r="L118" s="9" t="s">
        <v>21</v>
      </c>
      <c r="M118" s="9"/>
      <c r="N118" s="9" t="s">
        <v>108</v>
      </c>
      <c r="O118" s="9" t="s">
        <v>109</v>
      </c>
      <c r="P118" s="9" t="s">
        <v>24</v>
      </c>
      <c r="Q118" s="9" t="s">
        <v>25</v>
      </c>
      <c r="R118" t="e">
        <f>VLOOKUP(E118,Workera!A$2:L$273,12,FALSE)</f>
        <v>#N/A</v>
      </c>
      <c r="S118" t="e">
        <f>VLOOKUP(E118,Planilla!A$2:L$273,12,FALSE)</f>
        <v>#N/A</v>
      </c>
      <c r="T118" t="e">
        <f t="shared" si="3"/>
        <v>#N/A</v>
      </c>
    </row>
    <row r="119" spans="1:20" x14ac:dyDescent="0.35">
      <c r="A119" s="9" t="s">
        <v>105</v>
      </c>
      <c r="B119" s="9" t="s">
        <v>106</v>
      </c>
      <c r="C119" s="9" t="s">
        <v>106</v>
      </c>
      <c r="D119" s="9" t="s">
        <v>18</v>
      </c>
      <c r="E119" s="9" t="s">
        <v>173</v>
      </c>
      <c r="F119" s="9" t="s">
        <v>20</v>
      </c>
      <c r="G119" s="9">
        <v>11</v>
      </c>
      <c r="H119" s="9">
        <v>10</v>
      </c>
      <c r="I119" s="9">
        <v>321765</v>
      </c>
      <c r="J119" s="6">
        <v>321765</v>
      </c>
      <c r="K119" s="9">
        <f t="shared" si="2"/>
        <v>0</v>
      </c>
      <c r="L119" s="9" t="s">
        <v>21</v>
      </c>
      <c r="M119" s="9"/>
      <c r="N119" s="9" t="s">
        <v>108</v>
      </c>
      <c r="O119" s="9" t="s">
        <v>109</v>
      </c>
      <c r="P119" s="9" t="s">
        <v>24</v>
      </c>
      <c r="Q119" s="9" t="s">
        <v>25</v>
      </c>
      <c r="R119">
        <f>VLOOKUP(E119,Workera!A$2:L$273,12,FALSE)</f>
        <v>321765</v>
      </c>
      <c r="S119">
        <f>VLOOKUP(E119,Planilla!A$2:L$273,12,FALSE)</f>
        <v>321765</v>
      </c>
      <c r="T119" t="str">
        <f t="shared" si="3"/>
        <v>OK</v>
      </c>
    </row>
    <row r="120" spans="1:20" x14ac:dyDescent="0.35">
      <c r="A120" s="9" t="s">
        <v>105</v>
      </c>
      <c r="B120" s="9" t="s">
        <v>106</v>
      </c>
      <c r="C120" s="9" t="s">
        <v>106</v>
      </c>
      <c r="D120" s="9" t="s">
        <v>18</v>
      </c>
      <c r="E120" s="9" t="s">
        <v>174</v>
      </c>
      <c r="F120" s="9" t="s">
        <v>30</v>
      </c>
      <c r="G120" s="9">
        <v>0</v>
      </c>
      <c r="H120" s="9">
        <v>0</v>
      </c>
      <c r="I120" s="9">
        <v>0</v>
      </c>
      <c r="J120" s="6">
        <v>0</v>
      </c>
      <c r="K120" s="9">
        <f t="shared" si="2"/>
        <v>0</v>
      </c>
      <c r="L120" s="9" t="s">
        <v>21</v>
      </c>
      <c r="M120" s="9"/>
      <c r="N120" s="9" t="s">
        <v>108</v>
      </c>
      <c r="O120" s="9" t="s">
        <v>109</v>
      </c>
      <c r="P120" s="9" t="s">
        <v>24</v>
      </c>
      <c r="Q120" s="9" t="s">
        <v>25</v>
      </c>
      <c r="R120">
        <f>VLOOKUP(E120,Workera!A$2:L$273,12,FALSE)</f>
        <v>0</v>
      </c>
      <c r="S120" t="e">
        <f>VLOOKUP(E120,Planilla!A$2:L$273,12,FALSE)</f>
        <v>#N/A</v>
      </c>
      <c r="T120" t="e">
        <f t="shared" si="3"/>
        <v>#N/A</v>
      </c>
    </row>
    <row r="121" spans="1:20" x14ac:dyDescent="0.35">
      <c r="A121" s="9" t="s">
        <v>105</v>
      </c>
      <c r="B121" s="9" t="s">
        <v>106</v>
      </c>
      <c r="C121" s="9" t="s">
        <v>106</v>
      </c>
      <c r="D121" s="9" t="s">
        <v>18</v>
      </c>
      <c r="E121" s="9" t="s">
        <v>175</v>
      </c>
      <c r="F121" s="9" t="s">
        <v>28</v>
      </c>
      <c r="G121" s="9">
        <v>20</v>
      </c>
      <c r="H121" s="9">
        <v>20</v>
      </c>
      <c r="I121" s="9">
        <v>806875</v>
      </c>
      <c r="J121" s="6">
        <v>806875</v>
      </c>
      <c r="K121" s="9">
        <f t="shared" si="2"/>
        <v>0</v>
      </c>
      <c r="L121" s="9" t="s">
        <v>21</v>
      </c>
      <c r="M121" s="9"/>
      <c r="N121" s="9" t="s">
        <v>108</v>
      </c>
      <c r="O121" s="9" t="s">
        <v>109</v>
      </c>
      <c r="P121" s="9" t="s">
        <v>24</v>
      </c>
      <c r="Q121" s="9" t="s">
        <v>25</v>
      </c>
      <c r="R121">
        <f>VLOOKUP(E121,Workera!A$2:L$273,12,FALSE)</f>
        <v>806875</v>
      </c>
      <c r="S121">
        <f>VLOOKUP(E121,Planilla!A$2:L$273,12,FALSE)</f>
        <v>806875</v>
      </c>
      <c r="T121" t="str">
        <f t="shared" si="3"/>
        <v>OK</v>
      </c>
    </row>
    <row r="122" spans="1:20" x14ac:dyDescent="0.35">
      <c r="A122" s="9" t="s">
        <v>105</v>
      </c>
      <c r="B122" s="9" t="s">
        <v>106</v>
      </c>
      <c r="C122" s="9" t="s">
        <v>106</v>
      </c>
      <c r="D122" s="9" t="s">
        <v>18</v>
      </c>
      <c r="E122" s="9" t="s">
        <v>176</v>
      </c>
      <c r="F122" s="9" t="s">
        <v>20</v>
      </c>
      <c r="G122" s="9">
        <v>20</v>
      </c>
      <c r="H122" s="9">
        <v>20</v>
      </c>
      <c r="I122" s="9">
        <v>496250</v>
      </c>
      <c r="J122" s="6">
        <v>496250</v>
      </c>
      <c r="K122" s="9">
        <f t="shared" si="2"/>
        <v>0</v>
      </c>
      <c r="L122" s="9" t="s">
        <v>21</v>
      </c>
      <c r="M122" s="9"/>
      <c r="N122" s="9" t="s">
        <v>108</v>
      </c>
      <c r="O122" s="9" t="s">
        <v>109</v>
      </c>
      <c r="P122" s="9" t="s">
        <v>24</v>
      </c>
      <c r="Q122" s="9" t="s">
        <v>25</v>
      </c>
      <c r="R122">
        <f>VLOOKUP(E122,Workera!A$2:L$273,12,FALSE)</f>
        <v>496250</v>
      </c>
      <c r="S122">
        <f>VLOOKUP(E122,Planilla!A$2:L$273,12,FALSE)</f>
        <v>496250</v>
      </c>
      <c r="T122" t="str">
        <f t="shared" si="3"/>
        <v>OK</v>
      </c>
    </row>
    <row r="123" spans="1:20" x14ac:dyDescent="0.35">
      <c r="A123" s="9" t="s">
        <v>105</v>
      </c>
      <c r="B123" s="9" t="s">
        <v>106</v>
      </c>
      <c r="C123" s="9" t="s">
        <v>106</v>
      </c>
      <c r="D123" s="9" t="s">
        <v>18</v>
      </c>
      <c r="E123" s="9" t="s">
        <v>177</v>
      </c>
      <c r="F123" s="9" t="s">
        <v>88</v>
      </c>
      <c r="G123" s="9">
        <v>10</v>
      </c>
      <c r="H123" s="9">
        <v>10</v>
      </c>
      <c r="I123" s="9">
        <v>200783.33</v>
      </c>
      <c r="J123" s="6">
        <v>200783.33</v>
      </c>
      <c r="K123" s="9">
        <f t="shared" si="2"/>
        <v>0</v>
      </c>
      <c r="L123" s="9" t="s">
        <v>21</v>
      </c>
      <c r="M123" s="9"/>
      <c r="N123" s="9" t="s">
        <v>108</v>
      </c>
      <c r="O123" s="9" t="s">
        <v>109</v>
      </c>
      <c r="P123" s="9" t="s">
        <v>24</v>
      </c>
      <c r="Q123" s="9" t="s">
        <v>25</v>
      </c>
      <c r="R123">
        <f>VLOOKUP(E123,Workera!A$2:L$273,12,FALSE)</f>
        <v>200783.33</v>
      </c>
      <c r="S123">
        <f>VLOOKUP(E123,Planilla!A$2:L$273,12,FALSE)</f>
        <v>200783.33</v>
      </c>
      <c r="T123" t="str">
        <f t="shared" si="3"/>
        <v>OK</v>
      </c>
    </row>
    <row r="124" spans="1:20" x14ac:dyDescent="0.35">
      <c r="A124" s="9" t="s">
        <v>105</v>
      </c>
      <c r="B124" s="9" t="s">
        <v>106</v>
      </c>
      <c r="C124" s="9" t="s">
        <v>106</v>
      </c>
      <c r="D124" s="9" t="s">
        <v>18</v>
      </c>
      <c r="E124" s="9" t="s">
        <v>178</v>
      </c>
      <c r="F124" s="9" t="s">
        <v>20</v>
      </c>
      <c r="G124" s="9">
        <v>10</v>
      </c>
      <c r="H124" s="9">
        <v>10</v>
      </c>
      <c r="I124" s="9">
        <v>147385</v>
      </c>
      <c r="J124" s="6">
        <v>147385</v>
      </c>
      <c r="K124" s="9">
        <f t="shared" si="2"/>
        <v>0</v>
      </c>
      <c r="L124" s="9" t="s">
        <v>21</v>
      </c>
      <c r="M124" s="9"/>
      <c r="N124" s="9" t="s">
        <v>108</v>
      </c>
      <c r="O124" s="9" t="s">
        <v>109</v>
      </c>
      <c r="P124" s="9" t="s">
        <v>24</v>
      </c>
      <c r="Q124" s="9" t="s">
        <v>25</v>
      </c>
      <c r="R124">
        <f>VLOOKUP(E124,Workera!A$2:L$273,12,FALSE)</f>
        <v>147385</v>
      </c>
      <c r="S124">
        <f>VLOOKUP(E124,Planilla!A$2:L$273,12,FALSE)</f>
        <v>147385</v>
      </c>
      <c r="T124" t="str">
        <f t="shared" si="3"/>
        <v>OK</v>
      </c>
    </row>
    <row r="125" spans="1:20" x14ac:dyDescent="0.35">
      <c r="A125" s="9" t="s">
        <v>105</v>
      </c>
      <c r="B125" s="9" t="s">
        <v>106</v>
      </c>
      <c r="C125" s="9" t="s">
        <v>106</v>
      </c>
      <c r="D125" s="9" t="s">
        <v>18</v>
      </c>
      <c r="E125" s="9" t="s">
        <v>179</v>
      </c>
      <c r="F125" s="9" t="s">
        <v>28</v>
      </c>
      <c r="G125" s="9">
        <v>11</v>
      </c>
      <c r="H125" s="9">
        <v>10</v>
      </c>
      <c r="I125" s="9">
        <v>212017.5</v>
      </c>
      <c r="J125" s="6">
        <v>212017.5</v>
      </c>
      <c r="K125" s="9">
        <f t="shared" si="2"/>
        <v>0</v>
      </c>
      <c r="L125" s="9" t="s">
        <v>21</v>
      </c>
      <c r="M125" s="9"/>
      <c r="N125" s="9" t="s">
        <v>108</v>
      </c>
      <c r="O125" s="9" t="s">
        <v>109</v>
      </c>
      <c r="P125" s="9" t="s">
        <v>24</v>
      </c>
      <c r="Q125" s="9" t="s">
        <v>25</v>
      </c>
      <c r="R125">
        <f>VLOOKUP(E125,Workera!A$2:L$273,12,FALSE)</f>
        <v>212017.5</v>
      </c>
      <c r="S125">
        <f>VLOOKUP(E125,Planilla!A$2:L$273,12,FALSE)</f>
        <v>212017.5</v>
      </c>
      <c r="T125" t="str">
        <f t="shared" si="3"/>
        <v>OK</v>
      </c>
    </row>
    <row r="126" spans="1:20" x14ac:dyDescent="0.35">
      <c r="A126" s="9" t="s">
        <v>105</v>
      </c>
      <c r="B126" s="9" t="s">
        <v>106</v>
      </c>
      <c r="C126" s="9" t="s">
        <v>106</v>
      </c>
      <c r="D126" s="9" t="s">
        <v>18</v>
      </c>
      <c r="E126" s="9" t="s">
        <v>180</v>
      </c>
      <c r="F126" s="9" t="s">
        <v>20</v>
      </c>
      <c r="G126" s="9">
        <v>19</v>
      </c>
      <c r="H126" s="9">
        <v>20</v>
      </c>
      <c r="I126" s="9">
        <v>189200</v>
      </c>
      <c r="J126" s="6">
        <v>189200</v>
      </c>
      <c r="K126" s="9">
        <f t="shared" si="2"/>
        <v>0</v>
      </c>
      <c r="L126" s="9" t="s">
        <v>21</v>
      </c>
      <c r="M126" s="9"/>
      <c r="N126" s="9" t="s">
        <v>108</v>
      </c>
      <c r="O126" s="9" t="s">
        <v>109</v>
      </c>
      <c r="P126" s="9" t="s">
        <v>24</v>
      </c>
      <c r="Q126" s="9" t="s">
        <v>25</v>
      </c>
      <c r="R126">
        <f>VLOOKUP(E126,Workera!A$2:L$273,12,FALSE)</f>
        <v>189200</v>
      </c>
      <c r="S126">
        <f>VLOOKUP(E126,Planilla!A$2:L$273,12,FALSE)</f>
        <v>189200</v>
      </c>
      <c r="T126" t="str">
        <f t="shared" si="3"/>
        <v>OK</v>
      </c>
    </row>
    <row r="127" spans="1:20" x14ac:dyDescent="0.35">
      <c r="A127" s="9" t="s">
        <v>105</v>
      </c>
      <c r="B127" s="9" t="s">
        <v>106</v>
      </c>
      <c r="C127" s="9" t="s">
        <v>106</v>
      </c>
      <c r="D127" s="9" t="s">
        <v>18</v>
      </c>
      <c r="E127" s="9" t="s">
        <v>181</v>
      </c>
      <c r="F127" s="9" t="s">
        <v>45</v>
      </c>
      <c r="G127" s="9">
        <v>15</v>
      </c>
      <c r="H127" s="9">
        <v>15</v>
      </c>
      <c r="I127" s="9">
        <v>451762.5</v>
      </c>
      <c r="J127" s="6">
        <v>451762.5</v>
      </c>
      <c r="K127" s="9">
        <f t="shared" si="2"/>
        <v>0</v>
      </c>
      <c r="L127" s="9" t="s">
        <v>21</v>
      </c>
      <c r="M127" s="9"/>
      <c r="N127" s="9" t="s">
        <v>108</v>
      </c>
      <c r="O127" s="9" t="s">
        <v>109</v>
      </c>
      <c r="P127" s="9" t="s">
        <v>24</v>
      </c>
      <c r="Q127" s="9" t="s">
        <v>25</v>
      </c>
      <c r="R127">
        <f>VLOOKUP(E127,Workera!A$2:L$273,12,FALSE)</f>
        <v>421645</v>
      </c>
      <c r="S127">
        <f>VLOOKUP(E127,Planilla!A$2:L$273,12,FALSE)</f>
        <v>451762.5</v>
      </c>
      <c r="T127" t="str">
        <f t="shared" si="3"/>
        <v>OK</v>
      </c>
    </row>
    <row r="128" spans="1:20" x14ac:dyDescent="0.35">
      <c r="A128" s="9" t="s">
        <v>105</v>
      </c>
      <c r="B128" s="9" t="s">
        <v>106</v>
      </c>
      <c r="C128" s="9" t="s">
        <v>106</v>
      </c>
      <c r="D128" s="9" t="s">
        <v>18</v>
      </c>
      <c r="E128" s="9" t="s">
        <v>182</v>
      </c>
      <c r="F128" s="9" t="s">
        <v>20</v>
      </c>
      <c r="G128" s="9">
        <v>4</v>
      </c>
      <c r="H128" s="9">
        <v>3</v>
      </c>
      <c r="I128" s="9">
        <v>34800</v>
      </c>
      <c r="J128" s="6">
        <v>34800</v>
      </c>
      <c r="K128" s="9">
        <f t="shared" si="2"/>
        <v>0</v>
      </c>
      <c r="L128" s="9" t="s">
        <v>21</v>
      </c>
      <c r="M128" s="9"/>
      <c r="N128" s="9" t="s">
        <v>108</v>
      </c>
      <c r="O128" s="9" t="s">
        <v>109</v>
      </c>
      <c r="P128" s="9" t="s">
        <v>24</v>
      </c>
      <c r="Q128" s="9" t="s">
        <v>25</v>
      </c>
      <c r="R128">
        <f>VLOOKUP(E128,Workera!A$2:L$273,12,FALSE)</f>
        <v>34800</v>
      </c>
      <c r="S128">
        <f>VLOOKUP(E128,Planilla!A$2:L$273,12,FALSE)</f>
        <v>34800</v>
      </c>
      <c r="T128" t="str">
        <f t="shared" si="3"/>
        <v>OK</v>
      </c>
    </row>
    <row r="129" spans="1:20" x14ac:dyDescent="0.35">
      <c r="A129" s="9" t="s">
        <v>105</v>
      </c>
      <c r="B129" s="9" t="s">
        <v>106</v>
      </c>
      <c r="C129" s="9" t="s">
        <v>106</v>
      </c>
      <c r="D129" s="9" t="s">
        <v>18</v>
      </c>
      <c r="E129" s="9" t="s">
        <v>183</v>
      </c>
      <c r="F129" s="9" t="s">
        <v>74</v>
      </c>
      <c r="G129" s="9">
        <v>20</v>
      </c>
      <c r="H129" s="9">
        <v>20</v>
      </c>
      <c r="I129" s="9">
        <v>401566.67</v>
      </c>
      <c r="J129" s="6">
        <v>401566.67</v>
      </c>
      <c r="K129" s="9">
        <f t="shared" si="2"/>
        <v>0</v>
      </c>
      <c r="L129" s="9" t="s">
        <v>21</v>
      </c>
      <c r="M129" s="9"/>
      <c r="N129" s="9" t="s">
        <v>108</v>
      </c>
      <c r="O129" s="9" t="s">
        <v>109</v>
      </c>
      <c r="P129" s="9" t="s">
        <v>24</v>
      </c>
      <c r="Q129" s="9" t="s">
        <v>25</v>
      </c>
      <c r="R129">
        <f>VLOOKUP(E129,Workera!A$2:L$273,12,FALSE)</f>
        <v>381488.33</v>
      </c>
      <c r="S129">
        <f>VLOOKUP(E129,Planilla!A$2:L$273,12,FALSE)</f>
        <v>401566.67</v>
      </c>
      <c r="T129" t="str">
        <f t="shared" si="3"/>
        <v>OK</v>
      </c>
    </row>
    <row r="130" spans="1:20" x14ac:dyDescent="0.35">
      <c r="A130" s="9" t="s">
        <v>105</v>
      </c>
      <c r="B130" s="9" t="s">
        <v>106</v>
      </c>
      <c r="C130" s="9" t="s">
        <v>106</v>
      </c>
      <c r="D130" s="9" t="s">
        <v>18</v>
      </c>
      <c r="E130" s="9" t="s">
        <v>184</v>
      </c>
      <c r="F130" s="9" t="s">
        <v>20</v>
      </c>
      <c r="G130" s="9">
        <v>0</v>
      </c>
      <c r="H130" s="9">
        <v>0</v>
      </c>
      <c r="I130" s="9">
        <v>0</v>
      </c>
      <c r="J130" s="6">
        <v>0</v>
      </c>
      <c r="K130" s="9">
        <f t="shared" ref="K130:K193" si="4">+J130-I130</f>
        <v>0</v>
      </c>
      <c r="L130" s="9" t="s">
        <v>21</v>
      </c>
      <c r="M130" s="9"/>
      <c r="N130" s="9" t="s">
        <v>108</v>
      </c>
      <c r="O130" s="9" t="s">
        <v>109</v>
      </c>
      <c r="P130" s="9" t="s">
        <v>24</v>
      </c>
      <c r="Q130" s="9" t="s">
        <v>25</v>
      </c>
      <c r="R130">
        <f>VLOOKUP(E130,Workera!A$2:L$273,12,FALSE)</f>
        <v>0</v>
      </c>
      <c r="S130" t="e">
        <f>VLOOKUP(E130,Planilla!A$2:L$273,12,FALSE)</f>
        <v>#N/A</v>
      </c>
      <c r="T130" t="e">
        <f t="shared" si="3"/>
        <v>#N/A</v>
      </c>
    </row>
    <row r="131" spans="1:20" x14ac:dyDescent="0.35">
      <c r="A131" s="9" t="s">
        <v>105</v>
      </c>
      <c r="B131" s="9" t="s">
        <v>106</v>
      </c>
      <c r="C131" s="9" t="s">
        <v>106</v>
      </c>
      <c r="D131" s="9" t="s">
        <v>18</v>
      </c>
      <c r="E131" s="9" t="s">
        <v>185</v>
      </c>
      <c r="F131" s="9" t="s">
        <v>30</v>
      </c>
      <c r="G131" s="9">
        <v>20</v>
      </c>
      <c r="H131" s="9">
        <v>20</v>
      </c>
      <c r="I131" s="9">
        <v>602350</v>
      </c>
      <c r="J131" s="6">
        <v>602350</v>
      </c>
      <c r="K131" s="9">
        <f t="shared" si="4"/>
        <v>0</v>
      </c>
      <c r="L131" s="9" t="s">
        <v>21</v>
      </c>
      <c r="M131" s="9"/>
      <c r="N131" s="9" t="s">
        <v>108</v>
      </c>
      <c r="O131" s="9" t="s">
        <v>109</v>
      </c>
      <c r="P131" s="9" t="s">
        <v>24</v>
      </c>
      <c r="Q131" s="9" t="s">
        <v>25</v>
      </c>
      <c r="R131">
        <f>VLOOKUP(E131,Workera!A$2:L$273,12,FALSE)</f>
        <v>602350</v>
      </c>
      <c r="S131">
        <f>VLOOKUP(E131,Planilla!A$2:L$273,12,FALSE)</f>
        <v>602350</v>
      </c>
      <c r="T131" t="str">
        <f t="shared" ref="T131:T194" si="5">IF(J131=S131,"OK","Wrong")</f>
        <v>OK</v>
      </c>
    </row>
    <row r="132" spans="1:20" x14ac:dyDescent="0.35">
      <c r="A132" s="9" t="s">
        <v>105</v>
      </c>
      <c r="B132" s="9" t="s">
        <v>106</v>
      </c>
      <c r="C132" s="9" t="s">
        <v>106</v>
      </c>
      <c r="D132" s="9" t="s">
        <v>18</v>
      </c>
      <c r="E132" s="9" t="s">
        <v>186</v>
      </c>
      <c r="F132" s="9" t="s">
        <v>20</v>
      </c>
      <c r="G132" s="9">
        <v>0</v>
      </c>
      <c r="H132" s="9">
        <v>0</v>
      </c>
      <c r="I132" s="9">
        <v>0</v>
      </c>
      <c r="J132" s="6">
        <v>0</v>
      </c>
      <c r="K132" s="9">
        <f t="shared" si="4"/>
        <v>0</v>
      </c>
      <c r="L132" s="9" t="s">
        <v>21</v>
      </c>
      <c r="M132" s="9"/>
      <c r="N132" s="9" t="s">
        <v>108</v>
      </c>
      <c r="O132" s="9" t="s">
        <v>109</v>
      </c>
      <c r="P132" s="9" t="s">
        <v>24</v>
      </c>
      <c r="Q132" s="9" t="s">
        <v>25</v>
      </c>
      <c r="R132">
        <f>VLOOKUP(E132,Workera!A$2:L$273,12,FALSE)</f>
        <v>0</v>
      </c>
      <c r="S132" t="e">
        <f>VLOOKUP(E132,Planilla!A$2:L$273,12,FALSE)</f>
        <v>#N/A</v>
      </c>
      <c r="T132" t="e">
        <f t="shared" si="5"/>
        <v>#N/A</v>
      </c>
    </row>
    <row r="133" spans="1:20" x14ac:dyDescent="0.35">
      <c r="A133" s="9" t="s">
        <v>105</v>
      </c>
      <c r="B133" s="9" t="s">
        <v>106</v>
      </c>
      <c r="C133" s="9" t="s">
        <v>106</v>
      </c>
      <c r="D133" s="9" t="s">
        <v>18</v>
      </c>
      <c r="E133" s="9" t="s">
        <v>187</v>
      </c>
      <c r="F133" s="9" t="s">
        <v>35</v>
      </c>
      <c r="G133" s="9">
        <v>10</v>
      </c>
      <c r="H133" s="9">
        <v>10</v>
      </c>
      <c r="I133" s="9">
        <v>200783.33</v>
      </c>
      <c r="J133" s="6">
        <v>200783.33</v>
      </c>
      <c r="K133" s="9">
        <f t="shared" si="4"/>
        <v>0</v>
      </c>
      <c r="L133" s="9" t="s">
        <v>21</v>
      </c>
      <c r="M133" s="9"/>
      <c r="N133" s="9" t="s">
        <v>108</v>
      </c>
      <c r="O133" s="9" t="s">
        <v>109</v>
      </c>
      <c r="P133" s="9" t="s">
        <v>24</v>
      </c>
      <c r="Q133" s="9" t="s">
        <v>25</v>
      </c>
      <c r="R133">
        <f>VLOOKUP(E133,Workera!A$2:L$273,12,FALSE)</f>
        <v>220861.67</v>
      </c>
      <c r="S133">
        <f>VLOOKUP(E133,Planilla!A$2:L$273,12,FALSE)</f>
        <v>200783.33</v>
      </c>
      <c r="T133" t="str">
        <f t="shared" si="5"/>
        <v>OK</v>
      </c>
    </row>
    <row r="134" spans="1:20" x14ac:dyDescent="0.35">
      <c r="A134" s="9" t="s">
        <v>105</v>
      </c>
      <c r="B134" s="9" t="s">
        <v>106</v>
      </c>
      <c r="C134" s="9" t="s">
        <v>106</v>
      </c>
      <c r="D134" s="9" t="s">
        <v>18</v>
      </c>
      <c r="E134" s="9" t="s">
        <v>188</v>
      </c>
      <c r="F134" s="9" t="s">
        <v>74</v>
      </c>
      <c r="G134" s="9">
        <v>0</v>
      </c>
      <c r="H134" s="9">
        <v>0</v>
      </c>
      <c r="I134" s="9">
        <v>0</v>
      </c>
      <c r="J134" s="6">
        <v>0</v>
      </c>
      <c r="K134" s="9">
        <f t="shared" si="4"/>
        <v>0</v>
      </c>
      <c r="L134" s="9" t="s">
        <v>21</v>
      </c>
      <c r="M134" s="9"/>
      <c r="N134" s="9" t="s">
        <v>108</v>
      </c>
      <c r="O134" s="9" t="s">
        <v>109</v>
      </c>
      <c r="P134" s="9" t="s">
        <v>24</v>
      </c>
      <c r="Q134" s="9" t="s">
        <v>25</v>
      </c>
      <c r="R134">
        <f>VLOOKUP(E134,Workera!A$2:L$273,12,FALSE)</f>
        <v>0</v>
      </c>
      <c r="S134" t="e">
        <f>VLOOKUP(E134,Planilla!A$2:L$273,12,FALSE)</f>
        <v>#N/A</v>
      </c>
      <c r="T134" t="e">
        <f t="shared" si="5"/>
        <v>#N/A</v>
      </c>
    </row>
    <row r="135" spans="1:20" x14ac:dyDescent="0.35">
      <c r="A135" s="9" t="s">
        <v>105</v>
      </c>
      <c r="B135" s="9" t="s">
        <v>106</v>
      </c>
      <c r="C135" s="9" t="s">
        <v>106</v>
      </c>
      <c r="D135" s="9" t="s">
        <v>18</v>
      </c>
      <c r="E135" s="9" t="s">
        <v>189</v>
      </c>
      <c r="F135" s="9" t="s">
        <v>28</v>
      </c>
      <c r="G135" s="9">
        <v>20</v>
      </c>
      <c r="H135" s="9">
        <v>20</v>
      </c>
      <c r="I135" s="9">
        <v>706956.25</v>
      </c>
      <c r="J135" s="6">
        <v>706956.25</v>
      </c>
      <c r="K135" s="9">
        <f t="shared" si="4"/>
        <v>0</v>
      </c>
      <c r="L135" s="9" t="s">
        <v>21</v>
      </c>
      <c r="M135" s="9"/>
      <c r="N135" s="9" t="s">
        <v>108</v>
      </c>
      <c r="O135" s="9" t="s">
        <v>109</v>
      </c>
      <c r="P135" s="9" t="s">
        <v>24</v>
      </c>
      <c r="Q135" s="9" t="s">
        <v>25</v>
      </c>
      <c r="R135">
        <f>VLOOKUP(E135,Workera!A$2:L$273,12,FALSE)</f>
        <v>706956.25</v>
      </c>
      <c r="S135">
        <f>VLOOKUP(E135,Planilla!A$2:L$273,12,FALSE)</f>
        <v>706956.25</v>
      </c>
      <c r="T135" t="str">
        <f t="shared" si="5"/>
        <v>OK</v>
      </c>
    </row>
    <row r="136" spans="1:20" x14ac:dyDescent="0.35">
      <c r="A136" s="9" t="s">
        <v>105</v>
      </c>
      <c r="B136" s="9" t="s">
        <v>106</v>
      </c>
      <c r="C136" s="9" t="s">
        <v>106</v>
      </c>
      <c r="D136" s="9" t="s">
        <v>18</v>
      </c>
      <c r="E136" s="9" t="s">
        <v>190</v>
      </c>
      <c r="F136" s="9" t="s">
        <v>28</v>
      </c>
      <c r="G136" s="9">
        <v>0</v>
      </c>
      <c r="H136" s="9">
        <v>0</v>
      </c>
      <c r="I136" s="9">
        <v>0</v>
      </c>
      <c r="J136" s="6">
        <v>0</v>
      </c>
      <c r="K136" s="9">
        <f t="shared" si="4"/>
        <v>0</v>
      </c>
      <c r="L136" s="9" t="s">
        <v>21</v>
      </c>
      <c r="M136" s="9"/>
      <c r="N136" s="9" t="s">
        <v>108</v>
      </c>
      <c r="O136" s="9" t="s">
        <v>109</v>
      </c>
      <c r="P136" s="9" t="s">
        <v>24</v>
      </c>
      <c r="Q136" s="9" t="s">
        <v>25</v>
      </c>
      <c r="R136">
        <f>VLOOKUP(E136,Workera!A$2:L$273,12,FALSE)</f>
        <v>0</v>
      </c>
      <c r="S136" t="e">
        <f>VLOOKUP(E136,Planilla!A$2:L$273,12,FALSE)</f>
        <v>#N/A</v>
      </c>
      <c r="T136" t="e">
        <f t="shared" si="5"/>
        <v>#N/A</v>
      </c>
    </row>
    <row r="137" spans="1:20" x14ac:dyDescent="0.35">
      <c r="A137" s="9" t="s">
        <v>105</v>
      </c>
      <c r="B137" s="9" t="s">
        <v>106</v>
      </c>
      <c r="C137" s="9" t="s">
        <v>106</v>
      </c>
      <c r="D137" s="9" t="s">
        <v>18</v>
      </c>
      <c r="E137" s="9" t="s">
        <v>191</v>
      </c>
      <c r="F137" s="9" t="s">
        <v>20</v>
      </c>
      <c r="G137" s="9">
        <v>10</v>
      </c>
      <c r="H137" s="9">
        <v>10</v>
      </c>
      <c r="I137" s="9">
        <v>307100</v>
      </c>
      <c r="J137" s="6">
        <v>307100</v>
      </c>
      <c r="K137" s="9">
        <f t="shared" si="4"/>
        <v>0</v>
      </c>
      <c r="L137" s="9" t="s">
        <v>21</v>
      </c>
      <c r="M137" s="9"/>
      <c r="N137" s="9" t="s">
        <v>108</v>
      </c>
      <c r="O137" s="9" t="s">
        <v>109</v>
      </c>
      <c r="P137" s="9" t="s">
        <v>24</v>
      </c>
      <c r="Q137" s="9" t="s">
        <v>25</v>
      </c>
      <c r="R137">
        <f>VLOOKUP(E137,Workera!A$2:L$273,12,FALSE)</f>
        <v>307100</v>
      </c>
      <c r="S137">
        <f>VLOOKUP(E137,Planilla!A$2:L$273,12,FALSE)</f>
        <v>307100</v>
      </c>
      <c r="T137" t="str">
        <f t="shared" si="5"/>
        <v>OK</v>
      </c>
    </row>
    <row r="138" spans="1:20" x14ac:dyDescent="0.35">
      <c r="A138" s="9" t="s">
        <v>105</v>
      </c>
      <c r="B138" s="9" t="s">
        <v>106</v>
      </c>
      <c r="C138" s="9" t="s">
        <v>106</v>
      </c>
      <c r="D138" s="9" t="s">
        <v>18</v>
      </c>
      <c r="E138" s="9" t="s">
        <v>192</v>
      </c>
      <c r="F138" s="9" t="s">
        <v>45</v>
      </c>
      <c r="G138" s="9">
        <v>15</v>
      </c>
      <c r="H138" s="9">
        <v>15</v>
      </c>
      <c r="I138" s="9">
        <v>451762.5</v>
      </c>
      <c r="J138" s="6">
        <v>451762.5</v>
      </c>
      <c r="K138" s="9">
        <f t="shared" si="4"/>
        <v>0</v>
      </c>
      <c r="L138" s="9" t="s">
        <v>21</v>
      </c>
      <c r="M138" s="9"/>
      <c r="N138" s="9" t="s">
        <v>108</v>
      </c>
      <c r="O138" s="9" t="s">
        <v>109</v>
      </c>
      <c r="P138" s="9" t="s">
        <v>24</v>
      </c>
      <c r="Q138" s="9" t="s">
        <v>25</v>
      </c>
      <c r="R138">
        <f>VLOOKUP(E138,Workera!A$2:L$273,12,FALSE)</f>
        <v>451762.5</v>
      </c>
      <c r="S138">
        <f>VLOOKUP(E138,Planilla!A$2:L$273,12,FALSE)</f>
        <v>451762.5</v>
      </c>
      <c r="T138" t="str">
        <f t="shared" si="5"/>
        <v>OK</v>
      </c>
    </row>
    <row r="139" spans="1:20" x14ac:dyDescent="0.35">
      <c r="A139" s="9" t="s">
        <v>105</v>
      </c>
      <c r="B139" s="9" t="s">
        <v>106</v>
      </c>
      <c r="C139" s="9" t="s">
        <v>106</v>
      </c>
      <c r="D139" s="9" t="s">
        <v>18</v>
      </c>
      <c r="E139" s="9" t="s">
        <v>193</v>
      </c>
      <c r="F139" s="9" t="s">
        <v>28</v>
      </c>
      <c r="G139" s="9">
        <v>0</v>
      </c>
      <c r="H139" s="9">
        <v>0</v>
      </c>
      <c r="I139" s="9">
        <v>0</v>
      </c>
      <c r="J139" s="6">
        <v>0</v>
      </c>
      <c r="K139" s="9">
        <f t="shared" si="4"/>
        <v>0</v>
      </c>
      <c r="L139" s="9" t="s">
        <v>21</v>
      </c>
      <c r="M139" s="9"/>
      <c r="N139" s="9" t="s">
        <v>108</v>
      </c>
      <c r="O139" s="9" t="s">
        <v>109</v>
      </c>
      <c r="P139" s="9" t="s">
        <v>24</v>
      </c>
      <c r="Q139" s="9" t="s">
        <v>25</v>
      </c>
      <c r="R139">
        <f>VLOOKUP(E139,Workera!A$2:L$273,12,FALSE)</f>
        <v>0</v>
      </c>
      <c r="S139" t="e">
        <f>VLOOKUP(E139,Planilla!A$2:L$273,12,FALSE)</f>
        <v>#N/A</v>
      </c>
      <c r="T139" t="e">
        <f t="shared" si="5"/>
        <v>#N/A</v>
      </c>
    </row>
    <row r="140" spans="1:20" x14ac:dyDescent="0.35">
      <c r="A140" s="9" t="s">
        <v>105</v>
      </c>
      <c r="B140" s="9" t="s">
        <v>106</v>
      </c>
      <c r="C140" s="9" t="s">
        <v>106</v>
      </c>
      <c r="D140" s="9" t="s">
        <v>18</v>
      </c>
      <c r="E140" s="9" t="s">
        <v>194</v>
      </c>
      <c r="F140" s="9" t="s">
        <v>113</v>
      </c>
      <c r="G140" s="9">
        <v>10</v>
      </c>
      <c r="H140" s="9">
        <v>10</v>
      </c>
      <c r="I140" s="9">
        <v>200783.33</v>
      </c>
      <c r="J140" s="6">
        <v>200783.33</v>
      </c>
      <c r="K140" s="9">
        <f t="shared" si="4"/>
        <v>0</v>
      </c>
      <c r="L140" s="9" t="s">
        <v>21</v>
      </c>
      <c r="M140" s="9"/>
      <c r="N140" s="9" t="s">
        <v>108</v>
      </c>
      <c r="O140" s="9" t="s">
        <v>109</v>
      </c>
      <c r="P140" s="9" t="s">
        <v>24</v>
      </c>
      <c r="Q140" s="9" t="s">
        <v>25</v>
      </c>
      <c r="R140">
        <f>VLOOKUP(E140,Workera!A$2:L$273,12,FALSE)</f>
        <v>200783.33</v>
      </c>
      <c r="S140">
        <f>VLOOKUP(E140,Planilla!A$2:L$273,12,FALSE)</f>
        <v>200783.33</v>
      </c>
      <c r="T140" t="str">
        <f t="shared" si="5"/>
        <v>OK</v>
      </c>
    </row>
    <row r="141" spans="1:20" x14ac:dyDescent="0.35">
      <c r="A141" s="9" t="s">
        <v>105</v>
      </c>
      <c r="B141" s="9" t="s">
        <v>106</v>
      </c>
      <c r="C141" s="9" t="s">
        <v>106</v>
      </c>
      <c r="D141" s="9" t="s">
        <v>18</v>
      </c>
      <c r="E141" s="9" t="s">
        <v>196</v>
      </c>
      <c r="F141" s="9" t="s">
        <v>53</v>
      </c>
      <c r="G141" s="9">
        <v>0</v>
      </c>
      <c r="H141" s="9">
        <v>0</v>
      </c>
      <c r="I141" s="9">
        <v>0</v>
      </c>
      <c r="J141" s="6">
        <v>0</v>
      </c>
      <c r="K141" s="9">
        <f t="shared" si="4"/>
        <v>0</v>
      </c>
      <c r="L141" s="9" t="s">
        <v>21</v>
      </c>
      <c r="M141" s="9"/>
      <c r="N141" s="9" t="s">
        <v>108</v>
      </c>
      <c r="O141" s="9" t="s">
        <v>109</v>
      </c>
      <c r="P141" s="9" t="s">
        <v>24</v>
      </c>
      <c r="Q141" s="9" t="s">
        <v>25</v>
      </c>
      <c r="R141" t="e">
        <f>VLOOKUP(E141,Workera!A$2:L$273,12,FALSE)</f>
        <v>#N/A</v>
      </c>
      <c r="S141" t="e">
        <f>VLOOKUP(E141,Planilla!A$2:L$273,12,FALSE)</f>
        <v>#N/A</v>
      </c>
      <c r="T141" t="e">
        <f t="shared" si="5"/>
        <v>#N/A</v>
      </c>
    </row>
    <row r="142" spans="1:20" x14ac:dyDescent="0.35">
      <c r="A142" s="9" t="s">
        <v>105</v>
      </c>
      <c r="B142" s="9" t="s">
        <v>106</v>
      </c>
      <c r="C142" s="9" t="s">
        <v>106</v>
      </c>
      <c r="D142" s="9" t="s">
        <v>18</v>
      </c>
      <c r="E142" s="9" t="s">
        <v>197</v>
      </c>
      <c r="F142" s="9" t="s">
        <v>28</v>
      </c>
      <c r="G142" s="9">
        <v>0</v>
      </c>
      <c r="H142" s="9">
        <v>0</v>
      </c>
      <c r="I142" s="9">
        <v>0</v>
      </c>
      <c r="J142" s="6">
        <v>0</v>
      </c>
      <c r="K142" s="9">
        <f t="shared" si="4"/>
        <v>0</v>
      </c>
      <c r="L142" s="9" t="s">
        <v>21</v>
      </c>
      <c r="M142" s="9"/>
      <c r="N142" s="9" t="s">
        <v>108</v>
      </c>
      <c r="O142" s="9" t="s">
        <v>109</v>
      </c>
      <c r="P142" s="9" t="s">
        <v>24</v>
      </c>
      <c r="Q142" s="9" t="s">
        <v>25</v>
      </c>
      <c r="R142">
        <f>VLOOKUP(E142,Workera!A$2:L$273,12,FALSE)</f>
        <v>0</v>
      </c>
      <c r="S142" t="e">
        <f>VLOOKUP(E142,Planilla!A$2:L$273,12,FALSE)</f>
        <v>#N/A</v>
      </c>
      <c r="T142" t="e">
        <f t="shared" si="5"/>
        <v>#N/A</v>
      </c>
    </row>
    <row r="143" spans="1:20" x14ac:dyDescent="0.35">
      <c r="A143" s="9" t="s">
        <v>105</v>
      </c>
      <c r="B143" s="9" t="s">
        <v>106</v>
      </c>
      <c r="C143" s="9" t="s">
        <v>106</v>
      </c>
      <c r="D143" s="9" t="s">
        <v>18</v>
      </c>
      <c r="E143" s="9" t="s">
        <v>198</v>
      </c>
      <c r="F143" s="9" t="s">
        <v>20</v>
      </c>
      <c r="G143" s="9">
        <v>0</v>
      </c>
      <c r="H143" s="9">
        <v>0</v>
      </c>
      <c r="I143" s="9">
        <v>0</v>
      </c>
      <c r="J143" s="6">
        <v>0</v>
      </c>
      <c r="K143" s="9">
        <f t="shared" si="4"/>
        <v>0</v>
      </c>
      <c r="L143" s="9" t="s">
        <v>21</v>
      </c>
      <c r="M143" s="9"/>
      <c r="N143" s="9" t="s">
        <v>108</v>
      </c>
      <c r="O143" s="9" t="s">
        <v>109</v>
      </c>
      <c r="P143" s="9" t="s">
        <v>24</v>
      </c>
      <c r="Q143" s="9" t="s">
        <v>25</v>
      </c>
      <c r="R143" t="e">
        <f>VLOOKUP(E143,Workera!A$2:L$273,12,FALSE)</f>
        <v>#N/A</v>
      </c>
      <c r="S143" t="e">
        <f>VLOOKUP(E143,Planilla!A$2:L$273,12,FALSE)</f>
        <v>#N/A</v>
      </c>
      <c r="T143" t="e">
        <f t="shared" si="5"/>
        <v>#N/A</v>
      </c>
    </row>
    <row r="144" spans="1:20" x14ac:dyDescent="0.35">
      <c r="A144" s="9" t="s">
        <v>105</v>
      </c>
      <c r="B144" s="9" t="s">
        <v>106</v>
      </c>
      <c r="C144" s="9" t="s">
        <v>106</v>
      </c>
      <c r="D144" s="9" t="s">
        <v>18</v>
      </c>
      <c r="E144" s="9" t="s">
        <v>199</v>
      </c>
      <c r="F144" s="9" t="s">
        <v>27</v>
      </c>
      <c r="G144" s="9">
        <v>10</v>
      </c>
      <c r="H144" s="9">
        <v>10</v>
      </c>
      <c r="I144" s="9">
        <v>301175</v>
      </c>
      <c r="J144" s="6">
        <v>301175</v>
      </c>
      <c r="K144" s="9">
        <f t="shared" si="4"/>
        <v>0</v>
      </c>
      <c r="L144" s="9" t="s">
        <v>21</v>
      </c>
      <c r="M144" s="9"/>
      <c r="N144" s="9" t="s">
        <v>108</v>
      </c>
      <c r="O144" s="9" t="s">
        <v>109</v>
      </c>
      <c r="P144" s="9" t="s">
        <v>24</v>
      </c>
      <c r="Q144" s="9" t="s">
        <v>25</v>
      </c>
      <c r="R144">
        <f>VLOOKUP(E144,Workera!A$2:L$273,12,FALSE)</f>
        <v>301175</v>
      </c>
      <c r="S144">
        <f>VLOOKUP(E144,Planilla!A$2:L$273,12,FALSE)</f>
        <v>301175</v>
      </c>
      <c r="T144" t="str">
        <f t="shared" si="5"/>
        <v>OK</v>
      </c>
    </row>
    <row r="145" spans="1:20" x14ac:dyDescent="0.35">
      <c r="A145" s="9" t="s">
        <v>105</v>
      </c>
      <c r="B145" s="9" t="s">
        <v>106</v>
      </c>
      <c r="C145" s="9" t="s">
        <v>106</v>
      </c>
      <c r="D145" s="9" t="s">
        <v>18</v>
      </c>
      <c r="E145" s="9" t="s">
        <v>200</v>
      </c>
      <c r="F145" s="9" t="s">
        <v>74</v>
      </c>
      <c r="G145" s="9">
        <v>0</v>
      </c>
      <c r="H145" s="9">
        <v>0</v>
      </c>
      <c r="I145" s="9">
        <v>0</v>
      </c>
      <c r="J145" s="6">
        <v>0</v>
      </c>
      <c r="K145" s="9">
        <f t="shared" si="4"/>
        <v>0</v>
      </c>
      <c r="L145" s="9" t="s">
        <v>21</v>
      </c>
      <c r="M145" s="9"/>
      <c r="N145" s="9" t="s">
        <v>108</v>
      </c>
      <c r="O145" s="9" t="s">
        <v>109</v>
      </c>
      <c r="P145" s="9" t="s">
        <v>24</v>
      </c>
      <c r="Q145" s="9" t="s">
        <v>25</v>
      </c>
      <c r="R145" t="e">
        <f>VLOOKUP(E145,Workera!A$2:L$273,12,FALSE)</f>
        <v>#N/A</v>
      </c>
      <c r="S145" t="e">
        <f>VLOOKUP(E145,Planilla!A$2:L$273,12,FALSE)</f>
        <v>#N/A</v>
      </c>
      <c r="T145" t="e">
        <f t="shared" si="5"/>
        <v>#N/A</v>
      </c>
    </row>
    <row r="146" spans="1:20" x14ac:dyDescent="0.35">
      <c r="A146" s="9" t="s">
        <v>105</v>
      </c>
      <c r="B146" s="9" t="s">
        <v>106</v>
      </c>
      <c r="C146" s="9" t="s">
        <v>106</v>
      </c>
      <c r="D146" s="9" t="s">
        <v>18</v>
      </c>
      <c r="E146" s="9" t="s">
        <v>201</v>
      </c>
      <c r="F146" s="9" t="s">
        <v>74</v>
      </c>
      <c r="G146" s="9">
        <v>20</v>
      </c>
      <c r="H146" s="9">
        <v>20</v>
      </c>
      <c r="I146" s="9">
        <v>401566.67</v>
      </c>
      <c r="J146" s="6">
        <v>401566.67</v>
      </c>
      <c r="K146" s="9">
        <f t="shared" si="4"/>
        <v>0</v>
      </c>
      <c r="L146" s="9" t="s">
        <v>21</v>
      </c>
      <c r="M146" s="9"/>
      <c r="N146" s="9" t="s">
        <v>108</v>
      </c>
      <c r="O146" s="9" t="s">
        <v>109</v>
      </c>
      <c r="P146" s="9" t="s">
        <v>24</v>
      </c>
      <c r="Q146" s="9" t="s">
        <v>25</v>
      </c>
      <c r="R146">
        <f>VLOOKUP(E146,Workera!A$2:L$273,12,FALSE)</f>
        <v>401566.67</v>
      </c>
      <c r="S146">
        <f>VLOOKUP(E146,Planilla!A$2:L$273,12,FALSE)</f>
        <v>401566.67</v>
      </c>
      <c r="T146" t="str">
        <f t="shared" si="5"/>
        <v>OK</v>
      </c>
    </row>
    <row r="147" spans="1:20" x14ac:dyDescent="0.35">
      <c r="A147" s="9" t="s">
        <v>105</v>
      </c>
      <c r="B147" s="9" t="s">
        <v>106</v>
      </c>
      <c r="C147" s="9" t="s">
        <v>106</v>
      </c>
      <c r="D147" s="9" t="s">
        <v>18</v>
      </c>
      <c r="E147" s="9" t="s">
        <v>202</v>
      </c>
      <c r="F147" s="9" t="s">
        <v>20</v>
      </c>
      <c r="G147" s="9">
        <v>11</v>
      </c>
      <c r="H147" s="9">
        <v>10</v>
      </c>
      <c r="I147" s="9">
        <v>395250</v>
      </c>
      <c r="J147" s="6">
        <v>395250</v>
      </c>
      <c r="K147" s="9">
        <f t="shared" si="4"/>
        <v>0</v>
      </c>
      <c r="L147" s="9" t="s">
        <v>21</v>
      </c>
      <c r="M147" s="9"/>
      <c r="N147" s="9" t="s">
        <v>108</v>
      </c>
      <c r="O147" s="9" t="s">
        <v>109</v>
      </c>
      <c r="P147" s="9" t="s">
        <v>24</v>
      </c>
      <c r="Q147" s="9" t="s">
        <v>25</v>
      </c>
      <c r="R147">
        <f>VLOOKUP(E147,Workera!A$2:L$273,12,FALSE)</f>
        <v>395250</v>
      </c>
      <c r="S147">
        <f>VLOOKUP(E147,Planilla!A$2:L$273,12,FALSE)</f>
        <v>395250</v>
      </c>
      <c r="T147" t="str">
        <f t="shared" si="5"/>
        <v>OK</v>
      </c>
    </row>
    <row r="148" spans="1:20" x14ac:dyDescent="0.35">
      <c r="A148" s="9" t="s">
        <v>105</v>
      </c>
      <c r="B148" s="9" t="s">
        <v>106</v>
      </c>
      <c r="C148" s="9" t="s">
        <v>106</v>
      </c>
      <c r="D148" s="9" t="s">
        <v>18</v>
      </c>
      <c r="E148" s="9" t="s">
        <v>203</v>
      </c>
      <c r="F148" s="9" t="s">
        <v>20</v>
      </c>
      <c r="G148" s="9">
        <v>0</v>
      </c>
      <c r="H148" s="9">
        <v>0</v>
      </c>
      <c r="I148" s="9">
        <v>0</v>
      </c>
      <c r="J148" s="6">
        <v>0</v>
      </c>
      <c r="K148" s="9">
        <f t="shared" si="4"/>
        <v>0</v>
      </c>
      <c r="L148" s="9" t="s">
        <v>21</v>
      </c>
      <c r="M148" s="9"/>
      <c r="N148" s="9" t="s">
        <v>108</v>
      </c>
      <c r="O148" s="9" t="s">
        <v>109</v>
      </c>
      <c r="P148" s="9" t="s">
        <v>24</v>
      </c>
      <c r="Q148" s="9" t="s">
        <v>25</v>
      </c>
      <c r="R148">
        <f>VLOOKUP(E148,Workera!A$2:L$273,12,FALSE)</f>
        <v>0</v>
      </c>
      <c r="S148" t="e">
        <f>VLOOKUP(E148,Planilla!A$2:L$273,12,FALSE)</f>
        <v>#N/A</v>
      </c>
      <c r="T148" t="e">
        <f t="shared" si="5"/>
        <v>#N/A</v>
      </c>
    </row>
    <row r="149" spans="1:20" x14ac:dyDescent="0.35">
      <c r="A149" s="9" t="s">
        <v>105</v>
      </c>
      <c r="B149" s="9" t="s">
        <v>106</v>
      </c>
      <c r="C149" s="9" t="s">
        <v>106</v>
      </c>
      <c r="D149" s="9" t="s">
        <v>18</v>
      </c>
      <c r="E149" s="9" t="s">
        <v>204</v>
      </c>
      <c r="F149" s="9" t="s">
        <v>20</v>
      </c>
      <c r="G149" s="9">
        <v>10</v>
      </c>
      <c r="H149" s="9">
        <v>10</v>
      </c>
      <c r="I149" s="9">
        <v>194612.5</v>
      </c>
      <c r="J149" s="6">
        <v>194612.5</v>
      </c>
      <c r="K149" s="9">
        <f t="shared" si="4"/>
        <v>0</v>
      </c>
      <c r="L149" s="9" t="s">
        <v>21</v>
      </c>
      <c r="M149" s="9"/>
      <c r="N149" s="9" t="s">
        <v>108</v>
      </c>
      <c r="O149" s="9" t="s">
        <v>109</v>
      </c>
      <c r="P149" s="9" t="s">
        <v>24</v>
      </c>
      <c r="Q149" s="9" t="s">
        <v>25</v>
      </c>
      <c r="R149">
        <f>VLOOKUP(E149,Workera!A$2:L$273,12,FALSE)</f>
        <v>194612.5</v>
      </c>
      <c r="S149">
        <f>VLOOKUP(E149,Planilla!A$2:L$273,12,FALSE)</f>
        <v>194612.5</v>
      </c>
      <c r="T149" t="str">
        <f t="shared" si="5"/>
        <v>OK</v>
      </c>
    </row>
    <row r="150" spans="1:20" x14ac:dyDescent="0.35">
      <c r="A150" s="9" t="s">
        <v>105</v>
      </c>
      <c r="B150" s="9" t="s">
        <v>106</v>
      </c>
      <c r="C150" s="9" t="s">
        <v>106</v>
      </c>
      <c r="D150" s="9" t="s">
        <v>18</v>
      </c>
      <c r="E150" s="9" t="s">
        <v>205</v>
      </c>
      <c r="F150" s="9" t="s">
        <v>28</v>
      </c>
      <c r="G150" s="9">
        <v>12</v>
      </c>
      <c r="H150" s="9">
        <v>10</v>
      </c>
      <c r="I150" s="9">
        <v>655375</v>
      </c>
      <c r="J150" s="6">
        <v>655375</v>
      </c>
      <c r="K150" s="9">
        <f t="shared" si="4"/>
        <v>0</v>
      </c>
      <c r="L150" s="9" t="s">
        <v>21</v>
      </c>
      <c r="M150" s="9"/>
      <c r="N150" s="9" t="s">
        <v>108</v>
      </c>
      <c r="O150" s="9" t="s">
        <v>109</v>
      </c>
      <c r="P150" s="9" t="s">
        <v>24</v>
      </c>
      <c r="Q150" s="9" t="s">
        <v>25</v>
      </c>
      <c r="R150">
        <f>VLOOKUP(E150,Workera!A$2:L$273,12,FALSE)</f>
        <v>655375</v>
      </c>
      <c r="S150">
        <f>VLOOKUP(E150,Planilla!A$2:L$273,12,FALSE)</f>
        <v>655375</v>
      </c>
      <c r="T150" t="str">
        <f t="shared" si="5"/>
        <v>OK</v>
      </c>
    </row>
    <row r="151" spans="1:20" x14ac:dyDescent="0.35">
      <c r="A151" s="9" t="s">
        <v>105</v>
      </c>
      <c r="B151" s="9" t="s">
        <v>106</v>
      </c>
      <c r="C151" s="9" t="s">
        <v>106</v>
      </c>
      <c r="D151" s="9" t="s">
        <v>18</v>
      </c>
      <c r="E151" s="9" t="s">
        <v>206</v>
      </c>
      <c r="F151" s="9" t="s">
        <v>20</v>
      </c>
      <c r="G151" s="9">
        <v>20</v>
      </c>
      <c r="H151" s="9">
        <v>20</v>
      </c>
      <c r="I151" s="9">
        <v>497175</v>
      </c>
      <c r="J151" s="6">
        <v>497175</v>
      </c>
      <c r="K151" s="9">
        <f t="shared" si="4"/>
        <v>0</v>
      </c>
      <c r="L151" s="9" t="s">
        <v>21</v>
      </c>
      <c r="M151" s="9"/>
      <c r="N151" s="9" t="s">
        <v>108</v>
      </c>
      <c r="O151" s="9" t="s">
        <v>109</v>
      </c>
      <c r="P151" s="9" t="s">
        <v>24</v>
      </c>
      <c r="Q151" s="9" t="s">
        <v>25</v>
      </c>
      <c r="R151">
        <f>VLOOKUP(E151,Workera!A$2:L$273,12,FALSE)</f>
        <v>497175</v>
      </c>
      <c r="S151">
        <f>VLOOKUP(E151,Planilla!A$2:L$273,12,FALSE)</f>
        <v>497175</v>
      </c>
      <c r="T151" t="str">
        <f t="shared" si="5"/>
        <v>OK</v>
      </c>
    </row>
    <row r="152" spans="1:20" x14ac:dyDescent="0.35">
      <c r="A152" s="9" t="s">
        <v>105</v>
      </c>
      <c r="B152" s="9" t="s">
        <v>106</v>
      </c>
      <c r="C152" s="9" t="s">
        <v>106</v>
      </c>
      <c r="D152" s="9" t="s">
        <v>18</v>
      </c>
      <c r="E152" s="9" t="s">
        <v>207</v>
      </c>
      <c r="F152" s="9" t="s">
        <v>30</v>
      </c>
      <c r="G152" s="9">
        <v>0</v>
      </c>
      <c r="H152" s="9">
        <v>0</v>
      </c>
      <c r="I152" s="9">
        <v>0</v>
      </c>
      <c r="J152" s="6">
        <v>0</v>
      </c>
      <c r="K152" s="9">
        <f t="shared" si="4"/>
        <v>0</v>
      </c>
      <c r="L152" s="9" t="s">
        <v>21</v>
      </c>
      <c r="M152" s="9"/>
      <c r="N152" s="9" t="s">
        <v>108</v>
      </c>
      <c r="O152" s="9" t="s">
        <v>109</v>
      </c>
      <c r="P152" s="9" t="s">
        <v>24</v>
      </c>
      <c r="Q152" s="9" t="s">
        <v>25</v>
      </c>
      <c r="R152">
        <f>VLOOKUP(E152,Workera!A$2:L$273,12,FALSE)</f>
        <v>0</v>
      </c>
      <c r="S152" t="e">
        <f>VLOOKUP(E152,Planilla!A$2:L$273,12,FALSE)</f>
        <v>#N/A</v>
      </c>
      <c r="T152" t="e">
        <f t="shared" si="5"/>
        <v>#N/A</v>
      </c>
    </row>
    <row r="153" spans="1:20" x14ac:dyDescent="0.35">
      <c r="A153" s="9" t="s">
        <v>105</v>
      </c>
      <c r="B153" s="9" t="s">
        <v>106</v>
      </c>
      <c r="C153" s="9" t="s">
        <v>106</v>
      </c>
      <c r="D153" s="9" t="s">
        <v>18</v>
      </c>
      <c r="E153" s="9" t="s">
        <v>208</v>
      </c>
      <c r="F153" s="9" t="s">
        <v>20</v>
      </c>
      <c r="G153" s="9">
        <v>10</v>
      </c>
      <c r="H153" s="9">
        <v>10</v>
      </c>
      <c r="I153" s="9">
        <v>278160</v>
      </c>
      <c r="J153" s="6">
        <v>278160</v>
      </c>
      <c r="K153" s="9">
        <f t="shared" si="4"/>
        <v>0</v>
      </c>
      <c r="L153" s="9" t="s">
        <v>21</v>
      </c>
      <c r="M153" s="9"/>
      <c r="N153" s="9" t="s">
        <v>108</v>
      </c>
      <c r="O153" s="9" t="s">
        <v>109</v>
      </c>
      <c r="P153" s="9" t="s">
        <v>24</v>
      </c>
      <c r="Q153" s="9" t="s">
        <v>25</v>
      </c>
      <c r="R153">
        <f>VLOOKUP(E153,Workera!A$2:L$273,12,FALSE)</f>
        <v>278160</v>
      </c>
      <c r="S153">
        <f>VLOOKUP(E153,Planilla!A$2:L$273,12,FALSE)</f>
        <v>278160</v>
      </c>
      <c r="T153" t="str">
        <f t="shared" si="5"/>
        <v>OK</v>
      </c>
    </row>
    <row r="154" spans="1:20" x14ac:dyDescent="0.35">
      <c r="A154" s="9" t="s">
        <v>105</v>
      </c>
      <c r="B154" s="9" t="s">
        <v>106</v>
      </c>
      <c r="C154" s="9" t="s">
        <v>106</v>
      </c>
      <c r="D154" s="9" t="s">
        <v>18</v>
      </c>
      <c r="E154" s="9" t="s">
        <v>209</v>
      </c>
      <c r="F154" s="9" t="s">
        <v>20</v>
      </c>
      <c r="G154" s="9">
        <v>18</v>
      </c>
      <c r="H154" s="9">
        <v>20</v>
      </c>
      <c r="I154" s="9">
        <v>190000</v>
      </c>
      <c r="J154" s="6">
        <v>190000</v>
      </c>
      <c r="K154" s="9">
        <f t="shared" si="4"/>
        <v>0</v>
      </c>
      <c r="L154" s="9" t="s">
        <v>21</v>
      </c>
      <c r="M154" s="9"/>
      <c r="N154" s="9" t="s">
        <v>108</v>
      </c>
      <c r="O154" s="9" t="s">
        <v>109</v>
      </c>
      <c r="P154" s="9" t="s">
        <v>24</v>
      </c>
      <c r="Q154" s="9" t="s">
        <v>25</v>
      </c>
      <c r="R154">
        <f>VLOOKUP(E154,Workera!A$2:L$273,12,FALSE)</f>
        <v>190000</v>
      </c>
      <c r="S154">
        <f>VLOOKUP(E154,Planilla!A$2:L$273,12,FALSE)</f>
        <v>190000</v>
      </c>
      <c r="T154" t="str">
        <f t="shared" si="5"/>
        <v>OK</v>
      </c>
    </row>
    <row r="155" spans="1:20" x14ac:dyDescent="0.35">
      <c r="A155" s="9" t="s">
        <v>105</v>
      </c>
      <c r="B155" s="9" t="s">
        <v>106</v>
      </c>
      <c r="C155" s="9" t="s">
        <v>106</v>
      </c>
      <c r="D155" s="9" t="s">
        <v>18</v>
      </c>
      <c r="E155" s="9" t="s">
        <v>210</v>
      </c>
      <c r="F155" s="9" t="s">
        <v>35</v>
      </c>
      <c r="G155" s="9">
        <v>10</v>
      </c>
      <c r="H155" s="9">
        <v>10</v>
      </c>
      <c r="I155" s="9">
        <v>200783.33</v>
      </c>
      <c r="J155" s="6">
        <v>200783.33</v>
      </c>
      <c r="K155" s="9">
        <f t="shared" si="4"/>
        <v>0</v>
      </c>
      <c r="L155" s="9" t="s">
        <v>21</v>
      </c>
      <c r="M155" s="9"/>
      <c r="N155" s="9" t="s">
        <v>108</v>
      </c>
      <c r="O155" s="9" t="s">
        <v>109</v>
      </c>
      <c r="P155" s="9" t="s">
        <v>24</v>
      </c>
      <c r="Q155" s="9" t="s">
        <v>25</v>
      </c>
      <c r="R155">
        <f>VLOOKUP(E155,Workera!A$2:L$273,12,FALSE)</f>
        <v>220861.67</v>
      </c>
      <c r="S155">
        <f>VLOOKUP(E155,Planilla!A$2:L$273,12,FALSE)</f>
        <v>200783.33</v>
      </c>
      <c r="T155" t="str">
        <f t="shared" si="5"/>
        <v>OK</v>
      </c>
    </row>
    <row r="156" spans="1:20" x14ac:dyDescent="0.35">
      <c r="A156" s="9" t="s">
        <v>105</v>
      </c>
      <c r="B156" s="9" t="s">
        <v>106</v>
      </c>
      <c r="C156" s="9" t="s">
        <v>106</v>
      </c>
      <c r="D156" s="9" t="s">
        <v>18</v>
      </c>
      <c r="E156" s="9" t="s">
        <v>211</v>
      </c>
      <c r="F156" s="9" t="s">
        <v>35</v>
      </c>
      <c r="G156" s="9">
        <v>20</v>
      </c>
      <c r="H156" s="9">
        <v>20</v>
      </c>
      <c r="I156" s="9">
        <v>401566.67</v>
      </c>
      <c r="J156" s="6">
        <v>401566.67</v>
      </c>
      <c r="K156" s="9">
        <f t="shared" si="4"/>
        <v>0</v>
      </c>
      <c r="L156" s="9" t="s">
        <v>21</v>
      </c>
      <c r="M156" s="9"/>
      <c r="N156" s="9" t="s">
        <v>108</v>
      </c>
      <c r="O156" s="9" t="s">
        <v>109</v>
      </c>
      <c r="P156" s="9" t="s">
        <v>24</v>
      </c>
      <c r="Q156" s="9" t="s">
        <v>25</v>
      </c>
      <c r="R156">
        <f>VLOOKUP(E156,Workera!A$2:L$273,12,FALSE)</f>
        <v>401566.67</v>
      </c>
      <c r="S156">
        <f>VLOOKUP(E156,Planilla!A$2:L$273,12,FALSE)</f>
        <v>401566.67</v>
      </c>
      <c r="T156" t="str">
        <f t="shared" si="5"/>
        <v>OK</v>
      </c>
    </row>
    <row r="157" spans="1:20" x14ac:dyDescent="0.35">
      <c r="A157" s="9" t="s">
        <v>105</v>
      </c>
      <c r="B157" s="9" t="s">
        <v>106</v>
      </c>
      <c r="C157" s="9" t="s">
        <v>106</v>
      </c>
      <c r="D157" s="9" t="s">
        <v>18</v>
      </c>
      <c r="E157" s="9" t="s">
        <v>212</v>
      </c>
      <c r="F157" s="9" t="s">
        <v>33</v>
      </c>
      <c r="G157" s="9">
        <v>10</v>
      </c>
      <c r="H157" s="9">
        <v>10</v>
      </c>
      <c r="I157" s="9">
        <v>200783.33</v>
      </c>
      <c r="J157" s="6">
        <v>200783.33</v>
      </c>
      <c r="K157" s="9">
        <f t="shared" si="4"/>
        <v>0</v>
      </c>
      <c r="L157" s="9" t="s">
        <v>21</v>
      </c>
      <c r="M157" s="9"/>
      <c r="N157" s="9" t="s">
        <v>108</v>
      </c>
      <c r="O157" s="9" t="s">
        <v>109</v>
      </c>
      <c r="P157" s="9" t="s">
        <v>24</v>
      </c>
      <c r="Q157" s="9" t="s">
        <v>25</v>
      </c>
      <c r="R157">
        <f>VLOOKUP(E157,Workera!A$2:L$273,12,FALSE)</f>
        <v>200783.33</v>
      </c>
      <c r="S157">
        <f>VLOOKUP(E157,Planilla!A$2:L$273,12,FALSE)</f>
        <v>200783.33</v>
      </c>
      <c r="T157" t="str">
        <f t="shared" si="5"/>
        <v>OK</v>
      </c>
    </row>
    <row r="158" spans="1:20" x14ac:dyDescent="0.35">
      <c r="A158" s="9" t="s">
        <v>105</v>
      </c>
      <c r="B158" s="9" t="s">
        <v>106</v>
      </c>
      <c r="C158" s="9" t="s">
        <v>106</v>
      </c>
      <c r="D158" s="9" t="s">
        <v>18</v>
      </c>
      <c r="E158" s="9" t="s">
        <v>213</v>
      </c>
      <c r="F158" s="9" t="s">
        <v>20</v>
      </c>
      <c r="G158" s="9">
        <v>0</v>
      </c>
      <c r="H158" s="9">
        <v>0</v>
      </c>
      <c r="I158" s="9">
        <v>0</v>
      </c>
      <c r="J158" s="6">
        <v>0</v>
      </c>
      <c r="K158" s="9">
        <f t="shared" si="4"/>
        <v>0</v>
      </c>
      <c r="L158" s="9" t="s">
        <v>21</v>
      </c>
      <c r="M158" s="9"/>
      <c r="N158" s="9" t="s">
        <v>108</v>
      </c>
      <c r="O158" s="9" t="s">
        <v>109</v>
      </c>
      <c r="P158" s="9" t="s">
        <v>24</v>
      </c>
      <c r="Q158" s="9" t="s">
        <v>25</v>
      </c>
      <c r="R158">
        <f>VLOOKUP(E158,Workera!A$2:L$273,12,FALSE)</f>
        <v>0</v>
      </c>
      <c r="S158" t="e">
        <f>VLOOKUP(E158,Planilla!A$2:L$273,12,FALSE)</f>
        <v>#N/A</v>
      </c>
      <c r="T158" t="e">
        <f t="shared" si="5"/>
        <v>#N/A</v>
      </c>
    </row>
    <row r="159" spans="1:20" x14ac:dyDescent="0.35">
      <c r="A159" s="9" t="s">
        <v>105</v>
      </c>
      <c r="B159" s="9" t="s">
        <v>106</v>
      </c>
      <c r="C159" s="9" t="s">
        <v>106</v>
      </c>
      <c r="D159" s="9" t="s">
        <v>18</v>
      </c>
      <c r="E159" s="9" t="s">
        <v>214</v>
      </c>
      <c r="F159" s="9" t="s">
        <v>35</v>
      </c>
      <c r="G159" s="9">
        <v>10</v>
      </c>
      <c r="H159" s="9">
        <v>10</v>
      </c>
      <c r="I159" s="9">
        <v>200783.33</v>
      </c>
      <c r="J159" s="6">
        <v>200783.33</v>
      </c>
      <c r="K159" s="9">
        <f t="shared" si="4"/>
        <v>0</v>
      </c>
      <c r="L159" s="9" t="s">
        <v>21</v>
      </c>
      <c r="M159" s="9"/>
      <c r="N159" s="9" t="s">
        <v>108</v>
      </c>
      <c r="O159" s="9" t="s">
        <v>109</v>
      </c>
      <c r="P159" s="9" t="s">
        <v>24</v>
      </c>
      <c r="Q159" s="9" t="s">
        <v>25</v>
      </c>
      <c r="R159">
        <f>VLOOKUP(E159,Workera!A$2:L$273,12,FALSE)</f>
        <v>220861.67</v>
      </c>
      <c r="S159">
        <f>VLOOKUP(E159,Planilla!A$2:L$273,12,FALSE)</f>
        <v>200783.33</v>
      </c>
      <c r="T159" t="str">
        <f t="shared" si="5"/>
        <v>OK</v>
      </c>
    </row>
    <row r="160" spans="1:20" x14ac:dyDescent="0.35">
      <c r="A160" s="9" t="s">
        <v>105</v>
      </c>
      <c r="B160" s="9" t="s">
        <v>106</v>
      </c>
      <c r="C160" s="9" t="s">
        <v>106</v>
      </c>
      <c r="D160" s="9" t="s">
        <v>18</v>
      </c>
      <c r="E160" s="9" t="s">
        <v>215</v>
      </c>
      <c r="F160" s="9" t="s">
        <v>28</v>
      </c>
      <c r="G160" s="9">
        <v>19</v>
      </c>
      <c r="H160" s="9">
        <v>20</v>
      </c>
      <c r="I160" s="9">
        <v>808262.5</v>
      </c>
      <c r="J160" s="6">
        <v>808262.5</v>
      </c>
      <c r="K160" s="9">
        <f t="shared" si="4"/>
        <v>0</v>
      </c>
      <c r="L160" s="9" t="s">
        <v>21</v>
      </c>
      <c r="M160" s="9"/>
      <c r="N160" s="9" t="s">
        <v>108</v>
      </c>
      <c r="O160" s="9" t="s">
        <v>109</v>
      </c>
      <c r="P160" s="9" t="s">
        <v>24</v>
      </c>
      <c r="Q160" s="9" t="s">
        <v>25</v>
      </c>
      <c r="R160">
        <f>VLOOKUP(E160,Workera!A$2:L$273,12,FALSE)</f>
        <v>808262.5</v>
      </c>
      <c r="S160">
        <f>VLOOKUP(E160,Planilla!A$2:L$273,12,FALSE)</f>
        <v>808262.5</v>
      </c>
      <c r="T160" t="str">
        <f t="shared" si="5"/>
        <v>OK</v>
      </c>
    </row>
    <row r="161" spans="1:20" x14ac:dyDescent="0.35">
      <c r="A161" s="9" t="s">
        <v>105</v>
      </c>
      <c r="B161" s="9" t="s">
        <v>106</v>
      </c>
      <c r="C161" s="9" t="s">
        <v>106</v>
      </c>
      <c r="D161" s="9" t="s">
        <v>18</v>
      </c>
      <c r="E161" s="9" t="s">
        <v>216</v>
      </c>
      <c r="F161" s="9" t="s">
        <v>28</v>
      </c>
      <c r="G161" s="9">
        <v>0</v>
      </c>
      <c r="H161" s="9">
        <v>0</v>
      </c>
      <c r="I161" s="9">
        <v>0</v>
      </c>
      <c r="J161" s="6">
        <v>0</v>
      </c>
      <c r="K161" s="9">
        <f t="shared" si="4"/>
        <v>0</v>
      </c>
      <c r="L161" s="9" t="s">
        <v>21</v>
      </c>
      <c r="M161" s="9"/>
      <c r="N161" s="9" t="s">
        <v>108</v>
      </c>
      <c r="O161" s="9" t="s">
        <v>109</v>
      </c>
      <c r="P161" s="9" t="s">
        <v>24</v>
      </c>
      <c r="Q161" s="9" t="s">
        <v>25</v>
      </c>
      <c r="R161">
        <f>VLOOKUP(E161,Workera!A$2:L$273,12,FALSE)</f>
        <v>0</v>
      </c>
      <c r="S161" t="e">
        <f>VLOOKUP(E161,Planilla!A$2:L$273,12,FALSE)</f>
        <v>#N/A</v>
      </c>
      <c r="T161" t="e">
        <f t="shared" si="5"/>
        <v>#N/A</v>
      </c>
    </row>
    <row r="162" spans="1:20" x14ac:dyDescent="0.35">
      <c r="A162" s="9" t="s">
        <v>105</v>
      </c>
      <c r="B162" s="9" t="s">
        <v>106</v>
      </c>
      <c r="C162" s="9" t="s">
        <v>106</v>
      </c>
      <c r="D162" s="9" t="s">
        <v>18</v>
      </c>
      <c r="E162" s="9" t="s">
        <v>217</v>
      </c>
      <c r="F162" s="9" t="s">
        <v>20</v>
      </c>
      <c r="G162" s="9">
        <v>20</v>
      </c>
      <c r="H162" s="9">
        <v>20</v>
      </c>
      <c r="I162" s="9">
        <v>423925</v>
      </c>
      <c r="J162" s="6">
        <v>423925</v>
      </c>
      <c r="K162" s="9">
        <f t="shared" si="4"/>
        <v>0</v>
      </c>
      <c r="L162" s="9" t="s">
        <v>21</v>
      </c>
      <c r="M162" s="9"/>
      <c r="N162" s="9" t="s">
        <v>108</v>
      </c>
      <c r="O162" s="9" t="s">
        <v>109</v>
      </c>
      <c r="P162" s="9" t="s">
        <v>24</v>
      </c>
      <c r="Q162" s="9" t="s">
        <v>25</v>
      </c>
      <c r="R162">
        <f>VLOOKUP(E162,Workera!A$2:L$273,12,FALSE)</f>
        <v>423925</v>
      </c>
      <c r="S162">
        <f>VLOOKUP(E162,Planilla!A$2:L$273,12,FALSE)</f>
        <v>423925</v>
      </c>
      <c r="T162" t="str">
        <f t="shared" si="5"/>
        <v>OK</v>
      </c>
    </row>
    <row r="163" spans="1:20" x14ac:dyDescent="0.35">
      <c r="A163" s="9" t="s">
        <v>105</v>
      </c>
      <c r="B163" s="9" t="s">
        <v>106</v>
      </c>
      <c r="C163" s="9" t="s">
        <v>106</v>
      </c>
      <c r="D163" s="9" t="s">
        <v>18</v>
      </c>
      <c r="E163" s="9" t="s">
        <v>218</v>
      </c>
      <c r="F163" s="9" t="s">
        <v>27</v>
      </c>
      <c r="G163" s="9">
        <v>20</v>
      </c>
      <c r="H163" s="9">
        <v>20</v>
      </c>
      <c r="I163" s="9">
        <v>602350</v>
      </c>
      <c r="J163" s="6">
        <v>602350</v>
      </c>
      <c r="K163" s="9">
        <f t="shared" si="4"/>
        <v>0</v>
      </c>
      <c r="L163" s="9" t="s">
        <v>21</v>
      </c>
      <c r="M163" s="9"/>
      <c r="N163" s="9" t="s">
        <v>108</v>
      </c>
      <c r="O163" s="9" t="s">
        <v>109</v>
      </c>
      <c r="P163" s="9" t="s">
        <v>24</v>
      </c>
      <c r="Q163" s="9" t="s">
        <v>25</v>
      </c>
      <c r="R163">
        <f>VLOOKUP(E163,Workera!A$2:L$273,12,FALSE)</f>
        <v>572232.5</v>
      </c>
      <c r="S163">
        <f>VLOOKUP(E163,Planilla!A$2:L$273,12,FALSE)</f>
        <v>602350</v>
      </c>
      <c r="T163" t="str">
        <f t="shared" si="5"/>
        <v>OK</v>
      </c>
    </row>
    <row r="164" spans="1:20" x14ac:dyDescent="0.35">
      <c r="A164" s="9" t="s">
        <v>105</v>
      </c>
      <c r="B164" s="9" t="s">
        <v>106</v>
      </c>
      <c r="C164" s="9" t="s">
        <v>106</v>
      </c>
      <c r="D164" s="9" t="s">
        <v>18</v>
      </c>
      <c r="E164" s="9" t="s">
        <v>219</v>
      </c>
      <c r="F164" s="9" t="s">
        <v>20</v>
      </c>
      <c r="G164" s="9">
        <v>10</v>
      </c>
      <c r="H164" s="9">
        <v>10</v>
      </c>
      <c r="I164" s="9">
        <v>401387.5</v>
      </c>
      <c r="J164" s="6">
        <v>401387.5</v>
      </c>
      <c r="K164" s="9">
        <f t="shared" si="4"/>
        <v>0</v>
      </c>
      <c r="L164" s="9" t="s">
        <v>21</v>
      </c>
      <c r="M164" s="9"/>
      <c r="N164" s="9" t="s">
        <v>108</v>
      </c>
      <c r="O164" s="9" t="s">
        <v>109</v>
      </c>
      <c r="P164" s="9" t="s">
        <v>24</v>
      </c>
      <c r="Q164" s="9" t="s">
        <v>25</v>
      </c>
      <c r="R164">
        <f>VLOOKUP(E164,Workera!A$2:L$273,12,FALSE)</f>
        <v>401387.5</v>
      </c>
      <c r="S164">
        <f>VLOOKUP(E164,Planilla!A$2:L$273,12,FALSE)</f>
        <v>401387.5</v>
      </c>
      <c r="T164" t="str">
        <f t="shared" si="5"/>
        <v>OK</v>
      </c>
    </row>
    <row r="165" spans="1:20" x14ac:dyDescent="0.35">
      <c r="A165" s="9" t="s">
        <v>105</v>
      </c>
      <c r="B165" s="9" t="s">
        <v>106</v>
      </c>
      <c r="C165" s="9" t="s">
        <v>106</v>
      </c>
      <c r="D165" s="9" t="s">
        <v>18</v>
      </c>
      <c r="E165" s="9" t="s">
        <v>220</v>
      </c>
      <c r="F165" s="9" t="s">
        <v>28</v>
      </c>
      <c r="G165" s="9">
        <v>0</v>
      </c>
      <c r="H165" s="9">
        <v>0</v>
      </c>
      <c r="I165" s="9">
        <v>0</v>
      </c>
      <c r="J165" s="6">
        <v>0</v>
      </c>
      <c r="K165" s="9">
        <f t="shared" si="4"/>
        <v>0</v>
      </c>
      <c r="L165" s="9" t="s">
        <v>21</v>
      </c>
      <c r="M165" s="9"/>
      <c r="N165" s="9" t="s">
        <v>108</v>
      </c>
      <c r="O165" s="9" t="s">
        <v>109</v>
      </c>
      <c r="P165" s="9" t="s">
        <v>24</v>
      </c>
      <c r="Q165" s="9" t="s">
        <v>25</v>
      </c>
      <c r="R165" t="e">
        <f>VLOOKUP(E165,Workera!A$2:L$273,12,FALSE)</f>
        <v>#N/A</v>
      </c>
      <c r="S165" t="e">
        <f>VLOOKUP(E165,Planilla!A$2:L$273,12,FALSE)</f>
        <v>#N/A</v>
      </c>
      <c r="T165" t="e">
        <f t="shared" si="5"/>
        <v>#N/A</v>
      </c>
    </row>
    <row r="166" spans="1:20" x14ac:dyDescent="0.35">
      <c r="A166" s="9" t="s">
        <v>105</v>
      </c>
      <c r="B166" s="9" t="s">
        <v>106</v>
      </c>
      <c r="C166" s="9" t="s">
        <v>106</v>
      </c>
      <c r="D166" s="9" t="s">
        <v>18</v>
      </c>
      <c r="E166" s="9" t="s">
        <v>221</v>
      </c>
      <c r="F166" s="9" t="s">
        <v>35</v>
      </c>
      <c r="G166" s="9">
        <v>20</v>
      </c>
      <c r="H166" s="9">
        <v>20</v>
      </c>
      <c r="I166" s="9">
        <v>401566.67</v>
      </c>
      <c r="J166" s="6">
        <v>401566.67</v>
      </c>
      <c r="K166" s="9">
        <f t="shared" si="4"/>
        <v>0</v>
      </c>
      <c r="L166" s="9" t="s">
        <v>21</v>
      </c>
      <c r="M166" s="9"/>
      <c r="N166" s="9" t="s">
        <v>108</v>
      </c>
      <c r="O166" s="9" t="s">
        <v>109</v>
      </c>
      <c r="P166" s="9" t="s">
        <v>24</v>
      </c>
      <c r="Q166" s="9" t="s">
        <v>25</v>
      </c>
      <c r="R166" t="e">
        <f>VLOOKUP(E166,Workera!A$2:L$273,12,FALSE)</f>
        <v>#N/A</v>
      </c>
      <c r="S166" t="e">
        <f>VLOOKUP(E166,Planilla!A$2:L$273,12,FALSE)</f>
        <v>#N/A</v>
      </c>
      <c r="T166" t="e">
        <f t="shared" si="5"/>
        <v>#N/A</v>
      </c>
    </row>
    <row r="167" spans="1:20" x14ac:dyDescent="0.35">
      <c r="A167" s="9" t="s">
        <v>105</v>
      </c>
      <c r="B167" s="9" t="s">
        <v>106</v>
      </c>
      <c r="C167" s="9" t="s">
        <v>106</v>
      </c>
      <c r="D167" s="9" t="s">
        <v>18</v>
      </c>
      <c r="E167" s="9" t="s">
        <v>222</v>
      </c>
      <c r="F167" s="9" t="s">
        <v>53</v>
      </c>
      <c r="G167" s="9">
        <v>0</v>
      </c>
      <c r="H167" s="9">
        <v>0</v>
      </c>
      <c r="I167" s="9">
        <v>0</v>
      </c>
      <c r="J167" s="6">
        <v>0</v>
      </c>
      <c r="K167" s="9">
        <f t="shared" si="4"/>
        <v>0</v>
      </c>
      <c r="L167" s="9" t="s">
        <v>21</v>
      </c>
      <c r="M167" s="9"/>
      <c r="N167" s="9" t="s">
        <v>108</v>
      </c>
      <c r="O167" s="9" t="s">
        <v>109</v>
      </c>
      <c r="P167" s="9" t="s">
        <v>24</v>
      </c>
      <c r="Q167" s="9" t="s">
        <v>25</v>
      </c>
      <c r="R167">
        <f>VLOOKUP(E167,Workera!A$2:L$273,12,FALSE)</f>
        <v>0</v>
      </c>
      <c r="S167" t="e">
        <f>VLOOKUP(E167,Planilla!A$2:L$273,12,FALSE)</f>
        <v>#N/A</v>
      </c>
      <c r="T167" t="e">
        <f t="shared" si="5"/>
        <v>#N/A</v>
      </c>
    </row>
    <row r="168" spans="1:20" x14ac:dyDescent="0.35">
      <c r="A168" s="9" t="s">
        <v>105</v>
      </c>
      <c r="B168" s="9" t="s">
        <v>106</v>
      </c>
      <c r="C168" s="9" t="s">
        <v>106</v>
      </c>
      <c r="D168" s="9" t="s">
        <v>18</v>
      </c>
      <c r="E168" s="9" t="s">
        <v>223</v>
      </c>
      <c r="F168" s="9" t="s">
        <v>224</v>
      </c>
      <c r="G168" s="9">
        <v>11</v>
      </c>
      <c r="H168" s="9">
        <v>10</v>
      </c>
      <c r="I168" s="9">
        <v>395250</v>
      </c>
      <c r="J168" s="6">
        <v>395250</v>
      </c>
      <c r="K168" s="9">
        <f t="shared" si="4"/>
        <v>0</v>
      </c>
      <c r="L168" s="9" t="s">
        <v>21</v>
      </c>
      <c r="M168" s="9"/>
      <c r="N168" s="9" t="s">
        <v>108</v>
      </c>
      <c r="O168" s="9" t="s">
        <v>109</v>
      </c>
      <c r="P168" s="9" t="s">
        <v>24</v>
      </c>
      <c r="Q168" s="9" t="s">
        <v>25</v>
      </c>
      <c r="R168">
        <f>VLOOKUP(E168,Workera!A$2:L$273,12,FALSE)</f>
        <v>395250</v>
      </c>
      <c r="S168">
        <f>VLOOKUP(E168,Planilla!A$2:L$273,12,FALSE)</f>
        <v>395250</v>
      </c>
      <c r="T168" t="str">
        <f t="shared" si="5"/>
        <v>OK</v>
      </c>
    </row>
    <row r="169" spans="1:20" x14ac:dyDescent="0.35">
      <c r="A169" s="9" t="s">
        <v>105</v>
      </c>
      <c r="B169" s="9" t="s">
        <v>106</v>
      </c>
      <c r="C169" s="9" t="s">
        <v>106</v>
      </c>
      <c r="D169" s="9" t="s">
        <v>18</v>
      </c>
      <c r="E169" s="9" t="s">
        <v>225</v>
      </c>
      <c r="F169" s="9" t="s">
        <v>27</v>
      </c>
      <c r="G169" s="9">
        <v>10</v>
      </c>
      <c r="H169" s="9">
        <v>10</v>
      </c>
      <c r="I169" s="9">
        <v>301175</v>
      </c>
      <c r="J169" s="6">
        <v>301175</v>
      </c>
      <c r="K169" s="9">
        <f t="shared" si="4"/>
        <v>0</v>
      </c>
      <c r="L169" s="9" t="s">
        <v>21</v>
      </c>
      <c r="M169" s="9"/>
      <c r="N169" s="9" t="s">
        <v>108</v>
      </c>
      <c r="O169" s="9" t="s">
        <v>109</v>
      </c>
      <c r="P169" s="9" t="s">
        <v>24</v>
      </c>
      <c r="Q169" s="9" t="s">
        <v>25</v>
      </c>
      <c r="R169">
        <f>VLOOKUP(E169,Workera!A$2:L$273,12,FALSE)</f>
        <v>331292.5</v>
      </c>
      <c r="S169">
        <f>VLOOKUP(E169,Planilla!A$2:L$273,12,FALSE)</f>
        <v>301175</v>
      </c>
      <c r="T169" t="str">
        <f t="shared" si="5"/>
        <v>OK</v>
      </c>
    </row>
    <row r="170" spans="1:20" x14ac:dyDescent="0.35">
      <c r="A170" s="9" t="s">
        <v>105</v>
      </c>
      <c r="B170" s="9" t="s">
        <v>106</v>
      </c>
      <c r="C170" s="9" t="s">
        <v>106</v>
      </c>
      <c r="D170" s="9" t="s">
        <v>18</v>
      </c>
      <c r="E170" s="9" t="s">
        <v>226</v>
      </c>
      <c r="F170" s="9" t="s">
        <v>20</v>
      </c>
      <c r="G170" s="9">
        <v>18</v>
      </c>
      <c r="H170" s="9">
        <v>8</v>
      </c>
      <c r="I170" s="9">
        <v>135350</v>
      </c>
      <c r="J170" s="6">
        <v>135350</v>
      </c>
      <c r="K170" s="9">
        <f t="shared" si="4"/>
        <v>0</v>
      </c>
      <c r="L170" s="9" t="s">
        <v>21</v>
      </c>
      <c r="M170" s="9"/>
      <c r="N170" s="9" t="s">
        <v>108</v>
      </c>
      <c r="O170" s="9" t="s">
        <v>109</v>
      </c>
      <c r="P170" s="9" t="s">
        <v>24</v>
      </c>
      <c r="Q170" s="9" t="s">
        <v>25</v>
      </c>
      <c r="R170">
        <f>VLOOKUP(E170,Workera!A$2:L$273,12,FALSE)</f>
        <v>135350</v>
      </c>
      <c r="S170">
        <f>VLOOKUP(E170,Planilla!A$2:L$273,12,FALSE)</f>
        <v>135350</v>
      </c>
      <c r="T170" t="str">
        <f t="shared" si="5"/>
        <v>OK</v>
      </c>
    </row>
    <row r="171" spans="1:20" x14ac:dyDescent="0.35">
      <c r="A171" s="9" t="s">
        <v>105</v>
      </c>
      <c r="B171" s="9" t="s">
        <v>106</v>
      </c>
      <c r="C171" s="9" t="s">
        <v>106</v>
      </c>
      <c r="D171" s="9" t="s">
        <v>18</v>
      </c>
      <c r="E171" s="9" t="s">
        <v>227</v>
      </c>
      <c r="F171" s="9" t="s">
        <v>28</v>
      </c>
      <c r="G171" s="9">
        <v>11</v>
      </c>
      <c r="H171" s="9">
        <v>10</v>
      </c>
      <c r="I171" s="9">
        <v>215707.5</v>
      </c>
      <c r="J171" s="6">
        <v>215707.5</v>
      </c>
      <c r="K171" s="9">
        <f t="shared" si="4"/>
        <v>0</v>
      </c>
      <c r="L171" s="9" t="s">
        <v>21</v>
      </c>
      <c r="M171" s="9"/>
      <c r="N171" s="9" t="s">
        <v>108</v>
      </c>
      <c r="O171" s="9" t="s">
        <v>109</v>
      </c>
      <c r="P171" s="9" t="s">
        <v>24</v>
      </c>
      <c r="Q171" s="9" t="s">
        <v>25</v>
      </c>
      <c r="R171">
        <f>VLOOKUP(E171,Workera!A$2:L$273,12,FALSE)</f>
        <v>215707.5</v>
      </c>
      <c r="S171">
        <f>VLOOKUP(E171,Planilla!A$2:L$273,12,FALSE)</f>
        <v>215707.5</v>
      </c>
      <c r="T171" t="str">
        <f t="shared" si="5"/>
        <v>OK</v>
      </c>
    </row>
    <row r="172" spans="1:20" x14ac:dyDescent="0.35">
      <c r="A172" s="9" t="s">
        <v>105</v>
      </c>
      <c r="B172" s="9" t="s">
        <v>106</v>
      </c>
      <c r="C172" s="9" t="s">
        <v>106</v>
      </c>
      <c r="D172" s="9" t="s">
        <v>18</v>
      </c>
      <c r="E172" s="9" t="s">
        <v>228</v>
      </c>
      <c r="F172" s="9" t="s">
        <v>20</v>
      </c>
      <c r="G172" s="9">
        <v>10</v>
      </c>
      <c r="H172" s="9">
        <v>10</v>
      </c>
      <c r="I172" s="9">
        <v>428375</v>
      </c>
      <c r="J172" s="6">
        <v>428375</v>
      </c>
      <c r="K172" s="9">
        <f t="shared" si="4"/>
        <v>0</v>
      </c>
      <c r="L172" s="9" t="s">
        <v>21</v>
      </c>
      <c r="M172" s="9"/>
      <c r="N172" s="9" t="s">
        <v>108</v>
      </c>
      <c r="O172" s="9" t="s">
        <v>109</v>
      </c>
      <c r="P172" s="9" t="s">
        <v>24</v>
      </c>
      <c r="Q172" s="9" t="s">
        <v>25</v>
      </c>
      <c r="R172">
        <f>VLOOKUP(E172,Workera!A$2:L$273,12,FALSE)</f>
        <v>428375</v>
      </c>
      <c r="S172">
        <f>VLOOKUP(E172,Planilla!A$2:L$273,12,FALSE)</f>
        <v>428375</v>
      </c>
      <c r="T172" t="str">
        <f t="shared" si="5"/>
        <v>OK</v>
      </c>
    </row>
    <row r="173" spans="1:20" x14ac:dyDescent="0.35">
      <c r="A173" s="9" t="s">
        <v>105</v>
      </c>
      <c r="B173" s="9" t="s">
        <v>106</v>
      </c>
      <c r="C173" s="9" t="s">
        <v>106</v>
      </c>
      <c r="D173" s="9" t="s">
        <v>18</v>
      </c>
      <c r="E173" s="9" t="s">
        <v>229</v>
      </c>
      <c r="F173" s="9" t="s">
        <v>33</v>
      </c>
      <c r="G173" s="9">
        <v>10</v>
      </c>
      <c r="H173" s="9">
        <v>10</v>
      </c>
      <c r="I173" s="9">
        <v>200783.33</v>
      </c>
      <c r="J173" s="6">
        <v>200783.33</v>
      </c>
      <c r="K173" s="9">
        <f t="shared" si="4"/>
        <v>0</v>
      </c>
      <c r="L173" s="9" t="s">
        <v>21</v>
      </c>
      <c r="M173" s="9"/>
      <c r="N173" s="9" t="s">
        <v>108</v>
      </c>
      <c r="O173" s="9" t="s">
        <v>109</v>
      </c>
      <c r="P173" s="9" t="s">
        <v>24</v>
      </c>
      <c r="Q173" s="9" t="s">
        <v>25</v>
      </c>
      <c r="R173">
        <f>VLOOKUP(E173,Workera!A$2:L$273,12,FALSE)</f>
        <v>220861.67</v>
      </c>
      <c r="S173">
        <f>VLOOKUP(E173,Planilla!A$2:L$273,12,FALSE)</f>
        <v>200783.33</v>
      </c>
      <c r="T173" t="str">
        <f t="shared" si="5"/>
        <v>OK</v>
      </c>
    </row>
    <row r="174" spans="1:20" x14ac:dyDescent="0.35">
      <c r="A174" s="9" t="s">
        <v>105</v>
      </c>
      <c r="B174" s="9" t="s">
        <v>106</v>
      </c>
      <c r="C174" s="9" t="s">
        <v>106</v>
      </c>
      <c r="D174" s="9" t="s">
        <v>18</v>
      </c>
      <c r="E174" s="9" t="s">
        <v>230</v>
      </c>
      <c r="F174" s="9" t="s">
        <v>20</v>
      </c>
      <c r="G174" s="9">
        <v>10</v>
      </c>
      <c r="H174" s="9">
        <v>10</v>
      </c>
      <c r="I174" s="9">
        <v>196100</v>
      </c>
      <c r="J174" s="6">
        <v>196100</v>
      </c>
      <c r="K174" s="9">
        <f t="shared" si="4"/>
        <v>0</v>
      </c>
      <c r="L174" s="9" t="s">
        <v>21</v>
      </c>
      <c r="M174" s="9"/>
      <c r="N174" s="9" t="s">
        <v>108</v>
      </c>
      <c r="O174" s="9" t="s">
        <v>109</v>
      </c>
      <c r="P174" s="9" t="s">
        <v>24</v>
      </c>
      <c r="Q174" s="9" t="s">
        <v>25</v>
      </c>
      <c r="R174">
        <f>VLOOKUP(E174,Workera!A$2:L$273,12,FALSE)</f>
        <v>196100</v>
      </c>
      <c r="S174">
        <f>VLOOKUP(E174,Planilla!A$2:L$273,12,FALSE)</f>
        <v>196100</v>
      </c>
      <c r="T174" t="str">
        <f t="shared" si="5"/>
        <v>OK</v>
      </c>
    </row>
    <row r="175" spans="1:20" x14ac:dyDescent="0.35">
      <c r="A175" s="9" t="s">
        <v>105</v>
      </c>
      <c r="B175" s="9" t="s">
        <v>106</v>
      </c>
      <c r="C175" s="9" t="s">
        <v>106</v>
      </c>
      <c r="D175" s="9" t="s">
        <v>18</v>
      </c>
      <c r="E175" s="9" t="s">
        <v>231</v>
      </c>
      <c r="F175" s="9" t="s">
        <v>20</v>
      </c>
      <c r="G175" s="9">
        <v>0</v>
      </c>
      <c r="H175" s="9">
        <v>0</v>
      </c>
      <c r="I175" s="9">
        <v>0</v>
      </c>
      <c r="J175" s="6">
        <v>0</v>
      </c>
      <c r="K175" s="9">
        <f t="shared" si="4"/>
        <v>0</v>
      </c>
      <c r="L175" s="9" t="s">
        <v>21</v>
      </c>
      <c r="M175" s="9"/>
      <c r="N175" s="9" t="s">
        <v>108</v>
      </c>
      <c r="O175" s="9" t="s">
        <v>109</v>
      </c>
      <c r="P175" s="9" t="s">
        <v>24</v>
      </c>
      <c r="Q175" s="9" t="s">
        <v>25</v>
      </c>
      <c r="R175">
        <f>VLOOKUP(E175,Workera!A$2:L$273,12,FALSE)</f>
        <v>0</v>
      </c>
      <c r="S175" t="e">
        <f>VLOOKUP(E175,Planilla!A$2:L$273,12,FALSE)</f>
        <v>#N/A</v>
      </c>
      <c r="T175" t="e">
        <f t="shared" si="5"/>
        <v>#N/A</v>
      </c>
    </row>
    <row r="176" spans="1:20" x14ac:dyDescent="0.35">
      <c r="A176" s="9" t="s">
        <v>105</v>
      </c>
      <c r="B176" s="9" t="s">
        <v>106</v>
      </c>
      <c r="C176" s="9" t="s">
        <v>106</v>
      </c>
      <c r="D176" s="9" t="s">
        <v>18</v>
      </c>
      <c r="E176" s="9" t="s">
        <v>232</v>
      </c>
      <c r="F176" s="9" t="s">
        <v>20</v>
      </c>
      <c r="G176" s="9">
        <v>10</v>
      </c>
      <c r="H176" s="9">
        <v>10</v>
      </c>
      <c r="I176" s="9">
        <v>401387.5</v>
      </c>
      <c r="J176" s="6">
        <v>401387.5</v>
      </c>
      <c r="K176" s="9">
        <f t="shared" si="4"/>
        <v>0</v>
      </c>
      <c r="L176" s="9" t="s">
        <v>21</v>
      </c>
      <c r="M176" s="9"/>
      <c r="N176" s="9" t="s">
        <v>108</v>
      </c>
      <c r="O176" s="9" t="s">
        <v>109</v>
      </c>
      <c r="P176" s="9" t="s">
        <v>24</v>
      </c>
      <c r="Q176" s="9" t="s">
        <v>25</v>
      </c>
      <c r="R176">
        <f>VLOOKUP(E176,Workera!A$2:L$273,12,FALSE)</f>
        <v>401387.5</v>
      </c>
      <c r="S176">
        <f>VLOOKUP(E176,Planilla!A$2:L$273,12,FALSE)</f>
        <v>401387.5</v>
      </c>
      <c r="T176" t="str">
        <f t="shared" si="5"/>
        <v>OK</v>
      </c>
    </row>
    <row r="177" spans="1:20" x14ac:dyDescent="0.35">
      <c r="A177" s="9" t="s">
        <v>105</v>
      </c>
      <c r="B177" s="9" t="s">
        <v>106</v>
      </c>
      <c r="C177" s="9" t="s">
        <v>106</v>
      </c>
      <c r="D177" s="9" t="s">
        <v>18</v>
      </c>
      <c r="E177" s="9" t="s">
        <v>233</v>
      </c>
      <c r="F177" s="9" t="s">
        <v>20</v>
      </c>
      <c r="G177" s="9">
        <v>20</v>
      </c>
      <c r="H177" s="9">
        <v>20</v>
      </c>
      <c r="I177" s="9">
        <v>421700</v>
      </c>
      <c r="J177" s="6">
        <v>421700</v>
      </c>
      <c r="K177" s="9">
        <f t="shared" si="4"/>
        <v>0</v>
      </c>
      <c r="L177" s="9" t="s">
        <v>21</v>
      </c>
      <c r="M177" s="9"/>
      <c r="N177" s="9" t="s">
        <v>108</v>
      </c>
      <c r="O177" s="9" t="s">
        <v>109</v>
      </c>
      <c r="P177" s="9" t="s">
        <v>24</v>
      </c>
      <c r="Q177" s="9" t="s">
        <v>25</v>
      </c>
      <c r="R177">
        <f>VLOOKUP(E177,Workera!A$2:L$273,12,FALSE)</f>
        <v>421700</v>
      </c>
      <c r="S177">
        <f>VLOOKUP(E177,Planilla!A$2:L$273,12,FALSE)</f>
        <v>421700</v>
      </c>
      <c r="T177" t="str">
        <f t="shared" si="5"/>
        <v>OK</v>
      </c>
    </row>
    <row r="178" spans="1:20" x14ac:dyDescent="0.35">
      <c r="A178" s="9" t="s">
        <v>105</v>
      </c>
      <c r="B178" s="9" t="s">
        <v>106</v>
      </c>
      <c r="C178" s="9" t="s">
        <v>106</v>
      </c>
      <c r="D178" s="9" t="s">
        <v>18</v>
      </c>
      <c r="E178" s="9" t="s">
        <v>235</v>
      </c>
      <c r="F178" s="9" t="s">
        <v>35</v>
      </c>
      <c r="G178" s="9">
        <v>0</v>
      </c>
      <c r="H178" s="9">
        <v>0</v>
      </c>
      <c r="I178" s="9">
        <v>0</v>
      </c>
      <c r="J178" s="6">
        <v>0</v>
      </c>
      <c r="K178" s="9">
        <f t="shared" si="4"/>
        <v>0</v>
      </c>
      <c r="L178" s="9" t="s">
        <v>21</v>
      </c>
      <c r="M178" s="9"/>
      <c r="N178" s="9" t="s">
        <v>108</v>
      </c>
      <c r="O178" s="9" t="s">
        <v>109</v>
      </c>
      <c r="P178" s="9" t="s">
        <v>24</v>
      </c>
      <c r="Q178" s="9" t="s">
        <v>25</v>
      </c>
      <c r="R178" t="e">
        <f>VLOOKUP(E178,Workera!A$2:L$273,12,FALSE)</f>
        <v>#N/A</v>
      </c>
      <c r="S178" t="e">
        <f>VLOOKUP(E178,Planilla!A$2:L$273,12,FALSE)</f>
        <v>#N/A</v>
      </c>
      <c r="T178" t="e">
        <f t="shared" si="5"/>
        <v>#N/A</v>
      </c>
    </row>
    <row r="179" spans="1:20" x14ac:dyDescent="0.35">
      <c r="A179" s="9" t="s">
        <v>105</v>
      </c>
      <c r="B179" s="9" t="s">
        <v>106</v>
      </c>
      <c r="C179" s="9" t="s">
        <v>106</v>
      </c>
      <c r="D179" s="9" t="s">
        <v>18</v>
      </c>
      <c r="E179" s="9" t="s">
        <v>236</v>
      </c>
      <c r="F179" s="9" t="s">
        <v>28</v>
      </c>
      <c r="G179" s="9">
        <v>0</v>
      </c>
      <c r="H179" s="9">
        <v>0</v>
      </c>
      <c r="I179" s="9">
        <v>0</v>
      </c>
      <c r="J179" s="6">
        <v>0</v>
      </c>
      <c r="K179" s="9">
        <f t="shared" si="4"/>
        <v>0</v>
      </c>
      <c r="L179" s="9" t="s">
        <v>21</v>
      </c>
      <c r="M179" s="9"/>
      <c r="N179" s="9" t="s">
        <v>108</v>
      </c>
      <c r="O179" s="9" t="s">
        <v>109</v>
      </c>
      <c r="P179" s="9" t="s">
        <v>24</v>
      </c>
      <c r="Q179" s="9" t="s">
        <v>25</v>
      </c>
      <c r="R179">
        <f>VLOOKUP(E179,Workera!A$2:L$273,12,FALSE)</f>
        <v>0</v>
      </c>
      <c r="S179" t="e">
        <f>VLOOKUP(E179,Planilla!A$2:L$273,12,FALSE)</f>
        <v>#N/A</v>
      </c>
      <c r="T179" t="e">
        <f t="shared" si="5"/>
        <v>#N/A</v>
      </c>
    </row>
    <row r="180" spans="1:20" x14ac:dyDescent="0.35">
      <c r="A180" s="9" t="s">
        <v>105</v>
      </c>
      <c r="B180" s="9" t="s">
        <v>106</v>
      </c>
      <c r="C180" s="9" t="s">
        <v>106</v>
      </c>
      <c r="D180" s="9" t="s">
        <v>18</v>
      </c>
      <c r="E180" s="9" t="s">
        <v>237</v>
      </c>
      <c r="F180" s="9" t="s">
        <v>20</v>
      </c>
      <c r="G180" s="9">
        <v>20</v>
      </c>
      <c r="H180" s="9">
        <v>20</v>
      </c>
      <c r="I180" s="9">
        <v>450287.5</v>
      </c>
      <c r="J180" s="6">
        <v>450287.5</v>
      </c>
      <c r="K180" s="9">
        <f t="shared" si="4"/>
        <v>0</v>
      </c>
      <c r="L180" s="9" t="s">
        <v>21</v>
      </c>
      <c r="M180" s="9"/>
      <c r="N180" s="9" t="s">
        <v>108</v>
      </c>
      <c r="O180" s="9" t="s">
        <v>109</v>
      </c>
      <c r="P180" s="9" t="s">
        <v>24</v>
      </c>
      <c r="Q180" s="9" t="s">
        <v>25</v>
      </c>
      <c r="R180">
        <f>VLOOKUP(E180,Workera!A$2:L$273,12,FALSE)</f>
        <v>450287.5</v>
      </c>
      <c r="S180">
        <f>VLOOKUP(E180,Planilla!A$2:L$273,12,FALSE)</f>
        <v>450287.5</v>
      </c>
      <c r="T180" t="str">
        <f t="shared" si="5"/>
        <v>OK</v>
      </c>
    </row>
    <row r="181" spans="1:20" x14ac:dyDescent="0.35">
      <c r="A181" s="9" t="s">
        <v>238</v>
      </c>
      <c r="B181" s="9" t="s">
        <v>239</v>
      </c>
      <c r="C181" s="9" t="s">
        <v>239</v>
      </c>
      <c r="D181" s="9" t="s">
        <v>18</v>
      </c>
      <c r="E181" s="9" t="s">
        <v>240</v>
      </c>
      <c r="F181" s="9" t="s">
        <v>27</v>
      </c>
      <c r="G181" s="9">
        <v>15</v>
      </c>
      <c r="H181" s="9">
        <v>15</v>
      </c>
      <c r="I181" s="9">
        <v>227220</v>
      </c>
      <c r="J181" s="6">
        <v>227220</v>
      </c>
      <c r="K181" s="9">
        <f t="shared" si="4"/>
        <v>0</v>
      </c>
      <c r="L181" s="9" t="s">
        <v>21</v>
      </c>
      <c r="M181" s="9"/>
      <c r="N181" s="9" t="s">
        <v>241</v>
      </c>
      <c r="O181" s="9" t="s">
        <v>242</v>
      </c>
      <c r="P181" s="9" t="s">
        <v>24</v>
      </c>
      <c r="Q181" s="9" t="s">
        <v>25</v>
      </c>
      <c r="R181">
        <f>VLOOKUP(E181,Workera!A$2:L$273,12,FALSE)</f>
        <v>166628</v>
      </c>
      <c r="S181">
        <f>VLOOKUP(E181,Planilla!A$2:L$273,12,FALSE)</f>
        <v>227220</v>
      </c>
      <c r="T181" t="str">
        <f t="shared" si="5"/>
        <v>OK</v>
      </c>
    </row>
    <row r="182" spans="1:20" x14ac:dyDescent="0.35">
      <c r="A182" s="9" t="s">
        <v>238</v>
      </c>
      <c r="B182" s="9" t="s">
        <v>239</v>
      </c>
      <c r="C182" s="9" t="s">
        <v>239</v>
      </c>
      <c r="D182" s="9" t="s">
        <v>18</v>
      </c>
      <c r="E182" s="9" t="s">
        <v>152</v>
      </c>
      <c r="F182" s="9" t="s">
        <v>35</v>
      </c>
      <c r="G182" s="9">
        <v>14</v>
      </c>
      <c r="H182" s="9">
        <v>14</v>
      </c>
      <c r="I182" s="9">
        <v>147632.33000000002</v>
      </c>
      <c r="J182" s="6">
        <v>147632.33000000002</v>
      </c>
      <c r="K182" s="9">
        <f t="shared" si="4"/>
        <v>0</v>
      </c>
      <c r="L182" s="9" t="s">
        <v>21</v>
      </c>
      <c r="M182" s="9"/>
      <c r="N182" s="9" t="s">
        <v>241</v>
      </c>
      <c r="O182" s="9" t="s">
        <v>242</v>
      </c>
      <c r="P182" s="9" t="s">
        <v>24</v>
      </c>
      <c r="Q182" s="9" t="s">
        <v>25</v>
      </c>
      <c r="R182" t="e">
        <f>VLOOKUP(E182,Workera!A$2:L$273,12,FALSE)</f>
        <v>#N/A</v>
      </c>
      <c r="S182">
        <f>VLOOKUP(E182,Planilla!A$2:L$273,12,FALSE)</f>
        <v>147632.32999999999</v>
      </c>
      <c r="T182" t="str">
        <f t="shared" si="5"/>
        <v>OK</v>
      </c>
    </row>
    <row r="183" spans="1:20" x14ac:dyDescent="0.35">
      <c r="A183" s="9" t="s">
        <v>238</v>
      </c>
      <c r="B183" s="9" t="s">
        <v>239</v>
      </c>
      <c r="C183" s="9" t="s">
        <v>239</v>
      </c>
      <c r="D183" s="9" t="s">
        <v>18</v>
      </c>
      <c r="E183" s="9" t="s">
        <v>102</v>
      </c>
      <c r="F183" s="9" t="s">
        <v>28</v>
      </c>
      <c r="G183" s="9">
        <v>15</v>
      </c>
      <c r="H183" s="9">
        <v>15</v>
      </c>
      <c r="I183" s="9">
        <v>321806.25</v>
      </c>
      <c r="J183" s="6">
        <v>321806.25</v>
      </c>
      <c r="K183" s="9">
        <f t="shared" si="4"/>
        <v>0</v>
      </c>
      <c r="L183" s="9" t="s">
        <v>21</v>
      </c>
      <c r="M183" s="9"/>
      <c r="N183" s="9" t="s">
        <v>241</v>
      </c>
      <c r="O183" s="9" t="s">
        <v>242</v>
      </c>
      <c r="P183" s="9" t="s">
        <v>24</v>
      </c>
      <c r="Q183" s="9" t="s">
        <v>25</v>
      </c>
      <c r="R183">
        <f>VLOOKUP(E183,Workera!A$2:L$273,12,FALSE)</f>
        <v>0</v>
      </c>
      <c r="S183">
        <f>VLOOKUP(E183,Planilla!A$2:L$273,12,FALSE)</f>
        <v>321806.25</v>
      </c>
      <c r="T183" t="str">
        <f t="shared" si="5"/>
        <v>OK</v>
      </c>
    </row>
    <row r="184" spans="1:20" x14ac:dyDescent="0.35">
      <c r="A184" s="9" t="s">
        <v>238</v>
      </c>
      <c r="B184" s="9" t="s">
        <v>239</v>
      </c>
      <c r="C184" s="9" t="s">
        <v>239</v>
      </c>
      <c r="D184" s="9" t="s">
        <v>18</v>
      </c>
      <c r="E184" s="9" t="s">
        <v>243</v>
      </c>
      <c r="F184" s="9" t="s">
        <v>20</v>
      </c>
      <c r="G184" s="9">
        <v>15</v>
      </c>
      <c r="H184" s="9">
        <v>15</v>
      </c>
      <c r="I184" s="9">
        <v>160805</v>
      </c>
      <c r="J184" s="6">
        <v>160805</v>
      </c>
      <c r="K184" s="9">
        <f t="shared" si="4"/>
        <v>0</v>
      </c>
      <c r="L184" s="9" t="s">
        <v>21</v>
      </c>
      <c r="M184" s="9"/>
      <c r="N184" s="9" t="s">
        <v>241</v>
      </c>
      <c r="O184" s="9" t="s">
        <v>242</v>
      </c>
      <c r="P184" s="9" t="s">
        <v>24</v>
      </c>
      <c r="Q184" s="9" t="s">
        <v>25</v>
      </c>
      <c r="R184" t="e">
        <f>VLOOKUP(E184,Workera!A$2:L$273,12,FALSE)</f>
        <v>#N/A</v>
      </c>
      <c r="S184">
        <f>VLOOKUP(E184,Planilla!A$2:L$273,12,FALSE)</f>
        <v>160805</v>
      </c>
      <c r="T184" t="str">
        <f t="shared" si="5"/>
        <v>OK</v>
      </c>
    </row>
    <row r="185" spans="1:20" x14ac:dyDescent="0.35">
      <c r="A185" s="9" t="s">
        <v>238</v>
      </c>
      <c r="B185" s="9" t="s">
        <v>239</v>
      </c>
      <c r="C185" s="9" t="s">
        <v>239</v>
      </c>
      <c r="D185" s="9" t="s">
        <v>18</v>
      </c>
      <c r="E185" s="9" t="s">
        <v>244</v>
      </c>
      <c r="F185" s="9" t="s">
        <v>20</v>
      </c>
      <c r="G185" s="9">
        <v>0</v>
      </c>
      <c r="H185" s="9">
        <v>1</v>
      </c>
      <c r="I185" s="9">
        <v>0</v>
      </c>
      <c r="J185" s="6">
        <v>0</v>
      </c>
      <c r="K185" s="9">
        <f t="shared" si="4"/>
        <v>0</v>
      </c>
      <c r="L185" s="9" t="s">
        <v>21</v>
      </c>
      <c r="M185" s="9"/>
      <c r="N185" s="9" t="s">
        <v>241</v>
      </c>
      <c r="O185" s="9" t="s">
        <v>242</v>
      </c>
      <c r="P185" s="9" t="s">
        <v>24</v>
      </c>
      <c r="Q185" s="9" t="s">
        <v>25</v>
      </c>
      <c r="R185" t="e">
        <f>VLOOKUP(E185,Workera!A$2:L$273,12,FALSE)</f>
        <v>#N/A</v>
      </c>
      <c r="S185">
        <f>VLOOKUP(E185,Planilla!A$2:L$273,12,FALSE)</f>
        <v>0</v>
      </c>
      <c r="T185" t="str">
        <f t="shared" si="5"/>
        <v>OK</v>
      </c>
    </row>
    <row r="186" spans="1:20" x14ac:dyDescent="0.35">
      <c r="A186" s="9" t="s">
        <v>238</v>
      </c>
      <c r="B186" s="9" t="s">
        <v>239</v>
      </c>
      <c r="C186" s="9" t="s">
        <v>239</v>
      </c>
      <c r="D186" s="9" t="s">
        <v>18</v>
      </c>
      <c r="E186" s="9" t="s">
        <v>59</v>
      </c>
      <c r="F186" s="9" t="s">
        <v>60</v>
      </c>
      <c r="G186" s="9">
        <v>15</v>
      </c>
      <c r="H186" s="9">
        <v>15</v>
      </c>
      <c r="I186" s="9">
        <v>158177.5</v>
      </c>
      <c r="J186" s="6">
        <v>158177.5</v>
      </c>
      <c r="K186" s="9">
        <f t="shared" si="4"/>
        <v>0</v>
      </c>
      <c r="L186" s="9" t="s">
        <v>21</v>
      </c>
      <c r="M186" s="9"/>
      <c r="N186" s="9" t="s">
        <v>241</v>
      </c>
      <c r="O186" s="9" t="s">
        <v>242</v>
      </c>
      <c r="P186" s="9" t="s">
        <v>24</v>
      </c>
      <c r="Q186" s="9" t="s">
        <v>25</v>
      </c>
      <c r="R186" t="e">
        <f>VLOOKUP(E186,Workera!A$2:L$273,12,FALSE)</f>
        <v>#N/A</v>
      </c>
      <c r="S186" t="e">
        <f>VLOOKUP(E186,Planilla!A$2:L$273,12,FALSE)</f>
        <v>#N/A</v>
      </c>
      <c r="T186" t="e">
        <f t="shared" si="5"/>
        <v>#N/A</v>
      </c>
    </row>
    <row r="187" spans="1:20" x14ac:dyDescent="0.35">
      <c r="A187" s="9" t="s">
        <v>238</v>
      </c>
      <c r="B187" s="9" t="s">
        <v>239</v>
      </c>
      <c r="C187" s="9" t="s">
        <v>239</v>
      </c>
      <c r="D187" s="9" t="s">
        <v>18</v>
      </c>
      <c r="E187" s="9" t="s">
        <v>90</v>
      </c>
      <c r="F187" s="9" t="s">
        <v>20</v>
      </c>
      <c r="G187" s="9">
        <v>15</v>
      </c>
      <c r="H187" s="9">
        <v>15</v>
      </c>
      <c r="I187" s="9">
        <v>214537.5</v>
      </c>
      <c r="J187" s="6">
        <v>214537.5</v>
      </c>
      <c r="K187" s="9">
        <f t="shared" si="4"/>
        <v>0</v>
      </c>
      <c r="L187" s="9" t="s">
        <v>21</v>
      </c>
      <c r="M187" s="9"/>
      <c r="N187" s="9" t="s">
        <v>241</v>
      </c>
      <c r="O187" s="9" t="s">
        <v>242</v>
      </c>
      <c r="P187" s="9" t="s">
        <v>24</v>
      </c>
      <c r="Q187" s="9" t="s">
        <v>25</v>
      </c>
      <c r="R187">
        <f>VLOOKUP(E187,Workera!A$2:L$273,12,FALSE)</f>
        <v>0</v>
      </c>
      <c r="S187">
        <f>VLOOKUP(E187,Planilla!A$2:L$273,12,FALSE)</f>
        <v>214537.5</v>
      </c>
      <c r="T187" t="str">
        <f t="shared" si="5"/>
        <v>OK</v>
      </c>
    </row>
    <row r="188" spans="1:20" x14ac:dyDescent="0.35">
      <c r="A188" s="9" t="s">
        <v>238</v>
      </c>
      <c r="B188" s="9" t="s">
        <v>239</v>
      </c>
      <c r="C188" s="9" t="s">
        <v>239</v>
      </c>
      <c r="D188" s="9" t="s">
        <v>18</v>
      </c>
      <c r="E188" s="9" t="s">
        <v>82</v>
      </c>
      <c r="F188" s="9" t="s">
        <v>28</v>
      </c>
      <c r="G188" s="9">
        <v>15</v>
      </c>
      <c r="H188" s="9">
        <v>15</v>
      </c>
      <c r="I188" s="9">
        <v>293062.5</v>
      </c>
      <c r="J188" s="6">
        <v>293062.5</v>
      </c>
      <c r="K188" s="9">
        <f t="shared" si="4"/>
        <v>0</v>
      </c>
      <c r="L188" s="9" t="s">
        <v>21</v>
      </c>
      <c r="M188" s="9"/>
      <c r="N188" s="9" t="s">
        <v>241</v>
      </c>
      <c r="O188" s="9" t="s">
        <v>242</v>
      </c>
      <c r="P188" s="9" t="s">
        <v>24</v>
      </c>
      <c r="Q188" s="9" t="s">
        <v>25</v>
      </c>
      <c r="R188">
        <f>VLOOKUP(E188,Workera!A$2:L$273,12,FALSE)</f>
        <v>0</v>
      </c>
      <c r="S188">
        <f>VLOOKUP(E188,Planilla!A$2:L$273,12,FALSE)</f>
        <v>293062.5</v>
      </c>
      <c r="T188" t="str">
        <f t="shared" si="5"/>
        <v>OK</v>
      </c>
    </row>
    <row r="189" spans="1:20" s="3" customFormat="1" x14ac:dyDescent="0.35">
      <c r="A189" s="11" t="s">
        <v>238</v>
      </c>
      <c r="B189" s="11" t="s">
        <v>239</v>
      </c>
      <c r="C189" s="11" t="s">
        <v>239</v>
      </c>
      <c r="D189" s="11" t="s">
        <v>18</v>
      </c>
      <c r="E189" s="11" t="s">
        <v>79</v>
      </c>
      <c r="F189" s="11" t="s">
        <v>28</v>
      </c>
      <c r="G189" s="11">
        <v>0</v>
      </c>
      <c r="H189" s="11">
        <v>15</v>
      </c>
      <c r="I189" s="11">
        <v>220777.5</v>
      </c>
      <c r="J189" s="6">
        <v>220777.5</v>
      </c>
      <c r="K189" s="9">
        <f t="shared" si="4"/>
        <v>0</v>
      </c>
      <c r="L189" s="11" t="s">
        <v>21</v>
      </c>
      <c r="M189" s="11" t="s">
        <v>268</v>
      </c>
      <c r="N189" s="11" t="s">
        <v>241</v>
      </c>
      <c r="O189" s="11" t="s">
        <v>242</v>
      </c>
      <c r="P189" s="11" t="s">
        <v>24</v>
      </c>
      <c r="Q189" s="11" t="s">
        <v>25</v>
      </c>
      <c r="R189">
        <f>VLOOKUP(E189,Workera!A$2:L$273,12,FALSE)</f>
        <v>0</v>
      </c>
      <c r="S189">
        <f>VLOOKUP(E189,Planilla!A$2:L$273,12,FALSE)</f>
        <v>220777.5</v>
      </c>
      <c r="T189" t="str">
        <f t="shared" si="5"/>
        <v>OK</v>
      </c>
    </row>
    <row r="190" spans="1:20" x14ac:dyDescent="0.35">
      <c r="A190" s="9" t="s">
        <v>238</v>
      </c>
      <c r="B190" s="9" t="s">
        <v>239</v>
      </c>
      <c r="C190" s="9" t="s">
        <v>239</v>
      </c>
      <c r="D190" s="9" t="s">
        <v>18</v>
      </c>
      <c r="E190" s="9" t="s">
        <v>234</v>
      </c>
      <c r="F190" s="9" t="s">
        <v>35</v>
      </c>
      <c r="G190" s="9">
        <v>15</v>
      </c>
      <c r="H190" s="9">
        <v>15</v>
      </c>
      <c r="I190" s="9">
        <v>158177.5</v>
      </c>
      <c r="J190" s="6">
        <v>158177.5</v>
      </c>
      <c r="K190" s="9">
        <f t="shared" si="4"/>
        <v>0</v>
      </c>
      <c r="L190" s="9" t="s">
        <v>21</v>
      </c>
      <c r="M190" s="9"/>
      <c r="N190" s="9" t="s">
        <v>241</v>
      </c>
      <c r="O190" s="9" t="s">
        <v>242</v>
      </c>
      <c r="P190" s="9" t="s">
        <v>24</v>
      </c>
      <c r="Q190" s="9" t="s">
        <v>25</v>
      </c>
      <c r="R190">
        <f>VLOOKUP(E190,Workera!A$2:L$273,12,FALSE)</f>
        <v>301175</v>
      </c>
      <c r="S190">
        <f>VLOOKUP(E190,Planilla!A$2:L$273,12,FALSE)</f>
        <v>158177.5</v>
      </c>
      <c r="T190" t="str">
        <f t="shared" si="5"/>
        <v>OK</v>
      </c>
    </row>
    <row r="191" spans="1:20" x14ac:dyDescent="0.35">
      <c r="A191" s="9" t="s">
        <v>238</v>
      </c>
      <c r="B191" s="9" t="s">
        <v>239</v>
      </c>
      <c r="C191" s="9" t="s">
        <v>239</v>
      </c>
      <c r="D191" s="9" t="s">
        <v>18</v>
      </c>
      <c r="E191" s="9" t="s">
        <v>245</v>
      </c>
      <c r="F191" s="9" t="s">
        <v>20</v>
      </c>
      <c r="G191" s="9">
        <v>0</v>
      </c>
      <c r="H191" s="9">
        <v>0</v>
      </c>
      <c r="I191" s="9">
        <v>0</v>
      </c>
      <c r="J191" s="6">
        <v>0</v>
      </c>
      <c r="K191" s="9">
        <f t="shared" si="4"/>
        <v>0</v>
      </c>
      <c r="L191" s="9" t="s">
        <v>21</v>
      </c>
      <c r="M191" s="9"/>
      <c r="N191" s="9" t="s">
        <v>241</v>
      </c>
      <c r="O191" s="9" t="s">
        <v>242</v>
      </c>
      <c r="P191" s="9" t="s">
        <v>24</v>
      </c>
      <c r="Q191" s="9" t="s">
        <v>25</v>
      </c>
      <c r="R191">
        <f>VLOOKUP(E191,Workera!A$2:L$273,12,FALSE)</f>
        <v>0</v>
      </c>
      <c r="S191" t="e">
        <f>VLOOKUP(E191,Planilla!A$2:L$273,12,FALSE)</f>
        <v>#N/A</v>
      </c>
      <c r="T191" t="e">
        <f t="shared" si="5"/>
        <v>#N/A</v>
      </c>
    </row>
    <row r="192" spans="1:20" x14ac:dyDescent="0.35">
      <c r="A192" s="9" t="s">
        <v>238</v>
      </c>
      <c r="B192" s="9" t="s">
        <v>239</v>
      </c>
      <c r="C192" s="9" t="s">
        <v>239</v>
      </c>
      <c r="D192" s="9" t="s">
        <v>18</v>
      </c>
      <c r="E192" s="9" t="s">
        <v>246</v>
      </c>
      <c r="F192" s="9" t="s">
        <v>27</v>
      </c>
      <c r="G192" s="9">
        <v>15</v>
      </c>
      <c r="H192" s="9">
        <v>15</v>
      </c>
      <c r="I192" s="9">
        <v>227220</v>
      </c>
      <c r="J192" s="6">
        <v>227220</v>
      </c>
      <c r="K192" s="9">
        <f t="shared" si="4"/>
        <v>0</v>
      </c>
      <c r="L192" s="9" t="s">
        <v>21</v>
      </c>
      <c r="M192" s="9"/>
      <c r="N192" s="9" t="s">
        <v>241</v>
      </c>
      <c r="O192" s="9" t="s">
        <v>242</v>
      </c>
      <c r="P192" s="9" t="s">
        <v>24</v>
      </c>
      <c r="Q192" s="9" t="s">
        <v>25</v>
      </c>
      <c r="R192">
        <f>VLOOKUP(E192,Workera!A$2:L$273,12,FALSE)</f>
        <v>196924</v>
      </c>
      <c r="S192">
        <f>VLOOKUP(E192,Planilla!A$2:L$273,12,FALSE)</f>
        <v>227220</v>
      </c>
      <c r="T192" t="str">
        <f t="shared" si="5"/>
        <v>OK</v>
      </c>
    </row>
    <row r="193" spans="1:20" x14ac:dyDescent="0.35">
      <c r="A193" s="9" t="s">
        <v>238</v>
      </c>
      <c r="B193" s="9" t="s">
        <v>239</v>
      </c>
      <c r="C193" s="9" t="s">
        <v>239</v>
      </c>
      <c r="D193" s="9" t="s">
        <v>18</v>
      </c>
      <c r="E193" s="9" t="s">
        <v>247</v>
      </c>
      <c r="F193" s="9" t="s">
        <v>20</v>
      </c>
      <c r="G193" s="9">
        <v>0</v>
      </c>
      <c r="H193" s="9">
        <v>0</v>
      </c>
      <c r="I193" s="9">
        <v>0</v>
      </c>
      <c r="J193" s="6">
        <v>0</v>
      </c>
      <c r="K193" s="9">
        <f t="shared" si="4"/>
        <v>0</v>
      </c>
      <c r="L193" s="9" t="s">
        <v>21</v>
      </c>
      <c r="M193" s="9"/>
      <c r="N193" s="9" t="s">
        <v>241</v>
      </c>
      <c r="O193" s="9" t="s">
        <v>242</v>
      </c>
      <c r="P193" s="9" t="s">
        <v>24</v>
      </c>
      <c r="Q193" s="9" t="s">
        <v>25</v>
      </c>
      <c r="R193">
        <f>VLOOKUP(E193,Workera!A$2:L$273,12,FALSE)</f>
        <v>0</v>
      </c>
      <c r="S193" t="e">
        <f>VLOOKUP(E193,Planilla!A$2:L$273,12,FALSE)</f>
        <v>#N/A</v>
      </c>
      <c r="T193" t="e">
        <f t="shared" si="5"/>
        <v>#N/A</v>
      </c>
    </row>
    <row r="194" spans="1:20" x14ac:dyDescent="0.35">
      <c r="A194" s="9" t="s">
        <v>238</v>
      </c>
      <c r="B194" s="9" t="s">
        <v>239</v>
      </c>
      <c r="C194" s="9" t="s">
        <v>239</v>
      </c>
      <c r="D194" s="9" t="s">
        <v>18</v>
      </c>
      <c r="E194" s="9" t="s">
        <v>248</v>
      </c>
      <c r="F194" s="9" t="s">
        <v>20</v>
      </c>
      <c r="G194" s="9">
        <v>9</v>
      </c>
      <c r="H194" s="9">
        <v>15</v>
      </c>
      <c r="I194" s="9">
        <v>195375</v>
      </c>
      <c r="J194" s="6">
        <v>195375</v>
      </c>
      <c r="K194" s="9">
        <f t="shared" ref="K194:K257" si="6">+J194-I194</f>
        <v>0</v>
      </c>
      <c r="L194" s="9" t="s">
        <v>21</v>
      </c>
      <c r="M194" s="9"/>
      <c r="N194" s="9" t="s">
        <v>241</v>
      </c>
      <c r="O194" s="9" t="s">
        <v>242</v>
      </c>
      <c r="P194" s="9" t="s">
        <v>24</v>
      </c>
      <c r="Q194" s="9" t="s">
        <v>25</v>
      </c>
      <c r="R194">
        <f>VLOOKUP(E194,Workera!A$2:L$273,12,FALSE)</f>
        <v>195375</v>
      </c>
      <c r="S194">
        <f>VLOOKUP(E194,Planilla!A$2:L$273,12,FALSE)</f>
        <v>195375</v>
      </c>
      <c r="T194" t="str">
        <f t="shared" si="5"/>
        <v>OK</v>
      </c>
    </row>
    <row r="195" spans="1:20" x14ac:dyDescent="0.35">
      <c r="A195" s="9" t="s">
        <v>238</v>
      </c>
      <c r="B195" s="9" t="s">
        <v>239</v>
      </c>
      <c r="C195" s="9" t="s">
        <v>239</v>
      </c>
      <c r="D195" s="9" t="s">
        <v>18</v>
      </c>
      <c r="E195" s="9" t="s">
        <v>249</v>
      </c>
      <c r="F195" s="9" t="s">
        <v>27</v>
      </c>
      <c r="G195" s="9">
        <v>15</v>
      </c>
      <c r="H195" s="9">
        <v>15</v>
      </c>
      <c r="I195" s="9">
        <v>227220</v>
      </c>
      <c r="J195" s="6">
        <v>227220</v>
      </c>
      <c r="K195" s="9">
        <f t="shared" si="6"/>
        <v>0</v>
      </c>
      <c r="L195" s="9" t="s">
        <v>21</v>
      </c>
      <c r="M195" s="9"/>
      <c r="N195" s="9" t="s">
        <v>241</v>
      </c>
      <c r="O195" s="9" t="s">
        <v>242</v>
      </c>
      <c r="P195" s="9" t="s">
        <v>24</v>
      </c>
      <c r="Q195" s="9" t="s">
        <v>25</v>
      </c>
      <c r="R195">
        <f>VLOOKUP(E195,Workera!A$2:L$273,12,FALSE)</f>
        <v>181776</v>
      </c>
      <c r="S195">
        <f>VLOOKUP(E195,Planilla!A$2:L$273,12,FALSE)</f>
        <v>227220</v>
      </c>
      <c r="T195" t="str">
        <f t="shared" ref="T195:T258" si="7">IF(J195=S195,"OK","Wrong")</f>
        <v>OK</v>
      </c>
    </row>
    <row r="196" spans="1:20" x14ac:dyDescent="0.35">
      <c r="A196" s="9" t="s">
        <v>238</v>
      </c>
      <c r="B196" s="9" t="s">
        <v>239</v>
      </c>
      <c r="C196" s="9" t="s">
        <v>239</v>
      </c>
      <c r="D196" s="9" t="s">
        <v>18</v>
      </c>
      <c r="E196" s="9" t="s">
        <v>250</v>
      </c>
      <c r="F196" s="9" t="s">
        <v>30</v>
      </c>
      <c r="G196" s="9">
        <v>14</v>
      </c>
      <c r="H196" s="9">
        <v>14</v>
      </c>
      <c r="I196" s="9">
        <v>212072</v>
      </c>
      <c r="J196" s="6">
        <v>212072</v>
      </c>
      <c r="K196" s="9">
        <f t="shared" si="6"/>
        <v>0</v>
      </c>
      <c r="L196" s="9" t="s">
        <v>21</v>
      </c>
      <c r="M196" s="9"/>
      <c r="N196" s="9" t="s">
        <v>241</v>
      </c>
      <c r="O196" s="9" t="s">
        <v>242</v>
      </c>
      <c r="P196" s="9" t="s">
        <v>24</v>
      </c>
      <c r="Q196" s="9" t="s">
        <v>25</v>
      </c>
      <c r="R196">
        <f>VLOOKUP(E196,Workera!A$2:L$273,12,FALSE)</f>
        <v>166628</v>
      </c>
      <c r="S196">
        <f>VLOOKUP(E196,Planilla!A$2:L$273,12,FALSE)</f>
        <v>212072</v>
      </c>
      <c r="T196" t="str">
        <f t="shared" si="7"/>
        <v>OK</v>
      </c>
    </row>
    <row r="197" spans="1:20" x14ac:dyDescent="0.35">
      <c r="A197" s="9" t="s">
        <v>238</v>
      </c>
      <c r="B197" s="9" t="s">
        <v>239</v>
      </c>
      <c r="C197" s="9" t="s">
        <v>239</v>
      </c>
      <c r="D197" s="9" t="s">
        <v>18</v>
      </c>
      <c r="E197" s="9" t="s">
        <v>251</v>
      </c>
      <c r="F197" s="9" t="s">
        <v>20</v>
      </c>
      <c r="G197" s="9">
        <v>0</v>
      </c>
      <c r="H197" s="9">
        <v>0</v>
      </c>
      <c r="I197" s="9">
        <v>0</v>
      </c>
      <c r="J197" s="6">
        <v>0</v>
      </c>
      <c r="K197" s="9">
        <f t="shared" si="6"/>
        <v>0</v>
      </c>
      <c r="L197" s="9" t="s">
        <v>21</v>
      </c>
      <c r="M197" s="9"/>
      <c r="N197" s="9" t="s">
        <v>241</v>
      </c>
      <c r="O197" s="9" t="s">
        <v>242</v>
      </c>
      <c r="P197" s="9" t="s">
        <v>24</v>
      </c>
      <c r="Q197" s="9" t="s">
        <v>25</v>
      </c>
      <c r="R197">
        <f>VLOOKUP(E197,Workera!A$2:L$273,12,FALSE)</f>
        <v>0</v>
      </c>
      <c r="S197" t="e">
        <f>VLOOKUP(E197,Planilla!A$2:L$273,12,FALSE)</f>
        <v>#N/A</v>
      </c>
      <c r="T197" t="e">
        <f t="shared" si="7"/>
        <v>#N/A</v>
      </c>
    </row>
    <row r="198" spans="1:20" x14ac:dyDescent="0.35">
      <c r="A198" s="9" t="s">
        <v>238</v>
      </c>
      <c r="B198" s="9" t="s">
        <v>239</v>
      </c>
      <c r="C198" s="9" t="s">
        <v>239</v>
      </c>
      <c r="D198" s="9" t="s">
        <v>18</v>
      </c>
      <c r="E198" s="9" t="s">
        <v>252</v>
      </c>
      <c r="F198" s="9" t="s">
        <v>35</v>
      </c>
      <c r="G198" s="9">
        <v>0</v>
      </c>
      <c r="H198" s="9">
        <v>0</v>
      </c>
      <c r="I198" s="9">
        <v>0</v>
      </c>
      <c r="J198" s="6">
        <v>0</v>
      </c>
      <c r="K198" s="9">
        <f t="shared" si="6"/>
        <v>0</v>
      </c>
      <c r="L198" s="9" t="s">
        <v>21</v>
      </c>
      <c r="M198" s="9"/>
      <c r="N198" s="9" t="s">
        <v>241</v>
      </c>
      <c r="O198" s="9" t="s">
        <v>242</v>
      </c>
      <c r="P198" s="9" t="s">
        <v>24</v>
      </c>
      <c r="Q198" s="9" t="s">
        <v>25</v>
      </c>
      <c r="R198">
        <f>VLOOKUP(E198,Workera!A$2:L$273,12,FALSE)</f>
        <v>316355</v>
      </c>
      <c r="S198" t="e">
        <f>VLOOKUP(E198,Planilla!A$2:L$273,12,FALSE)</f>
        <v>#N/A</v>
      </c>
      <c r="T198" t="e">
        <f t="shared" si="7"/>
        <v>#N/A</v>
      </c>
    </row>
    <row r="199" spans="1:20" x14ac:dyDescent="0.35">
      <c r="A199" s="9" t="s">
        <v>238</v>
      </c>
      <c r="B199" s="9" t="s">
        <v>239</v>
      </c>
      <c r="C199" s="9" t="s">
        <v>239</v>
      </c>
      <c r="D199" s="9" t="s">
        <v>18</v>
      </c>
      <c r="E199" s="9" t="s">
        <v>253</v>
      </c>
      <c r="F199" s="9" t="s">
        <v>20</v>
      </c>
      <c r="G199" s="9">
        <v>13</v>
      </c>
      <c r="H199" s="9">
        <v>15</v>
      </c>
      <c r="I199" s="9">
        <v>195375</v>
      </c>
      <c r="J199" s="6">
        <v>195375</v>
      </c>
      <c r="K199" s="9">
        <f t="shared" si="6"/>
        <v>0</v>
      </c>
      <c r="L199" s="9" t="s">
        <v>21</v>
      </c>
      <c r="M199" s="9"/>
      <c r="N199" s="9" t="s">
        <v>241</v>
      </c>
      <c r="O199" s="9" t="s">
        <v>242</v>
      </c>
      <c r="P199" s="9" t="s">
        <v>24</v>
      </c>
      <c r="Q199" s="9" t="s">
        <v>25</v>
      </c>
      <c r="R199">
        <f>VLOOKUP(E199,Workera!A$2:L$273,12,FALSE)</f>
        <v>195375</v>
      </c>
      <c r="S199">
        <f>VLOOKUP(E199,Planilla!A$2:L$273,12,FALSE)</f>
        <v>195375</v>
      </c>
      <c r="T199" t="str">
        <f t="shared" si="7"/>
        <v>OK</v>
      </c>
    </row>
    <row r="200" spans="1:20" x14ac:dyDescent="0.35">
      <c r="A200" s="9" t="s">
        <v>238</v>
      </c>
      <c r="B200" s="9" t="s">
        <v>239</v>
      </c>
      <c r="C200" s="9" t="s">
        <v>239</v>
      </c>
      <c r="D200" s="9" t="s">
        <v>18</v>
      </c>
      <c r="E200" s="9" t="s">
        <v>254</v>
      </c>
      <c r="F200" s="9" t="s">
        <v>74</v>
      </c>
      <c r="G200" s="9">
        <v>0</v>
      </c>
      <c r="H200" s="9">
        <v>0</v>
      </c>
      <c r="I200" s="9">
        <v>0</v>
      </c>
      <c r="J200" s="6">
        <v>0</v>
      </c>
      <c r="K200" s="9">
        <f t="shared" si="6"/>
        <v>0</v>
      </c>
      <c r="L200" s="9" t="s">
        <v>21</v>
      </c>
      <c r="M200" s="9"/>
      <c r="N200" s="9" t="s">
        <v>241</v>
      </c>
      <c r="O200" s="9" t="s">
        <v>242</v>
      </c>
      <c r="P200" s="9" t="s">
        <v>24</v>
      </c>
      <c r="Q200" s="9" t="s">
        <v>25</v>
      </c>
      <c r="R200">
        <f>VLOOKUP(E200,Workera!A$2:L$273,12,FALSE)</f>
        <v>316355</v>
      </c>
      <c r="S200" t="e">
        <f>VLOOKUP(E200,Planilla!A$2:L$273,12,FALSE)</f>
        <v>#N/A</v>
      </c>
      <c r="T200" t="e">
        <f t="shared" si="7"/>
        <v>#N/A</v>
      </c>
    </row>
    <row r="201" spans="1:20" x14ac:dyDescent="0.35">
      <c r="A201" s="9" t="s">
        <v>238</v>
      </c>
      <c r="B201" s="9" t="s">
        <v>239</v>
      </c>
      <c r="C201" s="9" t="s">
        <v>239</v>
      </c>
      <c r="D201" s="9" t="s">
        <v>18</v>
      </c>
      <c r="E201" s="9" t="s">
        <v>255</v>
      </c>
      <c r="F201" s="9" t="s">
        <v>20</v>
      </c>
      <c r="G201" s="9">
        <v>0</v>
      </c>
      <c r="H201" s="9">
        <v>0</v>
      </c>
      <c r="I201" s="9">
        <v>0</v>
      </c>
      <c r="J201" s="6">
        <v>0</v>
      </c>
      <c r="K201" s="9">
        <f t="shared" si="6"/>
        <v>0</v>
      </c>
      <c r="L201" s="9" t="s">
        <v>21</v>
      </c>
      <c r="M201" s="9"/>
      <c r="N201" s="9" t="s">
        <v>241</v>
      </c>
      <c r="O201" s="9" t="s">
        <v>242</v>
      </c>
      <c r="P201" s="9" t="s">
        <v>24</v>
      </c>
      <c r="Q201" s="9" t="s">
        <v>25</v>
      </c>
      <c r="R201">
        <f>VLOOKUP(E201,Workera!A$2:L$273,12,FALSE)</f>
        <v>0</v>
      </c>
      <c r="S201" t="e">
        <f>VLOOKUP(E201,Planilla!A$2:L$273,12,FALSE)</f>
        <v>#N/A</v>
      </c>
      <c r="T201" t="e">
        <f t="shared" si="7"/>
        <v>#N/A</v>
      </c>
    </row>
    <row r="202" spans="1:20" x14ac:dyDescent="0.35">
      <c r="A202" s="9" t="s">
        <v>238</v>
      </c>
      <c r="B202" s="9" t="s">
        <v>239</v>
      </c>
      <c r="C202" s="9" t="s">
        <v>239</v>
      </c>
      <c r="D202" s="9" t="s">
        <v>18</v>
      </c>
      <c r="E202" s="9" t="s">
        <v>256</v>
      </c>
      <c r="F202" s="9" t="s">
        <v>35</v>
      </c>
      <c r="G202" s="9">
        <v>15</v>
      </c>
      <c r="H202" s="9">
        <v>15</v>
      </c>
      <c r="I202" s="9">
        <v>158177.5</v>
      </c>
      <c r="J202" s="6">
        <v>158177.5</v>
      </c>
      <c r="K202" s="9">
        <f t="shared" si="6"/>
        <v>0</v>
      </c>
      <c r="L202" s="9" t="s">
        <v>21</v>
      </c>
      <c r="M202" s="9"/>
      <c r="N202" s="9" t="s">
        <v>241</v>
      </c>
      <c r="O202" s="9" t="s">
        <v>242</v>
      </c>
      <c r="P202" s="9" t="s">
        <v>24</v>
      </c>
      <c r="Q202" s="9" t="s">
        <v>25</v>
      </c>
      <c r="R202">
        <f>VLOOKUP(E202,Workera!A$2:L$273,12,FALSE)</f>
        <v>158177.5</v>
      </c>
      <c r="S202">
        <f>VLOOKUP(E202,Planilla!A$2:L$273,12,FALSE)</f>
        <v>158177.5</v>
      </c>
      <c r="T202" t="str">
        <f t="shared" si="7"/>
        <v>OK</v>
      </c>
    </row>
    <row r="203" spans="1:20" x14ac:dyDescent="0.35">
      <c r="A203" s="9" t="s">
        <v>238</v>
      </c>
      <c r="B203" s="9" t="s">
        <v>239</v>
      </c>
      <c r="C203" s="9" t="s">
        <v>239</v>
      </c>
      <c r="D203" s="9" t="s">
        <v>18</v>
      </c>
      <c r="E203" s="9" t="s">
        <v>257</v>
      </c>
      <c r="F203" s="9" t="s">
        <v>20</v>
      </c>
      <c r="G203" s="9">
        <v>15</v>
      </c>
      <c r="H203" s="9">
        <v>15</v>
      </c>
      <c r="I203" s="9">
        <v>160805</v>
      </c>
      <c r="J203" s="6">
        <v>160805</v>
      </c>
      <c r="K203" s="9">
        <f t="shared" si="6"/>
        <v>0</v>
      </c>
      <c r="L203" s="9" t="s">
        <v>21</v>
      </c>
      <c r="M203" s="9"/>
      <c r="N203" s="9" t="s">
        <v>241</v>
      </c>
      <c r="O203" s="9" t="s">
        <v>242</v>
      </c>
      <c r="P203" s="9" t="s">
        <v>24</v>
      </c>
      <c r="Q203" s="9" t="s">
        <v>25</v>
      </c>
      <c r="R203" t="e">
        <f>VLOOKUP(E203,Workera!A$2:L$273,12,FALSE)</f>
        <v>#N/A</v>
      </c>
      <c r="S203" t="e">
        <f>VLOOKUP(E203,Planilla!A$2:L$273,12,FALSE)</f>
        <v>#N/A</v>
      </c>
      <c r="T203" t="e">
        <f t="shared" si="7"/>
        <v>#N/A</v>
      </c>
    </row>
    <row r="204" spans="1:20" x14ac:dyDescent="0.35">
      <c r="A204" s="9" t="s">
        <v>238</v>
      </c>
      <c r="B204" s="9" t="s">
        <v>239</v>
      </c>
      <c r="C204" s="9" t="s">
        <v>239</v>
      </c>
      <c r="D204" s="9" t="s">
        <v>18</v>
      </c>
      <c r="E204" s="9" t="s">
        <v>258</v>
      </c>
      <c r="F204" s="9" t="s">
        <v>30</v>
      </c>
      <c r="G204" s="9">
        <v>16</v>
      </c>
      <c r="H204" s="9">
        <v>16</v>
      </c>
      <c r="I204" s="9">
        <v>242368</v>
      </c>
      <c r="J204" s="6">
        <v>242368</v>
      </c>
      <c r="K204" s="9">
        <f t="shared" si="6"/>
        <v>0</v>
      </c>
      <c r="L204" s="9" t="s">
        <v>21</v>
      </c>
      <c r="M204" s="9"/>
      <c r="N204" s="9" t="s">
        <v>241</v>
      </c>
      <c r="O204" s="9" t="s">
        <v>242</v>
      </c>
      <c r="P204" s="9" t="s">
        <v>24</v>
      </c>
      <c r="Q204" s="9" t="s">
        <v>25</v>
      </c>
      <c r="R204">
        <f>VLOOKUP(E204,Workera!A$2:L$273,12,FALSE)</f>
        <v>212072</v>
      </c>
      <c r="S204">
        <f>VLOOKUP(E204,Planilla!A$2:L$273,12,FALSE)</f>
        <v>242368</v>
      </c>
      <c r="T204" t="str">
        <f t="shared" si="7"/>
        <v>OK</v>
      </c>
    </row>
    <row r="205" spans="1:20" x14ac:dyDescent="0.35">
      <c r="A205" s="9" t="s">
        <v>238</v>
      </c>
      <c r="B205" s="9" t="s">
        <v>239</v>
      </c>
      <c r="C205" s="9" t="s">
        <v>239</v>
      </c>
      <c r="D205" s="9" t="s">
        <v>18</v>
      </c>
      <c r="E205" s="9" t="s">
        <v>259</v>
      </c>
      <c r="F205" s="9" t="s">
        <v>20</v>
      </c>
      <c r="G205" s="9">
        <v>14</v>
      </c>
      <c r="H205" s="9">
        <v>15</v>
      </c>
      <c r="I205" s="9">
        <v>152780</v>
      </c>
      <c r="J205" s="6">
        <v>152780</v>
      </c>
      <c r="K205" s="9">
        <f t="shared" si="6"/>
        <v>0</v>
      </c>
      <c r="L205" s="9" t="s">
        <v>21</v>
      </c>
      <c r="M205" s="9"/>
      <c r="N205" s="9" t="s">
        <v>241</v>
      </c>
      <c r="O205" s="9" t="s">
        <v>242</v>
      </c>
      <c r="P205" s="9" t="s">
        <v>24</v>
      </c>
      <c r="Q205" s="9" t="s">
        <v>25</v>
      </c>
      <c r="R205" t="e">
        <f>VLOOKUP(E205,Workera!A$2:L$273,12,FALSE)</f>
        <v>#N/A</v>
      </c>
      <c r="S205" t="e">
        <f>VLOOKUP(E205,Planilla!A$2:L$273,12,FALSE)</f>
        <v>#N/A</v>
      </c>
      <c r="T205" t="e">
        <f t="shared" si="7"/>
        <v>#N/A</v>
      </c>
    </row>
    <row r="206" spans="1:20" x14ac:dyDescent="0.35">
      <c r="A206" s="9" t="s">
        <v>238</v>
      </c>
      <c r="B206" s="9" t="s">
        <v>239</v>
      </c>
      <c r="C206" s="9" t="s">
        <v>239</v>
      </c>
      <c r="D206" s="9" t="s">
        <v>18</v>
      </c>
      <c r="E206" s="9" t="s">
        <v>260</v>
      </c>
      <c r="F206" s="9" t="s">
        <v>28</v>
      </c>
      <c r="G206" s="9">
        <v>15</v>
      </c>
      <c r="H206" s="9">
        <v>15</v>
      </c>
      <c r="I206" s="9">
        <v>209077.5</v>
      </c>
      <c r="J206" s="6">
        <v>209077.5</v>
      </c>
      <c r="K206" s="9">
        <f t="shared" si="6"/>
        <v>0</v>
      </c>
      <c r="L206" s="9" t="s">
        <v>21</v>
      </c>
      <c r="M206" s="9"/>
      <c r="N206" s="9" t="s">
        <v>241</v>
      </c>
      <c r="O206" s="9" t="s">
        <v>242</v>
      </c>
      <c r="P206" s="9" t="s">
        <v>24</v>
      </c>
      <c r="Q206" s="9" t="s">
        <v>25</v>
      </c>
      <c r="R206">
        <f>VLOOKUP(E206,Workera!A$2:L$273,12,FALSE)</f>
        <v>209077.5</v>
      </c>
      <c r="S206">
        <f>VLOOKUP(E206,Planilla!A$2:L$273,12,FALSE)</f>
        <v>209077.5</v>
      </c>
      <c r="T206" t="str">
        <f t="shared" si="7"/>
        <v>OK</v>
      </c>
    </row>
    <row r="207" spans="1:20" x14ac:dyDescent="0.35">
      <c r="A207" s="9" t="s">
        <v>238</v>
      </c>
      <c r="B207" s="9" t="s">
        <v>239</v>
      </c>
      <c r="C207" s="9" t="s">
        <v>239</v>
      </c>
      <c r="D207" s="9" t="s">
        <v>18</v>
      </c>
      <c r="E207" s="9" t="s">
        <v>261</v>
      </c>
      <c r="F207" s="9" t="s">
        <v>224</v>
      </c>
      <c r="G207" s="9">
        <v>11</v>
      </c>
      <c r="H207" s="9">
        <v>15</v>
      </c>
      <c r="I207" s="9">
        <v>152780</v>
      </c>
      <c r="J207" s="6">
        <v>152780</v>
      </c>
      <c r="K207" s="9">
        <f t="shared" si="6"/>
        <v>0</v>
      </c>
      <c r="L207" s="9" t="s">
        <v>21</v>
      </c>
      <c r="M207" s="9"/>
      <c r="N207" s="9" t="s">
        <v>241</v>
      </c>
      <c r="O207" s="9" t="s">
        <v>242</v>
      </c>
      <c r="P207" s="9" t="s">
        <v>24</v>
      </c>
      <c r="Q207" s="9" t="s">
        <v>25</v>
      </c>
      <c r="R207">
        <f>VLOOKUP(E207,Workera!A$2:L$273,12,FALSE)</f>
        <v>152780</v>
      </c>
      <c r="S207">
        <f>VLOOKUP(E207,Planilla!A$2:L$273,12,FALSE)</f>
        <v>152780</v>
      </c>
      <c r="T207" t="str">
        <f t="shared" si="7"/>
        <v>OK</v>
      </c>
    </row>
    <row r="208" spans="1:20" x14ac:dyDescent="0.35">
      <c r="A208" s="9" t="s">
        <v>238</v>
      </c>
      <c r="B208" s="9" t="s">
        <v>239</v>
      </c>
      <c r="C208" s="9" t="s">
        <v>239</v>
      </c>
      <c r="D208" s="9" t="s">
        <v>18</v>
      </c>
      <c r="E208" s="9" t="s">
        <v>262</v>
      </c>
      <c r="F208" s="9" t="s">
        <v>27</v>
      </c>
      <c r="G208" s="9">
        <v>15</v>
      </c>
      <c r="H208" s="9">
        <v>15</v>
      </c>
      <c r="I208" s="9">
        <v>227220</v>
      </c>
      <c r="J208" s="6">
        <v>227220</v>
      </c>
      <c r="K208" s="9">
        <f t="shared" si="6"/>
        <v>0</v>
      </c>
      <c r="L208" s="9" t="s">
        <v>21</v>
      </c>
      <c r="M208" s="9"/>
      <c r="N208" s="9" t="s">
        <v>241</v>
      </c>
      <c r="O208" s="9" t="s">
        <v>242</v>
      </c>
      <c r="P208" s="9" t="s">
        <v>24</v>
      </c>
      <c r="Q208" s="9" t="s">
        <v>25</v>
      </c>
      <c r="R208">
        <f>VLOOKUP(E208,Workera!A$2:L$273,12,FALSE)</f>
        <v>227220</v>
      </c>
      <c r="S208">
        <f>VLOOKUP(E208,Planilla!A$2:L$273,12,FALSE)</f>
        <v>227220</v>
      </c>
      <c r="T208" t="str">
        <f t="shared" si="7"/>
        <v>OK</v>
      </c>
    </row>
    <row r="209" spans="1:20" x14ac:dyDescent="0.35">
      <c r="A209" s="9" t="s">
        <v>238</v>
      </c>
      <c r="B209" s="9" t="s">
        <v>239</v>
      </c>
      <c r="C209" s="9" t="s">
        <v>239</v>
      </c>
      <c r="D209" s="9" t="s">
        <v>18</v>
      </c>
      <c r="E209" s="9" t="s">
        <v>263</v>
      </c>
      <c r="F209" s="9" t="s">
        <v>20</v>
      </c>
      <c r="G209" s="9">
        <v>9</v>
      </c>
      <c r="H209" s="9">
        <v>15</v>
      </c>
      <c r="I209" s="9">
        <v>214537.5</v>
      </c>
      <c r="J209" s="6">
        <v>214537.5</v>
      </c>
      <c r="K209" s="9">
        <f t="shared" si="6"/>
        <v>0</v>
      </c>
      <c r="L209" s="9" t="s">
        <v>21</v>
      </c>
      <c r="M209" s="9"/>
      <c r="N209" s="9" t="s">
        <v>241</v>
      </c>
      <c r="O209" s="9" t="s">
        <v>242</v>
      </c>
      <c r="P209" s="9" t="s">
        <v>24</v>
      </c>
      <c r="Q209" s="9" t="s">
        <v>25</v>
      </c>
      <c r="R209">
        <f>VLOOKUP(E209,Workera!A$2:L$273,12,FALSE)</f>
        <v>214537.5</v>
      </c>
      <c r="S209">
        <f>VLOOKUP(E209,Planilla!A$2:L$273,12,FALSE)</f>
        <v>214537.5</v>
      </c>
      <c r="T209" t="str">
        <f t="shared" si="7"/>
        <v>OK</v>
      </c>
    </row>
    <row r="210" spans="1:20" x14ac:dyDescent="0.35">
      <c r="A210" s="9" t="s">
        <v>238</v>
      </c>
      <c r="B210" s="9" t="s">
        <v>239</v>
      </c>
      <c r="C210" s="9" t="s">
        <v>239</v>
      </c>
      <c r="D210" s="9" t="s">
        <v>18</v>
      </c>
      <c r="E210" s="9" t="s">
        <v>264</v>
      </c>
      <c r="F210" s="9" t="s">
        <v>28</v>
      </c>
      <c r="G210" s="9">
        <v>0</v>
      </c>
      <c r="H210" s="9">
        <v>0</v>
      </c>
      <c r="I210" s="9">
        <v>0</v>
      </c>
      <c r="J210" s="6">
        <v>0</v>
      </c>
      <c r="K210" s="9">
        <f t="shared" si="6"/>
        <v>0</v>
      </c>
      <c r="L210" s="9" t="s">
        <v>21</v>
      </c>
      <c r="M210" s="9"/>
      <c r="N210" s="9" t="s">
        <v>241</v>
      </c>
      <c r="O210" s="9" t="s">
        <v>242</v>
      </c>
      <c r="P210" s="9" t="s">
        <v>24</v>
      </c>
      <c r="Q210" s="9" t="s">
        <v>25</v>
      </c>
      <c r="R210">
        <f>VLOOKUP(E210,Workera!A$2:L$273,12,FALSE)</f>
        <v>0</v>
      </c>
      <c r="S210" t="e">
        <f>VLOOKUP(E210,Planilla!A$2:L$273,12,FALSE)</f>
        <v>#N/A</v>
      </c>
      <c r="T210" t="e">
        <f t="shared" si="7"/>
        <v>#N/A</v>
      </c>
    </row>
    <row r="211" spans="1:20" x14ac:dyDescent="0.35">
      <c r="A211" s="9" t="s">
        <v>238</v>
      </c>
      <c r="B211" s="9" t="s">
        <v>239</v>
      </c>
      <c r="C211" s="9" t="s">
        <v>239</v>
      </c>
      <c r="D211" s="9" t="s">
        <v>18</v>
      </c>
      <c r="E211" s="9" t="s">
        <v>265</v>
      </c>
      <c r="F211" s="9" t="s">
        <v>28</v>
      </c>
      <c r="G211" s="9">
        <v>0</v>
      </c>
      <c r="H211" s="9">
        <v>0</v>
      </c>
      <c r="I211" s="9">
        <v>0</v>
      </c>
      <c r="J211" s="6">
        <v>0</v>
      </c>
      <c r="K211" s="9">
        <f t="shared" si="6"/>
        <v>0</v>
      </c>
      <c r="L211" s="9" t="s">
        <v>21</v>
      </c>
      <c r="M211" s="9"/>
      <c r="N211" s="9" t="s">
        <v>241</v>
      </c>
      <c r="O211" s="9" t="s">
        <v>242</v>
      </c>
      <c r="P211" s="9" t="s">
        <v>24</v>
      </c>
      <c r="Q211" s="9" t="s">
        <v>25</v>
      </c>
      <c r="R211">
        <f>VLOOKUP(E211,Workera!A$2:L$273,12,FALSE)</f>
        <v>0</v>
      </c>
      <c r="S211" t="e">
        <f>VLOOKUP(E211,Planilla!A$2:L$273,12,FALSE)</f>
        <v>#N/A</v>
      </c>
      <c r="T211" t="e">
        <f t="shared" si="7"/>
        <v>#N/A</v>
      </c>
    </row>
    <row r="212" spans="1:20" x14ac:dyDescent="0.35">
      <c r="A212" s="9" t="s">
        <v>269</v>
      </c>
      <c r="B212" s="9" t="s">
        <v>270</v>
      </c>
      <c r="C212" s="9" t="s">
        <v>270</v>
      </c>
      <c r="D212" s="9" t="s">
        <v>18</v>
      </c>
      <c r="E212" s="9" t="s">
        <v>271</v>
      </c>
      <c r="F212" s="9" t="s">
        <v>27</v>
      </c>
      <c r="G212" s="9">
        <v>0</v>
      </c>
      <c r="H212" s="9">
        <v>0</v>
      </c>
      <c r="I212" s="9">
        <v>0</v>
      </c>
      <c r="J212" s="6">
        <v>0</v>
      </c>
      <c r="K212" s="9">
        <f t="shared" si="6"/>
        <v>0</v>
      </c>
      <c r="L212" s="9" t="s">
        <v>21</v>
      </c>
      <c r="M212" s="9"/>
      <c r="N212" s="9" t="s">
        <v>272</v>
      </c>
      <c r="O212" s="9" t="s">
        <v>273</v>
      </c>
      <c r="P212" s="9" t="s">
        <v>24</v>
      </c>
      <c r="Q212" s="9" t="s">
        <v>25</v>
      </c>
      <c r="R212">
        <f>VLOOKUP(E212,Workera!A$2:L$273,12,FALSE)</f>
        <v>0</v>
      </c>
      <c r="S212" t="e">
        <f>VLOOKUP(E212,Planilla!A$2:L$273,12,FALSE)</f>
        <v>#N/A</v>
      </c>
      <c r="T212" t="e">
        <f t="shared" si="7"/>
        <v>#N/A</v>
      </c>
    </row>
    <row r="213" spans="1:20" x14ac:dyDescent="0.35">
      <c r="A213" s="9" t="s">
        <v>269</v>
      </c>
      <c r="B213" s="9" t="s">
        <v>270</v>
      </c>
      <c r="C213" s="9" t="s">
        <v>270</v>
      </c>
      <c r="D213" s="9" t="s">
        <v>18</v>
      </c>
      <c r="E213" s="9" t="s">
        <v>274</v>
      </c>
      <c r="F213" s="9" t="s">
        <v>74</v>
      </c>
      <c r="G213" s="9">
        <v>0</v>
      </c>
      <c r="H213" s="9">
        <v>0</v>
      </c>
      <c r="I213" s="9">
        <v>0</v>
      </c>
      <c r="J213" s="6">
        <v>0</v>
      </c>
      <c r="K213" s="9">
        <f t="shared" si="6"/>
        <v>0</v>
      </c>
      <c r="L213" s="9" t="s">
        <v>21</v>
      </c>
      <c r="M213" s="9"/>
      <c r="N213" s="9" t="s">
        <v>272</v>
      </c>
      <c r="O213" s="9" t="s">
        <v>273</v>
      </c>
      <c r="P213" s="9" t="s">
        <v>24</v>
      </c>
      <c r="Q213" s="9" t="s">
        <v>25</v>
      </c>
      <c r="R213">
        <f>VLOOKUP(E213,Workera!A$2:L$273,12,FALSE)</f>
        <v>0</v>
      </c>
      <c r="S213" t="e">
        <f>VLOOKUP(E213,Planilla!A$2:L$273,12,FALSE)</f>
        <v>#N/A</v>
      </c>
      <c r="T213" t="e">
        <f t="shared" si="7"/>
        <v>#N/A</v>
      </c>
    </row>
    <row r="214" spans="1:20" x14ac:dyDescent="0.35">
      <c r="A214" s="9" t="s">
        <v>269</v>
      </c>
      <c r="B214" s="9" t="s">
        <v>270</v>
      </c>
      <c r="C214" s="9" t="s">
        <v>270</v>
      </c>
      <c r="D214" s="9" t="s">
        <v>18</v>
      </c>
      <c r="E214" s="9" t="s">
        <v>275</v>
      </c>
      <c r="F214" s="9" t="s">
        <v>35</v>
      </c>
      <c r="G214" s="9">
        <v>0</v>
      </c>
      <c r="H214" s="9">
        <v>0</v>
      </c>
      <c r="I214" s="9">
        <v>0</v>
      </c>
      <c r="J214" s="6">
        <v>0</v>
      </c>
      <c r="K214" s="9">
        <f t="shared" si="6"/>
        <v>0</v>
      </c>
      <c r="L214" s="9" t="s">
        <v>21</v>
      </c>
      <c r="M214" s="9"/>
      <c r="N214" s="9" t="s">
        <v>272</v>
      </c>
      <c r="O214" s="9" t="s">
        <v>273</v>
      </c>
      <c r="P214" s="9" t="s">
        <v>24</v>
      </c>
      <c r="Q214" s="9" t="s">
        <v>25</v>
      </c>
      <c r="R214">
        <f>VLOOKUP(E214,Workera!A$2:L$273,12,FALSE)</f>
        <v>0</v>
      </c>
      <c r="S214" t="e">
        <f>VLOOKUP(E214,Planilla!A$2:L$273,12,FALSE)</f>
        <v>#N/A</v>
      </c>
      <c r="T214" t="e">
        <f t="shared" si="7"/>
        <v>#N/A</v>
      </c>
    </row>
    <row r="215" spans="1:20" x14ac:dyDescent="0.35">
      <c r="A215" s="9" t="s">
        <v>269</v>
      </c>
      <c r="B215" s="9" t="s">
        <v>270</v>
      </c>
      <c r="C215" s="9" t="s">
        <v>270</v>
      </c>
      <c r="D215" s="9" t="s">
        <v>18</v>
      </c>
      <c r="E215" s="9" t="s">
        <v>276</v>
      </c>
      <c r="F215" s="9" t="s">
        <v>74</v>
      </c>
      <c r="G215" s="9">
        <v>0</v>
      </c>
      <c r="H215" s="9">
        <v>0</v>
      </c>
      <c r="I215" s="9">
        <v>0</v>
      </c>
      <c r="J215" s="6">
        <v>0</v>
      </c>
      <c r="K215" s="9">
        <f t="shared" si="6"/>
        <v>0</v>
      </c>
      <c r="L215" s="9" t="s">
        <v>21</v>
      </c>
      <c r="M215" s="9"/>
      <c r="N215" s="9" t="s">
        <v>272</v>
      </c>
      <c r="O215" s="9" t="s">
        <v>273</v>
      </c>
      <c r="P215" s="9" t="s">
        <v>24</v>
      </c>
      <c r="Q215" s="9" t="s">
        <v>25</v>
      </c>
      <c r="R215">
        <f>VLOOKUP(E215,Workera!A$2:L$273,12,FALSE)</f>
        <v>0</v>
      </c>
      <c r="S215" t="e">
        <f>VLOOKUP(E215,Planilla!A$2:L$273,12,FALSE)</f>
        <v>#N/A</v>
      </c>
      <c r="T215" t="e">
        <f t="shared" si="7"/>
        <v>#N/A</v>
      </c>
    </row>
    <row r="216" spans="1:20" x14ac:dyDescent="0.35">
      <c r="A216" s="9" t="s">
        <v>269</v>
      </c>
      <c r="B216" s="9" t="s">
        <v>270</v>
      </c>
      <c r="C216" s="9" t="s">
        <v>270</v>
      </c>
      <c r="D216" s="9" t="s">
        <v>18</v>
      </c>
      <c r="E216" s="9" t="s">
        <v>277</v>
      </c>
      <c r="F216" s="9">
        <v>0</v>
      </c>
      <c r="G216" s="9">
        <v>7</v>
      </c>
      <c r="H216" s="9">
        <v>7</v>
      </c>
      <c r="I216" s="9">
        <v>56495.54</v>
      </c>
      <c r="J216" s="6">
        <v>56495.54</v>
      </c>
      <c r="K216" s="9">
        <f t="shared" si="6"/>
        <v>0</v>
      </c>
      <c r="L216" s="9" t="s">
        <v>21</v>
      </c>
      <c r="M216" s="9"/>
      <c r="N216" s="9" t="s">
        <v>272</v>
      </c>
      <c r="O216" s="9" t="s">
        <v>273</v>
      </c>
      <c r="P216" s="9" t="s">
        <v>24</v>
      </c>
      <c r="Q216" s="9" t="s">
        <v>25</v>
      </c>
      <c r="R216">
        <f>VLOOKUP(E216,Workera!A$2:L$273,12,FALSE)</f>
        <v>56495.54</v>
      </c>
      <c r="S216">
        <f>VLOOKUP(E216,Planilla!A$2:L$273,12,FALSE)</f>
        <v>56495.54</v>
      </c>
      <c r="T216" t="str">
        <f t="shared" si="7"/>
        <v>OK</v>
      </c>
    </row>
    <row r="217" spans="1:20" x14ac:dyDescent="0.35">
      <c r="A217" s="9" t="s">
        <v>269</v>
      </c>
      <c r="B217" s="9" t="s">
        <v>270</v>
      </c>
      <c r="C217" s="9" t="s">
        <v>270</v>
      </c>
      <c r="D217" s="9" t="s">
        <v>18</v>
      </c>
      <c r="E217" s="9" t="s">
        <v>278</v>
      </c>
      <c r="F217" s="9">
        <v>0</v>
      </c>
      <c r="G217" s="9">
        <v>7</v>
      </c>
      <c r="H217" s="9">
        <v>7</v>
      </c>
      <c r="I217" s="9">
        <v>56495.54</v>
      </c>
      <c r="J217" s="6">
        <v>56495.54</v>
      </c>
      <c r="K217" s="9">
        <f t="shared" si="6"/>
        <v>0</v>
      </c>
      <c r="L217" s="9" t="s">
        <v>21</v>
      </c>
      <c r="M217" s="9"/>
      <c r="N217" s="9" t="s">
        <v>272</v>
      </c>
      <c r="O217" s="9" t="s">
        <v>273</v>
      </c>
      <c r="P217" s="9" t="s">
        <v>24</v>
      </c>
      <c r="Q217" s="9" t="s">
        <v>25</v>
      </c>
      <c r="R217">
        <f>VLOOKUP(E217,Workera!A$2:L$273,12,FALSE)</f>
        <v>56495.54</v>
      </c>
      <c r="S217">
        <f>VLOOKUP(E217,Planilla!A$2:L$273,12,FALSE)</f>
        <v>56495.54</v>
      </c>
      <c r="T217" t="str">
        <f t="shared" si="7"/>
        <v>OK</v>
      </c>
    </row>
    <row r="218" spans="1:20" x14ac:dyDescent="0.35">
      <c r="A218" s="9" t="s">
        <v>269</v>
      </c>
      <c r="B218" s="9" t="s">
        <v>270</v>
      </c>
      <c r="C218" s="9" t="s">
        <v>270</v>
      </c>
      <c r="D218" s="9" t="s">
        <v>18</v>
      </c>
      <c r="E218" s="9" t="s">
        <v>279</v>
      </c>
      <c r="F218" s="9">
        <v>0</v>
      </c>
      <c r="G218" s="9">
        <v>7</v>
      </c>
      <c r="H218" s="9">
        <v>7</v>
      </c>
      <c r="I218" s="9">
        <v>56495.54</v>
      </c>
      <c r="J218" s="6">
        <v>56495.54</v>
      </c>
      <c r="K218" s="9">
        <f t="shared" si="6"/>
        <v>0</v>
      </c>
      <c r="L218" s="9" t="s">
        <v>21</v>
      </c>
      <c r="M218" s="9"/>
      <c r="N218" s="9" t="s">
        <v>272</v>
      </c>
      <c r="O218" s="9" t="s">
        <v>273</v>
      </c>
      <c r="P218" s="9" t="s">
        <v>24</v>
      </c>
      <c r="Q218" s="9" t="s">
        <v>25</v>
      </c>
      <c r="R218">
        <f>VLOOKUP(E218,Workera!A$2:L$273,12,FALSE)</f>
        <v>56495.54</v>
      </c>
      <c r="S218">
        <f>VLOOKUP(E218,Planilla!A$2:L$273,12,FALSE)</f>
        <v>56495.54</v>
      </c>
      <c r="T218" t="str">
        <f t="shared" si="7"/>
        <v>OK</v>
      </c>
    </row>
    <row r="219" spans="1:20" x14ac:dyDescent="0.35">
      <c r="A219" s="9" t="s">
        <v>269</v>
      </c>
      <c r="B219" s="9" t="s">
        <v>270</v>
      </c>
      <c r="C219" s="9" t="s">
        <v>270</v>
      </c>
      <c r="D219" s="9" t="s">
        <v>18</v>
      </c>
      <c r="E219" s="9" t="s">
        <v>280</v>
      </c>
      <c r="F219" s="9">
        <v>0</v>
      </c>
      <c r="G219" s="9">
        <v>0</v>
      </c>
      <c r="H219" s="9">
        <v>0</v>
      </c>
      <c r="I219" s="9">
        <v>0</v>
      </c>
      <c r="J219" s="6">
        <v>0</v>
      </c>
      <c r="K219" s="9">
        <f t="shared" si="6"/>
        <v>0</v>
      </c>
      <c r="L219" s="9" t="s">
        <v>21</v>
      </c>
      <c r="M219" s="9"/>
      <c r="N219" s="9" t="s">
        <v>272</v>
      </c>
      <c r="O219" s="9" t="s">
        <v>273</v>
      </c>
      <c r="P219" s="9" t="s">
        <v>24</v>
      </c>
      <c r="Q219" s="9" t="s">
        <v>25</v>
      </c>
      <c r="R219">
        <f>VLOOKUP(E219,Workera!A$2:L$273,12,FALSE)</f>
        <v>0</v>
      </c>
      <c r="S219">
        <f>VLOOKUP(E219,Planilla!A$2:L$273,12,FALSE)</f>
        <v>0</v>
      </c>
      <c r="T219" t="str">
        <f t="shared" si="7"/>
        <v>OK</v>
      </c>
    </row>
    <row r="220" spans="1:20" x14ac:dyDescent="0.35">
      <c r="A220" s="9" t="s">
        <v>269</v>
      </c>
      <c r="B220" s="9" t="s">
        <v>270</v>
      </c>
      <c r="C220" s="9" t="s">
        <v>270</v>
      </c>
      <c r="D220" s="9" t="s">
        <v>18</v>
      </c>
      <c r="E220" s="9" t="s">
        <v>281</v>
      </c>
      <c r="F220" s="9" t="s">
        <v>27</v>
      </c>
      <c r="G220" s="9">
        <v>16</v>
      </c>
      <c r="H220" s="9">
        <v>16</v>
      </c>
      <c r="I220" s="9">
        <v>195668.67</v>
      </c>
      <c r="J220" s="6">
        <v>195668.67</v>
      </c>
      <c r="K220" s="9">
        <f t="shared" si="6"/>
        <v>0</v>
      </c>
      <c r="L220" s="9" t="s">
        <v>21</v>
      </c>
      <c r="M220" s="9"/>
      <c r="N220" s="9" t="s">
        <v>272</v>
      </c>
      <c r="O220" s="9" t="s">
        <v>273</v>
      </c>
      <c r="P220" s="9" t="s">
        <v>24</v>
      </c>
      <c r="Q220" s="9" t="s">
        <v>25</v>
      </c>
      <c r="R220">
        <f>VLOOKUP(E220,Workera!A$2:L$273,12,FALSE)</f>
        <v>183439.38</v>
      </c>
      <c r="S220">
        <f>VLOOKUP(E220,Planilla!A$2:L$273,12,FALSE)</f>
        <v>195668.67</v>
      </c>
      <c r="T220" t="str">
        <f t="shared" si="7"/>
        <v>OK</v>
      </c>
    </row>
    <row r="221" spans="1:20" x14ac:dyDescent="0.35">
      <c r="A221" s="9" t="s">
        <v>269</v>
      </c>
      <c r="B221" s="9" t="s">
        <v>270</v>
      </c>
      <c r="C221" s="9" t="s">
        <v>270</v>
      </c>
      <c r="D221" s="9" t="s">
        <v>18</v>
      </c>
      <c r="E221" s="9" t="s">
        <v>282</v>
      </c>
      <c r="F221" s="9" t="s">
        <v>20</v>
      </c>
      <c r="G221" s="9">
        <v>0</v>
      </c>
      <c r="H221" s="9">
        <v>0</v>
      </c>
      <c r="I221" s="9">
        <v>0</v>
      </c>
      <c r="J221" s="6">
        <v>0</v>
      </c>
      <c r="K221" s="9">
        <f t="shared" si="6"/>
        <v>0</v>
      </c>
      <c r="L221" s="9" t="s">
        <v>21</v>
      </c>
      <c r="M221" s="9"/>
      <c r="N221" s="9" t="s">
        <v>272</v>
      </c>
      <c r="O221" s="9" t="s">
        <v>273</v>
      </c>
      <c r="P221" s="9" t="s">
        <v>24</v>
      </c>
      <c r="Q221" s="9" t="s">
        <v>25</v>
      </c>
      <c r="R221">
        <f>VLOOKUP(E221,Workera!A$2:L$273,12,FALSE)</f>
        <v>0</v>
      </c>
      <c r="S221" t="e">
        <f>VLOOKUP(E221,Planilla!A$2:L$273,12,FALSE)</f>
        <v>#N/A</v>
      </c>
      <c r="T221" t="e">
        <f t="shared" si="7"/>
        <v>#N/A</v>
      </c>
    </row>
    <row r="222" spans="1:20" x14ac:dyDescent="0.35">
      <c r="A222" s="9" t="s">
        <v>269</v>
      </c>
      <c r="B222" s="9" t="s">
        <v>270</v>
      </c>
      <c r="C222" s="9" t="s">
        <v>270</v>
      </c>
      <c r="D222" s="9" t="s">
        <v>18</v>
      </c>
      <c r="E222" s="9" t="s">
        <v>283</v>
      </c>
      <c r="F222" s="9" t="s">
        <v>28</v>
      </c>
      <c r="G222" s="9">
        <v>16</v>
      </c>
      <c r="H222" s="9">
        <v>16</v>
      </c>
      <c r="I222" s="9">
        <v>195668.67</v>
      </c>
      <c r="J222" s="6">
        <v>195668.67</v>
      </c>
      <c r="K222" s="9">
        <f t="shared" si="6"/>
        <v>0</v>
      </c>
      <c r="L222" s="9" t="s">
        <v>21</v>
      </c>
      <c r="M222" s="9"/>
      <c r="N222" s="9" t="s">
        <v>272</v>
      </c>
      <c r="O222" s="9" t="s">
        <v>273</v>
      </c>
      <c r="P222" s="9" t="s">
        <v>24</v>
      </c>
      <c r="Q222" s="9" t="s">
        <v>25</v>
      </c>
      <c r="R222">
        <f>VLOOKUP(E222,Workera!A$2:L$273,12,FALSE)</f>
        <v>195668.67</v>
      </c>
      <c r="S222">
        <f>VLOOKUP(E222,Planilla!A$2:L$273,12,FALSE)</f>
        <v>195668.67</v>
      </c>
      <c r="T222" t="str">
        <f t="shared" si="7"/>
        <v>OK</v>
      </c>
    </row>
    <row r="223" spans="1:20" x14ac:dyDescent="0.35">
      <c r="A223" s="9" t="s">
        <v>269</v>
      </c>
      <c r="B223" s="9" t="s">
        <v>270</v>
      </c>
      <c r="C223" s="9" t="s">
        <v>270</v>
      </c>
      <c r="D223" s="9" t="s">
        <v>18</v>
      </c>
      <c r="E223" s="9" t="s">
        <v>284</v>
      </c>
      <c r="F223" s="9" t="s">
        <v>27</v>
      </c>
      <c r="G223" s="9">
        <v>14</v>
      </c>
      <c r="H223" s="9">
        <v>14</v>
      </c>
      <c r="I223" s="9">
        <v>171210.08</v>
      </c>
      <c r="J223" s="6">
        <v>171210.08</v>
      </c>
      <c r="K223" s="9">
        <f t="shared" si="6"/>
        <v>0</v>
      </c>
      <c r="L223" s="9" t="s">
        <v>21</v>
      </c>
      <c r="M223" s="9"/>
      <c r="N223" s="9" t="s">
        <v>272</v>
      </c>
      <c r="O223" s="9" t="s">
        <v>273</v>
      </c>
      <c r="P223" s="9" t="s">
        <v>24</v>
      </c>
      <c r="Q223" s="9" t="s">
        <v>25</v>
      </c>
      <c r="R223">
        <f>VLOOKUP(E223,Workera!A$2:L$273,12,FALSE)</f>
        <v>171210.08</v>
      </c>
      <c r="S223">
        <f>VLOOKUP(E223,Planilla!A$2:L$273,12,FALSE)</f>
        <v>171210.08</v>
      </c>
      <c r="T223" t="str">
        <f t="shared" si="7"/>
        <v>OK</v>
      </c>
    </row>
    <row r="224" spans="1:20" x14ac:dyDescent="0.35">
      <c r="A224" s="9" t="s">
        <v>269</v>
      </c>
      <c r="B224" s="9" t="s">
        <v>270</v>
      </c>
      <c r="C224" s="9" t="s">
        <v>270</v>
      </c>
      <c r="D224" s="9" t="s">
        <v>18</v>
      </c>
      <c r="E224" s="9" t="s">
        <v>285</v>
      </c>
      <c r="F224" s="9" t="s">
        <v>28</v>
      </c>
      <c r="G224" s="9">
        <v>14</v>
      </c>
      <c r="H224" s="9">
        <v>14</v>
      </c>
      <c r="I224" s="9">
        <v>171210.08</v>
      </c>
      <c r="J224" s="6">
        <v>171210.08</v>
      </c>
      <c r="K224" s="9">
        <f t="shared" si="6"/>
        <v>0</v>
      </c>
      <c r="L224" s="9" t="s">
        <v>21</v>
      </c>
      <c r="M224" s="9"/>
      <c r="N224" s="9" t="s">
        <v>272</v>
      </c>
      <c r="O224" s="9" t="s">
        <v>273</v>
      </c>
      <c r="P224" s="9" t="s">
        <v>24</v>
      </c>
      <c r="Q224" s="9" t="s">
        <v>25</v>
      </c>
      <c r="R224">
        <f>VLOOKUP(E224,Workera!A$2:L$273,12,FALSE)</f>
        <v>158980.79</v>
      </c>
      <c r="S224">
        <f>VLOOKUP(E224,Planilla!A$2:L$273,12,FALSE)</f>
        <v>171210.08</v>
      </c>
      <c r="T224" t="str">
        <f t="shared" si="7"/>
        <v>OK</v>
      </c>
    </row>
    <row r="225" spans="1:20" x14ac:dyDescent="0.35">
      <c r="A225" s="9" t="s">
        <v>269</v>
      </c>
      <c r="B225" s="9" t="s">
        <v>270</v>
      </c>
      <c r="C225" s="9" t="s">
        <v>270</v>
      </c>
      <c r="D225" s="9" t="s">
        <v>18</v>
      </c>
      <c r="E225" s="9" t="s">
        <v>286</v>
      </c>
      <c r="F225" s="9" t="s">
        <v>28</v>
      </c>
      <c r="G225" s="9">
        <v>2</v>
      </c>
      <c r="H225" s="9">
        <v>2</v>
      </c>
      <c r="I225" s="9">
        <v>24458.58</v>
      </c>
      <c r="J225" s="6">
        <v>24458.58</v>
      </c>
      <c r="K225" s="9">
        <f t="shared" si="6"/>
        <v>0</v>
      </c>
      <c r="L225" s="9" t="s">
        <v>21</v>
      </c>
      <c r="M225" s="9"/>
      <c r="N225" s="9" t="s">
        <v>272</v>
      </c>
      <c r="O225" s="9" t="s">
        <v>273</v>
      </c>
      <c r="P225" s="9" t="s">
        <v>24</v>
      </c>
      <c r="Q225" s="9" t="s">
        <v>25</v>
      </c>
      <c r="R225">
        <f>VLOOKUP(E225,Workera!A$2:L$273,12,FALSE)</f>
        <v>146751.5</v>
      </c>
      <c r="S225">
        <f>VLOOKUP(E225,Planilla!A$2:L$273,12,FALSE)</f>
        <v>24458.58</v>
      </c>
      <c r="T225" t="str">
        <f t="shared" si="7"/>
        <v>OK</v>
      </c>
    </row>
    <row r="226" spans="1:20" x14ac:dyDescent="0.35">
      <c r="A226" s="9" t="s">
        <v>269</v>
      </c>
      <c r="B226" s="9" t="s">
        <v>270</v>
      </c>
      <c r="C226" s="9" t="s">
        <v>270</v>
      </c>
      <c r="D226" s="9" t="s">
        <v>18</v>
      </c>
      <c r="E226" s="9" t="s">
        <v>287</v>
      </c>
      <c r="F226" s="9" t="s">
        <v>20</v>
      </c>
      <c r="G226" s="9">
        <v>14</v>
      </c>
      <c r="H226" s="9">
        <v>14</v>
      </c>
      <c r="I226" s="9">
        <v>112991.08</v>
      </c>
      <c r="J226" s="6">
        <v>112991.08</v>
      </c>
      <c r="K226" s="9">
        <f t="shared" si="6"/>
        <v>0</v>
      </c>
      <c r="L226" s="9" t="s">
        <v>21</v>
      </c>
      <c r="M226" s="9"/>
      <c r="N226" s="9" t="s">
        <v>272</v>
      </c>
      <c r="O226" s="9" t="s">
        <v>273</v>
      </c>
      <c r="P226" s="9" t="s">
        <v>24</v>
      </c>
      <c r="Q226" s="9" t="s">
        <v>25</v>
      </c>
      <c r="R226">
        <f>VLOOKUP(E226,Workera!A$2:L$273,12,FALSE)</f>
        <v>112991.08</v>
      </c>
      <c r="S226">
        <f>VLOOKUP(E226,Planilla!A$2:L$273,12,FALSE)</f>
        <v>112991.08</v>
      </c>
      <c r="T226" t="str">
        <f t="shared" si="7"/>
        <v>OK</v>
      </c>
    </row>
    <row r="227" spans="1:20" x14ac:dyDescent="0.35">
      <c r="A227" s="9" t="s">
        <v>269</v>
      </c>
      <c r="B227" s="9" t="s">
        <v>270</v>
      </c>
      <c r="C227" s="9" t="s">
        <v>270</v>
      </c>
      <c r="D227" s="9" t="s">
        <v>18</v>
      </c>
      <c r="E227" s="9" t="s">
        <v>288</v>
      </c>
      <c r="F227" s="9" t="s">
        <v>20</v>
      </c>
      <c r="G227" s="9">
        <v>9</v>
      </c>
      <c r="H227" s="9">
        <v>9</v>
      </c>
      <c r="I227" s="9">
        <v>72637.13</v>
      </c>
      <c r="J227" s="6">
        <v>72637.13</v>
      </c>
      <c r="K227" s="9">
        <f t="shared" si="6"/>
        <v>0</v>
      </c>
      <c r="L227" s="9" t="s">
        <v>21</v>
      </c>
      <c r="M227" s="9"/>
      <c r="N227" s="9" t="s">
        <v>272</v>
      </c>
      <c r="O227" s="9" t="s">
        <v>273</v>
      </c>
      <c r="P227" s="9" t="s">
        <v>24</v>
      </c>
      <c r="Q227" s="9" t="s">
        <v>25</v>
      </c>
      <c r="R227">
        <f>VLOOKUP(E227,Workera!A$2:L$273,12,FALSE)</f>
        <v>56495.54</v>
      </c>
      <c r="S227">
        <f>VLOOKUP(E227,Planilla!A$2:L$273,12,FALSE)</f>
        <v>72637.13</v>
      </c>
      <c r="T227" t="str">
        <f t="shared" si="7"/>
        <v>OK</v>
      </c>
    </row>
    <row r="228" spans="1:20" x14ac:dyDescent="0.35">
      <c r="A228" s="9" t="s">
        <v>269</v>
      </c>
      <c r="B228" s="9" t="s">
        <v>270</v>
      </c>
      <c r="C228" s="9" t="s">
        <v>270</v>
      </c>
      <c r="D228" s="9" t="s">
        <v>18</v>
      </c>
      <c r="E228" s="9" t="s">
        <v>289</v>
      </c>
      <c r="F228" s="9" t="s">
        <v>391</v>
      </c>
      <c r="G228" s="9">
        <v>14</v>
      </c>
      <c r="H228" s="9">
        <v>14</v>
      </c>
      <c r="I228" s="9">
        <v>112991.08</v>
      </c>
      <c r="J228" s="6">
        <v>112991.08</v>
      </c>
      <c r="K228" s="9">
        <f t="shared" si="6"/>
        <v>0</v>
      </c>
      <c r="L228" s="9" t="s">
        <v>21</v>
      </c>
      <c r="M228" s="9"/>
      <c r="N228" s="9" t="s">
        <v>272</v>
      </c>
      <c r="O228" s="9" t="s">
        <v>273</v>
      </c>
      <c r="P228" s="9" t="s">
        <v>24</v>
      </c>
      <c r="Q228" s="9" t="s">
        <v>25</v>
      </c>
      <c r="R228">
        <f>VLOOKUP(E228,Workera!A$2:L$273,12,FALSE)</f>
        <v>112991.08</v>
      </c>
      <c r="S228">
        <f>VLOOKUP(E228,Planilla!A$2:L$273,12,FALSE)</f>
        <v>112991.08</v>
      </c>
      <c r="T228" t="str">
        <f t="shared" si="7"/>
        <v>OK</v>
      </c>
    </row>
    <row r="229" spans="1:20" x14ac:dyDescent="0.35">
      <c r="A229" s="9" t="s">
        <v>269</v>
      </c>
      <c r="B229" s="9" t="s">
        <v>270</v>
      </c>
      <c r="C229" s="9" t="s">
        <v>270</v>
      </c>
      <c r="D229" s="9" t="s">
        <v>18</v>
      </c>
      <c r="E229" s="9" t="s">
        <v>290</v>
      </c>
      <c r="F229" s="9" t="s">
        <v>28</v>
      </c>
      <c r="G229" s="9">
        <v>16</v>
      </c>
      <c r="H229" s="9">
        <v>16</v>
      </c>
      <c r="I229" s="9">
        <v>195668.67</v>
      </c>
      <c r="J229" s="6">
        <v>195668.67</v>
      </c>
      <c r="K229" s="9">
        <f t="shared" si="6"/>
        <v>0</v>
      </c>
      <c r="L229" s="9" t="s">
        <v>21</v>
      </c>
      <c r="M229" s="9"/>
      <c r="N229" s="9" t="s">
        <v>272</v>
      </c>
      <c r="O229" s="9" t="s">
        <v>273</v>
      </c>
      <c r="P229" s="9" t="s">
        <v>24</v>
      </c>
      <c r="Q229" s="9" t="s">
        <v>25</v>
      </c>
      <c r="R229">
        <f>VLOOKUP(E229,Workera!A$2:L$273,12,FALSE)</f>
        <v>195668.67</v>
      </c>
      <c r="S229">
        <f>VLOOKUP(E229,Planilla!A$2:L$273,12,FALSE)</f>
        <v>195668.67</v>
      </c>
      <c r="T229" t="str">
        <f t="shared" si="7"/>
        <v>OK</v>
      </c>
    </row>
    <row r="230" spans="1:20" x14ac:dyDescent="0.35">
      <c r="A230" s="9" t="s">
        <v>269</v>
      </c>
      <c r="B230" s="9" t="s">
        <v>270</v>
      </c>
      <c r="C230" s="9" t="s">
        <v>270</v>
      </c>
      <c r="D230" s="9" t="s">
        <v>18</v>
      </c>
      <c r="E230" s="9" t="s">
        <v>291</v>
      </c>
      <c r="F230" s="9" t="s">
        <v>35</v>
      </c>
      <c r="G230" s="9">
        <v>0</v>
      </c>
      <c r="H230" s="9">
        <v>0</v>
      </c>
      <c r="I230" s="9">
        <v>0</v>
      </c>
      <c r="J230" s="6">
        <v>0</v>
      </c>
      <c r="K230" s="9">
        <f t="shared" si="6"/>
        <v>0</v>
      </c>
      <c r="L230" s="9" t="s">
        <v>21</v>
      </c>
      <c r="M230" s="9"/>
      <c r="N230" s="9" t="s">
        <v>272</v>
      </c>
      <c r="O230" s="9" t="s">
        <v>273</v>
      </c>
      <c r="P230" s="9" t="s">
        <v>24</v>
      </c>
      <c r="Q230" s="9" t="s">
        <v>25</v>
      </c>
      <c r="R230">
        <f>VLOOKUP(E230,Workera!A$2:L$273,12,FALSE)</f>
        <v>0</v>
      </c>
      <c r="S230" t="e">
        <f>VLOOKUP(E230,Planilla!A$2:L$273,12,FALSE)</f>
        <v>#N/A</v>
      </c>
      <c r="T230" t="e">
        <f t="shared" si="7"/>
        <v>#N/A</v>
      </c>
    </row>
    <row r="231" spans="1:20" x14ac:dyDescent="0.35">
      <c r="A231" s="9" t="s">
        <v>269</v>
      </c>
      <c r="B231" s="9" t="s">
        <v>270</v>
      </c>
      <c r="C231" s="9" t="s">
        <v>270</v>
      </c>
      <c r="D231" s="9" t="s">
        <v>18</v>
      </c>
      <c r="E231" s="9" t="s">
        <v>292</v>
      </c>
      <c r="F231" s="9" t="s">
        <v>28</v>
      </c>
      <c r="G231" s="9">
        <v>16</v>
      </c>
      <c r="H231" s="9">
        <v>16</v>
      </c>
      <c r="I231" s="9">
        <v>195668.67</v>
      </c>
      <c r="J231" s="6">
        <v>195668.67</v>
      </c>
      <c r="K231" s="9">
        <f t="shared" si="6"/>
        <v>0</v>
      </c>
      <c r="L231" s="9" t="s">
        <v>21</v>
      </c>
      <c r="M231" s="9"/>
      <c r="N231" s="9" t="s">
        <v>272</v>
      </c>
      <c r="O231" s="9" t="s">
        <v>273</v>
      </c>
      <c r="P231" s="9" t="s">
        <v>24</v>
      </c>
      <c r="Q231" s="9" t="s">
        <v>25</v>
      </c>
      <c r="R231">
        <f>VLOOKUP(E231,Workera!A$2:L$273,12,FALSE)</f>
        <v>171210.08</v>
      </c>
      <c r="S231">
        <f>VLOOKUP(E231,Planilla!A$2:L$273,12,FALSE)</f>
        <v>195668.67</v>
      </c>
      <c r="T231" t="str">
        <f t="shared" si="7"/>
        <v>OK</v>
      </c>
    </row>
    <row r="232" spans="1:20" x14ac:dyDescent="0.35">
      <c r="A232" s="9" t="s">
        <v>269</v>
      </c>
      <c r="B232" s="9" t="s">
        <v>270</v>
      </c>
      <c r="C232" s="9" t="s">
        <v>270</v>
      </c>
      <c r="D232" s="9" t="s">
        <v>18</v>
      </c>
      <c r="E232" s="9" t="s">
        <v>293</v>
      </c>
      <c r="F232" s="9" t="s">
        <v>28</v>
      </c>
      <c r="G232" s="9">
        <v>16</v>
      </c>
      <c r="H232" s="9">
        <v>16</v>
      </c>
      <c r="I232" s="9">
        <v>195668.67</v>
      </c>
      <c r="J232" s="6">
        <v>195668.67</v>
      </c>
      <c r="K232" s="9">
        <f t="shared" si="6"/>
        <v>0</v>
      </c>
      <c r="L232" s="9" t="s">
        <v>21</v>
      </c>
      <c r="M232" s="9"/>
      <c r="N232" s="9" t="s">
        <v>272</v>
      </c>
      <c r="O232" s="9" t="s">
        <v>273</v>
      </c>
      <c r="P232" s="9" t="s">
        <v>24</v>
      </c>
      <c r="Q232" s="9" t="s">
        <v>25</v>
      </c>
      <c r="R232">
        <f>VLOOKUP(E232,Workera!A$2:L$273,12,FALSE)</f>
        <v>183439.38</v>
      </c>
      <c r="S232">
        <f>VLOOKUP(E232,Planilla!A$2:L$273,12,FALSE)</f>
        <v>195668.67</v>
      </c>
      <c r="T232" t="str">
        <f t="shared" si="7"/>
        <v>OK</v>
      </c>
    </row>
    <row r="233" spans="1:20" x14ac:dyDescent="0.35">
      <c r="A233" s="9" t="s">
        <v>269</v>
      </c>
      <c r="B233" s="9" t="s">
        <v>270</v>
      </c>
      <c r="C233" s="9" t="s">
        <v>270</v>
      </c>
      <c r="D233" s="9" t="s">
        <v>18</v>
      </c>
      <c r="E233" s="9" t="s">
        <v>294</v>
      </c>
      <c r="F233" s="9" t="s">
        <v>28</v>
      </c>
      <c r="G233" s="9">
        <v>14</v>
      </c>
      <c r="H233" s="9">
        <v>14</v>
      </c>
      <c r="I233" s="9">
        <v>171210.08</v>
      </c>
      <c r="J233" s="6">
        <v>171210.08</v>
      </c>
      <c r="K233" s="9">
        <f t="shared" si="6"/>
        <v>0</v>
      </c>
      <c r="L233" s="9" t="s">
        <v>21</v>
      </c>
      <c r="M233" s="9"/>
      <c r="N233" s="9" t="s">
        <v>272</v>
      </c>
      <c r="O233" s="9" t="s">
        <v>273</v>
      </c>
      <c r="P233" s="9" t="s">
        <v>24</v>
      </c>
      <c r="Q233" s="9" t="s">
        <v>25</v>
      </c>
      <c r="R233">
        <f>VLOOKUP(E233,Workera!A$2:L$273,12,FALSE)</f>
        <v>158980.79</v>
      </c>
      <c r="S233">
        <f>VLOOKUP(E233,Planilla!A$2:L$273,12,FALSE)</f>
        <v>171210.08</v>
      </c>
      <c r="T233" t="str">
        <f t="shared" si="7"/>
        <v>OK</v>
      </c>
    </row>
    <row r="234" spans="1:20" x14ac:dyDescent="0.35">
      <c r="A234" s="9" t="s">
        <v>269</v>
      </c>
      <c r="B234" s="9" t="s">
        <v>270</v>
      </c>
      <c r="C234" s="9" t="s">
        <v>270</v>
      </c>
      <c r="D234" s="9" t="s">
        <v>18</v>
      </c>
      <c r="E234" s="9" t="s">
        <v>295</v>
      </c>
      <c r="F234" s="9" t="s">
        <v>74</v>
      </c>
      <c r="G234" s="9">
        <v>13</v>
      </c>
      <c r="H234" s="9">
        <v>13</v>
      </c>
      <c r="I234" s="9">
        <v>104920.29</v>
      </c>
      <c r="J234" s="6">
        <v>104920.29</v>
      </c>
      <c r="K234" s="9">
        <f t="shared" si="6"/>
        <v>0</v>
      </c>
      <c r="L234" s="9" t="s">
        <v>21</v>
      </c>
      <c r="M234" s="9"/>
      <c r="N234" s="9" t="s">
        <v>272</v>
      </c>
      <c r="O234" s="9" t="s">
        <v>273</v>
      </c>
      <c r="P234" s="9" t="s">
        <v>24</v>
      </c>
      <c r="Q234" s="9" t="s">
        <v>25</v>
      </c>
      <c r="R234">
        <f>VLOOKUP(E234,Workera!A$2:L$273,12,FALSE)</f>
        <v>104920.29</v>
      </c>
      <c r="S234">
        <f>VLOOKUP(E234,Planilla!A$2:L$273,12,FALSE)</f>
        <v>104920.29</v>
      </c>
      <c r="T234" t="str">
        <f t="shared" si="7"/>
        <v>OK</v>
      </c>
    </row>
    <row r="235" spans="1:20" x14ac:dyDescent="0.35">
      <c r="A235" s="9" t="s">
        <v>269</v>
      </c>
      <c r="B235" s="9" t="s">
        <v>270</v>
      </c>
      <c r="C235" s="9" t="s">
        <v>270</v>
      </c>
      <c r="D235" s="9" t="s">
        <v>18</v>
      </c>
      <c r="E235" s="9" t="s">
        <v>296</v>
      </c>
      <c r="F235" s="9" t="s">
        <v>28</v>
      </c>
      <c r="G235" s="9">
        <v>0</v>
      </c>
      <c r="H235" s="9">
        <v>0</v>
      </c>
      <c r="I235" s="9">
        <v>0</v>
      </c>
      <c r="J235" s="6">
        <v>0</v>
      </c>
      <c r="K235" s="9">
        <f t="shared" si="6"/>
        <v>0</v>
      </c>
      <c r="L235" s="9" t="s">
        <v>21</v>
      </c>
      <c r="M235" s="9"/>
      <c r="N235" s="9" t="s">
        <v>272</v>
      </c>
      <c r="O235" s="9" t="s">
        <v>273</v>
      </c>
      <c r="P235" s="9" t="s">
        <v>24</v>
      </c>
      <c r="Q235" s="9" t="s">
        <v>25</v>
      </c>
      <c r="R235">
        <f>VLOOKUP(E235,Workera!A$2:L$273,12,FALSE)</f>
        <v>0</v>
      </c>
      <c r="S235" t="e">
        <f>VLOOKUP(E235,Planilla!A$2:L$273,12,FALSE)</f>
        <v>#N/A</v>
      </c>
      <c r="T235" t="e">
        <f t="shared" si="7"/>
        <v>#N/A</v>
      </c>
    </row>
    <row r="236" spans="1:20" x14ac:dyDescent="0.35">
      <c r="A236" s="9" t="s">
        <v>269</v>
      </c>
      <c r="B236" s="9" t="s">
        <v>270</v>
      </c>
      <c r="C236" s="9" t="s">
        <v>270</v>
      </c>
      <c r="D236" s="9" t="s">
        <v>18</v>
      </c>
      <c r="E236" s="9" t="s">
        <v>297</v>
      </c>
      <c r="F236" s="9" t="s">
        <v>88</v>
      </c>
      <c r="G236" s="9">
        <v>14</v>
      </c>
      <c r="H236" s="9">
        <v>14</v>
      </c>
      <c r="I236" s="9">
        <v>112991.08</v>
      </c>
      <c r="J236" s="6">
        <v>112991.08</v>
      </c>
      <c r="K236" s="9">
        <f t="shared" si="6"/>
        <v>0</v>
      </c>
      <c r="L236" s="9" t="s">
        <v>21</v>
      </c>
      <c r="M236" s="9"/>
      <c r="N236" s="9" t="s">
        <v>272</v>
      </c>
      <c r="O236" s="9" t="s">
        <v>273</v>
      </c>
      <c r="P236" s="9" t="s">
        <v>24</v>
      </c>
      <c r="Q236" s="9" t="s">
        <v>25</v>
      </c>
      <c r="R236">
        <f>VLOOKUP(E236,Workera!A$2:L$273,12,FALSE)</f>
        <v>112991.08</v>
      </c>
      <c r="S236">
        <f>VLOOKUP(E236,Planilla!A$2:L$273,12,FALSE)</f>
        <v>112991.08</v>
      </c>
      <c r="T236" t="str">
        <f t="shared" si="7"/>
        <v>OK</v>
      </c>
    </row>
    <row r="237" spans="1:20" x14ac:dyDescent="0.35">
      <c r="A237" s="9" t="s">
        <v>269</v>
      </c>
      <c r="B237" s="9" t="s">
        <v>270</v>
      </c>
      <c r="C237" s="9" t="s">
        <v>270</v>
      </c>
      <c r="D237" s="9" t="s">
        <v>18</v>
      </c>
      <c r="E237" s="9" t="s">
        <v>298</v>
      </c>
      <c r="F237" s="9" t="s">
        <v>20</v>
      </c>
      <c r="G237" s="9">
        <v>9</v>
      </c>
      <c r="H237" s="9">
        <v>9</v>
      </c>
      <c r="I237" s="9">
        <v>72637.13</v>
      </c>
      <c r="J237" s="6">
        <v>72637.13</v>
      </c>
      <c r="K237" s="9">
        <f t="shared" si="6"/>
        <v>0</v>
      </c>
      <c r="L237" s="9" t="s">
        <v>21</v>
      </c>
      <c r="M237" s="9"/>
      <c r="N237" s="9" t="s">
        <v>272</v>
      </c>
      <c r="O237" s="9" t="s">
        <v>273</v>
      </c>
      <c r="P237" s="9" t="s">
        <v>24</v>
      </c>
      <c r="Q237" s="9" t="s">
        <v>25</v>
      </c>
      <c r="R237">
        <f>VLOOKUP(E237,Workera!A$2:L$273,12,FALSE)</f>
        <v>72637.13</v>
      </c>
      <c r="S237">
        <f>VLOOKUP(E237,Planilla!A$2:L$273,12,FALSE)</f>
        <v>72637.13</v>
      </c>
      <c r="T237" t="str">
        <f t="shared" si="7"/>
        <v>OK</v>
      </c>
    </row>
    <row r="238" spans="1:20" x14ac:dyDescent="0.35">
      <c r="A238" s="9" t="s">
        <v>269</v>
      </c>
      <c r="B238" s="9" t="s">
        <v>270</v>
      </c>
      <c r="C238" s="9" t="s">
        <v>270</v>
      </c>
      <c r="D238" s="9" t="s">
        <v>18</v>
      </c>
      <c r="E238" s="9" t="s">
        <v>299</v>
      </c>
      <c r="F238" s="9" t="s">
        <v>20</v>
      </c>
      <c r="G238" s="9">
        <v>10</v>
      </c>
      <c r="H238" s="9">
        <v>10</v>
      </c>
      <c r="I238" s="9">
        <v>80707.92</v>
      </c>
      <c r="J238" s="6">
        <v>80707.92</v>
      </c>
      <c r="K238" s="9">
        <f t="shared" si="6"/>
        <v>0</v>
      </c>
      <c r="L238" s="9" t="s">
        <v>21</v>
      </c>
      <c r="M238" s="9"/>
      <c r="N238" s="9" t="s">
        <v>272</v>
      </c>
      <c r="O238" s="9" t="s">
        <v>273</v>
      </c>
      <c r="P238" s="9" t="s">
        <v>24</v>
      </c>
      <c r="Q238" s="9" t="s">
        <v>25</v>
      </c>
      <c r="R238">
        <f>VLOOKUP(E238,Workera!A$2:L$273,12,FALSE)</f>
        <v>72637.13</v>
      </c>
      <c r="S238">
        <f>VLOOKUP(E238,Planilla!A$2:L$273,12,FALSE)</f>
        <v>80707.92</v>
      </c>
      <c r="T238" t="str">
        <f t="shared" si="7"/>
        <v>OK</v>
      </c>
    </row>
    <row r="239" spans="1:20" x14ac:dyDescent="0.35">
      <c r="A239" s="9" t="s">
        <v>269</v>
      </c>
      <c r="B239" s="9" t="s">
        <v>270</v>
      </c>
      <c r="C239" s="9" t="s">
        <v>270</v>
      </c>
      <c r="D239" s="9" t="s">
        <v>18</v>
      </c>
      <c r="E239" s="9" t="s">
        <v>300</v>
      </c>
      <c r="F239" s="9" t="s">
        <v>28</v>
      </c>
      <c r="G239" s="9">
        <v>14</v>
      </c>
      <c r="H239" s="9">
        <v>14</v>
      </c>
      <c r="I239" s="9">
        <v>171210.08</v>
      </c>
      <c r="J239" s="6">
        <v>171210.08</v>
      </c>
      <c r="K239" s="9">
        <f t="shared" si="6"/>
        <v>0</v>
      </c>
      <c r="L239" s="9" t="s">
        <v>21</v>
      </c>
      <c r="M239" s="9"/>
      <c r="N239" s="9" t="s">
        <v>272</v>
      </c>
      <c r="O239" s="9" t="s">
        <v>273</v>
      </c>
      <c r="P239" s="9" t="s">
        <v>24</v>
      </c>
      <c r="Q239" s="9" t="s">
        <v>25</v>
      </c>
      <c r="R239" t="e">
        <f>VLOOKUP(E239,Workera!A$2:L$273,12,FALSE)</f>
        <v>#N/A</v>
      </c>
      <c r="S239" t="e">
        <f>VLOOKUP(E239,Planilla!A$2:L$273,12,FALSE)</f>
        <v>#N/A</v>
      </c>
      <c r="T239" t="e">
        <f t="shared" si="7"/>
        <v>#N/A</v>
      </c>
    </row>
    <row r="240" spans="1:20" x14ac:dyDescent="0.35">
      <c r="A240" s="9" t="s">
        <v>269</v>
      </c>
      <c r="B240" s="9" t="s">
        <v>270</v>
      </c>
      <c r="C240" s="9" t="s">
        <v>270</v>
      </c>
      <c r="D240" s="9" t="s">
        <v>18</v>
      </c>
      <c r="E240" s="9" t="s">
        <v>301</v>
      </c>
      <c r="F240" s="9" t="s">
        <v>74</v>
      </c>
      <c r="G240" s="9">
        <v>16</v>
      </c>
      <c r="H240" s="9">
        <v>16</v>
      </c>
      <c r="I240" s="9">
        <v>129132.67</v>
      </c>
      <c r="J240" s="6">
        <v>129132.67</v>
      </c>
      <c r="K240" s="9">
        <f t="shared" si="6"/>
        <v>0</v>
      </c>
      <c r="L240" s="9" t="s">
        <v>21</v>
      </c>
      <c r="M240" s="9"/>
      <c r="N240" s="9" t="s">
        <v>272</v>
      </c>
      <c r="O240" s="9" t="s">
        <v>273</v>
      </c>
      <c r="P240" s="9" t="s">
        <v>24</v>
      </c>
      <c r="Q240" s="9" t="s">
        <v>25</v>
      </c>
      <c r="R240">
        <f>VLOOKUP(E240,Workera!A$2:L$273,12,FALSE)</f>
        <v>129132.67</v>
      </c>
      <c r="S240">
        <f>VLOOKUP(E240,Planilla!A$2:L$273,12,FALSE)</f>
        <v>129132.67</v>
      </c>
      <c r="T240" t="str">
        <f t="shared" si="7"/>
        <v>OK</v>
      </c>
    </row>
    <row r="241" spans="1:20" x14ac:dyDescent="0.35">
      <c r="A241" s="9" t="s">
        <v>269</v>
      </c>
      <c r="B241" s="9" t="s">
        <v>270</v>
      </c>
      <c r="C241" s="9" t="s">
        <v>270</v>
      </c>
      <c r="D241" s="9" t="s">
        <v>18</v>
      </c>
      <c r="E241" s="9" t="s">
        <v>302</v>
      </c>
      <c r="F241" s="9" t="s">
        <v>20</v>
      </c>
      <c r="G241" s="9">
        <v>7</v>
      </c>
      <c r="H241" s="9">
        <v>7</v>
      </c>
      <c r="I241" s="9">
        <v>56495.54</v>
      </c>
      <c r="J241" s="6">
        <v>56495.54</v>
      </c>
      <c r="K241" s="9">
        <f t="shared" si="6"/>
        <v>0</v>
      </c>
      <c r="L241" s="9" t="s">
        <v>21</v>
      </c>
      <c r="M241" s="9"/>
      <c r="N241" s="9" t="s">
        <v>272</v>
      </c>
      <c r="O241" s="9" t="s">
        <v>273</v>
      </c>
      <c r="P241" s="9" t="s">
        <v>24</v>
      </c>
      <c r="Q241" s="9" t="s">
        <v>25</v>
      </c>
      <c r="R241">
        <f>VLOOKUP(E241,Workera!A$2:L$273,12,FALSE)</f>
        <v>56495.54</v>
      </c>
      <c r="S241">
        <f>VLOOKUP(E241,Planilla!A$2:L$273,12,FALSE)</f>
        <v>56495.54</v>
      </c>
      <c r="T241" t="str">
        <f t="shared" si="7"/>
        <v>OK</v>
      </c>
    </row>
    <row r="242" spans="1:20" x14ac:dyDescent="0.35">
      <c r="A242" s="9" t="s">
        <v>269</v>
      </c>
      <c r="B242" s="9" t="s">
        <v>270</v>
      </c>
      <c r="C242" s="9" t="s">
        <v>270</v>
      </c>
      <c r="D242" s="9" t="s">
        <v>18</v>
      </c>
      <c r="E242" s="9" t="s">
        <v>303</v>
      </c>
      <c r="F242" s="9" t="s">
        <v>53</v>
      </c>
      <c r="G242" s="9">
        <v>0</v>
      </c>
      <c r="H242" s="9">
        <v>0</v>
      </c>
      <c r="I242" s="9">
        <v>0</v>
      </c>
      <c r="J242" s="6">
        <v>0</v>
      </c>
      <c r="K242" s="9">
        <f t="shared" si="6"/>
        <v>0</v>
      </c>
      <c r="L242" s="9" t="s">
        <v>21</v>
      </c>
      <c r="M242" s="9"/>
      <c r="N242" s="9" t="s">
        <v>272</v>
      </c>
      <c r="O242" s="9" t="s">
        <v>273</v>
      </c>
      <c r="P242" s="9" t="s">
        <v>24</v>
      </c>
      <c r="Q242" s="9" t="s">
        <v>25</v>
      </c>
      <c r="R242" t="e">
        <f>VLOOKUP(E242,Workera!A$2:L$273,12,FALSE)</f>
        <v>#N/A</v>
      </c>
      <c r="S242" t="e">
        <f>VLOOKUP(E242,Planilla!A$2:L$273,12,FALSE)</f>
        <v>#N/A</v>
      </c>
      <c r="T242" t="e">
        <f t="shared" si="7"/>
        <v>#N/A</v>
      </c>
    </row>
    <row r="243" spans="1:20" x14ac:dyDescent="0.35">
      <c r="A243" s="9" t="s">
        <v>269</v>
      </c>
      <c r="B243" s="9" t="s">
        <v>270</v>
      </c>
      <c r="C243" s="9" t="s">
        <v>270</v>
      </c>
      <c r="D243" s="9" t="s">
        <v>18</v>
      </c>
      <c r="E243" s="9" t="s">
        <v>304</v>
      </c>
      <c r="F243" s="9" t="s">
        <v>27</v>
      </c>
      <c r="G243" s="9">
        <v>16</v>
      </c>
      <c r="H243" s="9">
        <v>16</v>
      </c>
      <c r="I243" s="9">
        <v>195668.67</v>
      </c>
      <c r="J243" s="6">
        <v>195668.67</v>
      </c>
      <c r="K243" s="9">
        <f t="shared" si="6"/>
        <v>0</v>
      </c>
      <c r="L243" s="9" t="s">
        <v>21</v>
      </c>
      <c r="M243" s="9"/>
      <c r="N243" s="9" t="s">
        <v>272</v>
      </c>
      <c r="O243" s="9" t="s">
        <v>273</v>
      </c>
      <c r="P243" s="9" t="s">
        <v>24</v>
      </c>
      <c r="Q243" s="9" t="s">
        <v>25</v>
      </c>
      <c r="R243">
        <f>VLOOKUP(E243,Workera!A$2:L$273,12,FALSE)</f>
        <v>171210.08</v>
      </c>
      <c r="S243">
        <f>VLOOKUP(E243,Planilla!A$2:L$273,12,FALSE)</f>
        <v>195668.67</v>
      </c>
      <c r="T243" t="str">
        <f t="shared" si="7"/>
        <v>OK</v>
      </c>
    </row>
    <row r="244" spans="1:20" x14ac:dyDescent="0.35">
      <c r="A244" s="9" t="s">
        <v>269</v>
      </c>
      <c r="B244" s="9" t="s">
        <v>270</v>
      </c>
      <c r="C244" s="9" t="s">
        <v>270</v>
      </c>
      <c r="D244" s="9" t="s">
        <v>18</v>
      </c>
      <c r="E244" s="9" t="s">
        <v>305</v>
      </c>
      <c r="F244" s="9" t="s">
        <v>113</v>
      </c>
      <c r="G244" s="9">
        <v>0</v>
      </c>
      <c r="H244" s="9">
        <v>0</v>
      </c>
      <c r="I244" s="9">
        <v>0</v>
      </c>
      <c r="J244" s="6">
        <v>0</v>
      </c>
      <c r="K244" s="9">
        <f t="shared" si="6"/>
        <v>0</v>
      </c>
      <c r="L244" s="9" t="s">
        <v>21</v>
      </c>
      <c r="M244" s="9"/>
      <c r="N244" s="9" t="s">
        <v>272</v>
      </c>
      <c r="O244" s="9" t="s">
        <v>273</v>
      </c>
      <c r="P244" s="9" t="s">
        <v>24</v>
      </c>
      <c r="Q244" s="9" t="s">
        <v>25</v>
      </c>
      <c r="R244">
        <f>VLOOKUP(E244,Workera!A$2:L$273,12,FALSE)</f>
        <v>0</v>
      </c>
      <c r="S244" t="e">
        <f>VLOOKUP(E244,Planilla!A$2:L$273,12,FALSE)</f>
        <v>#N/A</v>
      </c>
      <c r="T244" t="e">
        <f t="shared" si="7"/>
        <v>#N/A</v>
      </c>
    </row>
    <row r="245" spans="1:20" x14ac:dyDescent="0.35">
      <c r="A245" s="9" t="s">
        <v>269</v>
      </c>
      <c r="B245" s="9" t="s">
        <v>270</v>
      </c>
      <c r="C245" s="9" t="s">
        <v>270</v>
      </c>
      <c r="D245" s="9" t="s">
        <v>18</v>
      </c>
      <c r="E245" s="9" t="s">
        <v>306</v>
      </c>
      <c r="F245" s="9" t="s">
        <v>20</v>
      </c>
      <c r="G245" s="9">
        <v>16</v>
      </c>
      <c r="H245" s="9">
        <v>16</v>
      </c>
      <c r="I245" s="9">
        <v>129132.67</v>
      </c>
      <c r="J245" s="6">
        <v>129132.67</v>
      </c>
      <c r="K245" s="9">
        <f t="shared" si="6"/>
        <v>0</v>
      </c>
      <c r="L245" s="9" t="s">
        <v>21</v>
      </c>
      <c r="M245" s="9"/>
      <c r="N245" s="9" t="s">
        <v>272</v>
      </c>
      <c r="O245" s="9" t="s">
        <v>273</v>
      </c>
      <c r="P245" s="9" t="s">
        <v>24</v>
      </c>
      <c r="Q245" s="9" t="s">
        <v>25</v>
      </c>
      <c r="R245">
        <f>VLOOKUP(E245,Workera!A$2:L$273,12,FALSE)</f>
        <v>112991.08</v>
      </c>
      <c r="S245">
        <f>VLOOKUP(E245,Planilla!A$2:L$273,12,FALSE)</f>
        <v>129132.67</v>
      </c>
      <c r="T245" t="str">
        <f t="shared" si="7"/>
        <v>OK</v>
      </c>
    </row>
    <row r="246" spans="1:20" x14ac:dyDescent="0.35">
      <c r="A246" s="9" t="s">
        <v>269</v>
      </c>
      <c r="B246" s="9" t="s">
        <v>270</v>
      </c>
      <c r="C246" s="9" t="s">
        <v>270</v>
      </c>
      <c r="D246" s="9" t="s">
        <v>18</v>
      </c>
      <c r="E246" s="9" t="s">
        <v>307</v>
      </c>
      <c r="F246" s="9" t="s">
        <v>20</v>
      </c>
      <c r="G246" s="9">
        <v>14</v>
      </c>
      <c r="H246" s="9">
        <v>14</v>
      </c>
      <c r="I246" s="9">
        <v>112991.08</v>
      </c>
      <c r="J246" s="6">
        <v>112991.08</v>
      </c>
      <c r="K246" s="9">
        <f t="shared" si="6"/>
        <v>0</v>
      </c>
      <c r="L246" s="9" t="s">
        <v>21</v>
      </c>
      <c r="M246" s="9"/>
      <c r="N246" s="9" t="s">
        <v>272</v>
      </c>
      <c r="O246" s="9" t="s">
        <v>273</v>
      </c>
      <c r="P246" s="9" t="s">
        <v>24</v>
      </c>
      <c r="Q246" s="9" t="s">
        <v>25</v>
      </c>
      <c r="R246">
        <f>VLOOKUP(E246,Workera!A$2:L$273,12,FALSE)</f>
        <v>121061.88</v>
      </c>
      <c r="S246">
        <f>VLOOKUP(E246,Planilla!A$2:L$273,12,FALSE)</f>
        <v>112991.08</v>
      </c>
      <c r="T246" t="str">
        <f t="shared" si="7"/>
        <v>OK</v>
      </c>
    </row>
    <row r="247" spans="1:20" x14ac:dyDescent="0.35">
      <c r="A247" s="9" t="s">
        <v>269</v>
      </c>
      <c r="B247" s="9" t="s">
        <v>270</v>
      </c>
      <c r="C247" s="9" t="s">
        <v>270</v>
      </c>
      <c r="D247" s="9" t="s">
        <v>18</v>
      </c>
      <c r="E247" s="9" t="s">
        <v>308</v>
      </c>
      <c r="F247" s="9" t="s">
        <v>30</v>
      </c>
      <c r="G247" s="9">
        <v>14</v>
      </c>
      <c r="H247" s="9">
        <v>14</v>
      </c>
      <c r="I247" s="9">
        <v>171210.08</v>
      </c>
      <c r="J247" s="6">
        <v>171210.08</v>
      </c>
      <c r="K247" s="9">
        <f t="shared" si="6"/>
        <v>0</v>
      </c>
      <c r="L247" s="9" t="s">
        <v>21</v>
      </c>
      <c r="M247" s="9"/>
      <c r="N247" s="9" t="s">
        <v>272</v>
      </c>
      <c r="O247" s="9" t="s">
        <v>273</v>
      </c>
      <c r="P247" s="9" t="s">
        <v>24</v>
      </c>
      <c r="Q247" s="9" t="s">
        <v>25</v>
      </c>
      <c r="R247">
        <f>VLOOKUP(E247,Workera!A$2:L$273,12,FALSE)</f>
        <v>158980.79</v>
      </c>
      <c r="S247">
        <f>VLOOKUP(E247,Planilla!A$2:L$273,12,FALSE)</f>
        <v>171210.08</v>
      </c>
      <c r="T247" t="str">
        <f t="shared" si="7"/>
        <v>OK</v>
      </c>
    </row>
    <row r="248" spans="1:20" x14ac:dyDescent="0.35">
      <c r="A248" s="9" t="s">
        <v>269</v>
      </c>
      <c r="B248" s="9" t="s">
        <v>270</v>
      </c>
      <c r="C248" s="9" t="s">
        <v>270</v>
      </c>
      <c r="D248" s="9" t="s">
        <v>18</v>
      </c>
      <c r="E248" s="9" t="s">
        <v>309</v>
      </c>
      <c r="F248" s="9" t="s">
        <v>20</v>
      </c>
      <c r="G248" s="9">
        <v>14</v>
      </c>
      <c r="H248" s="9">
        <v>14</v>
      </c>
      <c r="I248" s="9">
        <v>112991.08</v>
      </c>
      <c r="J248" s="6">
        <v>112991.08</v>
      </c>
      <c r="K248" s="9">
        <f t="shared" si="6"/>
        <v>0</v>
      </c>
      <c r="L248" s="9" t="s">
        <v>21</v>
      </c>
      <c r="M248" s="9"/>
      <c r="N248" s="9" t="s">
        <v>272</v>
      </c>
      <c r="O248" s="9" t="s">
        <v>273</v>
      </c>
      <c r="P248" s="9" t="s">
        <v>24</v>
      </c>
      <c r="Q248" s="9" t="s">
        <v>25</v>
      </c>
      <c r="R248">
        <f>VLOOKUP(E248,Workera!A$2:L$273,12,FALSE)</f>
        <v>112991.08</v>
      </c>
      <c r="S248">
        <f>VLOOKUP(E248,Planilla!A$2:L$273,12,FALSE)</f>
        <v>112991.08</v>
      </c>
      <c r="T248" t="str">
        <f t="shared" si="7"/>
        <v>OK</v>
      </c>
    </row>
    <row r="249" spans="1:20" x14ac:dyDescent="0.35">
      <c r="A249" s="9" t="s">
        <v>269</v>
      </c>
      <c r="B249" s="9" t="s">
        <v>270</v>
      </c>
      <c r="C249" s="9" t="s">
        <v>270</v>
      </c>
      <c r="D249" s="9" t="s">
        <v>18</v>
      </c>
      <c r="E249" s="9" t="s">
        <v>310</v>
      </c>
      <c r="F249" s="9" t="s">
        <v>74</v>
      </c>
      <c r="G249" s="9">
        <v>14</v>
      </c>
      <c r="H249" s="9">
        <v>14</v>
      </c>
      <c r="I249" s="9">
        <v>112991.08</v>
      </c>
      <c r="J249" s="6">
        <v>112991.08</v>
      </c>
      <c r="K249" s="9">
        <f t="shared" si="6"/>
        <v>0</v>
      </c>
      <c r="L249" s="9" t="s">
        <v>21</v>
      </c>
      <c r="M249" s="9"/>
      <c r="N249" s="9" t="s">
        <v>272</v>
      </c>
      <c r="O249" s="9" t="s">
        <v>273</v>
      </c>
      <c r="P249" s="9" t="s">
        <v>24</v>
      </c>
      <c r="Q249" s="9" t="s">
        <v>25</v>
      </c>
      <c r="R249">
        <f>VLOOKUP(E249,Workera!A$2:L$273,12,FALSE)</f>
        <v>104920.29</v>
      </c>
      <c r="S249">
        <f>VLOOKUP(E249,Planilla!A$2:L$273,12,FALSE)</f>
        <v>112991.08</v>
      </c>
      <c r="T249" t="str">
        <f t="shared" si="7"/>
        <v>OK</v>
      </c>
    </row>
    <row r="250" spans="1:20" x14ac:dyDescent="0.35">
      <c r="A250" s="9" t="s">
        <v>269</v>
      </c>
      <c r="B250" s="9" t="s">
        <v>270</v>
      </c>
      <c r="C250" s="9" t="s">
        <v>270</v>
      </c>
      <c r="D250" s="9" t="s">
        <v>18</v>
      </c>
      <c r="E250" s="9" t="s">
        <v>311</v>
      </c>
      <c r="F250" s="9" t="s">
        <v>20</v>
      </c>
      <c r="G250" s="9">
        <v>11</v>
      </c>
      <c r="H250" s="9">
        <v>11</v>
      </c>
      <c r="I250" s="9">
        <v>88778.71</v>
      </c>
      <c r="J250" s="6">
        <v>88778.71</v>
      </c>
      <c r="K250" s="9">
        <f t="shared" si="6"/>
        <v>0</v>
      </c>
      <c r="L250" s="9" t="s">
        <v>21</v>
      </c>
      <c r="M250" s="9"/>
      <c r="N250" s="9" t="s">
        <v>272</v>
      </c>
      <c r="O250" s="9" t="s">
        <v>273</v>
      </c>
      <c r="P250" s="9" t="s">
        <v>24</v>
      </c>
      <c r="Q250" s="9" t="s">
        <v>25</v>
      </c>
      <c r="R250">
        <f>VLOOKUP(E250,Workera!A$2:L$273,12,FALSE)</f>
        <v>88778.71</v>
      </c>
      <c r="S250">
        <f>VLOOKUP(E250,Planilla!A$2:L$273,12,FALSE)</f>
        <v>88778.71</v>
      </c>
      <c r="T250" t="str">
        <f t="shared" si="7"/>
        <v>OK</v>
      </c>
    </row>
    <row r="251" spans="1:20" x14ac:dyDescent="0.35">
      <c r="A251" s="9" t="s">
        <v>269</v>
      </c>
      <c r="B251" s="9" t="s">
        <v>270</v>
      </c>
      <c r="C251" s="9" t="s">
        <v>270</v>
      </c>
      <c r="D251" s="9" t="s">
        <v>18</v>
      </c>
      <c r="E251" s="9" t="s">
        <v>312</v>
      </c>
      <c r="F251" s="9" t="s">
        <v>60</v>
      </c>
      <c r="G251" s="9">
        <v>16</v>
      </c>
      <c r="H251" s="9">
        <v>16</v>
      </c>
      <c r="I251" s="9">
        <v>129132.67</v>
      </c>
      <c r="J251" s="6">
        <v>129132.67</v>
      </c>
      <c r="K251" s="9">
        <f t="shared" si="6"/>
        <v>0</v>
      </c>
      <c r="L251" s="9" t="s">
        <v>21</v>
      </c>
      <c r="M251" s="9"/>
      <c r="N251" s="9" t="s">
        <v>272</v>
      </c>
      <c r="O251" s="9" t="s">
        <v>273</v>
      </c>
      <c r="P251" s="9" t="s">
        <v>24</v>
      </c>
      <c r="Q251" s="9" t="s">
        <v>25</v>
      </c>
      <c r="R251">
        <f>VLOOKUP(E251,Workera!A$2:L$273,12,FALSE)</f>
        <v>129132.67</v>
      </c>
      <c r="S251">
        <f>VLOOKUP(E251,Planilla!A$2:L$273,12,FALSE)</f>
        <v>129132.67</v>
      </c>
      <c r="T251" t="str">
        <f t="shared" si="7"/>
        <v>OK</v>
      </c>
    </row>
    <row r="252" spans="1:20" x14ac:dyDescent="0.35">
      <c r="A252" s="9" t="s">
        <v>269</v>
      </c>
      <c r="B252" s="9" t="s">
        <v>270</v>
      </c>
      <c r="C252" s="9" t="s">
        <v>270</v>
      </c>
      <c r="D252" s="9" t="s">
        <v>18</v>
      </c>
      <c r="E252" s="9" t="s">
        <v>313</v>
      </c>
      <c r="F252" s="9" t="s">
        <v>88</v>
      </c>
      <c r="G252" s="9">
        <v>16</v>
      </c>
      <c r="H252" s="9">
        <v>16</v>
      </c>
      <c r="I252" s="9">
        <v>129132.67</v>
      </c>
      <c r="J252" s="6">
        <v>129132.67</v>
      </c>
      <c r="K252" s="9">
        <f t="shared" si="6"/>
        <v>0</v>
      </c>
      <c r="L252" s="9" t="s">
        <v>21</v>
      </c>
      <c r="M252" s="9"/>
      <c r="N252" s="9" t="s">
        <v>272</v>
      </c>
      <c r="O252" s="9" t="s">
        <v>273</v>
      </c>
      <c r="P252" s="9" t="s">
        <v>24</v>
      </c>
      <c r="Q252" s="9" t="s">
        <v>25</v>
      </c>
      <c r="R252">
        <f>VLOOKUP(E252,Workera!A$2:L$273,12,FALSE)</f>
        <v>129132.67</v>
      </c>
      <c r="S252">
        <f>VLOOKUP(E252,Planilla!A$2:L$273,12,FALSE)</f>
        <v>129132.67</v>
      </c>
      <c r="T252" t="str">
        <f t="shared" si="7"/>
        <v>OK</v>
      </c>
    </row>
    <row r="253" spans="1:20" x14ac:dyDescent="0.35">
      <c r="A253" s="9" t="s">
        <v>269</v>
      </c>
      <c r="B253" s="9" t="s">
        <v>270</v>
      </c>
      <c r="C253" s="9" t="s">
        <v>270</v>
      </c>
      <c r="D253" s="9" t="s">
        <v>18</v>
      </c>
      <c r="E253" s="9" t="s">
        <v>314</v>
      </c>
      <c r="F253" s="9" t="s">
        <v>20</v>
      </c>
      <c r="G253" s="9">
        <v>14</v>
      </c>
      <c r="H253" s="9">
        <v>14</v>
      </c>
      <c r="I253" s="9">
        <v>112991.08</v>
      </c>
      <c r="J253" s="6">
        <v>112991.08</v>
      </c>
      <c r="K253" s="9">
        <f t="shared" si="6"/>
        <v>0</v>
      </c>
      <c r="L253" s="9" t="s">
        <v>21</v>
      </c>
      <c r="M253" s="9"/>
      <c r="N253" s="9" t="s">
        <v>272</v>
      </c>
      <c r="O253" s="9" t="s">
        <v>273</v>
      </c>
      <c r="P253" s="9" t="s">
        <v>24</v>
      </c>
      <c r="Q253" s="9" t="s">
        <v>25</v>
      </c>
      <c r="R253">
        <f>VLOOKUP(E253,Workera!A$2:L$273,12,FALSE)</f>
        <v>104920.29</v>
      </c>
      <c r="S253">
        <f>VLOOKUP(E253,Planilla!A$2:L$273,12,FALSE)</f>
        <v>112991.08</v>
      </c>
      <c r="T253" t="str">
        <f t="shared" si="7"/>
        <v>OK</v>
      </c>
    </row>
    <row r="254" spans="1:20" x14ac:dyDescent="0.35">
      <c r="A254" s="9" t="s">
        <v>269</v>
      </c>
      <c r="B254" s="9" t="s">
        <v>270</v>
      </c>
      <c r="C254" s="9" t="s">
        <v>270</v>
      </c>
      <c r="D254" s="9" t="s">
        <v>18</v>
      </c>
      <c r="E254" s="9" t="s">
        <v>315</v>
      </c>
      <c r="F254" s="9" t="s">
        <v>20</v>
      </c>
      <c r="G254" s="9">
        <v>14</v>
      </c>
      <c r="H254" s="9">
        <v>14</v>
      </c>
      <c r="I254" s="9">
        <v>112991.08</v>
      </c>
      <c r="J254" s="6">
        <v>112991.08</v>
      </c>
      <c r="K254" s="9">
        <f t="shared" si="6"/>
        <v>0</v>
      </c>
      <c r="L254" s="9" t="s">
        <v>21</v>
      </c>
      <c r="M254" s="9"/>
      <c r="N254" s="9" t="s">
        <v>272</v>
      </c>
      <c r="O254" s="9" t="s">
        <v>273</v>
      </c>
      <c r="P254" s="9" t="s">
        <v>24</v>
      </c>
      <c r="Q254" s="9" t="s">
        <v>25</v>
      </c>
      <c r="R254">
        <f>VLOOKUP(E254,Workera!A$2:L$273,12,FALSE)</f>
        <v>121061.88</v>
      </c>
      <c r="S254">
        <f>VLOOKUP(E254,Planilla!A$2:L$273,12,FALSE)</f>
        <v>112991.08</v>
      </c>
      <c r="T254" t="str">
        <f t="shared" si="7"/>
        <v>OK</v>
      </c>
    </row>
    <row r="255" spans="1:20" x14ac:dyDescent="0.35">
      <c r="A255" s="9" t="s">
        <v>269</v>
      </c>
      <c r="B255" s="9" t="s">
        <v>270</v>
      </c>
      <c r="C255" s="9" t="s">
        <v>270</v>
      </c>
      <c r="D255" s="9" t="s">
        <v>18</v>
      </c>
      <c r="E255" s="9" t="s">
        <v>316</v>
      </c>
      <c r="F255" s="9" t="s">
        <v>33</v>
      </c>
      <c r="G255" s="9">
        <v>16</v>
      </c>
      <c r="H255" s="9">
        <v>16</v>
      </c>
      <c r="I255" s="9">
        <v>129132.67</v>
      </c>
      <c r="J255" s="6">
        <v>129132.67</v>
      </c>
      <c r="K255" s="9">
        <f t="shared" si="6"/>
        <v>0</v>
      </c>
      <c r="L255" s="9" t="s">
        <v>21</v>
      </c>
      <c r="M255" s="9"/>
      <c r="N255" s="9" t="s">
        <v>272</v>
      </c>
      <c r="O255" s="9" t="s">
        <v>273</v>
      </c>
      <c r="P255" s="9" t="s">
        <v>24</v>
      </c>
      <c r="Q255" s="9" t="s">
        <v>25</v>
      </c>
      <c r="R255" t="e">
        <f>VLOOKUP(E255,Workera!A$2:L$273,12,FALSE)</f>
        <v>#N/A</v>
      </c>
      <c r="S255" t="e">
        <f>VLOOKUP(E255,Planilla!A$2:L$273,12,FALSE)</f>
        <v>#N/A</v>
      </c>
      <c r="T255" t="e">
        <f t="shared" si="7"/>
        <v>#N/A</v>
      </c>
    </row>
    <row r="256" spans="1:20" x14ac:dyDescent="0.35">
      <c r="A256" s="9" t="s">
        <v>269</v>
      </c>
      <c r="B256" s="9" t="s">
        <v>270</v>
      </c>
      <c r="C256" s="9" t="s">
        <v>270</v>
      </c>
      <c r="D256" s="9" t="s">
        <v>18</v>
      </c>
      <c r="E256" s="9" t="s">
        <v>317</v>
      </c>
      <c r="F256" s="9" t="s">
        <v>20</v>
      </c>
      <c r="G256" s="9">
        <v>9</v>
      </c>
      <c r="H256" s="9">
        <v>9</v>
      </c>
      <c r="I256" s="9">
        <v>72637.13</v>
      </c>
      <c r="J256" s="6">
        <v>72637.13</v>
      </c>
      <c r="K256" s="9">
        <f t="shared" si="6"/>
        <v>0</v>
      </c>
      <c r="L256" s="9" t="s">
        <v>21</v>
      </c>
      <c r="M256" s="9"/>
      <c r="N256" s="9" t="s">
        <v>272</v>
      </c>
      <c r="O256" s="9" t="s">
        <v>273</v>
      </c>
      <c r="P256" s="9" t="s">
        <v>24</v>
      </c>
      <c r="Q256" s="9" t="s">
        <v>25</v>
      </c>
      <c r="R256">
        <f>VLOOKUP(E256,Workera!A$2:L$273,12,FALSE)</f>
        <v>72637.13</v>
      </c>
      <c r="S256">
        <f>VLOOKUP(E256,Planilla!A$2:L$273,12,FALSE)</f>
        <v>72637.13</v>
      </c>
      <c r="T256" t="str">
        <f t="shared" si="7"/>
        <v>OK</v>
      </c>
    </row>
    <row r="257" spans="1:20" x14ac:dyDescent="0.35">
      <c r="A257" s="9" t="s">
        <v>269</v>
      </c>
      <c r="B257" s="9" t="s">
        <v>270</v>
      </c>
      <c r="C257" s="9" t="s">
        <v>270</v>
      </c>
      <c r="D257" s="9" t="s">
        <v>18</v>
      </c>
      <c r="E257" s="9" t="s">
        <v>318</v>
      </c>
      <c r="F257" s="9" t="s">
        <v>20</v>
      </c>
      <c r="G257" s="9">
        <v>0</v>
      </c>
      <c r="H257" s="9">
        <v>0</v>
      </c>
      <c r="I257" s="9">
        <v>0</v>
      </c>
      <c r="J257" s="6">
        <v>0</v>
      </c>
      <c r="K257" s="9">
        <f t="shared" si="6"/>
        <v>0</v>
      </c>
      <c r="L257" s="9" t="s">
        <v>21</v>
      </c>
      <c r="M257" s="9"/>
      <c r="N257" s="9" t="s">
        <v>272</v>
      </c>
      <c r="O257" s="9" t="s">
        <v>273</v>
      </c>
      <c r="P257" s="9" t="s">
        <v>24</v>
      </c>
      <c r="Q257" s="9" t="s">
        <v>25</v>
      </c>
      <c r="R257">
        <f>VLOOKUP(E257,Workera!A$2:L$273,12,FALSE)</f>
        <v>0</v>
      </c>
      <c r="S257" t="e">
        <f>VLOOKUP(E257,Planilla!A$2:L$273,12,FALSE)</f>
        <v>#N/A</v>
      </c>
      <c r="T257" t="e">
        <f t="shared" si="7"/>
        <v>#N/A</v>
      </c>
    </row>
    <row r="258" spans="1:20" x14ac:dyDescent="0.35">
      <c r="A258" s="9" t="s">
        <v>269</v>
      </c>
      <c r="B258" s="9" t="s">
        <v>270</v>
      </c>
      <c r="C258" s="9" t="s">
        <v>270</v>
      </c>
      <c r="D258" s="9" t="s">
        <v>18</v>
      </c>
      <c r="E258" s="9" t="s">
        <v>319</v>
      </c>
      <c r="F258" s="9" t="s">
        <v>20</v>
      </c>
      <c r="G258" s="9">
        <v>14</v>
      </c>
      <c r="H258" s="9">
        <v>14</v>
      </c>
      <c r="I258" s="9">
        <v>112991.08</v>
      </c>
      <c r="J258" s="6">
        <v>112991.08</v>
      </c>
      <c r="K258" s="9">
        <f t="shared" ref="K258:K321" si="8">+J258-I258</f>
        <v>0</v>
      </c>
      <c r="L258" s="9" t="s">
        <v>21</v>
      </c>
      <c r="M258" s="9"/>
      <c r="N258" s="9" t="s">
        <v>272</v>
      </c>
      <c r="O258" s="9" t="s">
        <v>273</v>
      </c>
      <c r="P258" s="9" t="s">
        <v>24</v>
      </c>
      <c r="Q258" s="9" t="s">
        <v>25</v>
      </c>
      <c r="R258">
        <f>VLOOKUP(E258,Workera!A$2:L$273,12,FALSE)</f>
        <v>104920.29</v>
      </c>
      <c r="S258">
        <f>VLOOKUP(E258,Planilla!A$2:L$273,12,FALSE)</f>
        <v>112991.08</v>
      </c>
      <c r="T258" t="str">
        <f t="shared" si="7"/>
        <v>OK</v>
      </c>
    </row>
    <row r="259" spans="1:20" x14ac:dyDescent="0.35">
      <c r="A259" s="9" t="s">
        <v>269</v>
      </c>
      <c r="B259" s="9" t="s">
        <v>270</v>
      </c>
      <c r="C259" s="9" t="s">
        <v>270</v>
      </c>
      <c r="D259" s="9" t="s">
        <v>18</v>
      </c>
      <c r="E259" s="9" t="s">
        <v>320</v>
      </c>
      <c r="F259" s="9" t="s">
        <v>35</v>
      </c>
      <c r="G259" s="9">
        <v>14</v>
      </c>
      <c r="H259" s="9">
        <v>14</v>
      </c>
      <c r="I259" s="9">
        <v>112991.08</v>
      </c>
      <c r="J259" s="6">
        <v>112991.08</v>
      </c>
      <c r="K259" s="9">
        <f t="shared" si="8"/>
        <v>0</v>
      </c>
      <c r="L259" s="9" t="s">
        <v>21</v>
      </c>
      <c r="M259" s="9"/>
      <c r="N259" s="9" t="s">
        <v>272</v>
      </c>
      <c r="O259" s="9" t="s">
        <v>273</v>
      </c>
      <c r="P259" s="9" t="s">
        <v>24</v>
      </c>
      <c r="Q259" s="9" t="s">
        <v>25</v>
      </c>
      <c r="R259">
        <f>VLOOKUP(E259,Workera!A$2:L$273,12,FALSE)</f>
        <v>112991.08</v>
      </c>
      <c r="S259">
        <f>VLOOKUP(E259,Planilla!A$2:L$273,12,FALSE)</f>
        <v>112991.08</v>
      </c>
      <c r="T259" t="str">
        <f t="shared" ref="T259:T322" si="9">IF(J259=S259,"OK","Wrong")</f>
        <v>OK</v>
      </c>
    </row>
    <row r="260" spans="1:20" x14ac:dyDescent="0.35">
      <c r="A260" s="9" t="s">
        <v>269</v>
      </c>
      <c r="B260" s="9" t="s">
        <v>270</v>
      </c>
      <c r="C260" s="9" t="s">
        <v>270</v>
      </c>
      <c r="D260" s="9" t="s">
        <v>18</v>
      </c>
      <c r="E260" s="9" t="s">
        <v>321</v>
      </c>
      <c r="F260" s="9" t="s">
        <v>20</v>
      </c>
      <c r="G260" s="9">
        <v>10</v>
      </c>
      <c r="H260" s="9">
        <v>10</v>
      </c>
      <c r="I260" s="9">
        <v>80707.92</v>
      </c>
      <c r="J260" s="6">
        <v>80707.92</v>
      </c>
      <c r="K260" s="9">
        <f t="shared" si="8"/>
        <v>0</v>
      </c>
      <c r="L260" s="9" t="s">
        <v>21</v>
      </c>
      <c r="M260" s="9"/>
      <c r="N260" s="9" t="s">
        <v>272</v>
      </c>
      <c r="O260" s="9" t="s">
        <v>273</v>
      </c>
      <c r="P260" s="9" t="s">
        <v>24</v>
      </c>
      <c r="Q260" s="9" t="s">
        <v>25</v>
      </c>
      <c r="R260">
        <f>VLOOKUP(E260,Workera!A$2:L$273,12,FALSE)</f>
        <v>80707.92</v>
      </c>
      <c r="S260">
        <f>VLOOKUP(E260,Planilla!A$2:L$273,12,FALSE)</f>
        <v>80707.92</v>
      </c>
      <c r="T260" t="str">
        <f t="shared" si="9"/>
        <v>OK</v>
      </c>
    </row>
    <row r="261" spans="1:20" x14ac:dyDescent="0.35">
      <c r="A261" s="9" t="s">
        <v>269</v>
      </c>
      <c r="B261" s="9" t="s">
        <v>270</v>
      </c>
      <c r="C261" s="9" t="s">
        <v>270</v>
      </c>
      <c r="D261" s="9" t="s">
        <v>18</v>
      </c>
      <c r="E261" s="9" t="s">
        <v>322</v>
      </c>
      <c r="F261" s="9" t="s">
        <v>53</v>
      </c>
      <c r="G261" s="9">
        <v>16</v>
      </c>
      <c r="H261" s="9">
        <v>16</v>
      </c>
      <c r="I261" s="9">
        <v>129132.67</v>
      </c>
      <c r="J261" s="6">
        <v>129132.67</v>
      </c>
      <c r="K261" s="9">
        <f t="shared" si="8"/>
        <v>0</v>
      </c>
      <c r="L261" s="9" t="s">
        <v>21</v>
      </c>
      <c r="M261" s="9"/>
      <c r="N261" s="9" t="s">
        <v>272</v>
      </c>
      <c r="O261" s="9" t="s">
        <v>273</v>
      </c>
      <c r="P261" s="9" t="s">
        <v>24</v>
      </c>
      <c r="Q261" s="9" t="s">
        <v>25</v>
      </c>
      <c r="R261">
        <f>VLOOKUP(E261,Workera!A$2:L$273,12,FALSE)</f>
        <v>129132.67</v>
      </c>
      <c r="S261">
        <f>VLOOKUP(E261,Planilla!A$2:L$273,12,FALSE)</f>
        <v>129132.67</v>
      </c>
      <c r="T261" t="str">
        <f t="shared" si="9"/>
        <v>OK</v>
      </c>
    </row>
    <row r="262" spans="1:20" x14ac:dyDescent="0.35">
      <c r="A262" s="9" t="s">
        <v>269</v>
      </c>
      <c r="B262" s="9" t="s">
        <v>270</v>
      </c>
      <c r="C262" s="9" t="s">
        <v>270</v>
      </c>
      <c r="D262" s="9" t="s">
        <v>18</v>
      </c>
      <c r="E262" s="9" t="s">
        <v>323</v>
      </c>
      <c r="F262" s="9" t="s">
        <v>30</v>
      </c>
      <c r="G262" s="9">
        <v>0</v>
      </c>
      <c r="H262" s="9">
        <v>0</v>
      </c>
      <c r="I262" s="9">
        <v>0</v>
      </c>
      <c r="J262" s="6">
        <v>0</v>
      </c>
      <c r="K262" s="9">
        <f t="shared" si="8"/>
        <v>0</v>
      </c>
      <c r="L262" s="9" t="s">
        <v>21</v>
      </c>
      <c r="M262" s="9"/>
      <c r="N262" s="9" t="s">
        <v>272</v>
      </c>
      <c r="O262" s="9" t="s">
        <v>273</v>
      </c>
      <c r="P262" s="9" t="s">
        <v>24</v>
      </c>
      <c r="Q262" s="9" t="s">
        <v>25</v>
      </c>
      <c r="R262">
        <f>VLOOKUP(E262,Workera!A$2:L$273,12,FALSE)</f>
        <v>0</v>
      </c>
      <c r="S262" t="e">
        <f>VLOOKUP(E262,Planilla!A$2:L$273,12,FALSE)</f>
        <v>#N/A</v>
      </c>
      <c r="T262" t="e">
        <f t="shared" si="9"/>
        <v>#N/A</v>
      </c>
    </row>
    <row r="263" spans="1:20" x14ac:dyDescent="0.35">
      <c r="A263" s="9" t="s">
        <v>269</v>
      </c>
      <c r="B263" s="9" t="s">
        <v>270</v>
      </c>
      <c r="C263" s="9" t="s">
        <v>270</v>
      </c>
      <c r="D263" s="9" t="s">
        <v>18</v>
      </c>
      <c r="E263" s="9" t="s">
        <v>324</v>
      </c>
      <c r="F263" s="9" t="s">
        <v>20</v>
      </c>
      <c r="G263" s="9">
        <v>0</v>
      </c>
      <c r="H263" s="9">
        <v>0</v>
      </c>
      <c r="I263" s="9">
        <v>0</v>
      </c>
      <c r="J263" s="6">
        <v>0</v>
      </c>
      <c r="K263" s="9">
        <f t="shared" si="8"/>
        <v>0</v>
      </c>
      <c r="L263" s="9" t="s">
        <v>21</v>
      </c>
      <c r="M263" s="9"/>
      <c r="N263" s="9" t="s">
        <v>272</v>
      </c>
      <c r="O263" s="9" t="s">
        <v>273</v>
      </c>
      <c r="P263" s="9" t="s">
        <v>24</v>
      </c>
      <c r="Q263" s="9" t="s">
        <v>25</v>
      </c>
      <c r="R263">
        <f>VLOOKUP(E263,Workera!A$2:L$273,12,FALSE)</f>
        <v>0</v>
      </c>
      <c r="S263" t="e">
        <f>VLOOKUP(E263,Planilla!A$2:L$273,12,FALSE)</f>
        <v>#N/A</v>
      </c>
      <c r="T263" t="e">
        <f t="shared" si="9"/>
        <v>#N/A</v>
      </c>
    </row>
    <row r="264" spans="1:20" x14ac:dyDescent="0.35">
      <c r="A264" s="9" t="s">
        <v>269</v>
      </c>
      <c r="B264" s="9" t="s">
        <v>270</v>
      </c>
      <c r="C264" s="9" t="s">
        <v>270</v>
      </c>
      <c r="D264" s="9" t="s">
        <v>18</v>
      </c>
      <c r="E264" s="9" t="s">
        <v>325</v>
      </c>
      <c r="F264" s="9" t="s">
        <v>20</v>
      </c>
      <c r="G264" s="9">
        <v>16</v>
      </c>
      <c r="H264" s="9">
        <v>16</v>
      </c>
      <c r="I264" s="9">
        <v>129132.67</v>
      </c>
      <c r="J264" s="6">
        <v>129132.67</v>
      </c>
      <c r="K264" s="9">
        <f t="shared" si="8"/>
        <v>0</v>
      </c>
      <c r="L264" s="9" t="s">
        <v>21</v>
      </c>
      <c r="M264" s="9"/>
      <c r="N264" s="9" t="s">
        <v>272</v>
      </c>
      <c r="O264" s="9" t="s">
        <v>273</v>
      </c>
      <c r="P264" s="9" t="s">
        <v>24</v>
      </c>
      <c r="Q264" s="9" t="s">
        <v>25</v>
      </c>
      <c r="R264" t="e">
        <f>VLOOKUP(E264,Workera!A$2:L$273,12,FALSE)</f>
        <v>#N/A</v>
      </c>
      <c r="S264" t="e">
        <f>VLOOKUP(E264,Planilla!A$2:L$273,12,FALSE)</f>
        <v>#N/A</v>
      </c>
      <c r="T264" t="e">
        <f t="shared" si="9"/>
        <v>#N/A</v>
      </c>
    </row>
    <row r="265" spans="1:20" x14ac:dyDescent="0.35">
      <c r="A265" s="9" t="s">
        <v>269</v>
      </c>
      <c r="B265" s="9" t="s">
        <v>270</v>
      </c>
      <c r="C265" s="9" t="s">
        <v>270</v>
      </c>
      <c r="D265" s="9" t="s">
        <v>18</v>
      </c>
      <c r="E265" s="9" t="s">
        <v>326</v>
      </c>
      <c r="F265" s="9" t="s">
        <v>20</v>
      </c>
      <c r="G265" s="9">
        <v>16</v>
      </c>
      <c r="H265" s="9">
        <v>16</v>
      </c>
      <c r="I265" s="9">
        <v>129132.67</v>
      </c>
      <c r="J265" s="6">
        <v>129132.67</v>
      </c>
      <c r="K265" s="9">
        <f t="shared" si="8"/>
        <v>0</v>
      </c>
      <c r="L265" s="9" t="s">
        <v>21</v>
      </c>
      <c r="M265" s="9"/>
      <c r="N265" s="9" t="s">
        <v>272</v>
      </c>
      <c r="O265" s="9" t="s">
        <v>273</v>
      </c>
      <c r="P265" s="9" t="s">
        <v>24</v>
      </c>
      <c r="Q265" s="9" t="s">
        <v>25</v>
      </c>
      <c r="R265">
        <f>VLOOKUP(E265,Workera!A$2:L$273,12,FALSE)</f>
        <v>129132.67</v>
      </c>
      <c r="S265">
        <f>VLOOKUP(E265,Planilla!A$2:L$273,12,FALSE)</f>
        <v>129132.67</v>
      </c>
      <c r="T265" t="str">
        <f t="shared" si="9"/>
        <v>OK</v>
      </c>
    </row>
    <row r="266" spans="1:20" x14ac:dyDescent="0.35">
      <c r="A266" s="9" t="s">
        <v>269</v>
      </c>
      <c r="B266" s="9" t="s">
        <v>270</v>
      </c>
      <c r="C266" s="9" t="s">
        <v>270</v>
      </c>
      <c r="D266" s="9" t="s">
        <v>18</v>
      </c>
      <c r="E266" s="9" t="s">
        <v>327</v>
      </c>
      <c r="F266" s="9" t="s">
        <v>20</v>
      </c>
      <c r="G266" s="9">
        <v>14</v>
      </c>
      <c r="H266" s="9">
        <v>14</v>
      </c>
      <c r="I266" s="9">
        <v>112991.08</v>
      </c>
      <c r="J266" s="6">
        <v>112991.08</v>
      </c>
      <c r="K266" s="9">
        <f t="shared" si="8"/>
        <v>0</v>
      </c>
      <c r="L266" s="9" t="s">
        <v>21</v>
      </c>
      <c r="M266" s="9"/>
      <c r="N266" s="9" t="s">
        <v>272</v>
      </c>
      <c r="O266" s="9" t="s">
        <v>273</v>
      </c>
      <c r="P266" s="9" t="s">
        <v>24</v>
      </c>
      <c r="Q266" s="9" t="s">
        <v>25</v>
      </c>
      <c r="R266">
        <f>VLOOKUP(E266,Workera!A$2:L$273,12,FALSE)</f>
        <v>112991.08</v>
      </c>
      <c r="S266">
        <f>VLOOKUP(E266,Planilla!A$2:L$273,12,FALSE)</f>
        <v>112991.08</v>
      </c>
      <c r="T266" t="str">
        <f t="shared" si="9"/>
        <v>OK</v>
      </c>
    </row>
    <row r="267" spans="1:20" x14ac:dyDescent="0.35">
      <c r="A267" s="9" t="s">
        <v>269</v>
      </c>
      <c r="B267" s="9" t="s">
        <v>270</v>
      </c>
      <c r="C267" s="9" t="s">
        <v>270</v>
      </c>
      <c r="D267" s="9" t="s">
        <v>18</v>
      </c>
      <c r="E267" s="9" t="s">
        <v>328</v>
      </c>
      <c r="F267" s="9" t="s">
        <v>20</v>
      </c>
      <c r="G267" s="9">
        <v>14</v>
      </c>
      <c r="H267" s="9">
        <v>14</v>
      </c>
      <c r="I267" s="9">
        <v>112991.08</v>
      </c>
      <c r="J267" s="6">
        <v>112991.08</v>
      </c>
      <c r="K267" s="9">
        <f t="shared" si="8"/>
        <v>0</v>
      </c>
      <c r="L267" s="9" t="s">
        <v>21</v>
      </c>
      <c r="M267" s="9"/>
      <c r="N267" s="9" t="s">
        <v>272</v>
      </c>
      <c r="O267" s="9" t="s">
        <v>273</v>
      </c>
      <c r="P267" s="9" t="s">
        <v>24</v>
      </c>
      <c r="Q267" s="9" t="s">
        <v>25</v>
      </c>
      <c r="R267">
        <f>VLOOKUP(E267,Workera!A$2:L$273,12,FALSE)</f>
        <v>104920.29</v>
      </c>
      <c r="S267">
        <f>VLOOKUP(E267,Planilla!A$2:L$273,12,FALSE)</f>
        <v>112991.08</v>
      </c>
      <c r="T267" t="str">
        <f t="shared" si="9"/>
        <v>OK</v>
      </c>
    </row>
    <row r="268" spans="1:20" x14ac:dyDescent="0.35">
      <c r="A268" s="9" t="s">
        <v>269</v>
      </c>
      <c r="B268" s="9" t="s">
        <v>270</v>
      </c>
      <c r="C268" s="9" t="s">
        <v>270</v>
      </c>
      <c r="D268" s="9" t="s">
        <v>18</v>
      </c>
      <c r="E268" s="9" t="s">
        <v>329</v>
      </c>
      <c r="F268" s="9" t="s">
        <v>74</v>
      </c>
      <c r="G268" s="9">
        <v>9</v>
      </c>
      <c r="H268" s="9">
        <v>9</v>
      </c>
      <c r="I268" s="9">
        <v>72637.13</v>
      </c>
      <c r="J268" s="6">
        <v>72637.13</v>
      </c>
      <c r="K268" s="9">
        <f t="shared" si="8"/>
        <v>0</v>
      </c>
      <c r="L268" s="9" t="s">
        <v>21</v>
      </c>
      <c r="M268" s="9"/>
      <c r="N268" s="9" t="s">
        <v>272</v>
      </c>
      <c r="O268" s="9" t="s">
        <v>273</v>
      </c>
      <c r="P268" s="9" t="s">
        <v>24</v>
      </c>
      <c r="Q268" s="9" t="s">
        <v>25</v>
      </c>
      <c r="R268">
        <f>VLOOKUP(E268,Workera!A$2:L$273,12,FALSE)</f>
        <v>64566.33</v>
      </c>
      <c r="S268">
        <f>VLOOKUP(E268,Planilla!A$2:L$273,12,FALSE)</f>
        <v>72637.13</v>
      </c>
      <c r="T268" t="str">
        <f t="shared" si="9"/>
        <v>OK</v>
      </c>
    </row>
    <row r="269" spans="1:20" x14ac:dyDescent="0.35">
      <c r="A269" s="9" t="s">
        <v>269</v>
      </c>
      <c r="B269" s="9" t="s">
        <v>270</v>
      </c>
      <c r="C269" s="9" t="s">
        <v>270</v>
      </c>
      <c r="D269" s="9" t="s">
        <v>18</v>
      </c>
      <c r="E269" s="9" t="s">
        <v>330</v>
      </c>
      <c r="F269" s="9" t="s">
        <v>35</v>
      </c>
      <c r="G269" s="9">
        <v>9</v>
      </c>
      <c r="H269" s="9">
        <v>9</v>
      </c>
      <c r="I269" s="9">
        <v>72637.13</v>
      </c>
      <c r="J269" s="6">
        <v>72637.13</v>
      </c>
      <c r="K269" s="9">
        <f t="shared" si="8"/>
        <v>0</v>
      </c>
      <c r="L269" s="9" t="s">
        <v>21</v>
      </c>
      <c r="M269" s="9"/>
      <c r="N269" s="9" t="s">
        <v>272</v>
      </c>
      <c r="O269" s="9" t="s">
        <v>273</v>
      </c>
      <c r="P269" s="9" t="s">
        <v>24</v>
      </c>
      <c r="Q269" s="9" t="s">
        <v>25</v>
      </c>
      <c r="R269">
        <f>VLOOKUP(E269,Workera!A$2:L$273,12,FALSE)</f>
        <v>96849.5</v>
      </c>
      <c r="S269">
        <f>VLOOKUP(E269,Planilla!A$2:L$273,12,FALSE)</f>
        <v>72637.13</v>
      </c>
      <c r="T269" t="str">
        <f t="shared" si="9"/>
        <v>OK</v>
      </c>
    </row>
    <row r="270" spans="1:20" x14ac:dyDescent="0.35">
      <c r="A270" s="9" t="s">
        <v>269</v>
      </c>
      <c r="B270" s="9" t="s">
        <v>270</v>
      </c>
      <c r="C270" s="9" t="s">
        <v>270</v>
      </c>
      <c r="D270" s="9" t="s">
        <v>18</v>
      </c>
      <c r="E270" s="9" t="s">
        <v>331</v>
      </c>
      <c r="F270" s="9" t="s">
        <v>33</v>
      </c>
      <c r="G270" s="9">
        <v>14</v>
      </c>
      <c r="H270" s="9">
        <v>14</v>
      </c>
      <c r="I270" s="9">
        <v>112991.08</v>
      </c>
      <c r="J270" s="6">
        <v>112991.08</v>
      </c>
      <c r="K270" s="9">
        <f t="shared" si="8"/>
        <v>0</v>
      </c>
      <c r="L270" s="9" t="s">
        <v>21</v>
      </c>
      <c r="M270" s="9"/>
      <c r="N270" s="9" t="s">
        <v>272</v>
      </c>
      <c r="O270" s="9" t="s">
        <v>273</v>
      </c>
      <c r="P270" s="9" t="s">
        <v>24</v>
      </c>
      <c r="Q270" s="9" t="s">
        <v>25</v>
      </c>
      <c r="R270">
        <f>VLOOKUP(E270,Workera!A$2:L$273,12,FALSE)</f>
        <v>112991.08</v>
      </c>
      <c r="S270">
        <f>VLOOKUP(E270,Planilla!A$2:L$273,12,FALSE)</f>
        <v>112991.08</v>
      </c>
      <c r="T270" t="str">
        <f t="shared" si="9"/>
        <v>OK</v>
      </c>
    </row>
    <row r="271" spans="1:20" x14ac:dyDescent="0.35">
      <c r="A271" s="9" t="s">
        <v>269</v>
      </c>
      <c r="B271" s="9" t="s">
        <v>270</v>
      </c>
      <c r="C271" s="9" t="s">
        <v>270</v>
      </c>
      <c r="D271" s="9" t="s">
        <v>18</v>
      </c>
      <c r="E271" s="9" t="s">
        <v>332</v>
      </c>
      <c r="F271" s="9" t="s">
        <v>30</v>
      </c>
      <c r="G271" s="9">
        <v>14</v>
      </c>
      <c r="H271" s="9">
        <v>14</v>
      </c>
      <c r="I271" s="9">
        <v>171210.08</v>
      </c>
      <c r="J271" s="6">
        <v>171210.08</v>
      </c>
      <c r="K271" s="9">
        <f t="shared" si="8"/>
        <v>0</v>
      </c>
      <c r="L271" s="9" t="s">
        <v>21</v>
      </c>
      <c r="M271" s="9"/>
      <c r="N271" s="9" t="s">
        <v>272</v>
      </c>
      <c r="O271" s="9" t="s">
        <v>273</v>
      </c>
      <c r="P271" s="9" t="s">
        <v>24</v>
      </c>
      <c r="Q271" s="9" t="s">
        <v>25</v>
      </c>
      <c r="R271">
        <f>VLOOKUP(E271,Workera!A$2:L$273,12,FALSE)</f>
        <v>158980.79</v>
      </c>
      <c r="S271">
        <f>VLOOKUP(E271,Planilla!A$2:L$273,12,FALSE)</f>
        <v>171210.08</v>
      </c>
      <c r="T271" t="str">
        <f t="shared" si="9"/>
        <v>OK</v>
      </c>
    </row>
    <row r="272" spans="1:20" x14ac:dyDescent="0.35">
      <c r="A272" s="9" t="s">
        <v>269</v>
      </c>
      <c r="B272" s="9" t="s">
        <v>270</v>
      </c>
      <c r="C272" s="9" t="s">
        <v>270</v>
      </c>
      <c r="D272" s="9" t="s">
        <v>18</v>
      </c>
      <c r="E272" s="9" t="s">
        <v>333</v>
      </c>
      <c r="F272" s="9" t="s">
        <v>20</v>
      </c>
      <c r="G272" s="9">
        <v>0</v>
      </c>
      <c r="H272" s="9">
        <v>0</v>
      </c>
      <c r="I272" s="9">
        <v>0</v>
      </c>
      <c r="J272" s="6">
        <v>0</v>
      </c>
      <c r="K272" s="9">
        <f t="shared" si="8"/>
        <v>0</v>
      </c>
      <c r="L272" s="9" t="s">
        <v>21</v>
      </c>
      <c r="M272" s="9"/>
      <c r="N272" s="9" t="s">
        <v>272</v>
      </c>
      <c r="O272" s="9" t="s">
        <v>273</v>
      </c>
      <c r="P272" s="9" t="s">
        <v>24</v>
      </c>
      <c r="Q272" s="9" t="s">
        <v>25</v>
      </c>
      <c r="R272">
        <f>VLOOKUP(E272,Workera!A$2:L$273,12,FALSE)</f>
        <v>0</v>
      </c>
      <c r="S272" t="e">
        <f>VLOOKUP(E272,Planilla!A$2:L$273,12,FALSE)</f>
        <v>#N/A</v>
      </c>
      <c r="T272" t="e">
        <f t="shared" si="9"/>
        <v>#N/A</v>
      </c>
    </row>
    <row r="273" spans="1:20" x14ac:dyDescent="0.35">
      <c r="A273" s="9" t="s">
        <v>269</v>
      </c>
      <c r="B273" s="9" t="s">
        <v>270</v>
      </c>
      <c r="C273" s="9" t="s">
        <v>270</v>
      </c>
      <c r="D273" s="9" t="s">
        <v>18</v>
      </c>
      <c r="E273" s="9" t="s">
        <v>334</v>
      </c>
      <c r="F273" s="9" t="s">
        <v>20</v>
      </c>
      <c r="G273" s="9">
        <v>14</v>
      </c>
      <c r="H273" s="9">
        <v>14</v>
      </c>
      <c r="I273" s="9">
        <v>112991.08</v>
      </c>
      <c r="J273" s="6">
        <v>112991.08</v>
      </c>
      <c r="K273" s="9">
        <f t="shared" si="8"/>
        <v>0</v>
      </c>
      <c r="L273" s="9" t="s">
        <v>21</v>
      </c>
      <c r="M273" s="9"/>
      <c r="N273" s="9" t="s">
        <v>272</v>
      </c>
      <c r="O273" s="9" t="s">
        <v>273</v>
      </c>
      <c r="P273" s="9" t="s">
        <v>24</v>
      </c>
      <c r="Q273" s="9" t="s">
        <v>25</v>
      </c>
      <c r="R273">
        <f>VLOOKUP(E273,Workera!A$2:L$273,12,FALSE)</f>
        <v>104920.29</v>
      </c>
      <c r="S273">
        <f>VLOOKUP(E273,Planilla!A$2:L$273,12,FALSE)</f>
        <v>112991.08</v>
      </c>
      <c r="T273" t="str">
        <f t="shared" si="9"/>
        <v>OK</v>
      </c>
    </row>
    <row r="274" spans="1:20" x14ac:dyDescent="0.35">
      <c r="A274" s="9" t="s">
        <v>269</v>
      </c>
      <c r="B274" s="9" t="s">
        <v>270</v>
      </c>
      <c r="C274" s="9" t="s">
        <v>270</v>
      </c>
      <c r="D274" s="9" t="s">
        <v>18</v>
      </c>
      <c r="E274" s="9" t="s">
        <v>335</v>
      </c>
      <c r="F274" s="9" t="s">
        <v>30</v>
      </c>
      <c r="G274" s="9">
        <v>16</v>
      </c>
      <c r="H274" s="9">
        <v>16</v>
      </c>
      <c r="I274" s="9">
        <v>195668.67</v>
      </c>
      <c r="J274" s="6">
        <v>195668.67</v>
      </c>
      <c r="K274" s="9">
        <f t="shared" si="8"/>
        <v>0</v>
      </c>
      <c r="L274" s="9" t="s">
        <v>21</v>
      </c>
      <c r="M274" s="9"/>
      <c r="N274" s="9" t="s">
        <v>272</v>
      </c>
      <c r="O274" s="9" t="s">
        <v>273</v>
      </c>
      <c r="P274" s="9" t="s">
        <v>24</v>
      </c>
      <c r="Q274" s="9" t="s">
        <v>25</v>
      </c>
      <c r="R274">
        <f>VLOOKUP(E274,Workera!A$2:L$273,12,FALSE)</f>
        <v>183439.38</v>
      </c>
      <c r="S274">
        <f>VLOOKUP(E274,Planilla!A$2:L$273,12,FALSE)</f>
        <v>195668.67</v>
      </c>
      <c r="T274" t="str">
        <f t="shared" si="9"/>
        <v>OK</v>
      </c>
    </row>
    <row r="275" spans="1:20" x14ac:dyDescent="0.35">
      <c r="A275" s="9" t="s">
        <v>269</v>
      </c>
      <c r="B275" s="9" t="s">
        <v>270</v>
      </c>
      <c r="C275" s="9" t="s">
        <v>270</v>
      </c>
      <c r="D275" s="9" t="s">
        <v>18</v>
      </c>
      <c r="E275" s="9" t="s">
        <v>336</v>
      </c>
      <c r="F275" s="9" t="s">
        <v>74</v>
      </c>
      <c r="G275" s="9">
        <v>7</v>
      </c>
      <c r="H275" s="9">
        <v>7</v>
      </c>
      <c r="I275" s="9">
        <v>56495.54</v>
      </c>
      <c r="J275" s="6">
        <v>56495.54</v>
      </c>
      <c r="K275" s="9">
        <f t="shared" si="8"/>
        <v>0</v>
      </c>
      <c r="L275" s="9" t="s">
        <v>21</v>
      </c>
      <c r="M275" s="9"/>
      <c r="N275" s="9" t="s">
        <v>272</v>
      </c>
      <c r="O275" s="9" t="s">
        <v>273</v>
      </c>
      <c r="P275" s="9" t="s">
        <v>24</v>
      </c>
      <c r="Q275" s="9" t="s">
        <v>25</v>
      </c>
      <c r="R275">
        <f>VLOOKUP(E275,Workera!A$2:L$273,12,FALSE)</f>
        <v>48424.75</v>
      </c>
      <c r="S275">
        <f>VLOOKUP(E275,Planilla!A$2:L$273,12,FALSE)</f>
        <v>56495.54</v>
      </c>
      <c r="T275" t="str">
        <f t="shared" si="9"/>
        <v>OK</v>
      </c>
    </row>
    <row r="276" spans="1:20" x14ac:dyDescent="0.35">
      <c r="A276" s="9" t="s">
        <v>269</v>
      </c>
      <c r="B276" s="9" t="s">
        <v>270</v>
      </c>
      <c r="C276" s="9" t="s">
        <v>270</v>
      </c>
      <c r="D276" s="9" t="s">
        <v>18</v>
      </c>
      <c r="E276" s="9" t="s">
        <v>337</v>
      </c>
      <c r="F276" s="9" t="s">
        <v>53</v>
      </c>
      <c r="G276" s="9">
        <v>18</v>
      </c>
      <c r="H276" s="9">
        <v>18</v>
      </c>
      <c r="I276" s="9">
        <v>145274.25</v>
      </c>
      <c r="J276" s="6">
        <v>145274.25</v>
      </c>
      <c r="K276" s="9">
        <f t="shared" si="8"/>
        <v>0</v>
      </c>
      <c r="L276" s="9" t="s">
        <v>21</v>
      </c>
      <c r="M276" s="9"/>
      <c r="N276" s="9" t="s">
        <v>272</v>
      </c>
      <c r="O276" s="9" t="s">
        <v>273</v>
      </c>
      <c r="P276" s="9" t="s">
        <v>24</v>
      </c>
      <c r="Q276" s="9" t="s">
        <v>25</v>
      </c>
      <c r="R276">
        <f>VLOOKUP(E276,Workera!A$2:L$273,12,FALSE)</f>
        <v>137203.46</v>
      </c>
      <c r="S276">
        <f>VLOOKUP(E276,Planilla!A$2:L$273,12,FALSE)</f>
        <v>145274.25</v>
      </c>
      <c r="T276" t="str">
        <f t="shared" si="9"/>
        <v>OK</v>
      </c>
    </row>
    <row r="277" spans="1:20" x14ac:dyDescent="0.35">
      <c r="A277" s="9" t="s">
        <v>269</v>
      </c>
      <c r="B277" s="9" t="s">
        <v>270</v>
      </c>
      <c r="C277" s="9" t="s">
        <v>270</v>
      </c>
      <c r="D277" s="9" t="s">
        <v>18</v>
      </c>
      <c r="E277" s="9" t="s">
        <v>338</v>
      </c>
      <c r="F277" s="9" t="s">
        <v>20</v>
      </c>
      <c r="G277" s="9">
        <v>16</v>
      </c>
      <c r="H277" s="9">
        <v>16</v>
      </c>
      <c r="I277" s="9">
        <v>129132.67</v>
      </c>
      <c r="J277" s="6">
        <v>129132.67</v>
      </c>
      <c r="K277" s="9">
        <f t="shared" si="8"/>
        <v>0</v>
      </c>
      <c r="L277" s="9" t="s">
        <v>21</v>
      </c>
      <c r="M277" s="9"/>
      <c r="N277" s="9" t="s">
        <v>272</v>
      </c>
      <c r="O277" s="9" t="s">
        <v>273</v>
      </c>
      <c r="P277" s="9" t="s">
        <v>24</v>
      </c>
      <c r="Q277" s="9" t="s">
        <v>25</v>
      </c>
      <c r="R277">
        <f>VLOOKUP(E277,Workera!A$2:L$273,12,FALSE)</f>
        <v>129132.67</v>
      </c>
      <c r="S277">
        <f>VLOOKUP(E277,Planilla!A$2:L$273,12,FALSE)</f>
        <v>129132.67</v>
      </c>
      <c r="T277" t="str">
        <f t="shared" si="9"/>
        <v>OK</v>
      </c>
    </row>
    <row r="278" spans="1:20" x14ac:dyDescent="0.35">
      <c r="A278" s="9" t="s">
        <v>269</v>
      </c>
      <c r="B278" s="9" t="s">
        <v>270</v>
      </c>
      <c r="C278" s="9" t="s">
        <v>270</v>
      </c>
      <c r="D278" s="9" t="s">
        <v>18</v>
      </c>
      <c r="E278" s="9" t="s">
        <v>339</v>
      </c>
      <c r="F278" s="9" t="s">
        <v>20</v>
      </c>
      <c r="G278" s="9">
        <v>8</v>
      </c>
      <c r="H278" s="9">
        <v>8</v>
      </c>
      <c r="I278" s="9">
        <v>64566.33</v>
      </c>
      <c r="J278" s="6">
        <v>64566.33</v>
      </c>
      <c r="K278" s="9">
        <f t="shared" si="8"/>
        <v>0</v>
      </c>
      <c r="L278" s="9" t="s">
        <v>21</v>
      </c>
      <c r="M278" s="9"/>
      <c r="N278" s="9" t="s">
        <v>272</v>
      </c>
      <c r="O278" s="9" t="s">
        <v>273</v>
      </c>
      <c r="P278" s="9" t="s">
        <v>24</v>
      </c>
      <c r="Q278" s="9" t="s">
        <v>25</v>
      </c>
      <c r="R278">
        <f>VLOOKUP(E278,Workera!A$2:L$273,12,FALSE)</f>
        <v>64566.33</v>
      </c>
      <c r="S278">
        <f>VLOOKUP(E278,Planilla!A$2:L$273,12,FALSE)</f>
        <v>64566.33</v>
      </c>
      <c r="T278" t="str">
        <f t="shared" si="9"/>
        <v>OK</v>
      </c>
    </row>
    <row r="279" spans="1:20" x14ac:dyDescent="0.35">
      <c r="A279" s="9" t="s">
        <v>269</v>
      </c>
      <c r="B279" s="9" t="s">
        <v>270</v>
      </c>
      <c r="C279" s="9" t="s">
        <v>270</v>
      </c>
      <c r="D279" s="9" t="s">
        <v>18</v>
      </c>
      <c r="E279" s="9" t="s">
        <v>340</v>
      </c>
      <c r="F279" s="9" t="s">
        <v>30</v>
      </c>
      <c r="G279" s="9">
        <v>0</v>
      </c>
      <c r="H279" s="9">
        <v>0</v>
      </c>
      <c r="I279" s="9">
        <v>0</v>
      </c>
      <c r="J279" s="6">
        <v>0</v>
      </c>
      <c r="K279" s="9">
        <f t="shared" si="8"/>
        <v>0</v>
      </c>
      <c r="L279" s="9" t="s">
        <v>21</v>
      </c>
      <c r="M279" s="9"/>
      <c r="N279" s="9" t="s">
        <v>272</v>
      </c>
      <c r="O279" s="9" t="s">
        <v>273</v>
      </c>
      <c r="P279" s="9" t="s">
        <v>24</v>
      </c>
      <c r="Q279" s="9" t="s">
        <v>25</v>
      </c>
      <c r="R279">
        <f>VLOOKUP(E279,Workera!A$2:L$273,12,FALSE)</f>
        <v>0</v>
      </c>
      <c r="S279" t="e">
        <f>VLOOKUP(E279,Planilla!A$2:L$273,12,FALSE)</f>
        <v>#N/A</v>
      </c>
      <c r="T279" t="e">
        <f t="shared" si="9"/>
        <v>#N/A</v>
      </c>
    </row>
    <row r="280" spans="1:20" x14ac:dyDescent="0.35">
      <c r="A280" s="9" t="s">
        <v>269</v>
      </c>
      <c r="B280" s="9" t="s">
        <v>270</v>
      </c>
      <c r="C280" s="9" t="s">
        <v>270</v>
      </c>
      <c r="D280" s="9" t="s">
        <v>18</v>
      </c>
      <c r="E280" s="9" t="s">
        <v>341</v>
      </c>
      <c r="F280" s="9" t="s">
        <v>113</v>
      </c>
      <c r="G280" s="9">
        <v>14</v>
      </c>
      <c r="H280" s="9">
        <v>14</v>
      </c>
      <c r="I280" s="9">
        <v>112991.08</v>
      </c>
      <c r="J280" s="6">
        <v>112991.08</v>
      </c>
      <c r="K280" s="9">
        <f t="shared" si="8"/>
        <v>0</v>
      </c>
      <c r="L280" s="9" t="s">
        <v>21</v>
      </c>
      <c r="M280" s="9"/>
      <c r="N280" s="9" t="s">
        <v>272</v>
      </c>
      <c r="O280" s="9" t="s">
        <v>273</v>
      </c>
      <c r="P280" s="9" t="s">
        <v>24</v>
      </c>
      <c r="Q280" s="9" t="s">
        <v>25</v>
      </c>
      <c r="R280">
        <f>VLOOKUP(E280,Workera!A$2:L$273,12,FALSE)</f>
        <v>112991.08</v>
      </c>
      <c r="S280">
        <f>VLOOKUP(E280,Planilla!A$2:L$273,12,FALSE)</f>
        <v>112991.08</v>
      </c>
      <c r="T280" t="str">
        <f t="shared" si="9"/>
        <v>OK</v>
      </c>
    </row>
    <row r="281" spans="1:20" x14ac:dyDescent="0.35">
      <c r="A281" s="9" t="s">
        <v>269</v>
      </c>
      <c r="B281" s="9" t="s">
        <v>270</v>
      </c>
      <c r="C281" s="9" t="s">
        <v>270</v>
      </c>
      <c r="D281" s="9" t="s">
        <v>18</v>
      </c>
      <c r="E281" s="9" t="s">
        <v>342</v>
      </c>
      <c r="F281" s="9" t="s">
        <v>45</v>
      </c>
      <c r="G281" s="9">
        <v>0</v>
      </c>
      <c r="H281" s="9">
        <v>0</v>
      </c>
      <c r="I281" s="9">
        <v>0</v>
      </c>
      <c r="J281" s="6">
        <v>0</v>
      </c>
      <c r="K281" s="9">
        <f t="shared" si="8"/>
        <v>0</v>
      </c>
      <c r="L281" s="9" t="s">
        <v>21</v>
      </c>
      <c r="M281" s="9"/>
      <c r="N281" s="9" t="s">
        <v>272</v>
      </c>
      <c r="O281" s="9" t="s">
        <v>273</v>
      </c>
      <c r="P281" s="9" t="s">
        <v>24</v>
      </c>
      <c r="Q281" s="9" t="s">
        <v>25</v>
      </c>
      <c r="R281">
        <f>VLOOKUP(E281,Workera!A$2:L$273,12,FALSE)</f>
        <v>0</v>
      </c>
      <c r="S281" t="e">
        <f>VLOOKUP(E281,Planilla!A$2:L$273,12,FALSE)</f>
        <v>#N/A</v>
      </c>
      <c r="T281" t="e">
        <f t="shared" si="9"/>
        <v>#N/A</v>
      </c>
    </row>
    <row r="282" spans="1:20" x14ac:dyDescent="0.35">
      <c r="A282" s="9" t="s">
        <v>269</v>
      </c>
      <c r="B282" s="9" t="s">
        <v>270</v>
      </c>
      <c r="C282" s="9" t="s">
        <v>270</v>
      </c>
      <c r="D282" s="9" t="s">
        <v>18</v>
      </c>
      <c r="E282" s="9" t="s">
        <v>343</v>
      </c>
      <c r="F282" s="9" t="s">
        <v>74</v>
      </c>
      <c r="G282" s="9">
        <v>16</v>
      </c>
      <c r="H282" s="9">
        <v>16</v>
      </c>
      <c r="I282" s="9">
        <v>129132.67</v>
      </c>
      <c r="J282" s="6">
        <v>129132.67</v>
      </c>
      <c r="K282" s="9">
        <f t="shared" si="8"/>
        <v>0</v>
      </c>
      <c r="L282" s="9" t="s">
        <v>21</v>
      </c>
      <c r="M282" s="9"/>
      <c r="N282" s="9" t="s">
        <v>272</v>
      </c>
      <c r="O282" s="9" t="s">
        <v>273</v>
      </c>
      <c r="P282" s="9" t="s">
        <v>24</v>
      </c>
      <c r="Q282" s="9" t="s">
        <v>25</v>
      </c>
      <c r="R282">
        <f>VLOOKUP(E282,Workera!A$2:L$273,12,FALSE)</f>
        <v>129132.67</v>
      </c>
      <c r="S282">
        <f>VLOOKUP(E282,Planilla!A$2:L$273,12,FALSE)</f>
        <v>129132.67</v>
      </c>
      <c r="T282" t="str">
        <f t="shared" si="9"/>
        <v>OK</v>
      </c>
    </row>
    <row r="283" spans="1:20" x14ac:dyDescent="0.35">
      <c r="A283" s="9" t="s">
        <v>269</v>
      </c>
      <c r="B283" s="9" t="s">
        <v>270</v>
      </c>
      <c r="C283" s="9" t="s">
        <v>270</v>
      </c>
      <c r="D283" s="9" t="s">
        <v>18</v>
      </c>
      <c r="E283" s="9" t="s">
        <v>344</v>
      </c>
      <c r="F283" s="9" t="s">
        <v>35</v>
      </c>
      <c r="G283" s="9">
        <v>0</v>
      </c>
      <c r="H283" s="9">
        <v>0</v>
      </c>
      <c r="I283" s="9">
        <v>0</v>
      </c>
      <c r="J283" s="6">
        <v>0</v>
      </c>
      <c r="K283" s="9">
        <f t="shared" si="8"/>
        <v>0</v>
      </c>
      <c r="L283" s="9" t="s">
        <v>21</v>
      </c>
      <c r="M283" s="9"/>
      <c r="N283" s="9" t="s">
        <v>272</v>
      </c>
      <c r="O283" s="9" t="s">
        <v>273</v>
      </c>
      <c r="P283" s="9" t="s">
        <v>24</v>
      </c>
      <c r="Q283" s="9" t="s">
        <v>25</v>
      </c>
      <c r="R283">
        <f>VLOOKUP(E283,Workera!A$2:L$273,12,FALSE)</f>
        <v>8070.79</v>
      </c>
      <c r="S283">
        <f>VLOOKUP(E283,Planilla!A$2:L$273,12,FALSE)</f>
        <v>0</v>
      </c>
      <c r="T283" t="str">
        <f t="shared" si="9"/>
        <v>OK</v>
      </c>
    </row>
    <row r="284" spans="1:20" x14ac:dyDescent="0.35">
      <c r="A284" s="9" t="s">
        <v>269</v>
      </c>
      <c r="B284" s="9" t="s">
        <v>270</v>
      </c>
      <c r="C284" s="9" t="s">
        <v>270</v>
      </c>
      <c r="D284" s="9" t="s">
        <v>18</v>
      </c>
      <c r="E284" s="9" t="s">
        <v>345</v>
      </c>
      <c r="F284" s="9" t="s">
        <v>27</v>
      </c>
      <c r="G284" s="9">
        <v>14</v>
      </c>
      <c r="H284" s="9">
        <v>14</v>
      </c>
      <c r="I284" s="9">
        <v>171210.08</v>
      </c>
      <c r="J284" s="6">
        <v>171210.08</v>
      </c>
      <c r="K284" s="9">
        <f t="shared" si="8"/>
        <v>0</v>
      </c>
      <c r="L284" s="9" t="s">
        <v>21</v>
      </c>
      <c r="M284" s="9"/>
      <c r="N284" s="9" t="s">
        <v>272</v>
      </c>
      <c r="O284" s="9" t="s">
        <v>273</v>
      </c>
      <c r="P284" s="9" t="s">
        <v>24</v>
      </c>
      <c r="Q284" s="9" t="s">
        <v>25</v>
      </c>
      <c r="R284">
        <f>VLOOKUP(E284,Workera!A$2:L$273,12,FALSE)</f>
        <v>183439.38</v>
      </c>
      <c r="S284">
        <f>VLOOKUP(E284,Planilla!A$2:L$273,12,FALSE)</f>
        <v>171210.08</v>
      </c>
      <c r="T284" t="str">
        <f t="shared" si="9"/>
        <v>OK</v>
      </c>
    </row>
    <row r="285" spans="1:20" x14ac:dyDescent="0.35">
      <c r="A285" s="9" t="s">
        <v>269</v>
      </c>
      <c r="B285" s="9" t="s">
        <v>270</v>
      </c>
      <c r="C285" s="9" t="s">
        <v>270</v>
      </c>
      <c r="D285" s="9" t="s">
        <v>18</v>
      </c>
      <c r="E285" s="9" t="s">
        <v>346</v>
      </c>
      <c r="F285" s="9" t="s">
        <v>88</v>
      </c>
      <c r="G285" s="9">
        <v>0</v>
      </c>
      <c r="H285" s="9">
        <v>0</v>
      </c>
      <c r="I285" s="9">
        <v>0</v>
      </c>
      <c r="J285" s="6">
        <v>0</v>
      </c>
      <c r="K285" s="9">
        <f t="shared" si="8"/>
        <v>0</v>
      </c>
      <c r="L285" s="9" t="s">
        <v>21</v>
      </c>
      <c r="M285" s="9"/>
      <c r="N285" s="9" t="s">
        <v>272</v>
      </c>
      <c r="O285" s="9" t="s">
        <v>273</v>
      </c>
      <c r="P285" s="9" t="s">
        <v>24</v>
      </c>
      <c r="Q285" s="9" t="s">
        <v>25</v>
      </c>
      <c r="R285">
        <f>VLOOKUP(E285,Workera!A$2:L$273,12,FALSE)</f>
        <v>0</v>
      </c>
      <c r="S285" t="e">
        <f>VLOOKUP(E285,Planilla!A$2:L$273,12,FALSE)</f>
        <v>#N/A</v>
      </c>
      <c r="T285" t="e">
        <f t="shared" si="9"/>
        <v>#N/A</v>
      </c>
    </row>
    <row r="286" spans="1:20" x14ac:dyDescent="0.35">
      <c r="A286" s="9" t="s">
        <v>269</v>
      </c>
      <c r="B286" s="9" t="s">
        <v>270</v>
      </c>
      <c r="C286" s="9" t="s">
        <v>270</v>
      </c>
      <c r="D286" s="9" t="s">
        <v>18</v>
      </c>
      <c r="E286" s="9" t="s">
        <v>347</v>
      </c>
      <c r="F286" s="9" t="s">
        <v>28</v>
      </c>
      <c r="G286" s="9">
        <v>14</v>
      </c>
      <c r="H286" s="9">
        <v>14</v>
      </c>
      <c r="I286" s="9">
        <v>171210.08</v>
      </c>
      <c r="J286" s="6">
        <v>171210.08</v>
      </c>
      <c r="K286" s="9">
        <f t="shared" si="8"/>
        <v>0</v>
      </c>
      <c r="L286" s="9" t="s">
        <v>21</v>
      </c>
      <c r="M286" s="9"/>
      <c r="N286" s="9" t="s">
        <v>272</v>
      </c>
      <c r="O286" s="9" t="s">
        <v>273</v>
      </c>
      <c r="P286" s="9" t="s">
        <v>24</v>
      </c>
      <c r="Q286" s="9" t="s">
        <v>25</v>
      </c>
      <c r="R286">
        <f>VLOOKUP(E286,Workera!A$2:L$273,12,FALSE)</f>
        <v>171210.08</v>
      </c>
      <c r="S286">
        <f>VLOOKUP(E286,Planilla!A$2:L$273,12,FALSE)</f>
        <v>171210.08</v>
      </c>
      <c r="T286" t="str">
        <f t="shared" si="9"/>
        <v>OK</v>
      </c>
    </row>
    <row r="287" spans="1:20" x14ac:dyDescent="0.35">
      <c r="A287" s="9" t="s">
        <v>269</v>
      </c>
      <c r="B287" s="9" t="s">
        <v>270</v>
      </c>
      <c r="C287" s="9" t="s">
        <v>270</v>
      </c>
      <c r="D287" s="9" t="s">
        <v>18</v>
      </c>
      <c r="E287" s="9" t="s">
        <v>348</v>
      </c>
      <c r="F287" s="9" t="s">
        <v>35</v>
      </c>
      <c r="G287" s="9">
        <v>7</v>
      </c>
      <c r="H287" s="9">
        <v>7</v>
      </c>
      <c r="I287" s="9">
        <v>56495.54</v>
      </c>
      <c r="J287" s="6">
        <v>56495.54</v>
      </c>
      <c r="K287" s="9">
        <f t="shared" si="8"/>
        <v>0</v>
      </c>
      <c r="L287" s="9" t="s">
        <v>21</v>
      </c>
      <c r="M287" s="9"/>
      <c r="N287" s="9" t="s">
        <v>272</v>
      </c>
      <c r="O287" s="9" t="s">
        <v>273</v>
      </c>
      <c r="P287" s="9" t="s">
        <v>24</v>
      </c>
      <c r="Q287" s="9" t="s">
        <v>25</v>
      </c>
      <c r="R287" t="e">
        <f>VLOOKUP(E287,Workera!A$2:L$273,12,FALSE)</f>
        <v>#N/A</v>
      </c>
      <c r="S287" t="e">
        <f>VLOOKUP(E287,Planilla!A$2:L$273,12,FALSE)</f>
        <v>#N/A</v>
      </c>
      <c r="T287" t="e">
        <f t="shared" si="9"/>
        <v>#N/A</v>
      </c>
    </row>
    <row r="288" spans="1:20" x14ac:dyDescent="0.35">
      <c r="A288" s="9" t="s">
        <v>269</v>
      </c>
      <c r="B288" s="9" t="s">
        <v>270</v>
      </c>
      <c r="C288" s="9" t="s">
        <v>270</v>
      </c>
      <c r="D288" s="9" t="s">
        <v>18</v>
      </c>
      <c r="E288" s="9" t="s">
        <v>349</v>
      </c>
      <c r="F288" s="9" t="s">
        <v>20</v>
      </c>
      <c r="G288" s="9">
        <v>9</v>
      </c>
      <c r="H288" s="9">
        <v>9</v>
      </c>
      <c r="I288" s="9">
        <v>72637.13</v>
      </c>
      <c r="J288" s="6">
        <v>72637.13</v>
      </c>
      <c r="K288" s="9">
        <f t="shared" si="8"/>
        <v>0</v>
      </c>
      <c r="L288" s="9" t="s">
        <v>21</v>
      </c>
      <c r="M288" s="9"/>
      <c r="N288" s="9" t="s">
        <v>272</v>
      </c>
      <c r="O288" s="9" t="s">
        <v>273</v>
      </c>
      <c r="P288" s="9" t="s">
        <v>24</v>
      </c>
      <c r="Q288" s="9" t="s">
        <v>25</v>
      </c>
      <c r="R288">
        <f>VLOOKUP(E288,Workera!A$2:L$273,12,FALSE)</f>
        <v>72637.13</v>
      </c>
      <c r="S288">
        <f>VLOOKUP(E288,Planilla!A$2:L$273,12,FALSE)</f>
        <v>72637.13</v>
      </c>
      <c r="T288" t="str">
        <f t="shared" si="9"/>
        <v>OK</v>
      </c>
    </row>
    <row r="289" spans="1:20" x14ac:dyDescent="0.35">
      <c r="A289" s="9" t="s">
        <v>269</v>
      </c>
      <c r="B289" s="9" t="s">
        <v>270</v>
      </c>
      <c r="C289" s="9" t="s">
        <v>270</v>
      </c>
      <c r="D289" s="9" t="s">
        <v>18</v>
      </c>
      <c r="E289" s="9" t="s">
        <v>350</v>
      </c>
      <c r="F289" s="9" t="s">
        <v>20</v>
      </c>
      <c r="G289" s="9">
        <v>14</v>
      </c>
      <c r="H289" s="9">
        <v>14</v>
      </c>
      <c r="I289" s="9">
        <v>112991.08</v>
      </c>
      <c r="J289" s="6">
        <v>112991.08</v>
      </c>
      <c r="K289" s="9">
        <f t="shared" si="8"/>
        <v>0</v>
      </c>
      <c r="L289" s="9" t="s">
        <v>21</v>
      </c>
      <c r="M289" s="9"/>
      <c r="N289" s="9" t="s">
        <v>272</v>
      </c>
      <c r="O289" s="9" t="s">
        <v>273</v>
      </c>
      <c r="P289" s="9" t="s">
        <v>24</v>
      </c>
      <c r="Q289" s="9" t="s">
        <v>25</v>
      </c>
      <c r="R289">
        <f>VLOOKUP(E289,Workera!A$2:L$273,12,FALSE)</f>
        <v>112991.08</v>
      </c>
      <c r="S289">
        <f>VLOOKUP(E289,Planilla!A$2:L$273,12,FALSE)</f>
        <v>112991.08</v>
      </c>
      <c r="T289" t="str">
        <f t="shared" si="9"/>
        <v>OK</v>
      </c>
    </row>
    <row r="290" spans="1:20" x14ac:dyDescent="0.35">
      <c r="A290" s="9" t="s">
        <v>269</v>
      </c>
      <c r="B290" s="9" t="s">
        <v>270</v>
      </c>
      <c r="C290" s="9" t="s">
        <v>270</v>
      </c>
      <c r="D290" s="9" t="s">
        <v>18</v>
      </c>
      <c r="E290" s="9" t="s">
        <v>351</v>
      </c>
      <c r="F290" s="9" t="s">
        <v>28</v>
      </c>
      <c r="G290" s="9">
        <v>6</v>
      </c>
      <c r="H290" s="9">
        <v>6</v>
      </c>
      <c r="I290" s="12">
        <v>73375.748571428558</v>
      </c>
      <c r="J290" s="7">
        <v>73375.748571428558</v>
      </c>
      <c r="K290" s="9">
        <f t="shared" si="8"/>
        <v>0</v>
      </c>
      <c r="L290" s="9" t="s">
        <v>21</v>
      </c>
      <c r="M290" s="9"/>
      <c r="N290" s="9" t="s">
        <v>272</v>
      </c>
      <c r="O290" s="9" t="s">
        <v>273</v>
      </c>
      <c r="P290" s="9" t="s">
        <v>24</v>
      </c>
      <c r="Q290" s="9" t="s">
        <v>25</v>
      </c>
      <c r="R290">
        <f>VLOOKUP(E290,Workera!A$2:L$273,12,FALSE)</f>
        <v>61146.46</v>
      </c>
      <c r="S290">
        <f>VLOOKUP(E290,Planilla!A$2:L$273,12,FALSE)</f>
        <v>85605.04</v>
      </c>
      <c r="T290" t="str">
        <f t="shared" si="9"/>
        <v>Wrong</v>
      </c>
    </row>
    <row r="291" spans="1:20" x14ac:dyDescent="0.35">
      <c r="A291" s="9" t="s">
        <v>269</v>
      </c>
      <c r="B291" s="9" t="s">
        <v>270</v>
      </c>
      <c r="C291" s="9" t="s">
        <v>270</v>
      </c>
      <c r="D291" s="9" t="s">
        <v>18</v>
      </c>
      <c r="E291" s="9" t="s">
        <v>352</v>
      </c>
      <c r="F291" s="9" t="s">
        <v>392</v>
      </c>
      <c r="G291" s="9">
        <v>0</v>
      </c>
      <c r="H291" s="9">
        <v>0</v>
      </c>
      <c r="I291" s="9">
        <v>0</v>
      </c>
      <c r="J291" s="6">
        <v>0</v>
      </c>
      <c r="K291" s="9">
        <f t="shared" si="8"/>
        <v>0</v>
      </c>
      <c r="L291" s="9" t="s">
        <v>21</v>
      </c>
      <c r="M291" s="9"/>
      <c r="N291" s="9" t="s">
        <v>272</v>
      </c>
      <c r="O291" s="9" t="s">
        <v>273</v>
      </c>
      <c r="P291" s="9" t="s">
        <v>24</v>
      </c>
      <c r="Q291" s="9" t="s">
        <v>25</v>
      </c>
      <c r="R291" t="e">
        <f>VLOOKUP(E291,Workera!A$2:L$273,12,FALSE)</f>
        <v>#N/A</v>
      </c>
      <c r="S291">
        <f>VLOOKUP(E291,Planilla!A$2:L$273,12,FALSE)</f>
        <v>24212.38</v>
      </c>
      <c r="T291" t="str">
        <f t="shared" si="9"/>
        <v>Wrong</v>
      </c>
    </row>
    <row r="292" spans="1:20" x14ac:dyDescent="0.35">
      <c r="A292" s="9" t="s">
        <v>269</v>
      </c>
      <c r="B292" s="9" t="s">
        <v>270</v>
      </c>
      <c r="C292" s="9" t="s">
        <v>270</v>
      </c>
      <c r="D292" s="9" t="s">
        <v>18</v>
      </c>
      <c r="E292" s="9" t="s">
        <v>353</v>
      </c>
      <c r="F292" s="9" t="s">
        <v>393</v>
      </c>
      <c r="G292" s="9">
        <v>14</v>
      </c>
      <c r="H292" s="9">
        <v>14</v>
      </c>
      <c r="I292" s="9">
        <v>112991.08</v>
      </c>
      <c r="J292" s="6">
        <v>112991.08</v>
      </c>
      <c r="K292" s="9">
        <f t="shared" si="8"/>
        <v>0</v>
      </c>
      <c r="L292" s="9" t="s">
        <v>21</v>
      </c>
      <c r="M292" s="9"/>
      <c r="N292" s="9" t="s">
        <v>272</v>
      </c>
      <c r="O292" s="9" t="s">
        <v>273</v>
      </c>
      <c r="P292" s="9" t="s">
        <v>24</v>
      </c>
      <c r="Q292" s="9" t="s">
        <v>25</v>
      </c>
      <c r="R292" t="e">
        <f>VLOOKUP(E292,Workera!A$2:L$273,12,FALSE)</f>
        <v>#N/A</v>
      </c>
      <c r="S292">
        <f>VLOOKUP(E292,Planilla!A$2:L$273,12,FALSE)</f>
        <v>112991.08</v>
      </c>
      <c r="T292" t="str">
        <f t="shared" si="9"/>
        <v>OK</v>
      </c>
    </row>
    <row r="293" spans="1:20" x14ac:dyDescent="0.35">
      <c r="A293" s="9" t="s">
        <v>269</v>
      </c>
      <c r="B293" s="9" t="s">
        <v>270</v>
      </c>
      <c r="C293" s="9" t="s">
        <v>270</v>
      </c>
      <c r="D293" s="9" t="s">
        <v>18</v>
      </c>
      <c r="E293" s="9" t="s">
        <v>354</v>
      </c>
      <c r="F293" s="9" t="s">
        <v>35</v>
      </c>
      <c r="G293" s="9">
        <v>14</v>
      </c>
      <c r="H293" s="9">
        <v>14</v>
      </c>
      <c r="I293" s="9">
        <v>112991.08</v>
      </c>
      <c r="J293" s="6">
        <v>112991.08</v>
      </c>
      <c r="K293" s="9">
        <f t="shared" si="8"/>
        <v>0</v>
      </c>
      <c r="L293" s="9" t="s">
        <v>21</v>
      </c>
      <c r="M293" s="9"/>
      <c r="N293" s="9" t="s">
        <v>272</v>
      </c>
      <c r="O293" s="9" t="s">
        <v>273</v>
      </c>
      <c r="P293" s="9" t="s">
        <v>24</v>
      </c>
      <c r="Q293" s="9" t="s">
        <v>25</v>
      </c>
      <c r="R293" t="e">
        <f>VLOOKUP(E293,Workera!A$2:L$273,12,FALSE)</f>
        <v>#N/A</v>
      </c>
      <c r="S293">
        <f>VLOOKUP(E293,Planilla!A$2:L$273,12,FALSE)</f>
        <v>112991.08</v>
      </c>
      <c r="T293" t="str">
        <f t="shared" si="9"/>
        <v>OK</v>
      </c>
    </row>
    <row r="294" spans="1:20" x14ac:dyDescent="0.35">
      <c r="A294" s="9" t="s">
        <v>269</v>
      </c>
      <c r="B294" s="9" t="s">
        <v>270</v>
      </c>
      <c r="C294" s="9" t="s">
        <v>270</v>
      </c>
      <c r="D294" s="9" t="s">
        <v>18</v>
      </c>
      <c r="E294" s="9" t="s">
        <v>195</v>
      </c>
      <c r="F294" s="9" t="s">
        <v>28</v>
      </c>
      <c r="G294" s="9">
        <v>14</v>
      </c>
      <c r="H294" s="9">
        <v>14</v>
      </c>
      <c r="I294" s="9">
        <v>171210.08</v>
      </c>
      <c r="J294" s="6">
        <v>171210.08</v>
      </c>
      <c r="K294" s="9">
        <f t="shared" si="8"/>
        <v>0</v>
      </c>
      <c r="L294" s="9" t="s">
        <v>21</v>
      </c>
      <c r="M294" s="9"/>
      <c r="N294" s="9" t="s">
        <v>272</v>
      </c>
      <c r="O294" s="9" t="s">
        <v>273</v>
      </c>
      <c r="P294" s="9" t="s">
        <v>24</v>
      </c>
      <c r="Q294" s="9" t="s">
        <v>25</v>
      </c>
      <c r="R294">
        <f>VLOOKUP(E294,Workera!A$2:L$273,12,FALSE)</f>
        <v>0</v>
      </c>
      <c r="S294">
        <f>VLOOKUP(E294,Planilla!A$2:L$273,12,FALSE)</f>
        <v>158980.79</v>
      </c>
      <c r="T294" t="str">
        <f t="shared" si="9"/>
        <v>Wrong</v>
      </c>
    </row>
    <row r="295" spans="1:20" x14ac:dyDescent="0.35">
      <c r="A295" s="9" t="s">
        <v>269</v>
      </c>
      <c r="B295" s="9" t="s">
        <v>270</v>
      </c>
      <c r="C295" s="9" t="s">
        <v>270</v>
      </c>
      <c r="D295" s="9" t="s">
        <v>18</v>
      </c>
      <c r="E295" s="9" t="s">
        <v>355</v>
      </c>
      <c r="F295" s="9" t="s">
        <v>28</v>
      </c>
      <c r="G295" s="9">
        <v>14</v>
      </c>
      <c r="H295" s="9">
        <v>14</v>
      </c>
      <c r="I295" s="9">
        <v>171210.08</v>
      </c>
      <c r="J295" s="6">
        <v>171210.08</v>
      </c>
      <c r="K295" s="9">
        <f t="shared" si="8"/>
        <v>0</v>
      </c>
      <c r="L295" s="9" t="s">
        <v>21</v>
      </c>
      <c r="M295" s="9"/>
      <c r="N295" s="9" t="s">
        <v>272</v>
      </c>
      <c r="O295" s="9" t="s">
        <v>273</v>
      </c>
      <c r="P295" s="9" t="s">
        <v>24</v>
      </c>
      <c r="Q295" s="9" t="s">
        <v>25</v>
      </c>
      <c r="R295" t="e">
        <f>VLOOKUP(E295,Workera!A$2:L$273,12,FALSE)</f>
        <v>#N/A</v>
      </c>
      <c r="S295">
        <f>VLOOKUP(E295,Planilla!A$2:L$273,12,FALSE)</f>
        <v>171210.08</v>
      </c>
      <c r="T295" t="str">
        <f t="shared" si="9"/>
        <v>OK</v>
      </c>
    </row>
    <row r="296" spans="1:20" x14ac:dyDescent="0.35">
      <c r="A296" s="9" t="s">
        <v>269</v>
      </c>
      <c r="B296" s="9" t="s">
        <v>270</v>
      </c>
      <c r="C296" s="9" t="s">
        <v>270</v>
      </c>
      <c r="D296" s="9" t="s">
        <v>18</v>
      </c>
      <c r="E296" s="9" t="s">
        <v>36</v>
      </c>
      <c r="F296" s="9" t="s">
        <v>37</v>
      </c>
      <c r="G296" s="9">
        <v>0</v>
      </c>
      <c r="H296" s="9">
        <v>0</v>
      </c>
      <c r="I296" s="9">
        <v>0</v>
      </c>
      <c r="J296" s="6">
        <v>0</v>
      </c>
      <c r="K296" s="9">
        <f t="shared" si="8"/>
        <v>0</v>
      </c>
      <c r="L296" s="9" t="s">
        <v>21</v>
      </c>
      <c r="M296" s="9"/>
      <c r="N296" s="9" t="s">
        <v>272</v>
      </c>
      <c r="O296" s="9" t="s">
        <v>273</v>
      </c>
      <c r="P296" s="9" t="s">
        <v>24</v>
      </c>
      <c r="Q296" s="9" t="s">
        <v>25</v>
      </c>
      <c r="R296" t="e">
        <f>VLOOKUP(E296,Workera!A$2:L$273,12,FALSE)</f>
        <v>#N/A</v>
      </c>
      <c r="S296" t="e">
        <f>VLOOKUP(E296,Planilla!A$2:L$273,12,FALSE)</f>
        <v>#N/A</v>
      </c>
      <c r="T296" t="e">
        <f t="shared" si="9"/>
        <v>#N/A</v>
      </c>
    </row>
    <row r="297" spans="1:20" x14ac:dyDescent="0.35">
      <c r="A297" s="9" t="s">
        <v>269</v>
      </c>
      <c r="B297" s="9" t="s">
        <v>270</v>
      </c>
      <c r="C297" s="9" t="s">
        <v>270</v>
      </c>
      <c r="D297" s="9" t="s">
        <v>18</v>
      </c>
      <c r="E297" s="9" t="s">
        <v>356</v>
      </c>
      <c r="F297" s="9" t="s">
        <v>35</v>
      </c>
      <c r="G297" s="9">
        <v>7</v>
      </c>
      <c r="H297" s="9">
        <v>7</v>
      </c>
      <c r="I297" s="9">
        <v>56495.54</v>
      </c>
      <c r="J297" s="6">
        <v>56495.54</v>
      </c>
      <c r="K297" s="9">
        <f t="shared" si="8"/>
        <v>0</v>
      </c>
      <c r="L297" s="9" t="s">
        <v>21</v>
      </c>
      <c r="M297" s="9"/>
      <c r="N297" s="9" t="s">
        <v>272</v>
      </c>
      <c r="O297" s="9" t="s">
        <v>273</v>
      </c>
      <c r="P297" s="9" t="s">
        <v>24</v>
      </c>
      <c r="Q297" s="9" t="s">
        <v>25</v>
      </c>
      <c r="R297" t="e">
        <f>VLOOKUP(E297,Workera!A$2:L$273,12,FALSE)</f>
        <v>#N/A</v>
      </c>
      <c r="S297">
        <f>VLOOKUP(E297,Planilla!A$2:L$273,12,FALSE)</f>
        <v>56495.54</v>
      </c>
      <c r="T297" t="str">
        <f t="shared" si="9"/>
        <v>OK</v>
      </c>
    </row>
    <row r="298" spans="1:20" x14ac:dyDescent="0.35">
      <c r="A298" s="9" t="s">
        <v>269</v>
      </c>
      <c r="B298" s="9" t="s">
        <v>270</v>
      </c>
      <c r="C298" s="9" t="s">
        <v>270</v>
      </c>
      <c r="D298" s="9" t="s">
        <v>18</v>
      </c>
      <c r="E298" s="9" t="s">
        <v>357</v>
      </c>
      <c r="F298" s="9" t="s">
        <v>28</v>
      </c>
      <c r="G298" s="9">
        <v>8</v>
      </c>
      <c r="H298" s="9">
        <v>8</v>
      </c>
      <c r="I298" s="9">
        <v>97834.33</v>
      </c>
      <c r="J298" s="6">
        <v>97834.33</v>
      </c>
      <c r="K298" s="9">
        <f t="shared" si="8"/>
        <v>0</v>
      </c>
      <c r="L298" s="9" t="s">
        <v>21</v>
      </c>
      <c r="M298" s="9"/>
      <c r="N298" s="9" t="s">
        <v>272</v>
      </c>
      <c r="O298" s="9" t="s">
        <v>273</v>
      </c>
      <c r="P298" s="9" t="s">
        <v>24</v>
      </c>
      <c r="Q298" s="9" t="s">
        <v>25</v>
      </c>
      <c r="R298" t="e">
        <f>VLOOKUP(E298,Workera!A$2:L$273,12,FALSE)</f>
        <v>#N/A</v>
      </c>
      <c r="S298">
        <f>VLOOKUP(E298,Planilla!A$2:L$273,12,FALSE)</f>
        <v>97834.33</v>
      </c>
      <c r="T298" t="str">
        <f t="shared" si="9"/>
        <v>OK</v>
      </c>
    </row>
    <row r="299" spans="1:20" x14ac:dyDescent="0.35">
      <c r="A299" s="9" t="s">
        <v>269</v>
      </c>
      <c r="B299" s="9" t="s">
        <v>270</v>
      </c>
      <c r="C299" s="9" t="s">
        <v>270</v>
      </c>
      <c r="D299" s="9" t="s">
        <v>18</v>
      </c>
      <c r="E299" s="9" t="s">
        <v>358</v>
      </c>
      <c r="F299" s="9" t="s">
        <v>45</v>
      </c>
      <c r="G299" s="9">
        <v>13</v>
      </c>
      <c r="H299" s="9">
        <v>13</v>
      </c>
      <c r="I299" s="9">
        <v>158980.79</v>
      </c>
      <c r="J299" s="6">
        <v>158980.79</v>
      </c>
      <c r="K299" s="9">
        <f t="shared" si="8"/>
        <v>0</v>
      </c>
      <c r="L299" s="9" t="s">
        <v>21</v>
      </c>
      <c r="M299" s="9"/>
      <c r="N299" s="9" t="s">
        <v>272</v>
      </c>
      <c r="O299" s="9" t="s">
        <v>273</v>
      </c>
      <c r="P299" s="9" t="s">
        <v>24</v>
      </c>
      <c r="Q299" s="9" t="s">
        <v>25</v>
      </c>
      <c r="R299" t="e">
        <f>VLOOKUP(E299,Workera!A$2:L$273,12,FALSE)</f>
        <v>#N/A</v>
      </c>
      <c r="S299" t="e">
        <f>VLOOKUP(E299,Planilla!A$2:L$273,12,FALSE)</f>
        <v>#N/A</v>
      </c>
      <c r="T299" t="e">
        <f t="shared" si="9"/>
        <v>#N/A</v>
      </c>
    </row>
    <row r="300" spans="1:20" x14ac:dyDescent="0.35">
      <c r="A300" s="9" t="s">
        <v>269</v>
      </c>
      <c r="B300" s="9" t="s">
        <v>270</v>
      </c>
      <c r="C300" s="9" t="s">
        <v>270</v>
      </c>
      <c r="D300" s="9" t="s">
        <v>18</v>
      </c>
      <c r="E300" s="9" t="s">
        <v>62</v>
      </c>
      <c r="F300" s="9" t="s">
        <v>28</v>
      </c>
      <c r="G300" s="9">
        <v>7</v>
      </c>
      <c r="H300" s="9">
        <v>7</v>
      </c>
      <c r="I300" s="9">
        <v>85605.04</v>
      </c>
      <c r="J300" s="6">
        <v>85605.04</v>
      </c>
      <c r="K300" s="9">
        <f t="shared" si="8"/>
        <v>0</v>
      </c>
      <c r="L300" s="9" t="s">
        <v>21</v>
      </c>
      <c r="M300" s="9"/>
      <c r="N300" s="9" t="s">
        <v>272</v>
      </c>
      <c r="O300" s="9" t="s">
        <v>273</v>
      </c>
      <c r="P300" s="9" t="s">
        <v>24</v>
      </c>
      <c r="Q300" s="9" t="s">
        <v>25</v>
      </c>
      <c r="R300">
        <f>VLOOKUP(E300,Workera!A$2:L$273,12,FALSE)</f>
        <v>0</v>
      </c>
      <c r="S300">
        <f>VLOOKUP(E300,Planilla!A$2:L$273,12,FALSE)</f>
        <v>85605.04</v>
      </c>
      <c r="T300" t="str">
        <f t="shared" si="9"/>
        <v>OK</v>
      </c>
    </row>
    <row r="301" spans="1:20" x14ac:dyDescent="0.35">
      <c r="A301" s="9" t="s">
        <v>269</v>
      </c>
      <c r="B301" s="9" t="s">
        <v>270</v>
      </c>
      <c r="C301" s="9" t="s">
        <v>270</v>
      </c>
      <c r="D301" s="9" t="s">
        <v>18</v>
      </c>
      <c r="E301" s="9" t="s">
        <v>359</v>
      </c>
      <c r="F301" s="9" t="s">
        <v>394</v>
      </c>
      <c r="G301" s="9">
        <v>7</v>
      </c>
      <c r="H301" s="9">
        <v>7</v>
      </c>
      <c r="I301" s="9">
        <v>56495.54</v>
      </c>
      <c r="J301" s="6">
        <v>56495.54</v>
      </c>
      <c r="K301" s="9">
        <f t="shared" si="8"/>
        <v>0</v>
      </c>
      <c r="L301" s="9" t="s">
        <v>21</v>
      </c>
      <c r="M301" s="9"/>
      <c r="N301" s="9" t="s">
        <v>272</v>
      </c>
      <c r="O301" s="9" t="s">
        <v>273</v>
      </c>
      <c r="P301" s="9" t="s">
        <v>24</v>
      </c>
      <c r="Q301" s="9" t="s">
        <v>25</v>
      </c>
      <c r="R301" t="e">
        <f>VLOOKUP(E301,Workera!A$2:L$273,12,FALSE)</f>
        <v>#N/A</v>
      </c>
      <c r="S301">
        <f>VLOOKUP(E301,Planilla!A$2:L$273,12,FALSE)</f>
        <v>56495.54</v>
      </c>
      <c r="T301" t="str">
        <f t="shared" si="9"/>
        <v>OK</v>
      </c>
    </row>
    <row r="302" spans="1:20" x14ac:dyDescent="0.35">
      <c r="A302" s="9" t="s">
        <v>269</v>
      </c>
      <c r="B302" s="9" t="s">
        <v>270</v>
      </c>
      <c r="C302" s="9" t="s">
        <v>270</v>
      </c>
      <c r="D302" s="9" t="s">
        <v>18</v>
      </c>
      <c r="E302" s="9" t="s">
        <v>360</v>
      </c>
      <c r="F302" s="9" t="s">
        <v>30</v>
      </c>
      <c r="G302" s="9">
        <v>16</v>
      </c>
      <c r="H302" s="9">
        <v>16</v>
      </c>
      <c r="I302" s="9">
        <v>195668.67</v>
      </c>
      <c r="J302" s="6">
        <v>195668.67</v>
      </c>
      <c r="K302" s="9">
        <f t="shared" si="8"/>
        <v>0</v>
      </c>
      <c r="L302" s="9" t="s">
        <v>21</v>
      </c>
      <c r="M302" s="9"/>
      <c r="N302" s="9" t="s">
        <v>272</v>
      </c>
      <c r="O302" s="9" t="s">
        <v>273</v>
      </c>
      <c r="P302" s="9" t="s">
        <v>24</v>
      </c>
      <c r="Q302" s="9" t="s">
        <v>25</v>
      </c>
      <c r="R302" t="e">
        <f>VLOOKUP(E302,Workera!A$2:L$273,12,FALSE)</f>
        <v>#N/A</v>
      </c>
      <c r="S302">
        <f>VLOOKUP(E302,Planilla!A$2:L$273,12,FALSE)</f>
        <v>195668.67</v>
      </c>
      <c r="T302" t="str">
        <f t="shared" si="9"/>
        <v>OK</v>
      </c>
    </row>
    <row r="303" spans="1:20" x14ac:dyDescent="0.35">
      <c r="A303" s="9" t="s">
        <v>269</v>
      </c>
      <c r="B303" s="9" t="s">
        <v>270</v>
      </c>
      <c r="C303" s="9" t="s">
        <v>270</v>
      </c>
      <c r="D303" s="9" t="s">
        <v>18</v>
      </c>
      <c r="E303" s="9" t="s">
        <v>361</v>
      </c>
      <c r="F303" s="9" t="s">
        <v>395</v>
      </c>
      <c r="G303" s="9">
        <v>14</v>
      </c>
      <c r="H303" s="9">
        <v>14</v>
      </c>
      <c r="I303" s="9">
        <v>171210.08</v>
      </c>
      <c r="J303" s="6">
        <v>171210.08</v>
      </c>
      <c r="K303" s="9">
        <f t="shared" si="8"/>
        <v>0</v>
      </c>
      <c r="L303" s="9" t="s">
        <v>21</v>
      </c>
      <c r="M303" s="9"/>
      <c r="N303" s="9" t="s">
        <v>272</v>
      </c>
      <c r="O303" s="9" t="s">
        <v>273</v>
      </c>
      <c r="P303" s="9" t="s">
        <v>24</v>
      </c>
      <c r="Q303" s="9" t="s">
        <v>25</v>
      </c>
      <c r="R303" t="e">
        <f>VLOOKUP(E303,Workera!A$2:L$273,12,FALSE)</f>
        <v>#N/A</v>
      </c>
      <c r="S303">
        <f>VLOOKUP(E303,Planilla!A$2:L$273,12,FALSE)</f>
        <v>171210.08</v>
      </c>
      <c r="T303" t="str">
        <f t="shared" si="9"/>
        <v>OK</v>
      </c>
    </row>
    <row r="304" spans="1:20" x14ac:dyDescent="0.35">
      <c r="A304" s="9" t="s">
        <v>269</v>
      </c>
      <c r="B304" s="9" t="s">
        <v>270</v>
      </c>
      <c r="C304" s="9" t="s">
        <v>270</v>
      </c>
      <c r="D304" s="9" t="s">
        <v>18</v>
      </c>
      <c r="E304" s="9" t="s">
        <v>362</v>
      </c>
      <c r="F304" s="9" t="s">
        <v>27</v>
      </c>
      <c r="G304" s="9">
        <v>0</v>
      </c>
      <c r="H304" s="9">
        <v>0</v>
      </c>
      <c r="I304" s="9">
        <v>0</v>
      </c>
      <c r="J304" s="6">
        <v>0</v>
      </c>
      <c r="K304" s="9">
        <f t="shared" si="8"/>
        <v>0</v>
      </c>
      <c r="L304" s="9" t="s">
        <v>21</v>
      </c>
      <c r="M304" s="9"/>
      <c r="N304" s="9" t="s">
        <v>272</v>
      </c>
      <c r="O304" s="9" t="s">
        <v>273</v>
      </c>
      <c r="P304" s="9" t="s">
        <v>24</v>
      </c>
      <c r="Q304" s="9" t="s">
        <v>25</v>
      </c>
      <c r="R304" t="e">
        <f>VLOOKUP(E304,Workera!A$2:L$273,12,FALSE)</f>
        <v>#N/A</v>
      </c>
      <c r="S304">
        <f>VLOOKUP(E304,Planilla!A$2:L$273,12,FALSE)</f>
        <v>244585.83</v>
      </c>
      <c r="T304" t="str">
        <f t="shared" si="9"/>
        <v>Wrong</v>
      </c>
    </row>
    <row r="305" spans="1:20" x14ac:dyDescent="0.35">
      <c r="A305" s="9" t="s">
        <v>269</v>
      </c>
      <c r="B305" s="9" t="s">
        <v>270</v>
      </c>
      <c r="C305" s="9" t="s">
        <v>270</v>
      </c>
      <c r="D305" s="9" t="s">
        <v>18</v>
      </c>
      <c r="E305" s="9" t="s">
        <v>158</v>
      </c>
      <c r="F305" s="9" t="s">
        <v>130</v>
      </c>
      <c r="G305" s="9">
        <v>17</v>
      </c>
      <c r="H305" s="9">
        <v>17</v>
      </c>
      <c r="I305" s="9">
        <v>137203.46</v>
      </c>
      <c r="J305" s="6">
        <v>137203.46</v>
      </c>
      <c r="K305" s="9">
        <f t="shared" si="8"/>
        <v>0</v>
      </c>
      <c r="L305" s="9" t="s">
        <v>21</v>
      </c>
      <c r="M305" s="9"/>
      <c r="N305" s="9" t="s">
        <v>272</v>
      </c>
      <c r="O305" s="9" t="s">
        <v>273</v>
      </c>
      <c r="P305" s="9" t="s">
        <v>24</v>
      </c>
      <c r="Q305" s="9" t="s">
        <v>25</v>
      </c>
      <c r="R305" t="e">
        <f>VLOOKUP(E305,Workera!A$2:L$273,12,FALSE)</f>
        <v>#N/A</v>
      </c>
      <c r="S305">
        <f>VLOOKUP(E305,Planilla!A$2:L$273,12,FALSE)</f>
        <v>137203.46</v>
      </c>
      <c r="T305" t="str">
        <f t="shared" si="9"/>
        <v>OK</v>
      </c>
    </row>
    <row r="306" spans="1:20" x14ac:dyDescent="0.35">
      <c r="A306" s="9" t="s">
        <v>363</v>
      </c>
      <c r="B306" s="9" t="s">
        <v>364</v>
      </c>
      <c r="C306" s="9" t="s">
        <v>364</v>
      </c>
      <c r="D306" s="9" t="s">
        <v>18</v>
      </c>
      <c r="E306" s="9" t="s">
        <v>365</v>
      </c>
      <c r="F306" s="9" t="s">
        <v>35</v>
      </c>
      <c r="G306" s="9">
        <v>0</v>
      </c>
      <c r="H306" s="9">
        <v>8</v>
      </c>
      <c r="I306" s="9">
        <v>26077.33</v>
      </c>
      <c r="J306" s="6">
        <v>26077.33</v>
      </c>
      <c r="K306" s="9">
        <f t="shared" si="8"/>
        <v>0</v>
      </c>
      <c r="L306" s="9" t="s">
        <v>21</v>
      </c>
      <c r="M306" s="9"/>
      <c r="N306" s="9" t="s">
        <v>366</v>
      </c>
      <c r="O306" s="9" t="s">
        <v>367</v>
      </c>
      <c r="P306" s="9" t="s">
        <v>24</v>
      </c>
      <c r="Q306" s="9" t="s">
        <v>25</v>
      </c>
      <c r="R306" t="e">
        <f>VLOOKUP(E306,Workera!A$2:L$273,12,FALSE)</f>
        <v>#N/A</v>
      </c>
      <c r="S306">
        <f>VLOOKUP(E306,Planilla!A$2:L$273,12,FALSE)</f>
        <v>26077.33</v>
      </c>
      <c r="T306" t="str">
        <f t="shared" si="9"/>
        <v>OK</v>
      </c>
    </row>
    <row r="307" spans="1:20" x14ac:dyDescent="0.35">
      <c r="A307" s="9" t="s">
        <v>363</v>
      </c>
      <c r="B307" s="9" t="s">
        <v>364</v>
      </c>
      <c r="C307" s="9" t="s">
        <v>364</v>
      </c>
      <c r="D307" s="9" t="s">
        <v>18</v>
      </c>
      <c r="E307" s="9" t="s">
        <v>70</v>
      </c>
      <c r="F307" s="9" t="s">
        <v>35</v>
      </c>
      <c r="G307" s="9">
        <v>0</v>
      </c>
      <c r="H307" s="9">
        <v>10</v>
      </c>
      <c r="I307" s="9">
        <v>32596.67</v>
      </c>
      <c r="J307" s="6">
        <v>32596.67</v>
      </c>
      <c r="K307" s="9">
        <f t="shared" si="8"/>
        <v>0</v>
      </c>
      <c r="L307" s="9" t="s">
        <v>21</v>
      </c>
      <c r="M307" s="9"/>
      <c r="N307" s="9" t="s">
        <v>366</v>
      </c>
      <c r="O307" s="9" t="s">
        <v>367</v>
      </c>
      <c r="P307" s="9" t="s">
        <v>24</v>
      </c>
      <c r="Q307" s="9" t="s">
        <v>25</v>
      </c>
      <c r="R307">
        <f>VLOOKUP(E307,Workera!A$2:L$273,12,FALSE)</f>
        <v>107835</v>
      </c>
      <c r="S307">
        <f>VLOOKUP(E307,Planilla!A$2:L$273,12,FALSE)</f>
        <v>32596.67</v>
      </c>
      <c r="T307" t="str">
        <f t="shared" si="9"/>
        <v>OK</v>
      </c>
    </row>
    <row r="308" spans="1:20" x14ac:dyDescent="0.35">
      <c r="A308" s="9" t="s">
        <v>363</v>
      </c>
      <c r="B308" s="9" t="s">
        <v>364</v>
      </c>
      <c r="C308" s="9" t="s">
        <v>364</v>
      </c>
      <c r="D308" s="9" t="s">
        <v>18</v>
      </c>
      <c r="E308" s="9" t="s">
        <v>368</v>
      </c>
      <c r="F308" s="9" t="s">
        <v>20</v>
      </c>
      <c r="G308" s="9">
        <v>0</v>
      </c>
      <c r="H308" s="9">
        <v>10</v>
      </c>
      <c r="I308" s="9">
        <v>32596.67</v>
      </c>
      <c r="J308" s="6">
        <v>32596.67</v>
      </c>
      <c r="K308" s="9">
        <f t="shared" si="8"/>
        <v>0</v>
      </c>
      <c r="L308" s="9" t="s">
        <v>21</v>
      </c>
      <c r="M308" s="9"/>
      <c r="N308" s="9" t="s">
        <v>366</v>
      </c>
      <c r="O308" s="9" t="s">
        <v>367</v>
      </c>
      <c r="P308" s="9" t="s">
        <v>24</v>
      </c>
      <c r="Q308" s="9" t="s">
        <v>25</v>
      </c>
      <c r="R308" t="e">
        <f>VLOOKUP(E308,Workera!A$2:L$273,12,FALSE)</f>
        <v>#N/A</v>
      </c>
      <c r="S308" t="e">
        <f>VLOOKUP(E308,Planilla!A$2:L$273,12,FALSE)</f>
        <v>#N/A</v>
      </c>
      <c r="T308" t="e">
        <f t="shared" si="9"/>
        <v>#N/A</v>
      </c>
    </row>
    <row r="309" spans="1:20" x14ac:dyDescent="0.35">
      <c r="A309" s="9" t="s">
        <v>363</v>
      </c>
      <c r="B309" s="9" t="s">
        <v>364</v>
      </c>
      <c r="C309" s="9" t="s">
        <v>364</v>
      </c>
      <c r="D309" s="9" t="s">
        <v>18</v>
      </c>
      <c r="E309" s="9" t="s">
        <v>369</v>
      </c>
      <c r="F309" s="9" t="s">
        <v>20</v>
      </c>
      <c r="G309" s="9">
        <v>0</v>
      </c>
      <c r="H309" s="9">
        <v>10</v>
      </c>
      <c r="I309" s="9">
        <v>32596.67</v>
      </c>
      <c r="J309" s="6">
        <v>32596.67</v>
      </c>
      <c r="K309" s="9">
        <f t="shared" si="8"/>
        <v>0</v>
      </c>
      <c r="L309" s="9" t="s">
        <v>21</v>
      </c>
      <c r="M309" s="9"/>
      <c r="N309" s="9" t="s">
        <v>366</v>
      </c>
      <c r="O309" s="9" t="s">
        <v>367</v>
      </c>
      <c r="P309" s="9" t="s">
        <v>24</v>
      </c>
      <c r="Q309" s="9" t="s">
        <v>25</v>
      </c>
      <c r="R309" t="e">
        <f>VLOOKUP(E309,Workera!A$2:L$273,12,FALSE)</f>
        <v>#N/A</v>
      </c>
      <c r="S309">
        <f>VLOOKUP(E309,Planilla!A$2:L$273,12,FALSE)</f>
        <v>32596.67</v>
      </c>
      <c r="T309" t="str">
        <f t="shared" si="9"/>
        <v>OK</v>
      </c>
    </row>
    <row r="310" spans="1:20" x14ac:dyDescent="0.35">
      <c r="A310" s="9" t="s">
        <v>363</v>
      </c>
      <c r="B310" s="9" t="s">
        <v>364</v>
      </c>
      <c r="C310" s="9" t="s">
        <v>364</v>
      </c>
      <c r="D310" s="9" t="s">
        <v>18</v>
      </c>
      <c r="E310" s="9" t="s">
        <v>370</v>
      </c>
      <c r="F310" s="9" t="s">
        <v>20</v>
      </c>
      <c r="G310" s="9">
        <v>0</v>
      </c>
      <c r="H310" s="9">
        <v>10</v>
      </c>
      <c r="I310" s="9">
        <v>32596.67</v>
      </c>
      <c r="J310" s="6">
        <v>32596.67</v>
      </c>
      <c r="K310" s="9">
        <f t="shared" si="8"/>
        <v>0</v>
      </c>
      <c r="L310" s="9" t="s">
        <v>21</v>
      </c>
      <c r="M310" s="9"/>
      <c r="N310" s="9" t="s">
        <v>366</v>
      </c>
      <c r="O310" s="9" t="s">
        <v>367</v>
      </c>
      <c r="P310" s="9" t="s">
        <v>24</v>
      </c>
      <c r="Q310" s="9" t="s">
        <v>25</v>
      </c>
      <c r="R310" t="e">
        <f>VLOOKUP(E310,Workera!A$2:L$273,12,FALSE)</f>
        <v>#N/A</v>
      </c>
      <c r="S310">
        <f>VLOOKUP(E310,Planilla!A$2:L$273,12,FALSE)</f>
        <v>32596.67</v>
      </c>
      <c r="T310" t="str">
        <f t="shared" si="9"/>
        <v>OK</v>
      </c>
    </row>
    <row r="311" spans="1:20" x14ac:dyDescent="0.35">
      <c r="A311" s="9" t="s">
        <v>363</v>
      </c>
      <c r="B311" s="9" t="s">
        <v>364</v>
      </c>
      <c r="C311" s="9" t="s">
        <v>364</v>
      </c>
      <c r="D311" s="9" t="s">
        <v>18</v>
      </c>
      <c r="E311" s="9" t="s">
        <v>83</v>
      </c>
      <c r="F311" s="9" t="s">
        <v>30</v>
      </c>
      <c r="G311" s="9">
        <v>0</v>
      </c>
      <c r="H311" s="9">
        <v>10</v>
      </c>
      <c r="I311" s="9">
        <v>45703.33</v>
      </c>
      <c r="J311" s="6">
        <v>45703.33</v>
      </c>
      <c r="K311" s="9">
        <f t="shared" si="8"/>
        <v>0</v>
      </c>
      <c r="L311" s="9" t="s">
        <v>21</v>
      </c>
      <c r="M311" s="9"/>
      <c r="N311" s="9" t="s">
        <v>366</v>
      </c>
      <c r="O311" s="9" t="s">
        <v>367</v>
      </c>
      <c r="P311" s="9" t="s">
        <v>24</v>
      </c>
      <c r="Q311" s="9" t="s">
        <v>25</v>
      </c>
      <c r="R311">
        <f>VLOOKUP(E311,Workera!A$2:L$273,12,FALSE)</f>
        <v>258804</v>
      </c>
      <c r="S311">
        <f>VLOOKUP(E311,Planilla!A$2:L$273,12,FALSE)</f>
        <v>45703.33</v>
      </c>
      <c r="T311" t="str">
        <f t="shared" si="9"/>
        <v>OK</v>
      </c>
    </row>
    <row r="312" spans="1:20" x14ac:dyDescent="0.35">
      <c r="A312" s="9" t="s">
        <v>363</v>
      </c>
      <c r="B312" s="9" t="s">
        <v>364</v>
      </c>
      <c r="C312" s="9" t="s">
        <v>364</v>
      </c>
      <c r="D312" s="9" t="s">
        <v>18</v>
      </c>
      <c r="E312" s="9" t="s">
        <v>371</v>
      </c>
      <c r="F312" s="9" t="s">
        <v>20</v>
      </c>
      <c r="G312" s="9">
        <v>0</v>
      </c>
      <c r="H312" s="9">
        <v>10</v>
      </c>
      <c r="I312" s="9">
        <v>32596.67</v>
      </c>
      <c r="J312" s="6">
        <v>32596.67</v>
      </c>
      <c r="K312" s="9">
        <f t="shared" si="8"/>
        <v>0</v>
      </c>
      <c r="L312" s="9" t="s">
        <v>21</v>
      </c>
      <c r="M312" s="9"/>
      <c r="N312" s="9" t="s">
        <v>366</v>
      </c>
      <c r="O312" s="9" t="s">
        <v>367</v>
      </c>
      <c r="P312" s="9" t="s">
        <v>24</v>
      </c>
      <c r="Q312" s="9" t="s">
        <v>25</v>
      </c>
      <c r="R312" t="e">
        <f>VLOOKUP(E312,Workera!A$2:L$273,12,FALSE)</f>
        <v>#N/A</v>
      </c>
      <c r="S312">
        <f>VLOOKUP(E312,Planilla!A$2:L$273,12,FALSE)</f>
        <v>32596.67</v>
      </c>
      <c r="T312" t="str">
        <f t="shared" si="9"/>
        <v>OK</v>
      </c>
    </row>
    <row r="313" spans="1:20" x14ac:dyDescent="0.35">
      <c r="A313" s="9" t="s">
        <v>363</v>
      </c>
      <c r="B313" s="9" t="s">
        <v>364</v>
      </c>
      <c r="C313" s="9" t="s">
        <v>364</v>
      </c>
      <c r="D313" s="9" t="s">
        <v>18</v>
      </c>
      <c r="E313" s="9" t="s">
        <v>372</v>
      </c>
      <c r="F313" s="9" t="s">
        <v>88</v>
      </c>
      <c r="G313" s="9">
        <v>0</v>
      </c>
      <c r="H313" s="9">
        <v>10</v>
      </c>
      <c r="I313" s="9">
        <v>32596.67</v>
      </c>
      <c r="J313" s="6">
        <v>32596.67</v>
      </c>
      <c r="K313" s="9">
        <f t="shared" si="8"/>
        <v>0</v>
      </c>
      <c r="L313" s="9" t="s">
        <v>21</v>
      </c>
      <c r="M313" s="9"/>
      <c r="N313" s="9" t="s">
        <v>366</v>
      </c>
      <c r="O313" s="9" t="s">
        <v>367</v>
      </c>
      <c r="P313" s="9" t="s">
        <v>24</v>
      </c>
      <c r="Q313" s="9" t="s">
        <v>25</v>
      </c>
      <c r="R313" t="e">
        <f>VLOOKUP(E313,Workera!A$2:L$273,12,FALSE)</f>
        <v>#N/A</v>
      </c>
      <c r="S313">
        <f>VLOOKUP(E313,Planilla!A$2:L$273,12,FALSE)</f>
        <v>32596.67</v>
      </c>
      <c r="T313" t="str">
        <f t="shared" si="9"/>
        <v>OK</v>
      </c>
    </row>
    <row r="314" spans="1:20" x14ac:dyDescent="0.35">
      <c r="A314" s="9" t="s">
        <v>363</v>
      </c>
      <c r="B314" s="9" t="s">
        <v>364</v>
      </c>
      <c r="C314" s="9" t="s">
        <v>364</v>
      </c>
      <c r="D314" s="9" t="s">
        <v>18</v>
      </c>
      <c r="E314" s="9" t="s">
        <v>373</v>
      </c>
      <c r="F314" s="9" t="s">
        <v>28</v>
      </c>
      <c r="G314" s="9">
        <v>0</v>
      </c>
      <c r="H314" s="9">
        <v>10</v>
      </c>
      <c r="I314" s="9">
        <v>45703.33</v>
      </c>
      <c r="J314" s="6">
        <v>45703.33</v>
      </c>
      <c r="K314" s="9">
        <f t="shared" si="8"/>
        <v>0</v>
      </c>
      <c r="L314" s="9" t="s">
        <v>21</v>
      </c>
      <c r="M314" s="9"/>
      <c r="N314" s="9" t="s">
        <v>366</v>
      </c>
      <c r="O314" s="9" t="s">
        <v>367</v>
      </c>
      <c r="P314" s="9" t="s">
        <v>24</v>
      </c>
      <c r="Q314" s="9" t="s">
        <v>25</v>
      </c>
      <c r="R314" t="e">
        <f>VLOOKUP(E314,Workera!A$2:L$273,12,FALSE)</f>
        <v>#N/A</v>
      </c>
      <c r="S314" t="e">
        <f>VLOOKUP(E314,Planilla!A$2:L$273,12,FALSE)</f>
        <v>#N/A</v>
      </c>
      <c r="T314" t="e">
        <f t="shared" si="9"/>
        <v>#N/A</v>
      </c>
    </row>
    <row r="315" spans="1:20" x14ac:dyDescent="0.35">
      <c r="A315" s="9" t="s">
        <v>363</v>
      </c>
      <c r="B315" s="9" t="s">
        <v>364</v>
      </c>
      <c r="C315" s="9" t="s">
        <v>364</v>
      </c>
      <c r="D315" s="9" t="s">
        <v>18</v>
      </c>
      <c r="E315" s="9" t="s">
        <v>374</v>
      </c>
      <c r="F315" s="9" t="s">
        <v>28</v>
      </c>
      <c r="G315" s="9">
        <v>0</v>
      </c>
      <c r="H315" s="9">
        <v>10</v>
      </c>
      <c r="I315" s="9">
        <v>45703.33</v>
      </c>
      <c r="J315" s="6">
        <v>45703.33</v>
      </c>
      <c r="K315" s="9">
        <f t="shared" si="8"/>
        <v>0</v>
      </c>
      <c r="L315" s="9" t="s">
        <v>21</v>
      </c>
      <c r="M315" s="9"/>
      <c r="N315" s="9" t="s">
        <v>366</v>
      </c>
      <c r="O315" s="9" t="s">
        <v>367</v>
      </c>
      <c r="P315" s="9" t="s">
        <v>24</v>
      </c>
      <c r="Q315" s="9" t="s">
        <v>25</v>
      </c>
      <c r="R315" t="e">
        <f>VLOOKUP(E315,Workera!A$2:L$273,12,FALSE)</f>
        <v>#N/A</v>
      </c>
      <c r="S315">
        <f>VLOOKUP(E315,Planilla!A$2:L$273,12,FALSE)</f>
        <v>45703.33</v>
      </c>
      <c r="T315" t="str">
        <f t="shared" si="9"/>
        <v>OK</v>
      </c>
    </row>
    <row r="316" spans="1:20" x14ac:dyDescent="0.35">
      <c r="A316" s="9" t="s">
        <v>363</v>
      </c>
      <c r="B316" s="9" t="s">
        <v>364</v>
      </c>
      <c r="C316" s="9" t="s">
        <v>364</v>
      </c>
      <c r="D316" s="9" t="s">
        <v>18</v>
      </c>
      <c r="E316" s="9" t="s">
        <v>375</v>
      </c>
      <c r="F316" s="9" t="s">
        <v>20</v>
      </c>
      <c r="G316" s="9">
        <v>0</v>
      </c>
      <c r="H316" s="9">
        <v>10</v>
      </c>
      <c r="I316" s="9">
        <v>32596.67</v>
      </c>
      <c r="J316" s="6">
        <v>32596.67</v>
      </c>
      <c r="K316" s="9">
        <f t="shared" si="8"/>
        <v>0</v>
      </c>
      <c r="L316" s="9" t="s">
        <v>21</v>
      </c>
      <c r="M316" s="9"/>
      <c r="N316" s="9" t="s">
        <v>366</v>
      </c>
      <c r="O316" s="9" t="s">
        <v>367</v>
      </c>
      <c r="P316" s="9" t="s">
        <v>24</v>
      </c>
      <c r="Q316" s="9" t="s">
        <v>25</v>
      </c>
      <c r="R316" t="e">
        <f>VLOOKUP(E316,Workera!A$2:L$273,12,FALSE)</f>
        <v>#N/A</v>
      </c>
      <c r="S316">
        <f>VLOOKUP(E316,Planilla!A$2:L$273,12,FALSE)</f>
        <v>32596.67</v>
      </c>
      <c r="T316" t="str">
        <f t="shared" si="9"/>
        <v>OK</v>
      </c>
    </row>
    <row r="317" spans="1:20" x14ac:dyDescent="0.35">
      <c r="A317" s="9" t="s">
        <v>363</v>
      </c>
      <c r="B317" s="9" t="s">
        <v>364</v>
      </c>
      <c r="C317" s="9" t="s">
        <v>364</v>
      </c>
      <c r="D317" s="9" t="s">
        <v>18</v>
      </c>
      <c r="E317" s="9" t="s">
        <v>376</v>
      </c>
      <c r="F317" s="9" t="s">
        <v>28</v>
      </c>
      <c r="G317" s="9">
        <v>0</v>
      </c>
      <c r="H317" s="9">
        <v>10</v>
      </c>
      <c r="I317" s="9">
        <v>45703.33</v>
      </c>
      <c r="J317" s="6">
        <v>45703.33</v>
      </c>
      <c r="K317" s="9">
        <f t="shared" si="8"/>
        <v>0</v>
      </c>
      <c r="L317" s="9" t="s">
        <v>21</v>
      </c>
      <c r="M317" s="9"/>
      <c r="N317" s="9" t="s">
        <v>366</v>
      </c>
      <c r="O317" s="9" t="s">
        <v>367</v>
      </c>
      <c r="P317" s="9" t="s">
        <v>24</v>
      </c>
      <c r="Q317" s="9" t="s">
        <v>25</v>
      </c>
      <c r="R317" t="e">
        <f>VLOOKUP(E317,Workera!A$2:L$273,12,FALSE)</f>
        <v>#N/A</v>
      </c>
      <c r="S317">
        <f>VLOOKUP(E317,Planilla!A$2:L$273,12,FALSE)</f>
        <v>45703.33</v>
      </c>
      <c r="T317" t="str">
        <f t="shared" si="9"/>
        <v>OK</v>
      </c>
    </row>
    <row r="318" spans="1:20" x14ac:dyDescent="0.35">
      <c r="A318" s="9" t="s">
        <v>363</v>
      </c>
      <c r="B318" s="9" t="s">
        <v>364</v>
      </c>
      <c r="C318" s="9" t="s">
        <v>364</v>
      </c>
      <c r="D318" s="9" t="s">
        <v>18</v>
      </c>
      <c r="E318" s="9" t="s">
        <v>377</v>
      </c>
      <c r="F318" s="9" t="s">
        <v>27</v>
      </c>
      <c r="G318" s="9">
        <v>0</v>
      </c>
      <c r="H318" s="9">
        <v>10</v>
      </c>
      <c r="I318" s="9">
        <v>45703.33</v>
      </c>
      <c r="J318" s="6">
        <v>45703.33</v>
      </c>
      <c r="K318" s="9">
        <f t="shared" si="8"/>
        <v>0</v>
      </c>
      <c r="L318" s="9" t="s">
        <v>21</v>
      </c>
      <c r="M318" s="9"/>
      <c r="N318" s="9" t="s">
        <v>366</v>
      </c>
      <c r="O318" s="9" t="s">
        <v>367</v>
      </c>
      <c r="P318" s="9" t="s">
        <v>24</v>
      </c>
      <c r="Q318" s="9" t="s">
        <v>25</v>
      </c>
      <c r="R318" t="e">
        <f>VLOOKUP(E318,Workera!A$2:L$273,12,FALSE)</f>
        <v>#N/A</v>
      </c>
      <c r="S318" t="e">
        <f>VLOOKUP(E318,Planilla!A$2:L$273,12,FALSE)</f>
        <v>#N/A</v>
      </c>
      <c r="T318" t="e">
        <f t="shared" si="9"/>
        <v>#N/A</v>
      </c>
    </row>
    <row r="319" spans="1:20" x14ac:dyDescent="0.35">
      <c r="A319" s="9" t="s">
        <v>363</v>
      </c>
      <c r="B319" s="9" t="s">
        <v>364</v>
      </c>
      <c r="C319" s="9" t="s">
        <v>364</v>
      </c>
      <c r="D319" s="9" t="s">
        <v>18</v>
      </c>
      <c r="E319" s="9" t="s">
        <v>378</v>
      </c>
      <c r="F319" s="9" t="s">
        <v>74</v>
      </c>
      <c r="G319" s="9">
        <v>0</v>
      </c>
      <c r="H319" s="9">
        <v>10</v>
      </c>
      <c r="I319" s="9">
        <v>32596.67</v>
      </c>
      <c r="J319" s="6">
        <v>32596.67</v>
      </c>
      <c r="K319" s="9">
        <f t="shared" si="8"/>
        <v>0</v>
      </c>
      <c r="L319" s="9" t="s">
        <v>21</v>
      </c>
      <c r="M319" s="9"/>
      <c r="N319" s="9" t="s">
        <v>366</v>
      </c>
      <c r="O319" s="9" t="s">
        <v>367</v>
      </c>
      <c r="P319" s="9" t="s">
        <v>24</v>
      </c>
      <c r="Q319" s="9" t="s">
        <v>25</v>
      </c>
      <c r="R319" t="e">
        <f>VLOOKUP(E319,Workera!A$2:L$273,12,FALSE)</f>
        <v>#N/A</v>
      </c>
      <c r="S319">
        <f>VLOOKUP(E319,Planilla!A$2:L$273,12,FALSE)</f>
        <v>32596.67</v>
      </c>
      <c r="T319" t="str">
        <f t="shared" si="9"/>
        <v>OK</v>
      </c>
    </row>
    <row r="320" spans="1:20" x14ac:dyDescent="0.35">
      <c r="A320" s="9" t="s">
        <v>363</v>
      </c>
      <c r="B320" s="9" t="s">
        <v>364</v>
      </c>
      <c r="C320" s="9" t="s">
        <v>364</v>
      </c>
      <c r="D320" s="9" t="s">
        <v>18</v>
      </c>
      <c r="E320" s="9" t="s">
        <v>129</v>
      </c>
      <c r="F320" s="9" t="s">
        <v>130</v>
      </c>
      <c r="G320" s="9">
        <v>0</v>
      </c>
      <c r="H320" s="9">
        <v>10</v>
      </c>
      <c r="I320" s="9">
        <v>45703.33</v>
      </c>
      <c r="J320" s="6">
        <v>45703.33</v>
      </c>
      <c r="K320" s="9">
        <f t="shared" si="8"/>
        <v>0</v>
      </c>
      <c r="L320" s="9" t="s">
        <v>21</v>
      </c>
      <c r="M320" s="9"/>
      <c r="N320" s="9" t="s">
        <v>366</v>
      </c>
      <c r="O320" s="9" t="s">
        <v>367</v>
      </c>
      <c r="P320" s="9" t="s">
        <v>24</v>
      </c>
      <c r="Q320" s="9" t="s">
        <v>25</v>
      </c>
      <c r="R320">
        <f>VLOOKUP(E320,Workera!A$2:L$273,12,FALSE)</f>
        <v>331292.5</v>
      </c>
      <c r="S320">
        <f>VLOOKUP(E320,Planilla!A$2:L$273,12,FALSE)</f>
        <v>45703.33</v>
      </c>
      <c r="T320" t="str">
        <f t="shared" si="9"/>
        <v>OK</v>
      </c>
    </row>
    <row r="321" spans="1:20" x14ac:dyDescent="0.35">
      <c r="A321" s="9" t="s">
        <v>363</v>
      </c>
      <c r="B321" s="9" t="s">
        <v>364</v>
      </c>
      <c r="C321" s="9" t="s">
        <v>364</v>
      </c>
      <c r="D321" s="9" t="s">
        <v>18</v>
      </c>
      <c r="E321" s="9" t="s">
        <v>379</v>
      </c>
      <c r="F321" s="9" t="s">
        <v>28</v>
      </c>
      <c r="G321" s="9">
        <v>0</v>
      </c>
      <c r="H321" s="9">
        <v>10</v>
      </c>
      <c r="I321" s="9">
        <v>45703.33</v>
      </c>
      <c r="J321" s="6">
        <v>45703.33</v>
      </c>
      <c r="K321" s="9">
        <f t="shared" si="8"/>
        <v>0</v>
      </c>
      <c r="L321" s="9" t="s">
        <v>21</v>
      </c>
      <c r="M321" s="9"/>
      <c r="N321" s="9" t="s">
        <v>366</v>
      </c>
      <c r="O321" s="9" t="s">
        <v>367</v>
      </c>
      <c r="P321" s="9" t="s">
        <v>24</v>
      </c>
      <c r="Q321" s="9" t="s">
        <v>25</v>
      </c>
      <c r="R321" t="e">
        <f>VLOOKUP(E321,Workera!A$2:L$273,12,FALSE)</f>
        <v>#N/A</v>
      </c>
      <c r="S321">
        <f>VLOOKUP(E321,Planilla!A$2:L$273,12,FALSE)</f>
        <v>45703.33</v>
      </c>
      <c r="T321" t="str">
        <f t="shared" si="9"/>
        <v>OK</v>
      </c>
    </row>
    <row r="322" spans="1:20" x14ac:dyDescent="0.35">
      <c r="A322" s="9" t="s">
        <v>363</v>
      </c>
      <c r="B322" s="9" t="s">
        <v>364</v>
      </c>
      <c r="C322" s="9" t="s">
        <v>364</v>
      </c>
      <c r="D322" s="9" t="s">
        <v>18</v>
      </c>
      <c r="E322" s="9" t="s">
        <v>138</v>
      </c>
      <c r="F322" s="9" t="s">
        <v>20</v>
      </c>
      <c r="G322" s="9">
        <v>0</v>
      </c>
      <c r="H322" s="9">
        <v>10</v>
      </c>
      <c r="I322" s="9">
        <v>32596.67</v>
      </c>
      <c r="J322" s="6">
        <v>32596.67</v>
      </c>
      <c r="K322" s="9">
        <f t="shared" ref="K322:K333" si="10">+J322-I322</f>
        <v>0</v>
      </c>
      <c r="L322" s="9" t="s">
        <v>21</v>
      </c>
      <c r="M322" s="9"/>
      <c r="N322" s="9" t="s">
        <v>366</v>
      </c>
      <c r="O322" s="9" t="s">
        <v>367</v>
      </c>
      <c r="P322" s="9" t="s">
        <v>24</v>
      </c>
      <c r="Q322" s="9" t="s">
        <v>25</v>
      </c>
      <c r="R322">
        <f>VLOOKUP(E322,Workera!A$2:L$273,12,FALSE)</f>
        <v>0</v>
      </c>
      <c r="S322">
        <f>VLOOKUP(E322,Planilla!A$2:L$273,12,FALSE)</f>
        <v>32596.67</v>
      </c>
      <c r="T322" t="str">
        <f t="shared" si="9"/>
        <v>OK</v>
      </c>
    </row>
    <row r="323" spans="1:20" x14ac:dyDescent="0.35">
      <c r="A323" s="9" t="s">
        <v>363</v>
      </c>
      <c r="B323" s="9" t="s">
        <v>364</v>
      </c>
      <c r="C323" s="9" t="s">
        <v>364</v>
      </c>
      <c r="D323" s="9" t="s">
        <v>18</v>
      </c>
      <c r="E323" s="9" t="s">
        <v>380</v>
      </c>
      <c r="F323" s="9" t="s">
        <v>35</v>
      </c>
      <c r="G323" s="9">
        <v>0</v>
      </c>
      <c r="H323" s="9">
        <v>10</v>
      </c>
      <c r="I323" s="9">
        <v>32596.67</v>
      </c>
      <c r="J323" s="6">
        <v>32596.67</v>
      </c>
      <c r="K323" s="9">
        <f t="shared" si="10"/>
        <v>0</v>
      </c>
      <c r="L323" s="9" t="s">
        <v>21</v>
      </c>
      <c r="M323" s="9"/>
      <c r="N323" s="9" t="s">
        <v>366</v>
      </c>
      <c r="O323" s="9" t="s">
        <v>367</v>
      </c>
      <c r="P323" s="9" t="s">
        <v>24</v>
      </c>
      <c r="Q323" s="9" t="s">
        <v>25</v>
      </c>
      <c r="R323" t="e">
        <f>VLOOKUP(E323,Workera!A$2:L$273,12,FALSE)</f>
        <v>#N/A</v>
      </c>
      <c r="S323" t="e">
        <f>VLOOKUP(E323,Planilla!A$2:L$273,12,FALSE)</f>
        <v>#N/A</v>
      </c>
      <c r="T323" t="e">
        <f t="shared" ref="T323:T333" si="11">IF(J323=S323,"OK","Wrong")</f>
        <v>#N/A</v>
      </c>
    </row>
    <row r="324" spans="1:20" x14ac:dyDescent="0.35">
      <c r="A324" s="9" t="s">
        <v>363</v>
      </c>
      <c r="B324" s="9" t="s">
        <v>364</v>
      </c>
      <c r="C324" s="9" t="s">
        <v>364</v>
      </c>
      <c r="D324" s="9" t="s">
        <v>18</v>
      </c>
      <c r="E324" s="9" t="s">
        <v>381</v>
      </c>
      <c r="F324" s="9" t="s">
        <v>33</v>
      </c>
      <c r="G324" s="9">
        <v>0</v>
      </c>
      <c r="H324" s="9">
        <v>10</v>
      </c>
      <c r="I324" s="9">
        <v>32596.67</v>
      </c>
      <c r="J324" s="6">
        <v>32596.67</v>
      </c>
      <c r="K324" s="9">
        <f t="shared" si="10"/>
        <v>0</v>
      </c>
      <c r="L324" s="9" t="s">
        <v>21</v>
      </c>
      <c r="M324" s="9"/>
      <c r="N324" s="9" t="s">
        <v>366</v>
      </c>
      <c r="O324" s="9" t="s">
        <v>367</v>
      </c>
      <c r="P324" s="9" t="s">
        <v>24</v>
      </c>
      <c r="Q324" s="9" t="s">
        <v>25</v>
      </c>
      <c r="R324" t="e">
        <f>VLOOKUP(E324,Workera!A$2:L$273,12,FALSE)</f>
        <v>#N/A</v>
      </c>
      <c r="S324">
        <f>VLOOKUP(E324,Planilla!A$2:L$273,12,FALSE)</f>
        <v>32596.67</v>
      </c>
      <c r="T324" t="str">
        <f t="shared" si="11"/>
        <v>OK</v>
      </c>
    </row>
    <row r="325" spans="1:20" x14ac:dyDescent="0.35">
      <c r="A325" s="9" t="s">
        <v>363</v>
      </c>
      <c r="B325" s="9" t="s">
        <v>364</v>
      </c>
      <c r="C325" s="9" t="s">
        <v>364</v>
      </c>
      <c r="D325" s="9" t="s">
        <v>18</v>
      </c>
      <c r="E325" s="9" t="s">
        <v>382</v>
      </c>
      <c r="F325" s="9" t="s">
        <v>28</v>
      </c>
      <c r="G325" s="9">
        <v>0</v>
      </c>
      <c r="H325" s="9">
        <v>10</v>
      </c>
      <c r="I325" s="9">
        <v>45703.33</v>
      </c>
      <c r="J325" s="6">
        <v>45703.33</v>
      </c>
      <c r="K325" s="9">
        <f t="shared" si="10"/>
        <v>0</v>
      </c>
      <c r="L325" s="9" t="s">
        <v>21</v>
      </c>
      <c r="M325" s="9"/>
      <c r="N325" s="9" t="s">
        <v>366</v>
      </c>
      <c r="O325" s="9" t="s">
        <v>367</v>
      </c>
      <c r="P325" s="9" t="s">
        <v>24</v>
      </c>
      <c r="Q325" s="9" t="s">
        <v>25</v>
      </c>
      <c r="R325">
        <f>VLOOKUP(E325,Workera!A$2:L$273,12,FALSE)</f>
        <v>122292.92</v>
      </c>
      <c r="S325">
        <f>VLOOKUP(E325,Planilla!A$2:L$273,12,FALSE)</f>
        <v>45703.33</v>
      </c>
      <c r="T325" t="str">
        <f t="shared" si="11"/>
        <v>OK</v>
      </c>
    </row>
    <row r="326" spans="1:20" x14ac:dyDescent="0.35">
      <c r="A326" s="9" t="s">
        <v>363</v>
      </c>
      <c r="B326" s="9" t="s">
        <v>364</v>
      </c>
      <c r="C326" s="9" t="s">
        <v>364</v>
      </c>
      <c r="D326" s="9" t="s">
        <v>18</v>
      </c>
      <c r="E326" s="9" t="s">
        <v>383</v>
      </c>
      <c r="F326" s="9" t="s">
        <v>27</v>
      </c>
      <c r="G326" s="9">
        <v>0</v>
      </c>
      <c r="H326" s="9">
        <v>10</v>
      </c>
      <c r="I326" s="9">
        <v>45703.33</v>
      </c>
      <c r="J326" s="6">
        <v>45703.33</v>
      </c>
      <c r="K326" s="9">
        <f t="shared" si="10"/>
        <v>0</v>
      </c>
      <c r="L326" s="9" t="s">
        <v>21</v>
      </c>
      <c r="M326" s="9"/>
      <c r="N326" s="9" t="s">
        <v>366</v>
      </c>
      <c r="O326" s="9" t="s">
        <v>367</v>
      </c>
      <c r="P326" s="9" t="s">
        <v>24</v>
      </c>
      <c r="Q326" s="9" t="s">
        <v>25</v>
      </c>
      <c r="R326" t="e">
        <f>VLOOKUP(E326,Workera!A$2:L$273,12,FALSE)</f>
        <v>#N/A</v>
      </c>
      <c r="S326">
        <f>VLOOKUP(E326,Planilla!A$2:L$273,12,FALSE)</f>
        <v>45703.33</v>
      </c>
      <c r="T326" t="str">
        <f t="shared" si="11"/>
        <v>OK</v>
      </c>
    </row>
    <row r="327" spans="1:20" x14ac:dyDescent="0.35">
      <c r="A327" s="9" t="s">
        <v>363</v>
      </c>
      <c r="B327" s="9" t="s">
        <v>364</v>
      </c>
      <c r="C327" s="9" t="s">
        <v>364</v>
      </c>
      <c r="D327" s="9" t="s">
        <v>18</v>
      </c>
      <c r="E327" s="9" t="s">
        <v>31</v>
      </c>
      <c r="F327" s="9" t="s">
        <v>27</v>
      </c>
      <c r="G327" s="9">
        <v>0</v>
      </c>
      <c r="H327" s="9">
        <v>10</v>
      </c>
      <c r="I327" s="9">
        <v>45703.33</v>
      </c>
      <c r="J327" s="6">
        <v>45703.33</v>
      </c>
      <c r="K327" s="9">
        <f t="shared" si="10"/>
        <v>0</v>
      </c>
      <c r="L327" s="9" t="s">
        <v>21</v>
      </c>
      <c r="M327" s="9"/>
      <c r="N327" s="9" t="s">
        <v>366</v>
      </c>
      <c r="O327" s="9" t="s">
        <v>367</v>
      </c>
      <c r="P327" s="9" t="s">
        <v>24</v>
      </c>
      <c r="Q327" s="9" t="s">
        <v>25</v>
      </c>
      <c r="R327" t="e">
        <f>VLOOKUP(E327,Workera!A$2:L$273,12,FALSE)</f>
        <v>#N/A</v>
      </c>
      <c r="S327">
        <f>VLOOKUP(E327,Planilla!A$2:L$273,12,FALSE)</f>
        <v>45703.33</v>
      </c>
      <c r="T327" t="str">
        <f t="shared" si="11"/>
        <v>OK</v>
      </c>
    </row>
    <row r="328" spans="1:20" x14ac:dyDescent="0.35">
      <c r="A328" s="9" t="s">
        <v>363</v>
      </c>
      <c r="B328" s="9" t="s">
        <v>364</v>
      </c>
      <c r="C328" s="9" t="s">
        <v>364</v>
      </c>
      <c r="D328" s="9" t="s">
        <v>18</v>
      </c>
      <c r="E328" s="9" t="s">
        <v>384</v>
      </c>
      <c r="F328" s="9" t="s">
        <v>53</v>
      </c>
      <c r="G328" s="9">
        <v>0</v>
      </c>
      <c r="H328" s="9">
        <v>10</v>
      </c>
      <c r="I328" s="9">
        <v>32596.67</v>
      </c>
      <c r="J328" s="6">
        <v>32596.67</v>
      </c>
      <c r="K328" s="9">
        <f t="shared" si="10"/>
        <v>0</v>
      </c>
      <c r="L328" s="9" t="s">
        <v>21</v>
      </c>
      <c r="M328" s="9"/>
      <c r="N328" s="9" t="s">
        <v>366</v>
      </c>
      <c r="O328" s="9" t="s">
        <v>367</v>
      </c>
      <c r="P328" s="9" t="s">
        <v>24</v>
      </c>
      <c r="Q328" s="9" t="s">
        <v>25</v>
      </c>
      <c r="R328" t="e">
        <f>VLOOKUP(E328,Workera!A$2:L$273,12,FALSE)</f>
        <v>#N/A</v>
      </c>
      <c r="S328">
        <f>VLOOKUP(E328,Planilla!A$2:L$273,12,FALSE)</f>
        <v>32596.67</v>
      </c>
      <c r="T328" t="str">
        <f t="shared" si="11"/>
        <v>OK</v>
      </c>
    </row>
    <row r="329" spans="1:20" x14ac:dyDescent="0.35">
      <c r="A329" s="9" t="s">
        <v>363</v>
      </c>
      <c r="B329" s="9" t="s">
        <v>364</v>
      </c>
      <c r="C329" s="9" t="s">
        <v>364</v>
      </c>
      <c r="D329" s="9" t="s">
        <v>18</v>
      </c>
      <c r="E329" s="9" t="s">
        <v>385</v>
      </c>
      <c r="F329" s="9" t="s">
        <v>396</v>
      </c>
      <c r="G329" s="9">
        <v>0</v>
      </c>
      <c r="H329" s="9">
        <v>10</v>
      </c>
      <c r="I329" s="9">
        <v>45703.33</v>
      </c>
      <c r="J329" s="6">
        <v>45703.33</v>
      </c>
      <c r="K329" s="9">
        <f t="shared" si="10"/>
        <v>0</v>
      </c>
      <c r="L329" s="9" t="s">
        <v>21</v>
      </c>
      <c r="M329" s="9"/>
      <c r="N329" s="9" t="s">
        <v>366</v>
      </c>
      <c r="O329" s="9" t="s">
        <v>367</v>
      </c>
      <c r="P329" s="9" t="s">
        <v>24</v>
      </c>
      <c r="Q329" s="9" t="s">
        <v>25</v>
      </c>
      <c r="R329" t="e">
        <f>VLOOKUP(E329,Workera!A$2:L$273,12,FALSE)</f>
        <v>#N/A</v>
      </c>
      <c r="S329">
        <f>VLOOKUP(E329,Planilla!A$2:L$273,12,FALSE)</f>
        <v>45703.33</v>
      </c>
      <c r="T329" t="str">
        <f t="shared" si="11"/>
        <v>OK</v>
      </c>
    </row>
    <row r="330" spans="1:20" x14ac:dyDescent="0.35">
      <c r="A330" s="9" t="s">
        <v>363</v>
      </c>
      <c r="B330" s="9" t="s">
        <v>364</v>
      </c>
      <c r="C330" s="9" t="s">
        <v>364</v>
      </c>
      <c r="D330" s="9" t="s">
        <v>18</v>
      </c>
      <c r="E330" s="9" t="s">
        <v>386</v>
      </c>
      <c r="F330" s="9" t="s">
        <v>20</v>
      </c>
      <c r="G330" s="9">
        <v>0</v>
      </c>
      <c r="H330" s="9">
        <v>10</v>
      </c>
      <c r="I330" s="9">
        <v>32596.67</v>
      </c>
      <c r="J330" s="6">
        <v>32596.67</v>
      </c>
      <c r="K330" s="9">
        <f t="shared" si="10"/>
        <v>0</v>
      </c>
      <c r="L330" s="9" t="s">
        <v>21</v>
      </c>
      <c r="M330" s="9"/>
      <c r="N330" s="9" t="s">
        <v>366</v>
      </c>
      <c r="O330" s="9" t="s">
        <v>367</v>
      </c>
      <c r="P330" s="9" t="s">
        <v>24</v>
      </c>
      <c r="Q330" s="9" t="s">
        <v>25</v>
      </c>
      <c r="R330" t="e">
        <f>VLOOKUP(E330,Workera!A$2:L$273,12,FALSE)</f>
        <v>#N/A</v>
      </c>
      <c r="S330">
        <f>VLOOKUP(E330,Planilla!A$2:L$273,12,FALSE)</f>
        <v>32596.67</v>
      </c>
      <c r="T330" t="str">
        <f t="shared" si="11"/>
        <v>OK</v>
      </c>
    </row>
    <row r="331" spans="1:20" x14ac:dyDescent="0.35">
      <c r="A331" s="9" t="s">
        <v>363</v>
      </c>
      <c r="B331" s="9" t="s">
        <v>364</v>
      </c>
      <c r="C331" s="9" t="s">
        <v>364</v>
      </c>
      <c r="D331" s="9" t="s">
        <v>18</v>
      </c>
      <c r="E331" s="9" t="s">
        <v>387</v>
      </c>
      <c r="F331" s="9" t="s">
        <v>35</v>
      </c>
      <c r="G331" s="9">
        <v>0</v>
      </c>
      <c r="H331" s="9">
        <v>2</v>
      </c>
      <c r="I331" s="9">
        <v>6519.33</v>
      </c>
      <c r="J331" s="6">
        <v>6519.33</v>
      </c>
      <c r="K331" s="9">
        <f t="shared" si="10"/>
        <v>0</v>
      </c>
      <c r="L331" s="9" t="s">
        <v>21</v>
      </c>
      <c r="M331" s="9"/>
      <c r="N331" s="9" t="s">
        <v>366</v>
      </c>
      <c r="O331" s="9" t="s">
        <v>367</v>
      </c>
      <c r="P331" s="9" t="s">
        <v>24</v>
      </c>
      <c r="Q331" s="9" t="s">
        <v>25</v>
      </c>
      <c r="R331" t="e">
        <f>VLOOKUP(E331,Workera!A$2:L$273,12,FALSE)</f>
        <v>#N/A</v>
      </c>
      <c r="S331">
        <f>VLOOKUP(E331,Planilla!A$2:L$273,12,FALSE)</f>
        <v>6519.33</v>
      </c>
      <c r="T331" t="str">
        <f t="shared" si="11"/>
        <v>OK</v>
      </c>
    </row>
    <row r="332" spans="1:20" x14ac:dyDescent="0.35">
      <c r="A332" s="9" t="s">
        <v>363</v>
      </c>
      <c r="B332" s="9" t="s">
        <v>364</v>
      </c>
      <c r="C332" s="9" t="s">
        <v>364</v>
      </c>
      <c r="D332" s="9" t="s">
        <v>18</v>
      </c>
      <c r="E332" s="9" t="s">
        <v>388</v>
      </c>
      <c r="F332" s="9" t="s">
        <v>20</v>
      </c>
      <c r="G332" s="9">
        <v>0</v>
      </c>
      <c r="H332" s="9">
        <v>10</v>
      </c>
      <c r="I332" s="9">
        <v>32596.67</v>
      </c>
      <c r="J332" s="6">
        <v>32596.67</v>
      </c>
      <c r="K332" s="9">
        <f t="shared" si="10"/>
        <v>0</v>
      </c>
      <c r="L332" s="9" t="s">
        <v>21</v>
      </c>
      <c r="M332" s="9"/>
      <c r="N332" s="9" t="s">
        <v>366</v>
      </c>
      <c r="O332" s="9" t="s">
        <v>367</v>
      </c>
      <c r="P332" s="9" t="s">
        <v>24</v>
      </c>
      <c r="Q332" s="9" t="s">
        <v>25</v>
      </c>
      <c r="R332" t="e">
        <f>VLOOKUP(E332,Workera!A$2:L$273,12,FALSE)</f>
        <v>#N/A</v>
      </c>
      <c r="S332">
        <f>VLOOKUP(E332,Planilla!A$2:L$273,12,FALSE)</f>
        <v>32596.67</v>
      </c>
      <c r="T332" t="str">
        <f t="shared" si="11"/>
        <v>OK</v>
      </c>
    </row>
    <row r="333" spans="1:20" x14ac:dyDescent="0.35">
      <c r="A333" s="9" t="s">
        <v>363</v>
      </c>
      <c r="B333" s="9" t="s">
        <v>364</v>
      </c>
      <c r="C333" s="9" t="s">
        <v>364</v>
      </c>
      <c r="D333" s="9" t="s">
        <v>18</v>
      </c>
      <c r="E333" s="9" t="s">
        <v>389</v>
      </c>
      <c r="F333" s="9" t="s">
        <v>28</v>
      </c>
      <c r="G333" s="9">
        <v>0</v>
      </c>
      <c r="H333" s="9">
        <v>10</v>
      </c>
      <c r="I333" s="9">
        <v>45703.33</v>
      </c>
      <c r="J333" s="6">
        <v>45703.33</v>
      </c>
      <c r="K333" s="9">
        <f t="shared" si="10"/>
        <v>0</v>
      </c>
      <c r="L333" s="9" t="s">
        <v>21</v>
      </c>
      <c r="M333" s="9"/>
      <c r="N333" s="9" t="s">
        <v>366</v>
      </c>
      <c r="O333" s="9" t="s">
        <v>367</v>
      </c>
      <c r="P333" s="9" t="s">
        <v>24</v>
      </c>
      <c r="Q333" s="9" t="s">
        <v>25</v>
      </c>
      <c r="R333" t="e">
        <f>VLOOKUP(E333,Workera!A$2:L$273,12,FALSE)</f>
        <v>#N/A</v>
      </c>
      <c r="S333">
        <f>VLOOKUP(E333,Planilla!A$2:L$273,12,FALSE)</f>
        <v>45703.33</v>
      </c>
      <c r="T333" t="str">
        <f t="shared" si="11"/>
        <v>OK</v>
      </c>
    </row>
  </sheetData>
  <autoFilter ref="A1:T333" xr:uid="{E88B2F59-A282-46FD-B7A0-276FFEDDDC33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CA550-C95C-41C8-B752-B005F1719C9F}">
  <sheetPr codeName="Sheet2"/>
  <dimension ref="A1:L273"/>
  <sheetViews>
    <sheetView topLeftCell="A237" workbookViewId="0">
      <selection activeCell="A242" sqref="A242"/>
    </sheetView>
  </sheetViews>
  <sheetFormatPr defaultRowHeight="14.5" x14ac:dyDescent="0.35"/>
  <cols>
    <col min="1" max="1" width="54.26953125" customWidth="1"/>
  </cols>
  <sheetData>
    <row r="1" spans="1:12" s="13" customFormat="1" ht="26" x14ac:dyDescent="0.35">
      <c r="A1" s="13" t="s">
        <v>397</v>
      </c>
      <c r="B1" s="13" t="s">
        <v>398</v>
      </c>
      <c r="C1" s="13" t="s">
        <v>5</v>
      </c>
      <c r="D1" s="13" t="s">
        <v>399</v>
      </c>
      <c r="E1" s="13" t="s">
        <v>400</v>
      </c>
      <c r="F1" s="13" t="s">
        <v>401</v>
      </c>
      <c r="G1" s="13" t="s">
        <v>402</v>
      </c>
      <c r="H1" s="13" t="s">
        <v>403</v>
      </c>
      <c r="I1" s="13" t="s">
        <v>404</v>
      </c>
      <c r="J1" s="13" t="s">
        <v>405</v>
      </c>
      <c r="K1" s="13" t="s">
        <v>406</v>
      </c>
      <c r="L1" s="13" t="s">
        <v>407</v>
      </c>
    </row>
    <row r="2" spans="1:12" x14ac:dyDescent="0.35">
      <c r="A2" t="str" cm="1">
        <f t="array" ref="A2:L87">[2]Resumen!$A$5:$L$90</f>
        <v>EMERSON GIOVANNY DONAIRE VADULLI</v>
      </c>
      <c r="B2" t="str">
        <v>19.690.710-6</v>
      </c>
      <c r="C2" t="str">
        <v>Ayudante Perforista</v>
      </c>
      <c r="D2">
        <v>10</v>
      </c>
      <c r="E2">
        <v>324</v>
      </c>
      <c r="F2">
        <v>120</v>
      </c>
      <c r="G2">
        <v>90400</v>
      </c>
      <c r="H2">
        <v>0</v>
      </c>
      <c r="I2">
        <v>5600</v>
      </c>
      <c r="J2">
        <v>0</v>
      </c>
      <c r="K2">
        <v>0</v>
      </c>
      <c r="L2">
        <v>96000</v>
      </c>
    </row>
    <row r="3" spans="1:12" x14ac:dyDescent="0.35">
      <c r="A3" t="str">
        <v>FREDDY IGNACIO THOMPSON DIAZ</v>
      </c>
      <c r="B3" t="str">
        <v>19.167.554-1</v>
      </c>
      <c r="C3" t="str">
        <v>Ayudante Perforista</v>
      </c>
      <c r="D3">
        <v>20</v>
      </c>
      <c r="E3">
        <v>355.4</v>
      </c>
      <c r="F3">
        <v>240</v>
      </c>
      <c r="G3">
        <v>368425</v>
      </c>
      <c r="H3">
        <v>0</v>
      </c>
      <c r="I3">
        <v>15575</v>
      </c>
      <c r="J3">
        <v>125000</v>
      </c>
      <c r="K3">
        <v>0</v>
      </c>
      <c r="L3">
        <v>509000</v>
      </c>
    </row>
    <row r="4" spans="1:12" x14ac:dyDescent="0.35">
      <c r="A4" t="str">
        <v>GERARDO ANTONIO GAETE PAZ</v>
      </c>
      <c r="B4" t="str">
        <v>19.214.178-8</v>
      </c>
      <c r="C4" t="str">
        <v>Ayudante Perforista</v>
      </c>
      <c r="D4">
        <v>20</v>
      </c>
      <c r="E4">
        <v>357.8</v>
      </c>
      <c r="F4">
        <v>240</v>
      </c>
      <c r="G4">
        <v>356600</v>
      </c>
      <c r="H4">
        <v>0</v>
      </c>
      <c r="I4">
        <v>14650</v>
      </c>
      <c r="J4">
        <v>125000</v>
      </c>
      <c r="K4">
        <v>0</v>
      </c>
      <c r="L4">
        <v>496250</v>
      </c>
    </row>
    <row r="5" spans="1:12" x14ac:dyDescent="0.35">
      <c r="A5" t="str">
        <v>ANGELO PATRICIO RIVERA HERRERA</v>
      </c>
      <c r="B5" t="str">
        <v>17.998.731-7</v>
      </c>
      <c r="C5" t="str">
        <v>Mecánico</v>
      </c>
      <c r="D5">
        <v>20</v>
      </c>
      <c r="E5">
        <v>0</v>
      </c>
      <c r="F5">
        <v>0</v>
      </c>
      <c r="G5">
        <v>0</v>
      </c>
      <c r="H5">
        <v>401566.67</v>
      </c>
      <c r="I5">
        <v>0</v>
      </c>
      <c r="J5">
        <v>0</v>
      </c>
      <c r="K5">
        <v>0</v>
      </c>
      <c r="L5">
        <v>401566.67</v>
      </c>
    </row>
    <row r="6" spans="1:12" x14ac:dyDescent="0.35">
      <c r="A6" t="str">
        <v>JAVIER ANDRES MILLA PALACIOS</v>
      </c>
      <c r="B6" t="str">
        <v>17.818.652-3</v>
      </c>
      <c r="C6" t="str">
        <v>Perforista</v>
      </c>
      <c r="D6">
        <v>10</v>
      </c>
      <c r="E6">
        <v>344</v>
      </c>
      <c r="F6">
        <v>120</v>
      </c>
      <c r="G6">
        <v>174600</v>
      </c>
      <c r="H6">
        <v>0</v>
      </c>
      <c r="I6">
        <v>8100</v>
      </c>
      <c r="J6">
        <v>0</v>
      </c>
      <c r="K6">
        <v>0</v>
      </c>
      <c r="L6">
        <v>182700</v>
      </c>
    </row>
    <row r="7" spans="1:12" x14ac:dyDescent="0.35">
      <c r="A7" t="str">
        <v>BRENDA LIZETH LEON AVELLA</v>
      </c>
      <c r="B7" t="str">
        <v>25.073.481-6</v>
      </c>
      <c r="C7" t="str">
        <v>Ayudante Perforista</v>
      </c>
      <c r="D7">
        <v>10</v>
      </c>
      <c r="E7">
        <v>163.6</v>
      </c>
      <c r="F7">
        <v>120</v>
      </c>
      <c r="G7">
        <v>189825</v>
      </c>
      <c r="H7">
        <v>0</v>
      </c>
      <c r="I7">
        <v>6940</v>
      </c>
      <c r="J7">
        <v>125000</v>
      </c>
      <c r="K7">
        <v>0</v>
      </c>
      <c r="L7">
        <v>321765</v>
      </c>
    </row>
    <row r="8" spans="1:12" x14ac:dyDescent="0.35">
      <c r="A8" t="str">
        <v>ALEJANDRO MIGUEL APABLAZA GUZMAN</v>
      </c>
      <c r="B8" t="str">
        <v>12.951.196-6</v>
      </c>
      <c r="C8" t="str">
        <v>Supervisor de Operaciones</v>
      </c>
      <c r="D8">
        <v>20</v>
      </c>
      <c r="E8">
        <v>0</v>
      </c>
      <c r="F8">
        <v>0</v>
      </c>
      <c r="G8">
        <v>0</v>
      </c>
      <c r="H8">
        <v>602350</v>
      </c>
      <c r="I8">
        <v>0</v>
      </c>
      <c r="J8">
        <v>0</v>
      </c>
      <c r="K8">
        <v>0</v>
      </c>
      <c r="L8">
        <v>602350</v>
      </c>
    </row>
    <row r="9" spans="1:12" x14ac:dyDescent="0.35">
      <c r="A9" t="str">
        <v>DANIEL EDUARDO JERALDO CORTES</v>
      </c>
      <c r="B9" t="str">
        <v>17.294.242-3</v>
      </c>
      <c r="C9" t="str">
        <v>Perforista</v>
      </c>
      <c r="D9">
        <v>20</v>
      </c>
      <c r="E9">
        <v>357.8</v>
      </c>
      <c r="F9">
        <v>240</v>
      </c>
      <c r="G9">
        <v>534900</v>
      </c>
      <c r="H9">
        <v>0</v>
      </c>
      <c r="I9">
        <v>21975</v>
      </c>
      <c r="J9">
        <v>250000</v>
      </c>
      <c r="K9">
        <v>0</v>
      </c>
      <c r="L9">
        <v>806875</v>
      </c>
    </row>
    <row r="10" spans="1:12" x14ac:dyDescent="0.35">
      <c r="A10" t="str">
        <v>RICHARD FABIAN RAMIREZ RAMIREZ</v>
      </c>
      <c r="B10" t="str">
        <v>18.011.716-4</v>
      </c>
      <c r="C10" t="str">
        <v>Ayudante Perforista</v>
      </c>
      <c r="D10">
        <v>20</v>
      </c>
      <c r="E10">
        <v>357.8</v>
      </c>
      <c r="F10">
        <v>240</v>
      </c>
      <c r="G10">
        <v>356600</v>
      </c>
      <c r="H10">
        <v>0</v>
      </c>
      <c r="I10">
        <v>14650</v>
      </c>
      <c r="J10">
        <v>125000</v>
      </c>
      <c r="K10">
        <v>0</v>
      </c>
      <c r="L10">
        <v>496250</v>
      </c>
    </row>
    <row r="11" spans="1:12" x14ac:dyDescent="0.35">
      <c r="A11" t="str">
        <v>VICTORIA DEL PILAR COFRE ROMERO</v>
      </c>
      <c r="B11" t="str">
        <v>15.446.035-7</v>
      </c>
      <c r="C11" t="str">
        <v>Bodeguero</v>
      </c>
      <c r="D11">
        <v>10</v>
      </c>
      <c r="E11">
        <v>0</v>
      </c>
      <c r="F11">
        <v>0</v>
      </c>
      <c r="G11">
        <v>0</v>
      </c>
      <c r="H11">
        <v>200783.33</v>
      </c>
      <c r="I11">
        <v>0</v>
      </c>
      <c r="J11">
        <v>0</v>
      </c>
      <c r="K11">
        <v>0</v>
      </c>
      <c r="L11">
        <v>200783.33</v>
      </c>
    </row>
    <row r="12" spans="1:12" x14ac:dyDescent="0.35">
      <c r="A12" t="str">
        <v>MAIKOL MANUEL ANTONIO CORTES OLIVARES</v>
      </c>
      <c r="B12" t="str">
        <v>19.041.873-1</v>
      </c>
      <c r="C12" t="str">
        <v>Perforista</v>
      </c>
      <c r="D12">
        <v>10</v>
      </c>
      <c r="E12">
        <v>133.6</v>
      </c>
      <c r="F12">
        <v>120</v>
      </c>
      <c r="G12">
        <v>210487.5</v>
      </c>
      <c r="H12">
        <v>0</v>
      </c>
      <c r="I12">
        <v>1530</v>
      </c>
      <c r="J12">
        <v>0</v>
      </c>
      <c r="K12">
        <v>0</v>
      </c>
      <c r="L12">
        <v>212017.5</v>
      </c>
    </row>
    <row r="13" spans="1:12" x14ac:dyDescent="0.35">
      <c r="A13" t="str">
        <v>RICHARD FERNANDO CONTRERAS FLORES</v>
      </c>
      <c r="B13" t="str">
        <v>13.425.369-K</v>
      </c>
      <c r="C13" t="str">
        <v>Ayudante Perforista</v>
      </c>
      <c r="D13">
        <v>20</v>
      </c>
      <c r="E13">
        <v>466</v>
      </c>
      <c r="F13">
        <v>211.25</v>
      </c>
      <c r="G13">
        <v>182400</v>
      </c>
      <c r="H13">
        <v>0</v>
      </c>
      <c r="I13">
        <v>6800</v>
      </c>
      <c r="J13">
        <v>0</v>
      </c>
      <c r="K13">
        <v>0</v>
      </c>
      <c r="L13">
        <v>189200</v>
      </c>
    </row>
    <row r="14" spans="1:12" x14ac:dyDescent="0.35">
      <c r="A14" t="str">
        <v>IBAR ALEXIS BORQUEZ CARVAJAL</v>
      </c>
      <c r="B14" t="str">
        <v>13.011.075-4</v>
      </c>
      <c r="C14" t="str">
        <v>Jefe de Faena</v>
      </c>
      <c r="D14">
        <v>15</v>
      </c>
      <c r="E14">
        <v>0</v>
      </c>
      <c r="F14">
        <v>0</v>
      </c>
      <c r="G14">
        <v>0</v>
      </c>
      <c r="H14">
        <v>451762.5</v>
      </c>
      <c r="I14">
        <v>0</v>
      </c>
      <c r="J14">
        <v>0</v>
      </c>
      <c r="K14">
        <v>0</v>
      </c>
      <c r="L14">
        <v>451762.5</v>
      </c>
    </row>
    <row r="15" spans="1:12" x14ac:dyDescent="0.35">
      <c r="A15" t="str">
        <v>BORIS ALEXIS NOVOA TORO</v>
      </c>
      <c r="B15" t="str">
        <v>20.111.998-7</v>
      </c>
      <c r="C15" t="str">
        <v>Ayudante Perforista</v>
      </c>
      <c r="D15">
        <v>3</v>
      </c>
      <c r="E15">
        <v>78</v>
      </c>
      <c r="F15">
        <v>48</v>
      </c>
      <c r="G15">
        <v>34800</v>
      </c>
      <c r="H15">
        <v>0</v>
      </c>
      <c r="I15">
        <v>0</v>
      </c>
      <c r="J15">
        <v>0</v>
      </c>
      <c r="K15">
        <v>0</v>
      </c>
      <c r="L15">
        <v>34800</v>
      </c>
    </row>
    <row r="16" spans="1:12" x14ac:dyDescent="0.35">
      <c r="A16" t="str">
        <v>CRISTOBAL ALEXIC SANDERSON SALCEDO</v>
      </c>
      <c r="B16" t="str">
        <v>19.910.908-1</v>
      </c>
      <c r="C16" t="str">
        <v>Mecánico</v>
      </c>
      <c r="D16">
        <v>20</v>
      </c>
      <c r="E16">
        <v>0</v>
      </c>
      <c r="F16">
        <v>0</v>
      </c>
      <c r="G16">
        <v>0</v>
      </c>
      <c r="H16">
        <v>401566.67</v>
      </c>
      <c r="I16">
        <v>0</v>
      </c>
      <c r="J16">
        <v>0</v>
      </c>
      <c r="K16">
        <v>0</v>
      </c>
      <c r="L16">
        <v>401566.67</v>
      </c>
    </row>
    <row r="17" spans="1:12" x14ac:dyDescent="0.35">
      <c r="A17" t="str">
        <v>CRISTIAN ESTEBAN DIAZ GUAJARDO</v>
      </c>
      <c r="B17" t="str">
        <v>16.400.165-2</v>
      </c>
      <c r="C17" t="str">
        <v>Ayudante Perforista</v>
      </c>
      <c r="D17">
        <v>10</v>
      </c>
      <c r="E17">
        <v>141.05000000000001</v>
      </c>
      <c r="F17">
        <v>120</v>
      </c>
      <c r="G17">
        <v>143325</v>
      </c>
      <c r="H17">
        <v>0</v>
      </c>
      <c r="I17">
        <v>4060</v>
      </c>
      <c r="J17">
        <v>0</v>
      </c>
      <c r="K17">
        <v>0</v>
      </c>
      <c r="L17">
        <v>147385</v>
      </c>
    </row>
    <row r="18" spans="1:12" x14ac:dyDescent="0.35">
      <c r="A18" t="str">
        <v>IVAN ESTEBAN LOPEZ GARCIA</v>
      </c>
      <c r="B18" t="str">
        <v>18.575.188-0</v>
      </c>
      <c r="C18" t="str">
        <v>Chofer</v>
      </c>
      <c r="D18">
        <v>10</v>
      </c>
      <c r="E18">
        <v>0</v>
      </c>
      <c r="F18">
        <v>0</v>
      </c>
      <c r="G18">
        <v>0</v>
      </c>
      <c r="H18">
        <v>200783.33</v>
      </c>
      <c r="I18">
        <v>0</v>
      </c>
      <c r="J18">
        <v>0</v>
      </c>
      <c r="K18">
        <v>0</v>
      </c>
      <c r="L18">
        <v>200783.33</v>
      </c>
    </row>
    <row r="19" spans="1:12" x14ac:dyDescent="0.35">
      <c r="A19" t="str">
        <v>PAULO ANDRES RODRIGUEZ OPAZO</v>
      </c>
      <c r="B19" t="str">
        <v>14.401.561-4</v>
      </c>
      <c r="C19" t="str">
        <v>Ayudante Perforista</v>
      </c>
      <c r="D19">
        <v>10</v>
      </c>
      <c r="E19">
        <v>142.5</v>
      </c>
      <c r="F19">
        <v>120</v>
      </c>
      <c r="G19">
        <v>174000</v>
      </c>
      <c r="H19">
        <v>0</v>
      </c>
      <c r="I19">
        <v>8100</v>
      </c>
      <c r="J19">
        <v>125000</v>
      </c>
      <c r="K19">
        <v>0</v>
      </c>
      <c r="L19">
        <v>307100</v>
      </c>
    </row>
    <row r="20" spans="1:12" x14ac:dyDescent="0.35">
      <c r="A20" t="str">
        <v>FRANCISCO JAVIER ROJAS MARTINEZ</v>
      </c>
      <c r="B20" t="str">
        <v>16.463.792-1</v>
      </c>
      <c r="C20" t="str">
        <v>Jefe de Faena</v>
      </c>
      <c r="D20">
        <v>15</v>
      </c>
      <c r="E20">
        <v>0</v>
      </c>
      <c r="F20">
        <v>0</v>
      </c>
      <c r="G20">
        <v>0</v>
      </c>
      <c r="H20">
        <v>451762.5</v>
      </c>
      <c r="I20">
        <v>0</v>
      </c>
      <c r="J20">
        <v>0</v>
      </c>
      <c r="K20">
        <v>0</v>
      </c>
      <c r="L20">
        <v>451762.5</v>
      </c>
    </row>
    <row r="21" spans="1:12" x14ac:dyDescent="0.35">
      <c r="A21" t="str">
        <v>CLAUDIA ALEJANDRA TORRES ROJAS</v>
      </c>
      <c r="B21" t="str">
        <v>18.757.602-4</v>
      </c>
      <c r="C21" t="str">
        <v>Prevencionista de Riesgos</v>
      </c>
      <c r="D21">
        <v>20</v>
      </c>
      <c r="E21">
        <v>0</v>
      </c>
      <c r="F21">
        <v>0</v>
      </c>
      <c r="G21">
        <v>0</v>
      </c>
      <c r="H21">
        <v>602350</v>
      </c>
      <c r="I21">
        <v>0</v>
      </c>
      <c r="J21">
        <v>0</v>
      </c>
      <c r="K21">
        <v>0</v>
      </c>
      <c r="L21">
        <v>602350</v>
      </c>
    </row>
    <row r="22" spans="1:12" x14ac:dyDescent="0.35">
      <c r="A22" t="str">
        <v>FRANCISCO JAVIER NAVARRO ESPINOZA</v>
      </c>
      <c r="B22" t="str">
        <v>16.281.802-3</v>
      </c>
      <c r="C22" t="str">
        <v>Electromecánico</v>
      </c>
      <c r="D22">
        <v>10</v>
      </c>
      <c r="E22">
        <v>0</v>
      </c>
      <c r="F22">
        <v>0</v>
      </c>
      <c r="G22">
        <v>0</v>
      </c>
      <c r="H22">
        <v>200783.33</v>
      </c>
      <c r="I22">
        <v>0</v>
      </c>
      <c r="J22">
        <v>0</v>
      </c>
      <c r="K22">
        <v>0</v>
      </c>
      <c r="L22">
        <v>200783.33</v>
      </c>
    </row>
    <row r="23" spans="1:12" x14ac:dyDescent="0.35">
      <c r="A23" t="str">
        <v>PEDRO OCTAVIO OLIVARES ALVAREZ</v>
      </c>
      <c r="B23" t="str">
        <v>13.176.765-K</v>
      </c>
      <c r="C23" t="str">
        <v>Perforista</v>
      </c>
      <c r="D23">
        <v>20</v>
      </c>
      <c r="E23">
        <v>301.2</v>
      </c>
      <c r="F23">
        <v>180</v>
      </c>
      <c r="G23">
        <v>416025</v>
      </c>
      <c r="H23">
        <v>0</v>
      </c>
      <c r="I23">
        <v>40931.25</v>
      </c>
      <c r="J23">
        <v>250000</v>
      </c>
      <c r="K23">
        <v>0</v>
      </c>
      <c r="L23">
        <v>706956.25</v>
      </c>
    </row>
    <row r="24" spans="1:12" x14ac:dyDescent="0.35">
      <c r="A24" t="str">
        <v>VICTOR ALEJANDRO VALENZUELA PASTEN</v>
      </c>
      <c r="B24" t="str">
        <v>12.802.451-4</v>
      </c>
      <c r="C24" t="str">
        <v>Supervisor de Operaciones</v>
      </c>
      <c r="D24">
        <v>10</v>
      </c>
      <c r="E24">
        <v>0</v>
      </c>
      <c r="F24">
        <v>0</v>
      </c>
      <c r="G24">
        <v>0</v>
      </c>
      <c r="H24">
        <v>301175</v>
      </c>
      <c r="I24">
        <v>0</v>
      </c>
      <c r="J24">
        <v>0</v>
      </c>
      <c r="K24">
        <v>0</v>
      </c>
      <c r="L24">
        <v>301175</v>
      </c>
    </row>
    <row r="25" spans="1:12" x14ac:dyDescent="0.35">
      <c r="A25" t="str">
        <v>GABRIEL ALEJANDRO GALLEGUILLOS ARANCIBIA</v>
      </c>
      <c r="B25" t="str">
        <v>15.909.798-6</v>
      </c>
      <c r="C25" t="str">
        <v>Mecánico</v>
      </c>
      <c r="D25">
        <v>20</v>
      </c>
      <c r="E25">
        <v>0</v>
      </c>
      <c r="F25">
        <v>0</v>
      </c>
      <c r="G25">
        <v>0</v>
      </c>
      <c r="H25">
        <v>401566.67</v>
      </c>
      <c r="I25">
        <v>0</v>
      </c>
      <c r="J25">
        <v>0</v>
      </c>
      <c r="K25">
        <v>0</v>
      </c>
      <c r="L25">
        <v>401566.67</v>
      </c>
    </row>
    <row r="26" spans="1:12" x14ac:dyDescent="0.35">
      <c r="A26" t="str">
        <v>DANIEL SEBASTIAN ARAYA GALLARDO</v>
      </c>
      <c r="B26" t="str">
        <v>15.785.558-1</v>
      </c>
      <c r="C26" t="str">
        <v>Ayudante Perforista</v>
      </c>
      <c r="D26">
        <v>10</v>
      </c>
      <c r="E26">
        <v>160.75</v>
      </c>
      <c r="F26">
        <v>120</v>
      </c>
      <c r="G26">
        <v>260500</v>
      </c>
      <c r="H26">
        <v>0</v>
      </c>
      <c r="I26">
        <v>9750</v>
      </c>
      <c r="J26">
        <v>125000</v>
      </c>
      <c r="K26">
        <v>0</v>
      </c>
      <c r="L26">
        <v>395250</v>
      </c>
    </row>
    <row r="27" spans="1:12" x14ac:dyDescent="0.35">
      <c r="A27" t="str">
        <v>ERIC ALFONSO GALLEGUILLOS DIAZ</v>
      </c>
      <c r="B27" t="str">
        <v>16.892.590-5</v>
      </c>
      <c r="C27" t="str">
        <v>Ayudante Perforista</v>
      </c>
      <c r="D27">
        <v>10</v>
      </c>
      <c r="E27">
        <v>184.65</v>
      </c>
      <c r="F27">
        <v>120</v>
      </c>
      <c r="G27">
        <v>184850</v>
      </c>
      <c r="H27">
        <v>0</v>
      </c>
      <c r="I27">
        <v>9762.5</v>
      </c>
      <c r="J27">
        <v>0</v>
      </c>
      <c r="K27">
        <v>0</v>
      </c>
      <c r="L27">
        <v>194612.5</v>
      </c>
    </row>
    <row r="28" spans="1:12" x14ac:dyDescent="0.35">
      <c r="A28" t="str">
        <v>DIEGO ALEJANDRO ROJAS JOPIA</v>
      </c>
      <c r="B28" t="str">
        <v>16.442.931-8</v>
      </c>
      <c r="C28" t="str">
        <v>Perforista</v>
      </c>
      <c r="D28">
        <v>10</v>
      </c>
      <c r="E28">
        <v>160.75</v>
      </c>
      <c r="F28">
        <v>120</v>
      </c>
      <c r="G28">
        <v>390750</v>
      </c>
      <c r="H28">
        <v>0</v>
      </c>
      <c r="I28">
        <v>14625</v>
      </c>
      <c r="J28">
        <v>250000</v>
      </c>
      <c r="K28">
        <v>0</v>
      </c>
      <c r="L28">
        <v>655375</v>
      </c>
    </row>
    <row r="29" spans="1:12" x14ac:dyDescent="0.35">
      <c r="A29" t="str">
        <v>DIANA CATALINA ANGEL MUNITA</v>
      </c>
      <c r="B29" t="str">
        <v>21.236.457-6</v>
      </c>
      <c r="C29" t="str">
        <v>Ayudante Perforista</v>
      </c>
      <c r="D29">
        <v>20</v>
      </c>
      <c r="E29">
        <v>355.4</v>
      </c>
      <c r="F29">
        <v>240</v>
      </c>
      <c r="G29">
        <v>356600</v>
      </c>
      <c r="H29">
        <v>0</v>
      </c>
      <c r="I29">
        <v>15575</v>
      </c>
      <c r="J29">
        <v>125000</v>
      </c>
      <c r="K29">
        <v>0</v>
      </c>
      <c r="L29">
        <v>497175</v>
      </c>
    </row>
    <row r="30" spans="1:12" x14ac:dyDescent="0.35">
      <c r="A30" t="str">
        <v>ERNESTO ALIRO ZEPEDA SOTO</v>
      </c>
      <c r="B30" t="str">
        <v>17.293.877-9</v>
      </c>
      <c r="C30" t="str">
        <v>Ayudante Perforista</v>
      </c>
      <c r="D30">
        <v>10</v>
      </c>
      <c r="E30">
        <v>141.05000000000001</v>
      </c>
      <c r="F30">
        <v>120</v>
      </c>
      <c r="G30">
        <v>149100</v>
      </c>
      <c r="H30">
        <v>0</v>
      </c>
      <c r="I30">
        <v>4060</v>
      </c>
      <c r="J30">
        <v>125000</v>
      </c>
      <c r="K30">
        <v>0</v>
      </c>
      <c r="L30">
        <v>278160</v>
      </c>
    </row>
    <row r="31" spans="1:12" x14ac:dyDescent="0.35">
      <c r="A31" t="str">
        <v>DAVID JESUS CASSRA ORELLANA</v>
      </c>
      <c r="B31" t="str">
        <v>17.939.732-3</v>
      </c>
      <c r="C31" t="str">
        <v>Ayudante Perforista</v>
      </c>
      <c r="D31">
        <v>20</v>
      </c>
      <c r="E31">
        <v>452</v>
      </c>
      <c r="F31">
        <v>228</v>
      </c>
      <c r="G31">
        <v>182400</v>
      </c>
      <c r="H31">
        <v>0</v>
      </c>
      <c r="I31">
        <v>7600</v>
      </c>
      <c r="J31">
        <v>0</v>
      </c>
      <c r="K31">
        <v>0</v>
      </c>
      <c r="L31">
        <v>190000</v>
      </c>
    </row>
    <row r="32" spans="1:12" x14ac:dyDescent="0.35">
      <c r="A32" t="str">
        <v>ESTEBAN DAGOBERTO LOPEZ BARRIOS</v>
      </c>
      <c r="B32" t="str">
        <v>13.223.287-3</v>
      </c>
      <c r="C32" t="str">
        <v>Chofer</v>
      </c>
      <c r="D32">
        <v>10</v>
      </c>
      <c r="E32">
        <v>0</v>
      </c>
      <c r="F32">
        <v>0</v>
      </c>
      <c r="G32">
        <v>0</v>
      </c>
      <c r="H32">
        <v>200783.33</v>
      </c>
      <c r="I32">
        <v>0</v>
      </c>
      <c r="J32">
        <v>0</v>
      </c>
      <c r="K32">
        <v>0</v>
      </c>
      <c r="L32">
        <v>200783.33</v>
      </c>
    </row>
    <row r="33" spans="1:12" x14ac:dyDescent="0.35">
      <c r="A33" t="str">
        <v>GERSON ANDRES SANDOVAL SEPULVEDA</v>
      </c>
      <c r="B33" t="str">
        <v>13.804.452-1</v>
      </c>
      <c r="C33" t="str">
        <v>Chofer</v>
      </c>
      <c r="D33">
        <v>20</v>
      </c>
      <c r="E33">
        <v>0</v>
      </c>
      <c r="F33">
        <v>0</v>
      </c>
      <c r="G33">
        <v>0</v>
      </c>
      <c r="H33">
        <v>401566.67</v>
      </c>
      <c r="I33">
        <v>0</v>
      </c>
      <c r="J33">
        <v>0</v>
      </c>
      <c r="K33">
        <v>0</v>
      </c>
      <c r="L33">
        <v>401566.67</v>
      </c>
    </row>
    <row r="34" spans="1:12" x14ac:dyDescent="0.35">
      <c r="A34" t="str">
        <v>JORGE ALEXIS CORTES PAZ</v>
      </c>
      <c r="B34" t="str">
        <v>13.541.133-7</v>
      </c>
      <c r="C34" t="str">
        <v>Soldador</v>
      </c>
      <c r="D34">
        <v>10</v>
      </c>
      <c r="E34">
        <v>0</v>
      </c>
      <c r="F34">
        <v>0</v>
      </c>
      <c r="G34">
        <v>0</v>
      </c>
      <c r="H34">
        <v>200783.33</v>
      </c>
      <c r="I34">
        <v>0</v>
      </c>
      <c r="J34">
        <v>0</v>
      </c>
      <c r="K34">
        <v>0</v>
      </c>
      <c r="L34">
        <v>200783.33</v>
      </c>
    </row>
    <row r="35" spans="1:12" x14ac:dyDescent="0.35">
      <c r="A35" t="str">
        <v>JAVIER AURELIO QUIROZ APABLAZA</v>
      </c>
      <c r="B35" t="str">
        <v>11.730.786-7</v>
      </c>
      <c r="C35" t="str">
        <v>Chofer</v>
      </c>
      <c r="D35">
        <v>10</v>
      </c>
      <c r="E35">
        <v>0</v>
      </c>
      <c r="F35">
        <v>0</v>
      </c>
      <c r="G35">
        <v>0</v>
      </c>
      <c r="H35">
        <v>200783.33</v>
      </c>
      <c r="I35">
        <v>0</v>
      </c>
      <c r="J35">
        <v>0</v>
      </c>
      <c r="K35">
        <v>0</v>
      </c>
      <c r="L35">
        <v>200783.33</v>
      </c>
    </row>
    <row r="36" spans="1:12" x14ac:dyDescent="0.35">
      <c r="A36" t="str">
        <v>FRANCISCO JAVIER LEIVA LEIVA</v>
      </c>
      <c r="B36" t="str">
        <v>12.115.176-6</v>
      </c>
      <c r="C36" t="str">
        <v>Perforista</v>
      </c>
      <c r="D36">
        <v>20</v>
      </c>
      <c r="E36">
        <v>355.4</v>
      </c>
      <c r="F36">
        <v>240</v>
      </c>
      <c r="G36">
        <v>534900</v>
      </c>
      <c r="H36">
        <v>0</v>
      </c>
      <c r="I36">
        <v>23362.5</v>
      </c>
      <c r="J36">
        <v>250000</v>
      </c>
      <c r="K36">
        <v>0</v>
      </c>
      <c r="L36">
        <v>808262.5</v>
      </c>
    </row>
    <row r="37" spans="1:12" x14ac:dyDescent="0.35">
      <c r="A37" t="str">
        <v>JONATHAN ANDRES ARDILES NUÑEZ</v>
      </c>
      <c r="B37" t="str">
        <v>15.056.140-K</v>
      </c>
      <c r="C37" t="str">
        <v>Chofer</v>
      </c>
      <c r="D37">
        <v>20</v>
      </c>
      <c r="E37">
        <v>0</v>
      </c>
      <c r="F37">
        <v>0</v>
      </c>
      <c r="G37">
        <v>0</v>
      </c>
      <c r="H37">
        <v>401566.67</v>
      </c>
      <c r="I37">
        <v>0</v>
      </c>
      <c r="J37">
        <v>0</v>
      </c>
      <c r="K37">
        <v>0</v>
      </c>
      <c r="L37">
        <v>401566.67</v>
      </c>
    </row>
    <row r="38" spans="1:12" x14ac:dyDescent="0.35">
      <c r="A38" t="str">
        <v>JUAN ANTONIO VEGA ESPINOZA</v>
      </c>
      <c r="B38" t="str">
        <v>16.581.290-5</v>
      </c>
      <c r="C38" t="str">
        <v>Ayudante Perforista</v>
      </c>
      <c r="D38">
        <v>10</v>
      </c>
      <c r="E38">
        <v>160.75</v>
      </c>
      <c r="F38">
        <v>120</v>
      </c>
      <c r="G38">
        <v>260500</v>
      </c>
      <c r="H38">
        <v>0</v>
      </c>
      <c r="I38">
        <v>9750</v>
      </c>
      <c r="J38">
        <v>125000</v>
      </c>
      <c r="K38">
        <v>0</v>
      </c>
      <c r="L38">
        <v>395250</v>
      </c>
    </row>
    <row r="39" spans="1:12" x14ac:dyDescent="0.35">
      <c r="A39" t="str">
        <v>CARLOS ANDRES ZAPATA SEGUEL</v>
      </c>
      <c r="B39" t="str">
        <v>17.775.054-9</v>
      </c>
      <c r="C39" t="str">
        <v>Ayudante Perforista</v>
      </c>
      <c r="D39">
        <v>20</v>
      </c>
      <c r="E39">
        <v>364.6</v>
      </c>
      <c r="F39">
        <v>180</v>
      </c>
      <c r="G39">
        <v>272700</v>
      </c>
      <c r="H39">
        <v>0</v>
      </c>
      <c r="I39">
        <v>26225</v>
      </c>
      <c r="J39">
        <v>125000</v>
      </c>
      <c r="K39">
        <v>0</v>
      </c>
      <c r="L39">
        <v>423925</v>
      </c>
    </row>
    <row r="40" spans="1:12" x14ac:dyDescent="0.35">
      <c r="A40" t="str">
        <v>GUMERCINDO DEL ROSARIO PASTEN GUERRERO</v>
      </c>
      <c r="B40" t="str">
        <v>10.792.747-6</v>
      </c>
      <c r="C40" t="str">
        <v>Supervisor de Operaciones</v>
      </c>
      <c r="D40">
        <v>20</v>
      </c>
      <c r="E40">
        <v>0</v>
      </c>
      <c r="F40">
        <v>0</v>
      </c>
      <c r="G40">
        <v>0</v>
      </c>
      <c r="H40">
        <v>602350</v>
      </c>
      <c r="I40">
        <v>0</v>
      </c>
      <c r="J40">
        <v>0</v>
      </c>
      <c r="K40">
        <v>0</v>
      </c>
      <c r="L40">
        <v>602350</v>
      </c>
    </row>
    <row r="41" spans="1:12" x14ac:dyDescent="0.35">
      <c r="A41" t="str">
        <v>JAIME NICOLAS CARVAJAL ALVARADO</v>
      </c>
      <c r="B41" t="str">
        <v>19.911.323-2</v>
      </c>
      <c r="C41" t="str">
        <v>Ayudante Perforista</v>
      </c>
      <c r="D41">
        <v>10</v>
      </c>
      <c r="E41">
        <v>378.35</v>
      </c>
      <c r="F41">
        <v>120</v>
      </c>
      <c r="G41">
        <v>238500</v>
      </c>
      <c r="H41">
        <v>0</v>
      </c>
      <c r="I41">
        <v>37887.5</v>
      </c>
      <c r="J41">
        <v>125000</v>
      </c>
      <c r="K41">
        <v>0</v>
      </c>
      <c r="L41">
        <v>401387.5</v>
      </c>
    </row>
    <row r="42" spans="1:12" x14ac:dyDescent="0.35">
      <c r="A42" t="str">
        <v>RODRIGO ANDRES ARAYA ROJAS</v>
      </c>
      <c r="B42" t="str">
        <v>13.423.391-5</v>
      </c>
      <c r="C42" t="str">
        <v>Supervisor de Operaciones</v>
      </c>
      <c r="D42">
        <v>10</v>
      </c>
      <c r="E42">
        <v>0</v>
      </c>
      <c r="F42">
        <v>0</v>
      </c>
      <c r="G42">
        <v>0</v>
      </c>
      <c r="H42">
        <v>301175</v>
      </c>
      <c r="I42">
        <v>0</v>
      </c>
      <c r="J42">
        <v>0</v>
      </c>
      <c r="K42">
        <v>0</v>
      </c>
      <c r="L42">
        <v>301175</v>
      </c>
    </row>
    <row r="43" spans="1:12" x14ac:dyDescent="0.35">
      <c r="A43" t="str">
        <v>MARIO ALBERTO AQUEA GONZALEZ</v>
      </c>
      <c r="B43" t="str">
        <v>21.637.836-9</v>
      </c>
      <c r="C43" t="str">
        <v>Ayudante Perforista</v>
      </c>
      <c r="D43">
        <v>8</v>
      </c>
      <c r="E43">
        <v>20.7</v>
      </c>
      <c r="F43">
        <v>24</v>
      </c>
      <c r="G43">
        <v>10350</v>
      </c>
      <c r="H43">
        <v>0</v>
      </c>
      <c r="I43">
        <v>0</v>
      </c>
      <c r="J43">
        <v>125000</v>
      </c>
      <c r="K43">
        <v>0</v>
      </c>
      <c r="L43">
        <v>135350</v>
      </c>
    </row>
    <row r="44" spans="1:12" x14ac:dyDescent="0.35">
      <c r="A44" t="str">
        <v>RODRIGO ALEJANDRO GONZALEZ RODRIGUEZ</v>
      </c>
      <c r="B44" t="str">
        <v>17.015.679-K</v>
      </c>
      <c r="C44" t="str">
        <v>Ayudante Perforista</v>
      </c>
      <c r="D44">
        <v>10</v>
      </c>
      <c r="E44">
        <v>360.25</v>
      </c>
      <c r="F44">
        <v>120</v>
      </c>
      <c r="G44">
        <v>260500</v>
      </c>
      <c r="H44">
        <v>0</v>
      </c>
      <c r="I44">
        <v>42875</v>
      </c>
      <c r="J44">
        <v>125000</v>
      </c>
      <c r="K44">
        <v>0</v>
      </c>
      <c r="L44">
        <v>428375</v>
      </c>
    </row>
    <row r="45" spans="1:12" x14ac:dyDescent="0.35">
      <c r="A45" t="str">
        <v>JUAN MAURICIO TABILO ARAYA</v>
      </c>
      <c r="B45" t="str">
        <v>14.117.235-2</v>
      </c>
      <c r="C45" t="str">
        <v>Perforista</v>
      </c>
      <c r="D45">
        <v>10</v>
      </c>
      <c r="E45">
        <v>141.05000000000001</v>
      </c>
      <c r="F45">
        <v>120</v>
      </c>
      <c r="G45">
        <v>210487.5</v>
      </c>
      <c r="H45">
        <v>0</v>
      </c>
      <c r="I45">
        <v>5220</v>
      </c>
      <c r="J45">
        <v>0</v>
      </c>
      <c r="K45">
        <v>0</v>
      </c>
      <c r="L45">
        <v>215707.5</v>
      </c>
    </row>
    <row r="46" spans="1:12" x14ac:dyDescent="0.35">
      <c r="A46" t="str">
        <v>FABIAN SEGUNDO ALVARADO MUÑOZ</v>
      </c>
      <c r="B46" t="str">
        <v>11.210.318-K</v>
      </c>
      <c r="C46" t="str">
        <v>Bodeguero</v>
      </c>
      <c r="D46">
        <v>10</v>
      </c>
      <c r="E46">
        <v>0</v>
      </c>
      <c r="F46">
        <v>0</v>
      </c>
      <c r="G46">
        <v>0</v>
      </c>
      <c r="H46">
        <v>200783.33</v>
      </c>
      <c r="I46">
        <v>0</v>
      </c>
      <c r="J46">
        <v>0</v>
      </c>
      <c r="K46">
        <v>0</v>
      </c>
      <c r="L46">
        <v>200783.33</v>
      </c>
    </row>
    <row r="47" spans="1:12" x14ac:dyDescent="0.35">
      <c r="A47" t="str">
        <v>JILBERTO FRANCISCO ROJAS FERNANDEZ</v>
      </c>
      <c r="B47" t="str">
        <v>15.521.744-8</v>
      </c>
      <c r="C47" t="str">
        <v>Ayudante Perforista</v>
      </c>
      <c r="D47">
        <v>10</v>
      </c>
      <c r="E47">
        <v>185.05</v>
      </c>
      <c r="F47">
        <v>120</v>
      </c>
      <c r="G47">
        <v>184850</v>
      </c>
      <c r="H47">
        <v>0</v>
      </c>
      <c r="I47">
        <v>11250</v>
      </c>
      <c r="J47">
        <v>0</v>
      </c>
      <c r="K47">
        <v>0</v>
      </c>
      <c r="L47">
        <v>196100</v>
      </c>
    </row>
    <row r="48" spans="1:12" x14ac:dyDescent="0.35">
      <c r="A48" t="str">
        <v>JOSE LUIS FLORES FLORES</v>
      </c>
      <c r="B48" t="str">
        <v>15.494.173-8</v>
      </c>
      <c r="C48" t="str">
        <v>Ayudante Perforista</v>
      </c>
      <c r="D48">
        <v>10</v>
      </c>
      <c r="E48">
        <v>378.35</v>
      </c>
      <c r="F48">
        <v>120</v>
      </c>
      <c r="G48">
        <v>238500</v>
      </c>
      <c r="H48">
        <v>0</v>
      </c>
      <c r="I48">
        <v>37887.5</v>
      </c>
      <c r="J48">
        <v>125000</v>
      </c>
      <c r="K48">
        <v>0</v>
      </c>
      <c r="L48">
        <v>401387.5</v>
      </c>
    </row>
    <row r="49" spans="1:12" x14ac:dyDescent="0.35">
      <c r="A49" t="str">
        <v>IVAN ALEJANDRO SAN FRANCISCO ARDILES</v>
      </c>
      <c r="B49" t="str">
        <v>17.295.192-9</v>
      </c>
      <c r="C49" t="str">
        <v>Ayudante Perforista</v>
      </c>
      <c r="D49">
        <v>20</v>
      </c>
      <c r="E49">
        <v>253.5</v>
      </c>
      <c r="F49">
        <v>180</v>
      </c>
      <c r="G49">
        <v>277350</v>
      </c>
      <c r="H49">
        <v>0</v>
      </c>
      <c r="I49">
        <v>19350</v>
      </c>
      <c r="J49">
        <v>125000</v>
      </c>
      <c r="K49">
        <v>0</v>
      </c>
      <c r="L49">
        <v>421700</v>
      </c>
    </row>
    <row r="50" spans="1:12" x14ac:dyDescent="0.35">
      <c r="A50" t="str">
        <v>JUAN EDUARDO GONZALEZ ROMERO</v>
      </c>
      <c r="B50" t="str">
        <v>17.827.549-6</v>
      </c>
      <c r="C50" t="str">
        <v>Ayudante Perforista</v>
      </c>
      <c r="D50">
        <v>20</v>
      </c>
      <c r="E50">
        <v>376.5</v>
      </c>
      <c r="F50">
        <v>228</v>
      </c>
      <c r="G50">
        <v>295800</v>
      </c>
      <c r="H50">
        <v>0</v>
      </c>
      <c r="I50">
        <v>29487.5</v>
      </c>
      <c r="J50">
        <v>125000</v>
      </c>
      <c r="K50">
        <v>0</v>
      </c>
      <c r="L50">
        <v>450287.5</v>
      </c>
    </row>
    <row r="51" spans="1:12" x14ac:dyDescent="0.35">
      <c r="A51" t="str">
        <v>LEONARDO PATRICIO GATICA CASTRO</v>
      </c>
      <c r="B51" t="str">
        <v>18.520.647-5</v>
      </c>
      <c r="C51" t="str">
        <v>Soldador</v>
      </c>
      <c r="D51">
        <v>10</v>
      </c>
      <c r="E51">
        <v>0</v>
      </c>
      <c r="F51">
        <v>0</v>
      </c>
      <c r="G51">
        <v>0</v>
      </c>
      <c r="H51">
        <v>200783.33</v>
      </c>
      <c r="I51">
        <v>0</v>
      </c>
      <c r="J51">
        <v>0</v>
      </c>
      <c r="K51">
        <v>0</v>
      </c>
      <c r="L51">
        <v>200783.33</v>
      </c>
    </row>
    <row r="52" spans="1:12" x14ac:dyDescent="0.35">
      <c r="A52" t="str">
        <v>PAUL GIOVANNI BRIONES BRIONES</v>
      </c>
      <c r="B52" t="str">
        <v>17.626.566-3</v>
      </c>
      <c r="C52" t="str">
        <v>Perforista</v>
      </c>
      <c r="D52">
        <v>10</v>
      </c>
      <c r="E52">
        <v>160.75</v>
      </c>
      <c r="F52">
        <v>120</v>
      </c>
      <c r="G52">
        <v>390750</v>
      </c>
      <c r="H52">
        <v>0</v>
      </c>
      <c r="I52">
        <v>14625</v>
      </c>
      <c r="J52">
        <v>250000</v>
      </c>
      <c r="K52">
        <v>0</v>
      </c>
      <c r="L52">
        <v>655375</v>
      </c>
    </row>
    <row r="53" spans="1:12" x14ac:dyDescent="0.35">
      <c r="A53" t="str">
        <v>JUAN CARLOS MAURICIO ARAYA CAMPAÑA</v>
      </c>
      <c r="B53" t="str">
        <v>20.406.500-4</v>
      </c>
      <c r="C53" t="str">
        <v>Soldador</v>
      </c>
      <c r="D53">
        <v>20</v>
      </c>
      <c r="E53">
        <v>0</v>
      </c>
      <c r="F53">
        <v>0</v>
      </c>
      <c r="G53">
        <v>0</v>
      </c>
      <c r="H53">
        <v>401566.67</v>
      </c>
      <c r="I53">
        <v>0</v>
      </c>
      <c r="J53">
        <v>0</v>
      </c>
      <c r="K53">
        <v>0</v>
      </c>
      <c r="L53">
        <v>401566.67</v>
      </c>
    </row>
    <row r="54" spans="1:12" x14ac:dyDescent="0.35">
      <c r="A54" t="str">
        <v>LUIS RENATO DE JESUS JIMENEZ VEGA</v>
      </c>
      <c r="B54" t="str">
        <v>17.294.428-0</v>
      </c>
      <c r="C54" t="str">
        <v>Chofer</v>
      </c>
      <c r="D54">
        <v>20</v>
      </c>
      <c r="E54">
        <v>0</v>
      </c>
      <c r="F54">
        <v>0</v>
      </c>
      <c r="G54">
        <v>0</v>
      </c>
      <c r="H54">
        <v>401566.67</v>
      </c>
      <c r="I54">
        <v>0</v>
      </c>
      <c r="J54">
        <v>0</v>
      </c>
      <c r="K54">
        <v>0</v>
      </c>
      <c r="L54">
        <v>401566.67</v>
      </c>
    </row>
    <row r="55" spans="1:12" x14ac:dyDescent="0.35">
      <c r="A55" t="str">
        <v>RODRIGO ALEJANDRO SANCHEZ ACUÑA</v>
      </c>
      <c r="B55" t="str">
        <v>16.603.465-5</v>
      </c>
      <c r="C55" t="str">
        <v>Perforista</v>
      </c>
      <c r="D55">
        <v>18</v>
      </c>
      <c r="E55">
        <v>356</v>
      </c>
      <c r="F55">
        <v>199.25</v>
      </c>
      <c r="G55">
        <v>236400</v>
      </c>
      <c r="H55">
        <v>0</v>
      </c>
      <c r="I55">
        <v>3600</v>
      </c>
      <c r="J55">
        <v>0</v>
      </c>
      <c r="K55">
        <v>0</v>
      </c>
      <c r="L55">
        <v>240000</v>
      </c>
    </row>
    <row r="56" spans="1:12" x14ac:dyDescent="0.35">
      <c r="A56" t="str">
        <v>LEONARDO IVAN MUNDACA PEREZ</v>
      </c>
      <c r="B56" t="str">
        <v>12.441.529-2</v>
      </c>
      <c r="C56" t="str">
        <v>Electromecánico</v>
      </c>
      <c r="D56">
        <v>20</v>
      </c>
      <c r="E56">
        <v>0</v>
      </c>
      <c r="F56">
        <v>0</v>
      </c>
      <c r="G56">
        <v>0</v>
      </c>
      <c r="H56">
        <v>401566.67</v>
      </c>
      <c r="I56">
        <v>0</v>
      </c>
      <c r="J56">
        <v>0</v>
      </c>
      <c r="K56">
        <v>0</v>
      </c>
      <c r="L56">
        <v>401566.67</v>
      </c>
    </row>
    <row r="57" spans="1:12" x14ac:dyDescent="0.35">
      <c r="A57" t="str">
        <v>ROBERTO CARLOS NUÑEZ GONZALEZ</v>
      </c>
      <c r="B57" t="str">
        <v>12.419.789-9</v>
      </c>
      <c r="C57" t="str">
        <v>Administrador de Contrato</v>
      </c>
      <c r="D57">
        <v>18</v>
      </c>
      <c r="E57">
        <v>0</v>
      </c>
      <c r="F57">
        <v>0</v>
      </c>
      <c r="G57">
        <v>0</v>
      </c>
      <c r="H57">
        <v>542115</v>
      </c>
      <c r="I57">
        <v>0</v>
      </c>
      <c r="J57">
        <v>0</v>
      </c>
      <c r="K57">
        <v>0</v>
      </c>
      <c r="L57">
        <v>542115</v>
      </c>
    </row>
    <row r="58" spans="1:12" x14ac:dyDescent="0.35">
      <c r="A58" t="str">
        <v>NESTOR RENE SUAREZ MORALES</v>
      </c>
      <c r="B58" t="str">
        <v>15.061.835-5</v>
      </c>
      <c r="C58" t="str">
        <v>Perforista</v>
      </c>
      <c r="D58">
        <v>20</v>
      </c>
      <c r="E58">
        <v>466</v>
      </c>
      <c r="F58">
        <v>211.25</v>
      </c>
      <c r="G58">
        <v>273600</v>
      </c>
      <c r="H58">
        <v>0</v>
      </c>
      <c r="I58">
        <v>10200</v>
      </c>
      <c r="J58">
        <v>0</v>
      </c>
      <c r="K58">
        <v>0</v>
      </c>
      <c r="L58">
        <v>283800</v>
      </c>
    </row>
    <row r="59" spans="1:12" x14ac:dyDescent="0.35">
      <c r="A59" t="str">
        <v>PEDRO BALDOMERO LOPEZ ARAYA</v>
      </c>
      <c r="B59" t="str">
        <v>20.600.531-9</v>
      </c>
      <c r="C59" t="str">
        <v>Mecánico</v>
      </c>
      <c r="D59">
        <v>10</v>
      </c>
      <c r="E59">
        <v>0</v>
      </c>
      <c r="F59">
        <v>0</v>
      </c>
      <c r="G59">
        <v>0</v>
      </c>
      <c r="H59">
        <v>200783.33</v>
      </c>
      <c r="I59">
        <v>0</v>
      </c>
      <c r="J59">
        <v>0</v>
      </c>
      <c r="K59">
        <v>0</v>
      </c>
      <c r="L59">
        <v>200783.33</v>
      </c>
    </row>
    <row r="60" spans="1:12" x14ac:dyDescent="0.35">
      <c r="A60" t="str">
        <v>MARCO ANDRES ROJAS ROJAS</v>
      </c>
      <c r="B60" t="str">
        <v>16.442.547-9</v>
      </c>
      <c r="C60" t="str">
        <v>Perforista</v>
      </c>
      <c r="D60">
        <v>10</v>
      </c>
      <c r="E60">
        <v>360.25</v>
      </c>
      <c r="F60">
        <v>120</v>
      </c>
      <c r="G60">
        <v>390750</v>
      </c>
      <c r="H60">
        <v>0</v>
      </c>
      <c r="I60">
        <v>64312.5</v>
      </c>
      <c r="J60">
        <v>250000</v>
      </c>
      <c r="K60">
        <v>0</v>
      </c>
      <c r="L60">
        <v>705062.5</v>
      </c>
    </row>
    <row r="61" spans="1:12" x14ac:dyDescent="0.35">
      <c r="A61" t="str">
        <v>MILENCO ALEXIS MOYANO GUERRERO</v>
      </c>
      <c r="B61" t="str">
        <v>16.550.436-4</v>
      </c>
      <c r="C61" t="str">
        <v>Perforista</v>
      </c>
      <c r="D61">
        <v>10</v>
      </c>
      <c r="E61">
        <v>360.25</v>
      </c>
      <c r="F61">
        <v>120</v>
      </c>
      <c r="G61">
        <v>390750</v>
      </c>
      <c r="H61">
        <v>0</v>
      </c>
      <c r="I61">
        <v>64312.5</v>
      </c>
      <c r="J61">
        <v>250000</v>
      </c>
      <c r="K61">
        <v>0</v>
      </c>
      <c r="L61">
        <v>705062.5</v>
      </c>
    </row>
    <row r="62" spans="1:12" x14ac:dyDescent="0.35">
      <c r="A62" t="str">
        <v>MANUEL ANDRES LISAMBARTH CARABANTES</v>
      </c>
      <c r="B62" t="str">
        <v>16.892.086-5</v>
      </c>
      <c r="C62" t="str">
        <v>Administrativo Avanzado</v>
      </c>
      <c r="D62">
        <v>10</v>
      </c>
      <c r="E62">
        <v>0</v>
      </c>
      <c r="F62">
        <v>0</v>
      </c>
      <c r="G62">
        <v>0</v>
      </c>
      <c r="H62">
        <v>200783.33</v>
      </c>
      <c r="I62">
        <v>0</v>
      </c>
      <c r="J62">
        <v>0</v>
      </c>
      <c r="K62">
        <v>0</v>
      </c>
      <c r="L62">
        <v>200783.33</v>
      </c>
    </row>
    <row r="63" spans="1:12" x14ac:dyDescent="0.35">
      <c r="A63" t="str">
        <v>PEDRO GABRIEL NARANJO ACUÑA</v>
      </c>
      <c r="B63" t="str">
        <v>14.310.737-K</v>
      </c>
      <c r="C63" t="str">
        <v>Mecánico</v>
      </c>
      <c r="D63">
        <v>10</v>
      </c>
      <c r="E63">
        <v>0</v>
      </c>
      <c r="F63">
        <v>0</v>
      </c>
      <c r="G63">
        <v>0</v>
      </c>
      <c r="H63">
        <v>200783.33</v>
      </c>
      <c r="I63">
        <v>0</v>
      </c>
      <c r="J63">
        <v>0</v>
      </c>
      <c r="K63">
        <v>0</v>
      </c>
      <c r="L63">
        <v>200783.33</v>
      </c>
    </row>
    <row r="64" spans="1:12" x14ac:dyDescent="0.35">
      <c r="A64" t="str">
        <v>HUGO ITALO NUÑEZ PENDOLA</v>
      </c>
      <c r="B64" t="str">
        <v>13.904.830-K</v>
      </c>
      <c r="C64" t="str">
        <v>Chofer</v>
      </c>
      <c r="D64">
        <v>10</v>
      </c>
      <c r="E64">
        <v>0</v>
      </c>
      <c r="F64">
        <v>0</v>
      </c>
      <c r="G64">
        <v>0</v>
      </c>
      <c r="H64">
        <v>200783.33</v>
      </c>
      <c r="I64">
        <v>0</v>
      </c>
      <c r="J64">
        <v>0</v>
      </c>
      <c r="K64">
        <v>0</v>
      </c>
      <c r="L64">
        <v>200783.33</v>
      </c>
    </row>
    <row r="65" spans="1:12" x14ac:dyDescent="0.35">
      <c r="A65" t="str">
        <v>LUIS ALBERT CHAMBLAS CARTE</v>
      </c>
      <c r="B65" t="str">
        <v>13.411.442-8</v>
      </c>
      <c r="C65" t="str">
        <v>Ayudante Perforista</v>
      </c>
      <c r="D65">
        <v>10</v>
      </c>
      <c r="E65">
        <v>324</v>
      </c>
      <c r="F65">
        <v>120</v>
      </c>
      <c r="G65">
        <v>90400</v>
      </c>
      <c r="H65">
        <v>0</v>
      </c>
      <c r="I65">
        <v>5600</v>
      </c>
      <c r="J65">
        <v>0</v>
      </c>
      <c r="K65">
        <v>0</v>
      </c>
      <c r="L65">
        <v>96000</v>
      </c>
    </row>
    <row r="66" spans="1:12" x14ac:dyDescent="0.35">
      <c r="A66" t="str">
        <v>JONATHAN FERNANDO BARRIOS GODOY</v>
      </c>
      <c r="B66" t="str">
        <v>15.031.055-5</v>
      </c>
      <c r="C66" t="str">
        <v>Mecánico</v>
      </c>
      <c r="D66">
        <v>10</v>
      </c>
      <c r="E66">
        <v>0</v>
      </c>
      <c r="F66">
        <v>0</v>
      </c>
      <c r="G66">
        <v>0</v>
      </c>
      <c r="H66">
        <v>200783.33</v>
      </c>
      <c r="I66">
        <v>0</v>
      </c>
      <c r="J66">
        <v>0</v>
      </c>
      <c r="K66">
        <v>0</v>
      </c>
      <c r="L66">
        <v>200783.33</v>
      </c>
    </row>
    <row r="67" spans="1:12" x14ac:dyDescent="0.35">
      <c r="A67" t="str">
        <v>JENNIFER ALEJANDRA SOTO FLORES</v>
      </c>
      <c r="B67" t="str">
        <v>19.825.638-2</v>
      </c>
      <c r="C67" t="str">
        <v>Bodeguero</v>
      </c>
      <c r="D67">
        <v>10</v>
      </c>
      <c r="E67">
        <v>0</v>
      </c>
      <c r="F67">
        <v>0</v>
      </c>
      <c r="G67">
        <v>0</v>
      </c>
      <c r="H67">
        <v>200783.33</v>
      </c>
      <c r="I67">
        <v>0</v>
      </c>
      <c r="J67">
        <v>0</v>
      </c>
      <c r="K67">
        <v>0</v>
      </c>
      <c r="L67">
        <v>200783.33</v>
      </c>
    </row>
    <row r="68" spans="1:12" x14ac:dyDescent="0.35">
      <c r="A68" t="str">
        <v>KAZUKI CASTRO HOHMANN</v>
      </c>
      <c r="B68" t="str">
        <v>19.454.353-0</v>
      </c>
      <c r="C68" t="str">
        <v>Ayudante Perforista</v>
      </c>
      <c r="D68">
        <v>20</v>
      </c>
      <c r="E68">
        <v>292.60000000000002</v>
      </c>
      <c r="F68">
        <v>144</v>
      </c>
      <c r="G68">
        <v>140250</v>
      </c>
      <c r="H68">
        <v>0</v>
      </c>
      <c r="I68">
        <v>6462.5</v>
      </c>
      <c r="J68">
        <v>125000</v>
      </c>
      <c r="K68">
        <v>0</v>
      </c>
      <c r="L68">
        <v>271712.5</v>
      </c>
    </row>
    <row r="69" spans="1:12" x14ac:dyDescent="0.35">
      <c r="A69" t="str">
        <v>SEBASTIAN ENRIQUE SASSO ARAYA</v>
      </c>
      <c r="B69" t="str">
        <v>16.133.155-4</v>
      </c>
      <c r="C69" t="str">
        <v>Perforista</v>
      </c>
      <c r="D69">
        <v>4</v>
      </c>
      <c r="E69">
        <v>128</v>
      </c>
      <c r="F69">
        <v>48</v>
      </c>
      <c r="G69">
        <v>78000</v>
      </c>
      <c r="H69">
        <v>0</v>
      </c>
      <c r="I69">
        <v>4200</v>
      </c>
      <c r="J69">
        <v>0</v>
      </c>
      <c r="K69">
        <v>0</v>
      </c>
      <c r="L69">
        <v>82200</v>
      </c>
    </row>
    <row r="70" spans="1:12" x14ac:dyDescent="0.35">
      <c r="A70" t="str">
        <v>PATRICIO COLLO VEGA GONZALEZ</v>
      </c>
      <c r="B70" t="str">
        <v>13.743.972-7</v>
      </c>
      <c r="C70" t="str">
        <v>Ayudante Perforista</v>
      </c>
      <c r="D70">
        <v>20</v>
      </c>
      <c r="E70">
        <v>111</v>
      </c>
      <c r="F70">
        <v>60</v>
      </c>
      <c r="G70">
        <v>103350</v>
      </c>
      <c r="H70">
        <v>0</v>
      </c>
      <c r="I70">
        <v>11250</v>
      </c>
      <c r="J70">
        <v>125000</v>
      </c>
      <c r="K70">
        <v>0</v>
      </c>
      <c r="L70">
        <v>239600</v>
      </c>
    </row>
    <row r="71" spans="1:12" x14ac:dyDescent="0.35">
      <c r="A71" t="str">
        <v>NELSON ANDRES CASTRO AVALOS</v>
      </c>
      <c r="B71" t="str">
        <v>17.624.527-1</v>
      </c>
      <c r="C71" t="str">
        <v>Perforista</v>
      </c>
      <c r="D71">
        <v>20</v>
      </c>
      <c r="E71">
        <v>306.05</v>
      </c>
      <c r="F71">
        <v>192</v>
      </c>
      <c r="G71">
        <v>428550</v>
      </c>
      <c r="H71">
        <v>0</v>
      </c>
      <c r="I71">
        <v>38025</v>
      </c>
      <c r="J71">
        <v>250000</v>
      </c>
      <c r="K71">
        <v>0</v>
      </c>
      <c r="L71">
        <v>716575</v>
      </c>
    </row>
    <row r="72" spans="1:12" x14ac:dyDescent="0.35">
      <c r="A72" t="str">
        <v>RODRIGO ALEJANDRO AVILES VERGARA</v>
      </c>
      <c r="B72" t="str">
        <v>15.232.639-4</v>
      </c>
      <c r="C72" t="str">
        <v>Perforista</v>
      </c>
      <c r="D72">
        <v>10</v>
      </c>
      <c r="E72">
        <v>309</v>
      </c>
      <c r="F72">
        <v>120</v>
      </c>
      <c r="G72">
        <v>144600</v>
      </c>
      <c r="H72">
        <v>0</v>
      </c>
      <c r="I72">
        <v>8400</v>
      </c>
      <c r="J72">
        <v>0</v>
      </c>
      <c r="K72">
        <v>0</v>
      </c>
      <c r="L72">
        <v>153000</v>
      </c>
    </row>
    <row r="73" spans="1:12" x14ac:dyDescent="0.35">
      <c r="A73" t="str">
        <v>RAMON ALEJANDRO RIVERA GONZALEZ</v>
      </c>
      <c r="B73" t="str">
        <v>18.219.407-7</v>
      </c>
      <c r="C73" t="str">
        <v>Ayudante Perforista</v>
      </c>
      <c r="D73">
        <v>20</v>
      </c>
      <c r="E73">
        <v>466</v>
      </c>
      <c r="F73">
        <v>211.25</v>
      </c>
      <c r="G73">
        <v>182400</v>
      </c>
      <c r="H73">
        <v>0</v>
      </c>
      <c r="I73">
        <v>6800</v>
      </c>
      <c r="J73">
        <v>0</v>
      </c>
      <c r="K73">
        <v>0</v>
      </c>
      <c r="L73">
        <v>189200</v>
      </c>
    </row>
    <row r="74" spans="1:12" x14ac:dyDescent="0.35">
      <c r="A74" t="str">
        <v>ANDRES ALEJANDRO VALENCIA CAMPOS</v>
      </c>
      <c r="B74" t="str">
        <v>14.903.561-3</v>
      </c>
      <c r="C74" t="str">
        <v>Supervisor de Operaciones</v>
      </c>
      <c r="D74">
        <v>20</v>
      </c>
      <c r="E74">
        <v>0</v>
      </c>
      <c r="F74">
        <v>0</v>
      </c>
      <c r="G74">
        <v>0</v>
      </c>
      <c r="H74">
        <v>602350</v>
      </c>
      <c r="I74">
        <v>0</v>
      </c>
      <c r="J74">
        <v>0</v>
      </c>
      <c r="K74">
        <v>0</v>
      </c>
      <c r="L74">
        <v>602350</v>
      </c>
    </row>
    <row r="75" spans="1:12" x14ac:dyDescent="0.35">
      <c r="A75" t="str">
        <v>VICTOR IGNACIO HENRIQUEZ VARGAS</v>
      </c>
      <c r="B75" t="str">
        <v>19.347.572-8</v>
      </c>
      <c r="C75" t="str">
        <v>Ayudante Perforista</v>
      </c>
      <c r="D75">
        <v>10</v>
      </c>
      <c r="E75">
        <v>360.25</v>
      </c>
      <c r="F75">
        <v>120</v>
      </c>
      <c r="G75">
        <v>260500</v>
      </c>
      <c r="H75">
        <v>0</v>
      </c>
      <c r="I75">
        <v>42875</v>
      </c>
      <c r="J75">
        <v>125000</v>
      </c>
      <c r="K75">
        <v>0</v>
      </c>
      <c r="L75">
        <v>428375</v>
      </c>
    </row>
    <row r="76" spans="1:12" x14ac:dyDescent="0.35">
      <c r="A76" t="str">
        <v>SEBASTIAN ALFONSO PERALTA CORTES</v>
      </c>
      <c r="B76" t="str">
        <v>19.349.419-6</v>
      </c>
      <c r="C76" t="str">
        <v>Ayudante Perforista</v>
      </c>
      <c r="D76">
        <v>10</v>
      </c>
      <c r="E76">
        <v>133.6</v>
      </c>
      <c r="F76">
        <v>120</v>
      </c>
      <c r="G76">
        <v>143325</v>
      </c>
      <c r="H76">
        <v>0</v>
      </c>
      <c r="I76">
        <v>1190</v>
      </c>
      <c r="J76">
        <v>0</v>
      </c>
      <c r="K76">
        <v>0</v>
      </c>
      <c r="L76">
        <v>144515</v>
      </c>
    </row>
    <row r="77" spans="1:12" x14ac:dyDescent="0.35">
      <c r="A77" t="str">
        <v>CARLOS JAVIER ALVAREZ RIVERA</v>
      </c>
      <c r="B77" t="str">
        <v>18.710.376-2</v>
      </c>
      <c r="C77" t="str">
        <v>Ayudante Perforista</v>
      </c>
      <c r="D77">
        <v>10</v>
      </c>
      <c r="E77">
        <v>179.05</v>
      </c>
      <c r="F77">
        <v>120</v>
      </c>
      <c r="G77">
        <v>233000</v>
      </c>
      <c r="H77">
        <v>0</v>
      </c>
      <c r="I77">
        <v>3940</v>
      </c>
      <c r="J77">
        <v>125000</v>
      </c>
      <c r="K77">
        <v>0</v>
      </c>
      <c r="L77">
        <v>361940</v>
      </c>
    </row>
    <row r="78" spans="1:12" x14ac:dyDescent="0.35">
      <c r="A78" t="str">
        <v>DANIEL ALEJANDRO YAÑEZ VARAS</v>
      </c>
      <c r="B78" t="str">
        <v>16.772.735-2</v>
      </c>
      <c r="C78" t="str">
        <v>Ayudante Perforista</v>
      </c>
      <c r="D78">
        <v>10</v>
      </c>
      <c r="E78">
        <v>141.05000000000001</v>
      </c>
      <c r="F78">
        <v>120</v>
      </c>
      <c r="G78">
        <v>143325</v>
      </c>
      <c r="H78">
        <v>0</v>
      </c>
      <c r="I78">
        <v>4060</v>
      </c>
      <c r="J78">
        <v>0</v>
      </c>
      <c r="K78">
        <v>0</v>
      </c>
      <c r="L78">
        <v>147385</v>
      </c>
    </row>
    <row r="79" spans="1:12" x14ac:dyDescent="0.35">
      <c r="A79" t="str">
        <v>CLAUDIO ANDRES FERNANDEZ CASTILLO</v>
      </c>
      <c r="B79" t="str">
        <v>17.118.820-2</v>
      </c>
      <c r="C79" t="str">
        <v>Administrativo Avanzado</v>
      </c>
      <c r="D79">
        <v>20</v>
      </c>
      <c r="E79">
        <v>0</v>
      </c>
      <c r="F79">
        <v>0</v>
      </c>
      <c r="G79">
        <v>0</v>
      </c>
      <c r="H79">
        <v>401566.67</v>
      </c>
      <c r="I79">
        <v>0</v>
      </c>
      <c r="J79">
        <v>0</v>
      </c>
      <c r="K79">
        <v>0</v>
      </c>
      <c r="L79">
        <v>401566.67</v>
      </c>
    </row>
    <row r="80" spans="1:12" x14ac:dyDescent="0.35">
      <c r="A80" t="str">
        <v>FELIX JOEL CASTILLO VALDIVIA</v>
      </c>
      <c r="B80" t="str">
        <v>16.581.787-7</v>
      </c>
      <c r="C80" t="str">
        <v>Soldador</v>
      </c>
      <c r="D80">
        <v>1</v>
      </c>
      <c r="E80">
        <v>0</v>
      </c>
      <c r="F80">
        <v>0</v>
      </c>
      <c r="G80">
        <v>0</v>
      </c>
      <c r="H80">
        <v>20078.330000000002</v>
      </c>
      <c r="I80">
        <v>0</v>
      </c>
      <c r="J80">
        <v>0</v>
      </c>
      <c r="K80">
        <v>0</v>
      </c>
      <c r="L80">
        <v>20078.330000000002</v>
      </c>
    </row>
    <row r="81" spans="1:12" x14ac:dyDescent="0.35">
      <c r="A81" t="str">
        <v>JUAN IGNACIO CORTES GONZALEZ</v>
      </c>
      <c r="B81" t="str">
        <v>17.629.034-K</v>
      </c>
      <c r="C81" t="str">
        <v>Perforista</v>
      </c>
      <c r="D81">
        <v>20</v>
      </c>
      <c r="E81">
        <v>253.5</v>
      </c>
      <c r="F81">
        <v>180</v>
      </c>
      <c r="G81">
        <v>416025</v>
      </c>
      <c r="H81">
        <v>0</v>
      </c>
      <c r="I81">
        <v>29025</v>
      </c>
      <c r="J81">
        <v>250000</v>
      </c>
      <c r="K81">
        <v>0</v>
      </c>
      <c r="L81">
        <v>695050</v>
      </c>
    </row>
    <row r="82" spans="1:12" x14ac:dyDescent="0.35">
      <c r="A82" t="str">
        <v>MANUEL ANTONIO ESCALONA VERA</v>
      </c>
      <c r="B82" t="str">
        <v>16.280.454-5</v>
      </c>
      <c r="C82" t="str">
        <v>Perforista</v>
      </c>
      <c r="D82">
        <v>20</v>
      </c>
      <c r="E82">
        <v>253.5</v>
      </c>
      <c r="F82">
        <v>180</v>
      </c>
      <c r="G82">
        <v>416025</v>
      </c>
      <c r="H82">
        <v>0</v>
      </c>
      <c r="I82">
        <v>29025</v>
      </c>
      <c r="J82">
        <v>250000</v>
      </c>
      <c r="K82">
        <v>0</v>
      </c>
      <c r="L82">
        <v>695050</v>
      </c>
    </row>
    <row r="83" spans="1:12" x14ac:dyDescent="0.35">
      <c r="A83" t="str">
        <v>LUIS DAVID LORCA SANCHEZ</v>
      </c>
      <c r="B83" t="str">
        <v>18.688.482-5</v>
      </c>
      <c r="C83" t="str">
        <v>Prevencionista de Riesgos</v>
      </c>
      <c r="D83">
        <v>10</v>
      </c>
      <c r="E83">
        <v>0</v>
      </c>
      <c r="F83">
        <v>0</v>
      </c>
      <c r="G83">
        <v>0</v>
      </c>
      <c r="H83">
        <v>301175</v>
      </c>
      <c r="I83">
        <v>0</v>
      </c>
      <c r="J83">
        <v>0</v>
      </c>
      <c r="K83">
        <v>0</v>
      </c>
      <c r="L83">
        <v>301175</v>
      </c>
    </row>
    <row r="84" spans="1:12" x14ac:dyDescent="0.35">
      <c r="A84" t="str">
        <v>WILLIAMS RENAN ASTROZA INOSTROZA</v>
      </c>
      <c r="B84" t="str">
        <v>10.997.323-8</v>
      </c>
      <c r="C84" t="str">
        <v>Chofer</v>
      </c>
      <c r="D84">
        <v>20</v>
      </c>
      <c r="E84">
        <v>0</v>
      </c>
      <c r="F84">
        <v>0</v>
      </c>
      <c r="G84">
        <v>0</v>
      </c>
      <c r="H84">
        <v>401566.67</v>
      </c>
      <c r="I84">
        <v>0</v>
      </c>
      <c r="J84">
        <v>0</v>
      </c>
      <c r="K84">
        <v>0</v>
      </c>
      <c r="L84">
        <v>401566.67</v>
      </c>
    </row>
    <row r="85" spans="1:12" x14ac:dyDescent="0.35">
      <c r="A85" t="str">
        <v>RODRIGO FERNANDO ALFARO VEAS</v>
      </c>
      <c r="B85" t="str">
        <v>12.219.201-6</v>
      </c>
      <c r="C85" t="str">
        <v>Líder de Prevención</v>
      </c>
      <c r="D85">
        <v>15</v>
      </c>
      <c r="E85">
        <v>0</v>
      </c>
      <c r="F85">
        <v>0</v>
      </c>
      <c r="G85">
        <v>0</v>
      </c>
      <c r="H85">
        <v>451762.5</v>
      </c>
      <c r="I85">
        <v>0</v>
      </c>
      <c r="J85">
        <v>0</v>
      </c>
      <c r="K85">
        <v>0</v>
      </c>
      <c r="L85">
        <v>451762.5</v>
      </c>
    </row>
    <row r="86" spans="1:12" x14ac:dyDescent="0.35">
      <c r="A86" t="str">
        <v>VICTOR IGNACIO PEREZ LORCA</v>
      </c>
      <c r="B86" t="str">
        <v>21.303.273-9</v>
      </c>
      <c r="C86" t="str">
        <v>Ayudante Perforista</v>
      </c>
      <c r="D86">
        <v>10</v>
      </c>
      <c r="E86">
        <v>194.2</v>
      </c>
      <c r="F86">
        <v>120</v>
      </c>
      <c r="G86">
        <v>96325</v>
      </c>
      <c r="H86">
        <v>0</v>
      </c>
      <c r="I86">
        <v>4600</v>
      </c>
      <c r="J86">
        <v>0</v>
      </c>
      <c r="K86">
        <v>0</v>
      </c>
      <c r="L86">
        <v>100925</v>
      </c>
    </row>
    <row r="87" spans="1:12" x14ac:dyDescent="0.35">
      <c r="A87" t="str">
        <v>RODRIGO ARMANDO FERNANDEZ BRICEÑO</v>
      </c>
      <c r="B87" t="str">
        <v>16.058.317-7</v>
      </c>
      <c r="C87" t="str">
        <v>Ayudante Perforista</v>
      </c>
      <c r="D87">
        <v>10</v>
      </c>
      <c r="E87">
        <v>169.45</v>
      </c>
      <c r="F87">
        <v>120</v>
      </c>
      <c r="G87">
        <v>102325</v>
      </c>
      <c r="H87">
        <v>0</v>
      </c>
      <c r="I87">
        <v>2800</v>
      </c>
      <c r="J87">
        <v>0</v>
      </c>
      <c r="K87">
        <v>0</v>
      </c>
      <c r="L87">
        <v>105125</v>
      </c>
    </row>
    <row r="88" spans="1:12" x14ac:dyDescent="0.35">
      <c r="A88" t="str" cm="1">
        <f t="array" ref="A88:L115">[5]Resumen!$A$5:$L$32</f>
        <v>ANDRES SEBASTIAN CASTILLO ENCINA</v>
      </c>
      <c r="B88" t="str">
        <v>15.885.524-0</v>
      </c>
      <c r="C88" t="str">
        <v>Chofer</v>
      </c>
      <c r="D88">
        <v>8</v>
      </c>
      <c r="E88">
        <v>0</v>
      </c>
      <c r="F88">
        <v>0</v>
      </c>
      <c r="G88">
        <v>0</v>
      </c>
      <c r="H88">
        <v>26077.33</v>
      </c>
      <c r="I88">
        <v>0</v>
      </c>
      <c r="J88">
        <v>0</v>
      </c>
      <c r="K88">
        <v>0</v>
      </c>
      <c r="L88">
        <v>26077.33</v>
      </c>
    </row>
    <row r="89" spans="1:12" x14ac:dyDescent="0.35">
      <c r="A89" t="str">
        <v>JOSE LEANDRO PARRA SARAVIA</v>
      </c>
      <c r="B89" t="str">
        <v>13.809.180-5</v>
      </c>
      <c r="C89" t="str">
        <v>Chofer</v>
      </c>
      <c r="D89">
        <v>10</v>
      </c>
      <c r="E89">
        <v>0</v>
      </c>
      <c r="F89">
        <v>0</v>
      </c>
      <c r="G89">
        <v>0</v>
      </c>
      <c r="H89">
        <v>32596.67</v>
      </c>
      <c r="I89">
        <v>0</v>
      </c>
      <c r="J89">
        <v>0</v>
      </c>
      <c r="K89">
        <v>0</v>
      </c>
      <c r="L89">
        <v>32596.67</v>
      </c>
    </row>
    <row r="90" spans="1:12" x14ac:dyDescent="0.35">
      <c r="A90" t="str">
        <v>ALBERTO SEGUNDO CALLPA NUÑEZ</v>
      </c>
      <c r="B90" t="str">
        <v>16.250.239-5</v>
      </c>
      <c r="C90" t="str">
        <v>Ayudante de Perforista</v>
      </c>
      <c r="D90">
        <v>10</v>
      </c>
      <c r="E90">
        <v>0</v>
      </c>
      <c r="F90">
        <v>0</v>
      </c>
      <c r="G90">
        <v>0</v>
      </c>
      <c r="H90">
        <v>32596.67</v>
      </c>
      <c r="I90">
        <v>0</v>
      </c>
      <c r="J90">
        <v>0</v>
      </c>
      <c r="K90">
        <v>0</v>
      </c>
      <c r="L90">
        <v>32596.67</v>
      </c>
    </row>
    <row r="91" spans="1:12" x14ac:dyDescent="0.35">
      <c r="A91" t="str">
        <v>CLAUDIO ALEXI ELIZALDE OLAVARRIA</v>
      </c>
      <c r="B91" t="str">
        <v>13.874.482-5</v>
      </c>
      <c r="C91" t="str">
        <v>Ayudante de Perforista</v>
      </c>
      <c r="D91">
        <v>10</v>
      </c>
      <c r="E91">
        <v>0</v>
      </c>
      <c r="F91">
        <v>0</v>
      </c>
      <c r="G91">
        <v>0</v>
      </c>
      <c r="H91">
        <v>32596.67</v>
      </c>
      <c r="I91">
        <v>0</v>
      </c>
      <c r="J91">
        <v>0</v>
      </c>
      <c r="K91">
        <v>0</v>
      </c>
      <c r="L91">
        <v>32596.67</v>
      </c>
    </row>
    <row r="92" spans="1:12" x14ac:dyDescent="0.35">
      <c r="A92" t="str">
        <v>MANUEL ALEJANDRO ROJAS VEGA</v>
      </c>
      <c r="B92" t="str">
        <v>15.051.760-5</v>
      </c>
      <c r="C92" t="str">
        <v>Ayudante de Perforista</v>
      </c>
      <c r="D92">
        <v>10</v>
      </c>
      <c r="E92">
        <v>0</v>
      </c>
      <c r="F92">
        <v>0</v>
      </c>
      <c r="G92">
        <v>0</v>
      </c>
      <c r="H92">
        <v>32596.67</v>
      </c>
      <c r="I92">
        <v>0</v>
      </c>
      <c r="J92">
        <v>0</v>
      </c>
      <c r="K92">
        <v>0</v>
      </c>
      <c r="L92">
        <v>32596.67</v>
      </c>
    </row>
    <row r="93" spans="1:12" x14ac:dyDescent="0.35">
      <c r="A93" t="str">
        <v>NORA ALEXANDRA SALAS ROJAS</v>
      </c>
      <c r="B93" t="str">
        <v>18.352.777-0</v>
      </c>
      <c r="C93" t="str">
        <v>Prevencionista de Riesgos</v>
      </c>
      <c r="D93">
        <v>10</v>
      </c>
      <c r="E93">
        <v>0</v>
      </c>
      <c r="F93">
        <v>0</v>
      </c>
      <c r="G93">
        <v>0</v>
      </c>
      <c r="H93">
        <v>45703.33</v>
      </c>
      <c r="I93">
        <v>0</v>
      </c>
      <c r="J93">
        <v>0</v>
      </c>
      <c r="K93">
        <v>0</v>
      </c>
      <c r="L93">
        <v>45703.33</v>
      </c>
    </row>
    <row r="94" spans="1:12" x14ac:dyDescent="0.35">
      <c r="A94" t="str">
        <v>ENRIQUE ANTONIO CORTES SANTANA</v>
      </c>
      <c r="B94" t="str">
        <v>14.116.898-3</v>
      </c>
      <c r="C94" t="str">
        <v>Ayudante de Perforista</v>
      </c>
      <c r="D94">
        <v>10</v>
      </c>
      <c r="E94">
        <v>0</v>
      </c>
      <c r="F94">
        <v>0</v>
      </c>
      <c r="G94">
        <v>0</v>
      </c>
      <c r="H94">
        <v>32596.67</v>
      </c>
      <c r="I94">
        <v>0</v>
      </c>
      <c r="J94">
        <v>0</v>
      </c>
      <c r="K94">
        <v>0</v>
      </c>
      <c r="L94">
        <v>32596.67</v>
      </c>
    </row>
    <row r="95" spans="1:12" x14ac:dyDescent="0.35">
      <c r="A95" t="str">
        <v>CRISTIAN REINALDO VERDEJO CISTERNAS</v>
      </c>
      <c r="B95" t="str">
        <v>13.186.913-4</v>
      </c>
      <c r="C95" t="str">
        <v>Bodeguero</v>
      </c>
      <c r="D95">
        <v>10</v>
      </c>
      <c r="E95">
        <v>0</v>
      </c>
      <c r="F95">
        <v>0</v>
      </c>
      <c r="G95">
        <v>0</v>
      </c>
      <c r="H95">
        <v>32596.67</v>
      </c>
      <c r="I95">
        <v>0</v>
      </c>
      <c r="J95">
        <v>0</v>
      </c>
      <c r="K95">
        <v>0</v>
      </c>
      <c r="L95">
        <v>32596.67</v>
      </c>
    </row>
    <row r="96" spans="1:12" x14ac:dyDescent="0.35">
      <c r="A96" t="str">
        <v>ENRIQUE ALFONSO ROJAS MUÑOZ</v>
      </c>
      <c r="B96" t="str">
        <v>16.053.860-0</v>
      </c>
      <c r="C96" t="str">
        <v>Perforista</v>
      </c>
      <c r="D96">
        <v>10</v>
      </c>
      <c r="E96">
        <v>0</v>
      </c>
      <c r="F96">
        <v>0</v>
      </c>
      <c r="G96">
        <v>0</v>
      </c>
      <c r="H96">
        <v>45703.33</v>
      </c>
      <c r="I96">
        <v>0</v>
      </c>
      <c r="J96">
        <v>0</v>
      </c>
      <c r="K96">
        <v>0</v>
      </c>
      <c r="L96">
        <v>45703.33</v>
      </c>
    </row>
    <row r="97" spans="1:12" x14ac:dyDescent="0.35">
      <c r="A97" t="str">
        <v>GONZALO FELIPE GALVEZ RIVERA</v>
      </c>
      <c r="B97" t="str">
        <v>13.650.378-2</v>
      </c>
      <c r="C97" t="str">
        <v>Perforista</v>
      </c>
      <c r="D97">
        <v>10</v>
      </c>
      <c r="E97">
        <v>0</v>
      </c>
      <c r="F97">
        <v>0</v>
      </c>
      <c r="G97">
        <v>0</v>
      </c>
      <c r="H97">
        <v>45703.33</v>
      </c>
      <c r="I97">
        <v>0</v>
      </c>
      <c r="J97">
        <v>0</v>
      </c>
      <c r="K97">
        <v>0</v>
      </c>
      <c r="L97">
        <v>45703.33</v>
      </c>
    </row>
    <row r="98" spans="1:12" x14ac:dyDescent="0.35">
      <c r="A98" t="str">
        <v>JONATHAN ALEJANDRO BERENGUELA RIVEROS</v>
      </c>
      <c r="B98" t="str">
        <v>19.347.920-0</v>
      </c>
      <c r="C98" t="str">
        <v>Ayudante de Perforista</v>
      </c>
      <c r="D98">
        <v>10</v>
      </c>
      <c r="E98">
        <v>0</v>
      </c>
      <c r="F98">
        <v>0</v>
      </c>
      <c r="G98">
        <v>0</v>
      </c>
      <c r="H98">
        <v>32596.67</v>
      </c>
      <c r="I98">
        <v>0</v>
      </c>
      <c r="J98">
        <v>0</v>
      </c>
      <c r="K98">
        <v>0</v>
      </c>
      <c r="L98">
        <v>32596.67</v>
      </c>
    </row>
    <row r="99" spans="1:12" x14ac:dyDescent="0.35">
      <c r="A99" t="str">
        <v>MOISES ARON DAZA CANALES</v>
      </c>
      <c r="B99" t="str">
        <v>11.726.428-9</v>
      </c>
      <c r="C99" t="str">
        <v>Perforista</v>
      </c>
      <c r="D99">
        <v>10</v>
      </c>
      <c r="E99">
        <v>0</v>
      </c>
      <c r="F99">
        <v>0</v>
      </c>
      <c r="G99">
        <v>0</v>
      </c>
      <c r="H99">
        <v>45703.33</v>
      </c>
      <c r="I99">
        <v>0</v>
      </c>
      <c r="J99">
        <v>0</v>
      </c>
      <c r="K99">
        <v>0</v>
      </c>
      <c r="L99">
        <v>45703.33</v>
      </c>
    </row>
    <row r="100" spans="1:12" x14ac:dyDescent="0.35">
      <c r="A100" t="str">
        <v>YERKO HUMBERTO ARAYA MILLAÑIR</v>
      </c>
      <c r="B100" t="str">
        <v>15.584.254-7</v>
      </c>
      <c r="C100" t="str">
        <v>Supervisor de Operaciones</v>
      </c>
      <c r="D100">
        <v>10</v>
      </c>
      <c r="E100">
        <v>0</v>
      </c>
      <c r="F100">
        <v>0</v>
      </c>
      <c r="G100">
        <v>0</v>
      </c>
      <c r="H100">
        <v>45703.33</v>
      </c>
      <c r="I100">
        <v>0</v>
      </c>
      <c r="J100">
        <v>0</v>
      </c>
      <c r="K100">
        <v>0</v>
      </c>
      <c r="L100">
        <v>45703.33</v>
      </c>
    </row>
    <row r="101" spans="1:12" x14ac:dyDescent="0.35">
      <c r="A101" t="str">
        <v>RICHARD MAURICIO MALLA MAYA</v>
      </c>
      <c r="B101" t="str">
        <v>12.939.165-0</v>
      </c>
      <c r="C101" t="str">
        <v>Mecánico</v>
      </c>
      <c r="D101">
        <v>10</v>
      </c>
      <c r="E101">
        <v>0</v>
      </c>
      <c r="F101">
        <v>0</v>
      </c>
      <c r="G101">
        <v>0</v>
      </c>
      <c r="H101">
        <v>32596.67</v>
      </c>
      <c r="I101">
        <v>0</v>
      </c>
      <c r="J101">
        <v>0</v>
      </c>
      <c r="K101">
        <v>0</v>
      </c>
      <c r="L101">
        <v>32596.67</v>
      </c>
    </row>
    <row r="102" spans="1:12" x14ac:dyDescent="0.35">
      <c r="A102" t="str">
        <v>MARCELO GIOVANNI RAMIREZ BARRAZA</v>
      </c>
      <c r="B102" t="str">
        <v>19.948.246-7</v>
      </c>
      <c r="C102" t="str">
        <v>Mecánico Líder</v>
      </c>
      <c r="D102">
        <v>10</v>
      </c>
      <c r="E102">
        <v>0</v>
      </c>
      <c r="F102">
        <v>0</v>
      </c>
      <c r="G102">
        <v>0</v>
      </c>
      <c r="H102">
        <v>45703.33</v>
      </c>
      <c r="I102">
        <v>0</v>
      </c>
      <c r="J102">
        <v>0</v>
      </c>
      <c r="K102">
        <v>0</v>
      </c>
      <c r="L102">
        <v>45703.33</v>
      </c>
    </row>
    <row r="103" spans="1:12" x14ac:dyDescent="0.35">
      <c r="A103" t="str">
        <v>MIGUEL LLANOS CULQUI</v>
      </c>
      <c r="B103" t="str">
        <v>44.601.250-9</v>
      </c>
      <c r="C103" t="str">
        <v>Perforista</v>
      </c>
      <c r="D103">
        <v>10</v>
      </c>
      <c r="E103">
        <v>0</v>
      </c>
      <c r="F103">
        <v>0</v>
      </c>
      <c r="G103">
        <v>0</v>
      </c>
      <c r="H103">
        <v>45703.33</v>
      </c>
      <c r="I103">
        <v>0</v>
      </c>
      <c r="J103">
        <v>0</v>
      </c>
      <c r="K103">
        <v>0</v>
      </c>
      <c r="L103">
        <v>45703.33</v>
      </c>
    </row>
    <row r="104" spans="1:12" x14ac:dyDescent="0.35">
      <c r="A104" t="str">
        <v>ANGELO IGNACIO GOMEZ PIZARRO</v>
      </c>
      <c r="B104" t="str">
        <v>19.662.155-5</v>
      </c>
      <c r="C104" t="str">
        <v>Ayudante de Perforista</v>
      </c>
      <c r="D104">
        <v>10</v>
      </c>
      <c r="E104">
        <v>0</v>
      </c>
      <c r="F104">
        <v>0</v>
      </c>
      <c r="G104">
        <v>0</v>
      </c>
      <c r="H104">
        <v>32596.67</v>
      </c>
      <c r="I104">
        <v>0</v>
      </c>
      <c r="J104">
        <v>0</v>
      </c>
      <c r="K104">
        <v>0</v>
      </c>
      <c r="L104">
        <v>32596.67</v>
      </c>
    </row>
    <row r="105" spans="1:12" x14ac:dyDescent="0.35">
      <c r="A105" t="str">
        <v>VICTOR DANIEL MONTAÑO ARAYA</v>
      </c>
      <c r="B105" t="str">
        <v>11.197.049-1</v>
      </c>
      <c r="C105" t="str">
        <v>Chofer</v>
      </c>
      <c r="D105">
        <v>10</v>
      </c>
      <c r="E105">
        <v>0</v>
      </c>
      <c r="F105">
        <v>0</v>
      </c>
      <c r="G105">
        <v>0</v>
      </c>
      <c r="H105">
        <v>32596.67</v>
      </c>
      <c r="I105">
        <v>0</v>
      </c>
      <c r="J105">
        <v>0</v>
      </c>
      <c r="K105">
        <v>0</v>
      </c>
      <c r="L105">
        <v>32596.67</v>
      </c>
    </row>
    <row r="106" spans="1:12" x14ac:dyDescent="0.35">
      <c r="A106" t="str">
        <v>CARLOS ANDRES VASQUEZ ESQUIVEL</v>
      </c>
      <c r="B106" t="str">
        <v>15.052.220-K</v>
      </c>
      <c r="C106" t="str">
        <v>Soldador</v>
      </c>
      <c r="D106">
        <v>10</v>
      </c>
      <c r="E106">
        <v>0</v>
      </c>
      <c r="F106">
        <v>0</v>
      </c>
      <c r="G106">
        <v>0</v>
      </c>
      <c r="H106">
        <v>32596.67</v>
      </c>
      <c r="I106">
        <v>0</v>
      </c>
      <c r="J106">
        <v>0</v>
      </c>
      <c r="K106">
        <v>0</v>
      </c>
      <c r="L106">
        <v>32596.67</v>
      </c>
    </row>
    <row r="107" spans="1:12" x14ac:dyDescent="0.35">
      <c r="A107" t="str">
        <v>VICTOR ALFONSO ALVAREZ CORTES</v>
      </c>
      <c r="B107" t="str">
        <v>15.037.843-5</v>
      </c>
      <c r="C107" t="str">
        <v>Perforista</v>
      </c>
      <c r="D107">
        <v>10</v>
      </c>
      <c r="E107">
        <v>0</v>
      </c>
      <c r="F107">
        <v>0</v>
      </c>
      <c r="G107">
        <v>0</v>
      </c>
      <c r="H107">
        <v>45703.33</v>
      </c>
      <c r="I107">
        <v>0</v>
      </c>
      <c r="J107">
        <v>0</v>
      </c>
      <c r="K107">
        <v>0</v>
      </c>
      <c r="L107">
        <v>45703.33</v>
      </c>
    </row>
    <row r="108" spans="1:12" x14ac:dyDescent="0.35">
      <c r="A108" t="str">
        <v>JAIME ERNESTO ESPINOZA ALCAYAGA</v>
      </c>
      <c r="B108" t="str">
        <v>14.161.667-6</v>
      </c>
      <c r="C108" t="str">
        <v>Supervisor de Operaciones</v>
      </c>
      <c r="D108">
        <v>10</v>
      </c>
      <c r="E108">
        <v>0</v>
      </c>
      <c r="F108">
        <v>0</v>
      </c>
      <c r="G108">
        <v>0</v>
      </c>
      <c r="H108">
        <v>45703.33</v>
      </c>
      <c r="I108">
        <v>0</v>
      </c>
      <c r="J108">
        <v>0</v>
      </c>
      <c r="K108">
        <v>0</v>
      </c>
      <c r="L108">
        <v>45703.33</v>
      </c>
    </row>
    <row r="109" spans="1:12" x14ac:dyDescent="0.35">
      <c r="A109" t="str">
        <v>DAYNE JEFFERY PASSMORE</v>
      </c>
      <c r="B109" t="str">
        <v>44.623.904-K</v>
      </c>
      <c r="C109" t="str">
        <v>Supervisor de Operaciones</v>
      </c>
      <c r="D109">
        <v>10</v>
      </c>
      <c r="E109">
        <v>0</v>
      </c>
      <c r="F109">
        <v>0</v>
      </c>
      <c r="G109">
        <v>0</v>
      </c>
      <c r="H109">
        <v>45703.33</v>
      </c>
      <c r="I109">
        <v>0</v>
      </c>
      <c r="J109">
        <v>0</v>
      </c>
      <c r="K109">
        <v>0</v>
      </c>
      <c r="L109">
        <v>45703.33</v>
      </c>
    </row>
    <row r="110" spans="1:12" x14ac:dyDescent="0.35">
      <c r="A110" t="str">
        <v>MATIAS IGNACIO HANNUCSH GRUNENWALD</v>
      </c>
      <c r="B110" t="str">
        <v>21.003.892-2</v>
      </c>
      <c r="C110" t="str">
        <v>Administrativo de Faena</v>
      </c>
      <c r="D110">
        <v>10</v>
      </c>
      <c r="E110">
        <v>0</v>
      </c>
      <c r="F110">
        <v>0</v>
      </c>
      <c r="G110">
        <v>0</v>
      </c>
      <c r="H110">
        <v>32596.67</v>
      </c>
      <c r="I110">
        <v>0</v>
      </c>
      <c r="J110">
        <v>0</v>
      </c>
      <c r="K110">
        <v>0</v>
      </c>
      <c r="L110">
        <v>32596.67</v>
      </c>
    </row>
    <row r="111" spans="1:12" x14ac:dyDescent="0.35">
      <c r="A111" t="str">
        <v>MICHAEL ANDRES GONZALEZ ACEVEDO</v>
      </c>
      <c r="B111" t="str">
        <v>13.762.337-4</v>
      </c>
      <c r="C111" t="str">
        <v>Supervisor Eléctrico</v>
      </c>
      <c r="D111">
        <v>10</v>
      </c>
      <c r="E111">
        <v>0</v>
      </c>
      <c r="F111">
        <v>0</v>
      </c>
      <c r="G111">
        <v>0</v>
      </c>
      <c r="H111">
        <v>45703.33</v>
      </c>
      <c r="I111">
        <v>0</v>
      </c>
      <c r="J111">
        <v>0</v>
      </c>
      <c r="K111">
        <v>0</v>
      </c>
      <c r="L111">
        <v>45703.33</v>
      </c>
    </row>
    <row r="112" spans="1:12" x14ac:dyDescent="0.35">
      <c r="A112" t="str">
        <v>JOSE LUIS GALLARDO VERGARA</v>
      </c>
      <c r="B112" t="str">
        <v>17.016.281-1</v>
      </c>
      <c r="C112" t="str">
        <v>Ayudante de Perforista</v>
      </c>
      <c r="D112">
        <v>10</v>
      </c>
      <c r="E112">
        <v>0</v>
      </c>
      <c r="F112">
        <v>0</v>
      </c>
      <c r="G112">
        <v>0</v>
      </c>
      <c r="H112">
        <v>32596.67</v>
      </c>
      <c r="I112">
        <v>0</v>
      </c>
      <c r="J112">
        <v>0</v>
      </c>
      <c r="K112">
        <v>0</v>
      </c>
      <c r="L112">
        <v>32596.67</v>
      </c>
    </row>
    <row r="113" spans="1:12" x14ac:dyDescent="0.35">
      <c r="A113" t="str">
        <v>PATRICIO HERNAN PIMIENTO ARIAS</v>
      </c>
      <c r="B113" t="str">
        <v>10.855.160-7</v>
      </c>
      <c r="C113" t="str">
        <v>Chofer</v>
      </c>
      <c r="D113">
        <v>2</v>
      </c>
      <c r="E113">
        <v>0</v>
      </c>
      <c r="F113">
        <v>0</v>
      </c>
      <c r="G113">
        <v>0</v>
      </c>
      <c r="H113">
        <v>6519.33</v>
      </c>
      <c r="I113">
        <v>0</v>
      </c>
      <c r="J113">
        <v>0</v>
      </c>
      <c r="K113">
        <v>0</v>
      </c>
      <c r="L113">
        <v>6519.33</v>
      </c>
    </row>
    <row r="114" spans="1:12" x14ac:dyDescent="0.35">
      <c r="A114" t="str">
        <v>JUAN FELIPE SANHUEZA CARVAJAL</v>
      </c>
      <c r="B114" t="str">
        <v>15.870.057-3</v>
      </c>
      <c r="C114" t="str">
        <v>Ayudante de Perforista</v>
      </c>
      <c r="D114">
        <v>10</v>
      </c>
      <c r="E114">
        <v>0</v>
      </c>
      <c r="F114">
        <v>0</v>
      </c>
      <c r="G114">
        <v>0</v>
      </c>
      <c r="H114">
        <v>32596.67</v>
      </c>
      <c r="I114">
        <v>0</v>
      </c>
      <c r="J114">
        <v>0</v>
      </c>
      <c r="K114">
        <v>0</v>
      </c>
      <c r="L114">
        <v>32596.67</v>
      </c>
    </row>
    <row r="115" spans="1:12" x14ac:dyDescent="0.35">
      <c r="A115" t="str">
        <v>ROBERTO ANTONIO PINILLA PEREZ</v>
      </c>
      <c r="B115" t="str">
        <v>13.176.649-1</v>
      </c>
      <c r="C115" t="str">
        <v>Perforista</v>
      </c>
      <c r="D115">
        <v>10</v>
      </c>
      <c r="E115">
        <v>0</v>
      </c>
      <c r="F115">
        <v>0</v>
      </c>
      <c r="G115">
        <v>0</v>
      </c>
      <c r="H115">
        <v>45703.33</v>
      </c>
      <c r="I115">
        <v>0</v>
      </c>
      <c r="J115">
        <v>0</v>
      </c>
      <c r="K115">
        <v>0</v>
      </c>
      <c r="L115">
        <v>45703.33</v>
      </c>
    </row>
    <row r="116" spans="1:12" x14ac:dyDescent="0.35">
      <c r="A116" t="str" cm="1">
        <f t="array" ref="A116:L196">[4]Resumen!$A$5:$L$85</f>
        <v>STEWART PHILLIP WHITEHURST MEJIA</v>
      </c>
      <c r="B116" t="str">
        <v>289359893</v>
      </c>
      <c r="C116" t="str">
        <v>Perforista</v>
      </c>
      <c r="D116">
        <v>12</v>
      </c>
      <c r="E116">
        <v>327.75</v>
      </c>
      <c r="F116">
        <v>132</v>
      </c>
      <c r="G116">
        <v>0</v>
      </c>
      <c r="H116">
        <v>146751.5</v>
      </c>
      <c r="I116">
        <v>0</v>
      </c>
      <c r="J116">
        <v>0</v>
      </c>
      <c r="K116">
        <v>0</v>
      </c>
      <c r="L116">
        <v>146751.5</v>
      </c>
    </row>
    <row r="117" spans="1:12" x14ac:dyDescent="0.35">
      <c r="A117" t="str">
        <v>ANDREW JAMES WILSON .</v>
      </c>
      <c r="B117" t="str">
        <v>446325078</v>
      </c>
      <c r="C117" t="str">
        <v>Perforista</v>
      </c>
      <c r="D117">
        <v>14</v>
      </c>
      <c r="E117">
        <v>618.4</v>
      </c>
      <c r="F117">
        <v>240</v>
      </c>
      <c r="G117">
        <v>0</v>
      </c>
      <c r="H117">
        <v>171210.08</v>
      </c>
      <c r="I117">
        <v>0</v>
      </c>
      <c r="J117">
        <v>0</v>
      </c>
      <c r="K117">
        <v>0</v>
      </c>
      <c r="L117">
        <v>171210.08</v>
      </c>
    </row>
    <row r="118" spans="1:12" x14ac:dyDescent="0.35">
      <c r="A118" t="str">
        <v>CRISTIAN ALEJANDRO TOLEDO GONZALEZ</v>
      </c>
      <c r="B118" t="str">
        <v>156836982</v>
      </c>
      <c r="C118" t="str">
        <v>Electromecánico</v>
      </c>
      <c r="D118">
        <v>7</v>
      </c>
      <c r="E118">
        <v>139.35</v>
      </c>
      <c r="F118">
        <v>72</v>
      </c>
      <c r="G118">
        <v>0</v>
      </c>
      <c r="H118">
        <v>56495.54</v>
      </c>
      <c r="I118">
        <v>0</v>
      </c>
      <c r="J118">
        <v>0</v>
      </c>
      <c r="K118">
        <v>0</v>
      </c>
      <c r="L118">
        <v>56495.54</v>
      </c>
    </row>
    <row r="119" spans="1:12" x14ac:dyDescent="0.35">
      <c r="A119" t="str">
        <v>RICARDO NICOLAS QUINTANA SANTANA</v>
      </c>
      <c r="B119" t="str">
        <v>208985779</v>
      </c>
      <c r="C119" t="str">
        <v>Ayudante Perforista</v>
      </c>
      <c r="D119">
        <v>7</v>
      </c>
      <c r="E119">
        <v>154.69999999999999</v>
      </c>
      <c r="F119">
        <v>84</v>
      </c>
      <c r="G119">
        <v>0</v>
      </c>
      <c r="H119">
        <v>56495.54</v>
      </c>
      <c r="I119">
        <v>0</v>
      </c>
      <c r="J119">
        <v>0</v>
      </c>
      <c r="K119">
        <v>0</v>
      </c>
      <c r="L119">
        <v>56495.54</v>
      </c>
    </row>
    <row r="120" spans="1:12" x14ac:dyDescent="0.35">
      <c r="A120" t="str">
        <v>JUAN ALEXIS AVILEZ MOLINA</v>
      </c>
      <c r="B120" t="str">
        <v>140434221</v>
      </c>
      <c r="C120" t="str">
        <v>Ayudante Perforista</v>
      </c>
      <c r="D120">
        <v>7</v>
      </c>
      <c r="E120">
        <v>186.75</v>
      </c>
      <c r="F120">
        <v>84</v>
      </c>
      <c r="G120">
        <v>0</v>
      </c>
      <c r="H120">
        <v>56495.54</v>
      </c>
      <c r="I120">
        <v>0</v>
      </c>
      <c r="J120">
        <v>0</v>
      </c>
      <c r="K120">
        <v>0</v>
      </c>
      <c r="L120">
        <v>56495.54</v>
      </c>
    </row>
    <row r="121" spans="1:12" x14ac:dyDescent="0.35">
      <c r="A121" t="str">
        <v>MARCELO DAVID VASQUEZ AVILEZ</v>
      </c>
      <c r="B121" t="str">
        <v>224554265</v>
      </c>
      <c r="C121" t="str">
        <v/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1:12" x14ac:dyDescent="0.35">
      <c r="A122" t="str">
        <v>JOSHUA MANN .</v>
      </c>
      <c r="B122" t="str">
        <v>293792283</v>
      </c>
      <c r="C122" t="str">
        <v>Supervisor</v>
      </c>
      <c r="D122">
        <v>3</v>
      </c>
      <c r="E122">
        <v>241.35</v>
      </c>
      <c r="F122">
        <v>108</v>
      </c>
      <c r="G122">
        <v>0</v>
      </c>
      <c r="H122">
        <v>36687.879999999997</v>
      </c>
      <c r="I122">
        <v>0</v>
      </c>
      <c r="J122">
        <v>0</v>
      </c>
      <c r="K122">
        <v>0</v>
      </c>
      <c r="L122">
        <v>36687.879999999997</v>
      </c>
    </row>
    <row r="123" spans="1:12" x14ac:dyDescent="0.35">
      <c r="A123" t="str">
        <v>CARLOS ALBERTO RAMOS VELASQUEZ</v>
      </c>
      <c r="B123" t="str">
        <v>14.400.090-0</v>
      </c>
      <c r="C123" t="str">
        <v>Supervisor</v>
      </c>
      <c r="D123">
        <v>16</v>
      </c>
      <c r="E123">
        <v>451.6</v>
      </c>
      <c r="F123">
        <v>180</v>
      </c>
      <c r="G123">
        <v>0</v>
      </c>
      <c r="H123">
        <v>195668.67</v>
      </c>
      <c r="I123">
        <v>0</v>
      </c>
      <c r="J123">
        <v>0</v>
      </c>
      <c r="K123">
        <v>0</v>
      </c>
      <c r="L123">
        <v>195668.67</v>
      </c>
    </row>
    <row r="124" spans="1:12" x14ac:dyDescent="0.35">
      <c r="A124" t="str">
        <v>ALVARO IGNACIO GODOY BRUNA</v>
      </c>
      <c r="B124" t="str">
        <v>20.168.605-9</v>
      </c>
      <c r="C124" t="str">
        <v>Perforista</v>
      </c>
      <c r="D124">
        <v>16</v>
      </c>
      <c r="E124">
        <v>255.35</v>
      </c>
      <c r="F124">
        <v>192</v>
      </c>
      <c r="G124">
        <v>0</v>
      </c>
      <c r="H124">
        <v>195668.67</v>
      </c>
      <c r="I124">
        <v>0</v>
      </c>
      <c r="J124">
        <v>0</v>
      </c>
      <c r="K124">
        <v>0</v>
      </c>
      <c r="L124">
        <v>195668.67</v>
      </c>
    </row>
    <row r="125" spans="1:12" x14ac:dyDescent="0.35">
      <c r="A125" t="str">
        <v>JONATHAN ALEXANDER OLIVARES NATES</v>
      </c>
      <c r="B125" t="str">
        <v>20.944.055-5</v>
      </c>
      <c r="C125" t="str">
        <v>Mecánico</v>
      </c>
      <c r="D125">
        <v>14</v>
      </c>
      <c r="E125">
        <v>409.2</v>
      </c>
      <c r="F125">
        <v>144</v>
      </c>
      <c r="G125">
        <v>0</v>
      </c>
      <c r="H125">
        <v>112991.08</v>
      </c>
      <c r="I125">
        <v>0</v>
      </c>
      <c r="J125">
        <v>0</v>
      </c>
      <c r="K125">
        <v>0</v>
      </c>
      <c r="L125">
        <v>112991.08</v>
      </c>
    </row>
    <row r="126" spans="1:12" x14ac:dyDescent="0.35">
      <c r="A126" t="str">
        <v>DANIEL ARMANDO LINDERMANN LINDERMANN</v>
      </c>
      <c r="B126" t="str">
        <v>16.597.409-3</v>
      </c>
      <c r="C126" t="str">
        <v>Supervisor</v>
      </c>
      <c r="D126">
        <v>14</v>
      </c>
      <c r="E126">
        <v>405.2</v>
      </c>
      <c r="F126">
        <v>144</v>
      </c>
      <c r="G126">
        <v>0</v>
      </c>
      <c r="H126">
        <v>171210.08</v>
      </c>
      <c r="I126">
        <v>0</v>
      </c>
      <c r="J126">
        <v>0</v>
      </c>
      <c r="K126">
        <v>0</v>
      </c>
      <c r="L126">
        <v>171210.08</v>
      </c>
    </row>
    <row r="127" spans="1:12" x14ac:dyDescent="0.35">
      <c r="A127" t="str">
        <v>JOSE IGNACIO HERNANDEZ ARAYA</v>
      </c>
      <c r="B127" t="str">
        <v>17.753.119-7</v>
      </c>
      <c r="C127" t="str">
        <v>Perforista</v>
      </c>
      <c r="D127">
        <v>14</v>
      </c>
      <c r="E127">
        <v>288.5</v>
      </c>
      <c r="F127">
        <v>168</v>
      </c>
      <c r="G127">
        <v>0</v>
      </c>
      <c r="H127">
        <v>171210.08</v>
      </c>
      <c r="I127">
        <v>0</v>
      </c>
      <c r="J127">
        <v>0</v>
      </c>
      <c r="K127">
        <v>0</v>
      </c>
      <c r="L127">
        <v>171210.08</v>
      </c>
    </row>
    <row r="128" spans="1:12" x14ac:dyDescent="0.35">
      <c r="A128" t="str">
        <v>ANTONIO HIPOLITO OTINIANO RUIZ</v>
      </c>
      <c r="B128" t="str">
        <v>44.601.894-9</v>
      </c>
      <c r="C128" t="str">
        <v>Perforista</v>
      </c>
      <c r="D128">
        <v>2</v>
      </c>
      <c r="E128">
        <v>62.7</v>
      </c>
      <c r="F128">
        <v>24</v>
      </c>
      <c r="G128">
        <v>0</v>
      </c>
      <c r="H128">
        <v>24458.58</v>
      </c>
      <c r="I128">
        <v>0</v>
      </c>
      <c r="J128">
        <v>0</v>
      </c>
      <c r="K128">
        <v>0</v>
      </c>
      <c r="L128">
        <v>24458.58</v>
      </c>
    </row>
    <row r="129" spans="1:12" x14ac:dyDescent="0.35">
      <c r="A129" t="str">
        <v>EMIL EDGARDO VARGAS BORDONES</v>
      </c>
      <c r="B129" t="str">
        <v>19.394.534-1</v>
      </c>
      <c r="C129" t="str">
        <v>Ayudante Perforista</v>
      </c>
      <c r="D129">
        <v>14</v>
      </c>
      <c r="E129">
        <v>303</v>
      </c>
      <c r="F129">
        <v>168</v>
      </c>
      <c r="G129">
        <v>0</v>
      </c>
      <c r="H129">
        <v>112991.08</v>
      </c>
      <c r="I129">
        <v>0</v>
      </c>
      <c r="J129">
        <v>0</v>
      </c>
      <c r="K129">
        <v>0</v>
      </c>
      <c r="L129">
        <v>112991.08</v>
      </c>
    </row>
    <row r="130" spans="1:12" x14ac:dyDescent="0.35">
      <c r="A130" t="str">
        <v>DIEGO BRANCO BARRAZA CHAVEZ</v>
      </c>
      <c r="B130" t="str">
        <v>20.456.931-2</v>
      </c>
      <c r="C130" t="str">
        <v>Ayudante Perforista</v>
      </c>
      <c r="D130">
        <v>9</v>
      </c>
      <c r="E130">
        <v>173.7</v>
      </c>
      <c r="F130">
        <v>108</v>
      </c>
      <c r="G130">
        <v>0</v>
      </c>
      <c r="H130">
        <v>72637.13</v>
      </c>
      <c r="I130">
        <v>0</v>
      </c>
      <c r="J130">
        <v>0</v>
      </c>
      <c r="K130">
        <v>0</v>
      </c>
      <c r="L130">
        <v>72637.13</v>
      </c>
    </row>
    <row r="131" spans="1:12" x14ac:dyDescent="0.35">
      <c r="A131" t="str">
        <v>YONATHAN ALBERTO MOROSO CORTES</v>
      </c>
      <c r="B131" t="str">
        <v>17.112.278-3</v>
      </c>
      <c r="C131" t="str">
        <v>Administrativo</v>
      </c>
      <c r="D131">
        <v>14</v>
      </c>
      <c r="E131">
        <v>409.2</v>
      </c>
      <c r="F131">
        <v>144</v>
      </c>
      <c r="G131">
        <v>0</v>
      </c>
      <c r="H131">
        <v>112991.08</v>
      </c>
      <c r="I131">
        <v>0</v>
      </c>
      <c r="J131">
        <v>0</v>
      </c>
      <c r="K131">
        <v>0</v>
      </c>
      <c r="L131">
        <v>112991.08</v>
      </c>
    </row>
    <row r="132" spans="1:12" x14ac:dyDescent="0.35">
      <c r="A132" t="str">
        <v>CELSO ANDRES ORREGO OLIVARES</v>
      </c>
      <c r="B132" t="str">
        <v>15.977.589-5</v>
      </c>
      <c r="C132" t="str">
        <v>Conductor</v>
      </c>
      <c r="D132">
        <v>14</v>
      </c>
      <c r="E132">
        <v>409.2</v>
      </c>
      <c r="F132">
        <v>144</v>
      </c>
      <c r="G132">
        <v>0</v>
      </c>
      <c r="H132">
        <v>112991.08</v>
      </c>
      <c r="I132">
        <v>0</v>
      </c>
      <c r="J132">
        <v>0</v>
      </c>
      <c r="K132">
        <v>0</v>
      </c>
      <c r="L132">
        <v>112991.08</v>
      </c>
    </row>
    <row r="133" spans="1:12" x14ac:dyDescent="0.35">
      <c r="A133" t="str">
        <v>KEVIN ALEXIS NEYRA CORTES</v>
      </c>
      <c r="B133" t="str">
        <v>20.460.401-0</v>
      </c>
      <c r="C133" t="str">
        <v>Perforista</v>
      </c>
      <c r="D133">
        <v>16</v>
      </c>
      <c r="E133">
        <v>297.95</v>
      </c>
      <c r="F133">
        <v>192</v>
      </c>
      <c r="G133">
        <v>0</v>
      </c>
      <c r="H133">
        <v>195668.67</v>
      </c>
      <c r="I133">
        <v>0</v>
      </c>
      <c r="J133">
        <v>0</v>
      </c>
      <c r="K133">
        <v>0</v>
      </c>
      <c r="L133">
        <v>195668.67</v>
      </c>
    </row>
    <row r="134" spans="1:12" x14ac:dyDescent="0.35">
      <c r="A134" t="str">
        <v>ORLANDO PATRICIO CONTRERAS RIOS</v>
      </c>
      <c r="B134" t="str">
        <v>11.778.172-0</v>
      </c>
      <c r="C134" t="str">
        <v>Perforista</v>
      </c>
      <c r="D134">
        <v>13</v>
      </c>
      <c r="E134">
        <v>316.5</v>
      </c>
      <c r="F134">
        <v>156</v>
      </c>
      <c r="G134">
        <v>0</v>
      </c>
      <c r="H134">
        <v>158980.79</v>
      </c>
      <c r="I134">
        <v>0</v>
      </c>
      <c r="J134">
        <v>0</v>
      </c>
      <c r="K134">
        <v>0</v>
      </c>
      <c r="L134">
        <v>158980.79</v>
      </c>
    </row>
    <row r="135" spans="1:12" x14ac:dyDescent="0.35">
      <c r="A135" t="str">
        <v>DANIEL ANDRES VENEGAS CARRASCO</v>
      </c>
      <c r="B135" t="str">
        <v>18.665.544-3</v>
      </c>
      <c r="C135" t="str">
        <v>Perforista</v>
      </c>
      <c r="D135">
        <v>16</v>
      </c>
      <c r="E135">
        <v>303.5</v>
      </c>
      <c r="F135">
        <v>192</v>
      </c>
      <c r="G135">
        <v>0</v>
      </c>
      <c r="H135">
        <v>195668.67</v>
      </c>
      <c r="I135">
        <v>0</v>
      </c>
      <c r="J135">
        <v>0</v>
      </c>
      <c r="K135">
        <v>0</v>
      </c>
      <c r="L135">
        <v>195668.67</v>
      </c>
    </row>
    <row r="136" spans="1:12" x14ac:dyDescent="0.35">
      <c r="A136" t="str">
        <v>ELMER RISCO RAMOS</v>
      </c>
      <c r="B136" t="str">
        <v>44.598.439-6</v>
      </c>
      <c r="C136" t="str">
        <v>Perforista</v>
      </c>
      <c r="D136">
        <v>14</v>
      </c>
      <c r="E136">
        <v>289</v>
      </c>
      <c r="F136">
        <v>132</v>
      </c>
      <c r="G136">
        <v>0</v>
      </c>
      <c r="H136">
        <v>171210.08</v>
      </c>
      <c r="I136">
        <v>0</v>
      </c>
      <c r="J136">
        <v>0</v>
      </c>
      <c r="K136">
        <v>0</v>
      </c>
      <c r="L136">
        <v>171210.08</v>
      </c>
    </row>
    <row r="137" spans="1:12" x14ac:dyDescent="0.35">
      <c r="A137" t="str">
        <v>RONALD SEBASTIAN BORQUEZ CAMPUSANO</v>
      </c>
      <c r="B137" t="str">
        <v>19.271.256-4</v>
      </c>
      <c r="C137" t="str">
        <v>Conductor</v>
      </c>
      <c r="D137">
        <v>7</v>
      </c>
      <c r="E137">
        <v>139.35</v>
      </c>
      <c r="F137">
        <v>72</v>
      </c>
      <c r="G137">
        <v>0</v>
      </c>
      <c r="H137">
        <v>56495.54</v>
      </c>
      <c r="I137">
        <v>0</v>
      </c>
      <c r="J137">
        <v>0</v>
      </c>
      <c r="K137">
        <v>0</v>
      </c>
      <c r="L137">
        <v>56495.54</v>
      </c>
    </row>
    <row r="138" spans="1:12" x14ac:dyDescent="0.35">
      <c r="A138" t="str">
        <v>EDUARDO ANTONIO CASTILLO VALENZUELA</v>
      </c>
      <c r="B138" t="str">
        <v>12.218.170-7</v>
      </c>
      <c r="C138" t="str">
        <v>Perforista</v>
      </c>
      <c r="D138">
        <v>16</v>
      </c>
      <c r="E138">
        <v>356.6</v>
      </c>
      <c r="F138">
        <v>180</v>
      </c>
      <c r="G138">
        <v>0</v>
      </c>
      <c r="H138">
        <v>195668.67</v>
      </c>
      <c r="I138">
        <v>0</v>
      </c>
      <c r="J138">
        <v>0</v>
      </c>
      <c r="K138">
        <v>0</v>
      </c>
      <c r="L138">
        <v>195668.67</v>
      </c>
    </row>
    <row r="139" spans="1:12" x14ac:dyDescent="0.35">
      <c r="A139" t="str">
        <v>FELIPE ANDRES BOLBARAN ROJAS</v>
      </c>
      <c r="B139" t="str">
        <v>16.755.492-K</v>
      </c>
      <c r="C139" t="str">
        <v>Perforista</v>
      </c>
      <c r="D139">
        <v>14</v>
      </c>
      <c r="E139">
        <v>245.9</v>
      </c>
      <c r="F139">
        <v>168</v>
      </c>
      <c r="G139">
        <v>0</v>
      </c>
      <c r="H139">
        <v>171210.08</v>
      </c>
      <c r="I139">
        <v>0</v>
      </c>
      <c r="J139">
        <v>0</v>
      </c>
      <c r="K139">
        <v>0</v>
      </c>
      <c r="L139">
        <v>171210.08</v>
      </c>
    </row>
    <row r="140" spans="1:12" x14ac:dyDescent="0.35">
      <c r="A140" t="str">
        <v>DANIEL ANDRES ANDRADE AGUILAR</v>
      </c>
      <c r="B140" t="str">
        <v>17.465.056-K</v>
      </c>
      <c r="C140" t="str">
        <v>Mecánico</v>
      </c>
      <c r="D140">
        <v>13</v>
      </c>
      <c r="E140">
        <v>406.75</v>
      </c>
      <c r="F140">
        <v>156</v>
      </c>
      <c r="G140">
        <v>0</v>
      </c>
      <c r="H140">
        <v>104920.29</v>
      </c>
      <c r="I140">
        <v>0</v>
      </c>
      <c r="J140">
        <v>0</v>
      </c>
      <c r="K140">
        <v>0</v>
      </c>
      <c r="L140">
        <v>104920.29</v>
      </c>
    </row>
    <row r="141" spans="1:12" x14ac:dyDescent="0.35">
      <c r="A141" t="str">
        <v>DENYS SAUL VERGARA TOCAS</v>
      </c>
      <c r="B141" t="str">
        <v>44.599.981-4</v>
      </c>
      <c r="C141" t="str">
        <v>Perforista</v>
      </c>
      <c r="D141">
        <v>8</v>
      </c>
      <c r="E141">
        <v>185.25</v>
      </c>
      <c r="F141">
        <v>96</v>
      </c>
      <c r="G141">
        <v>0</v>
      </c>
      <c r="H141">
        <v>97834.33</v>
      </c>
      <c r="I141">
        <v>0</v>
      </c>
      <c r="J141">
        <v>0</v>
      </c>
      <c r="K141">
        <v>0</v>
      </c>
      <c r="L141">
        <v>97834.33</v>
      </c>
    </row>
    <row r="142" spans="1:12" x14ac:dyDescent="0.35">
      <c r="A142" t="str">
        <v>DAVID AUGUSTO MARSHALL FLORES</v>
      </c>
      <c r="B142" t="str">
        <v>18.328.176-3</v>
      </c>
      <c r="C142" t="str">
        <v>BODEGUERO</v>
      </c>
      <c r="D142">
        <v>14</v>
      </c>
      <c r="E142">
        <v>409.2</v>
      </c>
      <c r="F142">
        <v>144</v>
      </c>
      <c r="G142">
        <v>0</v>
      </c>
      <c r="H142">
        <v>112991.08</v>
      </c>
      <c r="I142">
        <v>0</v>
      </c>
      <c r="J142">
        <v>0</v>
      </c>
      <c r="K142">
        <v>0</v>
      </c>
      <c r="L142">
        <v>112991.08</v>
      </c>
    </row>
    <row r="143" spans="1:12" x14ac:dyDescent="0.35">
      <c r="A143" t="str">
        <v>GUILLERMO NICOLAS GODOY CARVAJAL</v>
      </c>
      <c r="B143" t="str">
        <v>18.012.671-6</v>
      </c>
      <c r="C143" t="str">
        <v>Ayudante Perforista</v>
      </c>
      <c r="D143">
        <v>9</v>
      </c>
      <c r="E143">
        <v>141</v>
      </c>
      <c r="F143">
        <v>108</v>
      </c>
      <c r="G143">
        <v>0</v>
      </c>
      <c r="H143">
        <v>72637.13</v>
      </c>
      <c r="I143">
        <v>0</v>
      </c>
      <c r="J143">
        <v>0</v>
      </c>
      <c r="K143">
        <v>0</v>
      </c>
      <c r="L143">
        <v>72637.13</v>
      </c>
    </row>
    <row r="144" spans="1:12" x14ac:dyDescent="0.35">
      <c r="A144" t="str">
        <v>JEAN CHARLES CERDA ORREGO</v>
      </c>
      <c r="B144" t="str">
        <v>19.349.619-9</v>
      </c>
      <c r="C144" t="str">
        <v>Ayudante Perforista</v>
      </c>
      <c r="D144">
        <v>10</v>
      </c>
      <c r="E144">
        <v>208.05</v>
      </c>
      <c r="F144">
        <v>120</v>
      </c>
      <c r="G144">
        <v>0</v>
      </c>
      <c r="H144">
        <v>80707.92</v>
      </c>
      <c r="I144">
        <v>0</v>
      </c>
      <c r="J144">
        <v>0</v>
      </c>
      <c r="K144">
        <v>0</v>
      </c>
      <c r="L144">
        <v>80707.92</v>
      </c>
    </row>
    <row r="145" spans="1:12" x14ac:dyDescent="0.35">
      <c r="A145" t="str">
        <v>GUILLERMO ALFREDO CASTRO ZUÑIGA</v>
      </c>
      <c r="B145" t="str">
        <v>15.134.240-K</v>
      </c>
      <c r="C145" t="str">
        <v>Perforista</v>
      </c>
      <c r="D145">
        <v>14</v>
      </c>
      <c r="E145">
        <v>265.60000000000002</v>
      </c>
      <c r="F145">
        <v>168</v>
      </c>
      <c r="G145">
        <v>0</v>
      </c>
      <c r="H145">
        <v>171210.08</v>
      </c>
      <c r="I145">
        <v>0</v>
      </c>
      <c r="J145">
        <v>0</v>
      </c>
      <c r="K145">
        <v>0</v>
      </c>
      <c r="L145">
        <v>171210.08</v>
      </c>
    </row>
    <row r="146" spans="1:12" x14ac:dyDescent="0.35">
      <c r="A146" t="str">
        <v>DIEGO NICOLAS GONZALEZ OLIVARES</v>
      </c>
      <c r="B146" t="str">
        <v>19.506.189-0</v>
      </c>
      <c r="C146" t="str">
        <v>Mecánico</v>
      </c>
      <c r="D146">
        <v>16</v>
      </c>
      <c r="E146">
        <v>451.6</v>
      </c>
      <c r="F146">
        <v>180</v>
      </c>
      <c r="G146">
        <v>0</v>
      </c>
      <c r="H146">
        <v>129132.67</v>
      </c>
      <c r="I146">
        <v>0</v>
      </c>
      <c r="J146">
        <v>0</v>
      </c>
      <c r="K146">
        <v>0</v>
      </c>
      <c r="L146">
        <v>129132.67</v>
      </c>
    </row>
    <row r="147" spans="1:12" x14ac:dyDescent="0.35">
      <c r="A147" t="str">
        <v>ISRAEL AARÓN VERGARA ELGUETA</v>
      </c>
      <c r="B147" t="str">
        <v>15.475.908-5</v>
      </c>
      <c r="C147" t="str">
        <v>Administrador de Contrato</v>
      </c>
      <c r="D147">
        <v>13</v>
      </c>
      <c r="E147">
        <v>406.75</v>
      </c>
      <c r="F147">
        <v>156</v>
      </c>
      <c r="G147">
        <v>0</v>
      </c>
      <c r="H147">
        <v>158980.79</v>
      </c>
      <c r="I147">
        <v>0</v>
      </c>
      <c r="J147">
        <v>0</v>
      </c>
      <c r="K147">
        <v>0</v>
      </c>
      <c r="L147">
        <v>158980.79</v>
      </c>
    </row>
    <row r="148" spans="1:12" x14ac:dyDescent="0.35">
      <c r="A148" t="str">
        <v>HANS YERKO MARQUEZ MUÑOZ</v>
      </c>
      <c r="B148" t="str">
        <v>18.223.319-6</v>
      </c>
      <c r="C148" t="str">
        <v>Superintendente de Mantención</v>
      </c>
      <c r="D148">
        <v>0</v>
      </c>
      <c r="E148">
        <v>0</v>
      </c>
      <c r="F148">
        <v>0</v>
      </c>
      <c r="G148">
        <v>0</v>
      </c>
      <c r="H148">
        <v>733757.5</v>
      </c>
      <c r="I148">
        <v>0</v>
      </c>
      <c r="J148">
        <v>0</v>
      </c>
      <c r="K148">
        <v>0</v>
      </c>
      <c r="L148">
        <v>0</v>
      </c>
    </row>
    <row r="149" spans="1:12" x14ac:dyDescent="0.35">
      <c r="A149" t="str">
        <v>CAMILO FELIPE CRUZ MOLINA</v>
      </c>
      <c r="B149" t="str">
        <v>17.580.584-2</v>
      </c>
      <c r="C149" t="str">
        <v>Supervisor</v>
      </c>
      <c r="D149">
        <v>16</v>
      </c>
      <c r="E149">
        <v>342</v>
      </c>
      <c r="F149">
        <v>180</v>
      </c>
      <c r="G149">
        <v>0</v>
      </c>
      <c r="H149">
        <v>195668.67</v>
      </c>
      <c r="I149">
        <v>0</v>
      </c>
      <c r="J149">
        <v>0</v>
      </c>
      <c r="K149">
        <v>0</v>
      </c>
      <c r="L149">
        <v>195668.67</v>
      </c>
    </row>
    <row r="150" spans="1:12" x14ac:dyDescent="0.35">
      <c r="A150" t="str">
        <v>MARCO ANTONIO VELASQUEZ CIFUENTES</v>
      </c>
      <c r="B150" t="str">
        <v>12.982.701-7</v>
      </c>
      <c r="C150" t="str">
        <v>Ayudante Perforista</v>
      </c>
      <c r="D150">
        <v>16</v>
      </c>
      <c r="E150">
        <v>303.5</v>
      </c>
      <c r="F150">
        <v>192</v>
      </c>
      <c r="G150">
        <v>0</v>
      </c>
      <c r="H150">
        <v>129132.67</v>
      </c>
      <c r="I150">
        <v>0</v>
      </c>
      <c r="J150">
        <v>0</v>
      </c>
      <c r="K150">
        <v>0</v>
      </c>
      <c r="L150">
        <v>129132.67</v>
      </c>
    </row>
    <row r="151" spans="1:12" x14ac:dyDescent="0.35">
      <c r="A151" t="str">
        <v>PEDRO ENRIQUE BOLBARAN ROJAS</v>
      </c>
      <c r="B151" t="str">
        <v>17.388.599-7</v>
      </c>
      <c r="C151" t="str">
        <v>Ayudante Perforista</v>
      </c>
      <c r="D151">
        <v>14</v>
      </c>
      <c r="E151">
        <v>288.5</v>
      </c>
      <c r="F151">
        <v>168</v>
      </c>
      <c r="G151">
        <v>0</v>
      </c>
      <c r="H151">
        <v>112991.08</v>
      </c>
      <c r="I151">
        <v>0</v>
      </c>
      <c r="J151">
        <v>0</v>
      </c>
      <c r="K151">
        <v>0</v>
      </c>
      <c r="L151">
        <v>112991.08</v>
      </c>
    </row>
    <row r="152" spans="1:12" x14ac:dyDescent="0.35">
      <c r="A152" t="str">
        <v>HECTOR  HUGO  SEPULVEDA  GAVILAN</v>
      </c>
      <c r="B152" t="str">
        <v>14.071.144-6</v>
      </c>
      <c r="C152" t="str">
        <v>Ayudante Perforista</v>
      </c>
      <c r="D152">
        <v>7</v>
      </c>
      <c r="E152">
        <v>121.05</v>
      </c>
      <c r="F152">
        <v>84</v>
      </c>
      <c r="G152">
        <v>0</v>
      </c>
      <c r="H152">
        <v>56495.54</v>
      </c>
      <c r="I152">
        <v>0</v>
      </c>
      <c r="J152">
        <v>0</v>
      </c>
      <c r="K152">
        <v>0</v>
      </c>
      <c r="L152">
        <v>56495.54</v>
      </c>
    </row>
    <row r="153" spans="1:12" x14ac:dyDescent="0.35">
      <c r="A153" t="str">
        <v>PATRICIO RICARDO OETIKER OYARZUN</v>
      </c>
      <c r="B153" t="str">
        <v>9.528.480-9</v>
      </c>
      <c r="C153" t="str">
        <v>HSEC</v>
      </c>
      <c r="D153">
        <v>14</v>
      </c>
      <c r="E153">
        <v>405.2</v>
      </c>
      <c r="F153">
        <v>144</v>
      </c>
      <c r="G153">
        <v>0</v>
      </c>
      <c r="H153">
        <v>171210.08</v>
      </c>
      <c r="I153">
        <v>0</v>
      </c>
      <c r="J153">
        <v>0</v>
      </c>
      <c r="K153">
        <v>0</v>
      </c>
      <c r="L153">
        <v>171210.08</v>
      </c>
    </row>
    <row r="154" spans="1:12" x14ac:dyDescent="0.35">
      <c r="A154" t="str">
        <v>SERGIO ALFONSO BRUNA LEDEZMA</v>
      </c>
      <c r="B154" t="str">
        <v>16.687.336-3</v>
      </c>
      <c r="C154" t="str">
        <v>Ayudante Perforista</v>
      </c>
      <c r="D154">
        <v>14</v>
      </c>
      <c r="E154">
        <v>303</v>
      </c>
      <c r="F154">
        <v>168</v>
      </c>
      <c r="G154">
        <v>0</v>
      </c>
      <c r="H154">
        <v>112991.08</v>
      </c>
      <c r="I154">
        <v>0</v>
      </c>
      <c r="J154">
        <v>0</v>
      </c>
      <c r="K154">
        <v>0</v>
      </c>
      <c r="L154">
        <v>112991.08</v>
      </c>
    </row>
    <row r="155" spans="1:12" x14ac:dyDescent="0.35">
      <c r="A155" t="str">
        <v>MARIO ANDRES PUCHI CORTEZ</v>
      </c>
      <c r="B155" t="str">
        <v>16.684.239-5</v>
      </c>
      <c r="C155" t="str">
        <v>Mecánico</v>
      </c>
      <c r="D155">
        <v>14</v>
      </c>
      <c r="E155">
        <v>405.2</v>
      </c>
      <c r="F155">
        <v>144</v>
      </c>
      <c r="G155">
        <v>0</v>
      </c>
      <c r="H155">
        <v>112991.08</v>
      </c>
      <c r="I155">
        <v>0</v>
      </c>
      <c r="J155">
        <v>0</v>
      </c>
      <c r="K155">
        <v>0</v>
      </c>
      <c r="L155">
        <v>112991.08</v>
      </c>
    </row>
    <row r="156" spans="1:12" x14ac:dyDescent="0.35">
      <c r="A156" t="str">
        <v>MANUEL ARNOLDO ALISTE OLIVARES</v>
      </c>
      <c r="B156" t="str">
        <v>12.807.074-5</v>
      </c>
      <c r="C156" t="str">
        <v>Ayudante Perforista</v>
      </c>
      <c r="D156">
        <v>14</v>
      </c>
      <c r="E156">
        <v>288.5</v>
      </c>
      <c r="F156">
        <v>168</v>
      </c>
      <c r="G156">
        <v>0</v>
      </c>
      <c r="H156">
        <v>112991.08</v>
      </c>
      <c r="I156">
        <v>0</v>
      </c>
      <c r="J156">
        <v>0</v>
      </c>
      <c r="K156">
        <v>0</v>
      </c>
      <c r="L156">
        <v>112991.08</v>
      </c>
    </row>
    <row r="157" spans="1:12" x14ac:dyDescent="0.35">
      <c r="A157" t="str">
        <v>MARCOS ANTONIO ALDEA BEROIZA</v>
      </c>
      <c r="B157" t="str">
        <v>16.981.319-1</v>
      </c>
      <c r="C157" t="str">
        <v>Conductor</v>
      </c>
      <c r="D157">
        <v>16</v>
      </c>
      <c r="E157">
        <v>451.6</v>
      </c>
      <c r="F157">
        <v>180</v>
      </c>
      <c r="G157">
        <v>0</v>
      </c>
      <c r="H157">
        <v>129132.67</v>
      </c>
      <c r="I157">
        <v>0</v>
      </c>
      <c r="J157">
        <v>0</v>
      </c>
      <c r="K157">
        <v>0</v>
      </c>
      <c r="L157">
        <v>129132.67</v>
      </c>
    </row>
    <row r="158" spans="1:12" x14ac:dyDescent="0.35">
      <c r="A158" t="str">
        <v>RICARDO ALEXIS LEMUS LOPEZ</v>
      </c>
      <c r="B158" t="str">
        <v>15.969.452-6</v>
      </c>
      <c r="C158" t="str">
        <v>Ayudante Perforista</v>
      </c>
      <c r="D158">
        <v>11</v>
      </c>
      <c r="E158">
        <v>163.05000000000001</v>
      </c>
      <c r="F158">
        <v>120</v>
      </c>
      <c r="G158">
        <v>0</v>
      </c>
      <c r="H158">
        <v>88778.71</v>
      </c>
      <c r="I158">
        <v>0</v>
      </c>
      <c r="J158">
        <v>0</v>
      </c>
      <c r="K158">
        <v>0</v>
      </c>
      <c r="L158">
        <v>88778.71</v>
      </c>
    </row>
    <row r="159" spans="1:12" x14ac:dyDescent="0.35">
      <c r="A159" t="str">
        <v>PABLO ROMARIO BOSSA ZAMORANO</v>
      </c>
      <c r="B159" t="str">
        <v>17.521.166-7</v>
      </c>
      <c r="C159" t="str">
        <v>Conductor</v>
      </c>
      <c r="D159">
        <v>14</v>
      </c>
      <c r="E159">
        <v>405.2</v>
      </c>
      <c r="F159">
        <v>144</v>
      </c>
      <c r="G159">
        <v>0</v>
      </c>
      <c r="H159">
        <v>112991.08</v>
      </c>
      <c r="I159">
        <v>0</v>
      </c>
      <c r="J159">
        <v>0</v>
      </c>
      <c r="K159">
        <v>0</v>
      </c>
      <c r="L159">
        <v>112991.08</v>
      </c>
    </row>
    <row r="160" spans="1:12" x14ac:dyDescent="0.35">
      <c r="A160" t="str">
        <v>OSCAR RODRIGO ARIAS LEIVA</v>
      </c>
      <c r="B160" t="str">
        <v>20.774.155-8</v>
      </c>
      <c r="C160" t="str">
        <v>Ayudante Perforista</v>
      </c>
      <c r="D160">
        <v>10</v>
      </c>
      <c r="E160">
        <v>185.35</v>
      </c>
      <c r="F160">
        <v>120</v>
      </c>
      <c r="G160">
        <v>0</v>
      </c>
      <c r="H160">
        <v>80707.92</v>
      </c>
      <c r="I160">
        <v>0</v>
      </c>
      <c r="J160">
        <v>0</v>
      </c>
      <c r="K160">
        <v>0</v>
      </c>
      <c r="L160">
        <v>80707.92</v>
      </c>
    </row>
    <row r="161" spans="1:12" x14ac:dyDescent="0.35">
      <c r="A161" t="str">
        <v>MANUEL ALEJANDRO LISAMBARTH CARABANTES</v>
      </c>
      <c r="B161" t="str">
        <v>16.892.085-7</v>
      </c>
      <c r="C161" t="str">
        <v>Administrativo</v>
      </c>
      <c r="D161">
        <v>16</v>
      </c>
      <c r="E161">
        <v>397</v>
      </c>
      <c r="F161">
        <v>180</v>
      </c>
      <c r="G161">
        <v>0</v>
      </c>
      <c r="H161">
        <v>129132.67</v>
      </c>
      <c r="I161">
        <v>0</v>
      </c>
      <c r="J161">
        <v>0</v>
      </c>
      <c r="K161">
        <v>0</v>
      </c>
      <c r="L161">
        <v>129132.67</v>
      </c>
    </row>
    <row r="162" spans="1:12" x14ac:dyDescent="0.35">
      <c r="A162" t="str">
        <v>NELSON PATRICIO FLORES SANHUEZA</v>
      </c>
      <c r="B162" t="str">
        <v>15.196.627-6</v>
      </c>
      <c r="C162" t="str">
        <v>HSEC</v>
      </c>
      <c r="D162">
        <v>16</v>
      </c>
      <c r="E162">
        <v>451.6</v>
      </c>
      <c r="F162">
        <v>180</v>
      </c>
      <c r="G162">
        <v>0</v>
      </c>
      <c r="H162">
        <v>195668.67</v>
      </c>
      <c r="I162">
        <v>0</v>
      </c>
      <c r="J162">
        <v>0</v>
      </c>
      <c r="K162">
        <v>0</v>
      </c>
      <c r="L162">
        <v>195668.67</v>
      </c>
    </row>
    <row r="163" spans="1:12" x14ac:dyDescent="0.35">
      <c r="A163" t="str">
        <v>OMAR ANDRES ARAYA ZUÑIGA</v>
      </c>
      <c r="B163" t="str">
        <v>16.771.866-3</v>
      </c>
      <c r="C163" t="str">
        <v>Ayudante Perforista</v>
      </c>
      <c r="D163">
        <v>16</v>
      </c>
      <c r="E163">
        <v>324.39999999999998</v>
      </c>
      <c r="F163">
        <v>192</v>
      </c>
      <c r="G163">
        <v>0</v>
      </c>
      <c r="H163">
        <v>129132.67</v>
      </c>
      <c r="I163">
        <v>0</v>
      </c>
      <c r="J163">
        <v>0</v>
      </c>
      <c r="K163">
        <v>0</v>
      </c>
      <c r="L163">
        <v>129132.67</v>
      </c>
    </row>
    <row r="164" spans="1:12" x14ac:dyDescent="0.35">
      <c r="A164" t="str">
        <v>PATRICIO RENAN GONZALEZ CABELLO</v>
      </c>
      <c r="B164" t="str">
        <v>17.980.395-K</v>
      </c>
      <c r="C164" t="str">
        <v>Ayudante Perforista</v>
      </c>
      <c r="D164">
        <v>16</v>
      </c>
      <c r="E164">
        <v>357.75</v>
      </c>
      <c r="F164">
        <v>192</v>
      </c>
      <c r="G164">
        <v>0</v>
      </c>
      <c r="H164">
        <v>129132.67</v>
      </c>
      <c r="I164">
        <v>0</v>
      </c>
      <c r="J164">
        <v>0</v>
      </c>
      <c r="K164">
        <v>0</v>
      </c>
      <c r="L164">
        <v>129132.67</v>
      </c>
    </row>
    <row r="165" spans="1:12" x14ac:dyDescent="0.35">
      <c r="A165" t="str">
        <v>SEBASTIAN ALEJANDRO ARANEDA MILLAR</v>
      </c>
      <c r="B165" t="str">
        <v>18.987.429-4</v>
      </c>
      <c r="C165" t="str">
        <v>Ayudante Perforista</v>
      </c>
      <c r="D165">
        <v>14</v>
      </c>
      <c r="E165">
        <v>303</v>
      </c>
      <c r="F165">
        <v>168</v>
      </c>
      <c r="G165">
        <v>0</v>
      </c>
      <c r="H165">
        <v>112991.08</v>
      </c>
      <c r="I165">
        <v>0</v>
      </c>
      <c r="J165">
        <v>0</v>
      </c>
      <c r="K165">
        <v>0</v>
      </c>
      <c r="L165">
        <v>112991.08</v>
      </c>
    </row>
    <row r="166" spans="1:12" x14ac:dyDescent="0.35">
      <c r="A166" t="str">
        <v>OSCAR MANUEL ESPINOZA ESPINOZA</v>
      </c>
      <c r="B166" t="str">
        <v>18.494.069-8</v>
      </c>
      <c r="C166" t="str">
        <v>Ayudante Perforista</v>
      </c>
      <c r="D166">
        <v>14</v>
      </c>
      <c r="E166">
        <v>245.9</v>
      </c>
      <c r="F166">
        <v>168</v>
      </c>
      <c r="G166">
        <v>0</v>
      </c>
      <c r="H166">
        <v>112991.08</v>
      </c>
      <c r="I166">
        <v>0</v>
      </c>
      <c r="J166">
        <v>0</v>
      </c>
      <c r="K166">
        <v>0</v>
      </c>
      <c r="L166">
        <v>112991.08</v>
      </c>
    </row>
    <row r="167" spans="1:12" x14ac:dyDescent="0.35">
      <c r="A167" t="str">
        <v>SEBASTIAN GONZALO ROJAS CLARO</v>
      </c>
      <c r="B167" t="str">
        <v>26.931.695-0</v>
      </c>
      <c r="C167" t="str">
        <v>Mecánico</v>
      </c>
      <c r="D167">
        <v>9</v>
      </c>
      <c r="E167">
        <v>202.65</v>
      </c>
      <c r="F167">
        <v>108</v>
      </c>
      <c r="G167">
        <v>0</v>
      </c>
      <c r="H167">
        <v>72637.13</v>
      </c>
      <c r="I167">
        <v>0</v>
      </c>
      <c r="J167">
        <v>0</v>
      </c>
      <c r="K167">
        <v>0</v>
      </c>
      <c r="L167">
        <v>72637.13</v>
      </c>
    </row>
    <row r="168" spans="1:12" x14ac:dyDescent="0.35">
      <c r="A168" t="str">
        <v>RICARDO DE LAS NIEVES GUTIERREZ FUENTES</v>
      </c>
      <c r="B168" t="str">
        <v>12.707.776-2</v>
      </c>
      <c r="C168" t="str">
        <v>Conductor</v>
      </c>
      <c r="D168">
        <v>9</v>
      </c>
      <c r="E168">
        <v>202.65</v>
      </c>
      <c r="F168">
        <v>108</v>
      </c>
      <c r="G168">
        <v>0</v>
      </c>
      <c r="H168">
        <v>72637.13</v>
      </c>
      <c r="I168">
        <v>0</v>
      </c>
      <c r="J168">
        <v>0</v>
      </c>
      <c r="K168">
        <v>0</v>
      </c>
      <c r="L168">
        <v>72637.13</v>
      </c>
    </row>
    <row r="169" spans="1:12" x14ac:dyDescent="0.35">
      <c r="A169" t="str">
        <v>RODRIGO ANDRES DIAZ INOSTROZA</v>
      </c>
      <c r="B169" t="str">
        <v>17.697.158-4</v>
      </c>
      <c r="C169" t="str">
        <v>BODEGUERO</v>
      </c>
      <c r="D169">
        <v>16</v>
      </c>
      <c r="E169">
        <v>397</v>
      </c>
      <c r="F169">
        <v>180</v>
      </c>
      <c r="G169">
        <v>0</v>
      </c>
      <c r="H169">
        <v>129132.67</v>
      </c>
      <c r="I169">
        <v>0</v>
      </c>
      <c r="J169">
        <v>0</v>
      </c>
      <c r="K169">
        <v>0</v>
      </c>
      <c r="L169">
        <v>129132.67</v>
      </c>
    </row>
    <row r="170" spans="1:12" x14ac:dyDescent="0.35">
      <c r="A170" t="str">
        <v>RAUL MANUEL BUSTAMANTE CERON</v>
      </c>
      <c r="B170" t="str">
        <v>16.290.708-5</v>
      </c>
      <c r="C170" t="str">
        <v>Soldador</v>
      </c>
      <c r="D170">
        <v>14</v>
      </c>
      <c r="E170">
        <v>409.2</v>
      </c>
      <c r="F170">
        <v>144</v>
      </c>
      <c r="G170">
        <v>0</v>
      </c>
      <c r="H170">
        <v>112991.08</v>
      </c>
      <c r="I170">
        <v>0</v>
      </c>
      <c r="J170">
        <v>0</v>
      </c>
      <c r="K170">
        <v>0</v>
      </c>
      <c r="L170">
        <v>112991.08</v>
      </c>
    </row>
    <row r="171" spans="1:12" x14ac:dyDescent="0.35">
      <c r="A171" t="str">
        <v>RICKY DONNELLY ARAVENA POBLETE</v>
      </c>
      <c r="B171" t="str">
        <v>15.608.134-5</v>
      </c>
      <c r="C171" t="str">
        <v>Ayudante Perforista</v>
      </c>
      <c r="D171">
        <v>14</v>
      </c>
      <c r="E171">
        <v>265.60000000000002</v>
      </c>
      <c r="F171">
        <v>168</v>
      </c>
      <c r="G171">
        <v>0</v>
      </c>
      <c r="H171">
        <v>112991.08</v>
      </c>
      <c r="I171">
        <v>0</v>
      </c>
      <c r="J171">
        <v>0</v>
      </c>
      <c r="K171">
        <v>0</v>
      </c>
      <c r="L171">
        <v>112991.08</v>
      </c>
    </row>
    <row r="172" spans="1:12" x14ac:dyDescent="0.35">
      <c r="A172" t="str">
        <v>PABLO ANTONIO ALVAREZ CORTES</v>
      </c>
      <c r="B172" t="str">
        <v>18.184.052-8</v>
      </c>
      <c r="C172" t="str">
        <v>HSEC</v>
      </c>
      <c r="D172">
        <v>14</v>
      </c>
      <c r="E172">
        <v>409.2</v>
      </c>
      <c r="F172">
        <v>144</v>
      </c>
      <c r="G172">
        <v>0</v>
      </c>
      <c r="H172">
        <v>171210.08</v>
      </c>
      <c r="I172">
        <v>0</v>
      </c>
      <c r="J172">
        <v>0</v>
      </c>
      <c r="K172">
        <v>0</v>
      </c>
      <c r="L172">
        <v>171210.08</v>
      </c>
    </row>
    <row r="173" spans="1:12" x14ac:dyDescent="0.35">
      <c r="A173" t="str">
        <v>CHRISTOFER HUESLY OLIVARES FERNANDEZ</v>
      </c>
      <c r="B173" t="str">
        <v>16.755.649-3</v>
      </c>
      <c r="C173" t="str">
        <v>Ayudante Perforista</v>
      </c>
      <c r="D173">
        <v>14</v>
      </c>
      <c r="E173">
        <v>265.60000000000002</v>
      </c>
      <c r="F173">
        <v>168</v>
      </c>
      <c r="G173">
        <v>0</v>
      </c>
      <c r="H173">
        <v>112991.08</v>
      </c>
      <c r="I173">
        <v>0</v>
      </c>
      <c r="J173">
        <v>0</v>
      </c>
      <c r="K173">
        <v>0</v>
      </c>
      <c r="L173">
        <v>112991.08</v>
      </c>
    </row>
    <row r="174" spans="1:12" x14ac:dyDescent="0.35">
      <c r="A174" t="str">
        <v>RAUL  ESTEBAN  HERNANDEZ PIZARRO</v>
      </c>
      <c r="B174" t="str">
        <v>18.494.463-4</v>
      </c>
      <c r="C174" t="str">
        <v>HSEC</v>
      </c>
      <c r="D174">
        <v>16</v>
      </c>
      <c r="E174">
        <v>342</v>
      </c>
      <c r="F174">
        <v>180</v>
      </c>
      <c r="G174">
        <v>0</v>
      </c>
      <c r="H174">
        <v>195668.67</v>
      </c>
      <c r="I174">
        <v>0</v>
      </c>
      <c r="J174">
        <v>0</v>
      </c>
      <c r="K174">
        <v>0</v>
      </c>
      <c r="L174">
        <v>195668.67</v>
      </c>
    </row>
    <row r="175" spans="1:12" x14ac:dyDescent="0.35">
      <c r="A175" t="str">
        <v>SEBASTIAN IGNACIO ORTEGA GOMEZ</v>
      </c>
      <c r="B175" t="str">
        <v>19.460.307-K</v>
      </c>
      <c r="C175" t="str">
        <v>Mecánico</v>
      </c>
      <c r="D175">
        <v>7</v>
      </c>
      <c r="E175">
        <v>153</v>
      </c>
      <c r="F175">
        <v>48</v>
      </c>
      <c r="G175">
        <v>0</v>
      </c>
      <c r="H175">
        <v>56495.54</v>
      </c>
      <c r="I175">
        <v>0</v>
      </c>
      <c r="J175">
        <v>0</v>
      </c>
      <c r="K175">
        <v>0</v>
      </c>
      <c r="L175">
        <v>56495.54</v>
      </c>
    </row>
    <row r="176" spans="1:12" x14ac:dyDescent="0.35">
      <c r="A176" t="str">
        <v>VLADIMIR OMAR CASTRO ENCINA</v>
      </c>
      <c r="B176" t="str">
        <v>16.441.822-7</v>
      </c>
      <c r="C176" t="str">
        <v>Perforista</v>
      </c>
      <c r="D176">
        <v>7</v>
      </c>
      <c r="E176">
        <v>139.35</v>
      </c>
      <c r="F176">
        <v>72</v>
      </c>
      <c r="G176">
        <v>0</v>
      </c>
      <c r="H176">
        <v>85605.04</v>
      </c>
      <c r="I176">
        <v>0</v>
      </c>
      <c r="J176">
        <v>0</v>
      </c>
      <c r="K176">
        <v>0</v>
      </c>
      <c r="L176">
        <v>85605.04</v>
      </c>
    </row>
    <row r="177" spans="1:12" x14ac:dyDescent="0.35">
      <c r="A177" t="str">
        <v>SHANNAN ELIZABETH DOBB</v>
      </c>
      <c r="B177" t="str">
        <v>44.630.339-2</v>
      </c>
      <c r="C177" t="str">
        <v>Ayudante Perforista</v>
      </c>
      <c r="D177">
        <v>7</v>
      </c>
      <c r="E177">
        <v>139.35</v>
      </c>
      <c r="F177">
        <v>72</v>
      </c>
      <c r="G177">
        <v>0</v>
      </c>
      <c r="H177">
        <v>56495.54</v>
      </c>
      <c r="I177">
        <v>0</v>
      </c>
      <c r="J177">
        <v>0</v>
      </c>
      <c r="K177">
        <v>0</v>
      </c>
      <c r="L177">
        <v>56495.54</v>
      </c>
    </row>
    <row r="178" spans="1:12" x14ac:dyDescent="0.35">
      <c r="A178" t="str">
        <v>SIMONNE DE LA PAZ REYES BATLLE</v>
      </c>
      <c r="B178" t="str">
        <v>18.490.734-8</v>
      </c>
      <c r="C178" t="str">
        <v>Administrativo</v>
      </c>
      <c r="D178">
        <v>18</v>
      </c>
      <c r="E178">
        <v>508.45</v>
      </c>
      <c r="F178">
        <v>228</v>
      </c>
      <c r="G178">
        <v>0</v>
      </c>
      <c r="H178">
        <v>145274.25</v>
      </c>
      <c r="I178">
        <v>0</v>
      </c>
      <c r="J178">
        <v>0</v>
      </c>
      <c r="K178">
        <v>0</v>
      </c>
      <c r="L178">
        <v>145274.25</v>
      </c>
    </row>
    <row r="179" spans="1:12" x14ac:dyDescent="0.35">
      <c r="A179" t="str">
        <v>RUBEN IGNACIO CORTES BORBON</v>
      </c>
      <c r="B179" t="str">
        <v>19.983.747-8</v>
      </c>
      <c r="C179" t="str">
        <v>Ayudante Perforista</v>
      </c>
      <c r="D179">
        <v>16</v>
      </c>
      <c r="E179">
        <v>389.95</v>
      </c>
      <c r="F179">
        <v>192</v>
      </c>
      <c r="G179">
        <v>0</v>
      </c>
      <c r="H179">
        <v>129132.67</v>
      </c>
      <c r="I179">
        <v>0</v>
      </c>
      <c r="J179">
        <v>0</v>
      </c>
      <c r="K179">
        <v>0</v>
      </c>
      <c r="L179">
        <v>129132.67</v>
      </c>
    </row>
    <row r="180" spans="1:12" x14ac:dyDescent="0.35">
      <c r="A180" t="str">
        <v>CHRISTIAN DARIEM PIZARRO MUÑOZ</v>
      </c>
      <c r="B180" t="str">
        <v>20.456.853-7</v>
      </c>
      <c r="C180" t="str">
        <v>Soldador</v>
      </c>
      <c r="D180">
        <v>16</v>
      </c>
      <c r="E180">
        <v>397</v>
      </c>
      <c r="F180">
        <v>180</v>
      </c>
      <c r="G180">
        <v>0</v>
      </c>
      <c r="H180">
        <v>129132.67</v>
      </c>
      <c r="I180">
        <v>0</v>
      </c>
      <c r="J180">
        <v>0</v>
      </c>
      <c r="K180">
        <v>0</v>
      </c>
      <c r="L180">
        <v>129132.67</v>
      </c>
    </row>
    <row r="181" spans="1:12" x14ac:dyDescent="0.35">
      <c r="A181" t="str">
        <v>JOAQUIN IGNACIO TORO ALCAYAGA</v>
      </c>
      <c r="B181" t="str">
        <v>19.189.343-3</v>
      </c>
      <c r="C181" t="str">
        <v>Ayudante Perforista</v>
      </c>
      <c r="D181">
        <v>9</v>
      </c>
      <c r="E181">
        <v>170.85</v>
      </c>
      <c r="F181">
        <v>108</v>
      </c>
      <c r="G181">
        <v>0</v>
      </c>
      <c r="H181">
        <v>72637.13</v>
      </c>
      <c r="I181">
        <v>0</v>
      </c>
      <c r="J181">
        <v>0</v>
      </c>
      <c r="K181">
        <v>0</v>
      </c>
      <c r="L181">
        <v>72637.13</v>
      </c>
    </row>
    <row r="182" spans="1:12" x14ac:dyDescent="0.35">
      <c r="A182" t="str">
        <v>MARCELO ALEJANDRO INZUNZA ALARCON</v>
      </c>
      <c r="B182" t="str">
        <v>15.197.539-9</v>
      </c>
      <c r="C182" t="str">
        <v>Ayudante Perforista</v>
      </c>
      <c r="D182">
        <v>14</v>
      </c>
      <c r="E182">
        <v>288.5</v>
      </c>
      <c r="F182">
        <v>168</v>
      </c>
      <c r="G182">
        <v>0</v>
      </c>
      <c r="H182">
        <v>112991.08</v>
      </c>
      <c r="I182">
        <v>0</v>
      </c>
      <c r="J182">
        <v>0</v>
      </c>
      <c r="K182">
        <v>0</v>
      </c>
      <c r="L182">
        <v>112991.08</v>
      </c>
    </row>
    <row r="183" spans="1:12" x14ac:dyDescent="0.35">
      <c r="A183" t="str">
        <v>FELIX ALEJANDRO MERY ROBLEDO</v>
      </c>
      <c r="B183" t="str">
        <v>15.050.755-3</v>
      </c>
      <c r="C183" t="str">
        <v>Administrador de Contrato</v>
      </c>
      <c r="D183">
        <v>14</v>
      </c>
      <c r="E183">
        <v>277.05</v>
      </c>
      <c r="F183">
        <v>120</v>
      </c>
      <c r="G183">
        <v>0</v>
      </c>
      <c r="H183">
        <v>171210.08</v>
      </c>
      <c r="I183">
        <v>0</v>
      </c>
      <c r="J183">
        <v>0</v>
      </c>
      <c r="K183">
        <v>0</v>
      </c>
      <c r="L183">
        <v>171210.08</v>
      </c>
    </row>
    <row r="184" spans="1:12" x14ac:dyDescent="0.35">
      <c r="A184" t="str">
        <v>FRANCISCO PEDRO BORNAZ DELGADO</v>
      </c>
      <c r="B184" t="str">
        <v>44.599.978-4</v>
      </c>
      <c r="C184" t="str">
        <v>Supervisor</v>
      </c>
      <c r="D184">
        <v>20</v>
      </c>
      <c r="E184">
        <v>568.9</v>
      </c>
      <c r="F184">
        <v>240</v>
      </c>
      <c r="G184">
        <v>0</v>
      </c>
      <c r="H184">
        <v>244585.83</v>
      </c>
      <c r="I184">
        <v>0</v>
      </c>
      <c r="J184">
        <v>0</v>
      </c>
      <c r="K184">
        <v>0</v>
      </c>
      <c r="L184">
        <v>244585.83</v>
      </c>
    </row>
    <row r="185" spans="1:12" x14ac:dyDescent="0.35">
      <c r="A185" t="str">
        <v>LUIS GERARDO LOPEZ OLAVE</v>
      </c>
      <c r="B185" t="str">
        <v>17.169.171-0</v>
      </c>
      <c r="C185" t="str">
        <v>Mecánico</v>
      </c>
      <c r="D185">
        <v>17</v>
      </c>
      <c r="E185">
        <v>399.45</v>
      </c>
      <c r="F185">
        <v>168</v>
      </c>
      <c r="G185">
        <v>0</v>
      </c>
      <c r="H185">
        <v>137203.46</v>
      </c>
      <c r="I185">
        <v>0</v>
      </c>
      <c r="J185">
        <v>0</v>
      </c>
      <c r="K185">
        <v>0</v>
      </c>
      <c r="L185">
        <v>137203.46</v>
      </c>
    </row>
    <row r="186" spans="1:12" x14ac:dyDescent="0.35">
      <c r="A186" t="str">
        <v>ROBERTO MAURICIO VERGARA NEGRETE</v>
      </c>
      <c r="B186" t="str">
        <v>16.005.822-6</v>
      </c>
      <c r="C186" t="str">
        <v>Electromecánico</v>
      </c>
      <c r="D186">
        <v>14</v>
      </c>
      <c r="E186">
        <v>409.2</v>
      </c>
      <c r="F186">
        <v>144</v>
      </c>
      <c r="G186">
        <v>0</v>
      </c>
      <c r="H186">
        <v>112991.08</v>
      </c>
      <c r="I186">
        <v>0</v>
      </c>
      <c r="J186">
        <v>0</v>
      </c>
      <c r="K186">
        <v>0</v>
      </c>
      <c r="L186">
        <v>112991.08</v>
      </c>
    </row>
    <row r="187" spans="1:12" x14ac:dyDescent="0.35">
      <c r="A187" t="str">
        <v>JOSE MANUEL CASTILLO GARCIA</v>
      </c>
      <c r="B187" t="str">
        <v>13.745.724-5</v>
      </c>
      <c r="C187" t="str">
        <v>INSTRUCTOR DE OPERACIONES</v>
      </c>
      <c r="D187">
        <v>3</v>
      </c>
      <c r="E187">
        <v>97.9</v>
      </c>
      <c r="F187">
        <v>36</v>
      </c>
      <c r="G187">
        <v>0</v>
      </c>
      <c r="H187">
        <v>24212.38</v>
      </c>
      <c r="I187">
        <v>0</v>
      </c>
      <c r="J187">
        <v>0</v>
      </c>
      <c r="K187">
        <v>0</v>
      </c>
      <c r="L187">
        <v>24212.38</v>
      </c>
    </row>
    <row r="188" spans="1:12" x14ac:dyDescent="0.35">
      <c r="A188" t="str">
        <v>JORGE ANDRES LICANQUEO PEREZ</v>
      </c>
      <c r="B188" t="str">
        <v>19.518.296-5</v>
      </c>
      <c r="C188" t="str">
        <v>Mecánico</v>
      </c>
      <c r="D188">
        <v>16</v>
      </c>
      <c r="E188">
        <v>397</v>
      </c>
      <c r="F188">
        <v>180</v>
      </c>
      <c r="G188">
        <v>0</v>
      </c>
      <c r="H188">
        <v>129132.67</v>
      </c>
      <c r="I188">
        <v>0</v>
      </c>
      <c r="J188">
        <v>0</v>
      </c>
      <c r="K188">
        <v>0</v>
      </c>
      <c r="L188">
        <v>129132.67</v>
      </c>
    </row>
    <row r="189" spans="1:12" x14ac:dyDescent="0.35">
      <c r="A189" t="str">
        <v>LUIS ALFREDO MORENO RIOS</v>
      </c>
      <c r="B189" t="str">
        <v>18.318.426-1</v>
      </c>
      <c r="C189" t="str">
        <v>Chofer</v>
      </c>
      <c r="D189">
        <v>0</v>
      </c>
      <c r="E189">
        <v>0</v>
      </c>
      <c r="F189">
        <v>0</v>
      </c>
      <c r="G189">
        <v>0</v>
      </c>
      <c r="H189">
        <v>484247.5</v>
      </c>
      <c r="I189">
        <v>0</v>
      </c>
      <c r="J189">
        <v>0</v>
      </c>
      <c r="K189">
        <v>0</v>
      </c>
      <c r="L189">
        <v>0</v>
      </c>
    </row>
    <row r="190" spans="1:12" x14ac:dyDescent="0.35">
      <c r="A190" t="str">
        <v>RAUL ALEJANDRO RIVERO RIVERO</v>
      </c>
      <c r="B190" t="str">
        <v>18.520.328-K</v>
      </c>
      <c r="C190" t="str">
        <v>Supervisor</v>
      </c>
      <c r="D190">
        <v>14</v>
      </c>
      <c r="E190">
        <v>409.2</v>
      </c>
      <c r="F190">
        <v>144</v>
      </c>
      <c r="G190">
        <v>0</v>
      </c>
      <c r="H190">
        <v>171210.08</v>
      </c>
      <c r="I190">
        <v>0</v>
      </c>
      <c r="J190">
        <v>0</v>
      </c>
      <c r="K190">
        <v>0</v>
      </c>
      <c r="L190">
        <v>171210.08</v>
      </c>
    </row>
    <row r="191" spans="1:12" x14ac:dyDescent="0.35">
      <c r="A191" t="str">
        <v>KEVIN ESTEBAN VALENZUELA VALENZUELA</v>
      </c>
      <c r="B191" t="str">
        <v>21.474.308-6</v>
      </c>
      <c r="C191" t="str">
        <v>Perforista</v>
      </c>
      <c r="D191">
        <v>14</v>
      </c>
      <c r="E191">
        <v>303</v>
      </c>
      <c r="F191">
        <v>168</v>
      </c>
      <c r="G191">
        <v>0</v>
      </c>
      <c r="H191">
        <v>171210.08</v>
      </c>
      <c r="I191">
        <v>0</v>
      </c>
      <c r="J191">
        <v>0</v>
      </c>
      <c r="K191">
        <v>0</v>
      </c>
      <c r="L191">
        <v>171210.08</v>
      </c>
    </row>
    <row r="192" spans="1:12" x14ac:dyDescent="0.35">
      <c r="A192" t="str">
        <v>OSCAR ALEXIS JARA MEJÍAS</v>
      </c>
      <c r="B192" t="str">
        <v>14.043.436-1</v>
      </c>
      <c r="C192" t="str">
        <v>Conductor</v>
      </c>
      <c r="D192">
        <v>7</v>
      </c>
      <c r="E192">
        <v>139.35</v>
      </c>
      <c r="F192">
        <v>72</v>
      </c>
      <c r="G192">
        <v>0</v>
      </c>
      <c r="H192">
        <v>56495.54</v>
      </c>
      <c r="I192">
        <v>0</v>
      </c>
      <c r="J192">
        <v>0</v>
      </c>
      <c r="K192">
        <v>0</v>
      </c>
      <c r="L192">
        <v>56495.54</v>
      </c>
    </row>
    <row r="193" spans="1:12" x14ac:dyDescent="0.35">
      <c r="A193" t="str">
        <v>SEBASTIAN ANTONIO VALDERRAMA HERRERA</v>
      </c>
      <c r="B193" t="str">
        <v>18.403.269-4</v>
      </c>
      <c r="C193" t="str">
        <v>Ayudante Perforista</v>
      </c>
      <c r="D193">
        <v>9</v>
      </c>
      <c r="E193">
        <v>141</v>
      </c>
      <c r="F193">
        <v>108</v>
      </c>
      <c r="G193">
        <v>0</v>
      </c>
      <c r="H193">
        <v>72637.13</v>
      </c>
      <c r="I193">
        <v>0</v>
      </c>
      <c r="J193">
        <v>0</v>
      </c>
      <c r="K193">
        <v>0</v>
      </c>
      <c r="L193">
        <v>72637.13</v>
      </c>
    </row>
    <row r="194" spans="1:12" x14ac:dyDescent="0.35">
      <c r="A194" t="str">
        <v>NICOLAS ALBERTO CARVAJAL PASTEN</v>
      </c>
      <c r="B194" t="str">
        <v>20.308.969-4</v>
      </c>
      <c r="C194" t="str">
        <v>Ayudante Perforista</v>
      </c>
      <c r="D194">
        <v>14</v>
      </c>
      <c r="E194">
        <v>245.9</v>
      </c>
      <c r="F194">
        <v>168</v>
      </c>
      <c r="G194">
        <v>0</v>
      </c>
      <c r="H194">
        <v>112991.08</v>
      </c>
      <c r="I194">
        <v>0</v>
      </c>
      <c r="J194">
        <v>0</v>
      </c>
      <c r="K194">
        <v>0</v>
      </c>
      <c r="L194">
        <v>112991.08</v>
      </c>
    </row>
    <row r="195" spans="1:12" x14ac:dyDescent="0.35">
      <c r="A195" t="str">
        <v>WALTER LISANDRO SALAS MESA</v>
      </c>
      <c r="B195" t="str">
        <v>15.955.871-1</v>
      </c>
      <c r="C195" t="str">
        <v>Perforista</v>
      </c>
      <c r="D195">
        <v>7</v>
      </c>
      <c r="E195">
        <v>151.69999999999999</v>
      </c>
      <c r="F195">
        <v>96</v>
      </c>
      <c r="G195">
        <v>0</v>
      </c>
      <c r="H195">
        <v>85605.04</v>
      </c>
      <c r="I195">
        <v>0</v>
      </c>
      <c r="J195">
        <v>0</v>
      </c>
      <c r="K195">
        <v>0</v>
      </c>
      <c r="L195">
        <v>85605.04</v>
      </c>
    </row>
    <row r="196" spans="1:12" x14ac:dyDescent="0.35">
      <c r="A196" t="str">
        <v>ANGELO GIOVANNI BIZAMA ORELLANA</v>
      </c>
      <c r="B196" t="str">
        <v>20.037.472-K</v>
      </c>
      <c r="C196" t="str">
        <v>Ayudante Perforista</v>
      </c>
      <c r="D196">
        <v>8</v>
      </c>
      <c r="E196">
        <v>128.25</v>
      </c>
      <c r="F196">
        <v>96</v>
      </c>
      <c r="G196">
        <v>0</v>
      </c>
      <c r="H196">
        <v>64566.33</v>
      </c>
      <c r="I196">
        <v>0</v>
      </c>
      <c r="J196">
        <v>0</v>
      </c>
      <c r="K196">
        <v>0</v>
      </c>
      <c r="L196">
        <v>64566.33</v>
      </c>
    </row>
    <row r="197" spans="1:12" x14ac:dyDescent="0.35">
      <c r="A197" t="str" cm="1">
        <f t="array" ref="A197:L219">[3]Resumen!$A$5:$L$27</f>
        <v>ALBERTO PATRICIO CALDERON CALDERON</v>
      </c>
      <c r="B197" t="str">
        <v>11.345.634-5</v>
      </c>
      <c r="C197" t="str">
        <v>Supervisor</v>
      </c>
      <c r="D197">
        <v>15</v>
      </c>
      <c r="E197">
        <v>117.5</v>
      </c>
      <c r="F197">
        <v>180</v>
      </c>
      <c r="G197">
        <v>0</v>
      </c>
      <c r="H197">
        <v>227220</v>
      </c>
      <c r="I197">
        <v>0</v>
      </c>
      <c r="J197">
        <v>0</v>
      </c>
      <c r="K197">
        <v>0</v>
      </c>
      <c r="L197">
        <v>227220</v>
      </c>
    </row>
    <row r="198" spans="1:12" x14ac:dyDescent="0.35">
      <c r="A198" t="str">
        <v>ALEX EDUARDO TABILO RIVERA</v>
      </c>
      <c r="B198" t="str">
        <v>14.313.865-8</v>
      </c>
      <c r="C198" t="str">
        <v>Perforista</v>
      </c>
      <c r="D198">
        <v>15</v>
      </c>
      <c r="E198">
        <v>80.900000000000006</v>
      </c>
      <c r="F198">
        <v>180</v>
      </c>
      <c r="G198">
        <v>209077.5</v>
      </c>
      <c r="H198">
        <v>0</v>
      </c>
      <c r="I198">
        <v>0</v>
      </c>
      <c r="J198">
        <v>0</v>
      </c>
      <c r="K198">
        <v>0</v>
      </c>
      <c r="L198">
        <v>209077.5</v>
      </c>
    </row>
    <row r="199" spans="1:12" x14ac:dyDescent="0.35">
      <c r="A199" t="str">
        <v>CRISTIAN EDUARDO CARVAJAL JAIME</v>
      </c>
      <c r="B199" t="str">
        <v>12.806.491-5</v>
      </c>
      <c r="C199" t="str">
        <v>Perforista</v>
      </c>
      <c r="D199">
        <v>15</v>
      </c>
      <c r="E199">
        <v>117.5</v>
      </c>
      <c r="F199">
        <v>180</v>
      </c>
      <c r="G199">
        <v>209077.5</v>
      </c>
      <c r="H199">
        <v>0</v>
      </c>
      <c r="I199">
        <v>11700</v>
      </c>
      <c r="J199">
        <v>0</v>
      </c>
      <c r="K199">
        <v>0</v>
      </c>
      <c r="L199">
        <v>220777.5</v>
      </c>
    </row>
    <row r="200" spans="1:12" x14ac:dyDescent="0.35">
      <c r="A200" t="str">
        <v>CRISTIAN NICOLAS SAMBRA TORRES</v>
      </c>
      <c r="B200" t="str">
        <v>19.322.282-K</v>
      </c>
      <c r="C200" t="str">
        <v>Ayudante Perforista</v>
      </c>
      <c r="D200">
        <v>15</v>
      </c>
      <c r="E200">
        <v>196.15</v>
      </c>
      <c r="F200">
        <v>180</v>
      </c>
      <c r="G200">
        <v>163575</v>
      </c>
      <c r="H200">
        <v>0</v>
      </c>
      <c r="I200">
        <v>50962.5</v>
      </c>
      <c r="J200">
        <v>0</v>
      </c>
      <c r="K200">
        <v>0</v>
      </c>
      <c r="L200">
        <v>214537.5</v>
      </c>
    </row>
    <row r="201" spans="1:12" x14ac:dyDescent="0.35">
      <c r="A201" t="str">
        <v>CARLOS ANDRES CORNEJO OSORIO</v>
      </c>
      <c r="B201" t="str">
        <v>13.049.877-9</v>
      </c>
      <c r="C201" t="str">
        <v>Supervisor</v>
      </c>
      <c r="D201">
        <v>15</v>
      </c>
      <c r="E201">
        <v>131</v>
      </c>
      <c r="F201">
        <v>180</v>
      </c>
      <c r="G201">
        <v>0</v>
      </c>
      <c r="H201">
        <v>227220</v>
      </c>
      <c r="I201">
        <v>0</v>
      </c>
      <c r="J201">
        <v>0</v>
      </c>
      <c r="K201">
        <v>0</v>
      </c>
      <c r="L201">
        <v>227220</v>
      </c>
    </row>
    <row r="202" spans="1:12" x14ac:dyDescent="0.35">
      <c r="A202" t="str">
        <v>CARLOS ROBINSON VALDES PAEZ</v>
      </c>
      <c r="B202" t="str">
        <v>15.570.854-9</v>
      </c>
      <c r="C202" t="str">
        <v>Perforista</v>
      </c>
      <c r="D202">
        <v>15</v>
      </c>
      <c r="E202">
        <v>131</v>
      </c>
      <c r="F202">
        <v>180</v>
      </c>
      <c r="G202">
        <v>245362.5</v>
      </c>
      <c r="H202">
        <v>0</v>
      </c>
      <c r="I202">
        <v>47700</v>
      </c>
      <c r="J202">
        <v>0</v>
      </c>
      <c r="K202">
        <v>0</v>
      </c>
      <c r="L202">
        <v>293062.5</v>
      </c>
    </row>
    <row r="203" spans="1:12" x14ac:dyDescent="0.35">
      <c r="A203" t="str">
        <v>JAVIER EDUARDO CATALAN ESPINOZA</v>
      </c>
      <c r="B203" t="str">
        <v>13.775.192-5</v>
      </c>
      <c r="C203" t="str">
        <v>Ayudante Perforista</v>
      </c>
      <c r="D203">
        <v>15</v>
      </c>
      <c r="E203">
        <v>196.15</v>
      </c>
      <c r="F203">
        <v>180</v>
      </c>
      <c r="G203">
        <v>163575</v>
      </c>
      <c r="H203">
        <v>0</v>
      </c>
      <c r="I203">
        <v>50962.5</v>
      </c>
      <c r="J203">
        <v>0</v>
      </c>
      <c r="K203">
        <v>0</v>
      </c>
      <c r="L203">
        <v>214537.5</v>
      </c>
    </row>
    <row r="204" spans="1:12" x14ac:dyDescent="0.35">
      <c r="A204" t="str">
        <v>JULIO ANDRES CISTERNAS ROJAS</v>
      </c>
      <c r="B204" t="str">
        <v>15.572.472-2</v>
      </c>
      <c r="C204" t="str">
        <v>Ayudante Perforista</v>
      </c>
      <c r="D204">
        <v>15</v>
      </c>
      <c r="E204">
        <v>80.900000000000006</v>
      </c>
      <c r="F204">
        <v>180</v>
      </c>
      <c r="G204">
        <v>152780</v>
      </c>
      <c r="H204">
        <v>0</v>
      </c>
      <c r="I204">
        <v>0</v>
      </c>
      <c r="J204">
        <v>0</v>
      </c>
      <c r="K204">
        <v>0</v>
      </c>
      <c r="L204">
        <v>152780</v>
      </c>
    </row>
    <row r="205" spans="1:12" x14ac:dyDescent="0.35">
      <c r="A205" t="str">
        <v>JOEL ANDRES CARO GALLARDO</v>
      </c>
      <c r="B205" t="str">
        <v>18.403.993-1</v>
      </c>
      <c r="C205" t="str">
        <v>Conductor</v>
      </c>
      <c r="D205">
        <v>15</v>
      </c>
      <c r="E205">
        <v>80.900000000000006</v>
      </c>
      <c r="F205">
        <v>180</v>
      </c>
      <c r="G205">
        <v>0</v>
      </c>
      <c r="H205">
        <v>158177.5</v>
      </c>
      <c r="I205">
        <v>0</v>
      </c>
      <c r="J205">
        <v>0</v>
      </c>
      <c r="K205">
        <v>0</v>
      </c>
      <c r="L205">
        <v>158177.5</v>
      </c>
    </row>
    <row r="206" spans="1:12" x14ac:dyDescent="0.35">
      <c r="A206" t="str">
        <v>SEBASTIAN ALFONSO RAMOS ESQUIVEL</v>
      </c>
      <c r="B206" t="str">
        <v>14.099.614-9</v>
      </c>
      <c r="C206" t="str">
        <v>HSEC</v>
      </c>
      <c r="D206">
        <v>16</v>
      </c>
      <c r="E206">
        <v>123.65</v>
      </c>
      <c r="F206">
        <v>192</v>
      </c>
      <c r="G206">
        <v>0</v>
      </c>
      <c r="H206">
        <v>242368</v>
      </c>
      <c r="I206">
        <v>0</v>
      </c>
      <c r="J206">
        <v>0</v>
      </c>
      <c r="K206">
        <v>0</v>
      </c>
      <c r="L206">
        <v>242368</v>
      </c>
    </row>
    <row r="207" spans="1:12" x14ac:dyDescent="0.35">
      <c r="A207" t="str">
        <v>MICHAEL IGNACIO VALENCIA MUÑOZ</v>
      </c>
      <c r="B207" t="str">
        <v>19.753.292-0</v>
      </c>
      <c r="C207" t="str">
        <v>Ayudante Perforista</v>
      </c>
      <c r="D207">
        <v>15</v>
      </c>
      <c r="E207">
        <v>117.5</v>
      </c>
      <c r="F207">
        <v>180</v>
      </c>
      <c r="G207">
        <v>152780</v>
      </c>
      <c r="H207">
        <v>0</v>
      </c>
      <c r="I207">
        <v>8025</v>
      </c>
      <c r="J207">
        <v>0</v>
      </c>
      <c r="K207">
        <v>0</v>
      </c>
      <c r="L207">
        <v>160805</v>
      </c>
    </row>
    <row r="208" spans="1:12" x14ac:dyDescent="0.35">
      <c r="A208" t="str">
        <v>NIBALDO ENRIQUE CASTRO CORTES</v>
      </c>
      <c r="B208" t="str">
        <v>10.362.133-K</v>
      </c>
      <c r="C208" t="str">
        <v>Conductor</v>
      </c>
      <c r="D208">
        <v>15</v>
      </c>
      <c r="E208">
        <v>157.4</v>
      </c>
      <c r="F208">
        <v>180</v>
      </c>
      <c r="G208">
        <v>0</v>
      </c>
      <c r="H208">
        <v>158177.5</v>
      </c>
      <c r="I208">
        <v>0</v>
      </c>
      <c r="J208">
        <v>0</v>
      </c>
      <c r="K208">
        <v>0</v>
      </c>
      <c r="L208">
        <v>158177.5</v>
      </c>
    </row>
    <row r="209" spans="1:12" x14ac:dyDescent="0.35">
      <c r="A209" t="str">
        <v>JUAN FRANCISCO LAMAS HIDALGO</v>
      </c>
      <c r="B209" t="str">
        <v>17.625.404-1</v>
      </c>
      <c r="C209" t="str">
        <v>Ayudante Perforista</v>
      </c>
      <c r="D209">
        <v>15</v>
      </c>
      <c r="E209">
        <v>117.5</v>
      </c>
      <c r="F209">
        <v>180</v>
      </c>
      <c r="G209">
        <v>152780</v>
      </c>
      <c r="H209">
        <v>0</v>
      </c>
      <c r="I209">
        <v>8025</v>
      </c>
      <c r="J209">
        <v>0</v>
      </c>
      <c r="K209">
        <v>0</v>
      </c>
      <c r="L209">
        <v>160805</v>
      </c>
    </row>
    <row r="210" spans="1:12" x14ac:dyDescent="0.35">
      <c r="A210" t="str">
        <v>PABLO ANDRES ALBARNEZ LOPEZ</v>
      </c>
      <c r="B210" t="str">
        <v>14.117.289-1</v>
      </c>
      <c r="C210" t="str">
        <v>Perforista</v>
      </c>
      <c r="D210">
        <v>15</v>
      </c>
      <c r="E210">
        <v>196.15</v>
      </c>
      <c r="F210">
        <v>180</v>
      </c>
      <c r="G210">
        <v>245362.5</v>
      </c>
      <c r="H210">
        <v>0</v>
      </c>
      <c r="I210">
        <v>76443.75</v>
      </c>
      <c r="J210">
        <v>0</v>
      </c>
      <c r="K210">
        <v>0</v>
      </c>
      <c r="L210">
        <v>321806.25</v>
      </c>
    </row>
    <row r="211" spans="1:12" x14ac:dyDescent="0.35">
      <c r="A211" t="str">
        <v>SEBASTIAN ANDRES BRICEÑO GALLEGUILLOS</v>
      </c>
      <c r="B211" t="str">
        <v>17.643.890-8</v>
      </c>
      <c r="C211" t="str">
        <v>Ayudante Perforista</v>
      </c>
      <c r="D211">
        <v>15</v>
      </c>
      <c r="E211">
        <v>80.900000000000006</v>
      </c>
      <c r="F211">
        <v>180</v>
      </c>
      <c r="G211">
        <v>152780</v>
      </c>
      <c r="H211">
        <v>0</v>
      </c>
      <c r="I211">
        <v>0</v>
      </c>
      <c r="J211">
        <v>0</v>
      </c>
      <c r="K211">
        <v>0</v>
      </c>
      <c r="L211">
        <v>152780</v>
      </c>
    </row>
    <row r="212" spans="1:12" x14ac:dyDescent="0.35">
      <c r="A212" t="str">
        <v>CRISTIAN ALBERTO MARÍN CORTES</v>
      </c>
      <c r="B212" t="str">
        <v>14.615.536-7</v>
      </c>
      <c r="C212" t="str">
        <v>Conductor</v>
      </c>
      <c r="D212">
        <v>15</v>
      </c>
      <c r="E212">
        <v>80.900000000000006</v>
      </c>
      <c r="F212">
        <v>180</v>
      </c>
      <c r="G212">
        <v>0</v>
      </c>
      <c r="H212">
        <v>158177.5</v>
      </c>
      <c r="I212">
        <v>0</v>
      </c>
      <c r="J212">
        <v>0</v>
      </c>
      <c r="K212">
        <v>0</v>
      </c>
      <c r="L212">
        <v>158177.5</v>
      </c>
    </row>
    <row r="213" spans="1:12" x14ac:dyDescent="0.35">
      <c r="A213" t="str">
        <v>DUBAN ANDRES CONTRERAS BORDONES</v>
      </c>
      <c r="B213" t="str">
        <v>20.921.611-6</v>
      </c>
      <c r="C213" t="str">
        <v>Ayudante Perforista</v>
      </c>
      <c r="D213">
        <v>15</v>
      </c>
      <c r="E213">
        <v>131</v>
      </c>
      <c r="F213">
        <v>180</v>
      </c>
      <c r="G213">
        <v>163575</v>
      </c>
      <c r="H213">
        <v>0</v>
      </c>
      <c r="I213">
        <v>31800</v>
      </c>
      <c r="J213">
        <v>0</v>
      </c>
      <c r="K213">
        <v>0</v>
      </c>
      <c r="L213">
        <v>195375</v>
      </c>
    </row>
    <row r="214" spans="1:12" x14ac:dyDescent="0.35">
      <c r="A214" t="str">
        <v>DANIEL ANDRES MARTINEZ GONZALEZ</v>
      </c>
      <c r="B214" t="str">
        <v>18.141.318-2</v>
      </c>
      <c r="C214" t="str">
        <v>HSEC</v>
      </c>
      <c r="D214">
        <v>14</v>
      </c>
      <c r="E214">
        <v>114.65</v>
      </c>
      <c r="F214">
        <v>168</v>
      </c>
      <c r="G214">
        <v>0</v>
      </c>
      <c r="H214">
        <v>212072</v>
      </c>
      <c r="I214">
        <v>0</v>
      </c>
      <c r="J214">
        <v>0</v>
      </c>
      <c r="K214">
        <v>0</v>
      </c>
      <c r="L214">
        <v>212072</v>
      </c>
    </row>
    <row r="215" spans="1:12" x14ac:dyDescent="0.35">
      <c r="A215" t="str">
        <v>FERNANDO ANDRES ARDILES PISAYA</v>
      </c>
      <c r="B215" t="str">
        <v>10.508.202-9</v>
      </c>
      <c r="C215" t="str">
        <v>Supervisor</v>
      </c>
      <c r="D215">
        <v>15</v>
      </c>
      <c r="E215">
        <v>196.15</v>
      </c>
      <c r="F215">
        <v>180</v>
      </c>
      <c r="G215">
        <v>0</v>
      </c>
      <c r="H215">
        <v>227220</v>
      </c>
      <c r="I215">
        <v>0</v>
      </c>
      <c r="J215">
        <v>0</v>
      </c>
      <c r="K215">
        <v>0</v>
      </c>
      <c r="L215">
        <v>227220</v>
      </c>
    </row>
    <row r="216" spans="1:12" x14ac:dyDescent="0.35">
      <c r="A216" t="str">
        <v>CRISTOFER JESUS MALDONADO MONDACA</v>
      </c>
      <c r="B216" t="str">
        <v>18.633.143-5</v>
      </c>
      <c r="C216" t="str">
        <v>Conductor</v>
      </c>
      <c r="D216">
        <v>14</v>
      </c>
      <c r="E216">
        <v>157.4</v>
      </c>
      <c r="F216">
        <v>180</v>
      </c>
      <c r="G216">
        <v>0</v>
      </c>
      <c r="H216">
        <v>147632.32999999999</v>
      </c>
      <c r="I216">
        <v>0</v>
      </c>
      <c r="J216">
        <v>0</v>
      </c>
      <c r="K216">
        <v>0</v>
      </c>
      <c r="L216">
        <v>147632.32999999999</v>
      </c>
    </row>
    <row r="217" spans="1:12" x14ac:dyDescent="0.35">
      <c r="A217" t="str">
        <v>FRANCISCO ALEJANDRO ARAYA BARRAZA</v>
      </c>
      <c r="B217" t="str">
        <v>21.028.758-2</v>
      </c>
      <c r="C217" t="str">
        <v>Ayudante Perforista</v>
      </c>
      <c r="D217">
        <v>15</v>
      </c>
      <c r="E217">
        <v>131</v>
      </c>
      <c r="F217">
        <v>180</v>
      </c>
      <c r="G217">
        <v>163575</v>
      </c>
      <c r="H217">
        <v>0</v>
      </c>
      <c r="I217">
        <v>31800</v>
      </c>
      <c r="J217">
        <v>0</v>
      </c>
      <c r="K217">
        <v>0</v>
      </c>
      <c r="L217">
        <v>195375</v>
      </c>
    </row>
    <row r="218" spans="1:12" x14ac:dyDescent="0.35">
      <c r="A218" t="str">
        <v>JOSE LUIS EDUARDO VASQUEZ SILVA</v>
      </c>
      <c r="B218" t="str">
        <v>15.946.640-K</v>
      </c>
      <c r="C218" t="str">
        <v>Ayudante Perforista</v>
      </c>
      <c r="D218">
        <v>1</v>
      </c>
      <c r="E218">
        <v>0</v>
      </c>
      <c r="F218">
        <v>12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</row>
    <row r="219" spans="1:12" x14ac:dyDescent="0.35">
      <c r="A219" t="str">
        <v>JORGE ANDRE GUERRA CUBILLOS</v>
      </c>
      <c r="B219" t="str">
        <v>14.128.763-K</v>
      </c>
      <c r="C219" t="str">
        <v>Supervisor</v>
      </c>
      <c r="D219">
        <v>15</v>
      </c>
      <c r="E219">
        <v>80.900000000000006</v>
      </c>
      <c r="F219">
        <v>180</v>
      </c>
      <c r="G219">
        <v>0</v>
      </c>
      <c r="H219">
        <v>227220</v>
      </c>
      <c r="I219">
        <v>0</v>
      </c>
      <c r="J219">
        <v>0</v>
      </c>
      <c r="K219">
        <v>0</v>
      </c>
      <c r="L219">
        <v>227220</v>
      </c>
    </row>
    <row r="220" spans="1:12" x14ac:dyDescent="0.35">
      <c r="A220" t="str" cm="1">
        <f t="array" ref="A220:L273">[9]Resumen!$A$5:$L$58</f>
        <v>JOSE CRISTIAN BASTIAS PEREZ</v>
      </c>
      <c r="B220" t="str">
        <v>14.413.231-9</v>
      </c>
      <c r="C220" t="str">
        <v>Supervisor</v>
      </c>
      <c r="D220">
        <v>16</v>
      </c>
      <c r="E220">
        <v>113.55</v>
      </c>
      <c r="F220">
        <v>132</v>
      </c>
      <c r="G220">
        <v>0</v>
      </c>
      <c r="H220">
        <v>230048</v>
      </c>
      <c r="I220">
        <v>0</v>
      </c>
      <c r="J220">
        <v>0</v>
      </c>
      <c r="K220">
        <v>0</v>
      </c>
      <c r="L220">
        <v>230048</v>
      </c>
    </row>
    <row r="221" spans="1:12" x14ac:dyDescent="0.35">
      <c r="A221" t="str">
        <v>IGNACIO ALEJANDRO ROBLES BARRIOS</v>
      </c>
      <c r="B221" t="str">
        <v>20.718.093-9</v>
      </c>
      <c r="C221" t="str">
        <v>Ayudante Perforista</v>
      </c>
      <c r="D221">
        <v>3</v>
      </c>
      <c r="E221">
        <v>1.1499999999999999</v>
      </c>
      <c r="F221">
        <v>36</v>
      </c>
      <c r="G221">
        <v>1035</v>
      </c>
      <c r="H221">
        <v>0</v>
      </c>
      <c r="I221">
        <v>0</v>
      </c>
      <c r="J221">
        <v>0</v>
      </c>
      <c r="K221">
        <v>0</v>
      </c>
      <c r="L221">
        <v>1035</v>
      </c>
    </row>
    <row r="222" spans="1:12" x14ac:dyDescent="0.35">
      <c r="A222" t="str">
        <v>ARIUNBOLD TSOGKHORKHOI</v>
      </c>
      <c r="B222" t="str">
        <v>28.683.244-K</v>
      </c>
      <c r="C222" t="str">
        <v>Perforista</v>
      </c>
      <c r="D222">
        <v>6</v>
      </c>
      <c r="E222">
        <v>95.9</v>
      </c>
      <c r="F222">
        <v>72</v>
      </c>
      <c r="G222">
        <v>229740</v>
      </c>
      <c r="H222">
        <v>0</v>
      </c>
      <c r="I222">
        <v>0</v>
      </c>
      <c r="J222">
        <v>0</v>
      </c>
      <c r="K222">
        <v>0</v>
      </c>
      <c r="L222">
        <v>229740</v>
      </c>
    </row>
    <row r="223" spans="1:12" x14ac:dyDescent="0.35">
      <c r="A223" t="str">
        <v>FABIAN PATRICIO CABRERA GODOY</v>
      </c>
      <c r="B223" t="str">
        <v>19.949.787-1</v>
      </c>
      <c r="C223" t="str">
        <v>Ayudante Perforista</v>
      </c>
      <c r="D223">
        <v>15</v>
      </c>
      <c r="E223">
        <v>1.1499999999999999</v>
      </c>
      <c r="F223">
        <v>132</v>
      </c>
      <c r="G223">
        <v>1035</v>
      </c>
      <c r="H223">
        <v>0</v>
      </c>
      <c r="I223">
        <v>0</v>
      </c>
      <c r="J223">
        <v>0</v>
      </c>
      <c r="K223">
        <v>0</v>
      </c>
      <c r="L223">
        <v>1035</v>
      </c>
    </row>
    <row r="224" spans="1:12" x14ac:dyDescent="0.35">
      <c r="A224" t="str">
        <v>FELIPE DAVID SAAVEDRA CAMPOS</v>
      </c>
      <c r="B224" t="str">
        <v>18.450.168-6</v>
      </c>
      <c r="C224" t="str">
        <v>Ayudante Perforista</v>
      </c>
      <c r="D224">
        <v>15</v>
      </c>
      <c r="E224">
        <v>169.6</v>
      </c>
      <c r="F224">
        <v>168</v>
      </c>
      <c r="G224">
        <v>322470</v>
      </c>
      <c r="H224">
        <v>0</v>
      </c>
      <c r="I224">
        <v>0</v>
      </c>
      <c r="J224">
        <v>0</v>
      </c>
      <c r="K224">
        <v>0</v>
      </c>
      <c r="L224">
        <v>322470</v>
      </c>
    </row>
    <row r="225" spans="1:12" x14ac:dyDescent="0.35">
      <c r="A225" t="str">
        <v>ALISSON AYLEEN VILLAGRA CABALLERO</v>
      </c>
      <c r="B225" t="str">
        <v>18.919.440-4</v>
      </c>
      <c r="C225" t="str">
        <v>Conductor</v>
      </c>
      <c r="D225">
        <v>15</v>
      </c>
      <c r="E225">
        <v>188.7</v>
      </c>
      <c r="F225">
        <v>168</v>
      </c>
      <c r="G225">
        <v>0</v>
      </c>
      <c r="H225">
        <v>161752.5</v>
      </c>
      <c r="I225">
        <v>0</v>
      </c>
      <c r="J225">
        <v>0</v>
      </c>
      <c r="K225">
        <v>0</v>
      </c>
      <c r="L225">
        <v>161752.5</v>
      </c>
    </row>
    <row r="226" spans="1:12" x14ac:dyDescent="0.35">
      <c r="A226" t="str">
        <v>JOSE LEANDRO PARRA SARAVIA</v>
      </c>
      <c r="B226" t="str">
        <v>13.809.180-5</v>
      </c>
      <c r="C226" t="str">
        <v>Conductor</v>
      </c>
      <c r="D226">
        <v>1</v>
      </c>
      <c r="E226">
        <v>0</v>
      </c>
      <c r="F226">
        <v>12</v>
      </c>
      <c r="G226">
        <v>0</v>
      </c>
      <c r="H226">
        <v>10783.5</v>
      </c>
      <c r="I226">
        <v>0</v>
      </c>
      <c r="J226">
        <v>0</v>
      </c>
      <c r="K226">
        <v>0</v>
      </c>
      <c r="L226">
        <v>10783.5</v>
      </c>
    </row>
    <row r="227" spans="1:12" x14ac:dyDescent="0.35">
      <c r="A227" t="str">
        <v>ALEJANDRO ALBERTO CAMPILLAY RUIZ</v>
      </c>
      <c r="B227" t="str">
        <v>13.412.582-9</v>
      </c>
      <c r="C227" t="str">
        <v>Mecánico</v>
      </c>
      <c r="D227">
        <v>15</v>
      </c>
      <c r="E227">
        <v>169.6</v>
      </c>
      <c r="F227">
        <v>168</v>
      </c>
      <c r="G227">
        <v>0</v>
      </c>
      <c r="H227">
        <v>161752.5</v>
      </c>
      <c r="I227">
        <v>0</v>
      </c>
      <c r="J227">
        <v>0</v>
      </c>
      <c r="K227">
        <v>0</v>
      </c>
      <c r="L227">
        <v>161752.5</v>
      </c>
    </row>
    <row r="228" spans="1:12" x14ac:dyDescent="0.35">
      <c r="A228" t="str">
        <v>VICENTE ANDRES LOPEZ MARTINEZ</v>
      </c>
      <c r="B228" t="str">
        <v>21.294.612-5</v>
      </c>
      <c r="C228" t="str">
        <v>Ayudante Perforista</v>
      </c>
      <c r="D228">
        <v>15</v>
      </c>
      <c r="E228">
        <v>169.6</v>
      </c>
      <c r="F228">
        <v>168</v>
      </c>
      <c r="G228">
        <v>322470</v>
      </c>
      <c r="H228">
        <v>0</v>
      </c>
      <c r="I228">
        <v>0</v>
      </c>
      <c r="J228">
        <v>0</v>
      </c>
      <c r="K228">
        <v>0</v>
      </c>
      <c r="L228">
        <v>322470</v>
      </c>
    </row>
    <row r="229" spans="1:12" x14ac:dyDescent="0.35">
      <c r="A229" t="str">
        <v>HECTOR ORLANDO RAMOS ROJAS</v>
      </c>
      <c r="B229" t="str">
        <v>15.674.651-7</v>
      </c>
      <c r="C229" t="str">
        <v>Supervisor</v>
      </c>
      <c r="D229">
        <v>1</v>
      </c>
      <c r="E229">
        <v>0</v>
      </c>
      <c r="F229">
        <v>0</v>
      </c>
      <c r="G229">
        <v>0</v>
      </c>
      <c r="H229">
        <v>14378</v>
      </c>
      <c r="I229">
        <v>0</v>
      </c>
      <c r="J229">
        <v>0</v>
      </c>
      <c r="K229">
        <v>0</v>
      </c>
      <c r="L229">
        <v>14378</v>
      </c>
    </row>
    <row r="230" spans="1:12" x14ac:dyDescent="0.35">
      <c r="A230" t="str">
        <v>DIEGO FELIPE GONZALEZ CASTILLO</v>
      </c>
      <c r="B230" t="str">
        <v>18.178.758-9</v>
      </c>
      <c r="C230" t="str">
        <v>Líder de Prevención</v>
      </c>
      <c r="D230">
        <v>4</v>
      </c>
      <c r="E230">
        <v>0</v>
      </c>
      <c r="F230">
        <v>48</v>
      </c>
      <c r="G230">
        <v>0</v>
      </c>
      <c r="H230">
        <v>57512</v>
      </c>
      <c r="I230">
        <v>0</v>
      </c>
      <c r="J230">
        <v>0</v>
      </c>
      <c r="K230">
        <v>0</v>
      </c>
      <c r="L230">
        <v>57512</v>
      </c>
    </row>
    <row r="231" spans="1:12" x14ac:dyDescent="0.35">
      <c r="A231" t="str">
        <v>EDINSON RODRIGO GONZALEZ CORTINEZ</v>
      </c>
      <c r="B231" t="str">
        <v>11.934.921-4</v>
      </c>
      <c r="C231" t="str">
        <v>Ayudante Perforista</v>
      </c>
      <c r="D231">
        <v>10</v>
      </c>
      <c r="E231">
        <v>119.9</v>
      </c>
      <c r="F231">
        <v>108</v>
      </c>
      <c r="G231">
        <v>209070</v>
      </c>
      <c r="H231">
        <v>0</v>
      </c>
      <c r="I231">
        <v>0</v>
      </c>
      <c r="J231">
        <v>0</v>
      </c>
      <c r="K231">
        <v>0</v>
      </c>
      <c r="L231">
        <v>209070</v>
      </c>
    </row>
    <row r="232" spans="1:12" x14ac:dyDescent="0.35">
      <c r="A232" t="str">
        <v>BYAMBATSEREN TSERENDAVAA</v>
      </c>
      <c r="B232" t="str">
        <v>44.611.876-5</v>
      </c>
      <c r="C232" t="str">
        <v>Perforista</v>
      </c>
      <c r="D232">
        <v>12</v>
      </c>
      <c r="E232">
        <v>0</v>
      </c>
      <c r="F232">
        <v>96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</row>
    <row r="233" spans="1:12" x14ac:dyDescent="0.35">
      <c r="A233" t="str">
        <v>CARLOS EDUARDO RODRIGUEZ HERNANDEZ</v>
      </c>
      <c r="B233" t="str">
        <v>15.593.625-8</v>
      </c>
      <c r="C233" t="str">
        <v>Administrador de Contrato</v>
      </c>
      <c r="D233">
        <v>16</v>
      </c>
      <c r="E233">
        <v>71.55</v>
      </c>
      <c r="F233">
        <v>180</v>
      </c>
      <c r="G233">
        <v>0</v>
      </c>
      <c r="H233">
        <v>230048</v>
      </c>
      <c r="I233">
        <v>0</v>
      </c>
      <c r="J233">
        <v>0</v>
      </c>
      <c r="K233">
        <v>0</v>
      </c>
      <c r="L233">
        <v>230048</v>
      </c>
    </row>
    <row r="234" spans="1:12" x14ac:dyDescent="0.35">
      <c r="A234" t="str">
        <v>BENIGNO EDUARDO PAEZ MENESES</v>
      </c>
      <c r="B234" t="str">
        <v>17.643.998-K</v>
      </c>
      <c r="C234" t="str">
        <v>Conductor</v>
      </c>
      <c r="D234">
        <v>15</v>
      </c>
      <c r="E234">
        <v>1.1499999999999999</v>
      </c>
      <c r="F234">
        <v>132</v>
      </c>
      <c r="G234">
        <v>0</v>
      </c>
      <c r="H234">
        <v>161752.5</v>
      </c>
      <c r="I234">
        <v>0</v>
      </c>
      <c r="J234">
        <v>0</v>
      </c>
      <c r="K234">
        <v>0</v>
      </c>
      <c r="L234">
        <v>161752.5</v>
      </c>
    </row>
    <row r="235" spans="1:12" x14ac:dyDescent="0.35">
      <c r="A235" t="str">
        <v>CARLOS ALBERTO PIZARRO PIZARRO</v>
      </c>
      <c r="B235" t="str">
        <v>17.721.340-3</v>
      </c>
      <c r="C235" t="str">
        <v>Ayudante Perforista</v>
      </c>
      <c r="D235">
        <v>16</v>
      </c>
      <c r="E235">
        <v>169.6</v>
      </c>
      <c r="F235">
        <v>180</v>
      </c>
      <c r="G235">
        <v>322470</v>
      </c>
      <c r="H235">
        <v>0</v>
      </c>
      <c r="I235">
        <v>0</v>
      </c>
      <c r="J235">
        <v>0</v>
      </c>
      <c r="K235">
        <v>0</v>
      </c>
      <c r="L235">
        <v>322470</v>
      </c>
    </row>
    <row r="236" spans="1:12" x14ac:dyDescent="0.35">
      <c r="A236" t="str">
        <v>CRISTIAN ROGELIO PASTEN VERGARA</v>
      </c>
      <c r="B236" t="str">
        <v>16.053.497-4</v>
      </c>
      <c r="C236" t="str">
        <v>Jefe de Faena</v>
      </c>
      <c r="D236">
        <v>14</v>
      </c>
      <c r="E236">
        <v>57.2</v>
      </c>
      <c r="F236">
        <v>168</v>
      </c>
      <c r="G236">
        <v>0</v>
      </c>
      <c r="H236">
        <v>201292</v>
      </c>
      <c r="I236">
        <v>0</v>
      </c>
      <c r="J236">
        <v>0</v>
      </c>
      <c r="K236">
        <v>0</v>
      </c>
      <c r="L236">
        <v>201292</v>
      </c>
    </row>
    <row r="237" spans="1:12" x14ac:dyDescent="0.35">
      <c r="A237" t="str">
        <v>JOHN BYRON VASQUEZ CARROZA</v>
      </c>
      <c r="B237" t="str">
        <v>19.339.512-0</v>
      </c>
      <c r="C237" t="str">
        <v>Ayudante Perforista</v>
      </c>
      <c r="D237">
        <v>15</v>
      </c>
      <c r="E237">
        <v>188.7</v>
      </c>
      <c r="F237">
        <v>168</v>
      </c>
      <c r="G237">
        <v>322470</v>
      </c>
      <c r="H237">
        <v>0</v>
      </c>
      <c r="I237">
        <v>0</v>
      </c>
      <c r="J237">
        <v>0</v>
      </c>
      <c r="K237">
        <v>0</v>
      </c>
      <c r="L237">
        <v>322470</v>
      </c>
    </row>
    <row r="238" spans="1:12" x14ac:dyDescent="0.35">
      <c r="A238" t="str">
        <v>NORA ALEXANDRA SALAS ROJAS</v>
      </c>
      <c r="B238" t="str">
        <v>18.352.777-0</v>
      </c>
      <c r="C238" t="str">
        <v>HSEC</v>
      </c>
      <c r="D238">
        <v>8</v>
      </c>
      <c r="E238">
        <v>113.55</v>
      </c>
      <c r="F238">
        <v>96</v>
      </c>
      <c r="G238">
        <v>0</v>
      </c>
      <c r="H238">
        <v>115024</v>
      </c>
      <c r="I238">
        <v>0</v>
      </c>
      <c r="J238">
        <v>0</v>
      </c>
      <c r="K238">
        <v>0</v>
      </c>
      <c r="L238">
        <v>115024</v>
      </c>
    </row>
    <row r="239" spans="1:12" x14ac:dyDescent="0.35">
      <c r="A239" t="str">
        <v>FELIPE IVAN LUIS ZAMBRA GONZALEZ</v>
      </c>
      <c r="B239" t="str">
        <v>19.507.111-K</v>
      </c>
      <c r="C239" t="str">
        <v>BODEGUERO</v>
      </c>
      <c r="D239">
        <v>10</v>
      </c>
      <c r="E239">
        <v>57.2</v>
      </c>
      <c r="F239">
        <v>120</v>
      </c>
      <c r="G239">
        <v>0</v>
      </c>
      <c r="H239">
        <v>107835</v>
      </c>
      <c r="I239">
        <v>0</v>
      </c>
      <c r="J239">
        <v>0</v>
      </c>
      <c r="K239">
        <v>0</v>
      </c>
      <c r="L239">
        <v>107835</v>
      </c>
    </row>
    <row r="240" spans="1:12" x14ac:dyDescent="0.35">
      <c r="A240" t="str">
        <v>JORGE ERIKSON DURAND RUIZ</v>
      </c>
      <c r="B240" t="str">
        <v>21.254.681-K</v>
      </c>
      <c r="C240" t="str">
        <v>Mecánico</v>
      </c>
      <c r="D240">
        <v>15</v>
      </c>
      <c r="E240">
        <v>0</v>
      </c>
      <c r="F240">
        <v>132</v>
      </c>
      <c r="G240">
        <v>0</v>
      </c>
      <c r="H240">
        <v>161752.5</v>
      </c>
      <c r="I240">
        <v>0</v>
      </c>
      <c r="J240">
        <v>0</v>
      </c>
      <c r="K240">
        <v>0</v>
      </c>
      <c r="L240">
        <v>161752.5</v>
      </c>
    </row>
    <row r="241" spans="1:12" x14ac:dyDescent="0.35">
      <c r="A241" t="str">
        <v>GANTSOOJ KHISHIGBAYAR</v>
      </c>
      <c r="B241" t="str">
        <v>44.591.746-K</v>
      </c>
      <c r="C241" t="str">
        <v>Perforista</v>
      </c>
      <c r="D241">
        <v>3</v>
      </c>
      <c r="E241">
        <v>23.55</v>
      </c>
      <c r="F241">
        <v>36</v>
      </c>
      <c r="G241">
        <v>56940</v>
      </c>
      <c r="H241">
        <v>0</v>
      </c>
      <c r="I241">
        <v>0</v>
      </c>
      <c r="J241">
        <v>0</v>
      </c>
      <c r="K241">
        <v>0</v>
      </c>
      <c r="L241">
        <v>56940</v>
      </c>
    </row>
    <row r="242" spans="1:12" x14ac:dyDescent="0.35">
      <c r="A242" t="str">
        <v>JOHN ALEXIS BRICEÑO HONORES</v>
      </c>
      <c r="B242" t="str">
        <v>17.979.787-9</v>
      </c>
      <c r="C242" t="str">
        <v>HSEC</v>
      </c>
      <c r="D242">
        <v>14</v>
      </c>
      <c r="E242">
        <v>57.2</v>
      </c>
      <c r="F242">
        <v>168</v>
      </c>
      <c r="G242">
        <v>0</v>
      </c>
      <c r="H242">
        <v>201292</v>
      </c>
      <c r="I242">
        <v>0</v>
      </c>
      <c r="J242">
        <v>0</v>
      </c>
      <c r="K242">
        <v>0</v>
      </c>
      <c r="L242">
        <v>201292</v>
      </c>
    </row>
    <row r="243" spans="1:12" x14ac:dyDescent="0.35">
      <c r="A243" t="str">
        <v>HANS YERKO MARQUEZ MUÑOZ</v>
      </c>
      <c r="B243" t="str">
        <v>18.223.319-6</v>
      </c>
      <c r="C243" t="str">
        <v>Mecánico Líder</v>
      </c>
      <c r="D243">
        <v>5</v>
      </c>
      <c r="E243">
        <v>0</v>
      </c>
      <c r="F243">
        <v>24</v>
      </c>
      <c r="G243">
        <v>0</v>
      </c>
      <c r="H243">
        <v>71890</v>
      </c>
      <c r="I243">
        <v>0</v>
      </c>
      <c r="J243">
        <v>0</v>
      </c>
      <c r="K243">
        <v>0</v>
      </c>
      <c r="L243">
        <v>71890</v>
      </c>
    </row>
    <row r="244" spans="1:12" x14ac:dyDescent="0.35">
      <c r="A244" t="str">
        <v>BENJAMIN JOSEFATT ESPINOZA URIBE</v>
      </c>
      <c r="B244" t="str">
        <v>17.805.184-9</v>
      </c>
      <c r="C244" t="str">
        <v>Conductor</v>
      </c>
      <c r="D244">
        <v>15</v>
      </c>
      <c r="E244">
        <v>0</v>
      </c>
      <c r="F244">
        <v>132</v>
      </c>
      <c r="G244">
        <v>0</v>
      </c>
      <c r="H244">
        <v>161752.5</v>
      </c>
      <c r="I244">
        <v>0</v>
      </c>
      <c r="J244">
        <v>0</v>
      </c>
      <c r="K244">
        <v>0</v>
      </c>
      <c r="L244">
        <v>161752.5</v>
      </c>
    </row>
    <row r="245" spans="1:12" x14ac:dyDescent="0.35">
      <c r="A245" t="str">
        <v>JOSÉ LEONARDO RODRIGUEZ ROBLES</v>
      </c>
      <c r="B245" t="str">
        <v>25.832.490-0</v>
      </c>
      <c r="C245" t="str">
        <v>Conductor</v>
      </c>
      <c r="D245">
        <v>15</v>
      </c>
      <c r="E245">
        <v>169.6</v>
      </c>
      <c r="F245">
        <v>168</v>
      </c>
      <c r="G245">
        <v>0</v>
      </c>
      <c r="H245">
        <v>161752.5</v>
      </c>
      <c r="I245">
        <v>0</v>
      </c>
      <c r="J245">
        <v>0</v>
      </c>
      <c r="K245">
        <v>0</v>
      </c>
      <c r="L245">
        <v>161752.5</v>
      </c>
    </row>
    <row r="246" spans="1:12" x14ac:dyDescent="0.35">
      <c r="A246" t="str">
        <v>LEONEL GUILLERMO CAMPUSANO DUBO</v>
      </c>
      <c r="B246" t="str">
        <v>18.889.617-0</v>
      </c>
      <c r="C246" t="str">
        <v>Ayudante Perforista</v>
      </c>
      <c r="D246">
        <v>15</v>
      </c>
      <c r="E246">
        <v>0</v>
      </c>
      <c r="F246">
        <v>132</v>
      </c>
      <c r="G246">
        <v>1035</v>
      </c>
      <c r="H246">
        <v>0</v>
      </c>
      <c r="I246">
        <v>0</v>
      </c>
      <c r="J246">
        <v>0</v>
      </c>
      <c r="K246">
        <v>0</v>
      </c>
      <c r="L246">
        <v>1035</v>
      </c>
    </row>
    <row r="247" spans="1:12" x14ac:dyDescent="0.35">
      <c r="A247" t="str">
        <v>PAOLO ALEJANDRO MANRIQUEZ SILVA</v>
      </c>
      <c r="B247" t="str">
        <v>13.855.440-6</v>
      </c>
      <c r="C247" t="str">
        <v>BODEGUERO</v>
      </c>
      <c r="D247">
        <v>16</v>
      </c>
      <c r="E247">
        <v>113.55</v>
      </c>
      <c r="F247">
        <v>132</v>
      </c>
      <c r="G247">
        <v>0</v>
      </c>
      <c r="H247">
        <v>172536</v>
      </c>
      <c r="I247">
        <v>0</v>
      </c>
      <c r="J247">
        <v>0</v>
      </c>
      <c r="K247">
        <v>0</v>
      </c>
      <c r="L247">
        <v>172536</v>
      </c>
    </row>
    <row r="248" spans="1:12" x14ac:dyDescent="0.35">
      <c r="A248" t="str">
        <v>MANUEL ALEJANDRO TILLERIA SAAVEDRA</v>
      </c>
      <c r="B248" t="str">
        <v>19.804.200-5</v>
      </c>
      <c r="C248" t="str">
        <v>Mecánico</v>
      </c>
      <c r="D248">
        <v>15</v>
      </c>
      <c r="E248">
        <v>188.7</v>
      </c>
      <c r="F248">
        <v>168</v>
      </c>
      <c r="G248">
        <v>0</v>
      </c>
      <c r="H248">
        <v>161752.5</v>
      </c>
      <c r="I248">
        <v>0</v>
      </c>
      <c r="J248">
        <v>0</v>
      </c>
      <c r="K248">
        <v>0</v>
      </c>
      <c r="L248">
        <v>161752.5</v>
      </c>
    </row>
    <row r="249" spans="1:12" x14ac:dyDescent="0.35">
      <c r="A249" t="str">
        <v>LEONARDO ANDRES MENESES ARREDONDO</v>
      </c>
      <c r="B249" t="str">
        <v>14.043.656-9</v>
      </c>
      <c r="C249" t="str">
        <v>Supervisor</v>
      </c>
      <c r="D249">
        <v>15</v>
      </c>
      <c r="E249">
        <v>0</v>
      </c>
      <c r="F249">
        <v>132</v>
      </c>
      <c r="G249">
        <v>0</v>
      </c>
      <c r="H249">
        <v>215670</v>
      </c>
      <c r="I249">
        <v>0</v>
      </c>
      <c r="J249">
        <v>0</v>
      </c>
      <c r="K249">
        <v>0</v>
      </c>
      <c r="L249">
        <v>215670</v>
      </c>
    </row>
    <row r="250" spans="1:12" x14ac:dyDescent="0.35">
      <c r="A250" t="str">
        <v>LUIS HUMBERTO PEÑA AHUMADA</v>
      </c>
      <c r="B250" t="str">
        <v>8.851.229-4</v>
      </c>
      <c r="C250" t="str">
        <v>Conductor</v>
      </c>
      <c r="D250">
        <v>15</v>
      </c>
      <c r="E250">
        <v>187.2</v>
      </c>
      <c r="F250">
        <v>168</v>
      </c>
      <c r="G250">
        <v>0</v>
      </c>
      <c r="H250">
        <v>161752.5</v>
      </c>
      <c r="I250">
        <v>0</v>
      </c>
      <c r="J250">
        <v>0</v>
      </c>
      <c r="K250">
        <v>0</v>
      </c>
      <c r="L250">
        <v>161752.5</v>
      </c>
    </row>
    <row r="251" spans="1:12" x14ac:dyDescent="0.35">
      <c r="A251" t="str">
        <v>ULZIIBADRAKH BAYANMUNKH</v>
      </c>
      <c r="B251" t="str">
        <v>44.601.231-2</v>
      </c>
      <c r="C251" t="str">
        <v>Perforista</v>
      </c>
      <c r="D251">
        <v>13</v>
      </c>
      <c r="E251">
        <v>164.8</v>
      </c>
      <c r="F251">
        <v>156</v>
      </c>
      <c r="G251">
        <v>374400</v>
      </c>
      <c r="H251">
        <v>0</v>
      </c>
      <c r="I251">
        <v>0</v>
      </c>
      <c r="J251">
        <v>0</v>
      </c>
      <c r="K251">
        <v>0</v>
      </c>
      <c r="L251">
        <v>374400</v>
      </c>
    </row>
    <row r="252" spans="1:12" x14ac:dyDescent="0.35">
      <c r="A252" t="str">
        <v>PABLO LUCAS POBLETE KUHNE</v>
      </c>
      <c r="B252" t="str">
        <v>19.460.207-3</v>
      </c>
      <c r="C252" t="str">
        <v>Conductor</v>
      </c>
      <c r="D252">
        <v>9</v>
      </c>
      <c r="E252">
        <v>57.2</v>
      </c>
      <c r="F252">
        <v>96</v>
      </c>
      <c r="G252">
        <v>0</v>
      </c>
      <c r="H252">
        <v>97051.5</v>
      </c>
      <c r="I252">
        <v>0</v>
      </c>
      <c r="J252">
        <v>0</v>
      </c>
      <c r="K252">
        <v>0</v>
      </c>
      <c r="L252">
        <v>97051.5</v>
      </c>
    </row>
    <row r="253" spans="1:12" x14ac:dyDescent="0.35">
      <c r="A253" t="str">
        <v>RENE ALFREDO RIOS MALDONADO</v>
      </c>
      <c r="B253" t="str">
        <v>17.628.970-8</v>
      </c>
      <c r="C253" t="str">
        <v>Administrativo</v>
      </c>
      <c r="D253">
        <v>14</v>
      </c>
      <c r="E253">
        <v>57.2</v>
      </c>
      <c r="F253">
        <v>168</v>
      </c>
      <c r="G253">
        <v>0</v>
      </c>
      <c r="H253">
        <v>150969</v>
      </c>
      <c r="I253">
        <v>0</v>
      </c>
      <c r="J253">
        <v>0</v>
      </c>
      <c r="K253">
        <v>0</v>
      </c>
      <c r="L253">
        <v>150969</v>
      </c>
    </row>
    <row r="254" spans="1:12" x14ac:dyDescent="0.35">
      <c r="A254" t="str">
        <v>ROBERTO MARIO VARGAS RODRIGUEZ</v>
      </c>
      <c r="B254" t="str">
        <v>14.594.999-8</v>
      </c>
      <c r="C254" t="str">
        <v>Mecánico</v>
      </c>
      <c r="D254">
        <v>15</v>
      </c>
      <c r="E254">
        <v>1.1499999999999999</v>
      </c>
      <c r="F254">
        <v>132</v>
      </c>
      <c r="G254">
        <v>0</v>
      </c>
      <c r="H254">
        <v>161752.5</v>
      </c>
      <c r="I254">
        <v>0</v>
      </c>
      <c r="J254">
        <v>0</v>
      </c>
      <c r="K254">
        <v>0</v>
      </c>
      <c r="L254">
        <v>161752.5</v>
      </c>
    </row>
    <row r="255" spans="1:12" x14ac:dyDescent="0.35">
      <c r="A255" t="str">
        <v>WILLIAM HERNAN ALVAREZ TRUJILLO</v>
      </c>
      <c r="B255" t="str">
        <v>11.508.866-1</v>
      </c>
      <c r="C255" t="str">
        <v>Soldador</v>
      </c>
      <c r="D255">
        <v>15</v>
      </c>
      <c r="E255">
        <v>1.1499999999999999</v>
      </c>
      <c r="F255">
        <v>132</v>
      </c>
      <c r="G255">
        <v>0</v>
      </c>
      <c r="H255">
        <v>161752.5</v>
      </c>
      <c r="I255">
        <v>0</v>
      </c>
      <c r="J255">
        <v>0</v>
      </c>
      <c r="K255">
        <v>0</v>
      </c>
      <c r="L255">
        <v>161752.5</v>
      </c>
    </row>
    <row r="256" spans="1:12" x14ac:dyDescent="0.35">
      <c r="A256" t="str">
        <v>RODRIGO ALEJANDRO FLORES ZEPEDA</v>
      </c>
      <c r="B256" t="str">
        <v>16.188.552-5</v>
      </c>
      <c r="C256" t="str">
        <v>Ayudante Perforista</v>
      </c>
      <c r="D256">
        <v>15</v>
      </c>
      <c r="E256">
        <v>1.1499999999999999</v>
      </c>
      <c r="F256">
        <v>132</v>
      </c>
      <c r="G256">
        <v>1035</v>
      </c>
      <c r="H256">
        <v>0</v>
      </c>
      <c r="I256">
        <v>0</v>
      </c>
      <c r="J256">
        <v>0</v>
      </c>
      <c r="K256">
        <v>0</v>
      </c>
      <c r="L256">
        <v>1035</v>
      </c>
    </row>
    <row r="257" spans="1:12" x14ac:dyDescent="0.35">
      <c r="A257" t="str">
        <v>VICTOR MANUEL MONDACA VEGA</v>
      </c>
      <c r="B257" t="str">
        <v>16.706.064-1</v>
      </c>
      <c r="C257" t="str">
        <v>Ayudante Perforista</v>
      </c>
      <c r="D257">
        <v>15</v>
      </c>
      <c r="E257">
        <v>0</v>
      </c>
      <c r="F257">
        <v>132</v>
      </c>
      <c r="G257">
        <v>1035</v>
      </c>
      <c r="H257">
        <v>0</v>
      </c>
      <c r="I257">
        <v>0</v>
      </c>
      <c r="J257">
        <v>0</v>
      </c>
      <c r="K257">
        <v>0</v>
      </c>
      <c r="L257">
        <v>1035</v>
      </c>
    </row>
    <row r="258" spans="1:12" x14ac:dyDescent="0.35">
      <c r="A258" t="str">
        <v>ARIEL ANDRES SILVA RIQUELME</v>
      </c>
      <c r="B258" t="str">
        <v>15.613.806-1</v>
      </c>
      <c r="C258" t="str">
        <v>Supervisor</v>
      </c>
      <c r="D258">
        <v>15</v>
      </c>
      <c r="E258">
        <v>188.7</v>
      </c>
      <c r="F258">
        <v>168</v>
      </c>
      <c r="G258">
        <v>0</v>
      </c>
      <c r="H258">
        <v>215670</v>
      </c>
      <c r="I258">
        <v>0</v>
      </c>
      <c r="J258">
        <v>0</v>
      </c>
      <c r="K258">
        <v>0</v>
      </c>
      <c r="L258">
        <v>215670</v>
      </c>
    </row>
    <row r="259" spans="1:12" x14ac:dyDescent="0.35">
      <c r="A259" t="str">
        <v>ENKHAZAYA GANBAATAR</v>
      </c>
      <c r="B259" t="str">
        <v>44.601.238-K</v>
      </c>
      <c r="C259" t="str">
        <v>Perforista</v>
      </c>
      <c r="D259">
        <v>13</v>
      </c>
      <c r="E259">
        <v>147.19999999999999</v>
      </c>
      <c r="F259">
        <v>156</v>
      </c>
      <c r="G259">
        <v>374400</v>
      </c>
      <c r="H259">
        <v>0</v>
      </c>
      <c r="I259">
        <v>0</v>
      </c>
      <c r="J259">
        <v>0</v>
      </c>
      <c r="K259">
        <v>0</v>
      </c>
      <c r="L259">
        <v>374400</v>
      </c>
    </row>
    <row r="260" spans="1:12" x14ac:dyDescent="0.35">
      <c r="A260" t="str">
        <v>ELIAS NICOLAS CORTEZ CORTEZ</v>
      </c>
      <c r="B260" t="str">
        <v>20.173.381-2</v>
      </c>
      <c r="C260" t="str">
        <v>Conductor</v>
      </c>
      <c r="D260">
        <v>15</v>
      </c>
      <c r="E260">
        <v>169.6</v>
      </c>
      <c r="F260">
        <v>168</v>
      </c>
      <c r="G260">
        <v>0</v>
      </c>
      <c r="H260">
        <v>161752.5</v>
      </c>
      <c r="I260">
        <v>0</v>
      </c>
      <c r="J260">
        <v>0</v>
      </c>
      <c r="K260">
        <v>0</v>
      </c>
      <c r="L260">
        <v>161752.5</v>
      </c>
    </row>
    <row r="261" spans="1:12" x14ac:dyDescent="0.35">
      <c r="A261" t="str">
        <v>WALTER DEL CARMEN PIZARRO ALVAREZ</v>
      </c>
      <c r="B261" t="str">
        <v>12.814.487-0</v>
      </c>
      <c r="C261" t="str">
        <v>Conductor</v>
      </c>
      <c r="D261">
        <v>15</v>
      </c>
      <c r="E261">
        <v>1.1499999999999999</v>
      </c>
      <c r="F261">
        <v>132</v>
      </c>
      <c r="G261">
        <v>0</v>
      </c>
      <c r="H261">
        <v>161752.5</v>
      </c>
      <c r="I261">
        <v>0</v>
      </c>
      <c r="J261">
        <v>0</v>
      </c>
      <c r="K261">
        <v>0</v>
      </c>
      <c r="L261">
        <v>161752.5</v>
      </c>
    </row>
    <row r="262" spans="1:12" x14ac:dyDescent="0.35">
      <c r="A262" t="str">
        <v>ULINSON DIAZ CORTES</v>
      </c>
      <c r="B262" t="str">
        <v>15.814.058-6</v>
      </c>
      <c r="C262" t="str">
        <v>Supervisor</v>
      </c>
      <c r="D262">
        <v>15</v>
      </c>
      <c r="E262">
        <v>1.1499999999999999</v>
      </c>
      <c r="F262">
        <v>132</v>
      </c>
      <c r="G262">
        <v>0</v>
      </c>
      <c r="H262">
        <v>215670</v>
      </c>
      <c r="I262">
        <v>0</v>
      </c>
      <c r="J262">
        <v>0</v>
      </c>
      <c r="K262">
        <v>0</v>
      </c>
      <c r="L262">
        <v>215670</v>
      </c>
    </row>
    <row r="263" spans="1:12" x14ac:dyDescent="0.35">
      <c r="A263" t="str">
        <v>LEONIDAS  LUIS  ARCE  OLIVARES</v>
      </c>
      <c r="B263" t="str">
        <v>10.269.976-9</v>
      </c>
      <c r="C263" t="str">
        <v>Supervisor</v>
      </c>
      <c r="D263">
        <v>6</v>
      </c>
      <c r="E263">
        <v>57.2</v>
      </c>
      <c r="F263">
        <v>72</v>
      </c>
      <c r="G263">
        <v>0</v>
      </c>
      <c r="H263">
        <v>86268</v>
      </c>
      <c r="I263">
        <v>0</v>
      </c>
      <c r="J263">
        <v>0</v>
      </c>
      <c r="K263">
        <v>0</v>
      </c>
      <c r="L263">
        <v>86268</v>
      </c>
    </row>
    <row r="264" spans="1:12" x14ac:dyDescent="0.35">
      <c r="A264" t="str">
        <v>DAYNE JEFFERY PASSMORE</v>
      </c>
      <c r="B264" t="str">
        <v>44.623.904-K</v>
      </c>
      <c r="C264" t="str">
        <v>Administrador de Contrato</v>
      </c>
      <c r="D264">
        <v>15</v>
      </c>
      <c r="E264">
        <v>170.75</v>
      </c>
      <c r="F264">
        <v>180</v>
      </c>
      <c r="G264">
        <v>0</v>
      </c>
      <c r="H264">
        <v>215670</v>
      </c>
      <c r="I264">
        <v>0</v>
      </c>
      <c r="J264">
        <v>0</v>
      </c>
      <c r="K264">
        <v>0</v>
      </c>
      <c r="L264">
        <v>215670</v>
      </c>
    </row>
    <row r="265" spans="1:12" x14ac:dyDescent="0.35">
      <c r="A265" t="str">
        <v>MANUEL OMAR ZAPATA AQUINO</v>
      </c>
      <c r="B265" t="str">
        <v>25.188.298-3</v>
      </c>
      <c r="C265" t="str">
        <v>Soldador</v>
      </c>
      <c r="D265">
        <v>1</v>
      </c>
      <c r="E265">
        <v>0</v>
      </c>
      <c r="F265">
        <v>0</v>
      </c>
      <c r="G265">
        <v>0</v>
      </c>
      <c r="H265">
        <v>10783.5</v>
      </c>
      <c r="I265">
        <v>0</v>
      </c>
      <c r="J265">
        <v>0</v>
      </c>
      <c r="K265">
        <v>0</v>
      </c>
      <c r="L265">
        <v>10783.5</v>
      </c>
    </row>
    <row r="266" spans="1:12" x14ac:dyDescent="0.35">
      <c r="A266" t="str">
        <v>JORGE ESTEBAN SAAVEDRA MENA</v>
      </c>
      <c r="B266" t="str">
        <v>12.152.241-1</v>
      </c>
      <c r="C266" t="str">
        <v>Conductor</v>
      </c>
      <c r="D266">
        <v>14</v>
      </c>
      <c r="E266">
        <v>169.6</v>
      </c>
      <c r="F266">
        <v>168</v>
      </c>
      <c r="G266">
        <v>0</v>
      </c>
      <c r="H266">
        <v>150969</v>
      </c>
      <c r="I266">
        <v>0</v>
      </c>
      <c r="J266">
        <v>0</v>
      </c>
      <c r="K266">
        <v>0</v>
      </c>
      <c r="L266">
        <v>150969</v>
      </c>
    </row>
    <row r="267" spans="1:12" x14ac:dyDescent="0.35">
      <c r="A267" t="str">
        <v>NATALY ANTONIA SALAS ESCOBAR</v>
      </c>
      <c r="B267" t="str">
        <v>21.516.063-7</v>
      </c>
      <c r="C267" t="str">
        <v>Administrativo</v>
      </c>
      <c r="D267">
        <v>16</v>
      </c>
      <c r="E267">
        <v>113.55</v>
      </c>
      <c r="F267">
        <v>132</v>
      </c>
      <c r="G267">
        <v>0</v>
      </c>
      <c r="H267">
        <v>172536</v>
      </c>
      <c r="I267">
        <v>0</v>
      </c>
      <c r="J267">
        <v>0</v>
      </c>
      <c r="K267">
        <v>0</v>
      </c>
      <c r="L267">
        <v>172536</v>
      </c>
    </row>
    <row r="268" spans="1:12" x14ac:dyDescent="0.35">
      <c r="A268" t="str">
        <v>JORGE ENRIQUE CEBALLOS JOFRE</v>
      </c>
      <c r="B268" t="str">
        <v>15.596.250-K</v>
      </c>
      <c r="C268" t="str">
        <v>HSEC</v>
      </c>
      <c r="D268">
        <v>8</v>
      </c>
      <c r="E268">
        <v>0</v>
      </c>
      <c r="F268">
        <v>36</v>
      </c>
      <c r="G268">
        <v>0</v>
      </c>
      <c r="H268">
        <v>115024</v>
      </c>
      <c r="I268">
        <v>0</v>
      </c>
      <c r="J268">
        <v>0</v>
      </c>
      <c r="K268">
        <v>0</v>
      </c>
      <c r="L268">
        <v>115024</v>
      </c>
    </row>
    <row r="269" spans="1:12" x14ac:dyDescent="0.35">
      <c r="A269" t="str">
        <v>JORGE ARMANDO TINOCO OSPINO</v>
      </c>
      <c r="B269" t="str">
        <v>23.868.099-9</v>
      </c>
      <c r="C269" t="str">
        <v>Conductor</v>
      </c>
      <c r="D269">
        <v>15</v>
      </c>
      <c r="E269">
        <v>0</v>
      </c>
      <c r="F269">
        <v>132</v>
      </c>
      <c r="G269">
        <v>0</v>
      </c>
      <c r="H269">
        <v>161752.5</v>
      </c>
      <c r="I269">
        <v>0</v>
      </c>
      <c r="J269">
        <v>0</v>
      </c>
      <c r="K269">
        <v>0</v>
      </c>
      <c r="L269">
        <v>161752.5</v>
      </c>
    </row>
    <row r="270" spans="1:12" x14ac:dyDescent="0.35">
      <c r="A270" t="str">
        <v>WALDO RAFAEL CASTRO PASTENE</v>
      </c>
      <c r="B270" t="str">
        <v>13.744.310-4</v>
      </c>
      <c r="C270" t="str">
        <v>Soldador</v>
      </c>
      <c r="D270">
        <v>14</v>
      </c>
      <c r="E270">
        <v>169.6</v>
      </c>
      <c r="F270">
        <v>168</v>
      </c>
      <c r="G270">
        <v>0</v>
      </c>
      <c r="H270">
        <v>150969</v>
      </c>
      <c r="I270">
        <v>0</v>
      </c>
      <c r="J270">
        <v>0</v>
      </c>
      <c r="K270">
        <v>0</v>
      </c>
      <c r="L270">
        <v>150969</v>
      </c>
    </row>
    <row r="271" spans="1:12" x14ac:dyDescent="0.35">
      <c r="A271" t="str">
        <v>ESTEFANIA CONSTANZA NAETER QUIROZ</v>
      </c>
      <c r="B271" t="str">
        <v>15.831.074-0</v>
      </c>
      <c r="C271" t="str">
        <v>Conductor</v>
      </c>
      <c r="D271">
        <v>15</v>
      </c>
      <c r="E271">
        <v>1.1499999999999999</v>
      </c>
      <c r="F271">
        <v>132</v>
      </c>
      <c r="G271">
        <v>0</v>
      </c>
      <c r="H271">
        <v>161752.5</v>
      </c>
      <c r="I271">
        <v>0</v>
      </c>
      <c r="J271">
        <v>0</v>
      </c>
      <c r="K271">
        <v>0</v>
      </c>
      <c r="L271">
        <v>161752.5</v>
      </c>
    </row>
    <row r="272" spans="1:12" x14ac:dyDescent="0.35">
      <c r="A272" t="str">
        <v>MAURICIO ANDRES OYARZUN SALAMANCA</v>
      </c>
      <c r="B272" t="str">
        <v>17.964.013-9</v>
      </c>
      <c r="C272" t="str">
        <v>Ayudante Perforista</v>
      </c>
      <c r="D272">
        <v>15</v>
      </c>
      <c r="E272">
        <v>188.7</v>
      </c>
      <c r="F272">
        <v>168</v>
      </c>
      <c r="G272">
        <v>322470</v>
      </c>
      <c r="H272">
        <v>0</v>
      </c>
      <c r="I272">
        <v>0</v>
      </c>
      <c r="J272">
        <v>0</v>
      </c>
      <c r="K272">
        <v>0</v>
      </c>
      <c r="L272">
        <v>322470</v>
      </c>
    </row>
    <row r="273" spans="1:12" x14ac:dyDescent="0.35">
      <c r="A273" t="str">
        <v>TUMENNASAN SANSRAI</v>
      </c>
      <c r="B273" t="str">
        <v>28.698.456-8</v>
      </c>
      <c r="C273" t="str">
        <v>Perforista</v>
      </c>
      <c r="D273">
        <v>12</v>
      </c>
      <c r="E273">
        <v>0</v>
      </c>
      <c r="F273">
        <v>96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F7451-000B-46B4-8D3D-9EFB26C69524}">
  <sheetPr codeName="Sheet3"/>
  <dimension ref="A1:L298"/>
  <sheetViews>
    <sheetView topLeftCell="A153" workbookViewId="0">
      <selection activeCell="A172" sqref="A172"/>
    </sheetView>
  </sheetViews>
  <sheetFormatPr defaultRowHeight="14.5" x14ac:dyDescent="0.35"/>
  <sheetData>
    <row r="1" spans="1:12" s="13" customFormat="1" ht="26" x14ac:dyDescent="0.35">
      <c r="A1" s="13" t="s">
        <v>397</v>
      </c>
      <c r="B1" s="13" t="s">
        <v>398</v>
      </c>
      <c r="C1" s="13" t="s">
        <v>5</v>
      </c>
      <c r="D1" s="13" t="s">
        <v>399</v>
      </c>
      <c r="E1" s="13" t="s">
        <v>400</v>
      </c>
      <c r="F1" s="13" t="s">
        <v>401</v>
      </c>
      <c r="G1" s="13" t="s">
        <v>402</v>
      </c>
      <c r="H1" s="13" t="s">
        <v>403</v>
      </c>
      <c r="I1" s="13" t="s">
        <v>404</v>
      </c>
      <c r="J1" s="13" t="s">
        <v>405</v>
      </c>
      <c r="K1" s="13" t="s">
        <v>406</v>
      </c>
      <c r="L1" s="13" t="s">
        <v>407</v>
      </c>
    </row>
    <row r="2" spans="1:12" x14ac:dyDescent="0.35">
      <c r="A2" t="str" cm="1">
        <f t="array" ref="A2:L85">[6]Resumen!$A$5:$L$88</f>
        <v>STEWART PHILLIP WHITEHURST MEJIA</v>
      </c>
      <c r="B2" t="str">
        <v>289359893</v>
      </c>
      <c r="C2" t="str">
        <v>Perforista</v>
      </c>
      <c r="D2">
        <v>0</v>
      </c>
      <c r="E2">
        <v>327.75</v>
      </c>
      <c r="F2">
        <v>132</v>
      </c>
      <c r="G2">
        <v>0</v>
      </c>
      <c r="H2">
        <v>733757.5</v>
      </c>
      <c r="I2">
        <v>0</v>
      </c>
      <c r="J2">
        <v>0</v>
      </c>
      <c r="K2">
        <v>0</v>
      </c>
      <c r="L2">
        <v>0</v>
      </c>
    </row>
    <row r="3" spans="1:12" x14ac:dyDescent="0.35">
      <c r="A3" t="str">
        <v>ANDREW JAMES WILSON .</v>
      </c>
      <c r="B3" t="str">
        <v>446325078</v>
      </c>
      <c r="C3" t="str">
        <v>Perforista</v>
      </c>
      <c r="D3">
        <v>0</v>
      </c>
      <c r="E3">
        <v>618.4</v>
      </c>
      <c r="F3">
        <v>240</v>
      </c>
      <c r="G3">
        <v>0</v>
      </c>
      <c r="H3">
        <v>733757.5</v>
      </c>
      <c r="I3">
        <v>0</v>
      </c>
      <c r="J3">
        <v>0</v>
      </c>
      <c r="K3">
        <v>0</v>
      </c>
      <c r="L3">
        <v>0</v>
      </c>
    </row>
    <row r="4" spans="1:12" x14ac:dyDescent="0.35">
      <c r="A4" t="str">
        <v>CRISTIAN ALEJANDRO TOLEDO GONZALEZ</v>
      </c>
      <c r="B4" t="str">
        <v>156836982</v>
      </c>
      <c r="C4" t="str">
        <v>Electromecánico</v>
      </c>
      <c r="D4">
        <v>7</v>
      </c>
      <c r="E4">
        <v>139.35</v>
      </c>
      <c r="F4">
        <v>72</v>
      </c>
      <c r="G4">
        <v>0</v>
      </c>
      <c r="H4">
        <v>56495.54</v>
      </c>
      <c r="I4">
        <v>0</v>
      </c>
      <c r="J4">
        <v>0</v>
      </c>
      <c r="K4">
        <v>0</v>
      </c>
      <c r="L4">
        <v>56495.54</v>
      </c>
    </row>
    <row r="5" spans="1:12" x14ac:dyDescent="0.35">
      <c r="A5" t="str">
        <v>RICARDO NICOLAS QUINTANA SANTANA</v>
      </c>
      <c r="B5" t="str">
        <v>208985779</v>
      </c>
      <c r="C5" t="str">
        <v>Ayudante Perforista</v>
      </c>
      <c r="D5">
        <v>7</v>
      </c>
      <c r="E5">
        <v>154.69999999999999</v>
      </c>
      <c r="F5">
        <v>84</v>
      </c>
      <c r="G5">
        <v>0</v>
      </c>
      <c r="H5">
        <v>56495.54</v>
      </c>
      <c r="I5">
        <v>0</v>
      </c>
      <c r="J5">
        <v>0</v>
      </c>
      <c r="K5">
        <v>0</v>
      </c>
      <c r="L5">
        <v>56495.54</v>
      </c>
    </row>
    <row r="6" spans="1:12" x14ac:dyDescent="0.35">
      <c r="A6" t="str">
        <v>JUAN ALEXIS AVILEZ MOLINA</v>
      </c>
      <c r="B6" t="str">
        <v>140434221</v>
      </c>
      <c r="C6" t="str">
        <v>Ayudante Perforista</v>
      </c>
      <c r="D6">
        <v>7</v>
      </c>
      <c r="E6">
        <v>186.75</v>
      </c>
      <c r="F6">
        <v>84</v>
      </c>
      <c r="G6">
        <v>0</v>
      </c>
      <c r="H6">
        <v>56495.54</v>
      </c>
      <c r="I6">
        <v>0</v>
      </c>
      <c r="J6">
        <v>0</v>
      </c>
      <c r="K6">
        <v>0</v>
      </c>
      <c r="L6">
        <v>56495.54</v>
      </c>
    </row>
    <row r="7" spans="1:12" x14ac:dyDescent="0.35">
      <c r="A7" t="str">
        <v>MARCELO DAVID VASQUEZ AVILEZ</v>
      </c>
      <c r="B7" t="str">
        <v>224554265</v>
      </c>
      <c r="C7" t="str">
        <v/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x14ac:dyDescent="0.35">
      <c r="A8" t="str">
        <v>JOSHUA MANN .</v>
      </c>
      <c r="B8" t="str">
        <v>293792283</v>
      </c>
      <c r="C8" t="str">
        <v>Supervisor</v>
      </c>
      <c r="D8">
        <v>0</v>
      </c>
      <c r="E8">
        <v>241.35</v>
      </c>
      <c r="F8">
        <v>108</v>
      </c>
      <c r="G8">
        <v>0</v>
      </c>
      <c r="H8">
        <v>733757.5</v>
      </c>
      <c r="I8">
        <v>0</v>
      </c>
      <c r="J8">
        <v>0</v>
      </c>
      <c r="K8">
        <v>0</v>
      </c>
      <c r="L8">
        <v>0</v>
      </c>
    </row>
    <row r="9" spans="1:12" x14ac:dyDescent="0.35">
      <c r="A9" t="str">
        <v>CARLOS ALBERTO RAMOS VELASQUEZ</v>
      </c>
      <c r="B9" t="str">
        <v>14.400.090-0</v>
      </c>
      <c r="C9" t="str">
        <v>Supervisor</v>
      </c>
      <c r="D9">
        <v>15</v>
      </c>
      <c r="E9">
        <v>451.6</v>
      </c>
      <c r="F9">
        <v>180</v>
      </c>
      <c r="G9">
        <v>0</v>
      </c>
      <c r="H9">
        <v>183439.38</v>
      </c>
      <c r="I9">
        <v>0</v>
      </c>
      <c r="J9">
        <v>0</v>
      </c>
      <c r="K9">
        <v>0</v>
      </c>
      <c r="L9">
        <v>183439.38</v>
      </c>
    </row>
    <row r="10" spans="1:12" x14ac:dyDescent="0.35">
      <c r="A10" t="str">
        <v>ADAN YOVANY BESUAIN DIAZ</v>
      </c>
      <c r="B10" t="str">
        <v>19.145.137-6</v>
      </c>
      <c r="C10" t="str">
        <v>Ayudante de Perforista</v>
      </c>
      <c r="D10">
        <v>0</v>
      </c>
      <c r="E10">
        <v>0</v>
      </c>
      <c r="F10">
        <v>0</v>
      </c>
      <c r="G10">
        <v>0</v>
      </c>
      <c r="H10">
        <v>484247.5</v>
      </c>
      <c r="I10">
        <v>0</v>
      </c>
      <c r="J10">
        <v>0</v>
      </c>
      <c r="K10">
        <v>0</v>
      </c>
      <c r="L10">
        <v>0</v>
      </c>
    </row>
    <row r="11" spans="1:12" x14ac:dyDescent="0.35">
      <c r="A11" t="str">
        <v>ALVARO IGNACIO GODOY BRUNA</v>
      </c>
      <c r="B11" t="str">
        <v>20.168.605-9</v>
      </c>
      <c r="C11" t="str">
        <v>Perforista</v>
      </c>
      <c r="D11">
        <v>16</v>
      </c>
      <c r="E11">
        <v>255.35</v>
      </c>
      <c r="F11">
        <v>192</v>
      </c>
      <c r="G11">
        <v>0</v>
      </c>
      <c r="H11">
        <v>195668.67</v>
      </c>
      <c r="I11">
        <v>0</v>
      </c>
      <c r="J11">
        <v>0</v>
      </c>
      <c r="K11">
        <v>0</v>
      </c>
      <c r="L11">
        <v>195668.67</v>
      </c>
    </row>
    <row r="12" spans="1:12" x14ac:dyDescent="0.35">
      <c r="A12" t="str">
        <v>DANIEL ARMANDO LINDERMANN LINDERMANN</v>
      </c>
      <c r="B12" t="str">
        <v>16.597.409-3</v>
      </c>
      <c r="C12" t="str">
        <v>Supervisor</v>
      </c>
      <c r="D12">
        <v>14</v>
      </c>
      <c r="E12">
        <v>405.2</v>
      </c>
      <c r="F12">
        <v>144</v>
      </c>
      <c r="G12">
        <v>0</v>
      </c>
      <c r="H12">
        <v>171210.08</v>
      </c>
      <c r="I12">
        <v>0</v>
      </c>
      <c r="J12">
        <v>0</v>
      </c>
      <c r="K12">
        <v>0</v>
      </c>
      <c r="L12">
        <v>171210.08</v>
      </c>
    </row>
    <row r="13" spans="1:12" x14ac:dyDescent="0.35">
      <c r="A13" t="str">
        <v>JOSE IGNACIO HERNANDEZ ARAYA</v>
      </c>
      <c r="B13" t="str">
        <v>17.753.119-7</v>
      </c>
      <c r="C13" t="str">
        <v>Perforista</v>
      </c>
      <c r="D13">
        <v>13</v>
      </c>
      <c r="E13">
        <v>288.5</v>
      </c>
      <c r="F13">
        <v>168</v>
      </c>
      <c r="G13">
        <v>0</v>
      </c>
      <c r="H13">
        <v>158980.79</v>
      </c>
      <c r="I13">
        <v>0</v>
      </c>
      <c r="J13">
        <v>0</v>
      </c>
      <c r="K13">
        <v>0</v>
      </c>
      <c r="L13">
        <v>158980.79</v>
      </c>
    </row>
    <row r="14" spans="1:12" x14ac:dyDescent="0.35">
      <c r="A14" t="str">
        <v>PATRICIO ANTONIO MANSILLA REYES</v>
      </c>
      <c r="B14" t="str">
        <v>12.385.856-5</v>
      </c>
      <c r="C14" t="str">
        <v>Supervisor de Operaciones</v>
      </c>
      <c r="D14">
        <v>0</v>
      </c>
      <c r="E14">
        <v>0</v>
      </c>
      <c r="F14">
        <v>0</v>
      </c>
      <c r="G14">
        <v>0</v>
      </c>
      <c r="H14">
        <v>733757.5</v>
      </c>
      <c r="I14">
        <v>0</v>
      </c>
      <c r="J14">
        <v>0</v>
      </c>
      <c r="K14">
        <v>0</v>
      </c>
      <c r="L14">
        <v>0</v>
      </c>
    </row>
    <row r="15" spans="1:12" x14ac:dyDescent="0.35">
      <c r="A15" t="str">
        <v>ANTONIO HIPOLITO OTINIANO RUIZ</v>
      </c>
      <c r="B15" t="str">
        <v>44.601.894-9</v>
      </c>
      <c r="C15" t="str">
        <v>Perforista</v>
      </c>
      <c r="D15">
        <v>12</v>
      </c>
      <c r="E15">
        <v>62.7</v>
      </c>
      <c r="F15">
        <v>24</v>
      </c>
      <c r="G15">
        <v>0</v>
      </c>
      <c r="H15">
        <v>146751.5</v>
      </c>
      <c r="I15">
        <v>0</v>
      </c>
      <c r="J15">
        <v>0</v>
      </c>
      <c r="K15">
        <v>0</v>
      </c>
      <c r="L15">
        <v>146751.5</v>
      </c>
    </row>
    <row r="16" spans="1:12" x14ac:dyDescent="0.35">
      <c r="A16" t="str">
        <v>EMIL EDGARDO VARGAS BORDONES</v>
      </c>
      <c r="B16" t="str">
        <v>19.394.534-1</v>
      </c>
      <c r="C16" t="str">
        <v>Ayudante Perforista</v>
      </c>
      <c r="D16">
        <v>14</v>
      </c>
      <c r="E16">
        <v>303</v>
      </c>
      <c r="F16">
        <v>168</v>
      </c>
      <c r="G16">
        <v>0</v>
      </c>
      <c r="H16">
        <v>112991.08</v>
      </c>
      <c r="I16">
        <v>0</v>
      </c>
      <c r="J16">
        <v>0</v>
      </c>
      <c r="K16">
        <v>0</v>
      </c>
      <c r="L16">
        <v>112991.08</v>
      </c>
    </row>
    <row r="17" spans="1:12" x14ac:dyDescent="0.35">
      <c r="A17" t="str">
        <v>DIEGO BRANCO BARRAZA CHAVEZ</v>
      </c>
      <c r="B17" t="str">
        <v>20.456.931-2</v>
      </c>
      <c r="C17" t="str">
        <v>Ayudante Perforista</v>
      </c>
      <c r="D17">
        <v>7</v>
      </c>
      <c r="E17">
        <v>173.7</v>
      </c>
      <c r="F17">
        <v>108</v>
      </c>
      <c r="G17">
        <v>0</v>
      </c>
      <c r="H17">
        <v>56495.54</v>
      </c>
      <c r="I17">
        <v>0</v>
      </c>
      <c r="J17">
        <v>0</v>
      </c>
      <c r="K17">
        <v>0</v>
      </c>
      <c r="L17">
        <v>56495.54</v>
      </c>
    </row>
    <row r="18" spans="1:12" x14ac:dyDescent="0.35">
      <c r="A18" t="str">
        <v>YONATHAN ALBERTO MOROSO CORTES</v>
      </c>
      <c r="B18" t="str">
        <v>17.112.278-3</v>
      </c>
      <c r="C18" t="str">
        <v>Administrativo</v>
      </c>
      <c r="D18">
        <v>14</v>
      </c>
      <c r="E18">
        <v>409.2</v>
      </c>
      <c r="F18">
        <v>144</v>
      </c>
      <c r="G18">
        <v>0</v>
      </c>
      <c r="H18">
        <v>112991.08</v>
      </c>
      <c r="I18">
        <v>0</v>
      </c>
      <c r="J18">
        <v>0</v>
      </c>
      <c r="K18">
        <v>0</v>
      </c>
      <c r="L18">
        <v>112991.08</v>
      </c>
    </row>
    <row r="19" spans="1:12" x14ac:dyDescent="0.35">
      <c r="A19" t="str">
        <v>KEVIN ALEXIS NEYRA CORTES</v>
      </c>
      <c r="B19" t="str">
        <v>20.460.401-0</v>
      </c>
      <c r="C19" t="str">
        <v>Perforista</v>
      </c>
      <c r="D19">
        <v>16</v>
      </c>
      <c r="E19">
        <v>297.95</v>
      </c>
      <c r="F19">
        <v>192</v>
      </c>
      <c r="G19">
        <v>0</v>
      </c>
      <c r="H19">
        <v>195668.67</v>
      </c>
      <c r="I19">
        <v>0</v>
      </c>
      <c r="J19">
        <v>0</v>
      </c>
      <c r="K19">
        <v>0</v>
      </c>
      <c r="L19">
        <v>195668.67</v>
      </c>
    </row>
    <row r="20" spans="1:12" x14ac:dyDescent="0.35">
      <c r="A20" t="str">
        <v>FELIPE OCTAVIO VEGA ASTUDILLO</v>
      </c>
      <c r="B20" t="str">
        <v>15.594.928-7</v>
      </c>
      <c r="C20" t="str">
        <v>Chofer</v>
      </c>
      <c r="D20">
        <v>0</v>
      </c>
      <c r="E20">
        <v>0</v>
      </c>
      <c r="F20">
        <v>0</v>
      </c>
      <c r="G20">
        <v>0</v>
      </c>
      <c r="H20">
        <v>484247.5</v>
      </c>
      <c r="I20">
        <v>0</v>
      </c>
      <c r="J20">
        <v>0</v>
      </c>
      <c r="K20">
        <v>0</v>
      </c>
      <c r="L20">
        <v>0</v>
      </c>
    </row>
    <row r="21" spans="1:12" x14ac:dyDescent="0.35">
      <c r="A21" t="str">
        <v>DANIEL ANDRES VENEGAS CARRASCO</v>
      </c>
      <c r="B21" t="str">
        <v>18.665.544-3</v>
      </c>
      <c r="C21" t="str">
        <v>Perforista</v>
      </c>
      <c r="D21">
        <v>14</v>
      </c>
      <c r="E21">
        <v>303.5</v>
      </c>
      <c r="F21">
        <v>192</v>
      </c>
      <c r="G21">
        <v>0</v>
      </c>
      <c r="H21">
        <v>171210.08</v>
      </c>
      <c r="I21">
        <v>0</v>
      </c>
      <c r="J21">
        <v>0</v>
      </c>
      <c r="K21">
        <v>0</v>
      </c>
      <c r="L21">
        <v>171210.08</v>
      </c>
    </row>
    <row r="22" spans="1:12" x14ac:dyDescent="0.35">
      <c r="A22" t="str">
        <v>EDUARDO ANTONIO CASTILLO VALENZUELA</v>
      </c>
      <c r="B22" t="str">
        <v>12.218.170-7</v>
      </c>
      <c r="C22" t="str">
        <v>Perforista</v>
      </c>
      <c r="D22">
        <v>15</v>
      </c>
      <c r="E22">
        <v>356.6</v>
      </c>
      <c r="F22">
        <v>180</v>
      </c>
      <c r="G22">
        <v>0</v>
      </c>
      <c r="H22">
        <v>183439.38</v>
      </c>
      <c r="I22">
        <v>0</v>
      </c>
      <c r="J22">
        <v>0</v>
      </c>
      <c r="K22">
        <v>0</v>
      </c>
      <c r="L22">
        <v>183439.38</v>
      </c>
    </row>
    <row r="23" spans="1:12" x14ac:dyDescent="0.35">
      <c r="A23" t="str">
        <v>FELIPE ANDRES BOLBARAN ROJAS</v>
      </c>
      <c r="B23" t="str">
        <v>16.755.492-K</v>
      </c>
      <c r="C23" t="str">
        <v>Perforista</v>
      </c>
      <c r="D23">
        <v>13</v>
      </c>
      <c r="E23">
        <v>245.9</v>
      </c>
      <c r="F23">
        <v>168</v>
      </c>
      <c r="G23">
        <v>0</v>
      </c>
      <c r="H23">
        <v>158980.79</v>
      </c>
      <c r="I23">
        <v>0</v>
      </c>
      <c r="J23">
        <v>0</v>
      </c>
      <c r="K23">
        <v>0</v>
      </c>
      <c r="L23">
        <v>158980.79</v>
      </c>
    </row>
    <row r="24" spans="1:12" x14ac:dyDescent="0.35">
      <c r="A24" t="str">
        <v>DANIEL ANDRES ANDRADE AGUILAR</v>
      </c>
      <c r="B24" t="str">
        <v>17.465.056-K</v>
      </c>
      <c r="C24" t="str">
        <v>Mecánico</v>
      </c>
      <c r="D24">
        <v>13</v>
      </c>
      <c r="E24">
        <v>406.75</v>
      </c>
      <c r="F24">
        <v>156</v>
      </c>
      <c r="G24">
        <v>0</v>
      </c>
      <c r="H24">
        <v>104920.29</v>
      </c>
      <c r="I24">
        <v>0</v>
      </c>
      <c r="J24">
        <v>0</v>
      </c>
      <c r="K24">
        <v>0</v>
      </c>
      <c r="L24">
        <v>104920.29</v>
      </c>
    </row>
    <row r="25" spans="1:12" x14ac:dyDescent="0.35">
      <c r="A25" t="str">
        <v>CARLOS JAVIER ARENA ROJAS</v>
      </c>
      <c r="B25" t="str">
        <v>14.055.945-8</v>
      </c>
      <c r="C25" t="str">
        <v>Perforista</v>
      </c>
      <c r="D25">
        <v>0</v>
      </c>
      <c r="E25">
        <v>0</v>
      </c>
      <c r="F25">
        <v>0</v>
      </c>
      <c r="G25">
        <v>0</v>
      </c>
      <c r="H25">
        <v>733757.5</v>
      </c>
      <c r="I25">
        <v>0</v>
      </c>
      <c r="J25">
        <v>0</v>
      </c>
      <c r="K25">
        <v>0</v>
      </c>
      <c r="L25">
        <v>0</v>
      </c>
    </row>
    <row r="26" spans="1:12" x14ac:dyDescent="0.35">
      <c r="A26" t="str">
        <v>DAVID AUGUSTO MARSHALL FLORES</v>
      </c>
      <c r="B26" t="str">
        <v>18.328.176-3</v>
      </c>
      <c r="C26" t="str">
        <v>BODEGUERO</v>
      </c>
      <c r="D26">
        <v>14</v>
      </c>
      <c r="E26">
        <v>409.2</v>
      </c>
      <c r="F26">
        <v>144</v>
      </c>
      <c r="G26">
        <v>0</v>
      </c>
      <c r="H26">
        <v>112991.08</v>
      </c>
      <c r="I26">
        <v>0</v>
      </c>
      <c r="J26">
        <v>0</v>
      </c>
      <c r="K26">
        <v>0</v>
      </c>
      <c r="L26">
        <v>112991.08</v>
      </c>
    </row>
    <row r="27" spans="1:12" x14ac:dyDescent="0.35">
      <c r="A27" t="str">
        <v>GUILLERMO NICOLAS GODOY CARVAJAL</v>
      </c>
      <c r="B27" t="str">
        <v>18.012.671-6</v>
      </c>
      <c r="C27" t="str">
        <v>Ayudante Perforista</v>
      </c>
      <c r="D27">
        <v>9</v>
      </c>
      <c r="E27">
        <v>141</v>
      </c>
      <c r="F27">
        <v>108</v>
      </c>
      <c r="G27">
        <v>0</v>
      </c>
      <c r="H27">
        <v>72637.13</v>
      </c>
      <c r="I27">
        <v>0</v>
      </c>
      <c r="J27">
        <v>0</v>
      </c>
      <c r="K27">
        <v>0</v>
      </c>
      <c r="L27">
        <v>72637.13</v>
      </c>
    </row>
    <row r="28" spans="1:12" x14ac:dyDescent="0.35">
      <c r="A28" t="str">
        <v>JEAN CHARLES CERDA ORREGO</v>
      </c>
      <c r="B28" t="str">
        <v>19.349.619-9</v>
      </c>
      <c r="C28" t="str">
        <v>Ayudante Perforista</v>
      </c>
      <c r="D28">
        <v>9</v>
      </c>
      <c r="E28">
        <v>208.05</v>
      </c>
      <c r="F28">
        <v>120</v>
      </c>
      <c r="G28">
        <v>0</v>
      </c>
      <c r="H28">
        <v>72637.13</v>
      </c>
      <c r="I28">
        <v>0</v>
      </c>
      <c r="J28">
        <v>0</v>
      </c>
      <c r="K28">
        <v>0</v>
      </c>
      <c r="L28">
        <v>72637.13</v>
      </c>
    </row>
    <row r="29" spans="1:12" x14ac:dyDescent="0.35">
      <c r="A29" t="str">
        <v>GUILLERMO ALFREDO CASTRO ZUÑIGA</v>
      </c>
      <c r="B29" t="str">
        <v>15.134.240-K</v>
      </c>
      <c r="C29" t="str">
        <v>Perforista</v>
      </c>
      <c r="D29">
        <v>14</v>
      </c>
      <c r="E29">
        <v>265.60000000000002</v>
      </c>
      <c r="F29">
        <v>168</v>
      </c>
      <c r="G29">
        <v>0</v>
      </c>
      <c r="H29">
        <v>171210.08</v>
      </c>
      <c r="I29">
        <v>0</v>
      </c>
      <c r="J29">
        <v>0</v>
      </c>
      <c r="K29">
        <v>0</v>
      </c>
      <c r="L29">
        <v>171210.08</v>
      </c>
    </row>
    <row r="30" spans="1:12" x14ac:dyDescent="0.35">
      <c r="A30" t="str">
        <v>DIEGO NICOLAS GONZALEZ OLIVARES</v>
      </c>
      <c r="B30" t="str">
        <v>19.506.189-0</v>
      </c>
      <c r="C30" t="str">
        <v>Mecánico</v>
      </c>
      <c r="D30">
        <v>16</v>
      </c>
      <c r="E30">
        <v>451.6</v>
      </c>
      <c r="F30">
        <v>180</v>
      </c>
      <c r="G30">
        <v>0</v>
      </c>
      <c r="H30">
        <v>129132.67</v>
      </c>
      <c r="I30">
        <v>0</v>
      </c>
      <c r="J30">
        <v>0</v>
      </c>
      <c r="K30">
        <v>0</v>
      </c>
      <c r="L30">
        <v>129132.67</v>
      </c>
    </row>
    <row r="31" spans="1:12" x14ac:dyDescent="0.35">
      <c r="A31" t="str">
        <v>CAMILO FELIPE CRUZ MOLINA</v>
      </c>
      <c r="B31" t="str">
        <v>17.580.584-2</v>
      </c>
      <c r="C31" t="str">
        <v>Supervisor</v>
      </c>
      <c r="D31">
        <v>14</v>
      </c>
      <c r="E31">
        <v>342</v>
      </c>
      <c r="F31">
        <v>180</v>
      </c>
      <c r="G31">
        <v>0</v>
      </c>
      <c r="H31">
        <v>171210.08</v>
      </c>
      <c r="I31">
        <v>0</v>
      </c>
      <c r="J31">
        <v>0</v>
      </c>
      <c r="K31">
        <v>0</v>
      </c>
      <c r="L31">
        <v>171210.08</v>
      </c>
    </row>
    <row r="32" spans="1:12" x14ac:dyDescent="0.35">
      <c r="A32" t="str">
        <v>LUIS ALBERTO ROJAS FLORES</v>
      </c>
      <c r="B32" t="str">
        <v>16.998.450-6</v>
      </c>
      <c r="C32" t="str">
        <v>Electromecánico</v>
      </c>
      <c r="D32">
        <v>0</v>
      </c>
      <c r="E32">
        <v>0</v>
      </c>
      <c r="F32">
        <v>0</v>
      </c>
      <c r="G32">
        <v>0</v>
      </c>
      <c r="H32">
        <v>484247.5</v>
      </c>
      <c r="I32">
        <v>0</v>
      </c>
      <c r="J32">
        <v>0</v>
      </c>
      <c r="K32">
        <v>0</v>
      </c>
      <c r="L32">
        <v>0</v>
      </c>
    </row>
    <row r="33" spans="1:12" x14ac:dyDescent="0.35">
      <c r="A33" t="str">
        <v>MARCO ANTONIO VELASQUEZ CIFUENTES</v>
      </c>
      <c r="B33" t="str">
        <v>12.982.701-7</v>
      </c>
      <c r="C33" t="str">
        <v>Ayudante Perforista</v>
      </c>
      <c r="D33">
        <v>14</v>
      </c>
      <c r="E33">
        <v>303.5</v>
      </c>
      <c r="F33">
        <v>192</v>
      </c>
      <c r="G33">
        <v>0</v>
      </c>
      <c r="H33">
        <v>112991.08</v>
      </c>
      <c r="I33">
        <v>0</v>
      </c>
      <c r="J33">
        <v>0</v>
      </c>
      <c r="K33">
        <v>0</v>
      </c>
      <c r="L33">
        <v>112991.08</v>
      </c>
    </row>
    <row r="34" spans="1:12" x14ac:dyDescent="0.35">
      <c r="A34" t="str">
        <v>PEDRO ENRIQUE BOLBARAN ROJAS</v>
      </c>
      <c r="B34" t="str">
        <v>17.388.599-7</v>
      </c>
      <c r="C34" t="str">
        <v>Ayudante Perforista</v>
      </c>
      <c r="D34">
        <v>15</v>
      </c>
      <c r="E34">
        <v>288.5</v>
      </c>
      <c r="F34">
        <v>168</v>
      </c>
      <c r="G34">
        <v>0</v>
      </c>
      <c r="H34">
        <v>121061.88</v>
      </c>
      <c r="I34">
        <v>0</v>
      </c>
      <c r="J34">
        <v>0</v>
      </c>
      <c r="K34">
        <v>0</v>
      </c>
      <c r="L34">
        <v>121061.88</v>
      </c>
    </row>
    <row r="35" spans="1:12" x14ac:dyDescent="0.35">
      <c r="A35" t="str">
        <v>HECTOR  HUGO  SEPULVEDA  GAVILAN</v>
      </c>
      <c r="B35" t="str">
        <v>14.071.144-6</v>
      </c>
      <c r="C35" t="str">
        <v>Ayudante Perforista</v>
      </c>
      <c r="D35">
        <v>7</v>
      </c>
      <c r="E35">
        <v>121.05</v>
      </c>
      <c r="F35">
        <v>84</v>
      </c>
      <c r="G35">
        <v>0</v>
      </c>
      <c r="H35">
        <v>56495.54</v>
      </c>
      <c r="I35">
        <v>0</v>
      </c>
      <c r="J35">
        <v>0</v>
      </c>
      <c r="K35">
        <v>0</v>
      </c>
      <c r="L35">
        <v>56495.54</v>
      </c>
    </row>
    <row r="36" spans="1:12" x14ac:dyDescent="0.35">
      <c r="A36" t="str">
        <v>MAXIMILIANO ANDRES ARAYA CALDERON</v>
      </c>
      <c r="B36" t="str">
        <v>20.650.374-2</v>
      </c>
      <c r="C36" t="str">
        <v>Mecánico</v>
      </c>
      <c r="D36">
        <v>0</v>
      </c>
      <c r="E36">
        <v>0</v>
      </c>
      <c r="F36">
        <v>0</v>
      </c>
      <c r="G36">
        <v>0</v>
      </c>
      <c r="H36">
        <v>484247.5</v>
      </c>
      <c r="I36">
        <v>0</v>
      </c>
      <c r="J36">
        <v>0</v>
      </c>
      <c r="K36">
        <v>0</v>
      </c>
      <c r="L36">
        <v>0</v>
      </c>
    </row>
    <row r="37" spans="1:12" x14ac:dyDescent="0.35">
      <c r="A37" t="str">
        <v>KATHERINE ANGELICA LINZMAYER TRASLAVIÑA</v>
      </c>
      <c r="B37" t="str">
        <v>16.625.839-1</v>
      </c>
      <c r="C37" t="str">
        <v>Administrativo de Faena</v>
      </c>
      <c r="D37">
        <v>0</v>
      </c>
      <c r="E37">
        <v>0</v>
      </c>
      <c r="F37">
        <v>0</v>
      </c>
      <c r="G37">
        <v>0</v>
      </c>
      <c r="H37">
        <v>484247.5</v>
      </c>
      <c r="I37">
        <v>0</v>
      </c>
      <c r="J37">
        <v>0</v>
      </c>
      <c r="K37">
        <v>0</v>
      </c>
      <c r="L37">
        <v>0</v>
      </c>
    </row>
    <row r="38" spans="1:12" x14ac:dyDescent="0.35">
      <c r="A38" t="str">
        <v>PATRICIO RICARDO OETIKER OYARZUN</v>
      </c>
      <c r="B38" t="str">
        <v>9.528.480-9</v>
      </c>
      <c r="C38" t="str">
        <v>HSEC</v>
      </c>
      <c r="D38">
        <v>13</v>
      </c>
      <c r="E38">
        <v>405.2</v>
      </c>
      <c r="F38">
        <v>144</v>
      </c>
      <c r="G38">
        <v>0</v>
      </c>
      <c r="H38">
        <v>158980.79</v>
      </c>
      <c r="I38">
        <v>0</v>
      </c>
      <c r="J38">
        <v>0</v>
      </c>
      <c r="K38">
        <v>0</v>
      </c>
      <c r="L38">
        <v>158980.79</v>
      </c>
    </row>
    <row r="39" spans="1:12" x14ac:dyDescent="0.35">
      <c r="A39" t="str">
        <v>SERGIO ALFONSO BRUNA LEDEZMA</v>
      </c>
      <c r="B39" t="str">
        <v>16.687.336-3</v>
      </c>
      <c r="C39" t="str">
        <v>Ayudante Perforista</v>
      </c>
      <c r="D39">
        <v>14</v>
      </c>
      <c r="E39">
        <v>303</v>
      </c>
      <c r="F39">
        <v>168</v>
      </c>
      <c r="G39">
        <v>0</v>
      </c>
      <c r="H39">
        <v>112991.08</v>
      </c>
      <c r="I39">
        <v>0</v>
      </c>
      <c r="J39">
        <v>0</v>
      </c>
      <c r="K39">
        <v>0</v>
      </c>
      <c r="L39">
        <v>112991.08</v>
      </c>
    </row>
    <row r="40" spans="1:12" x14ac:dyDescent="0.35">
      <c r="A40" t="str">
        <v>MARIO ANDRES PUCHI CORTEZ</v>
      </c>
      <c r="B40" t="str">
        <v>16.684.239-5</v>
      </c>
      <c r="C40" t="str">
        <v>Mecánico</v>
      </c>
      <c r="D40">
        <v>13</v>
      </c>
      <c r="E40">
        <v>405.2</v>
      </c>
      <c r="F40">
        <v>144</v>
      </c>
      <c r="G40">
        <v>0</v>
      </c>
      <c r="H40">
        <v>104920.29</v>
      </c>
      <c r="I40">
        <v>0</v>
      </c>
      <c r="J40">
        <v>0</v>
      </c>
      <c r="K40">
        <v>0</v>
      </c>
      <c r="L40">
        <v>104920.29</v>
      </c>
    </row>
    <row r="41" spans="1:12" x14ac:dyDescent="0.35">
      <c r="A41" t="str">
        <v>MIGUEL SEBASTIAN JUAREZ MORALES</v>
      </c>
      <c r="B41" t="str">
        <v>16.581.882-2</v>
      </c>
      <c r="C41" t="str">
        <v>Chofer</v>
      </c>
      <c r="D41">
        <v>0</v>
      </c>
      <c r="E41">
        <v>0</v>
      </c>
      <c r="F41">
        <v>0</v>
      </c>
      <c r="G41">
        <v>0</v>
      </c>
      <c r="H41">
        <v>484247.5</v>
      </c>
      <c r="I41">
        <v>0</v>
      </c>
      <c r="J41">
        <v>0</v>
      </c>
      <c r="K41">
        <v>0</v>
      </c>
      <c r="L41">
        <v>0</v>
      </c>
    </row>
    <row r="42" spans="1:12" x14ac:dyDescent="0.35">
      <c r="A42" t="str">
        <v>MANUEL ARNOLDO ALISTE OLIVARES</v>
      </c>
      <c r="B42" t="str">
        <v>12.807.074-5</v>
      </c>
      <c r="C42" t="str">
        <v>Ayudante Perforista</v>
      </c>
      <c r="D42">
        <v>15</v>
      </c>
      <c r="E42">
        <v>288.5</v>
      </c>
      <c r="F42">
        <v>168</v>
      </c>
      <c r="G42">
        <v>0</v>
      </c>
      <c r="H42">
        <v>121061.88</v>
      </c>
      <c r="I42">
        <v>0</v>
      </c>
      <c r="J42">
        <v>0</v>
      </c>
      <c r="K42">
        <v>0</v>
      </c>
      <c r="L42">
        <v>121061.88</v>
      </c>
    </row>
    <row r="43" spans="1:12" x14ac:dyDescent="0.35">
      <c r="A43" t="str">
        <v>MARCOS ANTONIO ALDEA BEROIZA</v>
      </c>
      <c r="B43" t="str">
        <v>16.981.319-1</v>
      </c>
      <c r="C43" t="str">
        <v>Conductor</v>
      </c>
      <c r="D43">
        <v>16</v>
      </c>
      <c r="E43">
        <v>451.6</v>
      </c>
      <c r="F43">
        <v>180</v>
      </c>
      <c r="G43">
        <v>0</v>
      </c>
      <c r="H43">
        <v>129132.67</v>
      </c>
      <c r="I43">
        <v>0</v>
      </c>
      <c r="J43">
        <v>0</v>
      </c>
      <c r="K43">
        <v>0</v>
      </c>
      <c r="L43">
        <v>129132.67</v>
      </c>
    </row>
    <row r="44" spans="1:12" x14ac:dyDescent="0.35">
      <c r="A44" t="str">
        <v>RICARDO ALEXIS LEMUS LOPEZ</v>
      </c>
      <c r="B44" t="str">
        <v>15.969.452-6</v>
      </c>
      <c r="C44" t="str">
        <v>Ayudante Perforista</v>
      </c>
      <c r="D44">
        <v>11</v>
      </c>
      <c r="E44">
        <v>163.05000000000001</v>
      </c>
      <c r="F44">
        <v>120</v>
      </c>
      <c r="G44">
        <v>0</v>
      </c>
      <c r="H44">
        <v>88778.71</v>
      </c>
      <c r="I44">
        <v>0</v>
      </c>
      <c r="J44">
        <v>0</v>
      </c>
      <c r="K44">
        <v>0</v>
      </c>
      <c r="L44">
        <v>88778.71</v>
      </c>
    </row>
    <row r="45" spans="1:12" x14ac:dyDescent="0.35">
      <c r="A45" t="str">
        <v>PABLO ROMARIO BOSSA ZAMORANO</v>
      </c>
      <c r="B45" t="str">
        <v>17.521.166-7</v>
      </c>
      <c r="C45" t="str">
        <v>Conductor</v>
      </c>
      <c r="D45">
        <v>14</v>
      </c>
      <c r="E45">
        <v>405.2</v>
      </c>
      <c r="F45">
        <v>144</v>
      </c>
      <c r="G45">
        <v>0</v>
      </c>
      <c r="H45">
        <v>112991.08</v>
      </c>
      <c r="I45">
        <v>0</v>
      </c>
      <c r="J45">
        <v>0</v>
      </c>
      <c r="K45">
        <v>0</v>
      </c>
      <c r="L45">
        <v>112991.08</v>
      </c>
    </row>
    <row r="46" spans="1:12" x14ac:dyDescent="0.35">
      <c r="A46" t="str">
        <v>OSCAR RODRIGO ARIAS LEIVA</v>
      </c>
      <c r="B46" t="str">
        <v>20.774.155-8</v>
      </c>
      <c r="C46" t="str">
        <v>Ayudante Perforista</v>
      </c>
      <c r="D46">
        <v>10</v>
      </c>
      <c r="E46">
        <v>185.35</v>
      </c>
      <c r="F46">
        <v>120</v>
      </c>
      <c r="G46">
        <v>0</v>
      </c>
      <c r="H46">
        <v>80707.92</v>
      </c>
      <c r="I46">
        <v>0</v>
      </c>
      <c r="J46">
        <v>0</v>
      </c>
      <c r="K46">
        <v>0</v>
      </c>
      <c r="L46">
        <v>80707.92</v>
      </c>
    </row>
    <row r="47" spans="1:12" x14ac:dyDescent="0.35">
      <c r="A47" t="str">
        <v>MANUEL ALEJANDRO LISAMBARTH CARABANTES</v>
      </c>
      <c r="B47" t="str">
        <v>16.892.085-7</v>
      </c>
      <c r="C47" t="str">
        <v>Administrativo</v>
      </c>
      <c r="D47">
        <v>16</v>
      </c>
      <c r="E47">
        <v>397</v>
      </c>
      <c r="F47">
        <v>180</v>
      </c>
      <c r="G47">
        <v>0</v>
      </c>
      <c r="H47">
        <v>129132.67</v>
      </c>
      <c r="I47">
        <v>0</v>
      </c>
      <c r="J47">
        <v>0</v>
      </c>
      <c r="K47">
        <v>0</v>
      </c>
      <c r="L47">
        <v>129132.67</v>
      </c>
    </row>
    <row r="48" spans="1:12" x14ac:dyDescent="0.35">
      <c r="A48" t="str">
        <v>KARINA MABEL VEGA LOBERA</v>
      </c>
      <c r="B48" t="str">
        <v>10.989.707-8</v>
      </c>
      <c r="C48" t="str">
        <v>Prevencionista de Riesgos</v>
      </c>
      <c r="D48">
        <v>0</v>
      </c>
      <c r="E48">
        <v>0</v>
      </c>
      <c r="F48">
        <v>0</v>
      </c>
      <c r="G48">
        <v>0</v>
      </c>
      <c r="H48">
        <v>733757.5</v>
      </c>
      <c r="I48">
        <v>0</v>
      </c>
      <c r="J48">
        <v>0</v>
      </c>
      <c r="K48">
        <v>0</v>
      </c>
      <c r="L48">
        <v>0</v>
      </c>
    </row>
    <row r="49" spans="1:12" x14ac:dyDescent="0.35">
      <c r="A49" t="str">
        <v>NICOLAS ISAIAS VALENZUELA CASTILLO</v>
      </c>
      <c r="B49" t="str">
        <v>20.457.483-9</v>
      </c>
      <c r="C49" t="str">
        <v>Ayudante de Perforista</v>
      </c>
      <c r="D49">
        <v>0</v>
      </c>
      <c r="E49">
        <v>0</v>
      </c>
      <c r="F49">
        <v>0</v>
      </c>
      <c r="G49">
        <v>0</v>
      </c>
      <c r="H49">
        <v>484247.5</v>
      </c>
      <c r="I49">
        <v>0</v>
      </c>
      <c r="J49">
        <v>0</v>
      </c>
      <c r="K49">
        <v>0</v>
      </c>
      <c r="L49">
        <v>0</v>
      </c>
    </row>
    <row r="50" spans="1:12" x14ac:dyDescent="0.35">
      <c r="A50" t="str">
        <v>OMAR ANDRES ARAYA ZUÑIGA</v>
      </c>
      <c r="B50" t="str">
        <v>16.771.866-3</v>
      </c>
      <c r="C50" t="str">
        <v>Ayudante Perforista</v>
      </c>
      <c r="D50">
        <v>16</v>
      </c>
      <c r="E50">
        <v>324.39999999999998</v>
      </c>
      <c r="F50">
        <v>192</v>
      </c>
      <c r="G50">
        <v>0</v>
      </c>
      <c r="H50">
        <v>129132.67</v>
      </c>
      <c r="I50">
        <v>0</v>
      </c>
      <c r="J50">
        <v>0</v>
      </c>
      <c r="K50">
        <v>0</v>
      </c>
      <c r="L50">
        <v>129132.67</v>
      </c>
    </row>
    <row r="51" spans="1:12" x14ac:dyDescent="0.35">
      <c r="A51" t="str">
        <v>PATRICIO RENAN GONZALEZ CABELLO</v>
      </c>
      <c r="B51" t="str">
        <v>17.980.395-K</v>
      </c>
      <c r="C51" t="str">
        <v>Ayudante Perforista</v>
      </c>
      <c r="D51">
        <v>16</v>
      </c>
      <c r="E51">
        <v>357.75</v>
      </c>
      <c r="F51">
        <v>192</v>
      </c>
      <c r="G51">
        <v>0</v>
      </c>
      <c r="H51">
        <v>129132.67</v>
      </c>
      <c r="I51">
        <v>0</v>
      </c>
      <c r="J51">
        <v>0</v>
      </c>
      <c r="K51">
        <v>0</v>
      </c>
      <c r="L51">
        <v>129132.67</v>
      </c>
    </row>
    <row r="52" spans="1:12" x14ac:dyDescent="0.35">
      <c r="A52" t="str">
        <v>SEBASTIAN ALEJANDRO ARANEDA MILLAR</v>
      </c>
      <c r="B52" t="str">
        <v>18.987.429-4</v>
      </c>
      <c r="C52" t="str">
        <v>Ayudante Perforista</v>
      </c>
      <c r="D52">
        <v>14</v>
      </c>
      <c r="E52">
        <v>303</v>
      </c>
      <c r="F52">
        <v>168</v>
      </c>
      <c r="G52">
        <v>0</v>
      </c>
      <c r="H52">
        <v>112991.08</v>
      </c>
      <c r="I52">
        <v>0</v>
      </c>
      <c r="J52">
        <v>0</v>
      </c>
      <c r="K52">
        <v>0</v>
      </c>
      <c r="L52">
        <v>112991.08</v>
      </c>
    </row>
    <row r="53" spans="1:12" x14ac:dyDescent="0.35">
      <c r="A53" t="str">
        <v>OSCAR MANUEL ESPINOZA ESPINOZA</v>
      </c>
      <c r="B53" t="str">
        <v>18.494.069-8</v>
      </c>
      <c r="C53" t="str">
        <v>Ayudante Perforista</v>
      </c>
      <c r="D53">
        <v>13</v>
      </c>
      <c r="E53">
        <v>245.9</v>
      </c>
      <c r="F53">
        <v>168</v>
      </c>
      <c r="G53">
        <v>0</v>
      </c>
      <c r="H53">
        <v>104920.29</v>
      </c>
      <c r="I53">
        <v>0</v>
      </c>
      <c r="J53">
        <v>0</v>
      </c>
      <c r="K53">
        <v>0</v>
      </c>
      <c r="L53">
        <v>104920.29</v>
      </c>
    </row>
    <row r="54" spans="1:12" x14ac:dyDescent="0.35">
      <c r="A54" t="str">
        <v>SEBASTIAN GONZALO ROJAS CLARO</v>
      </c>
      <c r="B54" t="str">
        <v>26.931.695-0</v>
      </c>
      <c r="C54" t="str">
        <v>Mecánico</v>
      </c>
      <c r="D54">
        <v>8</v>
      </c>
      <c r="E54">
        <v>202.65</v>
      </c>
      <c r="F54">
        <v>108</v>
      </c>
      <c r="G54">
        <v>0</v>
      </c>
      <c r="H54">
        <v>64566.33</v>
      </c>
      <c r="I54">
        <v>0</v>
      </c>
      <c r="J54">
        <v>0</v>
      </c>
      <c r="K54">
        <v>0</v>
      </c>
      <c r="L54">
        <v>64566.33</v>
      </c>
    </row>
    <row r="55" spans="1:12" x14ac:dyDescent="0.35">
      <c r="A55" t="str">
        <v>RICARDO DE LAS NIEVES GUTIERREZ FUENTES</v>
      </c>
      <c r="B55" t="str">
        <v>12.707.776-2</v>
      </c>
      <c r="C55" t="str">
        <v>Conductor</v>
      </c>
      <c r="D55">
        <v>12</v>
      </c>
      <c r="E55">
        <v>202.65</v>
      </c>
      <c r="F55">
        <v>108</v>
      </c>
      <c r="G55">
        <v>0</v>
      </c>
      <c r="H55">
        <v>96849.5</v>
      </c>
      <c r="I55">
        <v>0</v>
      </c>
      <c r="J55">
        <v>0</v>
      </c>
      <c r="K55">
        <v>0</v>
      </c>
      <c r="L55">
        <v>96849.5</v>
      </c>
    </row>
    <row r="56" spans="1:12" x14ac:dyDescent="0.35">
      <c r="A56" t="str">
        <v>RODRIGO ANDRES DIAZ INOSTROZA</v>
      </c>
      <c r="B56" t="str">
        <v>17.697.158-4</v>
      </c>
      <c r="C56" t="str">
        <v>BODEGUERO</v>
      </c>
      <c r="D56">
        <v>16</v>
      </c>
      <c r="E56">
        <v>397</v>
      </c>
      <c r="F56">
        <v>180</v>
      </c>
      <c r="G56">
        <v>0</v>
      </c>
      <c r="H56">
        <v>129132.67</v>
      </c>
      <c r="I56">
        <v>0</v>
      </c>
      <c r="J56">
        <v>0</v>
      </c>
      <c r="K56">
        <v>0</v>
      </c>
      <c r="L56">
        <v>129132.67</v>
      </c>
    </row>
    <row r="57" spans="1:12" x14ac:dyDescent="0.35">
      <c r="A57" t="str">
        <v>RAUL MANUEL BUSTAMANTE CERON</v>
      </c>
      <c r="B57" t="str">
        <v>16.290.708-5</v>
      </c>
      <c r="C57" t="str">
        <v>Soldador</v>
      </c>
      <c r="D57">
        <v>14</v>
      </c>
      <c r="E57">
        <v>409.2</v>
      </c>
      <c r="F57">
        <v>144</v>
      </c>
      <c r="G57">
        <v>0</v>
      </c>
      <c r="H57">
        <v>112991.08</v>
      </c>
      <c r="I57">
        <v>0</v>
      </c>
      <c r="J57">
        <v>0</v>
      </c>
      <c r="K57">
        <v>0</v>
      </c>
      <c r="L57">
        <v>112991.08</v>
      </c>
    </row>
    <row r="58" spans="1:12" x14ac:dyDescent="0.35">
      <c r="A58" t="str">
        <v>RICKY DONNELLY ARAVENA POBLETE</v>
      </c>
      <c r="B58" t="str">
        <v>15.608.134-5</v>
      </c>
      <c r="C58" t="str">
        <v>Ayudante Perforista</v>
      </c>
      <c r="D58">
        <v>13</v>
      </c>
      <c r="E58">
        <v>265.60000000000002</v>
      </c>
      <c r="F58">
        <v>168</v>
      </c>
      <c r="G58">
        <v>0</v>
      </c>
      <c r="H58">
        <v>104920.29</v>
      </c>
      <c r="I58">
        <v>0</v>
      </c>
      <c r="J58">
        <v>0</v>
      </c>
      <c r="K58">
        <v>0</v>
      </c>
      <c r="L58">
        <v>104920.29</v>
      </c>
    </row>
    <row r="59" spans="1:12" x14ac:dyDescent="0.35">
      <c r="A59" t="str">
        <v>PABLO ANTONIO ALVAREZ CORTES</v>
      </c>
      <c r="B59" t="str">
        <v>18.184.052-8</v>
      </c>
      <c r="C59" t="str">
        <v>HSEC</v>
      </c>
      <c r="D59">
        <v>13</v>
      </c>
      <c r="E59">
        <v>409.2</v>
      </c>
      <c r="F59">
        <v>144</v>
      </c>
      <c r="G59">
        <v>0</v>
      </c>
      <c r="H59">
        <v>158980.79</v>
      </c>
      <c r="I59">
        <v>0</v>
      </c>
      <c r="J59">
        <v>0</v>
      </c>
      <c r="K59">
        <v>0</v>
      </c>
      <c r="L59">
        <v>158980.79</v>
      </c>
    </row>
    <row r="60" spans="1:12" x14ac:dyDescent="0.35">
      <c r="A60" t="str">
        <v>VICTOR DANIEL MONTAÑO ARAYA</v>
      </c>
      <c r="B60" t="str">
        <v>11.197.049-1</v>
      </c>
      <c r="C60" t="str">
        <v>Chofer</v>
      </c>
      <c r="D60">
        <v>14</v>
      </c>
      <c r="E60">
        <v>0</v>
      </c>
      <c r="F60">
        <v>0</v>
      </c>
      <c r="G60">
        <v>0</v>
      </c>
      <c r="H60">
        <v>112991.08</v>
      </c>
      <c r="I60">
        <v>0</v>
      </c>
      <c r="J60">
        <v>0</v>
      </c>
      <c r="K60">
        <v>0</v>
      </c>
      <c r="L60">
        <v>112991.08</v>
      </c>
    </row>
    <row r="61" spans="1:12" x14ac:dyDescent="0.35">
      <c r="A61" t="str">
        <v>PATRICIO IGNACIO VEGA ARTEAGA</v>
      </c>
      <c r="B61" t="str">
        <v>22.436.160-2</v>
      </c>
      <c r="C61" t="str">
        <v>Ayudante de Perforista</v>
      </c>
      <c r="D61">
        <v>0</v>
      </c>
      <c r="E61">
        <v>0</v>
      </c>
      <c r="F61">
        <v>0</v>
      </c>
      <c r="G61">
        <v>0</v>
      </c>
      <c r="H61">
        <v>484247.5</v>
      </c>
      <c r="I61">
        <v>0</v>
      </c>
      <c r="J61">
        <v>0</v>
      </c>
      <c r="K61">
        <v>0</v>
      </c>
      <c r="L61">
        <v>0</v>
      </c>
    </row>
    <row r="62" spans="1:12" x14ac:dyDescent="0.35">
      <c r="A62" t="str">
        <v>CHRISTOFER HUESLY OLIVARES FERNANDEZ</v>
      </c>
      <c r="B62" t="str">
        <v>16.755.649-3</v>
      </c>
      <c r="C62" t="str">
        <v>Ayudante Perforista</v>
      </c>
      <c r="D62">
        <v>13</v>
      </c>
      <c r="E62">
        <v>265.60000000000002</v>
      </c>
      <c r="F62">
        <v>168</v>
      </c>
      <c r="G62">
        <v>0</v>
      </c>
      <c r="H62">
        <v>104920.29</v>
      </c>
      <c r="I62">
        <v>0</v>
      </c>
      <c r="J62">
        <v>0</v>
      </c>
      <c r="K62">
        <v>0</v>
      </c>
      <c r="L62">
        <v>104920.29</v>
      </c>
    </row>
    <row r="63" spans="1:12" x14ac:dyDescent="0.35">
      <c r="A63" t="str">
        <v>RAUL  ESTEBAN  HERNANDEZ PIZARRO</v>
      </c>
      <c r="B63" t="str">
        <v>18.494.463-4</v>
      </c>
      <c r="C63" t="str">
        <v>HSEC</v>
      </c>
      <c r="D63">
        <v>15</v>
      </c>
      <c r="E63">
        <v>342</v>
      </c>
      <c r="F63">
        <v>180</v>
      </c>
      <c r="G63">
        <v>0</v>
      </c>
      <c r="H63">
        <v>183439.38</v>
      </c>
      <c r="I63">
        <v>0</v>
      </c>
      <c r="J63">
        <v>0</v>
      </c>
      <c r="K63">
        <v>0</v>
      </c>
      <c r="L63">
        <v>183439.38</v>
      </c>
    </row>
    <row r="64" spans="1:12" x14ac:dyDescent="0.35">
      <c r="A64" t="str">
        <v>SEBASTIAN IGNACIO ORTEGA GOMEZ</v>
      </c>
      <c r="B64" t="str">
        <v>19.460.307-K</v>
      </c>
      <c r="C64" t="str">
        <v>Mecánico</v>
      </c>
      <c r="D64">
        <v>6</v>
      </c>
      <c r="E64">
        <v>153</v>
      </c>
      <c r="F64">
        <v>48</v>
      </c>
      <c r="G64">
        <v>0</v>
      </c>
      <c r="H64">
        <v>48424.75</v>
      </c>
      <c r="I64">
        <v>0</v>
      </c>
      <c r="J64">
        <v>0</v>
      </c>
      <c r="K64">
        <v>0</v>
      </c>
      <c r="L64">
        <v>48424.75</v>
      </c>
    </row>
    <row r="65" spans="1:12" x14ac:dyDescent="0.35">
      <c r="A65" t="str">
        <v>SIMONNE DE LA PAZ REYES BATLLE</v>
      </c>
      <c r="B65" t="str">
        <v>18.490.734-8</v>
      </c>
      <c r="C65" t="str">
        <v>Administrativo</v>
      </c>
      <c r="D65">
        <v>17</v>
      </c>
      <c r="E65">
        <v>508.45</v>
      </c>
      <c r="F65">
        <v>228</v>
      </c>
      <c r="G65">
        <v>0</v>
      </c>
      <c r="H65">
        <v>137203.46</v>
      </c>
      <c r="I65">
        <v>0</v>
      </c>
      <c r="J65">
        <v>0</v>
      </c>
      <c r="K65">
        <v>0</v>
      </c>
      <c r="L65">
        <v>137203.46</v>
      </c>
    </row>
    <row r="66" spans="1:12" x14ac:dyDescent="0.35">
      <c r="A66" t="str">
        <v>RUBEN IGNACIO CORTES BORBON</v>
      </c>
      <c r="B66" t="str">
        <v>19.983.747-8</v>
      </c>
      <c r="C66" t="str">
        <v>Ayudante Perforista</v>
      </c>
      <c r="D66">
        <v>16</v>
      </c>
      <c r="E66">
        <v>389.95</v>
      </c>
      <c r="F66">
        <v>192</v>
      </c>
      <c r="G66">
        <v>0</v>
      </c>
      <c r="H66">
        <v>129132.67</v>
      </c>
      <c r="I66">
        <v>0</v>
      </c>
      <c r="J66">
        <v>0</v>
      </c>
      <c r="K66">
        <v>0</v>
      </c>
      <c r="L66">
        <v>129132.67</v>
      </c>
    </row>
    <row r="67" spans="1:12" x14ac:dyDescent="0.35">
      <c r="A67" t="str">
        <v>VICTOR ALFONSO ALVAREZ CORTES</v>
      </c>
      <c r="B67" t="str">
        <v>15.037.843-5</v>
      </c>
      <c r="C67" t="str">
        <v>Perforista</v>
      </c>
      <c r="D67">
        <v>10</v>
      </c>
      <c r="E67">
        <v>0</v>
      </c>
      <c r="F67">
        <v>0</v>
      </c>
      <c r="G67">
        <v>0</v>
      </c>
      <c r="H67">
        <v>122292.92</v>
      </c>
      <c r="I67">
        <v>0</v>
      </c>
      <c r="J67">
        <v>0</v>
      </c>
      <c r="K67">
        <v>0</v>
      </c>
      <c r="L67">
        <v>122292.92</v>
      </c>
    </row>
    <row r="68" spans="1:12" x14ac:dyDescent="0.35">
      <c r="A68" t="str">
        <v>CHRISTIAN DARIEM PIZARRO MUÑOZ</v>
      </c>
      <c r="B68" t="str">
        <v>20.456.853-7</v>
      </c>
      <c r="C68" t="str">
        <v>Soldador</v>
      </c>
      <c r="D68">
        <v>15</v>
      </c>
      <c r="E68">
        <v>397</v>
      </c>
      <c r="F68">
        <v>180</v>
      </c>
      <c r="G68">
        <v>0</v>
      </c>
      <c r="H68">
        <v>121061.88</v>
      </c>
      <c r="I68">
        <v>0</v>
      </c>
      <c r="J68">
        <v>0</v>
      </c>
      <c r="K68">
        <v>0</v>
      </c>
      <c r="L68">
        <v>121061.88</v>
      </c>
    </row>
    <row r="69" spans="1:12" x14ac:dyDescent="0.35">
      <c r="A69" t="str">
        <v>JOAQUIN IGNACIO TORO ALCAYAGA</v>
      </c>
      <c r="B69" t="str">
        <v>19.189.343-3</v>
      </c>
      <c r="C69" t="str">
        <v>Ayudante Perforista</v>
      </c>
      <c r="D69">
        <v>9</v>
      </c>
      <c r="E69">
        <v>170.85</v>
      </c>
      <c r="F69">
        <v>108</v>
      </c>
      <c r="G69">
        <v>0</v>
      </c>
      <c r="H69">
        <v>72637.13</v>
      </c>
      <c r="I69">
        <v>0</v>
      </c>
      <c r="J69">
        <v>0</v>
      </c>
      <c r="K69">
        <v>0</v>
      </c>
      <c r="L69">
        <v>72637.13</v>
      </c>
    </row>
    <row r="70" spans="1:12" x14ac:dyDescent="0.35">
      <c r="A70" t="str">
        <v>ESTEBAN ELIUT GONZALEZ JAQUE</v>
      </c>
      <c r="B70" t="str">
        <v>14.016.356-2</v>
      </c>
      <c r="C70" t="str">
        <v>Ayudante de Perforista</v>
      </c>
      <c r="D70">
        <v>0</v>
      </c>
      <c r="E70">
        <v>0</v>
      </c>
      <c r="F70">
        <v>0</v>
      </c>
      <c r="G70">
        <v>0</v>
      </c>
      <c r="H70">
        <v>484247.5</v>
      </c>
      <c r="I70">
        <v>0</v>
      </c>
      <c r="J70">
        <v>0</v>
      </c>
      <c r="K70">
        <v>0</v>
      </c>
      <c r="L70">
        <v>0</v>
      </c>
    </row>
    <row r="71" spans="1:12" x14ac:dyDescent="0.35">
      <c r="A71" t="str">
        <v>MARCELO ALEJANDRO INZUNZA ALARCON</v>
      </c>
      <c r="B71" t="str">
        <v>15.197.539-9</v>
      </c>
      <c r="C71" t="str">
        <v>Ayudante Perforista</v>
      </c>
      <c r="D71">
        <v>13</v>
      </c>
      <c r="E71">
        <v>288.5</v>
      </c>
      <c r="F71">
        <v>168</v>
      </c>
      <c r="G71">
        <v>0</v>
      </c>
      <c r="H71">
        <v>104920.29</v>
      </c>
      <c r="I71">
        <v>0</v>
      </c>
      <c r="J71">
        <v>0</v>
      </c>
      <c r="K71">
        <v>0</v>
      </c>
      <c r="L71">
        <v>104920.29</v>
      </c>
    </row>
    <row r="72" spans="1:12" x14ac:dyDescent="0.35">
      <c r="A72" t="str">
        <v>ROBERTO MAURICIO VERGARA NEGRETE</v>
      </c>
      <c r="B72" t="str">
        <v>16.005.822-6</v>
      </c>
      <c r="C72" t="str">
        <v>Electromecánico</v>
      </c>
      <c r="D72">
        <v>14</v>
      </c>
      <c r="E72">
        <v>409.2</v>
      </c>
      <c r="F72">
        <v>144</v>
      </c>
      <c r="G72">
        <v>0</v>
      </c>
      <c r="H72">
        <v>112991.08</v>
      </c>
      <c r="I72">
        <v>0</v>
      </c>
      <c r="J72">
        <v>0</v>
      </c>
      <c r="K72">
        <v>0</v>
      </c>
      <c r="L72">
        <v>112991.08</v>
      </c>
    </row>
    <row r="73" spans="1:12" x14ac:dyDescent="0.35">
      <c r="A73" t="str">
        <v>ROMEO ALEXANDRU SUCIU</v>
      </c>
      <c r="B73" t="str">
        <v>28.821.672-K</v>
      </c>
      <c r="C73" t="str">
        <v>Jefe de Faena</v>
      </c>
      <c r="D73">
        <v>0</v>
      </c>
      <c r="E73">
        <v>0</v>
      </c>
      <c r="F73">
        <v>0</v>
      </c>
      <c r="G73">
        <v>0</v>
      </c>
      <c r="H73">
        <v>733757.5</v>
      </c>
      <c r="I73">
        <v>0</v>
      </c>
      <c r="J73">
        <v>0</v>
      </c>
      <c r="K73">
        <v>0</v>
      </c>
      <c r="L73">
        <v>0</v>
      </c>
    </row>
    <row r="74" spans="1:12" x14ac:dyDescent="0.35">
      <c r="A74" t="str">
        <v>JORGE ANDRES LICANQUEO PEREZ</v>
      </c>
      <c r="B74" t="str">
        <v>19.518.296-5</v>
      </c>
      <c r="C74" t="str">
        <v>Mecánico</v>
      </c>
      <c r="D74">
        <v>16</v>
      </c>
      <c r="E74">
        <v>397</v>
      </c>
      <c r="F74">
        <v>180</v>
      </c>
      <c r="G74">
        <v>0</v>
      </c>
      <c r="H74">
        <v>129132.67</v>
      </c>
      <c r="I74">
        <v>0</v>
      </c>
      <c r="J74">
        <v>0</v>
      </c>
      <c r="K74">
        <v>0</v>
      </c>
      <c r="L74">
        <v>129132.67</v>
      </c>
    </row>
    <row r="75" spans="1:12" x14ac:dyDescent="0.35">
      <c r="A75" t="str">
        <v>JUAN ANTONIO DE JESUS SALAZAR BUSTOS</v>
      </c>
      <c r="B75" t="str">
        <v>19.734.247-1</v>
      </c>
      <c r="C75" t="str">
        <v>Mecánico</v>
      </c>
      <c r="D75">
        <v>0</v>
      </c>
      <c r="E75">
        <v>0</v>
      </c>
      <c r="F75">
        <v>0</v>
      </c>
      <c r="G75">
        <v>0</v>
      </c>
      <c r="H75">
        <v>484247.5</v>
      </c>
      <c r="I75">
        <v>0</v>
      </c>
      <c r="J75">
        <v>0</v>
      </c>
      <c r="K75">
        <v>0</v>
      </c>
      <c r="L75">
        <v>0</v>
      </c>
    </row>
    <row r="76" spans="1:12" x14ac:dyDescent="0.35">
      <c r="A76" t="str">
        <v>LUIS ALFREDO MORENO RIOS</v>
      </c>
      <c r="B76" t="str">
        <v>18.318.426-1</v>
      </c>
      <c r="C76" t="str">
        <v>Chofer</v>
      </c>
      <c r="D76">
        <v>1</v>
      </c>
      <c r="E76">
        <v>0</v>
      </c>
      <c r="F76">
        <v>0</v>
      </c>
      <c r="G76">
        <v>0</v>
      </c>
      <c r="H76">
        <v>8070.79</v>
      </c>
      <c r="I76">
        <v>0</v>
      </c>
      <c r="J76">
        <v>0</v>
      </c>
      <c r="K76">
        <v>0</v>
      </c>
      <c r="L76">
        <v>8070.79</v>
      </c>
    </row>
    <row r="77" spans="1:12" x14ac:dyDescent="0.35">
      <c r="A77" t="str">
        <v>RAUL ALEJANDRO RIVERO RIVERO</v>
      </c>
      <c r="B77" t="str">
        <v>18.520.328-K</v>
      </c>
      <c r="C77" t="str">
        <v>Supervisor</v>
      </c>
      <c r="D77">
        <v>15</v>
      </c>
      <c r="E77">
        <v>409.2</v>
      </c>
      <c r="F77">
        <v>144</v>
      </c>
      <c r="G77">
        <v>0</v>
      </c>
      <c r="H77">
        <v>183439.38</v>
      </c>
      <c r="I77">
        <v>0</v>
      </c>
      <c r="J77">
        <v>0</v>
      </c>
      <c r="K77">
        <v>0</v>
      </c>
      <c r="L77">
        <v>183439.38</v>
      </c>
    </row>
    <row r="78" spans="1:12" x14ac:dyDescent="0.35">
      <c r="A78" t="str">
        <v>KALIL SEBASTIAN NAYEN INOSTROZA</v>
      </c>
      <c r="B78" t="str">
        <v>20.121.975-2</v>
      </c>
      <c r="C78" t="str">
        <v>Bodeguero</v>
      </c>
      <c r="D78">
        <v>0</v>
      </c>
      <c r="E78">
        <v>0</v>
      </c>
      <c r="F78">
        <v>0</v>
      </c>
      <c r="G78">
        <v>0</v>
      </c>
      <c r="H78">
        <v>484247.5</v>
      </c>
      <c r="I78">
        <v>0</v>
      </c>
      <c r="J78">
        <v>0</v>
      </c>
      <c r="K78">
        <v>0</v>
      </c>
      <c r="L78">
        <v>0</v>
      </c>
    </row>
    <row r="79" spans="1:12" x14ac:dyDescent="0.35">
      <c r="A79" t="str">
        <v>KEVIN ESTEBAN VALENZUELA VALENZUELA</v>
      </c>
      <c r="B79" t="str">
        <v>21.474.308-6</v>
      </c>
      <c r="C79" t="str">
        <v>Perforista</v>
      </c>
      <c r="D79">
        <v>14</v>
      </c>
      <c r="E79">
        <v>303</v>
      </c>
      <c r="F79">
        <v>168</v>
      </c>
      <c r="G79">
        <v>0</v>
      </c>
      <c r="H79">
        <v>171210.08</v>
      </c>
      <c r="I79">
        <v>0</v>
      </c>
      <c r="J79">
        <v>0</v>
      </c>
      <c r="K79">
        <v>0</v>
      </c>
      <c r="L79">
        <v>171210.08</v>
      </c>
    </row>
    <row r="80" spans="1:12" x14ac:dyDescent="0.35">
      <c r="A80" t="str">
        <v>OSCAR ALEXIS JARA MEJÍAS</v>
      </c>
      <c r="B80" t="str">
        <v>14.043.436-1</v>
      </c>
      <c r="C80" t="str">
        <v>Conductor</v>
      </c>
      <c r="D80">
        <v>8</v>
      </c>
      <c r="E80">
        <v>139.35</v>
      </c>
      <c r="F80">
        <v>72</v>
      </c>
      <c r="G80">
        <v>0</v>
      </c>
      <c r="H80">
        <v>64566.33</v>
      </c>
      <c r="I80">
        <v>0</v>
      </c>
      <c r="J80">
        <v>0</v>
      </c>
      <c r="K80">
        <v>0</v>
      </c>
      <c r="L80">
        <v>64566.33</v>
      </c>
    </row>
    <row r="81" spans="1:12" x14ac:dyDescent="0.35">
      <c r="A81" t="str">
        <v>SEBASTIAN ANTONIO VALDERRAMA HERRERA</v>
      </c>
      <c r="B81" t="str">
        <v>18.403.269-4</v>
      </c>
      <c r="C81" t="str">
        <v>Ayudante Perforista</v>
      </c>
      <c r="D81">
        <v>9</v>
      </c>
      <c r="E81">
        <v>141</v>
      </c>
      <c r="F81">
        <v>108</v>
      </c>
      <c r="G81">
        <v>0</v>
      </c>
      <c r="H81">
        <v>72637.13</v>
      </c>
      <c r="I81">
        <v>0</v>
      </c>
      <c r="J81">
        <v>0</v>
      </c>
      <c r="K81">
        <v>0</v>
      </c>
      <c r="L81">
        <v>72637.13</v>
      </c>
    </row>
    <row r="82" spans="1:12" x14ac:dyDescent="0.35">
      <c r="A82" t="str">
        <v>NICOLAS ALBERTO CARVAJAL PASTEN</v>
      </c>
      <c r="B82" t="str">
        <v>20.308.969-4</v>
      </c>
      <c r="C82" t="str">
        <v>Ayudante Perforista</v>
      </c>
      <c r="D82">
        <v>14</v>
      </c>
      <c r="E82">
        <v>245.9</v>
      </c>
      <c r="F82">
        <v>168</v>
      </c>
      <c r="G82">
        <v>0</v>
      </c>
      <c r="H82">
        <v>112991.08</v>
      </c>
      <c r="I82">
        <v>0</v>
      </c>
      <c r="J82">
        <v>0</v>
      </c>
      <c r="K82">
        <v>0</v>
      </c>
      <c r="L82">
        <v>112991.08</v>
      </c>
    </row>
    <row r="83" spans="1:12" x14ac:dyDescent="0.35">
      <c r="A83" t="str">
        <v>WALTER LISANDRO SALAS MESA</v>
      </c>
      <c r="B83" t="str">
        <v>15.955.871-1</v>
      </c>
      <c r="C83" t="str">
        <v>Perforista</v>
      </c>
      <c r="D83">
        <v>5</v>
      </c>
      <c r="E83">
        <v>151.69999999999999</v>
      </c>
      <c r="F83">
        <v>96</v>
      </c>
      <c r="G83">
        <v>0</v>
      </c>
      <c r="H83">
        <v>61146.46</v>
      </c>
      <c r="I83">
        <v>0</v>
      </c>
      <c r="J83">
        <v>0</v>
      </c>
      <c r="K83">
        <v>0</v>
      </c>
      <c r="L83">
        <v>61146.46</v>
      </c>
    </row>
    <row r="84" spans="1:12" x14ac:dyDescent="0.35">
      <c r="A84" t="str">
        <v>ANGELO GIOVANNI BIZAMA ORELLANA</v>
      </c>
      <c r="B84" t="str">
        <v>20.037.472-K</v>
      </c>
      <c r="C84" t="str">
        <v>Ayudante Perforista</v>
      </c>
      <c r="D84">
        <v>8</v>
      </c>
      <c r="E84">
        <v>128.25</v>
      </c>
      <c r="F84">
        <v>96</v>
      </c>
      <c r="G84">
        <v>0</v>
      </c>
      <c r="H84">
        <v>64566.33</v>
      </c>
      <c r="I84">
        <v>0</v>
      </c>
      <c r="J84">
        <v>0</v>
      </c>
      <c r="K84">
        <v>0</v>
      </c>
      <c r="L84">
        <v>64566.33</v>
      </c>
    </row>
    <row r="85" spans="1:12" x14ac:dyDescent="0.35">
      <c r="A85" t="str">
        <v>YENIFFER ANDREA CONTRERAS MERY</v>
      </c>
      <c r="B85" t="str">
        <v>17.015.433-9</v>
      </c>
      <c r="C85" t="str">
        <v>Prevencionista de Riesgos</v>
      </c>
      <c r="D85">
        <v>0</v>
      </c>
      <c r="E85">
        <v>0</v>
      </c>
      <c r="F85">
        <v>0</v>
      </c>
      <c r="G85">
        <v>0</v>
      </c>
      <c r="H85">
        <v>733757.5</v>
      </c>
      <c r="I85">
        <v>0</v>
      </c>
      <c r="J85">
        <v>0</v>
      </c>
      <c r="K85">
        <v>0</v>
      </c>
      <c r="L85">
        <v>0</v>
      </c>
    </row>
    <row r="86" spans="1:12" x14ac:dyDescent="0.35">
      <c r="A86" t="str" cm="1">
        <f t="array" ref="A86:L110">[7]Resumen!$A$5:$L$29</f>
        <v>ALBERTO PATRICIO CALDERON CALDERON</v>
      </c>
      <c r="B86" t="str">
        <v>11.345.634-5</v>
      </c>
      <c r="C86" t="str">
        <v>Supervisor</v>
      </c>
      <c r="D86">
        <v>11</v>
      </c>
      <c r="E86">
        <v>117.5</v>
      </c>
      <c r="F86">
        <v>180</v>
      </c>
      <c r="G86">
        <v>0</v>
      </c>
      <c r="H86">
        <v>166628</v>
      </c>
      <c r="I86">
        <v>0</v>
      </c>
      <c r="J86">
        <v>0</v>
      </c>
      <c r="K86">
        <v>0</v>
      </c>
      <c r="L86">
        <v>166628</v>
      </c>
    </row>
    <row r="87" spans="1:12" x14ac:dyDescent="0.35">
      <c r="A87" t="str">
        <v>JAIME MARCELO ESCOBAR CORTES</v>
      </c>
      <c r="B87" t="str">
        <v>13.329.197-0</v>
      </c>
      <c r="C87" t="str">
        <v>Perforista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 x14ac:dyDescent="0.35">
      <c r="A88" t="str">
        <v>ALEX EDUARDO TABILO RIVERA</v>
      </c>
      <c r="B88" t="str">
        <v>14.313.865-8</v>
      </c>
      <c r="C88" t="str">
        <v>Perforista</v>
      </c>
      <c r="D88">
        <v>15</v>
      </c>
      <c r="E88">
        <v>80.900000000000006</v>
      </c>
      <c r="F88">
        <v>180</v>
      </c>
      <c r="G88">
        <v>209077.5</v>
      </c>
      <c r="H88">
        <v>0</v>
      </c>
      <c r="I88">
        <v>0</v>
      </c>
      <c r="J88">
        <v>0</v>
      </c>
      <c r="K88">
        <v>0</v>
      </c>
      <c r="L88">
        <v>209077.5</v>
      </c>
    </row>
    <row r="89" spans="1:12" x14ac:dyDescent="0.35">
      <c r="A89" t="str">
        <v>EDINSON RODRIGO GONZALEZ CORTINEZ</v>
      </c>
      <c r="B89" t="str">
        <v>11.934.921-4</v>
      </c>
      <c r="C89" t="str">
        <v>Ayudante de Perforista</v>
      </c>
      <c r="D89">
        <v>14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 x14ac:dyDescent="0.35">
      <c r="A90" t="str">
        <v>RUBEN ANDRES VALLEJOS ARDILES</v>
      </c>
      <c r="B90" t="str">
        <v>15.000.375-K</v>
      </c>
      <c r="C90" t="str">
        <v>Perforista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 x14ac:dyDescent="0.35">
      <c r="A91" t="str">
        <v>CRISTIAN NICOLAS SAMBRA TORRES</v>
      </c>
      <c r="B91" t="str">
        <v>19.322.282-K</v>
      </c>
      <c r="C91" t="str">
        <v>Ayudante Perforista</v>
      </c>
      <c r="D91">
        <v>9</v>
      </c>
      <c r="E91">
        <v>196.15</v>
      </c>
      <c r="F91">
        <v>180</v>
      </c>
      <c r="G91">
        <v>163575</v>
      </c>
      <c r="H91">
        <v>0</v>
      </c>
      <c r="I91">
        <v>50962.5</v>
      </c>
      <c r="J91">
        <v>0</v>
      </c>
      <c r="K91">
        <v>0</v>
      </c>
      <c r="L91">
        <v>214537.5</v>
      </c>
    </row>
    <row r="92" spans="1:12" x14ac:dyDescent="0.35">
      <c r="A92" t="str">
        <v>CARLOS ANDRES CORNEJO OSORIO</v>
      </c>
      <c r="B92" t="str">
        <v>13.049.877-9</v>
      </c>
      <c r="C92" t="str">
        <v>Supervisor</v>
      </c>
      <c r="D92">
        <v>15</v>
      </c>
      <c r="E92">
        <v>131</v>
      </c>
      <c r="F92">
        <v>180</v>
      </c>
      <c r="G92">
        <v>0</v>
      </c>
      <c r="H92">
        <v>227220</v>
      </c>
      <c r="I92">
        <v>0</v>
      </c>
      <c r="J92">
        <v>0</v>
      </c>
      <c r="K92">
        <v>0</v>
      </c>
      <c r="L92">
        <v>227220</v>
      </c>
    </row>
    <row r="93" spans="1:12" x14ac:dyDescent="0.35">
      <c r="A93" t="str">
        <v>JULIO ANDRES CISTERNAS ROJAS</v>
      </c>
      <c r="B93" t="str">
        <v>15.572.472-2</v>
      </c>
      <c r="C93" t="str">
        <v>Ayudante Perforista</v>
      </c>
      <c r="D93">
        <v>11</v>
      </c>
      <c r="E93">
        <v>80.900000000000006</v>
      </c>
      <c r="F93">
        <v>180</v>
      </c>
      <c r="G93">
        <v>152780</v>
      </c>
      <c r="H93">
        <v>0</v>
      </c>
      <c r="I93">
        <v>0</v>
      </c>
      <c r="J93">
        <v>0</v>
      </c>
      <c r="K93">
        <v>0</v>
      </c>
      <c r="L93">
        <v>152780</v>
      </c>
    </row>
    <row r="94" spans="1:12" x14ac:dyDescent="0.35">
      <c r="A94" t="str">
        <v>SEBASTIAN ALFONSO RAMOS ESQUIVEL</v>
      </c>
      <c r="B94" t="str">
        <v>14.099.614-9</v>
      </c>
      <c r="C94" t="str">
        <v>HSEC</v>
      </c>
      <c r="D94">
        <v>14</v>
      </c>
      <c r="E94">
        <v>123.65</v>
      </c>
      <c r="F94">
        <v>192</v>
      </c>
      <c r="G94">
        <v>0</v>
      </c>
      <c r="H94">
        <v>212072</v>
      </c>
      <c r="I94">
        <v>0</v>
      </c>
      <c r="J94">
        <v>0</v>
      </c>
      <c r="K94">
        <v>0</v>
      </c>
      <c r="L94">
        <v>212072</v>
      </c>
    </row>
    <row r="95" spans="1:12" x14ac:dyDescent="0.35">
      <c r="A95" t="str">
        <v>MICHAEL IGNACIO VALENCIA MUÑOZ</v>
      </c>
      <c r="B95" t="str">
        <v>19.753.292-0</v>
      </c>
      <c r="C95" t="str">
        <v>Ayudante Perforista</v>
      </c>
      <c r="D95">
        <v>1</v>
      </c>
      <c r="E95">
        <v>117.5</v>
      </c>
      <c r="F95">
        <v>180</v>
      </c>
      <c r="G95">
        <v>152780</v>
      </c>
      <c r="H95">
        <v>0</v>
      </c>
      <c r="I95">
        <v>8025</v>
      </c>
      <c r="J95">
        <v>0</v>
      </c>
      <c r="K95">
        <v>0</v>
      </c>
      <c r="L95">
        <v>160805</v>
      </c>
    </row>
    <row r="96" spans="1:12" x14ac:dyDescent="0.35">
      <c r="A96" t="str">
        <v>NIBALDO ENRIQUE CASTRO CORTES</v>
      </c>
      <c r="B96" t="str">
        <v>10.362.133-K</v>
      </c>
      <c r="C96" t="str">
        <v>Conductor</v>
      </c>
      <c r="D96">
        <v>15</v>
      </c>
      <c r="E96">
        <v>157.4</v>
      </c>
      <c r="F96">
        <v>180</v>
      </c>
      <c r="G96">
        <v>0</v>
      </c>
      <c r="H96">
        <v>158177.5</v>
      </c>
      <c r="I96">
        <v>0</v>
      </c>
      <c r="J96">
        <v>0</v>
      </c>
      <c r="K96">
        <v>0</v>
      </c>
      <c r="L96">
        <v>158177.5</v>
      </c>
    </row>
    <row r="97" spans="1:12" x14ac:dyDescent="0.35">
      <c r="A97" t="str">
        <v>KEVIN MATIAS ARAYA ALVAREZ</v>
      </c>
      <c r="B97" t="str">
        <v>21.817.932-0</v>
      </c>
      <c r="C97" t="str">
        <v>Ayudante de Perforista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</row>
    <row r="98" spans="1:12" x14ac:dyDescent="0.35">
      <c r="A98" t="str">
        <v>RICARDO MAURICIO ARAYA BARRAZA</v>
      </c>
      <c r="B98" t="str">
        <v>12.447.356-K</v>
      </c>
      <c r="C98" t="str">
        <v>Mecánico</v>
      </c>
      <c r="D98">
        <v>0</v>
      </c>
      <c r="E98">
        <v>0</v>
      </c>
      <c r="F98">
        <v>0</v>
      </c>
      <c r="G98">
        <v>0</v>
      </c>
      <c r="H98">
        <v>316355</v>
      </c>
      <c r="I98">
        <v>0</v>
      </c>
      <c r="J98">
        <v>0</v>
      </c>
      <c r="K98">
        <v>0</v>
      </c>
      <c r="L98">
        <v>316355</v>
      </c>
    </row>
    <row r="99" spans="1:12" x14ac:dyDescent="0.35">
      <c r="A99" t="str">
        <v>SEBASTIAN ANDRES BRICEÑO GALLEGUILLOS</v>
      </c>
      <c r="B99" t="str">
        <v>17.643.890-8</v>
      </c>
      <c r="C99" t="str">
        <v>Ayudante Perforista</v>
      </c>
      <c r="D99">
        <v>14</v>
      </c>
      <c r="E99">
        <v>80.900000000000006</v>
      </c>
      <c r="F99">
        <v>180</v>
      </c>
      <c r="G99">
        <v>152780</v>
      </c>
      <c r="H99">
        <v>0</v>
      </c>
      <c r="I99">
        <v>0</v>
      </c>
      <c r="J99">
        <v>0</v>
      </c>
      <c r="K99">
        <v>0</v>
      </c>
      <c r="L99">
        <v>152780</v>
      </c>
    </row>
    <row r="100" spans="1:12" x14ac:dyDescent="0.35">
      <c r="A100" t="str">
        <v>DUBAN ANDRES CONTRERAS BORDONES</v>
      </c>
      <c r="B100" t="str">
        <v>20.921.611-6</v>
      </c>
      <c r="C100" t="str">
        <v>Ayudante Perforista</v>
      </c>
      <c r="D100">
        <v>13</v>
      </c>
      <c r="E100">
        <v>131</v>
      </c>
      <c r="F100">
        <v>180</v>
      </c>
      <c r="G100">
        <v>163575</v>
      </c>
      <c r="H100">
        <v>0</v>
      </c>
      <c r="I100">
        <v>31800</v>
      </c>
      <c r="J100">
        <v>0</v>
      </c>
      <c r="K100">
        <v>0</v>
      </c>
      <c r="L100">
        <v>195375</v>
      </c>
    </row>
    <row r="101" spans="1:12" x14ac:dyDescent="0.35">
      <c r="A101" t="str">
        <v>VICTOR RODRIGO GARCIA ROJAS</v>
      </c>
      <c r="B101" t="str">
        <v>15.885.001-K</v>
      </c>
      <c r="C101" t="str">
        <v>Chofer</v>
      </c>
      <c r="D101">
        <v>0</v>
      </c>
      <c r="E101">
        <v>0</v>
      </c>
      <c r="F101">
        <v>0</v>
      </c>
      <c r="G101">
        <v>0</v>
      </c>
      <c r="H101">
        <v>316355</v>
      </c>
      <c r="I101">
        <v>0</v>
      </c>
      <c r="J101">
        <v>0</v>
      </c>
      <c r="K101">
        <v>0</v>
      </c>
      <c r="L101">
        <v>316355</v>
      </c>
    </row>
    <row r="102" spans="1:12" x14ac:dyDescent="0.35">
      <c r="A102" t="str">
        <v>DANIEL ANDRES MARTINEZ GONZALEZ</v>
      </c>
      <c r="B102" t="str">
        <v>18.141.318-2</v>
      </c>
      <c r="C102" t="str">
        <v>HSEC</v>
      </c>
      <c r="D102">
        <v>11</v>
      </c>
      <c r="E102">
        <v>114.65</v>
      </c>
      <c r="F102">
        <v>168</v>
      </c>
      <c r="G102">
        <v>0</v>
      </c>
      <c r="H102">
        <v>166628</v>
      </c>
      <c r="I102">
        <v>0</v>
      </c>
      <c r="J102">
        <v>0</v>
      </c>
      <c r="K102">
        <v>0</v>
      </c>
      <c r="L102">
        <v>166628</v>
      </c>
    </row>
    <row r="103" spans="1:12" x14ac:dyDescent="0.35">
      <c r="A103" t="str">
        <v>BORIS JULIAN JIMENEZ DIAZ</v>
      </c>
      <c r="B103" t="str">
        <v>11.726.306-1</v>
      </c>
      <c r="C103" t="str">
        <v>Perforista</v>
      </c>
      <c r="D103">
        <v>15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1:12" x14ac:dyDescent="0.35">
      <c r="A104" t="str">
        <v>FERNANDO ANDRES ARDILES PISAYA</v>
      </c>
      <c r="B104" t="str">
        <v>10.508.202-9</v>
      </c>
      <c r="C104" t="str">
        <v>Supervisor</v>
      </c>
      <c r="D104">
        <v>12</v>
      </c>
      <c r="E104">
        <v>196.15</v>
      </c>
      <c r="F104">
        <v>180</v>
      </c>
      <c r="G104">
        <v>0</v>
      </c>
      <c r="H104">
        <v>181776</v>
      </c>
      <c r="I104">
        <v>0</v>
      </c>
      <c r="J104">
        <v>0</v>
      </c>
      <c r="K104">
        <v>0</v>
      </c>
      <c r="L104">
        <v>181776</v>
      </c>
    </row>
    <row r="105" spans="1:12" x14ac:dyDescent="0.35">
      <c r="A105" t="str">
        <v>FRANCISCO ALEJANDRO ARAYA BARRAZA</v>
      </c>
      <c r="B105" t="str">
        <v>21.028.758-2</v>
      </c>
      <c r="C105" t="str">
        <v>Ayudante Perforista</v>
      </c>
      <c r="D105">
        <v>9</v>
      </c>
      <c r="E105">
        <v>131</v>
      </c>
      <c r="F105">
        <v>180</v>
      </c>
      <c r="G105">
        <v>163575</v>
      </c>
      <c r="H105">
        <v>0</v>
      </c>
      <c r="I105">
        <v>31800</v>
      </c>
      <c r="J105">
        <v>0</v>
      </c>
      <c r="K105">
        <v>0</v>
      </c>
      <c r="L105">
        <v>195375</v>
      </c>
    </row>
    <row r="106" spans="1:12" x14ac:dyDescent="0.35">
      <c r="A106" t="str">
        <v>MAURICIO GIOVANI VENEGAS BOCCHIERI</v>
      </c>
      <c r="B106" t="str">
        <v>19.078.552-1</v>
      </c>
      <c r="C106" t="str">
        <v>Ayudante de Perforista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 x14ac:dyDescent="0.35">
      <c r="A107" t="str">
        <v>JORGE ANDRE GUERRA CUBILLOS</v>
      </c>
      <c r="B107" t="str">
        <v>14.128.763-K</v>
      </c>
      <c r="C107" t="str">
        <v>Supervisor</v>
      </c>
      <c r="D107">
        <v>13</v>
      </c>
      <c r="E107">
        <v>80.900000000000006</v>
      </c>
      <c r="F107">
        <v>180</v>
      </c>
      <c r="G107">
        <v>0</v>
      </c>
      <c r="H107">
        <v>196924</v>
      </c>
      <c r="I107">
        <v>0</v>
      </c>
      <c r="J107">
        <v>0</v>
      </c>
      <c r="K107">
        <v>0</v>
      </c>
      <c r="L107">
        <v>196924</v>
      </c>
    </row>
    <row r="108" spans="1:12" x14ac:dyDescent="0.35">
      <c r="A108" t="str">
        <v>ALAN PATRICIO ASTORGA ORREGO</v>
      </c>
      <c r="B108" t="str">
        <v>20.955.488-7</v>
      </c>
      <c r="C108" t="str">
        <v>Ayudante de Perforista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 x14ac:dyDescent="0.35">
      <c r="A109" t="str">
        <v>NELCIO ANTONIO RAMIREZ PIZARRO</v>
      </c>
      <c r="B109" t="str">
        <v>16.732.957-8</v>
      </c>
      <c r="C109" t="str">
        <v>Ayudante de Perforista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 x14ac:dyDescent="0.35">
      <c r="A110" t="str">
        <v>PATRICIO ALEJANDRO CASTILLO TRONCOSO</v>
      </c>
      <c r="B110" t="str">
        <v>13.044.962-K</v>
      </c>
      <c r="C110" t="str">
        <v>Perforista</v>
      </c>
      <c r="D110">
        <v>15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 x14ac:dyDescent="0.35">
      <c r="A111" t="str" cm="1">
        <f t="array" ref="A111:L170">[1]Resumen!$A$5:$L$64</f>
        <v>JOSE CRISTIAN BASTIAS PEREZ</v>
      </c>
      <c r="B111" t="str">
        <v>14.413.231-9</v>
      </c>
      <c r="C111" t="str">
        <v>Supervisor</v>
      </c>
      <c r="D111">
        <v>16</v>
      </c>
      <c r="E111">
        <v>113.55</v>
      </c>
      <c r="F111">
        <v>132</v>
      </c>
      <c r="G111">
        <v>0</v>
      </c>
      <c r="H111">
        <v>230048</v>
      </c>
      <c r="I111">
        <v>0</v>
      </c>
      <c r="J111">
        <v>0</v>
      </c>
      <c r="K111">
        <v>0</v>
      </c>
      <c r="L111">
        <v>230048</v>
      </c>
    </row>
    <row r="112" spans="1:12" x14ac:dyDescent="0.35">
      <c r="A112" t="str">
        <v>FABIAN PATRICIO CABRERA GODOY</v>
      </c>
      <c r="B112" t="str">
        <v>19.949.787-1</v>
      </c>
      <c r="C112" t="str">
        <v>Ayudante Perforista</v>
      </c>
      <c r="D112">
        <v>15</v>
      </c>
      <c r="E112">
        <v>1.1499999999999999</v>
      </c>
      <c r="F112">
        <v>132</v>
      </c>
      <c r="G112">
        <v>1035</v>
      </c>
      <c r="H112">
        <v>0</v>
      </c>
      <c r="I112">
        <v>0</v>
      </c>
      <c r="J112">
        <v>0</v>
      </c>
      <c r="K112">
        <v>0</v>
      </c>
      <c r="L112">
        <v>1035</v>
      </c>
    </row>
    <row r="113" spans="1:12" x14ac:dyDescent="0.35">
      <c r="A113" t="str">
        <v>IGNACIO ALEJANDRO ROBLES BARRIOS</v>
      </c>
      <c r="B113" t="str">
        <v>20.718.093-9</v>
      </c>
      <c r="C113" t="str">
        <v>Ayudante Perforista</v>
      </c>
      <c r="D113">
        <v>2</v>
      </c>
      <c r="E113">
        <v>1.1499999999999999</v>
      </c>
      <c r="F113">
        <v>36</v>
      </c>
      <c r="G113">
        <v>1035</v>
      </c>
      <c r="H113">
        <v>0</v>
      </c>
      <c r="I113">
        <v>0</v>
      </c>
      <c r="J113">
        <v>0</v>
      </c>
      <c r="K113">
        <v>0</v>
      </c>
      <c r="L113">
        <v>1035</v>
      </c>
    </row>
    <row r="114" spans="1:12" x14ac:dyDescent="0.35">
      <c r="A114" t="str">
        <v>ALISSON AYLEEN VILLAGRA CABALLERO</v>
      </c>
      <c r="B114" t="str">
        <v>18.919.440-4</v>
      </c>
      <c r="C114" t="str">
        <v>Conductor</v>
      </c>
      <c r="D114">
        <v>15</v>
      </c>
      <c r="E114">
        <v>188.7</v>
      </c>
      <c r="F114">
        <v>168</v>
      </c>
      <c r="G114">
        <v>0</v>
      </c>
      <c r="H114">
        <v>161752.5</v>
      </c>
      <c r="I114">
        <v>0</v>
      </c>
      <c r="J114">
        <v>0</v>
      </c>
      <c r="K114">
        <v>0</v>
      </c>
      <c r="L114">
        <v>161752.5</v>
      </c>
    </row>
    <row r="115" spans="1:12" x14ac:dyDescent="0.35">
      <c r="A115" t="str">
        <v>FELIPE DAVID SAAVEDRA CAMPOS</v>
      </c>
      <c r="B115" t="str">
        <v>18.450.168-6</v>
      </c>
      <c r="C115" t="str">
        <v>Ayudante Perforista</v>
      </c>
      <c r="D115">
        <v>14</v>
      </c>
      <c r="E115">
        <v>169.6</v>
      </c>
      <c r="F115">
        <v>168</v>
      </c>
      <c r="G115">
        <v>322470</v>
      </c>
      <c r="H115">
        <v>0</v>
      </c>
      <c r="I115">
        <v>0</v>
      </c>
      <c r="J115">
        <v>0</v>
      </c>
      <c r="K115">
        <v>0</v>
      </c>
      <c r="L115">
        <v>322470</v>
      </c>
    </row>
    <row r="116" spans="1:12" x14ac:dyDescent="0.35">
      <c r="A116" t="str">
        <v>HUGO MARCELO LORENZO ZAMARCA EGAÑA</v>
      </c>
      <c r="B116" t="str">
        <v>16.732.650-1</v>
      </c>
      <c r="C116" t="str">
        <v>Prevencionista de Riesgos</v>
      </c>
      <c r="D116">
        <v>0</v>
      </c>
      <c r="E116">
        <v>0</v>
      </c>
      <c r="F116">
        <v>0</v>
      </c>
      <c r="G116">
        <v>0</v>
      </c>
      <c r="H116">
        <v>431340</v>
      </c>
      <c r="I116">
        <v>0</v>
      </c>
      <c r="J116">
        <v>0</v>
      </c>
      <c r="K116">
        <v>0</v>
      </c>
      <c r="L116">
        <v>0</v>
      </c>
    </row>
    <row r="117" spans="1:12" x14ac:dyDescent="0.35">
      <c r="A117" t="str">
        <v>JOSE LEANDRO PARRA SARAVIA</v>
      </c>
      <c r="B117" t="str">
        <v>13.809.180-5</v>
      </c>
      <c r="C117" t="str">
        <v>Conductor</v>
      </c>
      <c r="D117">
        <v>10</v>
      </c>
      <c r="E117">
        <v>0</v>
      </c>
      <c r="F117">
        <v>12</v>
      </c>
      <c r="G117">
        <v>0</v>
      </c>
      <c r="H117">
        <v>107835</v>
      </c>
      <c r="I117">
        <v>0</v>
      </c>
      <c r="J117">
        <v>0</v>
      </c>
      <c r="K117">
        <v>0</v>
      </c>
      <c r="L117">
        <v>107835</v>
      </c>
    </row>
    <row r="118" spans="1:12" x14ac:dyDescent="0.35">
      <c r="A118" t="str">
        <v>MAURICIO ENRIQUE TAPIA CARVAJAL</v>
      </c>
      <c r="B118" t="str">
        <v>17.626.968-5</v>
      </c>
      <c r="C118" t="str">
        <v>Perforista</v>
      </c>
      <c r="D118">
        <v>16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</row>
    <row r="119" spans="1:12" x14ac:dyDescent="0.35">
      <c r="A119" t="str">
        <v>DANIEL ANTONIO MANSO DIAZ</v>
      </c>
      <c r="B119" t="str">
        <v>15.037.826-5</v>
      </c>
      <c r="C119" t="str">
        <v>Ayudante de Perforista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</row>
    <row r="120" spans="1:12" x14ac:dyDescent="0.35">
      <c r="A120" t="str">
        <v>ALEJANDRO ALBERTO CAMPILLAY RUIZ</v>
      </c>
      <c r="B120" t="str">
        <v>13.412.582-9</v>
      </c>
      <c r="C120" t="str">
        <v>Mecánico</v>
      </c>
      <c r="D120">
        <v>15</v>
      </c>
      <c r="E120">
        <v>169.6</v>
      </c>
      <c r="F120">
        <v>168</v>
      </c>
      <c r="G120">
        <v>0</v>
      </c>
      <c r="H120">
        <v>161752.5</v>
      </c>
      <c r="I120">
        <v>0</v>
      </c>
      <c r="J120">
        <v>0</v>
      </c>
      <c r="K120">
        <v>0</v>
      </c>
      <c r="L120">
        <v>161752.5</v>
      </c>
    </row>
    <row r="121" spans="1:12" x14ac:dyDescent="0.35">
      <c r="A121" t="str">
        <v>VICENTE ANDRES LOPEZ MARTINEZ</v>
      </c>
      <c r="B121" t="str">
        <v>21.294.612-5</v>
      </c>
      <c r="C121" t="str">
        <v>Ayudante Perforista</v>
      </c>
      <c r="D121">
        <v>15</v>
      </c>
      <c r="E121">
        <v>169.6</v>
      </c>
      <c r="F121">
        <v>168</v>
      </c>
      <c r="G121">
        <v>322470</v>
      </c>
      <c r="H121">
        <v>0</v>
      </c>
      <c r="I121">
        <v>0</v>
      </c>
      <c r="J121">
        <v>0</v>
      </c>
      <c r="K121">
        <v>0</v>
      </c>
      <c r="L121">
        <v>322470</v>
      </c>
    </row>
    <row r="122" spans="1:12" x14ac:dyDescent="0.35">
      <c r="A122" t="str">
        <v>CARLOS EDUARDO RODRIGUEZ HERNANDEZ</v>
      </c>
      <c r="B122" t="str">
        <v>15.593.625-8</v>
      </c>
      <c r="C122" t="str">
        <v>Administrador de Contrato</v>
      </c>
      <c r="D122">
        <v>18</v>
      </c>
      <c r="E122">
        <v>71.55</v>
      </c>
      <c r="F122">
        <v>180</v>
      </c>
      <c r="G122">
        <v>0</v>
      </c>
      <c r="H122">
        <v>258804</v>
      </c>
      <c r="I122">
        <v>0</v>
      </c>
      <c r="J122">
        <v>0</v>
      </c>
      <c r="K122">
        <v>0</v>
      </c>
      <c r="L122">
        <v>258804</v>
      </c>
    </row>
    <row r="123" spans="1:12" x14ac:dyDescent="0.35">
      <c r="A123" t="str">
        <v>BENIGNO EDUARDO PAEZ MENESES</v>
      </c>
      <c r="B123" t="str">
        <v>17.643.998-K</v>
      </c>
      <c r="C123" t="str">
        <v>Conductor</v>
      </c>
      <c r="D123">
        <v>15</v>
      </c>
      <c r="E123">
        <v>1.1499999999999999</v>
      </c>
      <c r="F123">
        <v>132</v>
      </c>
      <c r="G123">
        <v>0</v>
      </c>
      <c r="H123">
        <v>161752.5</v>
      </c>
      <c r="I123">
        <v>0</v>
      </c>
      <c r="J123">
        <v>0</v>
      </c>
      <c r="K123">
        <v>0</v>
      </c>
      <c r="L123">
        <v>161752.5</v>
      </c>
    </row>
    <row r="124" spans="1:12" x14ac:dyDescent="0.35">
      <c r="A124" t="str">
        <v>CARLOS ALBERTO PIZARRO PIZARRO</v>
      </c>
      <c r="B124" t="str">
        <v>17.721.340-3</v>
      </c>
      <c r="C124" t="str">
        <v>Ayudante Perforista</v>
      </c>
      <c r="D124">
        <v>14</v>
      </c>
      <c r="E124">
        <v>169.6</v>
      </c>
      <c r="F124">
        <v>180</v>
      </c>
      <c r="G124">
        <v>322470</v>
      </c>
      <c r="H124">
        <v>0</v>
      </c>
      <c r="I124">
        <v>0</v>
      </c>
      <c r="J124">
        <v>0</v>
      </c>
      <c r="K124">
        <v>0</v>
      </c>
      <c r="L124">
        <v>322470</v>
      </c>
    </row>
    <row r="125" spans="1:12" x14ac:dyDescent="0.35">
      <c r="A125" t="str">
        <v>CRISTIAN EDUARDO CARVAJAL JAIME</v>
      </c>
      <c r="B125" t="str">
        <v>12.806.491-5</v>
      </c>
      <c r="C125" t="str">
        <v>Perforista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1:12" x14ac:dyDescent="0.35">
      <c r="A126" t="str">
        <v>CRISTIAN ROGELIO PASTEN VERGARA</v>
      </c>
      <c r="B126" t="str">
        <v>16.053.497-4</v>
      </c>
      <c r="C126" t="str">
        <v>Jefe de Faena</v>
      </c>
      <c r="D126">
        <v>14</v>
      </c>
      <c r="E126">
        <v>57.2</v>
      </c>
      <c r="F126">
        <v>168</v>
      </c>
      <c r="G126">
        <v>0</v>
      </c>
      <c r="H126">
        <v>201292</v>
      </c>
      <c r="I126">
        <v>0</v>
      </c>
      <c r="J126">
        <v>0</v>
      </c>
      <c r="K126">
        <v>0</v>
      </c>
      <c r="L126">
        <v>201292</v>
      </c>
    </row>
    <row r="127" spans="1:12" x14ac:dyDescent="0.35">
      <c r="A127" t="str">
        <v>CARLOS ROBINSON VALDES PAEZ</v>
      </c>
      <c r="B127" t="str">
        <v>15.570.854-9</v>
      </c>
      <c r="C127" t="str">
        <v>Perforista</v>
      </c>
      <c r="D127">
        <v>13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1:12" x14ac:dyDescent="0.35">
      <c r="A128" t="str">
        <v>JOHN BYRON VASQUEZ CARROZA</v>
      </c>
      <c r="B128" t="str">
        <v>19.339.512-0</v>
      </c>
      <c r="C128" t="str">
        <v>Ayudante Perforista</v>
      </c>
      <c r="D128">
        <v>13</v>
      </c>
      <c r="E128">
        <v>188.7</v>
      </c>
      <c r="F128">
        <v>168</v>
      </c>
      <c r="G128">
        <v>322470</v>
      </c>
      <c r="H128">
        <v>0</v>
      </c>
      <c r="I128">
        <v>0</v>
      </c>
      <c r="J128">
        <v>0</v>
      </c>
      <c r="K128">
        <v>0</v>
      </c>
      <c r="L128">
        <v>322470</v>
      </c>
    </row>
    <row r="129" spans="1:12" x14ac:dyDescent="0.35">
      <c r="A129" t="str">
        <v>NORA ALEXANDRA SALAS ROJAS</v>
      </c>
      <c r="B129" t="str">
        <v>18.352.777-0</v>
      </c>
      <c r="C129" t="str">
        <v>HSEC</v>
      </c>
      <c r="D129">
        <v>18</v>
      </c>
      <c r="E129">
        <v>113.55</v>
      </c>
      <c r="F129">
        <v>96</v>
      </c>
      <c r="G129">
        <v>0</v>
      </c>
      <c r="H129">
        <v>258804</v>
      </c>
      <c r="I129">
        <v>0</v>
      </c>
      <c r="J129">
        <v>0</v>
      </c>
      <c r="K129">
        <v>0</v>
      </c>
      <c r="L129">
        <v>258804</v>
      </c>
    </row>
    <row r="130" spans="1:12" x14ac:dyDescent="0.35">
      <c r="A130" t="str">
        <v>ALEX MARIO MORALES ANTIQUERA</v>
      </c>
      <c r="B130" t="str">
        <v>11.384.027-7</v>
      </c>
      <c r="C130" t="str">
        <v>Jefe de Faena</v>
      </c>
      <c r="D130">
        <v>0</v>
      </c>
      <c r="E130">
        <v>0</v>
      </c>
      <c r="F130">
        <v>0</v>
      </c>
      <c r="G130">
        <v>0</v>
      </c>
      <c r="H130">
        <v>431340</v>
      </c>
      <c r="I130">
        <v>0</v>
      </c>
      <c r="J130">
        <v>0</v>
      </c>
      <c r="K130">
        <v>0</v>
      </c>
      <c r="L130">
        <v>0</v>
      </c>
    </row>
    <row r="131" spans="1:12" x14ac:dyDescent="0.35">
      <c r="A131" t="str">
        <v>FELIPE IVAN LUIS ZAMBRA GONZALEZ</v>
      </c>
      <c r="B131" t="str">
        <v>19.507.111-K</v>
      </c>
      <c r="C131" t="str">
        <v>BODEGUERO</v>
      </c>
      <c r="D131">
        <v>9</v>
      </c>
      <c r="E131">
        <v>57.2</v>
      </c>
      <c r="F131">
        <v>120</v>
      </c>
      <c r="G131">
        <v>0</v>
      </c>
      <c r="H131">
        <v>97051.5</v>
      </c>
      <c r="I131">
        <v>0</v>
      </c>
      <c r="J131">
        <v>0</v>
      </c>
      <c r="K131">
        <v>0</v>
      </c>
      <c r="L131">
        <v>97051.5</v>
      </c>
    </row>
    <row r="132" spans="1:12" x14ac:dyDescent="0.35">
      <c r="A132" t="str">
        <v>JORGE ERIKSON DURAND RUIZ</v>
      </c>
      <c r="B132" t="str">
        <v>21.254.681-K</v>
      </c>
      <c r="C132" t="str">
        <v>Mecánico</v>
      </c>
      <c r="D132">
        <v>15</v>
      </c>
      <c r="E132">
        <v>0</v>
      </c>
      <c r="F132">
        <v>132</v>
      </c>
      <c r="G132">
        <v>0</v>
      </c>
      <c r="H132">
        <v>161752.5</v>
      </c>
      <c r="I132">
        <v>0</v>
      </c>
      <c r="J132">
        <v>0</v>
      </c>
      <c r="K132">
        <v>0</v>
      </c>
      <c r="L132">
        <v>161752.5</v>
      </c>
    </row>
    <row r="133" spans="1:12" x14ac:dyDescent="0.35">
      <c r="A133" t="str">
        <v>FERNANDO EDUARDO PICON SANCHEZ</v>
      </c>
      <c r="B133" t="str">
        <v>15.611.374-3</v>
      </c>
      <c r="C133" t="str">
        <v>Ayudante de Perforista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</row>
    <row r="134" spans="1:12" x14ac:dyDescent="0.35">
      <c r="A134" t="str">
        <v>FELIX JORGE JIMENEZ CASTILLO</v>
      </c>
      <c r="B134" t="str">
        <v>12.951.924-K</v>
      </c>
      <c r="C134" t="str">
        <v>Chofer</v>
      </c>
      <c r="D134">
        <v>0</v>
      </c>
      <c r="E134">
        <v>0</v>
      </c>
      <c r="F134">
        <v>0</v>
      </c>
      <c r="G134">
        <v>0</v>
      </c>
      <c r="H134">
        <v>323505</v>
      </c>
      <c r="I134">
        <v>0</v>
      </c>
      <c r="J134">
        <v>0</v>
      </c>
      <c r="K134">
        <v>0</v>
      </c>
      <c r="L134">
        <v>0</v>
      </c>
    </row>
    <row r="135" spans="1:12" x14ac:dyDescent="0.35">
      <c r="A135" t="str">
        <v>GANTSOOJ KHISHIGBAYAR</v>
      </c>
      <c r="B135" t="str">
        <v>44.591.746-K</v>
      </c>
      <c r="C135" t="str">
        <v>Perforista</v>
      </c>
      <c r="D135">
        <v>0</v>
      </c>
      <c r="E135">
        <v>23.55</v>
      </c>
      <c r="F135">
        <v>36</v>
      </c>
      <c r="G135">
        <v>56940</v>
      </c>
      <c r="H135">
        <v>0</v>
      </c>
      <c r="I135">
        <v>0</v>
      </c>
      <c r="J135">
        <v>0</v>
      </c>
      <c r="K135">
        <v>0</v>
      </c>
      <c r="L135">
        <v>56940</v>
      </c>
    </row>
    <row r="136" spans="1:12" x14ac:dyDescent="0.35">
      <c r="A136" t="str">
        <v>JAVIER EDUARDO CATALAN ESPINOZA</v>
      </c>
      <c r="B136" t="str">
        <v>13.775.192-5</v>
      </c>
      <c r="C136" t="str">
        <v>Ayudante de Perforista</v>
      </c>
      <c r="D136">
        <v>12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</row>
    <row r="137" spans="1:12" x14ac:dyDescent="0.35">
      <c r="A137" t="str">
        <v>HEBER ANTONIO CARVAJAL CASTRO</v>
      </c>
      <c r="B137" t="str">
        <v>17.831.608-7</v>
      </c>
      <c r="C137" t="str">
        <v>Ayudante de Perforista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</row>
    <row r="138" spans="1:12" x14ac:dyDescent="0.35">
      <c r="A138" t="str">
        <v>BENJAMIN JOSEFATT ESPINOZA URIBE</v>
      </c>
      <c r="B138" t="str">
        <v>17.805.184-9</v>
      </c>
      <c r="C138" t="str">
        <v>Conductor</v>
      </c>
      <c r="D138">
        <v>15</v>
      </c>
      <c r="E138">
        <v>0</v>
      </c>
      <c r="F138">
        <v>132</v>
      </c>
      <c r="G138">
        <v>0</v>
      </c>
      <c r="H138">
        <v>161752.5</v>
      </c>
      <c r="I138">
        <v>0</v>
      </c>
      <c r="J138">
        <v>0</v>
      </c>
      <c r="K138">
        <v>0</v>
      </c>
      <c r="L138">
        <v>161752.5</v>
      </c>
    </row>
    <row r="139" spans="1:12" x14ac:dyDescent="0.35">
      <c r="A139" t="str">
        <v>MATIAS PATRICIO CARVAJAL CERDA</v>
      </c>
      <c r="B139" t="str">
        <v>19.349.807-8</v>
      </c>
      <c r="C139" t="str">
        <v>Ayudante de Perforista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</row>
    <row r="140" spans="1:12" x14ac:dyDescent="0.35">
      <c r="A140" t="str">
        <v>LEONEL GUILLERMO CAMPUSANO DUBO</v>
      </c>
      <c r="B140" t="str">
        <v>18.889.617-0</v>
      </c>
      <c r="C140" t="str">
        <v>Ayudante Perforista</v>
      </c>
      <c r="D140">
        <v>13</v>
      </c>
      <c r="E140">
        <v>0</v>
      </c>
      <c r="F140">
        <v>132</v>
      </c>
      <c r="G140">
        <v>1035</v>
      </c>
      <c r="H140">
        <v>0</v>
      </c>
      <c r="I140">
        <v>0</v>
      </c>
      <c r="J140">
        <v>0</v>
      </c>
      <c r="K140">
        <v>0</v>
      </c>
      <c r="L140">
        <v>1035</v>
      </c>
    </row>
    <row r="141" spans="1:12" x14ac:dyDescent="0.35">
      <c r="A141" t="str">
        <v>PAOLO ALEJANDRO MANRIQUEZ SILVA</v>
      </c>
      <c r="B141" t="str">
        <v>13.855.440-6</v>
      </c>
      <c r="C141" t="str">
        <v>BODEGUERO</v>
      </c>
      <c r="D141">
        <v>18</v>
      </c>
      <c r="E141">
        <v>113.55</v>
      </c>
      <c r="F141">
        <v>132</v>
      </c>
      <c r="G141">
        <v>0</v>
      </c>
      <c r="H141">
        <v>194103</v>
      </c>
      <c r="I141">
        <v>0</v>
      </c>
      <c r="J141">
        <v>0</v>
      </c>
      <c r="K141">
        <v>0</v>
      </c>
      <c r="L141">
        <v>194103</v>
      </c>
    </row>
    <row r="142" spans="1:12" x14ac:dyDescent="0.35">
      <c r="A142" t="str">
        <v>JOSÉ LEONARDO RODRIGUEZ ROBLES</v>
      </c>
      <c r="B142" t="str">
        <v>25.832.490-0</v>
      </c>
      <c r="C142" t="str">
        <v>Conductor</v>
      </c>
      <c r="D142">
        <v>15</v>
      </c>
      <c r="E142">
        <v>169.6</v>
      </c>
      <c r="F142">
        <v>168</v>
      </c>
      <c r="G142">
        <v>0</v>
      </c>
      <c r="H142">
        <v>161752.5</v>
      </c>
      <c r="I142">
        <v>0</v>
      </c>
      <c r="J142">
        <v>0</v>
      </c>
      <c r="K142">
        <v>0</v>
      </c>
      <c r="L142">
        <v>161752.5</v>
      </c>
    </row>
    <row r="143" spans="1:12" x14ac:dyDescent="0.35">
      <c r="A143" t="str">
        <v>MANUEL ALEJANDRO TILLERIA SAAVEDRA</v>
      </c>
      <c r="B143" t="str">
        <v>19.804.200-5</v>
      </c>
      <c r="C143" t="str">
        <v>Mecánico</v>
      </c>
      <c r="D143">
        <v>15</v>
      </c>
      <c r="E143">
        <v>188.7</v>
      </c>
      <c r="F143">
        <v>168</v>
      </c>
      <c r="G143">
        <v>0</v>
      </c>
      <c r="H143">
        <v>161752.5</v>
      </c>
      <c r="I143">
        <v>0</v>
      </c>
      <c r="J143">
        <v>0</v>
      </c>
      <c r="K143">
        <v>0</v>
      </c>
      <c r="L143">
        <v>161752.5</v>
      </c>
    </row>
    <row r="144" spans="1:12" x14ac:dyDescent="0.35">
      <c r="A144" t="str">
        <v>LEONARDO ANDRES MENESES ARREDONDO</v>
      </c>
      <c r="B144" t="str">
        <v>14.043.656-9</v>
      </c>
      <c r="C144" t="str">
        <v>Supervisor</v>
      </c>
      <c r="D144">
        <v>14</v>
      </c>
      <c r="E144">
        <v>0</v>
      </c>
      <c r="F144">
        <v>132</v>
      </c>
      <c r="G144">
        <v>0</v>
      </c>
      <c r="H144">
        <v>201292</v>
      </c>
      <c r="I144">
        <v>0</v>
      </c>
      <c r="J144">
        <v>0</v>
      </c>
      <c r="K144">
        <v>0</v>
      </c>
      <c r="L144">
        <v>201292</v>
      </c>
    </row>
    <row r="145" spans="1:12" x14ac:dyDescent="0.35">
      <c r="A145" t="str">
        <v>LUIS HUMBERTO PEÑA AHUMADA</v>
      </c>
      <c r="B145" t="str">
        <v>8.851.229-4</v>
      </c>
      <c r="C145" t="str">
        <v>Conductor</v>
      </c>
      <c r="D145">
        <v>15</v>
      </c>
      <c r="E145">
        <v>187.2</v>
      </c>
      <c r="F145">
        <v>168</v>
      </c>
      <c r="G145">
        <v>0</v>
      </c>
      <c r="H145">
        <v>161752.5</v>
      </c>
      <c r="I145">
        <v>0</v>
      </c>
      <c r="J145">
        <v>0</v>
      </c>
      <c r="K145">
        <v>0</v>
      </c>
      <c r="L145">
        <v>161752.5</v>
      </c>
    </row>
    <row r="146" spans="1:12" x14ac:dyDescent="0.35">
      <c r="A146" t="str">
        <v>RENE ALFREDO RIOS MALDONADO</v>
      </c>
      <c r="B146" t="str">
        <v>17.628.970-8</v>
      </c>
      <c r="C146" t="str">
        <v>Administrativo</v>
      </c>
      <c r="D146">
        <v>14</v>
      </c>
      <c r="E146">
        <v>57.2</v>
      </c>
      <c r="F146">
        <v>168</v>
      </c>
      <c r="G146">
        <v>0</v>
      </c>
      <c r="H146">
        <v>150969</v>
      </c>
      <c r="I146">
        <v>0</v>
      </c>
      <c r="J146">
        <v>0</v>
      </c>
      <c r="K146">
        <v>0</v>
      </c>
      <c r="L146">
        <v>150969</v>
      </c>
    </row>
    <row r="147" spans="1:12" x14ac:dyDescent="0.35">
      <c r="A147" t="str">
        <v>ROBERTO MARIO VARGAS RODRIGUEZ</v>
      </c>
      <c r="B147" t="str">
        <v>14.594.999-8</v>
      </c>
      <c r="C147" t="str">
        <v>Mecánico</v>
      </c>
      <c r="D147">
        <v>14</v>
      </c>
      <c r="E147">
        <v>1.1499999999999999</v>
      </c>
      <c r="F147">
        <v>132</v>
      </c>
      <c r="G147">
        <v>0</v>
      </c>
      <c r="H147">
        <v>150969</v>
      </c>
      <c r="I147">
        <v>0</v>
      </c>
      <c r="J147">
        <v>0</v>
      </c>
      <c r="K147">
        <v>0</v>
      </c>
      <c r="L147">
        <v>150969</v>
      </c>
    </row>
    <row r="148" spans="1:12" x14ac:dyDescent="0.35">
      <c r="A148" t="str">
        <v>PABLO ANDRES ALBARNEZ LOPEZ</v>
      </c>
      <c r="B148" t="str">
        <v>14.117.289-1</v>
      </c>
      <c r="C148" t="str">
        <v>Perforista</v>
      </c>
      <c r="D148">
        <v>13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</row>
    <row r="149" spans="1:12" x14ac:dyDescent="0.35">
      <c r="A149" t="str">
        <v>WILLIAM HERNAN ALVAREZ TRUJILLO</v>
      </c>
      <c r="B149" t="str">
        <v>11.508.866-1</v>
      </c>
      <c r="C149" t="str">
        <v>Soldador</v>
      </c>
      <c r="D149">
        <v>15</v>
      </c>
      <c r="E149">
        <v>1.1499999999999999</v>
      </c>
      <c r="F149">
        <v>132</v>
      </c>
      <c r="G149">
        <v>0</v>
      </c>
      <c r="H149">
        <v>161752.5</v>
      </c>
      <c r="I149">
        <v>0</v>
      </c>
      <c r="J149">
        <v>0</v>
      </c>
      <c r="K149">
        <v>0</v>
      </c>
      <c r="L149">
        <v>161752.5</v>
      </c>
    </row>
    <row r="150" spans="1:12" x14ac:dyDescent="0.35">
      <c r="A150" t="str">
        <v>RODRIGO ALEJANDRO FLORES ZEPEDA</v>
      </c>
      <c r="B150" t="str">
        <v>16.188.552-5</v>
      </c>
      <c r="C150" t="str">
        <v>Ayudante Perforista</v>
      </c>
      <c r="D150">
        <v>15</v>
      </c>
      <c r="E150">
        <v>1.1499999999999999</v>
      </c>
      <c r="F150">
        <v>132</v>
      </c>
      <c r="G150">
        <v>1035</v>
      </c>
      <c r="H150">
        <v>0</v>
      </c>
      <c r="I150">
        <v>0</v>
      </c>
      <c r="J150">
        <v>0</v>
      </c>
      <c r="K150">
        <v>0</v>
      </c>
      <c r="L150">
        <v>1035</v>
      </c>
    </row>
    <row r="151" spans="1:12" x14ac:dyDescent="0.35">
      <c r="A151" t="str">
        <v>RODRIGO ALEX BALLADARES PEREZ</v>
      </c>
      <c r="B151" t="str">
        <v>16.425.205-1</v>
      </c>
      <c r="C151" t="str">
        <v>Jefe de Faena</v>
      </c>
      <c r="D151">
        <v>0</v>
      </c>
      <c r="E151">
        <v>0</v>
      </c>
      <c r="F151">
        <v>0</v>
      </c>
      <c r="G151">
        <v>0</v>
      </c>
      <c r="H151">
        <v>431340</v>
      </c>
      <c r="I151">
        <v>0</v>
      </c>
      <c r="J151">
        <v>0</v>
      </c>
      <c r="K151">
        <v>0</v>
      </c>
      <c r="L151">
        <v>0</v>
      </c>
    </row>
    <row r="152" spans="1:12" x14ac:dyDescent="0.35">
      <c r="A152" t="str">
        <v>ARIEL ANDRES SILVA RIQUELME</v>
      </c>
      <c r="B152" t="str">
        <v>15.613.806-1</v>
      </c>
      <c r="C152" t="str">
        <v>Supervisor</v>
      </c>
      <c r="D152">
        <v>15</v>
      </c>
      <c r="E152">
        <v>188.7</v>
      </c>
      <c r="F152">
        <v>168</v>
      </c>
      <c r="G152">
        <v>0</v>
      </c>
      <c r="H152">
        <v>215670</v>
      </c>
      <c r="I152">
        <v>0</v>
      </c>
      <c r="J152">
        <v>0</v>
      </c>
      <c r="K152">
        <v>0</v>
      </c>
      <c r="L152">
        <v>215670</v>
      </c>
    </row>
    <row r="153" spans="1:12" x14ac:dyDescent="0.35">
      <c r="A153" t="str">
        <v>VICTOR MANUEL MONDACA VEGA</v>
      </c>
      <c r="B153" t="str">
        <v>16.706.064-1</v>
      </c>
      <c r="C153" t="str">
        <v>Ayudante Perforista</v>
      </c>
      <c r="D153">
        <v>15</v>
      </c>
      <c r="E153">
        <v>0</v>
      </c>
      <c r="F153">
        <v>132</v>
      </c>
      <c r="G153">
        <v>1035</v>
      </c>
      <c r="H153">
        <v>0</v>
      </c>
      <c r="I153">
        <v>0</v>
      </c>
      <c r="J153">
        <v>0</v>
      </c>
      <c r="K153">
        <v>0</v>
      </c>
      <c r="L153">
        <v>1035</v>
      </c>
    </row>
    <row r="154" spans="1:12" x14ac:dyDescent="0.35">
      <c r="A154" t="str">
        <v>VLADIMIR OMAR CASTRO ENCINA</v>
      </c>
      <c r="B154" t="str">
        <v>16.441.822-7</v>
      </c>
      <c r="C154" t="str">
        <v>Perforista</v>
      </c>
      <c r="D154">
        <v>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</row>
    <row r="155" spans="1:12" x14ac:dyDescent="0.35">
      <c r="A155" t="str">
        <v>CRISTIAN ALBERTO MARÍN CORTES</v>
      </c>
      <c r="B155" t="str">
        <v>14.615.536-7</v>
      </c>
      <c r="C155" t="str">
        <v>Jefe de Formación y Evaluación</v>
      </c>
      <c r="D155">
        <v>14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</row>
    <row r="156" spans="1:12" x14ac:dyDescent="0.35">
      <c r="A156" t="str">
        <v>ELIAS NICOLAS CORTEZ CORTEZ</v>
      </c>
      <c r="B156" t="str">
        <v>20.173.381-2</v>
      </c>
      <c r="C156" t="str">
        <v>Conductor</v>
      </c>
      <c r="D156">
        <v>14</v>
      </c>
      <c r="E156">
        <v>169.6</v>
      </c>
      <c r="F156">
        <v>168</v>
      </c>
      <c r="G156">
        <v>0</v>
      </c>
      <c r="H156">
        <v>150969</v>
      </c>
      <c r="I156">
        <v>0</v>
      </c>
      <c r="J156">
        <v>0</v>
      </c>
      <c r="K156">
        <v>0</v>
      </c>
      <c r="L156">
        <v>150969</v>
      </c>
    </row>
    <row r="157" spans="1:12" x14ac:dyDescent="0.35">
      <c r="A157" t="str">
        <v>WALTER DEL CARMEN PIZARRO ALVAREZ</v>
      </c>
      <c r="B157" t="str">
        <v>12.814.487-0</v>
      </c>
      <c r="C157" t="str">
        <v>Conductor</v>
      </c>
      <c r="D157">
        <v>15</v>
      </c>
      <c r="E157">
        <v>1.1499999999999999</v>
      </c>
      <c r="F157">
        <v>132</v>
      </c>
      <c r="G157">
        <v>0</v>
      </c>
      <c r="H157">
        <v>161752.5</v>
      </c>
      <c r="I157">
        <v>0</v>
      </c>
      <c r="J157">
        <v>0</v>
      </c>
      <c r="K157">
        <v>0</v>
      </c>
      <c r="L157">
        <v>161752.5</v>
      </c>
    </row>
    <row r="158" spans="1:12" x14ac:dyDescent="0.35">
      <c r="A158" t="str">
        <v>LEONIDAS  LUIS  ARCE  OLIVARES</v>
      </c>
      <c r="B158" t="str">
        <v>10.269.976-9</v>
      </c>
      <c r="C158" t="str">
        <v>Supervisor</v>
      </c>
      <c r="D158">
        <v>6</v>
      </c>
      <c r="E158">
        <v>57.2</v>
      </c>
      <c r="F158">
        <v>72</v>
      </c>
      <c r="G158">
        <v>0</v>
      </c>
      <c r="H158">
        <v>86268</v>
      </c>
      <c r="I158">
        <v>0</v>
      </c>
      <c r="J158">
        <v>0</v>
      </c>
      <c r="K158">
        <v>0</v>
      </c>
      <c r="L158">
        <v>86268</v>
      </c>
    </row>
    <row r="159" spans="1:12" x14ac:dyDescent="0.35">
      <c r="A159" t="str">
        <v>ULINSON DIAZ CORTES</v>
      </c>
      <c r="B159" t="str">
        <v>15.814.058-6</v>
      </c>
      <c r="C159" t="str">
        <v>Supervisor</v>
      </c>
      <c r="D159">
        <v>15</v>
      </c>
      <c r="E159">
        <v>1.1499999999999999</v>
      </c>
      <c r="F159">
        <v>132</v>
      </c>
      <c r="G159">
        <v>0</v>
      </c>
      <c r="H159">
        <v>215670</v>
      </c>
      <c r="I159">
        <v>0</v>
      </c>
      <c r="J159">
        <v>0</v>
      </c>
      <c r="K159">
        <v>0</v>
      </c>
      <c r="L159">
        <v>215670</v>
      </c>
    </row>
    <row r="160" spans="1:12" x14ac:dyDescent="0.35">
      <c r="A160" t="str">
        <v>JHON CHRISTOPHER VELIZ HIDALGO</v>
      </c>
      <c r="B160" t="str">
        <v>17.295.160-0</v>
      </c>
      <c r="C160" t="str">
        <v>Supervisor de Operaciones</v>
      </c>
      <c r="D160">
        <v>0</v>
      </c>
      <c r="E160">
        <v>0</v>
      </c>
      <c r="F160">
        <v>0</v>
      </c>
      <c r="G160">
        <v>0</v>
      </c>
      <c r="H160">
        <v>431340</v>
      </c>
      <c r="I160">
        <v>0</v>
      </c>
      <c r="J160">
        <v>0</v>
      </c>
      <c r="K160">
        <v>0</v>
      </c>
      <c r="L160">
        <v>0</v>
      </c>
    </row>
    <row r="161" spans="1:12" x14ac:dyDescent="0.35">
      <c r="A161" t="str">
        <v>JOHN AMARO MICHEA RIVERA</v>
      </c>
      <c r="B161" t="str">
        <v>21.190.478-K</v>
      </c>
      <c r="C161" t="str">
        <v>Ayudante de Perforista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</row>
    <row r="162" spans="1:12" x14ac:dyDescent="0.35">
      <c r="A162" t="str">
        <v>NATALY ANTONIA SALAS ESCOBAR</v>
      </c>
      <c r="B162" t="str">
        <v>21.516.063-7</v>
      </c>
      <c r="C162" t="str">
        <v>Administrativo</v>
      </c>
      <c r="D162">
        <v>16</v>
      </c>
      <c r="E162">
        <v>113.55</v>
      </c>
      <c r="F162">
        <v>132</v>
      </c>
      <c r="G162">
        <v>0</v>
      </c>
      <c r="H162">
        <v>172536</v>
      </c>
      <c r="I162">
        <v>0</v>
      </c>
      <c r="J162">
        <v>0</v>
      </c>
      <c r="K162">
        <v>0</v>
      </c>
      <c r="L162">
        <v>172536</v>
      </c>
    </row>
    <row r="163" spans="1:12" x14ac:dyDescent="0.35">
      <c r="A163" t="str">
        <v>JORGE ESTEBAN SAAVEDRA MENA</v>
      </c>
      <c r="B163" t="str">
        <v>12.152.241-1</v>
      </c>
      <c r="C163" t="str">
        <v>Conductor</v>
      </c>
      <c r="D163">
        <v>14</v>
      </c>
      <c r="E163">
        <v>169.6</v>
      </c>
      <c r="F163">
        <v>168</v>
      </c>
      <c r="G163">
        <v>0</v>
      </c>
      <c r="H163">
        <v>150969</v>
      </c>
      <c r="I163">
        <v>0</v>
      </c>
      <c r="J163">
        <v>0</v>
      </c>
      <c r="K163">
        <v>0</v>
      </c>
      <c r="L163">
        <v>150969</v>
      </c>
    </row>
    <row r="164" spans="1:12" x14ac:dyDescent="0.35">
      <c r="A164" t="str">
        <v>JORGE ARMANDO TINOCO OSPINO</v>
      </c>
      <c r="B164" t="str">
        <v>23.868.099-9</v>
      </c>
      <c r="C164" t="str">
        <v>Conductor</v>
      </c>
      <c r="D164">
        <v>15</v>
      </c>
      <c r="E164">
        <v>0</v>
      </c>
      <c r="F164">
        <v>132</v>
      </c>
      <c r="G164">
        <v>0</v>
      </c>
      <c r="H164">
        <v>161752.5</v>
      </c>
      <c r="I164">
        <v>0</v>
      </c>
      <c r="J164">
        <v>0</v>
      </c>
      <c r="K164">
        <v>0</v>
      </c>
      <c r="L164">
        <v>161752.5</v>
      </c>
    </row>
    <row r="165" spans="1:12" x14ac:dyDescent="0.35">
      <c r="A165" t="str">
        <v>LUIS ARMANDO MORALES NAVEA</v>
      </c>
      <c r="B165" t="str">
        <v>18.589.217-4</v>
      </c>
      <c r="C165" t="str">
        <v>Ayudante de Perforista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</row>
    <row r="166" spans="1:12" x14ac:dyDescent="0.35">
      <c r="A166" t="str">
        <v>WALDO RAFAEL CASTRO PASTENE</v>
      </c>
      <c r="B166" t="str">
        <v>13.744.310-4</v>
      </c>
      <c r="C166" t="str">
        <v>Soldador</v>
      </c>
      <c r="D166">
        <v>14</v>
      </c>
      <c r="E166">
        <v>169.6</v>
      </c>
      <c r="F166">
        <v>168</v>
      </c>
      <c r="G166">
        <v>0</v>
      </c>
      <c r="H166">
        <v>150969</v>
      </c>
      <c r="I166">
        <v>0</v>
      </c>
      <c r="J166">
        <v>0</v>
      </c>
      <c r="K166">
        <v>0</v>
      </c>
      <c r="L166">
        <v>150969</v>
      </c>
    </row>
    <row r="167" spans="1:12" x14ac:dyDescent="0.35">
      <c r="A167" t="str">
        <v>ESTEFANIA CONSTANZA NAETER QUIROZ</v>
      </c>
      <c r="B167" t="str">
        <v>15.831.074-0</v>
      </c>
      <c r="C167" t="str">
        <v>Conductor</v>
      </c>
      <c r="D167">
        <v>14</v>
      </c>
      <c r="E167">
        <v>1.1499999999999999</v>
      </c>
      <c r="F167">
        <v>132</v>
      </c>
      <c r="G167">
        <v>0</v>
      </c>
      <c r="H167">
        <v>150969</v>
      </c>
      <c r="I167">
        <v>0</v>
      </c>
      <c r="J167">
        <v>0</v>
      </c>
      <c r="K167">
        <v>0</v>
      </c>
      <c r="L167">
        <v>150969</v>
      </c>
    </row>
    <row r="168" spans="1:12" x14ac:dyDescent="0.35">
      <c r="A168" t="str">
        <v>JUAN PABLO MORALES CAMPUSANO</v>
      </c>
      <c r="B168" t="str">
        <v>18.449.925-8</v>
      </c>
      <c r="C168" t="str">
        <v>Ayudante de Perforista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</row>
    <row r="169" spans="1:12" x14ac:dyDescent="0.35">
      <c r="A169" t="str">
        <v>MIGUEL ANTONIO BEAS GONZALEZ</v>
      </c>
      <c r="B169" t="str">
        <v>17.210.409-6</v>
      </c>
      <c r="C169" t="str">
        <v>Chofer</v>
      </c>
      <c r="D169">
        <v>2</v>
      </c>
      <c r="E169">
        <v>0</v>
      </c>
      <c r="F169">
        <v>0</v>
      </c>
      <c r="G169">
        <v>0</v>
      </c>
      <c r="H169">
        <v>21567</v>
      </c>
      <c r="I169">
        <v>0</v>
      </c>
      <c r="J169">
        <v>0</v>
      </c>
      <c r="K169">
        <v>0</v>
      </c>
      <c r="L169">
        <v>21567</v>
      </c>
    </row>
    <row r="170" spans="1:12" x14ac:dyDescent="0.35">
      <c r="A170" t="str">
        <v>MAURICIO ANDRES OYARZUN SALAMANCA</v>
      </c>
      <c r="B170" t="str">
        <v>17.964.013-9</v>
      </c>
      <c r="C170" t="str">
        <v>Ayudante Perforista</v>
      </c>
      <c r="D170">
        <v>15</v>
      </c>
      <c r="E170">
        <v>188.7</v>
      </c>
      <c r="F170">
        <v>168</v>
      </c>
      <c r="G170">
        <v>322470</v>
      </c>
      <c r="H170">
        <v>0</v>
      </c>
      <c r="I170">
        <v>0</v>
      </c>
      <c r="J170">
        <v>0</v>
      </c>
      <c r="K170">
        <v>0</v>
      </c>
      <c r="L170">
        <v>322470</v>
      </c>
    </row>
    <row r="171" spans="1:12" x14ac:dyDescent="0.35">
      <c r="A171" t="str" cm="1">
        <f t="array" ref="A171:L298">[8]Resumen!$A$5:$L$132</f>
        <v>EMERSON GIOVANNY DONAIRE VADULLI</v>
      </c>
      <c r="B171" t="str">
        <v>19.690.710-6</v>
      </c>
      <c r="C171" t="str">
        <v>Ayudante Perforista</v>
      </c>
      <c r="D171">
        <v>11</v>
      </c>
      <c r="E171">
        <v>324</v>
      </c>
      <c r="F171">
        <v>120</v>
      </c>
      <c r="G171">
        <v>90400</v>
      </c>
      <c r="H171">
        <v>0</v>
      </c>
      <c r="I171">
        <v>5600</v>
      </c>
      <c r="J171">
        <v>0</v>
      </c>
      <c r="K171">
        <v>0</v>
      </c>
      <c r="L171">
        <v>96000</v>
      </c>
    </row>
    <row r="172" spans="1:12" x14ac:dyDescent="0.35">
      <c r="A172" t="str">
        <v>FREDDY IGNACIO THOMPSON DIAZ</v>
      </c>
      <c r="B172" t="str">
        <v>19.167.554-1</v>
      </c>
      <c r="C172" t="str">
        <v>Ayudante Perforista</v>
      </c>
      <c r="D172">
        <v>20</v>
      </c>
      <c r="E172">
        <v>355.4</v>
      </c>
      <c r="F172">
        <v>240</v>
      </c>
      <c r="G172">
        <v>368425</v>
      </c>
      <c r="H172">
        <v>0</v>
      </c>
      <c r="I172">
        <v>15575</v>
      </c>
      <c r="J172">
        <v>125000</v>
      </c>
      <c r="K172">
        <v>0</v>
      </c>
      <c r="L172">
        <v>509000</v>
      </c>
    </row>
    <row r="173" spans="1:12" x14ac:dyDescent="0.35">
      <c r="A173" t="str">
        <v>GERARDO ANTONIO GAETE PAZ</v>
      </c>
      <c r="B173" t="str">
        <v>19.214.178-8</v>
      </c>
      <c r="C173" t="str">
        <v>Ayudante Perforista</v>
      </c>
      <c r="D173">
        <v>20</v>
      </c>
      <c r="E173">
        <v>357.8</v>
      </c>
      <c r="F173">
        <v>240</v>
      </c>
      <c r="G173">
        <v>356600</v>
      </c>
      <c r="H173">
        <v>0</v>
      </c>
      <c r="I173">
        <v>14650</v>
      </c>
      <c r="J173">
        <v>125000</v>
      </c>
      <c r="K173">
        <v>0</v>
      </c>
      <c r="L173">
        <v>496250</v>
      </c>
    </row>
    <row r="174" spans="1:12" x14ac:dyDescent="0.35">
      <c r="A174" t="str">
        <v>ANGELO JAVIER NEGRETE MADRID</v>
      </c>
      <c r="B174" t="str">
        <v>19.506.760-0</v>
      </c>
      <c r="C174" t="str">
        <v>Ayudante de Perforista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</row>
    <row r="175" spans="1:12" x14ac:dyDescent="0.35">
      <c r="A175" t="str">
        <v>ANGELO PATRICIO RIVERA HERRERA</v>
      </c>
      <c r="B175" t="str">
        <v>17.998.731-7</v>
      </c>
      <c r="C175" t="str">
        <v>Mecánico</v>
      </c>
      <c r="D175">
        <v>20</v>
      </c>
      <c r="E175">
        <v>0</v>
      </c>
      <c r="F175">
        <v>0</v>
      </c>
      <c r="G175">
        <v>0</v>
      </c>
      <c r="H175">
        <v>401566.67</v>
      </c>
      <c r="I175">
        <v>0</v>
      </c>
      <c r="J175">
        <v>0</v>
      </c>
      <c r="K175">
        <v>0</v>
      </c>
      <c r="L175">
        <v>401566.67</v>
      </c>
    </row>
    <row r="176" spans="1:12" x14ac:dyDescent="0.35">
      <c r="A176" t="str">
        <v>JAVIER ANDRES MILLA PALACIOS</v>
      </c>
      <c r="B176" t="str">
        <v>17.818.652-3</v>
      </c>
      <c r="C176" t="str">
        <v>Perforista</v>
      </c>
      <c r="D176">
        <v>10</v>
      </c>
      <c r="E176">
        <v>344</v>
      </c>
      <c r="F176">
        <v>120</v>
      </c>
      <c r="G176">
        <v>174600</v>
      </c>
      <c r="H176">
        <v>0</v>
      </c>
      <c r="I176">
        <v>8100</v>
      </c>
      <c r="J176">
        <v>0</v>
      </c>
      <c r="K176">
        <v>0</v>
      </c>
      <c r="L176">
        <v>182700</v>
      </c>
    </row>
    <row r="177" spans="1:12" x14ac:dyDescent="0.35">
      <c r="A177" t="str">
        <v>JOSE MIGUEL ORMEÑO ARREDONDO</v>
      </c>
      <c r="B177" t="str">
        <v>15.051.336-7</v>
      </c>
      <c r="C177" t="str">
        <v>Ayudante de Perforista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</row>
    <row r="178" spans="1:12" x14ac:dyDescent="0.35">
      <c r="A178" t="str">
        <v>BRENDA LIZETH LEON AVELLA</v>
      </c>
      <c r="B178" t="str">
        <v>25.073.481-6</v>
      </c>
      <c r="C178" t="str">
        <v>Ayudante Perforista</v>
      </c>
      <c r="D178">
        <v>11</v>
      </c>
      <c r="E178">
        <v>163.6</v>
      </c>
      <c r="F178">
        <v>120</v>
      </c>
      <c r="G178">
        <v>189825</v>
      </c>
      <c r="H178">
        <v>0</v>
      </c>
      <c r="I178">
        <v>6940</v>
      </c>
      <c r="J178">
        <v>125000</v>
      </c>
      <c r="K178">
        <v>0</v>
      </c>
      <c r="L178">
        <v>321765</v>
      </c>
    </row>
    <row r="179" spans="1:12" x14ac:dyDescent="0.35">
      <c r="A179" t="str">
        <v>ALEJANDRO MIGUEL APABLAZA GUZMAN</v>
      </c>
      <c r="B179" t="str">
        <v>12.951.196-6</v>
      </c>
      <c r="C179" t="str">
        <v>Supervisor de Operaciones</v>
      </c>
      <c r="D179">
        <v>20</v>
      </c>
      <c r="E179">
        <v>0</v>
      </c>
      <c r="F179">
        <v>0</v>
      </c>
      <c r="G179">
        <v>0</v>
      </c>
      <c r="H179">
        <v>602350</v>
      </c>
      <c r="I179">
        <v>0</v>
      </c>
      <c r="J179">
        <v>0</v>
      </c>
      <c r="K179">
        <v>0</v>
      </c>
      <c r="L179">
        <v>602350</v>
      </c>
    </row>
    <row r="180" spans="1:12" x14ac:dyDescent="0.35">
      <c r="A180" t="str">
        <v>ANITA FERNANDA AGUIRRE CASTILLO</v>
      </c>
      <c r="B180" t="str">
        <v>16.442.692-0</v>
      </c>
      <c r="C180" t="str">
        <v>Prevencionista de Riesgos</v>
      </c>
      <c r="D180">
        <v>0</v>
      </c>
      <c r="E180">
        <v>0</v>
      </c>
      <c r="F180">
        <v>0</v>
      </c>
      <c r="G180">
        <v>0</v>
      </c>
      <c r="H180">
        <v>903525</v>
      </c>
      <c r="I180">
        <v>0</v>
      </c>
      <c r="J180">
        <v>0</v>
      </c>
      <c r="K180">
        <v>0</v>
      </c>
      <c r="L180">
        <v>0</v>
      </c>
    </row>
    <row r="181" spans="1:12" x14ac:dyDescent="0.35">
      <c r="A181" t="str">
        <v>DANIEL EDUARDO JERALDO CORTES</v>
      </c>
      <c r="B181" t="str">
        <v>17.294.242-3</v>
      </c>
      <c r="C181" t="str">
        <v>Perforista</v>
      </c>
      <c r="D181">
        <v>20</v>
      </c>
      <c r="E181">
        <v>357.8</v>
      </c>
      <c r="F181">
        <v>240</v>
      </c>
      <c r="G181">
        <v>534900</v>
      </c>
      <c r="H181">
        <v>0</v>
      </c>
      <c r="I181">
        <v>21975</v>
      </c>
      <c r="J181">
        <v>250000</v>
      </c>
      <c r="K181">
        <v>0</v>
      </c>
      <c r="L181">
        <v>806875</v>
      </c>
    </row>
    <row r="182" spans="1:12" x14ac:dyDescent="0.35">
      <c r="A182" t="str">
        <v>RICHARD FABIAN RAMIREZ RAMIREZ</v>
      </c>
      <c r="B182" t="str">
        <v>18.011.716-4</v>
      </c>
      <c r="C182" t="str">
        <v>Ayudante Perforista</v>
      </c>
      <c r="D182">
        <v>20</v>
      </c>
      <c r="E182">
        <v>357.8</v>
      </c>
      <c r="F182">
        <v>240</v>
      </c>
      <c r="G182">
        <v>356600</v>
      </c>
      <c r="H182">
        <v>0</v>
      </c>
      <c r="I182">
        <v>14650</v>
      </c>
      <c r="J182">
        <v>125000</v>
      </c>
      <c r="K182">
        <v>0</v>
      </c>
      <c r="L182">
        <v>496250</v>
      </c>
    </row>
    <row r="183" spans="1:12" x14ac:dyDescent="0.35">
      <c r="A183" t="str">
        <v>VICTORIA DEL PILAR COFRE ROMERO</v>
      </c>
      <c r="B183" t="str">
        <v>15.446.035-7</v>
      </c>
      <c r="C183" t="str">
        <v>Bodeguero</v>
      </c>
      <c r="D183">
        <v>10</v>
      </c>
      <c r="E183">
        <v>0</v>
      </c>
      <c r="F183">
        <v>0</v>
      </c>
      <c r="G183">
        <v>0</v>
      </c>
      <c r="H183">
        <v>200783.33</v>
      </c>
      <c r="I183">
        <v>0</v>
      </c>
      <c r="J183">
        <v>0</v>
      </c>
      <c r="K183">
        <v>0</v>
      </c>
      <c r="L183">
        <v>200783.33</v>
      </c>
    </row>
    <row r="184" spans="1:12" x14ac:dyDescent="0.35">
      <c r="A184" t="str">
        <v>MAIKOL MANUEL ANTONIO CORTES OLIVARES</v>
      </c>
      <c r="B184" t="str">
        <v>19.041.873-1</v>
      </c>
      <c r="C184" t="str">
        <v>Perforista</v>
      </c>
      <c r="D184">
        <v>11</v>
      </c>
      <c r="E184">
        <v>133.6</v>
      </c>
      <c r="F184">
        <v>120</v>
      </c>
      <c r="G184">
        <v>210487.5</v>
      </c>
      <c r="H184">
        <v>0</v>
      </c>
      <c r="I184">
        <v>1530</v>
      </c>
      <c r="J184">
        <v>0</v>
      </c>
      <c r="K184">
        <v>0</v>
      </c>
      <c r="L184">
        <v>212017.5</v>
      </c>
    </row>
    <row r="185" spans="1:12" x14ac:dyDescent="0.35">
      <c r="A185" t="str">
        <v>RICHARD FERNANDO CONTRERAS FLORES</v>
      </c>
      <c r="B185" t="str">
        <v>13.425.369-K</v>
      </c>
      <c r="C185" t="str">
        <v>Ayudante Perforista</v>
      </c>
      <c r="D185">
        <v>19</v>
      </c>
      <c r="E185">
        <v>466</v>
      </c>
      <c r="F185">
        <v>211.25</v>
      </c>
      <c r="G185">
        <v>182400</v>
      </c>
      <c r="H185">
        <v>0</v>
      </c>
      <c r="I185">
        <v>6800</v>
      </c>
      <c r="J185">
        <v>0</v>
      </c>
      <c r="K185">
        <v>0</v>
      </c>
      <c r="L185">
        <v>189200</v>
      </c>
    </row>
    <row r="186" spans="1:12" x14ac:dyDescent="0.35">
      <c r="A186" t="str">
        <v>IBAR ALEXIS BORQUEZ CARVAJAL</v>
      </c>
      <c r="B186" t="str">
        <v>13.011.075-4</v>
      </c>
      <c r="C186" t="str">
        <v>Jefe de Faena</v>
      </c>
      <c r="D186">
        <v>14</v>
      </c>
      <c r="E186">
        <v>0</v>
      </c>
      <c r="F186">
        <v>0</v>
      </c>
      <c r="G186">
        <v>0</v>
      </c>
      <c r="H186">
        <v>421645</v>
      </c>
      <c r="I186">
        <v>0</v>
      </c>
      <c r="J186">
        <v>0</v>
      </c>
      <c r="K186">
        <v>0</v>
      </c>
      <c r="L186">
        <v>421645</v>
      </c>
    </row>
    <row r="187" spans="1:12" x14ac:dyDescent="0.35">
      <c r="A187" t="str">
        <v>BORIS ALEXIS NOVOA TORO</v>
      </c>
      <c r="B187" t="str">
        <v>20.111.998-7</v>
      </c>
      <c r="C187" t="str">
        <v>Ayudante Perforista</v>
      </c>
      <c r="D187">
        <v>4</v>
      </c>
      <c r="E187">
        <v>78</v>
      </c>
      <c r="F187">
        <v>48</v>
      </c>
      <c r="G187">
        <v>34800</v>
      </c>
      <c r="H187">
        <v>0</v>
      </c>
      <c r="I187">
        <v>0</v>
      </c>
      <c r="J187">
        <v>0</v>
      </c>
      <c r="K187">
        <v>0</v>
      </c>
      <c r="L187">
        <v>34800</v>
      </c>
    </row>
    <row r="188" spans="1:12" x14ac:dyDescent="0.35">
      <c r="A188" t="str">
        <v>CRISTOBAL ALEXIC SANDERSON SALCEDO</v>
      </c>
      <c r="B188" t="str">
        <v>19.910.908-1</v>
      </c>
      <c r="C188" t="str">
        <v>Mecánico</v>
      </c>
      <c r="D188">
        <v>19</v>
      </c>
      <c r="E188">
        <v>0</v>
      </c>
      <c r="F188">
        <v>0</v>
      </c>
      <c r="G188">
        <v>0</v>
      </c>
      <c r="H188">
        <v>381488.33</v>
      </c>
      <c r="I188">
        <v>0</v>
      </c>
      <c r="J188">
        <v>0</v>
      </c>
      <c r="K188">
        <v>0</v>
      </c>
      <c r="L188">
        <v>381488.33</v>
      </c>
    </row>
    <row r="189" spans="1:12" x14ac:dyDescent="0.35">
      <c r="A189" t="str">
        <v>BRIAN ANTONIO FARIAS ROJAS</v>
      </c>
      <c r="B189" t="str">
        <v>19.771.194-9</v>
      </c>
      <c r="C189" t="str">
        <v>Ayudante de Perforista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</row>
    <row r="190" spans="1:12" x14ac:dyDescent="0.35">
      <c r="A190" t="str">
        <v>CRISTIAN ESTEBAN DIAZ GUAJARDO</v>
      </c>
      <c r="B190" t="str">
        <v>16.400.165-2</v>
      </c>
      <c r="C190" t="str">
        <v>Ayudante Perforista</v>
      </c>
      <c r="D190">
        <v>10</v>
      </c>
      <c r="E190">
        <v>141.05000000000001</v>
      </c>
      <c r="F190">
        <v>120</v>
      </c>
      <c r="G190">
        <v>143325</v>
      </c>
      <c r="H190">
        <v>0</v>
      </c>
      <c r="I190">
        <v>4060</v>
      </c>
      <c r="J190">
        <v>0</v>
      </c>
      <c r="K190">
        <v>0</v>
      </c>
      <c r="L190">
        <v>147385</v>
      </c>
    </row>
    <row r="191" spans="1:12" x14ac:dyDescent="0.35">
      <c r="A191" t="str">
        <v>IVAN ESTEBAN LOPEZ GARCIA</v>
      </c>
      <c r="B191" t="str">
        <v>18.575.188-0</v>
      </c>
      <c r="C191" t="str">
        <v>Chofer</v>
      </c>
      <c r="D191">
        <v>11</v>
      </c>
      <c r="E191">
        <v>0</v>
      </c>
      <c r="F191">
        <v>0</v>
      </c>
      <c r="G191">
        <v>0</v>
      </c>
      <c r="H191">
        <v>220861.67</v>
      </c>
      <c r="I191">
        <v>0</v>
      </c>
      <c r="J191">
        <v>0</v>
      </c>
      <c r="K191">
        <v>0</v>
      </c>
      <c r="L191">
        <v>220861.67</v>
      </c>
    </row>
    <row r="192" spans="1:12" x14ac:dyDescent="0.35">
      <c r="A192" t="str">
        <v>ERICK ADOLFO REYES GONZALEZ</v>
      </c>
      <c r="B192" t="str">
        <v>15.412.546-9</v>
      </c>
      <c r="C192" t="str">
        <v>Mecánico</v>
      </c>
      <c r="D192">
        <v>0</v>
      </c>
      <c r="E192">
        <v>0</v>
      </c>
      <c r="F192">
        <v>0</v>
      </c>
      <c r="G192">
        <v>0</v>
      </c>
      <c r="H192">
        <v>602350</v>
      </c>
      <c r="I192">
        <v>0</v>
      </c>
      <c r="J192">
        <v>0</v>
      </c>
      <c r="K192">
        <v>0</v>
      </c>
      <c r="L192">
        <v>0</v>
      </c>
    </row>
    <row r="193" spans="1:12" x14ac:dyDescent="0.35">
      <c r="A193" t="str">
        <v>PAULO ANDRES RODRIGUEZ OPAZO</v>
      </c>
      <c r="B193" t="str">
        <v>14.401.561-4</v>
      </c>
      <c r="C193" t="str">
        <v>Ayudante Perforista</v>
      </c>
      <c r="D193">
        <v>10</v>
      </c>
      <c r="E193">
        <v>142.5</v>
      </c>
      <c r="F193">
        <v>120</v>
      </c>
      <c r="G193">
        <v>174000</v>
      </c>
      <c r="H193">
        <v>0</v>
      </c>
      <c r="I193">
        <v>8100</v>
      </c>
      <c r="J193">
        <v>125000</v>
      </c>
      <c r="K193">
        <v>0</v>
      </c>
      <c r="L193">
        <v>307100</v>
      </c>
    </row>
    <row r="194" spans="1:12" x14ac:dyDescent="0.35">
      <c r="A194" t="str">
        <v>FRANCISCO JAVIER ROJAS MARTINEZ</v>
      </c>
      <c r="B194" t="str">
        <v>16.463.792-1</v>
      </c>
      <c r="C194" t="str">
        <v>Jefe de Faena</v>
      </c>
      <c r="D194">
        <v>15</v>
      </c>
      <c r="E194">
        <v>0</v>
      </c>
      <c r="F194">
        <v>0</v>
      </c>
      <c r="G194">
        <v>0</v>
      </c>
      <c r="H194">
        <v>451762.5</v>
      </c>
      <c r="I194">
        <v>0</v>
      </c>
      <c r="J194">
        <v>0</v>
      </c>
      <c r="K194">
        <v>0</v>
      </c>
      <c r="L194">
        <v>451762.5</v>
      </c>
    </row>
    <row r="195" spans="1:12" x14ac:dyDescent="0.35">
      <c r="A195" t="str">
        <v>CLAUDIA ALEJANDRA TORRES ROJAS</v>
      </c>
      <c r="B195" t="str">
        <v>18.757.602-4</v>
      </c>
      <c r="C195" t="str">
        <v>Prevencionista de Riesgos</v>
      </c>
      <c r="D195">
        <v>20</v>
      </c>
      <c r="E195">
        <v>0</v>
      </c>
      <c r="F195">
        <v>0</v>
      </c>
      <c r="G195">
        <v>0</v>
      </c>
      <c r="H195">
        <v>602350</v>
      </c>
      <c r="I195">
        <v>0</v>
      </c>
      <c r="J195">
        <v>0</v>
      </c>
      <c r="K195">
        <v>0</v>
      </c>
      <c r="L195">
        <v>602350</v>
      </c>
    </row>
    <row r="196" spans="1:12" x14ac:dyDescent="0.35">
      <c r="A196" t="str">
        <v>BRAHYAN SCARLY GALVEZ ABALOS</v>
      </c>
      <c r="B196" t="str">
        <v>19.662.114-8</v>
      </c>
      <c r="C196" t="str">
        <v>Ayudante de Perforista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</row>
    <row r="197" spans="1:12" x14ac:dyDescent="0.35">
      <c r="A197" t="str">
        <v>MIGUEL EDUARDO LOPEZ CLAVERIA</v>
      </c>
      <c r="B197" t="str">
        <v>15.052.994-8</v>
      </c>
      <c r="C197" t="str">
        <v>Perforista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</row>
    <row r="198" spans="1:12" x14ac:dyDescent="0.35">
      <c r="A198" t="str">
        <v>FRANCISCO JAVIER NAVARRO ESPINOZA</v>
      </c>
      <c r="B198" t="str">
        <v>16.281.802-3</v>
      </c>
      <c r="C198" t="str">
        <v>Electromecánico</v>
      </c>
      <c r="D198">
        <v>10</v>
      </c>
      <c r="E198">
        <v>0</v>
      </c>
      <c r="F198">
        <v>0</v>
      </c>
      <c r="G198">
        <v>0</v>
      </c>
      <c r="H198">
        <v>200783.33</v>
      </c>
      <c r="I198">
        <v>0</v>
      </c>
      <c r="J198">
        <v>0</v>
      </c>
      <c r="K198">
        <v>0</v>
      </c>
      <c r="L198">
        <v>200783.33</v>
      </c>
    </row>
    <row r="199" spans="1:12" x14ac:dyDescent="0.35">
      <c r="A199" t="str">
        <v>JORGE IVAN SOTO FARIÑA</v>
      </c>
      <c r="B199" t="str">
        <v>10.726.051-K</v>
      </c>
      <c r="C199" t="str">
        <v>Administrativo de Faena</v>
      </c>
      <c r="D199">
        <v>0</v>
      </c>
      <c r="E199">
        <v>0</v>
      </c>
      <c r="F199">
        <v>0</v>
      </c>
      <c r="G199">
        <v>0</v>
      </c>
      <c r="H199">
        <v>602350</v>
      </c>
      <c r="I199">
        <v>0</v>
      </c>
      <c r="J199">
        <v>0</v>
      </c>
      <c r="K199">
        <v>0</v>
      </c>
      <c r="L199">
        <v>0</v>
      </c>
    </row>
    <row r="200" spans="1:12" x14ac:dyDescent="0.35">
      <c r="A200" t="str">
        <v>JORGE GREGORIO TRIGO TRIGO</v>
      </c>
      <c r="B200" t="str">
        <v>15.038.779-5</v>
      </c>
      <c r="C200" t="str">
        <v>Perforista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</row>
    <row r="201" spans="1:12" x14ac:dyDescent="0.35">
      <c r="A201" t="str">
        <v>ORLANDO PATRICIO CONTRERAS RIOS</v>
      </c>
      <c r="B201" t="str">
        <v>11.778.172-0</v>
      </c>
      <c r="C201" t="str">
        <v>Perforista</v>
      </c>
      <c r="D201">
        <v>14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</row>
    <row r="202" spans="1:12" x14ac:dyDescent="0.35">
      <c r="A202" t="str">
        <v>NICOLAS NEIL MUÑOZ ARANDA</v>
      </c>
      <c r="B202" t="str">
        <v>20.912.297-9</v>
      </c>
      <c r="C202" t="str">
        <v>Ayudante de Perforista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</row>
    <row r="203" spans="1:12" x14ac:dyDescent="0.35">
      <c r="A203" t="str">
        <v>SEBASTIAN MATIAS MUÑOZ VILLALOBOS</v>
      </c>
      <c r="B203" t="str">
        <v>18.021.892-0</v>
      </c>
      <c r="C203" t="str">
        <v>Mecánico</v>
      </c>
      <c r="D203">
        <v>0</v>
      </c>
      <c r="E203">
        <v>0</v>
      </c>
      <c r="F203">
        <v>0</v>
      </c>
      <c r="G203">
        <v>0</v>
      </c>
      <c r="H203">
        <v>602350</v>
      </c>
      <c r="I203">
        <v>0</v>
      </c>
      <c r="J203">
        <v>0</v>
      </c>
      <c r="K203">
        <v>0</v>
      </c>
      <c r="L203">
        <v>0</v>
      </c>
    </row>
    <row r="204" spans="1:12" x14ac:dyDescent="0.35">
      <c r="A204" t="str">
        <v>PEDRO OCTAVIO OLIVARES ALVAREZ</v>
      </c>
      <c r="B204" t="str">
        <v>13.176.765-K</v>
      </c>
      <c r="C204" t="str">
        <v>Perforista</v>
      </c>
      <c r="D204">
        <v>20</v>
      </c>
      <c r="E204">
        <v>301.2</v>
      </c>
      <c r="F204">
        <v>180</v>
      </c>
      <c r="G204">
        <v>416025</v>
      </c>
      <c r="H204">
        <v>0</v>
      </c>
      <c r="I204">
        <v>40931.25</v>
      </c>
      <c r="J204">
        <v>250000</v>
      </c>
      <c r="K204">
        <v>0</v>
      </c>
      <c r="L204">
        <v>706956.25</v>
      </c>
    </row>
    <row r="205" spans="1:12" x14ac:dyDescent="0.35">
      <c r="A205" t="str">
        <v>VICTOR ALEJANDRO VALENZUELA PASTEN</v>
      </c>
      <c r="B205" t="str">
        <v>12.802.451-4</v>
      </c>
      <c r="C205" t="str">
        <v>Supervisor de Operaciones</v>
      </c>
      <c r="D205">
        <v>10</v>
      </c>
      <c r="E205">
        <v>0</v>
      </c>
      <c r="F205">
        <v>0</v>
      </c>
      <c r="G205">
        <v>0</v>
      </c>
      <c r="H205">
        <v>301175</v>
      </c>
      <c r="I205">
        <v>0</v>
      </c>
      <c r="J205">
        <v>0</v>
      </c>
      <c r="K205">
        <v>0</v>
      </c>
      <c r="L205">
        <v>301175</v>
      </c>
    </row>
    <row r="206" spans="1:12" x14ac:dyDescent="0.35">
      <c r="A206" t="str">
        <v>GABRIEL ALEJANDRO GALLEGUILLOS ARANCIBIA</v>
      </c>
      <c r="B206" t="str">
        <v>15.909.798-6</v>
      </c>
      <c r="C206" t="str">
        <v>Mecánico</v>
      </c>
      <c r="D206">
        <v>20</v>
      </c>
      <c r="E206">
        <v>0</v>
      </c>
      <c r="F206">
        <v>0</v>
      </c>
      <c r="G206">
        <v>0</v>
      </c>
      <c r="H206">
        <v>401566.67</v>
      </c>
      <c r="I206">
        <v>0</v>
      </c>
      <c r="J206">
        <v>0</v>
      </c>
      <c r="K206">
        <v>0</v>
      </c>
      <c r="L206">
        <v>401566.67</v>
      </c>
    </row>
    <row r="207" spans="1:12" x14ac:dyDescent="0.35">
      <c r="A207" t="str">
        <v>DANIEL SEBASTIAN ARAYA GALLARDO</v>
      </c>
      <c r="B207" t="str">
        <v>15.785.558-1</v>
      </c>
      <c r="C207" t="str">
        <v>Ayudante Perforista</v>
      </c>
      <c r="D207">
        <v>11</v>
      </c>
      <c r="E207">
        <v>160.75</v>
      </c>
      <c r="F207">
        <v>120</v>
      </c>
      <c r="G207">
        <v>260500</v>
      </c>
      <c r="H207">
        <v>0</v>
      </c>
      <c r="I207">
        <v>9750</v>
      </c>
      <c r="J207">
        <v>125000</v>
      </c>
      <c r="K207">
        <v>0</v>
      </c>
      <c r="L207">
        <v>395250</v>
      </c>
    </row>
    <row r="208" spans="1:12" x14ac:dyDescent="0.35">
      <c r="A208" t="str">
        <v>DANIEL OSVALDO ARAYA REYES</v>
      </c>
      <c r="B208" t="str">
        <v>13.173.870-6</v>
      </c>
      <c r="C208" t="str">
        <v>Perforista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</row>
    <row r="209" spans="1:12" x14ac:dyDescent="0.35">
      <c r="A209" t="str">
        <v>ENDER ALEXANDER MUJICA MENDEZ</v>
      </c>
      <c r="B209" t="str">
        <v>25.606.451-0</v>
      </c>
      <c r="C209" t="str">
        <v>Ayudante de Perforista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</row>
    <row r="210" spans="1:12" x14ac:dyDescent="0.35">
      <c r="A210" t="str">
        <v>ERIC ALFONSO GALLEGUILLOS DIAZ</v>
      </c>
      <c r="B210" t="str">
        <v>16.892.590-5</v>
      </c>
      <c r="C210" t="str">
        <v>Ayudante Perforista</v>
      </c>
      <c r="D210">
        <v>10</v>
      </c>
      <c r="E210">
        <v>184.65</v>
      </c>
      <c r="F210">
        <v>120</v>
      </c>
      <c r="G210">
        <v>184850</v>
      </c>
      <c r="H210">
        <v>0</v>
      </c>
      <c r="I210">
        <v>9762.5</v>
      </c>
      <c r="J210">
        <v>0</v>
      </c>
      <c r="K210">
        <v>0</v>
      </c>
      <c r="L210">
        <v>194612.5</v>
      </c>
    </row>
    <row r="211" spans="1:12" x14ac:dyDescent="0.35">
      <c r="A211" t="str">
        <v>DIEGO ALEJANDRO ROJAS JOPIA</v>
      </c>
      <c r="B211" t="str">
        <v>16.442.931-8</v>
      </c>
      <c r="C211" t="str">
        <v>Perforista</v>
      </c>
      <c r="D211">
        <v>12</v>
      </c>
      <c r="E211">
        <v>160.75</v>
      </c>
      <c r="F211">
        <v>120</v>
      </c>
      <c r="G211">
        <v>390750</v>
      </c>
      <c r="H211">
        <v>0</v>
      </c>
      <c r="I211">
        <v>14625</v>
      </c>
      <c r="J211">
        <v>250000</v>
      </c>
      <c r="K211">
        <v>0</v>
      </c>
      <c r="L211">
        <v>655375</v>
      </c>
    </row>
    <row r="212" spans="1:12" x14ac:dyDescent="0.35">
      <c r="A212" t="str">
        <v>DIANA CATALINA ANGEL MUNITA</v>
      </c>
      <c r="B212" t="str">
        <v>21.236.457-6</v>
      </c>
      <c r="C212" t="str">
        <v>Ayudante Perforista</v>
      </c>
      <c r="D212">
        <v>20</v>
      </c>
      <c r="E212">
        <v>355.4</v>
      </c>
      <c r="F212">
        <v>240</v>
      </c>
      <c r="G212">
        <v>356600</v>
      </c>
      <c r="H212">
        <v>0</v>
      </c>
      <c r="I212">
        <v>15575</v>
      </c>
      <c r="J212">
        <v>125000</v>
      </c>
      <c r="K212">
        <v>0</v>
      </c>
      <c r="L212">
        <v>497175</v>
      </c>
    </row>
    <row r="213" spans="1:12" x14ac:dyDescent="0.35">
      <c r="A213" t="str">
        <v>ESLEMAN GONZALO MOHAMED MOHAMED</v>
      </c>
      <c r="B213" t="str">
        <v>17.542.518-7</v>
      </c>
      <c r="C213" t="str">
        <v>Prevencionista de Riesgos</v>
      </c>
      <c r="D213">
        <v>0</v>
      </c>
      <c r="E213">
        <v>0</v>
      </c>
      <c r="F213">
        <v>0</v>
      </c>
      <c r="G213">
        <v>0</v>
      </c>
      <c r="H213">
        <v>903525</v>
      </c>
      <c r="I213">
        <v>0</v>
      </c>
      <c r="J213">
        <v>0</v>
      </c>
      <c r="K213">
        <v>0</v>
      </c>
      <c r="L213">
        <v>0</v>
      </c>
    </row>
    <row r="214" spans="1:12" x14ac:dyDescent="0.35">
      <c r="A214" t="str">
        <v>ERNESTO ALIRO ZEPEDA SOTO</v>
      </c>
      <c r="B214" t="str">
        <v>17.293.877-9</v>
      </c>
      <c r="C214" t="str">
        <v>Ayudante Perforista</v>
      </c>
      <c r="D214">
        <v>10</v>
      </c>
      <c r="E214">
        <v>141.05000000000001</v>
      </c>
      <c r="F214">
        <v>120</v>
      </c>
      <c r="G214">
        <v>149100</v>
      </c>
      <c r="H214">
        <v>0</v>
      </c>
      <c r="I214">
        <v>4060</v>
      </c>
      <c r="J214">
        <v>125000</v>
      </c>
      <c r="K214">
        <v>0</v>
      </c>
      <c r="L214">
        <v>278160</v>
      </c>
    </row>
    <row r="215" spans="1:12" x14ac:dyDescent="0.35">
      <c r="A215" t="str">
        <v>DAVID JESUS CASSRA ORELLANA</v>
      </c>
      <c r="B215" t="str">
        <v>17.939.732-3</v>
      </c>
      <c r="C215" t="str">
        <v>Ayudante Perforista</v>
      </c>
      <c r="D215">
        <v>18</v>
      </c>
      <c r="E215">
        <v>452</v>
      </c>
      <c r="F215">
        <v>228</v>
      </c>
      <c r="G215">
        <v>182400</v>
      </c>
      <c r="H215">
        <v>0</v>
      </c>
      <c r="I215">
        <v>7600</v>
      </c>
      <c r="J215">
        <v>0</v>
      </c>
      <c r="K215">
        <v>0</v>
      </c>
      <c r="L215">
        <v>190000</v>
      </c>
    </row>
    <row r="216" spans="1:12" x14ac:dyDescent="0.35">
      <c r="A216" t="str">
        <v>ESTEBAN DAGOBERTO LOPEZ BARRIOS</v>
      </c>
      <c r="B216" t="str">
        <v>13.223.287-3</v>
      </c>
      <c r="C216" t="str">
        <v>Chofer</v>
      </c>
      <c r="D216">
        <v>11</v>
      </c>
      <c r="E216">
        <v>0</v>
      </c>
      <c r="F216">
        <v>0</v>
      </c>
      <c r="G216">
        <v>0</v>
      </c>
      <c r="H216">
        <v>220861.67</v>
      </c>
      <c r="I216">
        <v>0</v>
      </c>
      <c r="J216">
        <v>0</v>
      </c>
      <c r="K216">
        <v>0</v>
      </c>
      <c r="L216">
        <v>220861.67</v>
      </c>
    </row>
    <row r="217" spans="1:12" x14ac:dyDescent="0.35">
      <c r="A217" t="str">
        <v>GERSON ANDRES SANDOVAL SEPULVEDA</v>
      </c>
      <c r="B217" t="str">
        <v>13.804.452-1</v>
      </c>
      <c r="C217" t="str">
        <v>Chofer</v>
      </c>
      <c r="D217">
        <v>20</v>
      </c>
      <c r="E217">
        <v>0</v>
      </c>
      <c r="F217">
        <v>0</v>
      </c>
      <c r="G217">
        <v>0</v>
      </c>
      <c r="H217">
        <v>401566.67</v>
      </c>
      <c r="I217">
        <v>0</v>
      </c>
      <c r="J217">
        <v>0</v>
      </c>
      <c r="K217">
        <v>0</v>
      </c>
      <c r="L217">
        <v>401566.67</v>
      </c>
    </row>
    <row r="218" spans="1:12" x14ac:dyDescent="0.35">
      <c r="A218" t="str">
        <v>JORGE ALEXIS CORTES PAZ</v>
      </c>
      <c r="B218" t="str">
        <v>13.541.133-7</v>
      </c>
      <c r="C218" t="str">
        <v>Soldador</v>
      </c>
      <c r="D218">
        <v>10</v>
      </c>
      <c r="E218">
        <v>0</v>
      </c>
      <c r="F218">
        <v>0</v>
      </c>
      <c r="G218">
        <v>0</v>
      </c>
      <c r="H218">
        <v>200783.33</v>
      </c>
      <c r="I218">
        <v>0</v>
      </c>
      <c r="J218">
        <v>0</v>
      </c>
      <c r="K218">
        <v>0</v>
      </c>
      <c r="L218">
        <v>200783.33</v>
      </c>
    </row>
    <row r="219" spans="1:12" x14ac:dyDescent="0.35">
      <c r="A219" t="str">
        <v>CARLOS JAVIER ALFARO CASTELLANO</v>
      </c>
      <c r="B219" t="str">
        <v>13.748.728-4</v>
      </c>
      <c r="C219" t="str">
        <v>Ayudante de Perforista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</row>
    <row r="220" spans="1:12" x14ac:dyDescent="0.35">
      <c r="A220" t="str">
        <v>JAVIER AURELIO QUIROZ APABLAZA</v>
      </c>
      <c r="B220" t="str">
        <v>11.730.786-7</v>
      </c>
      <c r="C220" t="str">
        <v>Chofer</v>
      </c>
      <c r="D220">
        <v>11</v>
      </c>
      <c r="E220">
        <v>0</v>
      </c>
      <c r="F220">
        <v>0</v>
      </c>
      <c r="G220">
        <v>0</v>
      </c>
      <c r="H220">
        <v>220861.67</v>
      </c>
      <c r="I220">
        <v>0</v>
      </c>
      <c r="J220">
        <v>0</v>
      </c>
      <c r="K220">
        <v>0</v>
      </c>
      <c r="L220">
        <v>220861.67</v>
      </c>
    </row>
    <row r="221" spans="1:12" x14ac:dyDescent="0.35">
      <c r="A221" t="str">
        <v>FRANCISCO JAVIER LEIVA LEIVA</v>
      </c>
      <c r="B221" t="str">
        <v>12.115.176-6</v>
      </c>
      <c r="C221" t="str">
        <v>Perforista</v>
      </c>
      <c r="D221">
        <v>19</v>
      </c>
      <c r="E221">
        <v>355.4</v>
      </c>
      <c r="F221">
        <v>240</v>
      </c>
      <c r="G221">
        <v>534900</v>
      </c>
      <c r="H221">
        <v>0</v>
      </c>
      <c r="I221">
        <v>23362.5</v>
      </c>
      <c r="J221">
        <v>250000</v>
      </c>
      <c r="K221">
        <v>0</v>
      </c>
      <c r="L221">
        <v>808262.5</v>
      </c>
    </row>
    <row r="222" spans="1:12" x14ac:dyDescent="0.35">
      <c r="A222" t="str">
        <v>JAMIS ALONSO NETTLE MALUENDA</v>
      </c>
      <c r="B222" t="str">
        <v>17.713.235-7</v>
      </c>
      <c r="C222" t="str">
        <v>Perforista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</row>
    <row r="223" spans="1:12" x14ac:dyDescent="0.35">
      <c r="A223" t="str">
        <v>JONATHAN ANDRES ARDILES NUÑEZ</v>
      </c>
      <c r="B223" t="str">
        <v>15.056.140-K</v>
      </c>
      <c r="C223" t="str">
        <v>Chofer</v>
      </c>
      <c r="D223">
        <v>19</v>
      </c>
      <c r="E223">
        <v>0</v>
      </c>
      <c r="F223">
        <v>0</v>
      </c>
      <c r="G223">
        <v>0</v>
      </c>
      <c r="H223">
        <v>381488.33</v>
      </c>
      <c r="I223">
        <v>0</v>
      </c>
      <c r="J223">
        <v>0</v>
      </c>
      <c r="K223">
        <v>0</v>
      </c>
      <c r="L223">
        <v>381488.33</v>
      </c>
    </row>
    <row r="224" spans="1:12" x14ac:dyDescent="0.35">
      <c r="A224" t="str">
        <v>GUSTAVO ALEXIS REINUABA RODRIGUEZ</v>
      </c>
      <c r="B224" t="str">
        <v>16.450.418-2</v>
      </c>
      <c r="C224" t="str">
        <v>Administrativo de Faena</v>
      </c>
      <c r="D224">
        <v>0</v>
      </c>
      <c r="E224">
        <v>0</v>
      </c>
      <c r="F224">
        <v>0</v>
      </c>
      <c r="G224">
        <v>0</v>
      </c>
      <c r="H224">
        <v>602350</v>
      </c>
      <c r="I224">
        <v>0</v>
      </c>
      <c r="J224">
        <v>0</v>
      </c>
      <c r="K224">
        <v>0</v>
      </c>
      <c r="L224">
        <v>0</v>
      </c>
    </row>
    <row r="225" spans="1:12" x14ac:dyDescent="0.35">
      <c r="A225" t="str">
        <v>JUAN ANTONIO VEGA ESPINOZA</v>
      </c>
      <c r="B225" t="str">
        <v>16.581.290-5</v>
      </c>
      <c r="C225" t="str">
        <v>Ayudante Perforista</v>
      </c>
      <c r="D225">
        <v>11</v>
      </c>
      <c r="E225">
        <v>160.75</v>
      </c>
      <c r="F225">
        <v>120</v>
      </c>
      <c r="G225">
        <v>260500</v>
      </c>
      <c r="H225">
        <v>0</v>
      </c>
      <c r="I225">
        <v>9750</v>
      </c>
      <c r="J225">
        <v>125000</v>
      </c>
      <c r="K225">
        <v>0</v>
      </c>
      <c r="L225">
        <v>395250</v>
      </c>
    </row>
    <row r="226" spans="1:12" x14ac:dyDescent="0.35">
      <c r="A226" t="str">
        <v>CARLOS ANDRES ZAPATA SEGUEL</v>
      </c>
      <c r="B226" t="str">
        <v>17.775.054-9</v>
      </c>
      <c r="C226" t="str">
        <v>Ayudante Perforista</v>
      </c>
      <c r="D226">
        <v>20</v>
      </c>
      <c r="E226">
        <v>364.6</v>
      </c>
      <c r="F226">
        <v>180</v>
      </c>
      <c r="G226">
        <v>272700</v>
      </c>
      <c r="H226">
        <v>0</v>
      </c>
      <c r="I226">
        <v>26225</v>
      </c>
      <c r="J226">
        <v>125000</v>
      </c>
      <c r="K226">
        <v>0</v>
      </c>
      <c r="L226">
        <v>423925</v>
      </c>
    </row>
    <row r="227" spans="1:12" x14ac:dyDescent="0.35">
      <c r="A227" t="str">
        <v>GUMERCINDO DEL ROSARIO PASTEN GUERRERO</v>
      </c>
      <c r="B227" t="str">
        <v>10.792.747-6</v>
      </c>
      <c r="C227" t="str">
        <v>Supervisor de Operaciones</v>
      </c>
      <c r="D227">
        <v>19</v>
      </c>
      <c r="E227">
        <v>0</v>
      </c>
      <c r="F227">
        <v>0</v>
      </c>
      <c r="G227">
        <v>0</v>
      </c>
      <c r="H227">
        <v>572232.5</v>
      </c>
      <c r="I227">
        <v>0</v>
      </c>
      <c r="J227">
        <v>0</v>
      </c>
      <c r="K227">
        <v>0</v>
      </c>
      <c r="L227">
        <v>572232.5</v>
      </c>
    </row>
    <row r="228" spans="1:12" x14ac:dyDescent="0.35">
      <c r="A228" t="str">
        <v>JAIME NICOLAS CARVAJAL ALVARADO</v>
      </c>
      <c r="B228" t="str">
        <v>19.911.323-2</v>
      </c>
      <c r="C228" t="str">
        <v>Ayudante Perforista</v>
      </c>
      <c r="D228">
        <v>10</v>
      </c>
      <c r="E228">
        <v>378.35</v>
      </c>
      <c r="F228">
        <v>120</v>
      </c>
      <c r="G228">
        <v>238500</v>
      </c>
      <c r="H228">
        <v>0</v>
      </c>
      <c r="I228">
        <v>37887.5</v>
      </c>
      <c r="J228">
        <v>125000</v>
      </c>
      <c r="K228">
        <v>0</v>
      </c>
      <c r="L228">
        <v>401387.5</v>
      </c>
    </row>
    <row r="229" spans="1:12" x14ac:dyDescent="0.35">
      <c r="A229" t="str">
        <v>RODRIGO ANDRES ARAYA ROJAS</v>
      </c>
      <c r="B229" t="str">
        <v>13.423.391-5</v>
      </c>
      <c r="C229" t="str">
        <v>Supervisor de Operaciones</v>
      </c>
      <c r="D229">
        <v>11</v>
      </c>
      <c r="E229">
        <v>0</v>
      </c>
      <c r="F229">
        <v>0</v>
      </c>
      <c r="G229">
        <v>0</v>
      </c>
      <c r="H229">
        <v>331292.5</v>
      </c>
      <c r="I229">
        <v>0</v>
      </c>
      <c r="J229">
        <v>0</v>
      </c>
      <c r="K229">
        <v>0</v>
      </c>
      <c r="L229">
        <v>331292.5</v>
      </c>
    </row>
    <row r="230" spans="1:12" x14ac:dyDescent="0.35">
      <c r="A230" t="str">
        <v>JOSUE SALOMÓN CASTRO VARAS</v>
      </c>
      <c r="B230" t="str">
        <v>17.014.579-8</v>
      </c>
      <c r="C230" t="str">
        <v>Perforista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</row>
    <row r="231" spans="1:12" x14ac:dyDescent="0.35">
      <c r="A231" t="str">
        <v>MARIO ALBERTO AQUEA GONZALEZ</v>
      </c>
      <c r="B231" t="str">
        <v>21.637.836-9</v>
      </c>
      <c r="C231" t="str">
        <v>Ayudante Perforista</v>
      </c>
      <c r="D231">
        <v>18</v>
      </c>
      <c r="E231">
        <v>20.7</v>
      </c>
      <c r="F231">
        <v>24</v>
      </c>
      <c r="G231">
        <v>10350</v>
      </c>
      <c r="H231">
        <v>0</v>
      </c>
      <c r="I231">
        <v>0</v>
      </c>
      <c r="J231">
        <v>125000</v>
      </c>
      <c r="K231">
        <v>0</v>
      </c>
      <c r="L231">
        <v>135350</v>
      </c>
    </row>
    <row r="232" spans="1:12" x14ac:dyDescent="0.35">
      <c r="A232" t="str">
        <v>RODRIGO ALEJANDRO GONZALEZ RODRIGUEZ</v>
      </c>
      <c r="B232" t="str">
        <v>17.015.679-K</v>
      </c>
      <c r="C232" t="str">
        <v>Ayudante Perforista</v>
      </c>
      <c r="D232">
        <v>10</v>
      </c>
      <c r="E232">
        <v>360.25</v>
      </c>
      <c r="F232">
        <v>120</v>
      </c>
      <c r="G232">
        <v>260500</v>
      </c>
      <c r="H232">
        <v>0</v>
      </c>
      <c r="I232">
        <v>42875</v>
      </c>
      <c r="J232">
        <v>125000</v>
      </c>
      <c r="K232">
        <v>0</v>
      </c>
      <c r="L232">
        <v>428375</v>
      </c>
    </row>
    <row r="233" spans="1:12" x14ac:dyDescent="0.35">
      <c r="A233" t="str">
        <v>JUAN MAURICIO TABILO ARAYA</v>
      </c>
      <c r="B233" t="str">
        <v>14.117.235-2</v>
      </c>
      <c r="C233" t="str">
        <v>Perforista</v>
      </c>
      <c r="D233">
        <v>11</v>
      </c>
      <c r="E233">
        <v>141.05000000000001</v>
      </c>
      <c r="F233">
        <v>120</v>
      </c>
      <c r="G233">
        <v>210487.5</v>
      </c>
      <c r="H233">
        <v>0</v>
      </c>
      <c r="I233">
        <v>5220</v>
      </c>
      <c r="J233">
        <v>0</v>
      </c>
      <c r="K233">
        <v>0</v>
      </c>
      <c r="L233">
        <v>215707.5</v>
      </c>
    </row>
    <row r="234" spans="1:12" x14ac:dyDescent="0.35">
      <c r="A234" t="str">
        <v>JILBERTO FRANCISCO ROJAS FERNANDEZ</v>
      </c>
      <c r="B234" t="str">
        <v>15.521.744-8</v>
      </c>
      <c r="C234" t="str">
        <v>Ayudante Perforista</v>
      </c>
      <c r="D234">
        <v>10</v>
      </c>
      <c r="E234">
        <v>185.05</v>
      </c>
      <c r="F234">
        <v>120</v>
      </c>
      <c r="G234">
        <v>184850</v>
      </c>
      <c r="H234">
        <v>0</v>
      </c>
      <c r="I234">
        <v>11250</v>
      </c>
      <c r="J234">
        <v>0</v>
      </c>
      <c r="K234">
        <v>0</v>
      </c>
      <c r="L234">
        <v>196100</v>
      </c>
    </row>
    <row r="235" spans="1:12" x14ac:dyDescent="0.35">
      <c r="A235" t="str">
        <v>JORGE ANDRES ARANCIBIA LEDEZMA</v>
      </c>
      <c r="B235" t="str">
        <v>18.755.121-8</v>
      </c>
      <c r="C235" t="str">
        <v>Ayudante de Perforista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</row>
    <row r="236" spans="1:12" x14ac:dyDescent="0.35">
      <c r="A236" t="str">
        <v>JOSE LUIS FLORES FLORES</v>
      </c>
      <c r="B236" t="str">
        <v>15.494.173-8</v>
      </c>
      <c r="C236" t="str">
        <v>Ayudante Perforista</v>
      </c>
      <c r="D236">
        <v>10</v>
      </c>
      <c r="E236">
        <v>378.35</v>
      </c>
      <c r="F236">
        <v>120</v>
      </c>
      <c r="G236">
        <v>238500</v>
      </c>
      <c r="H236">
        <v>0</v>
      </c>
      <c r="I236">
        <v>37887.5</v>
      </c>
      <c r="J236">
        <v>125000</v>
      </c>
      <c r="K236">
        <v>0</v>
      </c>
      <c r="L236">
        <v>401387.5</v>
      </c>
    </row>
    <row r="237" spans="1:12" x14ac:dyDescent="0.35">
      <c r="A237" t="str">
        <v>IVAN ALEJANDRO SAN FRANCISCO ARDILES</v>
      </c>
      <c r="B237" t="str">
        <v>17.295.192-9</v>
      </c>
      <c r="C237" t="str">
        <v>Ayudante Perforista</v>
      </c>
      <c r="D237">
        <v>20</v>
      </c>
      <c r="E237">
        <v>253.5</v>
      </c>
      <c r="F237">
        <v>180</v>
      </c>
      <c r="G237">
        <v>277350</v>
      </c>
      <c r="H237">
        <v>0</v>
      </c>
      <c r="I237">
        <v>19350</v>
      </c>
      <c r="J237">
        <v>125000</v>
      </c>
      <c r="K237">
        <v>0</v>
      </c>
      <c r="L237">
        <v>421700</v>
      </c>
    </row>
    <row r="238" spans="1:12" x14ac:dyDescent="0.35">
      <c r="A238" t="str">
        <v>JOEL ANDRES CARO GALLARDO</v>
      </c>
      <c r="B238" t="str">
        <v>18.403.993-1</v>
      </c>
      <c r="C238" t="str">
        <v>Chofer</v>
      </c>
      <c r="D238">
        <v>15</v>
      </c>
      <c r="E238">
        <v>0</v>
      </c>
      <c r="F238">
        <v>0</v>
      </c>
      <c r="G238">
        <v>0</v>
      </c>
      <c r="H238">
        <v>301175</v>
      </c>
      <c r="I238">
        <v>0</v>
      </c>
      <c r="J238">
        <v>0</v>
      </c>
      <c r="K238">
        <v>0</v>
      </c>
      <c r="L238">
        <v>301175</v>
      </c>
    </row>
    <row r="239" spans="1:12" x14ac:dyDescent="0.35">
      <c r="A239" t="str">
        <v>JOSE MIGUEL ARDILES NUÑEZ</v>
      </c>
      <c r="B239" t="str">
        <v>16.052.742-0</v>
      </c>
      <c r="C239" t="str">
        <v>Chofer</v>
      </c>
      <c r="D239">
        <v>0</v>
      </c>
      <c r="E239">
        <v>0</v>
      </c>
      <c r="F239">
        <v>0</v>
      </c>
      <c r="G239">
        <v>0</v>
      </c>
      <c r="H239">
        <v>602350</v>
      </c>
      <c r="I239">
        <v>0</v>
      </c>
      <c r="J239">
        <v>0</v>
      </c>
      <c r="K239">
        <v>0</v>
      </c>
      <c r="L239">
        <v>0</v>
      </c>
    </row>
    <row r="240" spans="1:12" x14ac:dyDescent="0.35">
      <c r="A240" t="str">
        <v>JORGE CRISTIAN FUENTES ROBLEDO</v>
      </c>
      <c r="B240" t="str">
        <v>13.424.802-5</v>
      </c>
      <c r="C240" t="str">
        <v>Perforista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</row>
    <row r="241" spans="1:12" x14ac:dyDescent="0.35">
      <c r="A241" t="str">
        <v>JUAN EDUARDO GONZALEZ ROMERO</v>
      </c>
      <c r="B241" t="str">
        <v>17.827.549-6</v>
      </c>
      <c r="C241" t="str">
        <v>Ayudante Perforista</v>
      </c>
      <c r="D241">
        <v>20</v>
      </c>
      <c r="E241">
        <v>376.5</v>
      </c>
      <c r="F241">
        <v>228</v>
      </c>
      <c r="G241">
        <v>295800</v>
      </c>
      <c r="H241">
        <v>0</v>
      </c>
      <c r="I241">
        <v>29487.5</v>
      </c>
      <c r="J241">
        <v>125000</v>
      </c>
      <c r="K241">
        <v>0</v>
      </c>
      <c r="L241">
        <v>450287.5</v>
      </c>
    </row>
    <row r="242" spans="1:12" x14ac:dyDescent="0.35">
      <c r="A242" t="str">
        <v>HAMIR ALONSO GONZALEZ JERALDO</v>
      </c>
      <c r="B242" t="str">
        <v>17.293.946-5</v>
      </c>
      <c r="C242" t="str">
        <v>Perforista</v>
      </c>
      <c r="D242">
        <v>5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</row>
    <row r="243" spans="1:12" x14ac:dyDescent="0.35">
      <c r="A243" t="str">
        <v>HERNAN EDUARDO SEPULVEDA MORENO</v>
      </c>
      <c r="B243" t="str">
        <v>16.914.867-8</v>
      </c>
      <c r="C243" t="str">
        <v>Ayudante de Perforista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</row>
    <row r="244" spans="1:12" x14ac:dyDescent="0.35">
      <c r="A244" t="str">
        <v>LEONARDO PATRICIO GATICA CASTRO</v>
      </c>
      <c r="B244" t="str">
        <v>18.520.647-5</v>
      </c>
      <c r="C244" t="str">
        <v>Soldador</v>
      </c>
      <c r="D244">
        <v>11</v>
      </c>
      <c r="E244">
        <v>0</v>
      </c>
      <c r="F244">
        <v>0</v>
      </c>
      <c r="G244">
        <v>0</v>
      </c>
      <c r="H244">
        <v>220861.67</v>
      </c>
      <c r="I244">
        <v>0</v>
      </c>
      <c r="J244">
        <v>0</v>
      </c>
      <c r="K244">
        <v>0</v>
      </c>
      <c r="L244">
        <v>220861.67</v>
      </c>
    </row>
    <row r="245" spans="1:12" x14ac:dyDescent="0.35">
      <c r="A245" t="str">
        <v>PAUL GIOVANNI BRIONES BRIONES</v>
      </c>
      <c r="B245" t="str">
        <v>17.626.566-3</v>
      </c>
      <c r="C245" t="str">
        <v>Perforista</v>
      </c>
      <c r="D245">
        <v>11</v>
      </c>
      <c r="E245">
        <v>160.75</v>
      </c>
      <c r="F245">
        <v>120</v>
      </c>
      <c r="G245">
        <v>390750</v>
      </c>
      <c r="H245">
        <v>0</v>
      </c>
      <c r="I245">
        <v>14625</v>
      </c>
      <c r="J245">
        <v>250000</v>
      </c>
      <c r="K245">
        <v>0</v>
      </c>
      <c r="L245">
        <v>655375</v>
      </c>
    </row>
    <row r="246" spans="1:12" x14ac:dyDescent="0.35">
      <c r="A246" t="str">
        <v>LUIS RENATO DE JESUS JIMENEZ VEGA</v>
      </c>
      <c r="B246" t="str">
        <v>17.294.428-0</v>
      </c>
      <c r="C246" t="str">
        <v>Chofer</v>
      </c>
      <c r="D246">
        <v>20</v>
      </c>
      <c r="E246">
        <v>0</v>
      </c>
      <c r="F246">
        <v>0</v>
      </c>
      <c r="G246">
        <v>0</v>
      </c>
      <c r="H246">
        <v>401566.67</v>
      </c>
      <c r="I246">
        <v>0</v>
      </c>
      <c r="J246">
        <v>0</v>
      </c>
      <c r="K246">
        <v>0</v>
      </c>
      <c r="L246">
        <v>401566.67</v>
      </c>
    </row>
    <row r="247" spans="1:12" x14ac:dyDescent="0.35">
      <c r="A247" t="str">
        <v>JUAN CARLOS ROJAS IRIARTE</v>
      </c>
      <c r="B247" t="str">
        <v>17.015.514-9</v>
      </c>
      <c r="C247" t="str">
        <v>Ayudante de Perforista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</row>
    <row r="248" spans="1:12" x14ac:dyDescent="0.35">
      <c r="A248" t="str">
        <v>LEONARDO IVAN MUNDACA PEREZ</v>
      </c>
      <c r="B248" t="str">
        <v>12.441.529-2</v>
      </c>
      <c r="C248" t="str">
        <v>Electromecánico</v>
      </c>
      <c r="D248">
        <v>20</v>
      </c>
      <c r="E248">
        <v>0</v>
      </c>
      <c r="F248">
        <v>0</v>
      </c>
      <c r="G248">
        <v>0</v>
      </c>
      <c r="H248">
        <v>401566.67</v>
      </c>
      <c r="I248">
        <v>0</v>
      </c>
      <c r="J248">
        <v>0</v>
      </c>
      <c r="K248">
        <v>0</v>
      </c>
      <c r="L248">
        <v>401566.67</v>
      </c>
    </row>
    <row r="249" spans="1:12" x14ac:dyDescent="0.35">
      <c r="A249" t="str">
        <v>ROBERTO CARLOS NUÑEZ GONZALEZ</v>
      </c>
      <c r="B249" t="str">
        <v>12.419.789-9</v>
      </c>
      <c r="C249" t="str">
        <v>Administrador de Contrato</v>
      </c>
      <c r="D249">
        <v>16</v>
      </c>
      <c r="E249">
        <v>0</v>
      </c>
      <c r="F249">
        <v>0</v>
      </c>
      <c r="G249">
        <v>0</v>
      </c>
      <c r="H249">
        <v>481880</v>
      </c>
      <c r="I249">
        <v>0</v>
      </c>
      <c r="J249">
        <v>0</v>
      </c>
      <c r="K249">
        <v>0</v>
      </c>
      <c r="L249">
        <v>481880</v>
      </c>
    </row>
    <row r="250" spans="1:12" x14ac:dyDescent="0.35">
      <c r="A250" t="str">
        <v>NESTOR RENE SUAREZ MORALES</v>
      </c>
      <c r="B250" t="str">
        <v>15.061.835-5</v>
      </c>
      <c r="C250" t="str">
        <v>Perforista</v>
      </c>
      <c r="D250">
        <v>18</v>
      </c>
      <c r="E250">
        <v>466</v>
      </c>
      <c r="F250">
        <v>211.25</v>
      </c>
      <c r="G250">
        <v>273600</v>
      </c>
      <c r="H250">
        <v>0</v>
      </c>
      <c r="I250">
        <v>10200</v>
      </c>
      <c r="J250">
        <v>0</v>
      </c>
      <c r="K250">
        <v>0</v>
      </c>
      <c r="L250">
        <v>283800</v>
      </c>
    </row>
    <row r="251" spans="1:12" x14ac:dyDescent="0.35">
      <c r="A251" t="str">
        <v>PEDRO BALDOMERO LOPEZ ARAYA</v>
      </c>
      <c r="B251" t="str">
        <v>20.600.531-9</v>
      </c>
      <c r="C251" t="str">
        <v>Mecánico</v>
      </c>
      <c r="D251">
        <v>10</v>
      </c>
      <c r="E251">
        <v>0</v>
      </c>
      <c r="F251">
        <v>0</v>
      </c>
      <c r="G251">
        <v>0</v>
      </c>
      <c r="H251">
        <v>200783.33</v>
      </c>
      <c r="I251">
        <v>0</v>
      </c>
      <c r="J251">
        <v>0</v>
      </c>
      <c r="K251">
        <v>0</v>
      </c>
      <c r="L251">
        <v>200783.33</v>
      </c>
    </row>
    <row r="252" spans="1:12" x14ac:dyDescent="0.35">
      <c r="A252" t="str">
        <v>MARCO ANDRES ROJAS ROJAS</v>
      </c>
      <c r="B252" t="str">
        <v>16.442.547-9</v>
      </c>
      <c r="C252" t="str">
        <v>Perforista</v>
      </c>
      <c r="D252">
        <v>11</v>
      </c>
      <c r="E252">
        <v>360.25</v>
      </c>
      <c r="F252">
        <v>120</v>
      </c>
      <c r="G252">
        <v>390750</v>
      </c>
      <c r="H252">
        <v>0</v>
      </c>
      <c r="I252">
        <v>64312.5</v>
      </c>
      <c r="J252">
        <v>250000</v>
      </c>
      <c r="K252">
        <v>0</v>
      </c>
      <c r="L252">
        <v>705062.5</v>
      </c>
    </row>
    <row r="253" spans="1:12" x14ac:dyDescent="0.35">
      <c r="A253" t="str">
        <v>MILENCO ALEXIS MOYANO GUERRERO</v>
      </c>
      <c r="B253" t="str">
        <v>16.550.436-4</v>
      </c>
      <c r="C253" t="str">
        <v>Perforista</v>
      </c>
      <c r="D253">
        <v>11</v>
      </c>
      <c r="E253">
        <v>360.25</v>
      </c>
      <c r="F253">
        <v>120</v>
      </c>
      <c r="G253">
        <v>390750</v>
      </c>
      <c r="H253">
        <v>0</v>
      </c>
      <c r="I253">
        <v>64312.5</v>
      </c>
      <c r="J253">
        <v>250000</v>
      </c>
      <c r="K253">
        <v>0</v>
      </c>
      <c r="L253">
        <v>705062.5</v>
      </c>
    </row>
    <row r="254" spans="1:12" x14ac:dyDescent="0.35">
      <c r="A254" t="str">
        <v>MANUEL ANDRES LISAMBARTH CARABANTES</v>
      </c>
      <c r="B254" t="str">
        <v>16.892.086-5</v>
      </c>
      <c r="C254" t="str">
        <v>Administrativo Avanzado</v>
      </c>
      <c r="D254">
        <v>10</v>
      </c>
      <c r="E254">
        <v>0</v>
      </c>
      <c r="F254">
        <v>0</v>
      </c>
      <c r="G254">
        <v>0</v>
      </c>
      <c r="H254">
        <v>200783.33</v>
      </c>
      <c r="I254">
        <v>0</v>
      </c>
      <c r="J254">
        <v>0</v>
      </c>
      <c r="K254">
        <v>0</v>
      </c>
      <c r="L254">
        <v>200783.33</v>
      </c>
    </row>
    <row r="255" spans="1:12" x14ac:dyDescent="0.35">
      <c r="A255" t="str">
        <v>PEDRO GABRIEL NARANJO ACUÑA</v>
      </c>
      <c r="B255" t="str">
        <v>14.310.737-K</v>
      </c>
      <c r="C255" t="str">
        <v>Mecánico</v>
      </c>
      <c r="D255">
        <v>10</v>
      </c>
      <c r="E255">
        <v>0</v>
      </c>
      <c r="F255">
        <v>0</v>
      </c>
      <c r="G255">
        <v>0</v>
      </c>
      <c r="H255">
        <v>200783.33</v>
      </c>
      <c r="I255">
        <v>0</v>
      </c>
      <c r="J255">
        <v>0</v>
      </c>
      <c r="K255">
        <v>0</v>
      </c>
      <c r="L255">
        <v>200783.33</v>
      </c>
    </row>
    <row r="256" spans="1:12" x14ac:dyDescent="0.35">
      <c r="A256" t="str">
        <v>HUGO ITALO NUÑEZ PENDOLA</v>
      </c>
      <c r="B256" t="str">
        <v>13.904.830-K</v>
      </c>
      <c r="C256" t="str">
        <v>Chofer</v>
      </c>
      <c r="D256">
        <v>10</v>
      </c>
      <c r="E256">
        <v>0</v>
      </c>
      <c r="F256">
        <v>0</v>
      </c>
      <c r="G256">
        <v>0</v>
      </c>
      <c r="H256">
        <v>200783.33</v>
      </c>
      <c r="I256">
        <v>0</v>
      </c>
      <c r="J256">
        <v>0</v>
      </c>
      <c r="K256">
        <v>0</v>
      </c>
      <c r="L256">
        <v>200783.33</v>
      </c>
    </row>
    <row r="257" spans="1:12" x14ac:dyDescent="0.35">
      <c r="A257" t="str">
        <v>PABLO LUCAS POBLETE KUHNE</v>
      </c>
      <c r="B257" t="str">
        <v>19.460.207-3</v>
      </c>
      <c r="C257" t="str">
        <v>Chofer</v>
      </c>
      <c r="D257">
        <v>10</v>
      </c>
      <c r="E257">
        <v>0</v>
      </c>
      <c r="F257">
        <v>0</v>
      </c>
      <c r="G257">
        <v>0</v>
      </c>
      <c r="H257">
        <v>200783.33</v>
      </c>
      <c r="I257">
        <v>0</v>
      </c>
      <c r="J257">
        <v>0</v>
      </c>
      <c r="K257">
        <v>0</v>
      </c>
      <c r="L257">
        <v>200783.33</v>
      </c>
    </row>
    <row r="258" spans="1:12" x14ac:dyDescent="0.35">
      <c r="A258" t="str">
        <v>LUIS ALBERT CHAMBLAS CARTE</v>
      </c>
      <c r="B258" t="str">
        <v>13.411.442-8</v>
      </c>
      <c r="C258" t="str">
        <v>Ayudante Perforista</v>
      </c>
      <c r="D258">
        <v>10</v>
      </c>
      <c r="E258">
        <v>324</v>
      </c>
      <c r="F258">
        <v>120</v>
      </c>
      <c r="G258">
        <v>90400</v>
      </c>
      <c r="H258">
        <v>0</v>
      </c>
      <c r="I258">
        <v>5600</v>
      </c>
      <c r="J258">
        <v>0</v>
      </c>
      <c r="K258">
        <v>0</v>
      </c>
      <c r="L258">
        <v>96000</v>
      </c>
    </row>
    <row r="259" spans="1:12" x14ac:dyDescent="0.35">
      <c r="A259" t="str">
        <v>MARCELO GIOVANNI RAMIREZ BARRAZA</v>
      </c>
      <c r="B259" t="str">
        <v>19.948.246-7</v>
      </c>
      <c r="C259" t="str">
        <v>Mecánico Líder</v>
      </c>
      <c r="D259">
        <v>11</v>
      </c>
      <c r="E259">
        <v>0</v>
      </c>
      <c r="F259">
        <v>0</v>
      </c>
      <c r="G259">
        <v>0</v>
      </c>
      <c r="H259">
        <v>331292.5</v>
      </c>
      <c r="I259">
        <v>0</v>
      </c>
      <c r="J259">
        <v>0</v>
      </c>
      <c r="K259">
        <v>0</v>
      </c>
      <c r="L259">
        <v>331292.5</v>
      </c>
    </row>
    <row r="260" spans="1:12" x14ac:dyDescent="0.35">
      <c r="A260" t="str">
        <v>JONATHAN FERNANDO BARRIOS GODOY</v>
      </c>
      <c r="B260" t="str">
        <v>15.031.055-5</v>
      </c>
      <c r="C260" t="str">
        <v>Mecánico</v>
      </c>
      <c r="D260">
        <v>11</v>
      </c>
      <c r="E260">
        <v>0</v>
      </c>
      <c r="F260">
        <v>0</v>
      </c>
      <c r="G260">
        <v>0</v>
      </c>
      <c r="H260">
        <v>220861.67</v>
      </c>
      <c r="I260">
        <v>0</v>
      </c>
      <c r="J260">
        <v>0</v>
      </c>
      <c r="K260">
        <v>0</v>
      </c>
      <c r="L260">
        <v>220861.67</v>
      </c>
    </row>
    <row r="261" spans="1:12" x14ac:dyDescent="0.35">
      <c r="A261" t="str">
        <v>JENNIFER ALEJANDRA SOTO FLORES</v>
      </c>
      <c r="B261" t="str">
        <v>19.825.638-2</v>
      </c>
      <c r="C261" t="str">
        <v>Bodeguero</v>
      </c>
      <c r="D261">
        <v>11</v>
      </c>
      <c r="E261">
        <v>0</v>
      </c>
      <c r="F261">
        <v>0</v>
      </c>
      <c r="G261">
        <v>0</v>
      </c>
      <c r="H261">
        <v>220861.67</v>
      </c>
      <c r="I261">
        <v>0</v>
      </c>
      <c r="J261">
        <v>0</v>
      </c>
      <c r="K261">
        <v>0</v>
      </c>
      <c r="L261">
        <v>220861.67</v>
      </c>
    </row>
    <row r="262" spans="1:12" x14ac:dyDescent="0.35">
      <c r="A262" t="str">
        <v>KAZUKI CASTRO HOHMANN</v>
      </c>
      <c r="B262" t="str">
        <v>19.454.353-0</v>
      </c>
      <c r="C262" t="str">
        <v>Ayudante Perforista</v>
      </c>
      <c r="D262">
        <v>20</v>
      </c>
      <c r="E262">
        <v>292.60000000000002</v>
      </c>
      <c r="F262">
        <v>144</v>
      </c>
      <c r="G262">
        <v>140250</v>
      </c>
      <c r="H262">
        <v>0</v>
      </c>
      <c r="I262">
        <v>6462.5</v>
      </c>
      <c r="J262">
        <v>125000</v>
      </c>
      <c r="K262">
        <v>0</v>
      </c>
      <c r="L262">
        <v>271712.5</v>
      </c>
    </row>
    <row r="263" spans="1:12" x14ac:dyDescent="0.35">
      <c r="A263" t="str">
        <v>SEBASTIAN ENRIQUE SASSO ARAYA</v>
      </c>
      <c r="B263" t="str">
        <v>16.133.155-4</v>
      </c>
      <c r="C263" t="str">
        <v>Perforista</v>
      </c>
      <c r="D263">
        <v>4</v>
      </c>
      <c r="E263">
        <v>128</v>
      </c>
      <c r="F263">
        <v>48</v>
      </c>
      <c r="G263">
        <v>78000</v>
      </c>
      <c r="H263">
        <v>0</v>
      </c>
      <c r="I263">
        <v>4200</v>
      </c>
      <c r="J263">
        <v>0</v>
      </c>
      <c r="K263">
        <v>0</v>
      </c>
      <c r="L263">
        <v>82200</v>
      </c>
    </row>
    <row r="264" spans="1:12" x14ac:dyDescent="0.35">
      <c r="A264" t="str">
        <v>PATRICIO COLLO VEGA GONZALEZ</v>
      </c>
      <c r="B264" t="str">
        <v>13.743.972-7</v>
      </c>
      <c r="C264" t="str">
        <v>Ayudante Perforista</v>
      </c>
      <c r="D264">
        <v>19</v>
      </c>
      <c r="E264">
        <v>111</v>
      </c>
      <c r="F264">
        <v>60</v>
      </c>
      <c r="G264">
        <v>103350</v>
      </c>
      <c r="H264">
        <v>0</v>
      </c>
      <c r="I264">
        <v>11250</v>
      </c>
      <c r="J264">
        <v>125000</v>
      </c>
      <c r="K264">
        <v>0</v>
      </c>
      <c r="L264">
        <v>239600</v>
      </c>
    </row>
    <row r="265" spans="1:12" x14ac:dyDescent="0.35">
      <c r="A265" t="str">
        <v>NELSON ANDRES CASTRO AVALOS</v>
      </c>
      <c r="B265" t="str">
        <v>17.624.527-1</v>
      </c>
      <c r="C265" t="str">
        <v>Perforista</v>
      </c>
      <c r="D265">
        <v>19</v>
      </c>
      <c r="E265">
        <v>306.05</v>
      </c>
      <c r="F265">
        <v>192</v>
      </c>
      <c r="G265">
        <v>428550</v>
      </c>
      <c r="H265">
        <v>0</v>
      </c>
      <c r="I265">
        <v>38025</v>
      </c>
      <c r="J265">
        <v>250000</v>
      </c>
      <c r="K265">
        <v>0</v>
      </c>
      <c r="L265">
        <v>716575</v>
      </c>
    </row>
    <row r="266" spans="1:12" x14ac:dyDescent="0.35">
      <c r="A266" t="str">
        <v>ANCHELO JAVIER TORRES NAVARRO</v>
      </c>
      <c r="B266" t="str">
        <v>13.802.507-1</v>
      </c>
      <c r="C266" t="str">
        <v>Ayudante de Perforista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</row>
    <row r="267" spans="1:12" x14ac:dyDescent="0.35">
      <c r="A267" t="str">
        <v>ANGELO IGNACIO GOMEZ PIZARRO</v>
      </c>
      <c r="B267" t="str">
        <v>19.662.155-5</v>
      </c>
      <c r="C267" t="str">
        <v>Ayudante de Perforista</v>
      </c>
      <c r="D267">
        <v>21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</row>
    <row r="268" spans="1:12" x14ac:dyDescent="0.35">
      <c r="A268" t="str">
        <v>RODRIGO ALEJANDRO AVILES VERGARA</v>
      </c>
      <c r="B268" t="str">
        <v>15.232.639-4</v>
      </c>
      <c r="C268" t="str">
        <v>Perforista</v>
      </c>
      <c r="D268">
        <v>11</v>
      </c>
      <c r="E268">
        <v>309</v>
      </c>
      <c r="F268">
        <v>120</v>
      </c>
      <c r="G268">
        <v>144600</v>
      </c>
      <c r="H268">
        <v>0</v>
      </c>
      <c r="I268">
        <v>8400</v>
      </c>
      <c r="J268">
        <v>0</v>
      </c>
      <c r="K268">
        <v>0</v>
      </c>
      <c r="L268">
        <v>153000</v>
      </c>
    </row>
    <row r="269" spans="1:12" x14ac:dyDescent="0.35">
      <c r="A269" t="str">
        <v>STEPHANIA ANDRES DAHLBOKUM OLIVARES</v>
      </c>
      <c r="B269" t="str">
        <v>16.627.778-7</v>
      </c>
      <c r="C269" t="str">
        <v>Administrativo de Faena</v>
      </c>
      <c r="D269">
        <v>0</v>
      </c>
      <c r="E269">
        <v>0</v>
      </c>
      <c r="F269">
        <v>0</v>
      </c>
      <c r="G269">
        <v>0</v>
      </c>
      <c r="H269">
        <v>602350</v>
      </c>
      <c r="I269">
        <v>0</v>
      </c>
      <c r="J269">
        <v>0</v>
      </c>
      <c r="K269">
        <v>0</v>
      </c>
      <c r="L269">
        <v>0</v>
      </c>
    </row>
    <row r="270" spans="1:12" x14ac:dyDescent="0.35">
      <c r="A270" t="str">
        <v>RAMON ALEJANDRO RIVERA GONZALEZ</v>
      </c>
      <c r="B270" t="str">
        <v>18.219.407-7</v>
      </c>
      <c r="C270" t="str">
        <v>Ayudante Perforista</v>
      </c>
      <c r="D270">
        <v>20</v>
      </c>
      <c r="E270">
        <v>466</v>
      </c>
      <c r="F270">
        <v>211.25</v>
      </c>
      <c r="G270">
        <v>182400</v>
      </c>
      <c r="H270">
        <v>0</v>
      </c>
      <c r="I270">
        <v>6800</v>
      </c>
      <c r="J270">
        <v>0</v>
      </c>
      <c r="K270">
        <v>0</v>
      </c>
      <c r="L270">
        <v>189200</v>
      </c>
    </row>
    <row r="271" spans="1:12" x14ac:dyDescent="0.35">
      <c r="A271" t="str">
        <v>BARBARA ANAIS ASTORGA PINTO</v>
      </c>
      <c r="B271" t="str">
        <v>21.336.141-4</v>
      </c>
      <c r="C271" t="str">
        <v>Administrativo de Faena</v>
      </c>
      <c r="D271">
        <v>0</v>
      </c>
      <c r="E271">
        <v>0</v>
      </c>
      <c r="F271">
        <v>0</v>
      </c>
      <c r="G271">
        <v>0</v>
      </c>
      <c r="H271">
        <v>602350</v>
      </c>
      <c r="I271">
        <v>0</v>
      </c>
      <c r="J271">
        <v>0</v>
      </c>
      <c r="K271">
        <v>0</v>
      </c>
      <c r="L271">
        <v>0</v>
      </c>
    </row>
    <row r="272" spans="1:12" x14ac:dyDescent="0.35">
      <c r="A272" t="str">
        <v>DAVID SEBASTIAN CABALLERO LABARCA</v>
      </c>
      <c r="B272" t="str">
        <v>16.833.300-5</v>
      </c>
      <c r="C272" t="str">
        <v>Ayudante de Perforista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</row>
    <row r="273" spans="1:12" x14ac:dyDescent="0.35">
      <c r="A273" t="str">
        <v>ANDRES ALEJANDRO VALENCIA CAMPOS</v>
      </c>
      <c r="B273" t="str">
        <v>14.903.561-3</v>
      </c>
      <c r="C273" t="str">
        <v>Supervisor de Operaciones</v>
      </c>
      <c r="D273">
        <v>20</v>
      </c>
      <c r="E273">
        <v>0</v>
      </c>
      <c r="F273">
        <v>0</v>
      </c>
      <c r="G273">
        <v>0</v>
      </c>
      <c r="H273">
        <v>602350</v>
      </c>
      <c r="I273">
        <v>0</v>
      </c>
      <c r="J273">
        <v>0</v>
      </c>
      <c r="K273">
        <v>0</v>
      </c>
      <c r="L273">
        <v>602350</v>
      </c>
    </row>
    <row r="274" spans="1:12" x14ac:dyDescent="0.35">
      <c r="A274" t="str">
        <v>VICTOR IGNACIO HENRIQUEZ VARGAS</v>
      </c>
      <c r="B274" t="str">
        <v>19.347.572-8</v>
      </c>
      <c r="C274" t="str">
        <v>Ayudante Perforista</v>
      </c>
      <c r="D274">
        <v>11</v>
      </c>
      <c r="E274">
        <v>360.25</v>
      </c>
      <c r="F274">
        <v>120</v>
      </c>
      <c r="G274">
        <v>260500</v>
      </c>
      <c r="H274">
        <v>0</v>
      </c>
      <c r="I274">
        <v>42875</v>
      </c>
      <c r="J274">
        <v>125000</v>
      </c>
      <c r="K274">
        <v>0</v>
      </c>
      <c r="L274">
        <v>428375</v>
      </c>
    </row>
    <row r="275" spans="1:12" x14ac:dyDescent="0.35">
      <c r="A275" t="str">
        <v>SEBASTIAN ALFONSO PERALTA CORTES</v>
      </c>
      <c r="B275" t="str">
        <v>19.349.419-6</v>
      </c>
      <c r="C275" t="str">
        <v>Ayudante Perforista</v>
      </c>
      <c r="D275">
        <v>11</v>
      </c>
      <c r="E275">
        <v>133.6</v>
      </c>
      <c r="F275">
        <v>120</v>
      </c>
      <c r="G275">
        <v>143325</v>
      </c>
      <c r="H275">
        <v>0</v>
      </c>
      <c r="I275">
        <v>1190</v>
      </c>
      <c r="J275">
        <v>0</v>
      </c>
      <c r="K275">
        <v>0</v>
      </c>
      <c r="L275">
        <v>144515</v>
      </c>
    </row>
    <row r="276" spans="1:12" x14ac:dyDescent="0.35">
      <c r="A276" t="str">
        <v>DANIEL IGNACIO ROJO TORRES</v>
      </c>
      <c r="B276" t="str">
        <v>20.962.133-9</v>
      </c>
      <c r="C276" t="str">
        <v>Ayudante de Perforista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</row>
    <row r="277" spans="1:12" x14ac:dyDescent="0.35">
      <c r="A277" t="str">
        <v>CARLOS JAVIER ALVAREZ RIVERA</v>
      </c>
      <c r="B277" t="str">
        <v>18.710.376-2</v>
      </c>
      <c r="C277" t="str">
        <v>Ayudante Perforista</v>
      </c>
      <c r="D277">
        <v>11</v>
      </c>
      <c r="E277">
        <v>179.05</v>
      </c>
      <c r="F277">
        <v>120</v>
      </c>
      <c r="G277">
        <v>233000</v>
      </c>
      <c r="H277">
        <v>0</v>
      </c>
      <c r="I277">
        <v>3940</v>
      </c>
      <c r="J277">
        <v>125000</v>
      </c>
      <c r="K277">
        <v>0</v>
      </c>
      <c r="L277">
        <v>361940</v>
      </c>
    </row>
    <row r="278" spans="1:12" x14ac:dyDescent="0.35">
      <c r="A278" t="str">
        <v>CRISTIAN GUMERCINDO MUÑOZ PORTILLA</v>
      </c>
      <c r="B278" t="str">
        <v>13.533.794-3</v>
      </c>
      <c r="C278" t="str">
        <v>Soldador</v>
      </c>
      <c r="D278">
        <v>5</v>
      </c>
      <c r="E278">
        <v>0</v>
      </c>
      <c r="F278">
        <v>0</v>
      </c>
      <c r="G278">
        <v>0</v>
      </c>
      <c r="H278">
        <v>100391.67</v>
      </c>
      <c r="I278">
        <v>0</v>
      </c>
      <c r="J278">
        <v>0</v>
      </c>
      <c r="K278">
        <v>0</v>
      </c>
      <c r="L278">
        <v>100391.67</v>
      </c>
    </row>
    <row r="279" spans="1:12" x14ac:dyDescent="0.35">
      <c r="A279" t="str">
        <v>DANIEL ALEJANDRO YAÑEZ VARAS</v>
      </c>
      <c r="B279" t="str">
        <v>16.772.735-2</v>
      </c>
      <c r="C279" t="str">
        <v>Ayudante Perforista</v>
      </c>
      <c r="D279">
        <v>10</v>
      </c>
      <c r="E279">
        <v>141.05000000000001</v>
      </c>
      <c r="F279">
        <v>120</v>
      </c>
      <c r="G279">
        <v>143325</v>
      </c>
      <c r="H279">
        <v>0</v>
      </c>
      <c r="I279">
        <v>4060</v>
      </c>
      <c r="J279">
        <v>0</v>
      </c>
      <c r="K279">
        <v>0</v>
      </c>
      <c r="L279">
        <v>147385</v>
      </c>
    </row>
    <row r="280" spans="1:12" x14ac:dyDescent="0.35">
      <c r="A280" t="str">
        <v>CLAUDIO ANDRES MORALES CASTILLO</v>
      </c>
      <c r="B280" t="str">
        <v>19.349.275-4</v>
      </c>
      <c r="C280" t="str">
        <v>Ayudante de Perforista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</row>
    <row r="281" spans="1:12" x14ac:dyDescent="0.35">
      <c r="A281" t="str">
        <v>FRANCO HERNAN OLIVA CASTILLO</v>
      </c>
      <c r="B281" t="str">
        <v>18.632.466-8</v>
      </c>
      <c r="C281" t="str">
        <v>Ayudante de Perforista</v>
      </c>
      <c r="D281">
        <v>16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</row>
    <row r="282" spans="1:12" x14ac:dyDescent="0.35">
      <c r="A282" t="str">
        <v>ERNESTO RAMIRO VALENCIA CAMPOS</v>
      </c>
      <c r="B282" t="str">
        <v>13.017.660-7</v>
      </c>
      <c r="C282" t="str">
        <v>Perforista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</row>
    <row r="283" spans="1:12" x14ac:dyDescent="0.35">
      <c r="A283" t="str">
        <v>CLAUDIO ANDRES FERNANDEZ CASTILLO</v>
      </c>
      <c r="B283" t="str">
        <v>17.118.820-2</v>
      </c>
      <c r="C283" t="str">
        <v>Administrativo Avanzado</v>
      </c>
      <c r="D283">
        <v>19</v>
      </c>
      <c r="E283">
        <v>0</v>
      </c>
      <c r="F283">
        <v>0</v>
      </c>
      <c r="G283">
        <v>0</v>
      </c>
      <c r="H283">
        <v>381488.33</v>
      </c>
      <c r="I283">
        <v>0</v>
      </c>
      <c r="J283">
        <v>0</v>
      </c>
      <c r="K283">
        <v>0</v>
      </c>
      <c r="L283">
        <v>381488.33</v>
      </c>
    </row>
    <row r="284" spans="1:12" x14ac:dyDescent="0.35">
      <c r="A284" t="str">
        <v>CRISTOFER JESUS MALDONADO MONDACA</v>
      </c>
      <c r="B284" t="str">
        <v>18.633.143-5</v>
      </c>
      <c r="C284" t="str">
        <v>Chofer</v>
      </c>
      <c r="D284">
        <v>7</v>
      </c>
      <c r="E284">
        <v>0</v>
      </c>
      <c r="F284">
        <v>0</v>
      </c>
      <c r="G284">
        <v>0</v>
      </c>
      <c r="H284">
        <v>140548.32999999999</v>
      </c>
      <c r="I284">
        <v>0</v>
      </c>
      <c r="J284">
        <v>0</v>
      </c>
      <c r="K284">
        <v>0</v>
      </c>
      <c r="L284">
        <v>140548.32999999999</v>
      </c>
    </row>
    <row r="285" spans="1:12" x14ac:dyDescent="0.35">
      <c r="A285" t="str">
        <v>GUSTAVO ADOLFO MALDONADO OLIVARES</v>
      </c>
      <c r="B285" t="str">
        <v>18.139.820-5</v>
      </c>
      <c r="C285" t="str">
        <v>Ayudante de Perforista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</row>
    <row r="286" spans="1:12" x14ac:dyDescent="0.35">
      <c r="A286" t="str">
        <v>FELIPE ANTONIO CARMONA LEITON</v>
      </c>
      <c r="B286" t="str">
        <v>20.457.549-5</v>
      </c>
      <c r="C286" t="str">
        <v>Mecánico</v>
      </c>
      <c r="D286">
        <v>1</v>
      </c>
      <c r="E286">
        <v>0</v>
      </c>
      <c r="F286">
        <v>0</v>
      </c>
      <c r="G286">
        <v>0</v>
      </c>
      <c r="H286">
        <v>20078.330000000002</v>
      </c>
      <c r="I286">
        <v>0</v>
      </c>
      <c r="J286">
        <v>0</v>
      </c>
      <c r="K286">
        <v>0</v>
      </c>
      <c r="L286">
        <v>20078.330000000002</v>
      </c>
    </row>
    <row r="287" spans="1:12" x14ac:dyDescent="0.35">
      <c r="A287" t="str">
        <v>FELIX JOEL CASTILLO VALDIVIA</v>
      </c>
      <c r="B287" t="str">
        <v>16.581.787-7</v>
      </c>
      <c r="C287" t="str">
        <v>Soldador</v>
      </c>
      <c r="D287">
        <v>1</v>
      </c>
      <c r="E287">
        <v>0</v>
      </c>
      <c r="F287">
        <v>0</v>
      </c>
      <c r="G287">
        <v>0</v>
      </c>
      <c r="H287">
        <v>20078.330000000002</v>
      </c>
      <c r="I287">
        <v>0</v>
      </c>
      <c r="J287">
        <v>0</v>
      </c>
      <c r="K287">
        <v>0</v>
      </c>
      <c r="L287">
        <v>20078.330000000002</v>
      </c>
    </row>
    <row r="288" spans="1:12" x14ac:dyDescent="0.35">
      <c r="A288" t="str">
        <v>JUAN IGNACIO CORTES GONZALEZ</v>
      </c>
      <c r="B288" t="str">
        <v>17.629.034-K</v>
      </c>
      <c r="C288" t="str">
        <v>Perforista</v>
      </c>
      <c r="D288">
        <v>20</v>
      </c>
      <c r="E288">
        <v>253.5</v>
      </c>
      <c r="F288">
        <v>180</v>
      </c>
      <c r="G288">
        <v>416025</v>
      </c>
      <c r="H288">
        <v>0</v>
      </c>
      <c r="I288">
        <v>29025</v>
      </c>
      <c r="J288">
        <v>250000</v>
      </c>
      <c r="K288">
        <v>0</v>
      </c>
      <c r="L288">
        <v>695050</v>
      </c>
    </row>
    <row r="289" spans="1:12" x14ac:dyDescent="0.35">
      <c r="A289" t="str">
        <v>MANUEL ANTONIO ESCALONA VERA</v>
      </c>
      <c r="B289" t="str">
        <v>16.280.454-5</v>
      </c>
      <c r="C289" t="str">
        <v>Perforista</v>
      </c>
      <c r="D289">
        <v>19</v>
      </c>
      <c r="E289">
        <v>253.5</v>
      </c>
      <c r="F289">
        <v>180</v>
      </c>
      <c r="G289">
        <v>416025</v>
      </c>
      <c r="H289">
        <v>0</v>
      </c>
      <c r="I289">
        <v>29025</v>
      </c>
      <c r="J289">
        <v>250000</v>
      </c>
      <c r="K289">
        <v>0</v>
      </c>
      <c r="L289">
        <v>695050</v>
      </c>
    </row>
    <row r="290" spans="1:12" x14ac:dyDescent="0.35">
      <c r="A290" t="str">
        <v>KAREN ANDREA VIGORENA DUARTE</v>
      </c>
      <c r="B290" t="str">
        <v>15.050.618-2</v>
      </c>
      <c r="C290" t="str">
        <v>Administrativo de Faena</v>
      </c>
      <c r="D290">
        <v>0</v>
      </c>
      <c r="E290">
        <v>0</v>
      </c>
      <c r="F290">
        <v>0</v>
      </c>
      <c r="G290">
        <v>0</v>
      </c>
      <c r="H290">
        <v>602350</v>
      </c>
      <c r="I290">
        <v>0</v>
      </c>
      <c r="J290">
        <v>0</v>
      </c>
      <c r="K290">
        <v>0</v>
      </c>
      <c r="L290">
        <v>0</v>
      </c>
    </row>
    <row r="291" spans="1:12" x14ac:dyDescent="0.35">
      <c r="A291" t="str">
        <v>LUIS GERARDO LOPEZ OLAVE</v>
      </c>
      <c r="B291" t="str">
        <v>17.169.171-0</v>
      </c>
      <c r="C291" t="str">
        <v>Mecánico Líder</v>
      </c>
      <c r="D291">
        <v>17</v>
      </c>
      <c r="E291">
        <v>0</v>
      </c>
      <c r="F291">
        <v>0</v>
      </c>
      <c r="G291">
        <v>0</v>
      </c>
      <c r="H291">
        <v>511997.5</v>
      </c>
      <c r="I291">
        <v>0</v>
      </c>
      <c r="J291">
        <v>0</v>
      </c>
      <c r="K291">
        <v>0</v>
      </c>
      <c r="L291">
        <v>511997.5</v>
      </c>
    </row>
    <row r="292" spans="1:12" x14ac:dyDescent="0.35">
      <c r="A292" t="str">
        <v>LEANDRO RUBEN BOSSA ZAMORANO</v>
      </c>
      <c r="B292" t="str">
        <v>16.491.212-4</v>
      </c>
      <c r="C292" t="str">
        <v>Supervisor de Operaciones</v>
      </c>
      <c r="D292">
        <v>13</v>
      </c>
      <c r="E292">
        <v>0</v>
      </c>
      <c r="F292">
        <v>0</v>
      </c>
      <c r="G292">
        <v>0</v>
      </c>
      <c r="H292">
        <v>391527.5</v>
      </c>
      <c r="I292">
        <v>0</v>
      </c>
      <c r="J292">
        <v>0</v>
      </c>
      <c r="K292">
        <v>0</v>
      </c>
      <c r="L292">
        <v>391527.5</v>
      </c>
    </row>
    <row r="293" spans="1:12" x14ac:dyDescent="0.35">
      <c r="A293" t="str">
        <v>LUIS DAVID LORCA SANCHEZ</v>
      </c>
      <c r="B293" t="str">
        <v>18.688.482-5</v>
      </c>
      <c r="C293" t="str">
        <v>Prevencionista de Riesgos</v>
      </c>
      <c r="D293">
        <v>10</v>
      </c>
      <c r="E293">
        <v>0</v>
      </c>
      <c r="F293">
        <v>0</v>
      </c>
      <c r="G293">
        <v>0</v>
      </c>
      <c r="H293">
        <v>301175</v>
      </c>
      <c r="I293">
        <v>0</v>
      </c>
      <c r="J293">
        <v>0</v>
      </c>
      <c r="K293">
        <v>0</v>
      </c>
      <c r="L293">
        <v>301175</v>
      </c>
    </row>
    <row r="294" spans="1:12" x14ac:dyDescent="0.35">
      <c r="A294" t="str">
        <v>MANUEL SEBASTIAN PAZ CORTES</v>
      </c>
      <c r="B294" t="str">
        <v>17.723.194-0</v>
      </c>
      <c r="C294" t="str">
        <v>Ayudante de Perforista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</row>
    <row r="295" spans="1:12" x14ac:dyDescent="0.35">
      <c r="A295" t="str">
        <v>WILLIAMS RENAN ASTROZA INOSTROZA</v>
      </c>
      <c r="B295" t="str">
        <v>10.997.323-8</v>
      </c>
      <c r="C295" t="str">
        <v>Chofer</v>
      </c>
      <c r="D295">
        <v>19</v>
      </c>
      <c r="E295">
        <v>0</v>
      </c>
      <c r="F295">
        <v>0</v>
      </c>
      <c r="G295">
        <v>0</v>
      </c>
      <c r="H295">
        <v>381488.33</v>
      </c>
      <c r="I295">
        <v>0</v>
      </c>
      <c r="J295">
        <v>0</v>
      </c>
      <c r="K295">
        <v>0</v>
      </c>
      <c r="L295">
        <v>381488.33</v>
      </c>
    </row>
    <row r="296" spans="1:12" x14ac:dyDescent="0.35">
      <c r="A296" t="str">
        <v>RODRIGO FERNANDO ALFARO VEAS</v>
      </c>
      <c r="B296" t="str">
        <v>12.219.201-6</v>
      </c>
      <c r="C296" t="str">
        <v>Líder de Prevención</v>
      </c>
      <c r="D296">
        <v>15</v>
      </c>
      <c r="E296">
        <v>0</v>
      </c>
      <c r="F296">
        <v>0</v>
      </c>
      <c r="G296">
        <v>0</v>
      </c>
      <c r="H296">
        <v>451762.5</v>
      </c>
      <c r="I296">
        <v>0</v>
      </c>
      <c r="J296">
        <v>0</v>
      </c>
      <c r="K296">
        <v>0</v>
      </c>
      <c r="L296">
        <v>451762.5</v>
      </c>
    </row>
    <row r="297" spans="1:12" x14ac:dyDescent="0.35">
      <c r="A297" t="str">
        <v>VICTOR IGNACIO PEREZ LORCA</v>
      </c>
      <c r="B297" t="str">
        <v>21.303.273-9</v>
      </c>
      <c r="C297" t="str">
        <v>Ayudante Perforista</v>
      </c>
      <c r="D297">
        <v>11</v>
      </c>
      <c r="E297">
        <v>194.2</v>
      </c>
      <c r="F297">
        <v>120</v>
      </c>
      <c r="G297">
        <v>96325</v>
      </c>
      <c r="H297">
        <v>0</v>
      </c>
      <c r="I297">
        <v>4600</v>
      </c>
      <c r="J297">
        <v>0</v>
      </c>
      <c r="K297">
        <v>0</v>
      </c>
      <c r="L297">
        <v>100925</v>
      </c>
    </row>
    <row r="298" spans="1:12" x14ac:dyDescent="0.35">
      <c r="A298" t="str">
        <v>RODRIGO ARMANDO FERNANDEZ BRICEÑO</v>
      </c>
      <c r="B298" t="str">
        <v>16.058.317-7</v>
      </c>
      <c r="C298" t="str">
        <v>Ayudante Perforista</v>
      </c>
      <c r="D298">
        <v>10</v>
      </c>
      <c r="E298">
        <v>169.45</v>
      </c>
      <c r="F298">
        <v>120</v>
      </c>
      <c r="G298">
        <v>102325</v>
      </c>
      <c r="H298">
        <v>0</v>
      </c>
      <c r="I298">
        <v>2800</v>
      </c>
      <c r="J298">
        <v>0</v>
      </c>
      <c r="K298">
        <v>0</v>
      </c>
      <c r="L298">
        <v>105125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0A8FF0-15BD-4FD8-AD2A-B22069B1E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comparisons_batches-3_2026-10-2</vt:lpstr>
      <vt:lpstr>Planilla</vt:lpstr>
      <vt:lpstr>Workera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Info-Tech</dc:creator>
  <cp:lastModifiedBy>Jitendra Khatri | Recon Drilling</cp:lastModifiedBy>
  <dcterms:created xsi:type="dcterms:W3CDTF">2026-10-22T14:26:56Z</dcterms:created>
  <dcterms:modified xsi:type="dcterms:W3CDTF">2026-10-22T20:53:15Z</dcterms:modified>
</cp:coreProperties>
</file>