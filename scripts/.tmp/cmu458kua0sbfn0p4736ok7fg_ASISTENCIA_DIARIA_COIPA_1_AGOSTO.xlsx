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persons/person.xml" ContentType="application/vnd.ms-excel.person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eodrillint-my.sharepoint.com/personal/adminlacoipa_recondrilling_com/Documents/Escritorio/ASISTENCIA/ASISTENCIA COIPA I/PLANILLA DIARIA ASISTENCIA/AGOSTO 2026/"/>
    </mc:Choice>
  </mc:AlternateContent>
  <xr:revisionPtr revIDLastSave="106" documentId="8_{3C33CA27-60BE-4938-9045-08CB1147C059}" xr6:coauthVersionLast="47" xr6:coauthVersionMax="47" xr10:uidLastSave="{A6C84D33-B6AA-49E9-B10C-75AFC87F769C}"/>
  <bookViews>
    <workbookView xWindow="-108" yWindow="-108" windowWidth="23256" windowHeight="12456" tabRatio="500" xr2:uid="{00000000-000D-0000-FFFF-FFFF00000000}"/>
  </bookViews>
  <sheets>
    <sheet name="01-08-2026" sheetId="1" r:id="rId1"/>
    <sheet name="02-08-2026" sheetId="2" r:id="rId2"/>
    <sheet name="03-08-2026" sheetId="3" r:id="rId3"/>
    <sheet name="04-08-2026" sheetId="4" r:id="rId4"/>
    <sheet name="05-08-2026" sheetId="5" r:id="rId5"/>
    <sheet name="06-08-2026" sheetId="6" r:id="rId6"/>
    <sheet name="07-08-2026" sheetId="7" r:id="rId7"/>
    <sheet name="08-08-2026" sheetId="8" r:id="rId8"/>
    <sheet name="09-08-2026" sheetId="9" r:id="rId9"/>
    <sheet name="10-08-2026" sheetId="10" r:id="rId10"/>
    <sheet name="11-08-2026" sheetId="11" r:id="rId11"/>
    <sheet name="12-08-2026" sheetId="12" r:id="rId12"/>
    <sheet name="13-08-2026" sheetId="13" r:id="rId13"/>
    <sheet name="14-08-2026" sheetId="14" r:id="rId14"/>
    <sheet name="15-08-2026" sheetId="15" r:id="rId15"/>
    <sheet name="16-08-2026" sheetId="16" r:id="rId16"/>
    <sheet name="17-08-2026" sheetId="17" r:id="rId17"/>
    <sheet name="18-08-2026" sheetId="18" r:id="rId18"/>
    <sheet name="19-08-2026" sheetId="19" r:id="rId19"/>
    <sheet name="20-08-2026" sheetId="20" r:id="rId20"/>
    <sheet name="21-08-2026" sheetId="21" r:id="rId21"/>
    <sheet name="22-08-2026" sheetId="22" r:id="rId22"/>
    <sheet name="23-08-2026" sheetId="23" r:id="rId23"/>
    <sheet name="24-08-2026" sheetId="24" r:id="rId24"/>
    <sheet name="25-08-2026" sheetId="25" r:id="rId25"/>
    <sheet name="26-08-2026" sheetId="26" r:id="rId26"/>
    <sheet name="27-08-2026" sheetId="27" r:id="rId27"/>
    <sheet name="28-08-2026" sheetId="28" r:id="rId28"/>
    <sheet name="29-08-2026" sheetId="29" r:id="rId29"/>
    <sheet name="30-08-2026" sheetId="30" r:id="rId30"/>
    <sheet name="31-08-2026" sheetId="31" r:id="rId31"/>
    <sheet name="Dotación" sheetId="32" r:id="rId32"/>
    <sheet name="Marcación Workera" sheetId="33" r:id="rId33"/>
    <sheet name="Ayuda Workera" sheetId="34" r:id="rId34"/>
    <sheet name="Hoja1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04" i="34" l="1"/>
  <c r="B3004" i="34"/>
  <c r="C3003" i="34"/>
  <c r="B3003" i="34"/>
  <c r="C3002" i="34"/>
  <c r="B3002" i="34"/>
  <c r="C3001" i="34"/>
  <c r="B3001" i="34"/>
  <c r="C3000" i="34"/>
  <c r="B3000" i="34"/>
  <c r="C2999" i="34"/>
  <c r="B2999" i="34"/>
  <c r="C2998" i="34"/>
  <c r="B2998" i="34"/>
  <c r="C2997" i="34"/>
  <c r="B2997" i="34"/>
  <c r="C2996" i="34"/>
  <c r="B2996" i="34"/>
  <c r="C2995" i="34"/>
  <c r="B2995" i="34"/>
  <c r="C2994" i="34"/>
  <c r="B2994" i="34"/>
  <c r="C2993" i="34"/>
  <c r="B2993" i="34"/>
  <c r="C2992" i="34"/>
  <c r="B2992" i="34"/>
  <c r="C2991" i="34"/>
  <c r="B2991" i="34"/>
  <c r="C2990" i="34"/>
  <c r="B2990" i="34"/>
  <c r="C2989" i="34"/>
  <c r="B2989" i="34"/>
  <c r="C2988" i="34"/>
  <c r="B2988" i="34"/>
  <c r="C2987" i="34"/>
  <c r="B2987" i="34"/>
  <c r="C2986" i="34"/>
  <c r="B2986" i="34"/>
  <c r="C2985" i="34"/>
  <c r="B2985" i="34"/>
  <c r="C2984" i="34"/>
  <c r="B2984" i="34"/>
  <c r="C2983" i="34"/>
  <c r="B2983" i="34"/>
  <c r="C2982" i="34"/>
  <c r="B2982" i="34"/>
  <c r="C2981" i="34"/>
  <c r="B2981" i="34"/>
  <c r="C2980" i="34"/>
  <c r="B2980" i="34"/>
  <c r="C2979" i="34"/>
  <c r="B2979" i="34"/>
  <c r="C2978" i="34"/>
  <c r="B2978" i="34"/>
  <c r="C2977" i="34"/>
  <c r="B2977" i="34"/>
  <c r="C2976" i="34"/>
  <c r="B2976" i="34"/>
  <c r="C2975" i="34"/>
  <c r="B2975" i="34"/>
  <c r="C2974" i="34"/>
  <c r="B2974" i="34"/>
  <c r="C2973" i="34"/>
  <c r="B2973" i="34"/>
  <c r="C2972" i="34"/>
  <c r="B2972" i="34"/>
  <c r="C2971" i="34"/>
  <c r="B2971" i="34"/>
  <c r="C2970" i="34"/>
  <c r="B2970" i="34"/>
  <c r="C2969" i="34"/>
  <c r="B2969" i="34"/>
  <c r="C2968" i="34"/>
  <c r="B2968" i="34"/>
  <c r="C2967" i="34"/>
  <c r="B2967" i="34"/>
  <c r="C2966" i="34"/>
  <c r="B2966" i="34"/>
  <c r="C2965" i="34"/>
  <c r="B2965" i="34"/>
  <c r="C2964" i="34"/>
  <c r="B2964" i="34"/>
  <c r="C2963" i="34"/>
  <c r="B2963" i="34"/>
  <c r="C2962" i="34"/>
  <c r="B2962" i="34"/>
  <c r="C2961" i="34"/>
  <c r="B2961" i="34"/>
  <c r="C2960" i="34"/>
  <c r="B2960" i="34"/>
  <c r="C2959" i="34"/>
  <c r="B2959" i="34"/>
  <c r="C2958" i="34"/>
  <c r="B2958" i="34"/>
  <c r="C2957" i="34"/>
  <c r="B2957" i="34"/>
  <c r="C2956" i="34"/>
  <c r="B2956" i="34"/>
  <c r="C2955" i="34"/>
  <c r="B2955" i="34"/>
  <c r="C2954" i="34"/>
  <c r="B2954" i="34"/>
  <c r="C2953" i="34"/>
  <c r="B2953" i="34"/>
  <c r="C2952" i="34"/>
  <c r="B2952" i="34"/>
  <c r="C2951" i="34"/>
  <c r="B2951" i="34"/>
  <c r="C2950" i="34"/>
  <c r="B2950" i="34"/>
  <c r="C2949" i="34"/>
  <c r="B2949" i="34"/>
  <c r="C2948" i="34"/>
  <c r="B2948" i="34"/>
  <c r="C2947" i="34"/>
  <c r="B2947" i="34"/>
  <c r="C2946" i="34"/>
  <c r="B2946" i="34"/>
  <c r="C2945" i="34"/>
  <c r="B2945" i="34"/>
  <c r="C2944" i="34"/>
  <c r="B2944" i="34"/>
  <c r="C2943" i="34"/>
  <c r="B2943" i="34"/>
  <c r="C2942" i="34"/>
  <c r="B2942" i="34"/>
  <c r="C2941" i="34"/>
  <c r="B2941" i="34"/>
  <c r="C2940" i="34"/>
  <c r="B2940" i="34"/>
  <c r="C2939" i="34"/>
  <c r="B2939" i="34"/>
  <c r="C2938" i="34"/>
  <c r="B2938" i="34"/>
  <c r="C2937" i="34"/>
  <c r="B2937" i="34"/>
  <c r="C2936" i="34"/>
  <c r="B2936" i="34"/>
  <c r="C2935" i="34"/>
  <c r="B2935" i="34"/>
  <c r="C2934" i="34"/>
  <c r="B2934" i="34"/>
  <c r="C2933" i="34"/>
  <c r="B2933" i="34"/>
  <c r="C2932" i="34"/>
  <c r="B2932" i="34"/>
  <c r="C2931" i="34"/>
  <c r="B2931" i="34"/>
  <c r="C2930" i="34"/>
  <c r="B2930" i="34"/>
  <c r="C2929" i="34"/>
  <c r="B2929" i="34"/>
  <c r="C2928" i="34"/>
  <c r="B2928" i="34"/>
  <c r="C2927" i="34"/>
  <c r="B2927" i="34"/>
  <c r="C2926" i="34"/>
  <c r="B2926" i="34"/>
  <c r="C2925" i="34"/>
  <c r="B2925" i="34"/>
  <c r="C2924" i="34"/>
  <c r="B2924" i="34"/>
  <c r="C2923" i="34"/>
  <c r="B2923" i="34"/>
  <c r="C2922" i="34"/>
  <c r="B2922" i="34"/>
  <c r="C2921" i="34"/>
  <c r="B2921" i="34"/>
  <c r="C2920" i="34"/>
  <c r="B2920" i="34"/>
  <c r="C2919" i="34"/>
  <c r="B2919" i="34"/>
  <c r="C2918" i="34"/>
  <c r="B2918" i="34"/>
  <c r="C2917" i="34"/>
  <c r="B2917" i="34"/>
  <c r="C2916" i="34"/>
  <c r="B2916" i="34"/>
  <c r="C2915" i="34"/>
  <c r="B2915" i="34"/>
  <c r="C2914" i="34"/>
  <c r="B2914" i="34"/>
  <c r="C2913" i="34"/>
  <c r="B2913" i="34"/>
  <c r="C2912" i="34"/>
  <c r="B2912" i="34"/>
  <c r="C2911" i="34"/>
  <c r="B2911" i="34"/>
  <c r="C2910" i="34"/>
  <c r="B2910" i="34"/>
  <c r="C2909" i="34"/>
  <c r="B2909" i="34"/>
  <c r="C2908" i="34"/>
  <c r="B2908" i="34"/>
  <c r="C2907" i="34"/>
  <c r="B2907" i="34"/>
  <c r="C2906" i="34"/>
  <c r="B2906" i="34"/>
  <c r="C2905" i="34"/>
  <c r="B2905" i="34"/>
  <c r="C2904" i="34"/>
  <c r="B2904" i="34"/>
  <c r="C2903" i="34"/>
  <c r="B2903" i="34"/>
  <c r="C2902" i="34"/>
  <c r="B2902" i="34"/>
  <c r="C2901" i="34"/>
  <c r="B2901" i="34"/>
  <c r="C2900" i="34"/>
  <c r="B2900" i="34"/>
  <c r="C2899" i="34"/>
  <c r="B2899" i="34"/>
  <c r="C2898" i="34"/>
  <c r="B2898" i="34"/>
  <c r="C2897" i="34"/>
  <c r="B2897" i="34"/>
  <c r="C2896" i="34"/>
  <c r="B2896" i="34"/>
  <c r="C2895" i="34"/>
  <c r="B2895" i="34"/>
  <c r="C2894" i="34"/>
  <c r="B2894" i="34"/>
  <c r="C2893" i="34"/>
  <c r="B2893" i="34"/>
  <c r="C2892" i="34"/>
  <c r="B2892" i="34"/>
  <c r="C2891" i="34"/>
  <c r="B2891" i="34"/>
  <c r="C2890" i="34"/>
  <c r="B2890" i="34"/>
  <c r="C2889" i="34"/>
  <c r="B2889" i="34"/>
  <c r="C2888" i="34"/>
  <c r="B2888" i="34"/>
  <c r="C2887" i="34"/>
  <c r="B2887" i="34"/>
  <c r="C2886" i="34"/>
  <c r="B2886" i="34"/>
  <c r="C2885" i="34"/>
  <c r="B2885" i="34"/>
  <c r="C2884" i="34"/>
  <c r="B2884" i="34"/>
  <c r="C2883" i="34"/>
  <c r="B2883" i="34"/>
  <c r="C2882" i="34"/>
  <c r="B2882" i="34"/>
  <c r="C2881" i="34"/>
  <c r="B2881" i="34"/>
  <c r="C2880" i="34"/>
  <c r="B2880" i="34"/>
  <c r="C2879" i="34"/>
  <c r="B2879" i="34"/>
  <c r="C2878" i="34"/>
  <c r="B2878" i="34"/>
  <c r="C2877" i="34"/>
  <c r="B2877" i="34"/>
  <c r="C2876" i="34"/>
  <c r="B2876" i="34"/>
  <c r="C2875" i="34"/>
  <c r="B2875" i="34"/>
  <c r="C2874" i="34"/>
  <c r="B2874" i="34"/>
  <c r="C2873" i="34"/>
  <c r="B2873" i="34"/>
  <c r="C2872" i="34"/>
  <c r="B2872" i="34"/>
  <c r="C2871" i="34"/>
  <c r="B2871" i="34"/>
  <c r="C2870" i="34"/>
  <c r="B2870" i="34"/>
  <c r="C2869" i="34"/>
  <c r="B2869" i="34"/>
  <c r="C2868" i="34"/>
  <c r="B2868" i="34"/>
  <c r="C2867" i="34"/>
  <c r="B2867" i="34"/>
  <c r="C2866" i="34"/>
  <c r="B2866" i="34"/>
  <c r="C2865" i="34"/>
  <c r="B2865" i="34"/>
  <c r="C2864" i="34"/>
  <c r="B2864" i="34"/>
  <c r="C2863" i="34"/>
  <c r="B2863" i="34"/>
  <c r="C2862" i="34"/>
  <c r="B2862" i="34"/>
  <c r="C2861" i="34"/>
  <c r="B2861" i="34"/>
  <c r="C2860" i="34"/>
  <c r="B2860" i="34"/>
  <c r="C2859" i="34"/>
  <c r="B2859" i="34"/>
  <c r="C2858" i="34"/>
  <c r="B2858" i="34"/>
  <c r="C2857" i="34"/>
  <c r="B2857" i="34"/>
  <c r="C2856" i="34"/>
  <c r="B2856" i="34"/>
  <c r="C2855" i="34"/>
  <c r="B2855" i="34"/>
  <c r="C2854" i="34"/>
  <c r="B2854" i="34"/>
  <c r="C2853" i="34"/>
  <c r="B2853" i="34"/>
  <c r="C2852" i="34"/>
  <c r="B2852" i="34"/>
  <c r="C2851" i="34"/>
  <c r="B2851" i="34"/>
  <c r="C2850" i="34"/>
  <c r="B2850" i="34"/>
  <c r="C2849" i="34"/>
  <c r="B2849" i="34"/>
  <c r="C2848" i="34"/>
  <c r="B2848" i="34"/>
  <c r="C2847" i="34"/>
  <c r="B2847" i="34"/>
  <c r="C2846" i="34"/>
  <c r="B2846" i="34"/>
  <c r="C2845" i="34"/>
  <c r="B2845" i="34"/>
  <c r="C2844" i="34"/>
  <c r="B2844" i="34"/>
  <c r="C2843" i="34"/>
  <c r="B2843" i="34"/>
  <c r="C2842" i="34"/>
  <c r="B2842" i="34"/>
  <c r="C2841" i="34"/>
  <c r="B2841" i="34"/>
  <c r="C2840" i="34"/>
  <c r="B2840" i="34"/>
  <c r="C2839" i="34"/>
  <c r="B2839" i="34"/>
  <c r="C2838" i="34"/>
  <c r="B2838" i="34"/>
  <c r="C2837" i="34"/>
  <c r="B2837" i="34"/>
  <c r="C2836" i="34"/>
  <c r="B2836" i="34"/>
  <c r="C2835" i="34"/>
  <c r="B2835" i="34"/>
  <c r="C2834" i="34"/>
  <c r="B2834" i="34"/>
  <c r="C2833" i="34"/>
  <c r="B2833" i="34"/>
  <c r="C2832" i="34"/>
  <c r="B2832" i="34"/>
  <c r="C2831" i="34"/>
  <c r="B2831" i="34"/>
  <c r="C2830" i="34"/>
  <c r="B2830" i="34"/>
  <c r="C2829" i="34"/>
  <c r="B2829" i="34"/>
  <c r="C2828" i="34"/>
  <c r="B2828" i="34"/>
  <c r="C2827" i="34"/>
  <c r="B2827" i="34"/>
  <c r="C2826" i="34"/>
  <c r="B2826" i="34"/>
  <c r="C2825" i="34"/>
  <c r="B2825" i="34"/>
  <c r="C2824" i="34"/>
  <c r="B2824" i="34"/>
  <c r="C2823" i="34"/>
  <c r="B2823" i="34"/>
  <c r="C2822" i="34"/>
  <c r="B2822" i="34"/>
  <c r="C2821" i="34"/>
  <c r="B2821" i="34"/>
  <c r="C2820" i="34"/>
  <c r="B2820" i="34"/>
  <c r="C2819" i="34"/>
  <c r="B2819" i="34"/>
  <c r="C2818" i="34"/>
  <c r="B2818" i="34"/>
  <c r="C2817" i="34"/>
  <c r="B2817" i="34"/>
  <c r="C2816" i="34"/>
  <c r="B2816" i="34"/>
  <c r="C2815" i="34"/>
  <c r="B2815" i="34"/>
  <c r="C2814" i="34"/>
  <c r="B2814" i="34"/>
  <c r="C2813" i="34"/>
  <c r="B2813" i="34"/>
  <c r="C2812" i="34"/>
  <c r="B2812" i="34"/>
  <c r="C2811" i="34"/>
  <c r="B2811" i="34"/>
  <c r="C2810" i="34"/>
  <c r="B2810" i="34"/>
  <c r="C2809" i="34"/>
  <c r="B2809" i="34"/>
  <c r="C2808" i="34"/>
  <c r="B2808" i="34"/>
  <c r="C2807" i="34"/>
  <c r="B2807" i="34"/>
  <c r="C2806" i="34"/>
  <c r="B2806" i="34"/>
  <c r="C2805" i="34"/>
  <c r="B2805" i="34"/>
  <c r="C2804" i="34"/>
  <c r="B2804" i="34"/>
  <c r="C2803" i="34"/>
  <c r="B2803" i="34"/>
  <c r="C2802" i="34"/>
  <c r="B2802" i="34"/>
  <c r="C2801" i="34"/>
  <c r="B2801" i="34"/>
  <c r="C2800" i="34"/>
  <c r="B2800" i="34"/>
  <c r="C2799" i="34"/>
  <c r="B2799" i="34"/>
  <c r="C2798" i="34"/>
  <c r="B2798" i="34"/>
  <c r="C2797" i="34"/>
  <c r="B2797" i="34"/>
  <c r="C2796" i="34"/>
  <c r="B2796" i="34"/>
  <c r="C2795" i="34"/>
  <c r="B2795" i="34"/>
  <c r="C2794" i="34"/>
  <c r="B2794" i="34"/>
  <c r="C2793" i="34"/>
  <c r="B2793" i="34"/>
  <c r="C2792" i="34"/>
  <c r="B2792" i="34"/>
  <c r="C2791" i="34"/>
  <c r="B2791" i="34"/>
  <c r="C2790" i="34"/>
  <c r="B2790" i="34"/>
  <c r="C2789" i="34"/>
  <c r="B2789" i="34"/>
  <c r="C2788" i="34"/>
  <c r="B2788" i="34"/>
  <c r="C2787" i="34"/>
  <c r="B2787" i="34"/>
  <c r="C2786" i="34"/>
  <c r="B2786" i="34"/>
  <c r="C2785" i="34"/>
  <c r="B2785" i="34"/>
  <c r="C2784" i="34"/>
  <c r="B2784" i="34"/>
  <c r="C2783" i="34"/>
  <c r="B2783" i="34"/>
  <c r="C2782" i="34"/>
  <c r="B2782" i="34"/>
  <c r="C2781" i="34"/>
  <c r="B2781" i="34"/>
  <c r="C2780" i="34"/>
  <c r="B2780" i="34"/>
  <c r="C2779" i="34"/>
  <c r="B2779" i="34"/>
  <c r="C2778" i="34"/>
  <c r="B2778" i="34"/>
  <c r="C2777" i="34"/>
  <c r="B2777" i="34"/>
  <c r="C2776" i="34"/>
  <c r="B2776" i="34"/>
  <c r="C2775" i="34"/>
  <c r="B2775" i="34"/>
  <c r="C2774" i="34"/>
  <c r="B2774" i="34"/>
  <c r="C2773" i="34"/>
  <c r="B2773" i="34"/>
  <c r="C2772" i="34"/>
  <c r="B2772" i="34"/>
  <c r="C2771" i="34"/>
  <c r="B2771" i="34"/>
  <c r="C2770" i="34"/>
  <c r="B2770" i="34"/>
  <c r="C2769" i="34"/>
  <c r="B2769" i="34"/>
  <c r="C2768" i="34"/>
  <c r="B2768" i="34"/>
  <c r="C2767" i="34"/>
  <c r="B2767" i="34"/>
  <c r="C2766" i="34"/>
  <c r="B2766" i="34"/>
  <c r="C2765" i="34"/>
  <c r="B2765" i="34"/>
  <c r="C2764" i="34"/>
  <c r="B2764" i="34"/>
  <c r="C2763" i="34"/>
  <c r="B2763" i="34"/>
  <c r="C2762" i="34"/>
  <c r="B2762" i="34"/>
  <c r="C2761" i="34"/>
  <c r="B2761" i="34"/>
  <c r="C2760" i="34"/>
  <c r="B2760" i="34"/>
  <c r="C2759" i="34"/>
  <c r="B2759" i="34"/>
  <c r="C2758" i="34"/>
  <c r="B2758" i="34"/>
  <c r="C2757" i="34"/>
  <c r="B2757" i="34"/>
  <c r="C2756" i="34"/>
  <c r="B2756" i="34"/>
  <c r="C2755" i="34"/>
  <c r="B2755" i="34"/>
  <c r="C2754" i="34"/>
  <c r="B2754" i="34"/>
  <c r="C2753" i="34"/>
  <c r="B2753" i="34"/>
  <c r="C2752" i="34"/>
  <c r="B2752" i="34"/>
  <c r="C2751" i="34"/>
  <c r="B2751" i="34"/>
  <c r="C2750" i="34"/>
  <c r="B2750" i="34"/>
  <c r="C2749" i="34"/>
  <c r="B2749" i="34"/>
  <c r="C2748" i="34"/>
  <c r="B2748" i="34"/>
  <c r="C2747" i="34"/>
  <c r="B2747" i="34"/>
  <c r="C2746" i="34"/>
  <c r="B2746" i="34"/>
  <c r="C2745" i="34"/>
  <c r="B2745" i="34"/>
  <c r="C2744" i="34"/>
  <c r="B2744" i="34"/>
  <c r="C2743" i="34"/>
  <c r="B2743" i="34"/>
  <c r="C2742" i="34"/>
  <c r="B2742" i="34"/>
  <c r="C2741" i="34"/>
  <c r="B2741" i="34"/>
  <c r="C2740" i="34"/>
  <c r="B2740" i="34"/>
  <c r="C2739" i="34"/>
  <c r="B2739" i="34"/>
  <c r="C2738" i="34"/>
  <c r="B2738" i="34"/>
  <c r="C2737" i="34"/>
  <c r="B2737" i="34"/>
  <c r="C2736" i="34"/>
  <c r="B2736" i="34"/>
  <c r="C2735" i="34"/>
  <c r="B2735" i="34"/>
  <c r="C2734" i="34"/>
  <c r="B2734" i="34"/>
  <c r="C2733" i="34"/>
  <c r="B2733" i="34"/>
  <c r="C2732" i="34"/>
  <c r="B2732" i="34"/>
  <c r="C2731" i="34"/>
  <c r="B2731" i="34"/>
  <c r="C2730" i="34"/>
  <c r="B2730" i="34"/>
  <c r="C2729" i="34"/>
  <c r="B2729" i="34"/>
  <c r="C2728" i="34"/>
  <c r="B2728" i="34"/>
  <c r="C2727" i="34"/>
  <c r="B2727" i="34"/>
  <c r="C2726" i="34"/>
  <c r="B2726" i="34"/>
  <c r="C2725" i="34"/>
  <c r="B2725" i="34"/>
  <c r="C2724" i="34"/>
  <c r="B2724" i="34"/>
  <c r="C2723" i="34"/>
  <c r="B2723" i="34"/>
  <c r="C2722" i="34"/>
  <c r="B2722" i="34"/>
  <c r="C2721" i="34"/>
  <c r="B2721" i="34"/>
  <c r="C2720" i="34"/>
  <c r="B2720" i="34"/>
  <c r="C2719" i="34"/>
  <c r="B2719" i="34"/>
  <c r="C2718" i="34"/>
  <c r="B2718" i="34"/>
  <c r="C2717" i="34"/>
  <c r="B2717" i="34"/>
  <c r="C2716" i="34"/>
  <c r="B2716" i="34"/>
  <c r="C2715" i="34"/>
  <c r="B2715" i="34"/>
  <c r="C2714" i="34"/>
  <c r="B2714" i="34"/>
  <c r="C2713" i="34"/>
  <c r="B2713" i="34"/>
  <c r="C2712" i="34"/>
  <c r="B2712" i="34"/>
  <c r="C2711" i="34"/>
  <c r="B2711" i="34"/>
  <c r="C2710" i="34"/>
  <c r="B2710" i="34"/>
  <c r="C2709" i="34"/>
  <c r="B2709" i="34"/>
  <c r="C2708" i="34"/>
  <c r="B2708" i="34"/>
  <c r="C2707" i="34"/>
  <c r="B2707" i="34"/>
  <c r="C2706" i="34"/>
  <c r="B2706" i="34"/>
  <c r="C2705" i="34"/>
  <c r="B2705" i="34"/>
  <c r="C2704" i="34"/>
  <c r="B2704" i="34"/>
  <c r="C2703" i="34"/>
  <c r="B2703" i="34"/>
  <c r="C2702" i="34"/>
  <c r="B2702" i="34"/>
  <c r="C2701" i="34"/>
  <c r="B2701" i="34"/>
  <c r="C2700" i="34"/>
  <c r="B2700" i="34"/>
  <c r="C2699" i="34"/>
  <c r="B2699" i="34"/>
  <c r="C2698" i="34"/>
  <c r="B2698" i="34"/>
  <c r="C2697" i="34"/>
  <c r="B2697" i="34"/>
  <c r="C2696" i="34"/>
  <c r="B2696" i="34"/>
  <c r="C2695" i="34"/>
  <c r="B2695" i="34"/>
  <c r="C2694" i="34"/>
  <c r="B2694" i="34"/>
  <c r="C2693" i="34"/>
  <c r="B2693" i="34"/>
  <c r="C2692" i="34"/>
  <c r="B2692" i="34"/>
  <c r="C2691" i="34"/>
  <c r="B2691" i="34"/>
  <c r="C2690" i="34"/>
  <c r="B2690" i="34"/>
  <c r="C2689" i="34"/>
  <c r="B2689" i="34"/>
  <c r="C2688" i="34"/>
  <c r="B2688" i="34"/>
  <c r="C2687" i="34"/>
  <c r="B2687" i="34"/>
  <c r="C2686" i="34"/>
  <c r="B2686" i="34"/>
  <c r="C2685" i="34"/>
  <c r="B2685" i="34"/>
  <c r="C2684" i="34"/>
  <c r="B2684" i="34"/>
  <c r="C2683" i="34"/>
  <c r="B2683" i="34"/>
  <c r="C2682" i="34"/>
  <c r="B2682" i="34"/>
  <c r="C2681" i="34"/>
  <c r="B2681" i="34"/>
  <c r="C2680" i="34"/>
  <c r="B2680" i="34"/>
  <c r="C2679" i="34"/>
  <c r="B2679" i="34"/>
  <c r="C2678" i="34"/>
  <c r="B2678" i="34"/>
  <c r="C2677" i="34"/>
  <c r="B2677" i="34"/>
  <c r="C2676" i="34"/>
  <c r="B2676" i="34"/>
  <c r="C2675" i="34"/>
  <c r="B2675" i="34"/>
  <c r="C2674" i="34"/>
  <c r="B2674" i="34"/>
  <c r="C2673" i="34"/>
  <c r="B2673" i="34"/>
  <c r="C2672" i="34"/>
  <c r="B2672" i="34"/>
  <c r="C2671" i="34"/>
  <c r="B2671" i="34"/>
  <c r="C2670" i="34"/>
  <c r="B2670" i="34"/>
  <c r="C2669" i="34"/>
  <c r="B2669" i="34"/>
  <c r="C2668" i="34"/>
  <c r="B2668" i="34"/>
  <c r="C2667" i="34"/>
  <c r="B2667" i="34"/>
  <c r="C2666" i="34"/>
  <c r="B2666" i="34"/>
  <c r="C2665" i="34"/>
  <c r="B2665" i="34"/>
  <c r="C2664" i="34"/>
  <c r="B2664" i="34"/>
  <c r="C2663" i="34"/>
  <c r="B2663" i="34"/>
  <c r="C2662" i="34"/>
  <c r="B2662" i="34"/>
  <c r="C2661" i="34"/>
  <c r="B2661" i="34"/>
  <c r="C2660" i="34"/>
  <c r="B2660" i="34"/>
  <c r="C2659" i="34"/>
  <c r="B2659" i="34"/>
  <c r="C2658" i="34"/>
  <c r="B2658" i="34"/>
  <c r="C2657" i="34"/>
  <c r="B2657" i="34"/>
  <c r="C2656" i="34"/>
  <c r="B2656" i="34"/>
  <c r="C2655" i="34"/>
  <c r="B2655" i="34"/>
  <c r="C2654" i="34"/>
  <c r="B2654" i="34"/>
  <c r="C2653" i="34"/>
  <c r="B2653" i="34"/>
  <c r="C2652" i="34"/>
  <c r="B2652" i="34"/>
  <c r="C2651" i="34"/>
  <c r="B2651" i="34"/>
  <c r="C2650" i="34"/>
  <c r="B2650" i="34"/>
  <c r="C2649" i="34"/>
  <c r="B2649" i="34"/>
  <c r="C2648" i="34"/>
  <c r="B2648" i="34"/>
  <c r="C2647" i="34"/>
  <c r="B2647" i="34"/>
  <c r="C2646" i="34"/>
  <c r="B2646" i="34"/>
  <c r="C2645" i="34"/>
  <c r="B2645" i="34"/>
  <c r="C2644" i="34"/>
  <c r="B2644" i="34"/>
  <c r="C2643" i="34"/>
  <c r="B2643" i="34"/>
  <c r="C2642" i="34"/>
  <c r="B2642" i="34"/>
  <c r="C2641" i="34"/>
  <c r="B2641" i="34"/>
  <c r="C2640" i="34"/>
  <c r="B2640" i="34"/>
  <c r="C2639" i="34"/>
  <c r="B2639" i="34"/>
  <c r="C2638" i="34"/>
  <c r="B2638" i="34"/>
  <c r="C2637" i="34"/>
  <c r="B2637" i="34"/>
  <c r="C2636" i="34"/>
  <c r="B2636" i="34"/>
  <c r="C2635" i="34"/>
  <c r="B2635" i="34"/>
  <c r="C2634" i="34"/>
  <c r="B2634" i="34"/>
  <c r="C2633" i="34"/>
  <c r="B2633" i="34"/>
  <c r="C2632" i="34"/>
  <c r="B2632" i="34"/>
  <c r="C2631" i="34"/>
  <c r="B2631" i="34"/>
  <c r="C2630" i="34"/>
  <c r="B2630" i="34"/>
  <c r="C2629" i="34"/>
  <c r="B2629" i="34"/>
  <c r="C2628" i="34"/>
  <c r="B2628" i="34"/>
  <c r="C2627" i="34"/>
  <c r="B2627" i="34"/>
  <c r="C2626" i="34"/>
  <c r="B2626" i="34"/>
  <c r="C2625" i="34"/>
  <c r="B2625" i="34"/>
  <c r="C2624" i="34"/>
  <c r="B2624" i="34"/>
  <c r="C2623" i="34"/>
  <c r="B2623" i="34"/>
  <c r="C2622" i="34"/>
  <c r="B2622" i="34"/>
  <c r="C2621" i="34"/>
  <c r="B2621" i="34"/>
  <c r="C2620" i="34"/>
  <c r="B2620" i="34"/>
  <c r="C2619" i="34"/>
  <c r="B2619" i="34"/>
  <c r="C2618" i="34"/>
  <c r="B2618" i="34"/>
  <c r="C2617" i="34"/>
  <c r="B2617" i="34"/>
  <c r="C2616" i="34"/>
  <c r="B2616" i="34"/>
  <c r="C2615" i="34"/>
  <c r="B2615" i="34"/>
  <c r="C2614" i="34"/>
  <c r="B2614" i="34"/>
  <c r="C2613" i="34"/>
  <c r="B2613" i="34"/>
  <c r="C2612" i="34"/>
  <c r="B2612" i="34"/>
  <c r="C2611" i="34"/>
  <c r="B2611" i="34"/>
  <c r="C2610" i="34"/>
  <c r="B2610" i="34"/>
  <c r="C2609" i="34"/>
  <c r="B2609" i="34"/>
  <c r="C2608" i="34"/>
  <c r="B2608" i="34"/>
  <c r="C2607" i="34"/>
  <c r="B2607" i="34"/>
  <c r="C2606" i="34"/>
  <c r="B2606" i="34"/>
  <c r="C2605" i="34"/>
  <c r="B2605" i="34"/>
  <c r="C2604" i="34"/>
  <c r="B2604" i="34"/>
  <c r="C2603" i="34"/>
  <c r="B2603" i="34"/>
  <c r="C2602" i="34"/>
  <c r="B2602" i="34"/>
  <c r="C2601" i="34"/>
  <c r="B2601" i="34"/>
  <c r="C2600" i="34"/>
  <c r="B2600" i="34"/>
  <c r="C2599" i="34"/>
  <c r="B2599" i="34"/>
  <c r="C2598" i="34"/>
  <c r="B2598" i="34"/>
  <c r="C2597" i="34"/>
  <c r="B2597" i="34"/>
  <c r="C2596" i="34"/>
  <c r="B2596" i="34"/>
  <c r="C2595" i="34"/>
  <c r="B2595" i="34"/>
  <c r="C2594" i="34"/>
  <c r="B2594" i="34"/>
  <c r="C2593" i="34"/>
  <c r="B2593" i="34"/>
  <c r="C2592" i="34"/>
  <c r="B2592" i="34"/>
  <c r="C2591" i="34"/>
  <c r="B2591" i="34"/>
  <c r="C2590" i="34"/>
  <c r="B2590" i="34"/>
  <c r="C2589" i="34"/>
  <c r="B2589" i="34"/>
  <c r="C2588" i="34"/>
  <c r="B2588" i="34"/>
  <c r="C2587" i="34"/>
  <c r="B2587" i="34"/>
  <c r="C2586" i="34"/>
  <c r="B2586" i="34"/>
  <c r="C2585" i="34"/>
  <c r="B2585" i="34"/>
  <c r="C2584" i="34"/>
  <c r="B2584" i="34"/>
  <c r="C2583" i="34"/>
  <c r="B2583" i="34"/>
  <c r="C2582" i="34"/>
  <c r="B2582" i="34"/>
  <c r="C2581" i="34"/>
  <c r="B2581" i="34"/>
  <c r="C2580" i="34"/>
  <c r="B2580" i="34"/>
  <c r="C2579" i="34"/>
  <c r="B2579" i="34"/>
  <c r="C2578" i="34"/>
  <c r="B2578" i="34"/>
  <c r="C2577" i="34"/>
  <c r="B2577" i="34"/>
  <c r="C2576" i="34"/>
  <c r="B2576" i="34"/>
  <c r="C2575" i="34"/>
  <c r="B2575" i="34"/>
  <c r="C2574" i="34"/>
  <c r="B2574" i="34"/>
  <c r="C2573" i="34"/>
  <c r="B2573" i="34"/>
  <c r="C2572" i="34"/>
  <c r="B2572" i="34"/>
  <c r="C2571" i="34"/>
  <c r="B2571" i="34"/>
  <c r="C2570" i="34"/>
  <c r="B2570" i="34"/>
  <c r="C2569" i="34"/>
  <c r="B2569" i="34"/>
  <c r="C2568" i="34"/>
  <c r="B2568" i="34"/>
  <c r="C2567" i="34"/>
  <c r="B2567" i="34"/>
  <c r="C2566" i="34"/>
  <c r="B2566" i="34"/>
  <c r="C2565" i="34"/>
  <c r="B2565" i="34"/>
  <c r="C2564" i="34"/>
  <c r="B2564" i="34"/>
  <c r="C2563" i="34"/>
  <c r="B2563" i="34"/>
  <c r="C2562" i="34"/>
  <c r="B2562" i="34"/>
  <c r="C2561" i="34"/>
  <c r="B2561" i="34"/>
  <c r="C2560" i="34"/>
  <c r="B2560" i="34"/>
  <c r="C2559" i="34"/>
  <c r="B2559" i="34"/>
  <c r="C2558" i="34"/>
  <c r="B2558" i="34"/>
  <c r="C2557" i="34"/>
  <c r="B2557" i="34"/>
  <c r="C2556" i="34"/>
  <c r="B2556" i="34"/>
  <c r="C2555" i="34"/>
  <c r="B2555" i="34"/>
  <c r="C2554" i="34"/>
  <c r="B2554" i="34"/>
  <c r="C2553" i="34"/>
  <c r="B2553" i="34"/>
  <c r="C2552" i="34"/>
  <c r="B2552" i="34"/>
  <c r="C2551" i="34"/>
  <c r="B2551" i="34"/>
  <c r="C2550" i="34"/>
  <c r="B2550" i="34"/>
  <c r="C2549" i="34"/>
  <c r="B2549" i="34"/>
  <c r="C2548" i="34"/>
  <c r="B2548" i="34"/>
  <c r="C2547" i="34"/>
  <c r="B2547" i="34"/>
  <c r="C2546" i="34"/>
  <c r="B2546" i="34"/>
  <c r="C2545" i="34"/>
  <c r="B2545" i="34"/>
  <c r="C2544" i="34"/>
  <c r="B2544" i="34"/>
  <c r="C2543" i="34"/>
  <c r="B2543" i="34"/>
  <c r="C2542" i="34"/>
  <c r="B2542" i="34"/>
  <c r="C2541" i="34"/>
  <c r="B2541" i="34"/>
  <c r="C2540" i="34"/>
  <c r="B2540" i="34"/>
  <c r="C2539" i="34"/>
  <c r="B2539" i="34"/>
  <c r="C2538" i="34"/>
  <c r="B2538" i="34"/>
  <c r="C2537" i="34"/>
  <c r="B2537" i="34"/>
  <c r="C2536" i="34"/>
  <c r="B2536" i="34"/>
  <c r="C2535" i="34"/>
  <c r="B2535" i="34"/>
  <c r="C2534" i="34"/>
  <c r="B2534" i="34"/>
  <c r="C2533" i="34"/>
  <c r="B2533" i="34"/>
  <c r="C2532" i="34"/>
  <c r="B2532" i="34"/>
  <c r="C2531" i="34"/>
  <c r="B2531" i="34"/>
  <c r="C2530" i="34"/>
  <c r="B2530" i="34"/>
  <c r="C2529" i="34"/>
  <c r="B2529" i="34"/>
  <c r="C2528" i="34"/>
  <c r="B2528" i="34"/>
  <c r="C2527" i="34"/>
  <c r="B2527" i="34"/>
  <c r="C2526" i="34"/>
  <c r="B2526" i="34"/>
  <c r="C2525" i="34"/>
  <c r="B2525" i="34"/>
  <c r="C2524" i="34"/>
  <c r="B2524" i="34"/>
  <c r="C2523" i="34"/>
  <c r="B2523" i="34"/>
  <c r="C2522" i="34"/>
  <c r="B2522" i="34"/>
  <c r="C2521" i="34"/>
  <c r="B2521" i="34"/>
  <c r="C2520" i="34"/>
  <c r="B2520" i="34"/>
  <c r="C2519" i="34"/>
  <c r="B2519" i="34"/>
  <c r="C2518" i="34"/>
  <c r="B2518" i="34"/>
  <c r="C2517" i="34"/>
  <c r="B2517" i="34"/>
  <c r="C2516" i="34"/>
  <c r="B2516" i="34"/>
  <c r="C2515" i="34"/>
  <c r="B2515" i="34"/>
  <c r="C2514" i="34"/>
  <c r="B2514" i="34"/>
  <c r="C2513" i="34"/>
  <c r="B2513" i="34"/>
  <c r="C2512" i="34"/>
  <c r="B2512" i="34"/>
  <c r="C2511" i="34"/>
  <c r="B2511" i="34"/>
  <c r="C2510" i="34"/>
  <c r="B2510" i="34"/>
  <c r="C2509" i="34"/>
  <c r="B2509" i="34"/>
  <c r="C2508" i="34"/>
  <c r="B2508" i="34"/>
  <c r="C2507" i="34"/>
  <c r="B2507" i="34"/>
  <c r="C2506" i="34"/>
  <c r="B2506" i="34"/>
  <c r="C2505" i="34"/>
  <c r="B2505" i="34"/>
  <c r="C2504" i="34"/>
  <c r="B2504" i="34"/>
  <c r="C2503" i="34"/>
  <c r="B2503" i="34"/>
  <c r="C2502" i="34"/>
  <c r="B2502" i="34"/>
  <c r="C2501" i="34"/>
  <c r="B2501" i="34"/>
  <c r="C2500" i="34"/>
  <c r="B2500" i="34"/>
  <c r="C2499" i="34"/>
  <c r="B2499" i="34"/>
  <c r="C2498" i="34"/>
  <c r="B2498" i="34"/>
  <c r="C2497" i="34"/>
  <c r="B2497" i="34"/>
  <c r="C2496" i="34"/>
  <c r="B2496" i="34"/>
  <c r="C2495" i="34"/>
  <c r="B2495" i="34"/>
  <c r="C2494" i="34"/>
  <c r="B2494" i="34"/>
  <c r="C2493" i="34"/>
  <c r="B2493" i="34"/>
  <c r="C2492" i="34"/>
  <c r="B2492" i="34"/>
  <c r="C2491" i="34"/>
  <c r="B2491" i="34"/>
  <c r="C2490" i="34"/>
  <c r="B2490" i="34"/>
  <c r="C2489" i="34"/>
  <c r="B2489" i="34"/>
  <c r="C2488" i="34"/>
  <c r="B2488" i="34"/>
  <c r="C2487" i="34"/>
  <c r="B2487" i="34"/>
  <c r="C2486" i="34"/>
  <c r="B2486" i="34"/>
  <c r="C2485" i="34"/>
  <c r="B2485" i="34"/>
  <c r="C2484" i="34"/>
  <c r="B2484" i="34"/>
  <c r="C2483" i="34"/>
  <c r="B2483" i="34"/>
  <c r="C2482" i="34"/>
  <c r="B2482" i="34"/>
  <c r="C2481" i="34"/>
  <c r="B2481" i="34"/>
  <c r="C2480" i="34"/>
  <c r="B2480" i="34"/>
  <c r="C2479" i="34"/>
  <c r="B2479" i="34"/>
  <c r="C2478" i="34"/>
  <c r="B2478" i="34"/>
  <c r="C2477" i="34"/>
  <c r="B2477" i="34"/>
  <c r="C2476" i="34"/>
  <c r="B2476" i="34"/>
  <c r="C2475" i="34"/>
  <c r="B2475" i="34"/>
  <c r="C2474" i="34"/>
  <c r="B2474" i="34"/>
  <c r="C2473" i="34"/>
  <c r="B2473" i="34"/>
  <c r="C2472" i="34"/>
  <c r="B2472" i="34"/>
  <c r="C2471" i="34"/>
  <c r="B2471" i="34"/>
  <c r="C2470" i="34"/>
  <c r="B2470" i="34"/>
  <c r="C2469" i="34"/>
  <c r="B2469" i="34"/>
  <c r="C2468" i="34"/>
  <c r="B2468" i="34"/>
  <c r="C2467" i="34"/>
  <c r="B2467" i="34"/>
  <c r="C2466" i="34"/>
  <c r="B2466" i="34"/>
  <c r="C2465" i="34"/>
  <c r="B2465" i="34"/>
  <c r="C2464" i="34"/>
  <c r="B2464" i="34"/>
  <c r="C2463" i="34"/>
  <c r="B2463" i="34"/>
  <c r="C2462" i="34"/>
  <c r="B2462" i="34"/>
  <c r="C2461" i="34"/>
  <c r="B2461" i="34"/>
  <c r="C2460" i="34"/>
  <c r="B2460" i="34"/>
  <c r="C2459" i="34"/>
  <c r="B2459" i="34"/>
  <c r="C2458" i="34"/>
  <c r="B2458" i="34"/>
  <c r="C2457" i="34"/>
  <c r="B2457" i="34"/>
  <c r="C2456" i="34"/>
  <c r="B2456" i="34"/>
  <c r="C2455" i="34"/>
  <c r="B2455" i="34"/>
  <c r="C2454" i="34"/>
  <c r="B2454" i="34"/>
  <c r="C2453" i="34"/>
  <c r="B2453" i="34"/>
  <c r="C2452" i="34"/>
  <c r="B2452" i="34"/>
  <c r="C2451" i="34"/>
  <c r="B2451" i="34"/>
  <c r="C2450" i="34"/>
  <c r="B2450" i="34"/>
  <c r="C2449" i="34"/>
  <c r="B2449" i="34"/>
  <c r="C2448" i="34"/>
  <c r="B2448" i="34"/>
  <c r="C2447" i="34"/>
  <c r="B2447" i="34"/>
  <c r="C2446" i="34"/>
  <c r="B2446" i="34"/>
  <c r="C2445" i="34"/>
  <c r="B2445" i="34"/>
  <c r="C2444" i="34"/>
  <c r="B2444" i="34"/>
  <c r="C2443" i="34"/>
  <c r="B2443" i="34"/>
  <c r="C2442" i="34"/>
  <c r="B2442" i="34"/>
  <c r="C2441" i="34"/>
  <c r="B2441" i="34"/>
  <c r="C2440" i="34"/>
  <c r="B2440" i="34"/>
  <c r="C2439" i="34"/>
  <c r="B2439" i="34"/>
  <c r="C2438" i="34"/>
  <c r="B2438" i="34"/>
  <c r="C2437" i="34"/>
  <c r="B2437" i="34"/>
  <c r="C2436" i="34"/>
  <c r="B2436" i="34"/>
  <c r="C2435" i="34"/>
  <c r="B2435" i="34"/>
  <c r="C2434" i="34"/>
  <c r="B2434" i="34"/>
  <c r="C2433" i="34"/>
  <c r="B2433" i="34"/>
  <c r="C2432" i="34"/>
  <c r="B2432" i="34"/>
  <c r="C2431" i="34"/>
  <c r="B2431" i="34"/>
  <c r="C2430" i="34"/>
  <c r="B2430" i="34"/>
  <c r="C2429" i="34"/>
  <c r="B2429" i="34"/>
  <c r="C2428" i="34"/>
  <c r="B2428" i="34"/>
  <c r="C2427" i="34"/>
  <c r="B2427" i="34"/>
  <c r="C2426" i="34"/>
  <c r="B2426" i="34"/>
  <c r="C2425" i="34"/>
  <c r="B2425" i="34"/>
  <c r="C2424" i="34"/>
  <c r="B2424" i="34"/>
  <c r="C2423" i="34"/>
  <c r="B2423" i="34"/>
  <c r="C2422" i="34"/>
  <c r="B2422" i="34"/>
  <c r="C2421" i="34"/>
  <c r="B2421" i="34"/>
  <c r="C2420" i="34"/>
  <c r="B2420" i="34"/>
  <c r="C2419" i="34"/>
  <c r="B2419" i="34"/>
  <c r="C2418" i="34"/>
  <c r="B2418" i="34"/>
  <c r="C2417" i="34"/>
  <c r="B2417" i="34"/>
  <c r="C2416" i="34"/>
  <c r="B2416" i="34"/>
  <c r="C2415" i="34"/>
  <c r="B2415" i="34"/>
  <c r="C2414" i="34"/>
  <c r="B2414" i="34"/>
  <c r="C2413" i="34"/>
  <c r="B2413" i="34"/>
  <c r="C2412" i="34"/>
  <c r="B2412" i="34"/>
  <c r="C2411" i="34"/>
  <c r="B2411" i="34"/>
  <c r="C2410" i="34"/>
  <c r="B2410" i="34"/>
  <c r="C2409" i="34"/>
  <c r="B2409" i="34"/>
  <c r="C2408" i="34"/>
  <c r="B2408" i="34"/>
  <c r="C2407" i="34"/>
  <c r="B2407" i="34"/>
  <c r="C2406" i="34"/>
  <c r="B2406" i="34"/>
  <c r="C2405" i="34"/>
  <c r="B2405" i="34"/>
  <c r="C2404" i="34"/>
  <c r="B2404" i="34"/>
  <c r="C2403" i="34"/>
  <c r="B2403" i="34"/>
  <c r="C2402" i="34"/>
  <c r="B2402" i="34"/>
  <c r="C2401" i="34"/>
  <c r="B2401" i="34"/>
  <c r="C2400" i="34"/>
  <c r="B2400" i="34"/>
  <c r="C2399" i="34"/>
  <c r="B2399" i="34"/>
  <c r="C2398" i="34"/>
  <c r="B2398" i="34"/>
  <c r="C2397" i="34"/>
  <c r="B2397" i="34"/>
  <c r="C2396" i="34"/>
  <c r="B2396" i="34"/>
  <c r="C2395" i="34"/>
  <c r="B2395" i="34"/>
  <c r="C2394" i="34"/>
  <c r="B2394" i="34"/>
  <c r="C2393" i="34"/>
  <c r="B2393" i="34"/>
  <c r="C2392" i="34"/>
  <c r="B2392" i="34"/>
  <c r="C2391" i="34"/>
  <c r="B2391" i="34"/>
  <c r="C2390" i="34"/>
  <c r="B2390" i="34"/>
  <c r="C2389" i="34"/>
  <c r="B2389" i="34"/>
  <c r="C2388" i="34"/>
  <c r="B2388" i="34"/>
  <c r="C2387" i="34"/>
  <c r="B2387" i="34"/>
  <c r="C2386" i="34"/>
  <c r="B2386" i="34"/>
  <c r="C2385" i="34"/>
  <c r="B2385" i="34"/>
  <c r="C2384" i="34"/>
  <c r="B2384" i="34"/>
  <c r="C2383" i="34"/>
  <c r="B2383" i="34"/>
  <c r="C2382" i="34"/>
  <c r="B2382" i="34"/>
  <c r="C2381" i="34"/>
  <c r="B2381" i="34"/>
  <c r="C2380" i="34"/>
  <c r="B2380" i="34"/>
  <c r="C2379" i="34"/>
  <c r="B2379" i="34"/>
  <c r="C2378" i="34"/>
  <c r="B2378" i="34"/>
  <c r="C2377" i="34"/>
  <c r="B2377" i="34"/>
  <c r="C2376" i="34"/>
  <c r="B2376" i="34"/>
  <c r="C2375" i="34"/>
  <c r="B2375" i="34"/>
  <c r="C2374" i="34"/>
  <c r="B2374" i="34"/>
  <c r="C2373" i="34"/>
  <c r="B2373" i="34"/>
  <c r="C2372" i="34"/>
  <c r="B2372" i="34"/>
  <c r="C2371" i="34"/>
  <c r="B2371" i="34"/>
  <c r="C2370" i="34"/>
  <c r="B2370" i="34"/>
  <c r="C2369" i="34"/>
  <c r="B2369" i="34"/>
  <c r="C2368" i="34"/>
  <c r="B2368" i="34"/>
  <c r="C2367" i="34"/>
  <c r="B2367" i="34"/>
  <c r="C2366" i="34"/>
  <c r="B2366" i="34"/>
  <c r="C2365" i="34"/>
  <c r="B2365" i="34"/>
  <c r="C2364" i="34"/>
  <c r="B2364" i="34"/>
  <c r="C2363" i="34"/>
  <c r="B2363" i="34"/>
  <c r="C2362" i="34"/>
  <c r="B2362" i="34"/>
  <c r="C2361" i="34"/>
  <c r="B2361" i="34"/>
  <c r="C2360" i="34"/>
  <c r="B2360" i="34"/>
  <c r="C2359" i="34"/>
  <c r="B2359" i="34"/>
  <c r="C2358" i="34"/>
  <c r="B2358" i="34"/>
  <c r="C2357" i="34"/>
  <c r="B2357" i="34"/>
  <c r="C2356" i="34"/>
  <c r="B2356" i="34"/>
  <c r="C2355" i="34"/>
  <c r="B2355" i="34"/>
  <c r="C2354" i="34"/>
  <c r="B2354" i="34"/>
  <c r="C2353" i="34"/>
  <c r="B2353" i="34"/>
  <c r="C2352" i="34"/>
  <c r="B2352" i="34"/>
  <c r="C2351" i="34"/>
  <c r="B2351" i="34"/>
  <c r="C2350" i="34"/>
  <c r="B2350" i="34"/>
  <c r="C2349" i="34"/>
  <c r="B2349" i="34"/>
  <c r="C2348" i="34"/>
  <c r="B2348" i="34"/>
  <c r="C2347" i="34"/>
  <c r="B2347" i="34"/>
  <c r="C2346" i="34"/>
  <c r="B2346" i="34"/>
  <c r="C2345" i="34"/>
  <c r="B2345" i="34"/>
  <c r="C2344" i="34"/>
  <c r="B2344" i="34"/>
  <c r="C2343" i="34"/>
  <c r="B2343" i="34"/>
  <c r="C2342" i="34"/>
  <c r="B2342" i="34"/>
  <c r="C2341" i="34"/>
  <c r="B2341" i="34"/>
  <c r="C2340" i="34"/>
  <c r="B2340" i="34"/>
  <c r="C2339" i="34"/>
  <c r="B2339" i="34"/>
  <c r="C2338" i="34"/>
  <c r="B2338" i="34"/>
  <c r="C2337" i="34"/>
  <c r="B2337" i="34"/>
  <c r="C2336" i="34"/>
  <c r="B2336" i="34"/>
  <c r="C2335" i="34"/>
  <c r="B2335" i="34"/>
  <c r="C2334" i="34"/>
  <c r="B2334" i="34"/>
  <c r="C2333" i="34"/>
  <c r="B2333" i="34"/>
  <c r="C2332" i="34"/>
  <c r="B2332" i="34"/>
  <c r="C2331" i="34"/>
  <c r="B2331" i="34"/>
  <c r="C2330" i="34"/>
  <c r="B2330" i="34"/>
  <c r="C2329" i="34"/>
  <c r="B2329" i="34"/>
  <c r="C2328" i="34"/>
  <c r="B2328" i="34"/>
  <c r="C2327" i="34"/>
  <c r="B2327" i="34"/>
  <c r="C2326" i="34"/>
  <c r="B2326" i="34"/>
  <c r="C2325" i="34"/>
  <c r="B2325" i="34"/>
  <c r="C2324" i="34"/>
  <c r="B2324" i="34"/>
  <c r="C2323" i="34"/>
  <c r="B2323" i="34"/>
  <c r="C2322" i="34"/>
  <c r="B2322" i="34"/>
  <c r="C2321" i="34"/>
  <c r="B2321" i="34"/>
  <c r="C2320" i="34"/>
  <c r="B2320" i="34"/>
  <c r="C2319" i="34"/>
  <c r="B2319" i="34"/>
  <c r="C2318" i="34"/>
  <c r="B2318" i="34"/>
  <c r="C2317" i="34"/>
  <c r="B2317" i="34"/>
  <c r="C2316" i="34"/>
  <c r="B2316" i="34"/>
  <c r="C2315" i="34"/>
  <c r="B2315" i="34"/>
  <c r="C2314" i="34"/>
  <c r="B2314" i="34"/>
  <c r="C2313" i="34"/>
  <c r="B2313" i="34"/>
  <c r="C2312" i="34"/>
  <c r="B2312" i="34"/>
  <c r="C2311" i="34"/>
  <c r="B2311" i="34"/>
  <c r="C2310" i="34"/>
  <c r="B2310" i="34"/>
  <c r="C2309" i="34"/>
  <c r="B2309" i="34"/>
  <c r="C2308" i="34"/>
  <c r="B2308" i="34"/>
  <c r="C2307" i="34"/>
  <c r="B2307" i="34"/>
  <c r="C2306" i="34"/>
  <c r="B2306" i="34"/>
  <c r="C2305" i="34"/>
  <c r="B2305" i="34"/>
  <c r="C2304" i="34"/>
  <c r="B2304" i="34"/>
  <c r="C2303" i="34"/>
  <c r="B2303" i="34"/>
  <c r="C2302" i="34"/>
  <c r="B2302" i="34"/>
  <c r="C2301" i="34"/>
  <c r="B2301" i="34"/>
  <c r="C2300" i="34"/>
  <c r="B2300" i="34"/>
  <c r="C2299" i="34"/>
  <c r="B2299" i="34"/>
  <c r="C2298" i="34"/>
  <c r="B2298" i="34"/>
  <c r="C2297" i="34"/>
  <c r="B2297" i="34"/>
  <c r="C2296" i="34"/>
  <c r="B2296" i="34"/>
  <c r="C2295" i="34"/>
  <c r="B2295" i="34"/>
  <c r="C2294" i="34"/>
  <c r="B2294" i="34"/>
  <c r="C2293" i="34"/>
  <c r="B2293" i="34"/>
  <c r="C2292" i="34"/>
  <c r="B2292" i="34"/>
  <c r="C2291" i="34"/>
  <c r="B2291" i="34"/>
  <c r="C2290" i="34"/>
  <c r="B2290" i="34"/>
  <c r="C2289" i="34"/>
  <c r="B2289" i="34"/>
  <c r="C2288" i="34"/>
  <c r="B2288" i="34"/>
  <c r="C2287" i="34"/>
  <c r="B2287" i="34"/>
  <c r="C2286" i="34"/>
  <c r="B2286" i="34"/>
  <c r="C2285" i="34"/>
  <c r="B2285" i="34"/>
  <c r="C2284" i="34"/>
  <c r="B2284" i="34"/>
  <c r="C2283" i="34"/>
  <c r="B2283" i="34"/>
  <c r="C2282" i="34"/>
  <c r="B2282" i="34"/>
  <c r="C2281" i="34"/>
  <c r="B2281" i="34"/>
  <c r="C2280" i="34"/>
  <c r="B2280" i="34"/>
  <c r="C2279" i="34"/>
  <c r="B2279" i="34"/>
  <c r="C2278" i="34"/>
  <c r="B2278" i="34"/>
  <c r="C2277" i="34"/>
  <c r="B2277" i="34"/>
  <c r="C2276" i="34"/>
  <c r="B2276" i="34"/>
  <c r="C2275" i="34"/>
  <c r="B2275" i="34"/>
  <c r="C2274" i="34"/>
  <c r="B2274" i="34"/>
  <c r="C2273" i="34"/>
  <c r="B2273" i="34"/>
  <c r="C2272" i="34"/>
  <c r="B2272" i="34"/>
  <c r="C2271" i="34"/>
  <c r="B2271" i="34"/>
  <c r="C2270" i="34"/>
  <c r="B2270" i="34"/>
  <c r="C2269" i="34"/>
  <c r="B2269" i="34"/>
  <c r="C2268" i="34"/>
  <c r="B2268" i="34"/>
  <c r="C2267" i="34"/>
  <c r="B2267" i="34"/>
  <c r="C2266" i="34"/>
  <c r="B2266" i="34"/>
  <c r="C2265" i="34"/>
  <c r="B2265" i="34"/>
  <c r="C2264" i="34"/>
  <c r="B2264" i="34"/>
  <c r="C2263" i="34"/>
  <c r="B2263" i="34"/>
  <c r="C2262" i="34"/>
  <c r="B2262" i="34"/>
  <c r="C2261" i="34"/>
  <c r="B2261" i="34"/>
  <c r="C2260" i="34"/>
  <c r="B2260" i="34"/>
  <c r="C2259" i="34"/>
  <c r="B2259" i="34"/>
  <c r="C2258" i="34"/>
  <c r="B2258" i="34"/>
  <c r="C2257" i="34"/>
  <c r="B2257" i="34"/>
  <c r="C2256" i="34"/>
  <c r="B2256" i="34"/>
  <c r="C2255" i="34"/>
  <c r="B2255" i="34"/>
  <c r="C2254" i="34"/>
  <c r="B2254" i="34"/>
  <c r="C2253" i="34"/>
  <c r="B2253" i="34"/>
  <c r="C2252" i="34"/>
  <c r="B2252" i="34"/>
  <c r="C2251" i="34"/>
  <c r="B2251" i="34"/>
  <c r="C2250" i="34"/>
  <c r="B2250" i="34"/>
  <c r="C2249" i="34"/>
  <c r="B2249" i="34"/>
  <c r="C2248" i="34"/>
  <c r="B2248" i="34"/>
  <c r="C2247" i="34"/>
  <c r="B2247" i="34"/>
  <c r="C2246" i="34"/>
  <c r="B2246" i="34"/>
  <c r="C2245" i="34"/>
  <c r="B2245" i="34"/>
  <c r="C2244" i="34"/>
  <c r="B2244" i="34"/>
  <c r="C2243" i="34"/>
  <c r="B2243" i="34"/>
  <c r="C2242" i="34"/>
  <c r="B2242" i="34"/>
  <c r="C2241" i="34"/>
  <c r="B2241" i="34"/>
  <c r="C2240" i="34"/>
  <c r="B2240" i="34"/>
  <c r="C2239" i="34"/>
  <c r="B2239" i="34"/>
  <c r="C2238" i="34"/>
  <c r="B2238" i="34"/>
  <c r="C2237" i="34"/>
  <c r="B2237" i="34"/>
  <c r="C2236" i="34"/>
  <c r="B2236" i="34"/>
  <c r="C2235" i="34"/>
  <c r="B2235" i="34"/>
  <c r="C2234" i="34"/>
  <c r="B2234" i="34"/>
  <c r="C2233" i="34"/>
  <c r="B2233" i="34"/>
  <c r="C2232" i="34"/>
  <c r="B2232" i="34"/>
  <c r="C2231" i="34"/>
  <c r="B2231" i="34"/>
  <c r="C2230" i="34"/>
  <c r="B2230" i="34"/>
  <c r="C2229" i="34"/>
  <c r="B2229" i="34"/>
  <c r="C2228" i="34"/>
  <c r="B2228" i="34"/>
  <c r="C2227" i="34"/>
  <c r="B2227" i="34"/>
  <c r="C2226" i="34"/>
  <c r="B2226" i="34"/>
  <c r="C2225" i="34"/>
  <c r="B2225" i="34"/>
  <c r="C2224" i="34"/>
  <c r="B2224" i="34"/>
  <c r="C2223" i="34"/>
  <c r="B2223" i="34"/>
  <c r="C2222" i="34"/>
  <c r="B2222" i="34"/>
  <c r="C2221" i="34"/>
  <c r="B2221" i="34"/>
  <c r="C2220" i="34"/>
  <c r="B2220" i="34"/>
  <c r="C2219" i="34"/>
  <c r="B2219" i="34"/>
  <c r="C2218" i="34"/>
  <c r="B2218" i="34"/>
  <c r="C2217" i="34"/>
  <c r="B2217" i="34"/>
  <c r="C2216" i="34"/>
  <c r="B2216" i="34"/>
  <c r="C2215" i="34"/>
  <c r="B2215" i="34"/>
  <c r="C2214" i="34"/>
  <c r="B2214" i="34"/>
  <c r="C2213" i="34"/>
  <c r="B2213" i="34"/>
  <c r="C2212" i="34"/>
  <c r="B2212" i="34"/>
  <c r="C2211" i="34"/>
  <c r="B2211" i="34"/>
  <c r="C2210" i="34"/>
  <c r="B2210" i="34"/>
  <c r="C2209" i="34"/>
  <c r="B2209" i="34"/>
  <c r="C2208" i="34"/>
  <c r="B2208" i="34"/>
  <c r="C2207" i="34"/>
  <c r="B2207" i="34"/>
  <c r="C2206" i="34"/>
  <c r="B2206" i="34"/>
  <c r="C2205" i="34"/>
  <c r="B2205" i="34"/>
  <c r="C2204" i="34"/>
  <c r="B2204" i="34"/>
  <c r="C2203" i="34"/>
  <c r="B2203" i="34"/>
  <c r="C2202" i="34"/>
  <c r="B2202" i="34"/>
  <c r="C2201" i="34"/>
  <c r="B2201" i="34"/>
  <c r="C2200" i="34"/>
  <c r="B2200" i="34"/>
  <c r="C2199" i="34"/>
  <c r="B2199" i="34"/>
  <c r="C2198" i="34"/>
  <c r="B2198" i="34"/>
  <c r="C2197" i="34"/>
  <c r="B2197" i="34"/>
  <c r="C2196" i="34"/>
  <c r="B2196" i="34"/>
  <c r="C2195" i="34"/>
  <c r="B2195" i="34"/>
  <c r="C2194" i="34"/>
  <c r="B2194" i="34"/>
  <c r="C2193" i="34"/>
  <c r="B2193" i="34"/>
  <c r="C2192" i="34"/>
  <c r="B2192" i="34"/>
  <c r="C2191" i="34"/>
  <c r="B2191" i="34"/>
  <c r="C2190" i="34"/>
  <c r="B2190" i="34"/>
  <c r="C2189" i="34"/>
  <c r="B2189" i="34"/>
  <c r="C2188" i="34"/>
  <c r="B2188" i="34"/>
  <c r="C2187" i="34"/>
  <c r="B2187" i="34"/>
  <c r="C2186" i="34"/>
  <c r="B2186" i="34"/>
  <c r="C2185" i="34"/>
  <c r="B2185" i="34"/>
  <c r="C2184" i="34"/>
  <c r="B2184" i="34"/>
  <c r="C2183" i="34"/>
  <c r="B2183" i="34"/>
  <c r="C2182" i="34"/>
  <c r="B2182" i="34"/>
  <c r="C2181" i="34"/>
  <c r="B2181" i="34"/>
  <c r="C2180" i="34"/>
  <c r="B2180" i="34"/>
  <c r="C2179" i="34"/>
  <c r="B2179" i="34"/>
  <c r="C2178" i="34"/>
  <c r="B2178" i="34"/>
  <c r="C2177" i="34"/>
  <c r="B2177" i="34"/>
  <c r="C2176" i="34"/>
  <c r="B2176" i="34"/>
  <c r="C2175" i="34"/>
  <c r="B2175" i="34"/>
  <c r="C2174" i="34"/>
  <c r="B2174" i="34"/>
  <c r="C2173" i="34"/>
  <c r="B2173" i="34"/>
  <c r="C2172" i="34"/>
  <c r="B2172" i="34"/>
  <c r="C2171" i="34"/>
  <c r="B2171" i="34"/>
  <c r="C2170" i="34"/>
  <c r="B2170" i="34"/>
  <c r="C2169" i="34"/>
  <c r="B2169" i="34"/>
  <c r="C2168" i="34"/>
  <c r="B2168" i="34"/>
  <c r="C2167" i="34"/>
  <c r="B2167" i="34"/>
  <c r="C2166" i="34"/>
  <c r="B2166" i="34"/>
  <c r="C2165" i="34"/>
  <c r="B2165" i="34"/>
  <c r="C2164" i="34"/>
  <c r="B2164" i="34"/>
  <c r="C2163" i="34"/>
  <c r="B2163" i="34"/>
  <c r="C2162" i="34"/>
  <c r="B2162" i="34"/>
  <c r="C2161" i="34"/>
  <c r="B2161" i="34"/>
  <c r="C2160" i="34"/>
  <c r="B2160" i="34"/>
  <c r="C2159" i="34"/>
  <c r="B2159" i="34"/>
  <c r="C2158" i="34"/>
  <c r="B2158" i="34"/>
  <c r="C2157" i="34"/>
  <c r="B2157" i="34"/>
  <c r="C2156" i="34"/>
  <c r="B2156" i="34"/>
  <c r="C2155" i="34"/>
  <c r="B2155" i="34"/>
  <c r="C2154" i="34"/>
  <c r="B2154" i="34"/>
  <c r="C2153" i="34"/>
  <c r="B2153" i="34"/>
  <c r="C2152" i="34"/>
  <c r="B2152" i="34"/>
  <c r="C2151" i="34"/>
  <c r="B2151" i="34"/>
  <c r="C2150" i="34"/>
  <c r="B2150" i="34"/>
  <c r="C2149" i="34"/>
  <c r="B2149" i="34"/>
  <c r="C2148" i="34"/>
  <c r="B2148" i="34"/>
  <c r="C2147" i="34"/>
  <c r="B2147" i="34"/>
  <c r="C2146" i="34"/>
  <c r="B2146" i="34"/>
  <c r="C2145" i="34"/>
  <c r="B2145" i="34"/>
  <c r="C2144" i="34"/>
  <c r="B2144" i="34"/>
  <c r="C2143" i="34"/>
  <c r="B2143" i="34"/>
  <c r="C2142" i="34"/>
  <c r="B2142" i="34"/>
  <c r="C2141" i="34"/>
  <c r="B2141" i="34"/>
  <c r="C2140" i="34"/>
  <c r="B2140" i="34"/>
  <c r="C2139" i="34"/>
  <c r="B2139" i="34"/>
  <c r="C2138" i="34"/>
  <c r="B2138" i="34"/>
  <c r="C2137" i="34"/>
  <c r="B2137" i="34"/>
  <c r="C2136" i="34"/>
  <c r="B2136" i="34"/>
  <c r="C2135" i="34"/>
  <c r="B2135" i="34"/>
  <c r="C2134" i="34"/>
  <c r="B2134" i="34"/>
  <c r="C2133" i="34"/>
  <c r="B2133" i="34"/>
  <c r="C2132" i="34"/>
  <c r="B2132" i="34"/>
  <c r="C2131" i="34"/>
  <c r="B2131" i="34"/>
  <c r="C2130" i="34"/>
  <c r="B2130" i="34"/>
  <c r="C2129" i="34"/>
  <c r="B2129" i="34"/>
  <c r="C2128" i="34"/>
  <c r="B2128" i="34"/>
  <c r="C2127" i="34"/>
  <c r="B2127" i="34"/>
  <c r="C2126" i="34"/>
  <c r="B2126" i="34"/>
  <c r="C2125" i="34"/>
  <c r="B2125" i="34"/>
  <c r="C2124" i="34"/>
  <c r="B2124" i="34"/>
  <c r="C2123" i="34"/>
  <c r="B2123" i="34"/>
  <c r="C2122" i="34"/>
  <c r="B2122" i="34"/>
  <c r="C2121" i="34"/>
  <c r="B2121" i="34"/>
  <c r="C2120" i="34"/>
  <c r="B2120" i="34"/>
  <c r="C2119" i="34"/>
  <c r="B2119" i="34"/>
  <c r="C2118" i="34"/>
  <c r="B2118" i="34"/>
  <c r="C2117" i="34"/>
  <c r="B2117" i="34"/>
  <c r="C2116" i="34"/>
  <c r="B2116" i="34"/>
  <c r="C2115" i="34"/>
  <c r="B2115" i="34"/>
  <c r="C2114" i="34"/>
  <c r="B2114" i="34"/>
  <c r="C2113" i="34"/>
  <c r="B2113" i="34"/>
  <c r="C2112" i="34"/>
  <c r="B2112" i="34"/>
  <c r="C2111" i="34"/>
  <c r="B2111" i="34"/>
  <c r="C2110" i="34"/>
  <c r="B2110" i="34"/>
  <c r="C2109" i="34"/>
  <c r="B2109" i="34"/>
  <c r="C2108" i="34"/>
  <c r="B2108" i="34"/>
  <c r="C2107" i="34"/>
  <c r="B2107" i="34"/>
  <c r="C2106" i="34"/>
  <c r="B2106" i="34"/>
  <c r="C2105" i="34"/>
  <c r="B2105" i="34"/>
  <c r="C2104" i="34"/>
  <c r="B2104" i="34"/>
  <c r="C2103" i="34"/>
  <c r="B2103" i="34"/>
  <c r="C2102" i="34"/>
  <c r="B2102" i="34"/>
  <c r="C2101" i="34"/>
  <c r="B2101" i="34"/>
  <c r="C2100" i="34"/>
  <c r="B2100" i="34"/>
  <c r="C2099" i="34"/>
  <c r="B2099" i="34"/>
  <c r="C2098" i="34"/>
  <c r="B2098" i="34"/>
  <c r="C2097" i="34"/>
  <c r="B2097" i="34"/>
  <c r="C2096" i="34"/>
  <c r="B2096" i="34"/>
  <c r="C2095" i="34"/>
  <c r="B2095" i="34"/>
  <c r="C2094" i="34"/>
  <c r="B2094" i="34"/>
  <c r="C2093" i="34"/>
  <c r="B2093" i="34"/>
  <c r="C2092" i="34"/>
  <c r="B2092" i="34"/>
  <c r="C2091" i="34"/>
  <c r="B2091" i="34"/>
  <c r="C2090" i="34"/>
  <c r="B2090" i="34"/>
  <c r="C2089" i="34"/>
  <c r="B2089" i="34"/>
  <c r="C2088" i="34"/>
  <c r="B2088" i="34"/>
  <c r="C2087" i="34"/>
  <c r="B2087" i="34"/>
  <c r="C2086" i="34"/>
  <c r="B2086" i="34"/>
  <c r="C2085" i="34"/>
  <c r="B2085" i="34"/>
  <c r="C2084" i="34"/>
  <c r="B2084" i="34"/>
  <c r="C2083" i="34"/>
  <c r="B2083" i="34"/>
  <c r="C2082" i="34"/>
  <c r="B2082" i="34"/>
  <c r="C2081" i="34"/>
  <c r="B2081" i="34"/>
  <c r="C2080" i="34"/>
  <c r="B2080" i="34"/>
  <c r="C2079" i="34"/>
  <c r="B2079" i="34"/>
  <c r="C2078" i="34"/>
  <c r="B2078" i="34"/>
  <c r="C2077" i="34"/>
  <c r="B2077" i="34"/>
  <c r="C2076" i="34"/>
  <c r="B2076" i="34"/>
  <c r="C2075" i="34"/>
  <c r="B2075" i="34"/>
  <c r="C2074" i="34"/>
  <c r="B2074" i="34"/>
  <c r="C2073" i="34"/>
  <c r="B2073" i="34"/>
  <c r="C2072" i="34"/>
  <c r="B2072" i="34"/>
  <c r="C2071" i="34"/>
  <c r="B2071" i="34"/>
  <c r="C2070" i="34"/>
  <c r="B2070" i="34"/>
  <c r="C2069" i="34"/>
  <c r="B2069" i="34"/>
  <c r="C2068" i="34"/>
  <c r="B2068" i="34"/>
  <c r="C2067" i="34"/>
  <c r="B2067" i="34"/>
  <c r="C2066" i="34"/>
  <c r="B2066" i="34"/>
  <c r="C2065" i="34"/>
  <c r="B2065" i="34"/>
  <c r="C2064" i="34"/>
  <c r="B2064" i="34"/>
  <c r="C2063" i="34"/>
  <c r="B2063" i="34"/>
  <c r="C2062" i="34"/>
  <c r="B2062" i="34"/>
  <c r="C2061" i="34"/>
  <c r="B2061" i="34"/>
  <c r="C2060" i="34"/>
  <c r="B2060" i="34"/>
  <c r="C2059" i="34"/>
  <c r="B2059" i="34"/>
  <c r="C2058" i="34"/>
  <c r="B2058" i="34"/>
  <c r="C2057" i="34"/>
  <c r="B2057" i="34"/>
  <c r="C2056" i="34"/>
  <c r="B2056" i="34"/>
  <c r="C2055" i="34"/>
  <c r="B2055" i="34"/>
  <c r="C2054" i="34"/>
  <c r="B2054" i="34"/>
  <c r="C2053" i="34"/>
  <c r="B2053" i="34"/>
  <c r="C2052" i="34"/>
  <c r="B2052" i="34"/>
  <c r="C2051" i="34"/>
  <c r="B2051" i="34"/>
  <c r="C2050" i="34"/>
  <c r="B2050" i="34"/>
  <c r="C2049" i="34"/>
  <c r="B2049" i="34"/>
  <c r="C2048" i="34"/>
  <c r="B2048" i="34"/>
  <c r="C2047" i="34"/>
  <c r="B2047" i="34"/>
  <c r="C2046" i="34"/>
  <c r="B2046" i="34"/>
  <c r="C2045" i="34"/>
  <c r="B2045" i="34"/>
  <c r="C2044" i="34"/>
  <c r="B2044" i="34"/>
  <c r="C2043" i="34"/>
  <c r="B2043" i="34"/>
  <c r="C2042" i="34"/>
  <c r="B2042" i="34"/>
  <c r="C2041" i="34"/>
  <c r="B2041" i="34"/>
  <c r="C2040" i="34"/>
  <c r="B2040" i="34"/>
  <c r="C2039" i="34"/>
  <c r="B2039" i="34"/>
  <c r="C2038" i="34"/>
  <c r="B2038" i="34"/>
  <c r="C2037" i="34"/>
  <c r="B2037" i="34"/>
  <c r="C2036" i="34"/>
  <c r="B2036" i="34"/>
  <c r="C2035" i="34"/>
  <c r="B2035" i="34"/>
  <c r="C2034" i="34"/>
  <c r="B2034" i="34"/>
  <c r="C2033" i="34"/>
  <c r="B2033" i="34"/>
  <c r="C2032" i="34"/>
  <c r="B2032" i="34"/>
  <c r="C2031" i="34"/>
  <c r="B2031" i="34"/>
  <c r="C2030" i="34"/>
  <c r="B2030" i="34"/>
  <c r="C2029" i="34"/>
  <c r="B2029" i="34"/>
  <c r="C2028" i="34"/>
  <c r="B2028" i="34"/>
  <c r="C2027" i="34"/>
  <c r="B2027" i="34"/>
  <c r="C2026" i="34"/>
  <c r="B2026" i="34"/>
  <c r="C2025" i="34"/>
  <c r="B2025" i="34"/>
  <c r="C2024" i="34"/>
  <c r="B2024" i="34"/>
  <c r="C2023" i="34"/>
  <c r="B2023" i="34"/>
  <c r="C2022" i="34"/>
  <c r="B2022" i="34"/>
  <c r="C2021" i="34"/>
  <c r="B2021" i="34"/>
  <c r="C2020" i="34"/>
  <c r="B2020" i="34"/>
  <c r="C2019" i="34"/>
  <c r="B2019" i="34"/>
  <c r="C2018" i="34"/>
  <c r="B2018" i="34"/>
  <c r="C2017" i="34"/>
  <c r="B2017" i="34"/>
  <c r="C2016" i="34"/>
  <c r="B2016" i="34"/>
  <c r="C2015" i="34"/>
  <c r="B2015" i="34"/>
  <c r="C2014" i="34"/>
  <c r="B2014" i="34"/>
  <c r="C2013" i="34"/>
  <c r="B2013" i="34"/>
  <c r="C2012" i="34"/>
  <c r="B2012" i="34"/>
  <c r="C2011" i="34"/>
  <c r="B2011" i="34"/>
  <c r="C2010" i="34"/>
  <c r="B2010" i="34"/>
  <c r="C2009" i="34"/>
  <c r="B2009" i="34"/>
  <c r="C2008" i="34"/>
  <c r="B2008" i="34"/>
  <c r="C2007" i="34"/>
  <c r="B2007" i="34"/>
  <c r="C2006" i="34"/>
  <c r="B2006" i="34"/>
  <c r="C2005" i="34"/>
  <c r="B2005" i="34"/>
  <c r="C2004" i="34"/>
  <c r="B2004" i="34"/>
  <c r="C2003" i="34"/>
  <c r="B2003" i="34"/>
  <c r="C2002" i="34"/>
  <c r="B2002" i="34"/>
  <c r="C2001" i="34"/>
  <c r="B2001" i="34"/>
  <c r="C2000" i="34"/>
  <c r="B2000" i="34"/>
  <c r="C1999" i="34"/>
  <c r="B1999" i="34"/>
  <c r="C1998" i="34"/>
  <c r="B1998" i="34"/>
  <c r="C1997" i="34"/>
  <c r="B1997" i="34"/>
  <c r="C1996" i="34"/>
  <c r="B1996" i="34"/>
  <c r="C1995" i="34"/>
  <c r="B1995" i="34"/>
  <c r="C1994" i="34"/>
  <c r="B1994" i="34"/>
  <c r="C1993" i="34"/>
  <c r="B1993" i="34"/>
  <c r="C1992" i="34"/>
  <c r="B1992" i="34"/>
  <c r="C1991" i="34"/>
  <c r="B1991" i="34"/>
  <c r="C1990" i="34"/>
  <c r="B1990" i="34"/>
  <c r="C1989" i="34"/>
  <c r="B1989" i="34"/>
  <c r="C1988" i="34"/>
  <c r="B1988" i="34"/>
  <c r="C1987" i="34"/>
  <c r="B1987" i="34"/>
  <c r="C1986" i="34"/>
  <c r="B1986" i="34"/>
  <c r="C1985" i="34"/>
  <c r="B1985" i="34"/>
  <c r="C1984" i="34"/>
  <c r="B1984" i="34"/>
  <c r="C1983" i="34"/>
  <c r="B1983" i="34"/>
  <c r="C1982" i="34"/>
  <c r="B1982" i="34"/>
  <c r="C1981" i="34"/>
  <c r="B1981" i="34"/>
  <c r="C1980" i="34"/>
  <c r="B1980" i="34"/>
  <c r="C1979" i="34"/>
  <c r="B1979" i="34"/>
  <c r="C1978" i="34"/>
  <c r="B1978" i="34"/>
  <c r="C1977" i="34"/>
  <c r="B1977" i="34"/>
  <c r="C1976" i="34"/>
  <c r="B1976" i="34"/>
  <c r="C1975" i="34"/>
  <c r="B1975" i="34"/>
  <c r="C1974" i="34"/>
  <c r="B1974" i="34"/>
  <c r="C1973" i="34"/>
  <c r="B1973" i="34"/>
  <c r="C1972" i="34"/>
  <c r="B1972" i="34"/>
  <c r="C1971" i="34"/>
  <c r="B1971" i="34"/>
  <c r="C1970" i="34"/>
  <c r="B1970" i="34"/>
  <c r="C1969" i="34"/>
  <c r="B1969" i="34"/>
  <c r="C1968" i="34"/>
  <c r="B1968" i="34"/>
  <c r="C1967" i="34"/>
  <c r="B1967" i="34"/>
  <c r="C1966" i="34"/>
  <c r="B1966" i="34"/>
  <c r="C1965" i="34"/>
  <c r="B1965" i="34"/>
  <c r="C1964" i="34"/>
  <c r="B1964" i="34"/>
  <c r="C1963" i="34"/>
  <c r="B1963" i="34"/>
  <c r="C1962" i="34"/>
  <c r="B1962" i="34"/>
  <c r="C1961" i="34"/>
  <c r="B1961" i="34"/>
  <c r="C1960" i="34"/>
  <c r="B1960" i="34"/>
  <c r="C1959" i="34"/>
  <c r="B1959" i="34"/>
  <c r="C1958" i="34"/>
  <c r="B1958" i="34"/>
  <c r="C1957" i="34"/>
  <c r="B1957" i="34"/>
  <c r="C1956" i="34"/>
  <c r="B1956" i="34"/>
  <c r="C1955" i="34"/>
  <c r="B1955" i="34"/>
  <c r="C1954" i="34"/>
  <c r="B1954" i="34"/>
  <c r="C1953" i="34"/>
  <c r="B1953" i="34"/>
  <c r="C1952" i="34"/>
  <c r="B1952" i="34"/>
  <c r="C1951" i="34"/>
  <c r="B1951" i="34"/>
  <c r="C1950" i="34"/>
  <c r="B1950" i="34"/>
  <c r="C1949" i="34"/>
  <c r="B1949" i="34"/>
  <c r="C1948" i="34"/>
  <c r="B1948" i="34"/>
  <c r="C1947" i="34"/>
  <c r="B1947" i="34"/>
  <c r="C1946" i="34"/>
  <c r="B1946" i="34"/>
  <c r="C1945" i="34"/>
  <c r="B1945" i="34"/>
  <c r="C1944" i="34"/>
  <c r="B1944" i="34"/>
  <c r="C1943" i="34"/>
  <c r="B1943" i="34"/>
  <c r="C1942" i="34"/>
  <c r="B1942" i="34"/>
  <c r="C1941" i="34"/>
  <c r="B1941" i="34"/>
  <c r="C1940" i="34"/>
  <c r="B1940" i="34"/>
  <c r="C1939" i="34"/>
  <c r="B1939" i="34"/>
  <c r="C1938" i="34"/>
  <c r="B1938" i="34"/>
  <c r="C1937" i="34"/>
  <c r="B1937" i="34"/>
  <c r="C1936" i="34"/>
  <c r="B1936" i="34"/>
  <c r="C1935" i="34"/>
  <c r="B1935" i="34"/>
  <c r="C1934" i="34"/>
  <c r="B1934" i="34"/>
  <c r="C1933" i="34"/>
  <c r="B1933" i="34"/>
  <c r="C1932" i="34"/>
  <c r="B1932" i="34"/>
  <c r="C1931" i="34"/>
  <c r="B1931" i="34"/>
  <c r="C1930" i="34"/>
  <c r="B1930" i="34"/>
  <c r="C1929" i="34"/>
  <c r="B1929" i="34"/>
  <c r="C1928" i="34"/>
  <c r="B1928" i="34"/>
  <c r="C1927" i="34"/>
  <c r="B1927" i="34"/>
  <c r="C1926" i="34"/>
  <c r="B1926" i="34"/>
  <c r="C1925" i="34"/>
  <c r="B1925" i="34"/>
  <c r="C1924" i="34"/>
  <c r="B1924" i="34"/>
  <c r="C1923" i="34"/>
  <c r="B1923" i="34"/>
  <c r="C1922" i="34"/>
  <c r="B1922" i="34"/>
  <c r="C1921" i="34"/>
  <c r="B1921" i="34"/>
  <c r="C1920" i="34"/>
  <c r="B1920" i="34"/>
  <c r="C1919" i="34"/>
  <c r="B1919" i="34"/>
  <c r="C1918" i="34"/>
  <c r="B1918" i="34"/>
  <c r="C1917" i="34"/>
  <c r="B1917" i="34"/>
  <c r="C1916" i="34"/>
  <c r="B1916" i="34"/>
  <c r="C1915" i="34"/>
  <c r="B1915" i="34"/>
  <c r="C1914" i="34"/>
  <c r="B1914" i="34"/>
  <c r="C1913" i="34"/>
  <c r="B1913" i="34"/>
  <c r="C1912" i="34"/>
  <c r="B1912" i="34"/>
  <c r="C1911" i="34"/>
  <c r="B1911" i="34"/>
  <c r="C1910" i="34"/>
  <c r="B1910" i="34"/>
  <c r="C1909" i="34"/>
  <c r="B1909" i="34"/>
  <c r="C1908" i="34"/>
  <c r="B1908" i="34"/>
  <c r="C1907" i="34"/>
  <c r="B1907" i="34"/>
  <c r="C1906" i="34"/>
  <c r="B1906" i="34"/>
  <c r="C1905" i="34"/>
  <c r="B1905" i="34"/>
  <c r="C1904" i="34"/>
  <c r="B1904" i="34"/>
  <c r="C1903" i="34"/>
  <c r="B1903" i="34"/>
  <c r="C1902" i="34"/>
  <c r="B1902" i="34"/>
  <c r="C1901" i="34"/>
  <c r="B1901" i="34"/>
  <c r="C1900" i="34"/>
  <c r="B1900" i="34"/>
  <c r="C1899" i="34"/>
  <c r="B1899" i="34"/>
  <c r="C1898" i="34"/>
  <c r="B1898" i="34"/>
  <c r="C1897" i="34"/>
  <c r="B1897" i="34"/>
  <c r="C1896" i="34"/>
  <c r="B1896" i="34"/>
  <c r="C1895" i="34"/>
  <c r="B1895" i="34"/>
  <c r="C1894" i="34"/>
  <c r="B1894" i="34"/>
  <c r="C1893" i="34"/>
  <c r="B1893" i="34"/>
  <c r="C1892" i="34"/>
  <c r="B1892" i="34"/>
  <c r="C1891" i="34"/>
  <c r="B1891" i="34"/>
  <c r="C1890" i="34"/>
  <c r="B1890" i="34"/>
  <c r="C1889" i="34"/>
  <c r="B1889" i="34"/>
  <c r="C1888" i="34"/>
  <c r="B1888" i="34"/>
  <c r="C1887" i="34"/>
  <c r="B1887" i="34"/>
  <c r="C1886" i="34"/>
  <c r="B1886" i="34"/>
  <c r="C1885" i="34"/>
  <c r="B1885" i="34"/>
  <c r="C1884" i="34"/>
  <c r="B1884" i="34"/>
  <c r="C1883" i="34"/>
  <c r="B1883" i="34"/>
  <c r="C1882" i="34"/>
  <c r="B1882" i="34"/>
  <c r="C1881" i="34"/>
  <c r="B1881" i="34"/>
  <c r="C1880" i="34"/>
  <c r="B1880" i="34"/>
  <c r="C1879" i="34"/>
  <c r="B1879" i="34"/>
  <c r="C1878" i="34"/>
  <c r="B1878" i="34"/>
  <c r="C1877" i="34"/>
  <c r="B1877" i="34"/>
  <c r="C1876" i="34"/>
  <c r="B1876" i="34"/>
  <c r="C1875" i="34"/>
  <c r="B1875" i="34"/>
  <c r="C1874" i="34"/>
  <c r="B1874" i="34"/>
  <c r="C1873" i="34"/>
  <c r="B1873" i="34"/>
  <c r="C1872" i="34"/>
  <c r="B1872" i="34"/>
  <c r="C1871" i="34"/>
  <c r="B1871" i="34"/>
  <c r="C1870" i="34"/>
  <c r="B1870" i="34"/>
  <c r="C1869" i="34"/>
  <c r="B1869" i="34"/>
  <c r="C1868" i="34"/>
  <c r="B1868" i="34"/>
  <c r="C1867" i="34"/>
  <c r="B1867" i="34"/>
  <c r="C1866" i="34"/>
  <c r="B1866" i="34"/>
  <c r="C1865" i="34"/>
  <c r="B1865" i="34"/>
  <c r="C1864" i="34"/>
  <c r="B1864" i="34"/>
  <c r="C1863" i="34"/>
  <c r="B1863" i="34"/>
  <c r="C1862" i="34"/>
  <c r="B1862" i="34"/>
  <c r="C1861" i="34"/>
  <c r="B1861" i="34"/>
  <c r="C1860" i="34"/>
  <c r="B1860" i="34"/>
  <c r="C1859" i="34"/>
  <c r="B1859" i="34"/>
  <c r="C1858" i="34"/>
  <c r="B1858" i="34"/>
  <c r="C1857" i="34"/>
  <c r="B1857" i="34"/>
  <c r="C1856" i="34"/>
  <c r="B1856" i="34"/>
  <c r="C1855" i="34"/>
  <c r="B1855" i="34"/>
  <c r="C1854" i="34"/>
  <c r="B1854" i="34"/>
  <c r="C1853" i="34"/>
  <c r="B1853" i="34"/>
  <c r="C1852" i="34"/>
  <c r="B1852" i="34"/>
  <c r="C1851" i="34"/>
  <c r="B1851" i="34"/>
  <c r="C1850" i="34"/>
  <c r="B1850" i="34"/>
  <c r="C1849" i="34"/>
  <c r="B1849" i="34"/>
  <c r="C1848" i="34"/>
  <c r="B1848" i="34"/>
  <c r="C1847" i="34"/>
  <c r="B1847" i="34"/>
  <c r="C1846" i="34"/>
  <c r="B1846" i="34"/>
  <c r="C1845" i="34"/>
  <c r="B1845" i="34"/>
  <c r="C1844" i="34"/>
  <c r="B1844" i="34"/>
  <c r="C1843" i="34"/>
  <c r="B1843" i="34"/>
  <c r="C1842" i="34"/>
  <c r="B1842" i="34"/>
  <c r="C1841" i="34"/>
  <c r="B1841" i="34"/>
  <c r="C1840" i="34"/>
  <c r="B1840" i="34"/>
  <c r="C1839" i="34"/>
  <c r="B1839" i="34"/>
  <c r="C1838" i="34"/>
  <c r="B1838" i="34"/>
  <c r="C1837" i="34"/>
  <c r="B1837" i="34"/>
  <c r="C1836" i="34"/>
  <c r="B1836" i="34"/>
  <c r="C1835" i="34"/>
  <c r="B1835" i="34"/>
  <c r="C1834" i="34"/>
  <c r="B1834" i="34"/>
  <c r="C1833" i="34"/>
  <c r="B1833" i="34"/>
  <c r="C1832" i="34"/>
  <c r="B1832" i="34"/>
  <c r="C1831" i="34"/>
  <c r="B1831" i="34"/>
  <c r="C1830" i="34"/>
  <c r="B1830" i="34"/>
  <c r="C1829" i="34"/>
  <c r="B1829" i="34"/>
  <c r="C1828" i="34"/>
  <c r="B1828" i="34"/>
  <c r="C1827" i="34"/>
  <c r="B1827" i="34"/>
  <c r="C1826" i="34"/>
  <c r="B1826" i="34"/>
  <c r="C1825" i="34"/>
  <c r="B1825" i="34"/>
  <c r="C1824" i="34"/>
  <c r="B1824" i="34"/>
  <c r="C1823" i="34"/>
  <c r="B1823" i="34"/>
  <c r="C1822" i="34"/>
  <c r="B1822" i="34"/>
  <c r="C1821" i="34"/>
  <c r="B1821" i="34"/>
  <c r="C1820" i="34"/>
  <c r="B1820" i="34"/>
  <c r="C1819" i="34"/>
  <c r="B1819" i="34"/>
  <c r="C1818" i="34"/>
  <c r="B1818" i="34"/>
  <c r="C1817" i="34"/>
  <c r="B1817" i="34"/>
  <c r="C1816" i="34"/>
  <c r="B1816" i="34"/>
  <c r="C1815" i="34"/>
  <c r="B1815" i="34"/>
  <c r="C1814" i="34"/>
  <c r="B1814" i="34"/>
  <c r="C1813" i="34"/>
  <c r="B1813" i="34"/>
  <c r="C1812" i="34"/>
  <c r="B1812" i="34"/>
  <c r="C1811" i="34"/>
  <c r="B1811" i="34"/>
  <c r="C1810" i="34"/>
  <c r="B1810" i="34"/>
  <c r="C1809" i="34"/>
  <c r="B1809" i="34"/>
  <c r="C1808" i="34"/>
  <c r="B1808" i="34"/>
  <c r="C1807" i="34"/>
  <c r="B1807" i="34"/>
  <c r="C1806" i="34"/>
  <c r="B1806" i="34"/>
  <c r="C1805" i="34"/>
  <c r="B1805" i="34"/>
  <c r="C1804" i="34"/>
  <c r="B1804" i="34"/>
  <c r="C1803" i="34"/>
  <c r="B1803" i="34"/>
  <c r="C1802" i="34"/>
  <c r="B1802" i="34"/>
  <c r="C1801" i="34"/>
  <c r="B1801" i="34"/>
  <c r="C1800" i="34"/>
  <c r="B1800" i="34"/>
  <c r="C1799" i="34"/>
  <c r="B1799" i="34"/>
  <c r="C1798" i="34"/>
  <c r="B1798" i="34"/>
  <c r="C1797" i="34"/>
  <c r="B1797" i="34"/>
  <c r="C1796" i="34"/>
  <c r="B1796" i="34"/>
  <c r="C1795" i="34"/>
  <c r="B1795" i="34"/>
  <c r="C1794" i="34"/>
  <c r="B1794" i="34"/>
  <c r="C1793" i="34"/>
  <c r="B1793" i="34"/>
  <c r="C1792" i="34"/>
  <c r="B1792" i="34"/>
  <c r="C1791" i="34"/>
  <c r="B1791" i="34"/>
  <c r="C1790" i="34"/>
  <c r="B1790" i="34"/>
  <c r="C1789" i="34"/>
  <c r="B1789" i="34"/>
  <c r="C1788" i="34"/>
  <c r="B1788" i="34"/>
  <c r="C1787" i="34"/>
  <c r="B1787" i="34"/>
  <c r="C1786" i="34"/>
  <c r="B1786" i="34"/>
  <c r="C1785" i="34"/>
  <c r="B1785" i="34"/>
  <c r="C1784" i="34"/>
  <c r="B1784" i="34"/>
  <c r="C1783" i="34"/>
  <c r="B1783" i="34"/>
  <c r="C1782" i="34"/>
  <c r="B1782" i="34"/>
  <c r="C1781" i="34"/>
  <c r="B1781" i="34"/>
  <c r="C1780" i="34"/>
  <c r="B1780" i="34"/>
  <c r="C1779" i="34"/>
  <c r="B1779" i="34"/>
  <c r="C1778" i="34"/>
  <c r="B1778" i="34"/>
  <c r="C1777" i="34"/>
  <c r="B1777" i="34"/>
  <c r="C1776" i="34"/>
  <c r="B1776" i="34"/>
  <c r="C1775" i="34"/>
  <c r="B1775" i="34"/>
  <c r="C1774" i="34"/>
  <c r="B1774" i="34"/>
  <c r="C1773" i="34"/>
  <c r="B1773" i="34"/>
  <c r="C1772" i="34"/>
  <c r="B1772" i="34"/>
  <c r="C1771" i="34"/>
  <c r="B1771" i="34"/>
  <c r="C1770" i="34"/>
  <c r="B1770" i="34"/>
  <c r="C1769" i="34"/>
  <c r="B1769" i="34"/>
  <c r="C1768" i="34"/>
  <c r="B1768" i="34"/>
  <c r="C1767" i="34"/>
  <c r="B1767" i="34"/>
  <c r="C1766" i="34"/>
  <c r="B1766" i="34"/>
  <c r="C1765" i="34"/>
  <c r="B1765" i="34"/>
  <c r="C1764" i="34"/>
  <c r="B1764" i="34"/>
  <c r="C1763" i="34"/>
  <c r="B1763" i="34"/>
  <c r="C1762" i="34"/>
  <c r="B1762" i="34"/>
  <c r="C1761" i="34"/>
  <c r="B1761" i="34"/>
  <c r="C1760" i="34"/>
  <c r="B1760" i="34"/>
  <c r="C1759" i="34"/>
  <c r="B1759" i="34"/>
  <c r="C1758" i="34"/>
  <c r="B1758" i="34"/>
  <c r="C1757" i="34"/>
  <c r="B1757" i="34"/>
  <c r="C1756" i="34"/>
  <c r="B1756" i="34"/>
  <c r="C1755" i="34"/>
  <c r="B1755" i="34"/>
  <c r="C1754" i="34"/>
  <c r="B1754" i="34"/>
  <c r="C1753" i="34"/>
  <c r="B1753" i="34"/>
  <c r="C1752" i="34"/>
  <c r="B1752" i="34"/>
  <c r="C1751" i="34"/>
  <c r="B1751" i="34"/>
  <c r="C1750" i="34"/>
  <c r="B1750" i="34"/>
  <c r="C1749" i="34"/>
  <c r="B1749" i="34"/>
  <c r="C1748" i="34"/>
  <c r="B1748" i="34"/>
  <c r="C1747" i="34"/>
  <c r="B1747" i="34"/>
  <c r="C1746" i="34"/>
  <c r="B1746" i="34"/>
  <c r="C1745" i="34"/>
  <c r="B1745" i="34"/>
  <c r="C1744" i="34"/>
  <c r="B1744" i="34"/>
  <c r="C1743" i="34"/>
  <c r="B1743" i="34"/>
  <c r="C1742" i="34"/>
  <c r="B1742" i="34"/>
  <c r="C1741" i="34"/>
  <c r="B1741" i="34"/>
  <c r="C1740" i="34"/>
  <c r="B1740" i="34"/>
  <c r="C1739" i="34"/>
  <c r="B1739" i="34"/>
  <c r="C1738" i="34"/>
  <c r="B1738" i="34"/>
  <c r="C1737" i="34"/>
  <c r="B1737" i="34"/>
  <c r="C1736" i="34"/>
  <c r="B1736" i="34"/>
  <c r="C1735" i="34"/>
  <c r="B1735" i="34"/>
  <c r="C1734" i="34"/>
  <c r="B1734" i="34"/>
  <c r="C1733" i="34"/>
  <c r="B1733" i="34"/>
  <c r="C1732" i="34"/>
  <c r="B1732" i="34"/>
  <c r="C1731" i="34"/>
  <c r="B1731" i="34"/>
  <c r="C1730" i="34"/>
  <c r="B1730" i="34"/>
  <c r="C1729" i="34"/>
  <c r="B1729" i="34"/>
  <c r="C1728" i="34"/>
  <c r="B1728" i="34"/>
  <c r="C1727" i="34"/>
  <c r="B1727" i="34"/>
  <c r="C1726" i="34"/>
  <c r="B1726" i="34"/>
  <c r="C1725" i="34"/>
  <c r="B1725" i="34"/>
  <c r="C1724" i="34"/>
  <c r="B1724" i="34"/>
  <c r="C1723" i="34"/>
  <c r="B1723" i="34"/>
  <c r="C1722" i="34"/>
  <c r="B1722" i="34"/>
  <c r="C1721" i="34"/>
  <c r="B1721" i="34"/>
  <c r="C1720" i="34"/>
  <c r="B1720" i="34"/>
  <c r="C1719" i="34"/>
  <c r="B1719" i="34"/>
  <c r="C1718" i="34"/>
  <c r="B1718" i="34"/>
  <c r="C1717" i="34"/>
  <c r="B1717" i="34"/>
  <c r="C1716" i="34"/>
  <c r="B1716" i="34"/>
  <c r="C1715" i="34"/>
  <c r="B1715" i="34"/>
  <c r="C1714" i="34"/>
  <c r="B1714" i="34"/>
  <c r="C1713" i="34"/>
  <c r="B1713" i="34"/>
  <c r="C1712" i="34"/>
  <c r="B1712" i="34"/>
  <c r="C1711" i="34"/>
  <c r="B1711" i="34"/>
  <c r="C1710" i="34"/>
  <c r="B1710" i="34"/>
  <c r="C1709" i="34"/>
  <c r="B1709" i="34"/>
  <c r="C1708" i="34"/>
  <c r="B1708" i="34"/>
  <c r="C1707" i="34"/>
  <c r="B1707" i="34"/>
  <c r="C1706" i="34"/>
  <c r="B1706" i="34"/>
  <c r="C1705" i="34"/>
  <c r="B1705" i="34"/>
  <c r="C1704" i="34"/>
  <c r="B1704" i="34"/>
  <c r="C1703" i="34"/>
  <c r="B1703" i="34"/>
  <c r="C1702" i="34"/>
  <c r="B1702" i="34"/>
  <c r="C1701" i="34"/>
  <c r="B1701" i="34"/>
  <c r="C1700" i="34"/>
  <c r="B1700" i="34"/>
  <c r="C1699" i="34"/>
  <c r="B1699" i="34"/>
  <c r="C1698" i="34"/>
  <c r="B1698" i="34"/>
  <c r="C1697" i="34"/>
  <c r="B1697" i="34"/>
  <c r="C1696" i="34"/>
  <c r="B1696" i="34"/>
  <c r="C1695" i="34"/>
  <c r="B1695" i="34"/>
  <c r="C1694" i="34"/>
  <c r="B1694" i="34"/>
  <c r="C1693" i="34"/>
  <c r="B1693" i="34"/>
  <c r="C1692" i="34"/>
  <c r="B1692" i="34"/>
  <c r="C1691" i="34"/>
  <c r="B1691" i="34"/>
  <c r="C1690" i="34"/>
  <c r="B1690" i="34"/>
  <c r="C1689" i="34"/>
  <c r="B1689" i="34"/>
  <c r="C1688" i="34"/>
  <c r="B1688" i="34"/>
  <c r="C1687" i="34"/>
  <c r="B1687" i="34"/>
  <c r="C1686" i="34"/>
  <c r="B1686" i="34"/>
  <c r="C1685" i="34"/>
  <c r="B1685" i="34"/>
  <c r="C1684" i="34"/>
  <c r="B1684" i="34"/>
  <c r="C1683" i="34"/>
  <c r="B1683" i="34"/>
  <c r="C1682" i="34"/>
  <c r="B1682" i="34"/>
  <c r="C1681" i="34"/>
  <c r="B1681" i="34"/>
  <c r="C1680" i="34"/>
  <c r="B1680" i="34"/>
  <c r="C1679" i="34"/>
  <c r="B1679" i="34"/>
  <c r="C1678" i="34"/>
  <c r="B1678" i="34"/>
  <c r="C1677" i="34"/>
  <c r="B1677" i="34"/>
  <c r="C1676" i="34"/>
  <c r="B1676" i="34"/>
  <c r="C1675" i="34"/>
  <c r="B1675" i="34"/>
  <c r="C1674" i="34"/>
  <c r="B1674" i="34"/>
  <c r="C1673" i="34"/>
  <c r="B1673" i="34"/>
  <c r="C1672" i="34"/>
  <c r="B1672" i="34"/>
  <c r="C1671" i="34"/>
  <c r="B1671" i="34"/>
  <c r="C1670" i="34"/>
  <c r="B1670" i="34"/>
  <c r="C1669" i="34"/>
  <c r="B1669" i="34"/>
  <c r="C1668" i="34"/>
  <c r="B1668" i="34"/>
  <c r="C1667" i="34"/>
  <c r="B1667" i="34"/>
  <c r="C1666" i="34"/>
  <c r="B1666" i="34"/>
  <c r="C1665" i="34"/>
  <c r="B1665" i="34"/>
  <c r="C1664" i="34"/>
  <c r="B1664" i="34"/>
  <c r="C1663" i="34"/>
  <c r="B1663" i="34"/>
  <c r="C1662" i="34"/>
  <c r="B1662" i="34"/>
  <c r="C1661" i="34"/>
  <c r="B1661" i="34"/>
  <c r="C1660" i="34"/>
  <c r="B1660" i="34"/>
  <c r="C1659" i="34"/>
  <c r="B1659" i="34"/>
  <c r="C1658" i="34"/>
  <c r="B1658" i="34"/>
  <c r="C1657" i="34"/>
  <c r="B1657" i="34"/>
  <c r="C1656" i="34"/>
  <c r="B1656" i="34"/>
  <c r="C1655" i="34"/>
  <c r="B1655" i="34"/>
  <c r="C1654" i="34"/>
  <c r="B1654" i="34"/>
  <c r="C1653" i="34"/>
  <c r="B1653" i="34"/>
  <c r="C1652" i="34"/>
  <c r="B1652" i="34"/>
  <c r="C1651" i="34"/>
  <c r="B1651" i="34"/>
  <c r="C1650" i="34"/>
  <c r="B1650" i="34"/>
  <c r="C1649" i="34"/>
  <c r="B1649" i="34"/>
  <c r="C1648" i="34"/>
  <c r="B1648" i="34"/>
  <c r="C1647" i="34"/>
  <c r="B1647" i="34"/>
  <c r="C1646" i="34"/>
  <c r="B1646" i="34"/>
  <c r="C1645" i="34"/>
  <c r="B1645" i="34"/>
  <c r="C1644" i="34"/>
  <c r="B1644" i="34"/>
  <c r="C1643" i="34"/>
  <c r="B1643" i="34"/>
  <c r="C1642" i="34"/>
  <c r="B1642" i="34"/>
  <c r="C1641" i="34"/>
  <c r="B1641" i="34"/>
  <c r="C1640" i="34"/>
  <c r="B1640" i="34"/>
  <c r="C1639" i="34"/>
  <c r="B1639" i="34"/>
  <c r="C1638" i="34"/>
  <c r="B1638" i="34"/>
  <c r="C1637" i="34"/>
  <c r="B1637" i="34"/>
  <c r="C1636" i="34"/>
  <c r="B1636" i="34"/>
  <c r="C1635" i="34"/>
  <c r="B1635" i="34"/>
  <c r="C1634" i="34"/>
  <c r="B1634" i="34"/>
  <c r="C1633" i="34"/>
  <c r="B1633" i="34"/>
  <c r="C1632" i="34"/>
  <c r="B1632" i="34"/>
  <c r="C1631" i="34"/>
  <c r="B1631" i="34"/>
  <c r="C1630" i="34"/>
  <c r="B1630" i="34"/>
  <c r="C1629" i="34"/>
  <c r="B1629" i="34"/>
  <c r="C1628" i="34"/>
  <c r="B1628" i="34"/>
  <c r="C1627" i="34"/>
  <c r="B1627" i="34"/>
  <c r="C1626" i="34"/>
  <c r="B1626" i="34"/>
  <c r="C1625" i="34"/>
  <c r="B1625" i="34"/>
  <c r="C1624" i="34"/>
  <c r="B1624" i="34"/>
  <c r="C1623" i="34"/>
  <c r="B1623" i="34"/>
  <c r="C1622" i="34"/>
  <c r="B1622" i="34"/>
  <c r="C1621" i="34"/>
  <c r="B1621" i="34"/>
  <c r="C1620" i="34"/>
  <c r="B1620" i="34"/>
  <c r="C1619" i="34"/>
  <c r="B1619" i="34"/>
  <c r="C1618" i="34"/>
  <c r="B1618" i="34"/>
  <c r="C1617" i="34"/>
  <c r="B1617" i="34"/>
  <c r="C1616" i="34"/>
  <c r="B1616" i="34"/>
  <c r="C1615" i="34"/>
  <c r="B1615" i="34"/>
  <c r="C1614" i="34"/>
  <c r="B1614" i="34"/>
  <c r="C1613" i="34"/>
  <c r="B1613" i="34"/>
  <c r="C1612" i="34"/>
  <c r="B1612" i="34"/>
  <c r="C1611" i="34"/>
  <c r="B1611" i="34"/>
  <c r="C1610" i="34"/>
  <c r="B1610" i="34"/>
  <c r="C1609" i="34"/>
  <c r="B1609" i="34"/>
  <c r="C1608" i="34"/>
  <c r="B1608" i="34"/>
  <c r="C1607" i="34"/>
  <c r="B1607" i="34"/>
  <c r="C1606" i="34"/>
  <c r="B1606" i="34"/>
  <c r="C1605" i="34"/>
  <c r="B1605" i="34"/>
  <c r="C1604" i="34"/>
  <c r="B1604" i="34"/>
  <c r="C1603" i="34"/>
  <c r="B1603" i="34"/>
  <c r="C1602" i="34"/>
  <c r="B1602" i="34"/>
  <c r="C1601" i="34"/>
  <c r="B1601" i="34"/>
  <c r="C1600" i="34"/>
  <c r="B1600" i="34"/>
  <c r="C1599" i="34"/>
  <c r="B1599" i="34"/>
  <c r="C1598" i="34"/>
  <c r="B1598" i="34"/>
  <c r="C1597" i="34"/>
  <c r="B1597" i="34"/>
  <c r="C1596" i="34"/>
  <c r="B1596" i="34"/>
  <c r="C1595" i="34"/>
  <c r="B1595" i="34"/>
  <c r="C1594" i="34"/>
  <c r="B1594" i="34"/>
  <c r="C1593" i="34"/>
  <c r="B1593" i="34"/>
  <c r="C1592" i="34"/>
  <c r="B1592" i="34"/>
  <c r="C1591" i="34"/>
  <c r="B1591" i="34"/>
  <c r="C1590" i="34"/>
  <c r="B1590" i="34"/>
  <c r="C1589" i="34"/>
  <c r="B1589" i="34"/>
  <c r="C1588" i="34"/>
  <c r="B1588" i="34"/>
  <c r="C1587" i="34"/>
  <c r="B1587" i="34"/>
  <c r="C1586" i="34"/>
  <c r="B1586" i="34"/>
  <c r="C1585" i="34"/>
  <c r="B1585" i="34"/>
  <c r="C1584" i="34"/>
  <c r="B1584" i="34"/>
  <c r="C1583" i="34"/>
  <c r="B1583" i="34"/>
  <c r="C1582" i="34"/>
  <c r="B1582" i="34"/>
  <c r="C1581" i="34"/>
  <c r="B1581" i="34"/>
  <c r="C1580" i="34"/>
  <c r="B1580" i="34"/>
  <c r="C1579" i="34"/>
  <c r="B1579" i="34"/>
  <c r="C1578" i="34"/>
  <c r="B1578" i="34"/>
  <c r="C1577" i="34"/>
  <c r="B1577" i="34"/>
  <c r="C1576" i="34"/>
  <c r="B1576" i="34"/>
  <c r="C1575" i="34"/>
  <c r="B1575" i="34"/>
  <c r="C1574" i="34"/>
  <c r="B1574" i="34"/>
  <c r="C1573" i="34"/>
  <c r="B1573" i="34"/>
  <c r="C1572" i="34"/>
  <c r="B1572" i="34"/>
  <c r="C1571" i="34"/>
  <c r="B1571" i="34"/>
  <c r="C1570" i="34"/>
  <c r="B1570" i="34"/>
  <c r="C1569" i="34"/>
  <c r="B1569" i="34"/>
  <c r="C1568" i="34"/>
  <c r="B1568" i="34"/>
  <c r="C1567" i="34"/>
  <c r="B1567" i="34"/>
  <c r="C1566" i="34"/>
  <c r="B1566" i="34"/>
  <c r="C1565" i="34"/>
  <c r="B1565" i="34"/>
  <c r="C1564" i="34"/>
  <c r="B1564" i="34"/>
  <c r="C1563" i="34"/>
  <c r="B1563" i="34"/>
  <c r="C1562" i="34"/>
  <c r="B1562" i="34"/>
  <c r="C1561" i="34"/>
  <c r="B1561" i="34"/>
  <c r="C1560" i="34"/>
  <c r="B1560" i="34"/>
  <c r="C1559" i="34"/>
  <c r="B1559" i="34"/>
  <c r="C1558" i="34"/>
  <c r="B1558" i="34"/>
  <c r="C1557" i="34"/>
  <c r="B1557" i="34"/>
  <c r="C1556" i="34"/>
  <c r="B1556" i="34"/>
  <c r="C1555" i="34"/>
  <c r="B1555" i="34"/>
  <c r="C1554" i="34"/>
  <c r="B1554" i="34"/>
  <c r="C1553" i="34"/>
  <c r="B1553" i="34"/>
  <c r="C1552" i="34"/>
  <c r="B1552" i="34"/>
  <c r="C1551" i="34"/>
  <c r="B1551" i="34"/>
  <c r="C1550" i="34"/>
  <c r="B1550" i="34"/>
  <c r="C1549" i="34"/>
  <c r="B1549" i="34"/>
  <c r="C1548" i="34"/>
  <c r="B1548" i="34"/>
  <c r="C1547" i="34"/>
  <c r="B1547" i="34"/>
  <c r="C1546" i="34"/>
  <c r="B1546" i="34"/>
  <c r="C1545" i="34"/>
  <c r="B1545" i="34"/>
  <c r="C1544" i="34"/>
  <c r="B1544" i="34"/>
  <c r="C1543" i="34"/>
  <c r="B1543" i="34"/>
  <c r="C1542" i="34"/>
  <c r="B1542" i="34"/>
  <c r="C1541" i="34"/>
  <c r="B1541" i="34"/>
  <c r="C1540" i="34"/>
  <c r="B1540" i="34"/>
  <c r="C1539" i="34"/>
  <c r="B1539" i="34"/>
  <c r="C1538" i="34"/>
  <c r="B1538" i="34"/>
  <c r="C1537" i="34"/>
  <c r="B1537" i="34"/>
  <c r="C1536" i="34"/>
  <c r="B1536" i="34"/>
  <c r="C1535" i="34"/>
  <c r="B1535" i="34"/>
  <c r="C1534" i="34"/>
  <c r="B1534" i="34"/>
  <c r="C1533" i="34"/>
  <c r="B1533" i="34"/>
  <c r="C1532" i="34"/>
  <c r="B1532" i="34"/>
  <c r="C1531" i="34"/>
  <c r="B1531" i="34"/>
  <c r="C1530" i="34"/>
  <c r="B1530" i="34"/>
  <c r="C1529" i="34"/>
  <c r="B1529" i="34"/>
  <c r="C1528" i="34"/>
  <c r="B1528" i="34"/>
  <c r="C1527" i="34"/>
  <c r="B1527" i="34"/>
  <c r="C1526" i="34"/>
  <c r="B1526" i="34"/>
  <c r="C1525" i="34"/>
  <c r="B1525" i="34"/>
  <c r="C1524" i="34"/>
  <c r="B1524" i="34"/>
  <c r="C1523" i="34"/>
  <c r="B1523" i="34"/>
  <c r="C1522" i="34"/>
  <c r="B1522" i="34"/>
  <c r="C1521" i="34"/>
  <c r="B1521" i="34"/>
  <c r="C1520" i="34"/>
  <c r="B1520" i="34"/>
  <c r="C1519" i="34"/>
  <c r="B1519" i="34"/>
  <c r="C1518" i="34"/>
  <c r="B1518" i="34"/>
  <c r="C1517" i="34"/>
  <c r="B1517" i="34"/>
  <c r="C1516" i="34"/>
  <c r="B1516" i="34"/>
  <c r="C1515" i="34"/>
  <c r="B1515" i="34"/>
  <c r="C1514" i="34"/>
  <c r="B1514" i="34"/>
  <c r="C1513" i="34"/>
  <c r="B1513" i="34"/>
  <c r="C1512" i="34"/>
  <c r="B1512" i="34"/>
  <c r="C1511" i="34"/>
  <c r="B1511" i="34"/>
  <c r="C1510" i="34"/>
  <c r="B1510" i="34"/>
  <c r="C1509" i="34"/>
  <c r="B1509" i="34"/>
  <c r="C1508" i="34"/>
  <c r="B1508" i="34"/>
  <c r="C1507" i="34"/>
  <c r="B1507" i="34"/>
  <c r="C1506" i="34"/>
  <c r="B1506" i="34"/>
  <c r="C1505" i="34"/>
  <c r="B1505" i="34"/>
  <c r="C1504" i="34"/>
  <c r="B1504" i="34"/>
  <c r="C1503" i="34"/>
  <c r="B1503" i="34"/>
  <c r="C1502" i="34"/>
  <c r="B1502" i="34"/>
  <c r="C1501" i="34"/>
  <c r="B1501" i="34"/>
  <c r="C1500" i="34"/>
  <c r="B1500" i="34"/>
  <c r="C1499" i="34"/>
  <c r="B1499" i="34"/>
  <c r="C1498" i="34"/>
  <c r="B1498" i="34"/>
  <c r="C1497" i="34"/>
  <c r="B1497" i="34"/>
  <c r="C1496" i="34"/>
  <c r="B1496" i="34"/>
  <c r="C1495" i="34"/>
  <c r="B1495" i="34"/>
  <c r="C1494" i="34"/>
  <c r="B1494" i="34"/>
  <c r="C1493" i="34"/>
  <c r="B1493" i="34"/>
  <c r="C1492" i="34"/>
  <c r="B1492" i="34"/>
  <c r="C1491" i="34"/>
  <c r="B1491" i="34"/>
  <c r="C1490" i="34"/>
  <c r="B1490" i="34"/>
  <c r="C1489" i="34"/>
  <c r="B1489" i="34"/>
  <c r="C1488" i="34"/>
  <c r="B1488" i="34"/>
  <c r="C1487" i="34"/>
  <c r="B1487" i="34"/>
  <c r="C1486" i="34"/>
  <c r="B1486" i="34"/>
  <c r="C1485" i="34"/>
  <c r="B1485" i="34"/>
  <c r="C1484" i="34"/>
  <c r="B1484" i="34"/>
  <c r="C1483" i="34"/>
  <c r="B1483" i="34"/>
  <c r="C1482" i="34"/>
  <c r="B1482" i="34"/>
  <c r="C1481" i="34"/>
  <c r="B1481" i="34"/>
  <c r="C1480" i="34"/>
  <c r="B1480" i="34"/>
  <c r="C1479" i="34"/>
  <c r="B1479" i="34"/>
  <c r="C1478" i="34"/>
  <c r="B1478" i="34"/>
  <c r="C1477" i="34"/>
  <c r="B1477" i="34"/>
  <c r="C1476" i="34"/>
  <c r="B1476" i="34"/>
  <c r="C1475" i="34"/>
  <c r="B1475" i="34"/>
  <c r="C1474" i="34"/>
  <c r="B1474" i="34"/>
  <c r="C1473" i="34"/>
  <c r="B1473" i="34"/>
  <c r="C1472" i="34"/>
  <c r="B1472" i="34"/>
  <c r="C1471" i="34"/>
  <c r="B1471" i="34"/>
  <c r="C1470" i="34"/>
  <c r="B1470" i="34"/>
  <c r="C1469" i="34"/>
  <c r="B1469" i="34"/>
  <c r="C1468" i="34"/>
  <c r="B1468" i="34"/>
  <c r="C1467" i="34"/>
  <c r="B1467" i="34"/>
  <c r="C1466" i="34"/>
  <c r="B1466" i="34"/>
  <c r="C1465" i="34"/>
  <c r="B1465" i="34"/>
  <c r="C1464" i="34"/>
  <c r="B1464" i="34"/>
  <c r="C1463" i="34"/>
  <c r="B1463" i="34"/>
  <c r="C1462" i="34"/>
  <c r="B1462" i="34"/>
  <c r="C1461" i="34"/>
  <c r="B1461" i="34"/>
  <c r="C1460" i="34"/>
  <c r="B1460" i="34"/>
  <c r="C1459" i="34"/>
  <c r="B1459" i="34"/>
  <c r="C1458" i="34"/>
  <c r="B1458" i="34"/>
  <c r="C1457" i="34"/>
  <c r="B1457" i="34"/>
  <c r="C1456" i="34"/>
  <c r="B1456" i="34"/>
  <c r="C1455" i="34"/>
  <c r="B1455" i="34"/>
  <c r="C1454" i="34"/>
  <c r="B1454" i="34"/>
  <c r="C1453" i="34"/>
  <c r="B1453" i="34"/>
  <c r="C1452" i="34"/>
  <c r="B1452" i="34"/>
  <c r="C1451" i="34"/>
  <c r="B1451" i="34"/>
  <c r="C1450" i="34"/>
  <c r="B1450" i="34"/>
  <c r="C1449" i="34"/>
  <c r="B1449" i="34"/>
  <c r="C1448" i="34"/>
  <c r="B1448" i="34"/>
  <c r="C1447" i="34"/>
  <c r="B1447" i="34"/>
  <c r="C1446" i="34"/>
  <c r="B1446" i="34"/>
  <c r="C1445" i="34"/>
  <c r="B1445" i="34"/>
  <c r="C1444" i="34"/>
  <c r="B1444" i="34"/>
  <c r="C1443" i="34"/>
  <c r="B1443" i="34"/>
  <c r="C1442" i="34"/>
  <c r="B1442" i="34"/>
  <c r="C1441" i="34"/>
  <c r="B1441" i="34"/>
  <c r="C1440" i="34"/>
  <c r="B1440" i="34"/>
  <c r="C1439" i="34"/>
  <c r="B1439" i="34"/>
  <c r="C1438" i="34"/>
  <c r="B1438" i="34"/>
  <c r="C1437" i="34"/>
  <c r="B1437" i="34"/>
  <c r="C1436" i="34"/>
  <c r="B1436" i="34"/>
  <c r="C1435" i="34"/>
  <c r="B1435" i="34"/>
  <c r="C1434" i="34"/>
  <c r="B1434" i="34"/>
  <c r="C1433" i="34"/>
  <c r="B1433" i="34"/>
  <c r="C1432" i="34"/>
  <c r="B1432" i="34"/>
  <c r="C1431" i="34"/>
  <c r="B1431" i="34"/>
  <c r="C1430" i="34"/>
  <c r="B1430" i="34"/>
  <c r="C1429" i="34"/>
  <c r="B1429" i="34"/>
  <c r="C1428" i="34"/>
  <c r="B1428" i="34"/>
  <c r="C1427" i="34"/>
  <c r="B1427" i="34"/>
  <c r="C1426" i="34"/>
  <c r="B1426" i="34"/>
  <c r="C1425" i="34"/>
  <c r="B1425" i="34"/>
  <c r="C1424" i="34"/>
  <c r="B1424" i="34"/>
  <c r="C1423" i="34"/>
  <c r="B1423" i="34"/>
  <c r="C1422" i="34"/>
  <c r="B1422" i="34"/>
  <c r="C1421" i="34"/>
  <c r="B1421" i="34"/>
  <c r="C1420" i="34"/>
  <c r="B1420" i="34"/>
  <c r="C1419" i="34"/>
  <c r="B1419" i="34"/>
  <c r="C1418" i="34"/>
  <c r="B1418" i="34"/>
  <c r="C1417" i="34"/>
  <c r="B1417" i="34"/>
  <c r="C1416" i="34"/>
  <c r="B1416" i="34"/>
  <c r="C1415" i="34"/>
  <c r="B1415" i="34"/>
  <c r="C1414" i="34"/>
  <c r="B1414" i="34"/>
  <c r="C1413" i="34"/>
  <c r="B1413" i="34"/>
  <c r="C1412" i="34"/>
  <c r="B1412" i="34"/>
  <c r="C1411" i="34"/>
  <c r="B1411" i="34"/>
  <c r="C1410" i="34"/>
  <c r="B1410" i="34"/>
  <c r="C1409" i="34"/>
  <c r="B1409" i="34"/>
  <c r="C1408" i="34"/>
  <c r="B1408" i="34"/>
  <c r="C1407" i="34"/>
  <c r="B1407" i="34"/>
  <c r="C1406" i="34"/>
  <c r="B1406" i="34"/>
  <c r="C1405" i="34"/>
  <c r="B1405" i="34"/>
  <c r="C1404" i="34"/>
  <c r="B1404" i="34"/>
  <c r="C1403" i="34"/>
  <c r="B1403" i="34"/>
  <c r="C1402" i="34"/>
  <c r="B1402" i="34"/>
  <c r="C1401" i="34"/>
  <c r="B1401" i="34"/>
  <c r="C1400" i="34"/>
  <c r="B1400" i="34"/>
  <c r="C1399" i="34"/>
  <c r="B1399" i="34"/>
  <c r="C1398" i="34"/>
  <c r="B1398" i="34"/>
  <c r="C1397" i="34"/>
  <c r="B1397" i="34"/>
  <c r="C1396" i="34"/>
  <c r="B1396" i="34"/>
  <c r="C1395" i="34"/>
  <c r="B1395" i="34"/>
  <c r="C1394" i="34"/>
  <c r="B1394" i="34"/>
  <c r="C1393" i="34"/>
  <c r="B1393" i="34"/>
  <c r="C1392" i="34"/>
  <c r="B1392" i="34"/>
  <c r="C1391" i="34"/>
  <c r="B1391" i="34"/>
  <c r="C1390" i="34"/>
  <c r="B1390" i="34"/>
  <c r="C1389" i="34"/>
  <c r="B1389" i="34"/>
  <c r="C1388" i="34"/>
  <c r="B1388" i="34"/>
  <c r="C1387" i="34"/>
  <c r="B1387" i="34"/>
  <c r="C1386" i="34"/>
  <c r="B1386" i="34"/>
  <c r="C1385" i="34"/>
  <c r="B1385" i="34"/>
  <c r="C1384" i="34"/>
  <c r="B1384" i="34"/>
  <c r="C1383" i="34"/>
  <c r="B1383" i="34"/>
  <c r="C1382" i="34"/>
  <c r="B1382" i="34"/>
  <c r="C1381" i="34"/>
  <c r="B1381" i="34"/>
  <c r="C1380" i="34"/>
  <c r="B1380" i="34"/>
  <c r="C1379" i="34"/>
  <c r="B1379" i="34"/>
  <c r="C1378" i="34"/>
  <c r="B1378" i="34"/>
  <c r="C1377" i="34"/>
  <c r="B1377" i="34"/>
  <c r="C1376" i="34"/>
  <c r="B1376" i="34"/>
  <c r="C1375" i="34"/>
  <c r="B1375" i="34"/>
  <c r="C1374" i="34"/>
  <c r="B1374" i="34"/>
  <c r="C1373" i="34"/>
  <c r="B1373" i="34"/>
  <c r="C1372" i="34"/>
  <c r="B1372" i="34"/>
  <c r="C1371" i="34"/>
  <c r="B1371" i="34"/>
  <c r="C1370" i="34"/>
  <c r="B1370" i="34"/>
  <c r="C1369" i="34"/>
  <c r="B1369" i="34"/>
  <c r="C1368" i="34"/>
  <c r="B1368" i="34"/>
  <c r="C1367" i="34"/>
  <c r="B1367" i="34"/>
  <c r="C1366" i="34"/>
  <c r="B1366" i="34"/>
  <c r="C1365" i="34"/>
  <c r="B1365" i="34"/>
  <c r="C1364" i="34"/>
  <c r="B1364" i="34"/>
  <c r="C1363" i="34"/>
  <c r="B1363" i="34"/>
  <c r="C1362" i="34"/>
  <c r="B1362" i="34"/>
  <c r="C1361" i="34"/>
  <c r="B1361" i="34"/>
  <c r="C1360" i="34"/>
  <c r="B1360" i="34"/>
  <c r="C1359" i="34"/>
  <c r="B1359" i="34"/>
  <c r="C1358" i="34"/>
  <c r="B1358" i="34"/>
  <c r="C1357" i="34"/>
  <c r="B1357" i="34"/>
  <c r="C1356" i="34"/>
  <c r="B1356" i="34"/>
  <c r="C1355" i="34"/>
  <c r="B1355" i="34"/>
  <c r="C1354" i="34"/>
  <c r="B1354" i="34"/>
  <c r="C1353" i="34"/>
  <c r="B1353" i="34"/>
  <c r="C1352" i="34"/>
  <c r="B1352" i="34"/>
  <c r="C1351" i="34"/>
  <c r="B1351" i="34"/>
  <c r="C1350" i="34"/>
  <c r="B1350" i="34"/>
  <c r="C1349" i="34"/>
  <c r="B1349" i="34"/>
  <c r="C1348" i="34"/>
  <c r="B1348" i="34"/>
  <c r="C1347" i="34"/>
  <c r="B1347" i="34"/>
  <c r="C1346" i="34"/>
  <c r="B1346" i="34"/>
  <c r="C1345" i="34"/>
  <c r="B1345" i="34"/>
  <c r="C1344" i="34"/>
  <c r="B1344" i="34"/>
  <c r="C1343" i="34"/>
  <c r="B1343" i="34"/>
  <c r="C1342" i="34"/>
  <c r="B1342" i="34"/>
  <c r="C1341" i="34"/>
  <c r="B1341" i="34"/>
  <c r="C1340" i="34"/>
  <c r="B1340" i="34"/>
  <c r="C1339" i="34"/>
  <c r="B1339" i="34"/>
  <c r="C1338" i="34"/>
  <c r="B1338" i="34"/>
  <c r="C1337" i="34"/>
  <c r="B1337" i="34"/>
  <c r="C1336" i="34"/>
  <c r="B1336" i="34"/>
  <c r="C1335" i="34"/>
  <c r="B1335" i="34"/>
  <c r="C1334" i="34"/>
  <c r="B1334" i="34"/>
  <c r="C1333" i="34"/>
  <c r="B1333" i="34"/>
  <c r="C1332" i="34"/>
  <c r="B1332" i="34"/>
  <c r="C1331" i="34"/>
  <c r="B1331" i="34"/>
  <c r="C1330" i="34"/>
  <c r="B1330" i="34"/>
  <c r="C1329" i="34"/>
  <c r="B1329" i="34"/>
  <c r="C1328" i="34"/>
  <c r="B1328" i="34"/>
  <c r="C1327" i="34"/>
  <c r="B1327" i="34"/>
  <c r="C1326" i="34"/>
  <c r="B1326" i="34"/>
  <c r="C1325" i="34"/>
  <c r="B1325" i="34"/>
  <c r="C1324" i="34"/>
  <c r="B1324" i="34"/>
  <c r="C1323" i="34"/>
  <c r="B1323" i="34"/>
  <c r="C1322" i="34"/>
  <c r="B1322" i="34"/>
  <c r="C1321" i="34"/>
  <c r="B1321" i="34"/>
  <c r="C1320" i="34"/>
  <c r="B1320" i="34"/>
  <c r="C1319" i="34"/>
  <c r="B1319" i="34"/>
  <c r="C1318" i="34"/>
  <c r="B1318" i="34"/>
  <c r="C1317" i="34"/>
  <c r="B1317" i="34"/>
  <c r="C1316" i="34"/>
  <c r="B1316" i="34"/>
  <c r="C1315" i="34"/>
  <c r="B1315" i="34"/>
  <c r="C1314" i="34"/>
  <c r="B1314" i="34"/>
  <c r="C1313" i="34"/>
  <c r="B1313" i="34"/>
  <c r="C1312" i="34"/>
  <c r="B1312" i="34"/>
  <c r="C1311" i="34"/>
  <c r="B1311" i="34"/>
  <c r="C1310" i="34"/>
  <c r="B1310" i="34"/>
  <c r="C1309" i="34"/>
  <c r="B1309" i="34"/>
  <c r="C1308" i="34"/>
  <c r="B1308" i="34"/>
  <c r="C1307" i="34"/>
  <c r="B1307" i="34"/>
  <c r="C1306" i="34"/>
  <c r="B1306" i="34"/>
  <c r="C1305" i="34"/>
  <c r="B1305" i="34"/>
  <c r="C1304" i="34"/>
  <c r="B1304" i="34"/>
  <c r="C1303" i="34"/>
  <c r="B1303" i="34"/>
  <c r="C1302" i="34"/>
  <c r="B1302" i="34"/>
  <c r="C1301" i="34"/>
  <c r="B1301" i="34"/>
  <c r="C1300" i="34"/>
  <c r="B1300" i="34"/>
  <c r="C1299" i="34"/>
  <c r="B1299" i="34"/>
  <c r="C1298" i="34"/>
  <c r="B1298" i="34"/>
  <c r="C1297" i="34"/>
  <c r="B1297" i="34"/>
  <c r="C1296" i="34"/>
  <c r="B1296" i="34"/>
  <c r="C1295" i="34"/>
  <c r="B1295" i="34"/>
  <c r="C1294" i="34"/>
  <c r="B1294" i="34"/>
  <c r="C1293" i="34"/>
  <c r="B1293" i="34"/>
  <c r="C1292" i="34"/>
  <c r="B1292" i="34"/>
  <c r="C1291" i="34"/>
  <c r="B1291" i="34"/>
  <c r="C1290" i="34"/>
  <c r="B1290" i="34"/>
  <c r="C1289" i="34"/>
  <c r="B1289" i="34"/>
  <c r="C1288" i="34"/>
  <c r="B1288" i="34"/>
  <c r="C1287" i="34"/>
  <c r="B1287" i="34"/>
  <c r="C1286" i="34"/>
  <c r="B1286" i="34"/>
  <c r="C1285" i="34"/>
  <c r="B1285" i="34"/>
  <c r="C1284" i="34"/>
  <c r="B1284" i="34"/>
  <c r="C1283" i="34"/>
  <c r="B1283" i="34"/>
  <c r="C1282" i="34"/>
  <c r="B1282" i="34"/>
  <c r="C1281" i="34"/>
  <c r="B1281" i="34"/>
  <c r="C1280" i="34"/>
  <c r="B1280" i="34"/>
  <c r="C1279" i="34"/>
  <c r="B1279" i="34"/>
  <c r="C1278" i="34"/>
  <c r="B1278" i="34"/>
  <c r="C1277" i="34"/>
  <c r="B1277" i="34"/>
  <c r="C1276" i="34"/>
  <c r="B1276" i="34"/>
  <c r="C1275" i="34"/>
  <c r="B1275" i="34"/>
  <c r="C1274" i="34"/>
  <c r="B1274" i="34"/>
  <c r="C1273" i="34"/>
  <c r="B1273" i="34"/>
  <c r="C1272" i="34"/>
  <c r="B1272" i="34"/>
  <c r="C1271" i="34"/>
  <c r="B1271" i="34"/>
  <c r="C1270" i="34"/>
  <c r="B1270" i="34"/>
  <c r="C1269" i="34"/>
  <c r="B1269" i="34"/>
  <c r="C1268" i="34"/>
  <c r="B1268" i="34"/>
  <c r="C1267" i="34"/>
  <c r="B1267" i="34"/>
  <c r="C1266" i="34"/>
  <c r="B1266" i="34"/>
  <c r="C1265" i="34"/>
  <c r="B1265" i="34"/>
  <c r="C1264" i="34"/>
  <c r="B1264" i="34"/>
  <c r="C1263" i="34"/>
  <c r="B1263" i="34"/>
  <c r="C1262" i="34"/>
  <c r="B1262" i="34"/>
  <c r="C1261" i="34"/>
  <c r="B1261" i="34"/>
  <c r="C1260" i="34"/>
  <c r="B1260" i="34"/>
  <c r="C1259" i="34"/>
  <c r="B1259" i="34"/>
  <c r="C1258" i="34"/>
  <c r="B1258" i="34"/>
  <c r="C1257" i="34"/>
  <c r="B1257" i="34"/>
  <c r="C1256" i="34"/>
  <c r="B1256" i="34"/>
  <c r="C1255" i="34"/>
  <c r="B1255" i="34"/>
  <c r="C1254" i="34"/>
  <c r="B1254" i="34"/>
  <c r="C1253" i="34"/>
  <c r="B1253" i="34"/>
  <c r="C1252" i="34"/>
  <c r="B1252" i="34"/>
  <c r="C1251" i="34"/>
  <c r="B1251" i="34"/>
  <c r="C1250" i="34"/>
  <c r="B1250" i="34"/>
  <c r="C1249" i="34"/>
  <c r="B1249" i="34"/>
  <c r="C1248" i="34"/>
  <c r="B1248" i="34"/>
  <c r="C1247" i="34"/>
  <c r="B1247" i="34"/>
  <c r="C1246" i="34"/>
  <c r="B1246" i="34"/>
  <c r="C1245" i="34"/>
  <c r="B1245" i="34"/>
  <c r="C1244" i="34"/>
  <c r="B1244" i="34"/>
  <c r="C1243" i="34"/>
  <c r="B1243" i="34"/>
  <c r="C1242" i="34"/>
  <c r="B1242" i="34"/>
  <c r="C1241" i="34"/>
  <c r="B1241" i="34"/>
  <c r="C1240" i="34"/>
  <c r="B1240" i="34"/>
  <c r="C1239" i="34"/>
  <c r="B1239" i="34"/>
  <c r="C1238" i="34"/>
  <c r="B1238" i="34"/>
  <c r="C1237" i="34"/>
  <c r="B1237" i="34"/>
  <c r="C1236" i="34"/>
  <c r="B1236" i="34"/>
  <c r="C1235" i="34"/>
  <c r="B1235" i="34"/>
  <c r="C1234" i="34"/>
  <c r="B1234" i="34"/>
  <c r="C1233" i="34"/>
  <c r="B1233" i="34"/>
  <c r="C1232" i="34"/>
  <c r="B1232" i="34"/>
  <c r="C1231" i="34"/>
  <c r="B1231" i="34"/>
  <c r="C1230" i="34"/>
  <c r="B1230" i="34"/>
  <c r="C1229" i="34"/>
  <c r="B1229" i="34"/>
  <c r="C1228" i="34"/>
  <c r="B1228" i="34"/>
  <c r="C1227" i="34"/>
  <c r="B1227" i="34"/>
  <c r="C1226" i="34"/>
  <c r="B1226" i="34"/>
  <c r="C1225" i="34"/>
  <c r="B1225" i="34"/>
  <c r="C1224" i="34"/>
  <c r="B1224" i="34"/>
  <c r="C1223" i="34"/>
  <c r="B1223" i="34"/>
  <c r="C1222" i="34"/>
  <c r="B1222" i="34"/>
  <c r="C1221" i="34"/>
  <c r="B1221" i="34"/>
  <c r="C1220" i="34"/>
  <c r="B1220" i="34"/>
  <c r="C1219" i="34"/>
  <c r="B1219" i="34"/>
  <c r="C1218" i="34"/>
  <c r="B1218" i="34"/>
  <c r="C1217" i="34"/>
  <c r="B1217" i="34"/>
  <c r="C1216" i="34"/>
  <c r="B1216" i="34"/>
  <c r="C1215" i="34"/>
  <c r="B1215" i="34"/>
  <c r="C1214" i="34"/>
  <c r="B1214" i="34"/>
  <c r="C1213" i="34"/>
  <c r="B1213" i="34"/>
  <c r="C1212" i="34"/>
  <c r="B1212" i="34"/>
  <c r="C1211" i="34"/>
  <c r="B1211" i="34"/>
  <c r="C1210" i="34"/>
  <c r="B1210" i="34"/>
  <c r="C1209" i="34"/>
  <c r="B1209" i="34"/>
  <c r="C1208" i="34"/>
  <c r="B1208" i="34"/>
  <c r="C1207" i="34"/>
  <c r="B1207" i="34"/>
  <c r="C1206" i="34"/>
  <c r="B1206" i="34"/>
  <c r="C1205" i="34"/>
  <c r="B1205" i="34"/>
  <c r="C1204" i="34"/>
  <c r="B1204" i="34"/>
  <c r="C1203" i="34"/>
  <c r="B1203" i="34"/>
  <c r="C1202" i="34"/>
  <c r="B1202" i="34"/>
  <c r="C1201" i="34"/>
  <c r="B1201" i="34"/>
  <c r="C1200" i="34"/>
  <c r="B1200" i="34"/>
  <c r="C1199" i="34"/>
  <c r="B1199" i="34"/>
  <c r="C1198" i="34"/>
  <c r="B1198" i="34"/>
  <c r="C1197" i="34"/>
  <c r="B1197" i="34"/>
  <c r="C1196" i="34"/>
  <c r="B1196" i="34"/>
  <c r="C1195" i="34"/>
  <c r="B1195" i="34"/>
  <c r="C1194" i="34"/>
  <c r="B1194" i="34"/>
  <c r="C1193" i="34"/>
  <c r="B1193" i="34"/>
  <c r="C1192" i="34"/>
  <c r="B1192" i="34"/>
  <c r="C1191" i="34"/>
  <c r="B1191" i="34"/>
  <c r="C1190" i="34"/>
  <c r="B1190" i="34"/>
  <c r="C1189" i="34"/>
  <c r="B1189" i="34"/>
  <c r="C1188" i="34"/>
  <c r="B1188" i="34"/>
  <c r="C1187" i="34"/>
  <c r="B1187" i="34"/>
  <c r="C1186" i="34"/>
  <c r="B1186" i="34"/>
  <c r="C1185" i="34"/>
  <c r="B1185" i="34"/>
  <c r="C1184" i="34"/>
  <c r="B1184" i="34"/>
  <c r="C1183" i="34"/>
  <c r="B1183" i="34"/>
  <c r="C1182" i="34"/>
  <c r="B1182" i="34"/>
  <c r="C1181" i="34"/>
  <c r="B1181" i="34"/>
  <c r="C1180" i="34"/>
  <c r="B1180" i="34"/>
  <c r="C1179" i="34"/>
  <c r="B1179" i="34"/>
  <c r="C1178" i="34"/>
  <c r="B1178" i="34"/>
  <c r="C1177" i="34"/>
  <c r="B1177" i="34"/>
  <c r="C1176" i="34"/>
  <c r="B1176" i="34"/>
  <c r="C1175" i="34"/>
  <c r="B1175" i="34"/>
  <c r="C1174" i="34"/>
  <c r="B1174" i="34"/>
  <c r="C1173" i="34"/>
  <c r="B1173" i="34"/>
  <c r="C1172" i="34"/>
  <c r="B1172" i="34"/>
  <c r="C1171" i="34"/>
  <c r="B1171" i="34"/>
  <c r="C1170" i="34"/>
  <c r="B1170" i="34"/>
  <c r="C1169" i="34"/>
  <c r="B1169" i="34"/>
  <c r="C1168" i="34"/>
  <c r="B1168" i="34"/>
  <c r="C1167" i="34"/>
  <c r="B1167" i="34"/>
  <c r="C1166" i="34"/>
  <c r="B1166" i="34"/>
  <c r="C1165" i="34"/>
  <c r="B1165" i="34"/>
  <c r="C1164" i="34"/>
  <c r="B1164" i="34"/>
  <c r="C1163" i="34"/>
  <c r="B1163" i="34"/>
  <c r="C1162" i="34"/>
  <c r="B1162" i="34"/>
  <c r="C1161" i="34"/>
  <c r="B1161" i="34"/>
  <c r="C1160" i="34"/>
  <c r="B1160" i="34"/>
  <c r="C1159" i="34"/>
  <c r="B1159" i="34"/>
  <c r="C1158" i="34"/>
  <c r="B1158" i="34"/>
  <c r="C1157" i="34"/>
  <c r="B1157" i="34"/>
  <c r="C1156" i="34"/>
  <c r="B1156" i="34"/>
  <c r="C1155" i="34"/>
  <c r="B1155" i="34"/>
  <c r="C1154" i="34"/>
  <c r="B1154" i="34"/>
  <c r="C1153" i="34"/>
  <c r="B1153" i="34"/>
  <c r="C1152" i="34"/>
  <c r="B1152" i="34"/>
  <c r="C1151" i="34"/>
  <c r="B1151" i="34"/>
  <c r="C1150" i="34"/>
  <c r="B1150" i="34"/>
  <c r="C1149" i="34"/>
  <c r="B1149" i="34"/>
  <c r="C1148" i="34"/>
  <c r="B1148" i="34"/>
  <c r="C1147" i="34"/>
  <c r="B1147" i="34"/>
  <c r="C1146" i="34"/>
  <c r="B1146" i="34"/>
  <c r="C1145" i="34"/>
  <c r="B1145" i="34"/>
  <c r="C1144" i="34"/>
  <c r="B1144" i="34"/>
  <c r="C1143" i="34"/>
  <c r="B1143" i="34"/>
  <c r="C1142" i="34"/>
  <c r="B1142" i="34"/>
  <c r="C1141" i="34"/>
  <c r="B1141" i="34"/>
  <c r="C1140" i="34"/>
  <c r="B1140" i="34"/>
  <c r="C1139" i="34"/>
  <c r="B1139" i="34"/>
  <c r="C1138" i="34"/>
  <c r="B1138" i="34"/>
  <c r="C1137" i="34"/>
  <c r="B1137" i="34"/>
  <c r="C1136" i="34"/>
  <c r="B1136" i="34"/>
  <c r="C1135" i="34"/>
  <c r="B1135" i="34"/>
  <c r="C1134" i="34"/>
  <c r="B1134" i="34"/>
  <c r="C1133" i="34"/>
  <c r="B1133" i="34"/>
  <c r="C1132" i="34"/>
  <c r="B1132" i="34"/>
  <c r="C1131" i="34"/>
  <c r="B1131" i="34"/>
  <c r="C1130" i="34"/>
  <c r="B1130" i="34"/>
  <c r="C1129" i="34"/>
  <c r="B1129" i="34"/>
  <c r="C1128" i="34"/>
  <c r="B1128" i="34"/>
  <c r="C1127" i="34"/>
  <c r="B1127" i="34"/>
  <c r="C1126" i="34"/>
  <c r="B1126" i="34"/>
  <c r="C1125" i="34"/>
  <c r="B1125" i="34"/>
  <c r="C1124" i="34"/>
  <c r="B1124" i="34"/>
  <c r="C1123" i="34"/>
  <c r="B1123" i="34"/>
  <c r="C1122" i="34"/>
  <c r="B1122" i="34"/>
  <c r="C1121" i="34"/>
  <c r="B1121" i="34"/>
  <c r="C1120" i="34"/>
  <c r="B1120" i="34"/>
  <c r="C1119" i="34"/>
  <c r="B1119" i="34"/>
  <c r="C1118" i="34"/>
  <c r="B1118" i="34"/>
  <c r="C1117" i="34"/>
  <c r="B1117" i="34"/>
  <c r="C1116" i="34"/>
  <c r="B1116" i="34"/>
  <c r="C1115" i="34"/>
  <c r="B1115" i="34"/>
  <c r="C1114" i="34"/>
  <c r="B1114" i="34"/>
  <c r="C1113" i="34"/>
  <c r="B1113" i="34"/>
  <c r="C1112" i="34"/>
  <c r="B1112" i="34"/>
  <c r="C1111" i="34"/>
  <c r="B1111" i="34"/>
  <c r="C1110" i="34"/>
  <c r="B1110" i="34"/>
  <c r="C1109" i="34"/>
  <c r="B1109" i="34"/>
  <c r="C1108" i="34"/>
  <c r="B1108" i="34"/>
  <c r="C1107" i="34"/>
  <c r="B1107" i="34"/>
  <c r="C1106" i="34"/>
  <c r="B1106" i="34"/>
  <c r="C1105" i="34"/>
  <c r="B1105" i="34"/>
  <c r="C1104" i="34"/>
  <c r="B1104" i="34"/>
  <c r="C1103" i="34"/>
  <c r="B1103" i="34"/>
  <c r="C1102" i="34"/>
  <c r="B1102" i="34"/>
  <c r="C1101" i="34"/>
  <c r="B1101" i="34"/>
  <c r="C1100" i="34"/>
  <c r="B1100" i="34"/>
  <c r="C1099" i="34"/>
  <c r="B1099" i="34"/>
  <c r="C1098" i="34"/>
  <c r="B1098" i="34"/>
  <c r="C1097" i="34"/>
  <c r="B1097" i="34"/>
  <c r="C1096" i="34"/>
  <c r="B1096" i="34"/>
  <c r="C1095" i="34"/>
  <c r="B1095" i="34"/>
  <c r="C1094" i="34"/>
  <c r="B1094" i="34"/>
  <c r="C1093" i="34"/>
  <c r="B1093" i="34"/>
  <c r="C1092" i="34"/>
  <c r="B1092" i="34"/>
  <c r="C1091" i="34"/>
  <c r="B1091" i="34"/>
  <c r="C1090" i="34"/>
  <c r="B1090" i="34"/>
  <c r="C1089" i="34"/>
  <c r="B1089" i="34"/>
  <c r="C1088" i="34"/>
  <c r="B1088" i="34"/>
  <c r="C1087" i="34"/>
  <c r="B1087" i="34"/>
  <c r="C1086" i="34"/>
  <c r="B1086" i="34"/>
  <c r="C1085" i="34"/>
  <c r="B1085" i="34"/>
  <c r="C1084" i="34"/>
  <c r="B1084" i="34"/>
  <c r="C1083" i="34"/>
  <c r="B1083" i="34"/>
  <c r="C1082" i="34"/>
  <c r="B1082" i="34"/>
  <c r="C1081" i="34"/>
  <c r="B1081" i="34"/>
  <c r="C1080" i="34"/>
  <c r="B1080" i="34"/>
  <c r="C1079" i="34"/>
  <c r="B1079" i="34"/>
  <c r="C1078" i="34"/>
  <c r="B1078" i="34"/>
  <c r="C1077" i="34"/>
  <c r="B1077" i="34"/>
  <c r="C1076" i="34"/>
  <c r="B1076" i="34"/>
  <c r="C1075" i="34"/>
  <c r="B1075" i="34"/>
  <c r="C1074" i="34"/>
  <c r="B1074" i="34"/>
  <c r="C1073" i="34"/>
  <c r="B1073" i="34"/>
  <c r="C1072" i="34"/>
  <c r="B1072" i="34"/>
  <c r="C1071" i="34"/>
  <c r="B1071" i="34"/>
  <c r="C1070" i="34"/>
  <c r="B1070" i="34"/>
  <c r="C1069" i="34"/>
  <c r="B1069" i="34"/>
  <c r="C1068" i="34"/>
  <c r="B1068" i="34"/>
  <c r="C1067" i="34"/>
  <c r="B1067" i="34"/>
  <c r="C1066" i="34"/>
  <c r="B1066" i="34"/>
  <c r="C1065" i="34"/>
  <c r="B1065" i="34"/>
  <c r="C1064" i="34"/>
  <c r="B1064" i="34"/>
  <c r="C1063" i="34"/>
  <c r="B1063" i="34"/>
  <c r="C1062" i="34"/>
  <c r="B1062" i="34"/>
  <c r="C1061" i="34"/>
  <c r="B1061" i="34"/>
  <c r="C1060" i="34"/>
  <c r="B1060" i="34"/>
  <c r="C1059" i="34"/>
  <c r="B1059" i="34"/>
  <c r="C1058" i="34"/>
  <c r="B1058" i="34"/>
  <c r="C1057" i="34"/>
  <c r="B1057" i="34"/>
  <c r="C1056" i="34"/>
  <c r="B1056" i="34"/>
  <c r="C1055" i="34"/>
  <c r="B1055" i="34"/>
  <c r="C1054" i="34"/>
  <c r="B1054" i="34"/>
  <c r="C1053" i="34"/>
  <c r="B1053" i="34"/>
  <c r="C1052" i="34"/>
  <c r="B1052" i="34"/>
  <c r="C1051" i="34"/>
  <c r="B1051" i="34"/>
  <c r="C1050" i="34"/>
  <c r="B1050" i="34"/>
  <c r="C1049" i="34"/>
  <c r="B1049" i="34"/>
  <c r="C1048" i="34"/>
  <c r="B1048" i="34"/>
  <c r="C1047" i="34"/>
  <c r="B1047" i="34"/>
  <c r="C1046" i="34"/>
  <c r="B1046" i="34"/>
  <c r="C1045" i="34"/>
  <c r="B1045" i="34"/>
  <c r="C1044" i="34"/>
  <c r="B1044" i="34"/>
  <c r="C1043" i="34"/>
  <c r="B1043" i="34"/>
  <c r="C1042" i="34"/>
  <c r="B1042" i="34"/>
  <c r="C1041" i="34"/>
  <c r="B1041" i="34"/>
  <c r="C1040" i="34"/>
  <c r="B1040" i="34"/>
  <c r="C1039" i="34"/>
  <c r="B1039" i="34"/>
  <c r="C1038" i="34"/>
  <c r="B1038" i="34"/>
  <c r="C1037" i="34"/>
  <c r="B1037" i="34"/>
  <c r="C1036" i="34"/>
  <c r="B1036" i="34"/>
  <c r="C1035" i="34"/>
  <c r="B1035" i="34"/>
  <c r="C1034" i="34"/>
  <c r="B1034" i="34"/>
  <c r="C1033" i="34"/>
  <c r="B1033" i="34"/>
  <c r="C1032" i="34"/>
  <c r="B1032" i="34"/>
  <c r="C1031" i="34"/>
  <c r="B1031" i="34"/>
  <c r="C1030" i="34"/>
  <c r="B1030" i="34"/>
  <c r="C1029" i="34"/>
  <c r="B1029" i="34"/>
  <c r="C1028" i="34"/>
  <c r="B1028" i="34"/>
  <c r="C1027" i="34"/>
  <c r="B1027" i="34"/>
  <c r="C1026" i="34"/>
  <c r="B1026" i="34"/>
  <c r="C1025" i="34"/>
  <c r="B1025" i="34"/>
  <c r="C1024" i="34"/>
  <c r="B1024" i="34"/>
  <c r="C1023" i="34"/>
  <c r="B1023" i="34"/>
  <c r="C1022" i="34"/>
  <c r="B1022" i="34"/>
  <c r="C1021" i="34"/>
  <c r="B1021" i="34"/>
  <c r="C1020" i="34"/>
  <c r="B1020" i="34"/>
  <c r="C1019" i="34"/>
  <c r="B1019" i="34"/>
  <c r="C1018" i="34"/>
  <c r="B1018" i="34"/>
  <c r="C1017" i="34"/>
  <c r="B1017" i="34"/>
  <c r="C1016" i="34"/>
  <c r="B1016" i="34"/>
  <c r="C1015" i="34"/>
  <c r="B1015" i="34"/>
  <c r="C1014" i="34"/>
  <c r="B1014" i="34"/>
  <c r="C1013" i="34"/>
  <c r="B1013" i="34"/>
  <c r="C1012" i="34"/>
  <c r="B1012" i="34"/>
  <c r="C1011" i="34"/>
  <c r="B1011" i="34"/>
  <c r="C1010" i="34"/>
  <c r="B1010" i="34"/>
  <c r="C1009" i="34"/>
  <c r="B1009" i="34"/>
  <c r="C1008" i="34"/>
  <c r="B1008" i="34"/>
  <c r="C1007" i="34"/>
  <c r="B1007" i="34"/>
  <c r="C1006" i="34"/>
  <c r="B1006" i="34"/>
  <c r="C1005" i="34"/>
  <c r="B1005" i="34"/>
  <c r="C1004" i="34"/>
  <c r="B1004" i="34"/>
  <c r="C1003" i="34"/>
  <c r="B1003" i="34"/>
  <c r="C1002" i="34"/>
  <c r="B1002" i="34"/>
  <c r="C1001" i="34"/>
  <c r="B1001" i="34"/>
  <c r="C1000" i="34"/>
  <c r="B1000" i="34"/>
  <c r="C999" i="34"/>
  <c r="B999" i="34"/>
  <c r="C998" i="34"/>
  <c r="B998" i="34"/>
  <c r="C997" i="34"/>
  <c r="B997" i="34"/>
  <c r="C996" i="34"/>
  <c r="B996" i="34"/>
  <c r="C995" i="34"/>
  <c r="B995" i="34"/>
  <c r="C994" i="34"/>
  <c r="B994" i="34"/>
  <c r="C993" i="34"/>
  <c r="B993" i="34"/>
  <c r="C992" i="34"/>
  <c r="B992" i="34"/>
  <c r="C991" i="34"/>
  <c r="B991" i="34"/>
  <c r="C990" i="34"/>
  <c r="B990" i="34"/>
  <c r="C989" i="34"/>
  <c r="B989" i="34"/>
  <c r="C988" i="34"/>
  <c r="B988" i="34"/>
  <c r="C987" i="34"/>
  <c r="B987" i="34"/>
  <c r="C986" i="34"/>
  <c r="B986" i="34"/>
  <c r="C985" i="34"/>
  <c r="B985" i="34"/>
  <c r="C984" i="34"/>
  <c r="B984" i="34"/>
  <c r="C983" i="34"/>
  <c r="B983" i="34"/>
  <c r="C982" i="34"/>
  <c r="B982" i="34"/>
  <c r="C981" i="34"/>
  <c r="B981" i="34"/>
  <c r="C980" i="34"/>
  <c r="B980" i="34"/>
  <c r="C979" i="34"/>
  <c r="B979" i="34"/>
  <c r="C978" i="34"/>
  <c r="B978" i="34"/>
  <c r="C977" i="34"/>
  <c r="B977" i="34"/>
  <c r="C976" i="34"/>
  <c r="B976" i="34"/>
  <c r="C975" i="34"/>
  <c r="B975" i="34"/>
  <c r="C974" i="34"/>
  <c r="B974" i="34"/>
  <c r="C973" i="34"/>
  <c r="B973" i="34"/>
  <c r="C972" i="34"/>
  <c r="B972" i="34"/>
  <c r="C971" i="34"/>
  <c r="B971" i="34"/>
  <c r="C970" i="34"/>
  <c r="B970" i="34"/>
  <c r="C969" i="34"/>
  <c r="B969" i="34"/>
  <c r="C968" i="34"/>
  <c r="B968" i="34"/>
  <c r="C967" i="34"/>
  <c r="B967" i="34"/>
  <c r="C966" i="34"/>
  <c r="B966" i="34"/>
  <c r="C965" i="34"/>
  <c r="B965" i="34"/>
  <c r="C964" i="34"/>
  <c r="B964" i="34"/>
  <c r="C963" i="34"/>
  <c r="B963" i="34"/>
  <c r="C962" i="34"/>
  <c r="B962" i="34"/>
  <c r="C961" i="34"/>
  <c r="B961" i="34"/>
  <c r="C960" i="34"/>
  <c r="B960" i="34"/>
  <c r="C959" i="34"/>
  <c r="B959" i="34"/>
  <c r="C958" i="34"/>
  <c r="B958" i="34"/>
  <c r="C957" i="34"/>
  <c r="B957" i="34"/>
  <c r="C956" i="34"/>
  <c r="B956" i="34"/>
  <c r="C955" i="34"/>
  <c r="B955" i="34"/>
  <c r="C954" i="34"/>
  <c r="B954" i="34"/>
  <c r="C953" i="34"/>
  <c r="B953" i="34"/>
  <c r="C952" i="34"/>
  <c r="B952" i="34"/>
  <c r="C951" i="34"/>
  <c r="B951" i="34"/>
  <c r="C950" i="34"/>
  <c r="B950" i="34"/>
  <c r="C949" i="34"/>
  <c r="B949" i="34"/>
  <c r="C948" i="34"/>
  <c r="B948" i="34"/>
  <c r="C947" i="34"/>
  <c r="B947" i="34"/>
  <c r="C946" i="34"/>
  <c r="B946" i="34"/>
  <c r="C945" i="34"/>
  <c r="B945" i="34"/>
  <c r="C944" i="34"/>
  <c r="B944" i="34"/>
  <c r="C943" i="34"/>
  <c r="B943" i="34"/>
  <c r="C942" i="34"/>
  <c r="B942" i="34"/>
  <c r="C941" i="34"/>
  <c r="B941" i="34"/>
  <c r="C940" i="34"/>
  <c r="B940" i="34"/>
  <c r="C939" i="34"/>
  <c r="B939" i="34"/>
  <c r="C938" i="34"/>
  <c r="B938" i="34"/>
  <c r="C937" i="34"/>
  <c r="B937" i="34"/>
  <c r="C936" i="34"/>
  <c r="B936" i="34"/>
  <c r="C935" i="34"/>
  <c r="B935" i="34"/>
  <c r="C934" i="34"/>
  <c r="B934" i="34"/>
  <c r="C933" i="34"/>
  <c r="B933" i="34"/>
  <c r="C932" i="34"/>
  <c r="B932" i="34"/>
  <c r="C931" i="34"/>
  <c r="B931" i="34"/>
  <c r="C930" i="34"/>
  <c r="B930" i="34"/>
  <c r="C929" i="34"/>
  <c r="B929" i="34"/>
  <c r="C928" i="34"/>
  <c r="B928" i="34"/>
  <c r="C927" i="34"/>
  <c r="B927" i="34"/>
  <c r="C926" i="34"/>
  <c r="B926" i="34"/>
  <c r="C925" i="34"/>
  <c r="B925" i="34"/>
  <c r="C924" i="34"/>
  <c r="B924" i="34"/>
  <c r="C923" i="34"/>
  <c r="B923" i="34"/>
  <c r="C922" i="34"/>
  <c r="B922" i="34"/>
  <c r="C921" i="34"/>
  <c r="B921" i="34"/>
  <c r="C920" i="34"/>
  <c r="B920" i="34"/>
  <c r="C919" i="34"/>
  <c r="B919" i="34"/>
  <c r="C918" i="34"/>
  <c r="B918" i="34"/>
  <c r="C917" i="34"/>
  <c r="B917" i="34"/>
  <c r="C916" i="34"/>
  <c r="B916" i="34"/>
  <c r="C915" i="34"/>
  <c r="B915" i="34"/>
  <c r="C914" i="34"/>
  <c r="B914" i="34"/>
  <c r="C913" i="34"/>
  <c r="B913" i="34"/>
  <c r="C912" i="34"/>
  <c r="B912" i="34"/>
  <c r="C911" i="34"/>
  <c r="B911" i="34"/>
  <c r="C910" i="34"/>
  <c r="B910" i="34"/>
  <c r="C909" i="34"/>
  <c r="B909" i="34"/>
  <c r="C908" i="34"/>
  <c r="B908" i="34"/>
  <c r="C907" i="34"/>
  <c r="B907" i="34"/>
  <c r="C906" i="34"/>
  <c r="B906" i="34"/>
  <c r="C905" i="34"/>
  <c r="B905" i="34"/>
  <c r="C904" i="34"/>
  <c r="B904" i="34"/>
  <c r="C903" i="34"/>
  <c r="B903" i="34"/>
  <c r="C902" i="34"/>
  <c r="B902" i="34"/>
  <c r="C901" i="34"/>
  <c r="B901" i="34"/>
  <c r="C900" i="34"/>
  <c r="B900" i="34"/>
  <c r="C899" i="34"/>
  <c r="B899" i="34"/>
  <c r="C898" i="34"/>
  <c r="B898" i="34"/>
  <c r="C897" i="34"/>
  <c r="B897" i="34"/>
  <c r="C896" i="34"/>
  <c r="B896" i="34"/>
  <c r="C895" i="34"/>
  <c r="B895" i="34"/>
  <c r="C894" i="34"/>
  <c r="B894" i="34"/>
  <c r="C893" i="34"/>
  <c r="B893" i="34"/>
  <c r="C892" i="34"/>
  <c r="B892" i="34"/>
  <c r="C891" i="34"/>
  <c r="B891" i="34"/>
  <c r="C890" i="34"/>
  <c r="B890" i="34"/>
  <c r="C889" i="34"/>
  <c r="B889" i="34"/>
  <c r="C888" i="34"/>
  <c r="B888" i="34"/>
  <c r="C887" i="34"/>
  <c r="B887" i="34"/>
  <c r="C886" i="34"/>
  <c r="B886" i="34"/>
  <c r="C885" i="34"/>
  <c r="B885" i="34"/>
  <c r="C884" i="34"/>
  <c r="B884" i="34"/>
  <c r="C883" i="34"/>
  <c r="B883" i="34"/>
  <c r="C882" i="34"/>
  <c r="B882" i="34"/>
  <c r="C881" i="34"/>
  <c r="B881" i="34"/>
  <c r="C880" i="34"/>
  <c r="B880" i="34"/>
  <c r="C879" i="34"/>
  <c r="B879" i="34"/>
  <c r="C878" i="34"/>
  <c r="B878" i="34"/>
  <c r="C877" i="34"/>
  <c r="B877" i="34"/>
  <c r="C876" i="34"/>
  <c r="B876" i="34"/>
  <c r="C875" i="34"/>
  <c r="B875" i="34"/>
  <c r="C874" i="34"/>
  <c r="B874" i="34"/>
  <c r="C873" i="34"/>
  <c r="B873" i="34"/>
  <c r="C872" i="34"/>
  <c r="B872" i="34"/>
  <c r="C871" i="34"/>
  <c r="B871" i="34"/>
  <c r="C870" i="34"/>
  <c r="B870" i="34"/>
  <c r="C869" i="34"/>
  <c r="B869" i="34"/>
  <c r="C868" i="34"/>
  <c r="B868" i="34"/>
  <c r="C867" i="34"/>
  <c r="B867" i="34"/>
  <c r="C866" i="34"/>
  <c r="B866" i="34"/>
  <c r="C865" i="34"/>
  <c r="B865" i="34"/>
  <c r="C864" i="34"/>
  <c r="B864" i="34"/>
  <c r="C863" i="34"/>
  <c r="B863" i="34"/>
  <c r="C862" i="34"/>
  <c r="B862" i="34"/>
  <c r="C861" i="34"/>
  <c r="B861" i="34"/>
  <c r="C860" i="34"/>
  <c r="B860" i="34"/>
  <c r="C859" i="34"/>
  <c r="B859" i="34"/>
  <c r="C858" i="34"/>
  <c r="B858" i="34"/>
  <c r="C857" i="34"/>
  <c r="B857" i="34"/>
  <c r="C856" i="34"/>
  <c r="B856" i="34"/>
  <c r="C855" i="34"/>
  <c r="B855" i="34"/>
  <c r="C854" i="34"/>
  <c r="B854" i="34"/>
  <c r="C853" i="34"/>
  <c r="B853" i="34"/>
  <c r="C852" i="34"/>
  <c r="B852" i="34"/>
  <c r="C851" i="34"/>
  <c r="B851" i="34"/>
  <c r="C850" i="34"/>
  <c r="B850" i="34"/>
  <c r="C849" i="34"/>
  <c r="B849" i="34"/>
  <c r="C848" i="34"/>
  <c r="B848" i="34"/>
  <c r="C847" i="34"/>
  <c r="B847" i="34"/>
  <c r="C846" i="34"/>
  <c r="B846" i="34"/>
  <c r="C845" i="34"/>
  <c r="B845" i="34"/>
  <c r="C844" i="34"/>
  <c r="B844" i="34"/>
  <c r="C843" i="34"/>
  <c r="B843" i="34"/>
  <c r="C842" i="34"/>
  <c r="B842" i="34"/>
  <c r="C841" i="34"/>
  <c r="B841" i="34"/>
  <c r="C840" i="34"/>
  <c r="B840" i="34"/>
  <c r="C839" i="34"/>
  <c r="B839" i="34"/>
  <c r="C838" i="34"/>
  <c r="B838" i="34"/>
  <c r="C837" i="34"/>
  <c r="B837" i="34"/>
  <c r="C836" i="34"/>
  <c r="B836" i="34"/>
  <c r="C835" i="34"/>
  <c r="B835" i="34"/>
  <c r="C834" i="34"/>
  <c r="B834" i="34"/>
  <c r="C833" i="34"/>
  <c r="B833" i="34"/>
  <c r="C832" i="34"/>
  <c r="B832" i="34"/>
  <c r="C831" i="34"/>
  <c r="B831" i="34"/>
  <c r="C830" i="34"/>
  <c r="B830" i="34"/>
  <c r="C829" i="34"/>
  <c r="B829" i="34"/>
  <c r="C828" i="34"/>
  <c r="B828" i="34"/>
  <c r="C827" i="34"/>
  <c r="B827" i="34"/>
  <c r="C826" i="34"/>
  <c r="B826" i="34"/>
  <c r="C825" i="34"/>
  <c r="B825" i="34"/>
  <c r="C824" i="34"/>
  <c r="B824" i="34"/>
  <c r="C823" i="34"/>
  <c r="B823" i="34"/>
  <c r="C822" i="34"/>
  <c r="B822" i="34"/>
  <c r="C821" i="34"/>
  <c r="B821" i="34"/>
  <c r="C820" i="34"/>
  <c r="B820" i="34"/>
  <c r="C819" i="34"/>
  <c r="B819" i="34"/>
  <c r="C818" i="34"/>
  <c r="B818" i="34"/>
  <c r="C817" i="34"/>
  <c r="B817" i="34"/>
  <c r="C816" i="34"/>
  <c r="B816" i="34"/>
  <c r="C815" i="34"/>
  <c r="B815" i="34"/>
  <c r="C814" i="34"/>
  <c r="B814" i="34"/>
  <c r="K6" i="25" s="1"/>
  <c r="C813" i="34"/>
  <c r="B813" i="34"/>
  <c r="C812" i="34"/>
  <c r="B812" i="34"/>
  <c r="C811" i="34"/>
  <c r="B811" i="34"/>
  <c r="C810" i="34"/>
  <c r="B810" i="34"/>
  <c r="C809" i="34"/>
  <c r="B809" i="34"/>
  <c r="C808" i="34"/>
  <c r="B808" i="34"/>
  <c r="C807" i="34"/>
  <c r="B807" i="34"/>
  <c r="C806" i="34"/>
  <c r="B806" i="34"/>
  <c r="C805" i="34"/>
  <c r="B805" i="34"/>
  <c r="C804" i="34"/>
  <c r="B804" i="34"/>
  <c r="C803" i="34"/>
  <c r="B803" i="34"/>
  <c r="C802" i="34"/>
  <c r="B802" i="34"/>
  <c r="C801" i="34"/>
  <c r="B801" i="34"/>
  <c r="C800" i="34"/>
  <c r="B800" i="34"/>
  <c r="C799" i="34"/>
  <c r="B799" i="34"/>
  <c r="C798" i="34"/>
  <c r="B798" i="34"/>
  <c r="C797" i="34"/>
  <c r="B797" i="34"/>
  <c r="C796" i="34"/>
  <c r="B796" i="34"/>
  <c r="C795" i="34"/>
  <c r="B795" i="34"/>
  <c r="C794" i="34"/>
  <c r="B794" i="34"/>
  <c r="C793" i="34"/>
  <c r="B793" i="34"/>
  <c r="C792" i="34"/>
  <c r="B792" i="34"/>
  <c r="C791" i="34"/>
  <c r="B791" i="34"/>
  <c r="C790" i="34"/>
  <c r="B790" i="34"/>
  <c r="C789" i="34"/>
  <c r="B789" i="34"/>
  <c r="C788" i="34"/>
  <c r="B788" i="34"/>
  <c r="C787" i="34"/>
  <c r="B787" i="34"/>
  <c r="C786" i="34"/>
  <c r="B786" i="34"/>
  <c r="C785" i="34"/>
  <c r="B785" i="34"/>
  <c r="C784" i="34"/>
  <c r="B784" i="34"/>
  <c r="C783" i="34"/>
  <c r="B783" i="34"/>
  <c r="C782" i="34"/>
  <c r="B782" i="34"/>
  <c r="C781" i="34"/>
  <c r="B781" i="34"/>
  <c r="C780" i="34"/>
  <c r="B780" i="34"/>
  <c r="C779" i="34"/>
  <c r="B779" i="34"/>
  <c r="C778" i="34"/>
  <c r="B778" i="34"/>
  <c r="C777" i="34"/>
  <c r="B777" i="34"/>
  <c r="C776" i="34"/>
  <c r="B776" i="34"/>
  <c r="C775" i="34"/>
  <c r="B775" i="34"/>
  <c r="C774" i="34"/>
  <c r="B774" i="34"/>
  <c r="C773" i="34"/>
  <c r="B773" i="34"/>
  <c r="C772" i="34"/>
  <c r="B772" i="34"/>
  <c r="C771" i="34"/>
  <c r="B771" i="34"/>
  <c r="C770" i="34"/>
  <c r="B770" i="34"/>
  <c r="C769" i="34"/>
  <c r="B769" i="34"/>
  <c r="C768" i="34"/>
  <c r="B768" i="34"/>
  <c r="C767" i="34"/>
  <c r="B767" i="34"/>
  <c r="C766" i="34"/>
  <c r="B766" i="34"/>
  <c r="C765" i="34"/>
  <c r="B765" i="34"/>
  <c r="C764" i="34"/>
  <c r="B764" i="34"/>
  <c r="C763" i="34"/>
  <c r="B763" i="34"/>
  <c r="C762" i="34"/>
  <c r="B762" i="34"/>
  <c r="C761" i="34"/>
  <c r="B761" i="34"/>
  <c r="C760" i="34"/>
  <c r="B760" i="34"/>
  <c r="C759" i="34"/>
  <c r="B759" i="34"/>
  <c r="C758" i="34"/>
  <c r="B758" i="34"/>
  <c r="C757" i="34"/>
  <c r="B757" i="34"/>
  <c r="C756" i="34"/>
  <c r="B756" i="34"/>
  <c r="C755" i="34"/>
  <c r="B755" i="34"/>
  <c r="C754" i="34"/>
  <c r="B754" i="34"/>
  <c r="C753" i="34"/>
  <c r="B753" i="34"/>
  <c r="C752" i="34"/>
  <c r="B752" i="34"/>
  <c r="C751" i="34"/>
  <c r="B751" i="34"/>
  <c r="C750" i="34"/>
  <c r="B750" i="34"/>
  <c r="C749" i="34"/>
  <c r="B749" i="34"/>
  <c r="C748" i="34"/>
  <c r="B748" i="34"/>
  <c r="C747" i="34"/>
  <c r="B747" i="34"/>
  <c r="C746" i="34"/>
  <c r="B746" i="34"/>
  <c r="C745" i="34"/>
  <c r="B745" i="34"/>
  <c r="C744" i="34"/>
  <c r="B744" i="34"/>
  <c r="C743" i="34"/>
  <c r="B743" i="34"/>
  <c r="C742" i="34"/>
  <c r="B742" i="34"/>
  <c r="C741" i="34"/>
  <c r="B741" i="34"/>
  <c r="C740" i="34"/>
  <c r="B740" i="34"/>
  <c r="C739" i="34"/>
  <c r="B739" i="34"/>
  <c r="C738" i="34"/>
  <c r="B738" i="34"/>
  <c r="C737" i="34"/>
  <c r="B737" i="34"/>
  <c r="C736" i="34"/>
  <c r="B736" i="34"/>
  <c r="C735" i="34"/>
  <c r="B735" i="34"/>
  <c r="C734" i="34"/>
  <c r="B734" i="34"/>
  <c r="C733" i="34"/>
  <c r="B733" i="34"/>
  <c r="C732" i="34"/>
  <c r="B732" i="34"/>
  <c r="C731" i="34"/>
  <c r="B731" i="34"/>
  <c r="C730" i="34"/>
  <c r="B730" i="34"/>
  <c r="C729" i="34"/>
  <c r="B729" i="34"/>
  <c r="C728" i="34"/>
  <c r="B728" i="34"/>
  <c r="C727" i="34"/>
  <c r="B727" i="34"/>
  <c r="C726" i="34"/>
  <c r="B726" i="34"/>
  <c r="C725" i="34"/>
  <c r="B725" i="34"/>
  <c r="C724" i="34"/>
  <c r="B724" i="34"/>
  <c r="C723" i="34"/>
  <c r="B723" i="34"/>
  <c r="C722" i="34"/>
  <c r="B722" i="34"/>
  <c r="C721" i="34"/>
  <c r="B721" i="34"/>
  <c r="C720" i="34"/>
  <c r="B720" i="34"/>
  <c r="C719" i="34"/>
  <c r="B719" i="34"/>
  <c r="C718" i="34"/>
  <c r="B718" i="34"/>
  <c r="C717" i="34"/>
  <c r="B717" i="34"/>
  <c r="C716" i="34"/>
  <c r="B716" i="34"/>
  <c r="C715" i="34"/>
  <c r="B715" i="34"/>
  <c r="C714" i="34"/>
  <c r="B714" i="34"/>
  <c r="C713" i="34"/>
  <c r="B713" i="34"/>
  <c r="C712" i="34"/>
  <c r="B712" i="34"/>
  <c r="C711" i="34"/>
  <c r="B711" i="34"/>
  <c r="C710" i="34"/>
  <c r="B710" i="34"/>
  <c r="C709" i="34"/>
  <c r="B709" i="34"/>
  <c r="C708" i="34"/>
  <c r="B708" i="34"/>
  <c r="C707" i="34"/>
  <c r="B707" i="34"/>
  <c r="C706" i="34"/>
  <c r="B706" i="34"/>
  <c r="C705" i="34"/>
  <c r="B705" i="34"/>
  <c r="C704" i="34"/>
  <c r="B704" i="34"/>
  <c r="C703" i="34"/>
  <c r="B703" i="34"/>
  <c r="C702" i="34"/>
  <c r="B702" i="34"/>
  <c r="C701" i="34"/>
  <c r="B701" i="34"/>
  <c r="C700" i="34"/>
  <c r="B700" i="34"/>
  <c r="C699" i="34"/>
  <c r="B699" i="34"/>
  <c r="C698" i="34"/>
  <c r="B698" i="34"/>
  <c r="C697" i="34"/>
  <c r="B697" i="34"/>
  <c r="C696" i="34"/>
  <c r="B696" i="34"/>
  <c r="C695" i="34"/>
  <c r="B695" i="34"/>
  <c r="C694" i="34"/>
  <c r="B694" i="34"/>
  <c r="C693" i="34"/>
  <c r="B693" i="34"/>
  <c r="C692" i="34"/>
  <c r="B692" i="34"/>
  <c r="C691" i="34"/>
  <c r="B691" i="34"/>
  <c r="C690" i="34"/>
  <c r="B690" i="34"/>
  <c r="C689" i="34"/>
  <c r="B689" i="34"/>
  <c r="C688" i="34"/>
  <c r="B688" i="34"/>
  <c r="C687" i="34"/>
  <c r="B687" i="34"/>
  <c r="C686" i="34"/>
  <c r="B686" i="34"/>
  <c r="C685" i="34"/>
  <c r="B685" i="34"/>
  <c r="C684" i="34"/>
  <c r="B684" i="34"/>
  <c r="C683" i="34"/>
  <c r="B683" i="34"/>
  <c r="C682" i="34"/>
  <c r="B682" i="34"/>
  <c r="C681" i="34"/>
  <c r="B681" i="34"/>
  <c r="C680" i="34"/>
  <c r="B680" i="34"/>
  <c r="C679" i="34"/>
  <c r="B679" i="34"/>
  <c r="C678" i="34"/>
  <c r="B678" i="34"/>
  <c r="C677" i="34"/>
  <c r="B677" i="34"/>
  <c r="C676" i="34"/>
  <c r="B676" i="34"/>
  <c r="C675" i="34"/>
  <c r="B675" i="34"/>
  <c r="C674" i="34"/>
  <c r="B674" i="34"/>
  <c r="C673" i="34"/>
  <c r="B673" i="34"/>
  <c r="C672" i="34"/>
  <c r="B672" i="34"/>
  <c r="C671" i="34"/>
  <c r="B671" i="34"/>
  <c r="C670" i="34"/>
  <c r="B670" i="34"/>
  <c r="C669" i="34"/>
  <c r="B669" i="34"/>
  <c r="C668" i="34"/>
  <c r="B668" i="34"/>
  <c r="C667" i="34"/>
  <c r="B667" i="34"/>
  <c r="C666" i="34"/>
  <c r="B666" i="34"/>
  <c r="C665" i="34"/>
  <c r="B665" i="34"/>
  <c r="C664" i="34"/>
  <c r="B664" i="34"/>
  <c r="C663" i="34"/>
  <c r="B663" i="34"/>
  <c r="C662" i="34"/>
  <c r="B662" i="34"/>
  <c r="C661" i="34"/>
  <c r="B661" i="34"/>
  <c r="C660" i="34"/>
  <c r="B660" i="34"/>
  <c r="C659" i="34"/>
  <c r="B659" i="34"/>
  <c r="C658" i="34"/>
  <c r="B658" i="34"/>
  <c r="C657" i="34"/>
  <c r="B657" i="34"/>
  <c r="C656" i="34"/>
  <c r="B656" i="34"/>
  <c r="C655" i="34"/>
  <c r="B655" i="34"/>
  <c r="C654" i="34"/>
  <c r="B654" i="34"/>
  <c r="C653" i="34"/>
  <c r="B653" i="34"/>
  <c r="C652" i="34"/>
  <c r="B652" i="34"/>
  <c r="C651" i="34"/>
  <c r="B651" i="34"/>
  <c r="C650" i="34"/>
  <c r="B650" i="34"/>
  <c r="C649" i="34"/>
  <c r="B649" i="34"/>
  <c r="C648" i="34"/>
  <c r="B648" i="34"/>
  <c r="C647" i="34"/>
  <c r="B647" i="34"/>
  <c r="C646" i="34"/>
  <c r="B646" i="34"/>
  <c r="C645" i="34"/>
  <c r="B645" i="34"/>
  <c r="C644" i="34"/>
  <c r="B644" i="34"/>
  <c r="C643" i="34"/>
  <c r="B643" i="34"/>
  <c r="C642" i="34"/>
  <c r="B642" i="34"/>
  <c r="C641" i="34"/>
  <c r="B641" i="34"/>
  <c r="C640" i="34"/>
  <c r="B640" i="34"/>
  <c r="C639" i="34"/>
  <c r="B639" i="34"/>
  <c r="C638" i="34"/>
  <c r="B638" i="34"/>
  <c r="C637" i="34"/>
  <c r="B637" i="34"/>
  <c r="C636" i="34"/>
  <c r="B636" i="34"/>
  <c r="C635" i="34"/>
  <c r="B635" i="34"/>
  <c r="C634" i="34"/>
  <c r="B634" i="34"/>
  <c r="C633" i="34"/>
  <c r="B633" i="34"/>
  <c r="C632" i="34"/>
  <c r="B632" i="34"/>
  <c r="C631" i="34"/>
  <c r="B631" i="34"/>
  <c r="C630" i="34"/>
  <c r="B630" i="34"/>
  <c r="C629" i="34"/>
  <c r="B629" i="34"/>
  <c r="C628" i="34"/>
  <c r="B628" i="34"/>
  <c r="C627" i="34"/>
  <c r="B627" i="34"/>
  <c r="C626" i="34"/>
  <c r="B626" i="34"/>
  <c r="C625" i="34"/>
  <c r="B625" i="34"/>
  <c r="C624" i="34"/>
  <c r="B624" i="34"/>
  <c r="C623" i="34"/>
  <c r="B623" i="34"/>
  <c r="C622" i="34"/>
  <c r="B622" i="34"/>
  <c r="C621" i="34"/>
  <c r="B621" i="34"/>
  <c r="C620" i="34"/>
  <c r="B620" i="34"/>
  <c r="C619" i="34"/>
  <c r="B619" i="34"/>
  <c r="C618" i="34"/>
  <c r="B618" i="34"/>
  <c r="C617" i="34"/>
  <c r="B617" i="34"/>
  <c r="C616" i="34"/>
  <c r="B616" i="34"/>
  <c r="C615" i="34"/>
  <c r="B615" i="34"/>
  <c r="C614" i="34"/>
  <c r="B614" i="34"/>
  <c r="C613" i="34"/>
  <c r="B613" i="34"/>
  <c r="C612" i="34"/>
  <c r="B612" i="34"/>
  <c r="C611" i="34"/>
  <c r="B611" i="34"/>
  <c r="C610" i="34"/>
  <c r="B610" i="34"/>
  <c r="C609" i="34"/>
  <c r="B609" i="34"/>
  <c r="C608" i="34"/>
  <c r="B608" i="34"/>
  <c r="C607" i="34"/>
  <c r="B607" i="34"/>
  <c r="C606" i="34"/>
  <c r="B606" i="34"/>
  <c r="C605" i="34"/>
  <c r="B605" i="34"/>
  <c r="C604" i="34"/>
  <c r="B604" i="34"/>
  <c r="C603" i="34"/>
  <c r="B603" i="34"/>
  <c r="C602" i="34"/>
  <c r="B602" i="34"/>
  <c r="C601" i="34"/>
  <c r="B601" i="34"/>
  <c r="C600" i="34"/>
  <c r="B600" i="34"/>
  <c r="C599" i="34"/>
  <c r="B599" i="34"/>
  <c r="C598" i="34"/>
  <c r="B598" i="34"/>
  <c r="C597" i="34"/>
  <c r="B597" i="34"/>
  <c r="C596" i="34"/>
  <c r="B596" i="34"/>
  <c r="C595" i="34"/>
  <c r="B595" i="34"/>
  <c r="C594" i="34"/>
  <c r="B594" i="34"/>
  <c r="C593" i="34"/>
  <c r="B593" i="34"/>
  <c r="C592" i="34"/>
  <c r="B592" i="34"/>
  <c r="C591" i="34"/>
  <c r="B591" i="34"/>
  <c r="C590" i="34"/>
  <c r="B590" i="34"/>
  <c r="C589" i="34"/>
  <c r="B589" i="34"/>
  <c r="C588" i="34"/>
  <c r="B588" i="34"/>
  <c r="C587" i="34"/>
  <c r="B587" i="34"/>
  <c r="C586" i="34"/>
  <c r="B586" i="34"/>
  <c r="C585" i="34"/>
  <c r="B585" i="34"/>
  <c r="C584" i="34"/>
  <c r="B584" i="34"/>
  <c r="C583" i="34"/>
  <c r="B583" i="34"/>
  <c r="C582" i="34"/>
  <c r="B582" i="34"/>
  <c r="K9" i="20" s="1"/>
  <c r="C581" i="34"/>
  <c r="B581" i="34"/>
  <c r="C580" i="34"/>
  <c r="B580" i="34"/>
  <c r="C579" i="34"/>
  <c r="B579" i="34"/>
  <c r="C578" i="34"/>
  <c r="B578" i="34"/>
  <c r="C577" i="34"/>
  <c r="B577" i="34"/>
  <c r="C576" i="34"/>
  <c r="B576" i="34"/>
  <c r="C575" i="34"/>
  <c r="B575" i="34"/>
  <c r="C574" i="34"/>
  <c r="B574" i="34"/>
  <c r="C573" i="34"/>
  <c r="B573" i="34"/>
  <c r="C572" i="34"/>
  <c r="B572" i="34"/>
  <c r="C571" i="34"/>
  <c r="B571" i="34"/>
  <c r="C570" i="34"/>
  <c r="B570" i="34"/>
  <c r="C569" i="34"/>
  <c r="B569" i="34"/>
  <c r="C568" i="34"/>
  <c r="B568" i="34"/>
  <c r="C567" i="34"/>
  <c r="B567" i="34"/>
  <c r="C566" i="34"/>
  <c r="B566" i="34"/>
  <c r="C565" i="34"/>
  <c r="B565" i="34"/>
  <c r="C564" i="34"/>
  <c r="B564" i="34"/>
  <c r="C563" i="34"/>
  <c r="B563" i="34"/>
  <c r="C562" i="34"/>
  <c r="B562" i="34"/>
  <c r="C561" i="34"/>
  <c r="B561" i="34"/>
  <c r="C560" i="34"/>
  <c r="B560" i="34"/>
  <c r="C559" i="34"/>
  <c r="B559" i="34"/>
  <c r="C558" i="34"/>
  <c r="B558" i="34"/>
  <c r="C557" i="34"/>
  <c r="B557" i="34"/>
  <c r="C556" i="34"/>
  <c r="B556" i="34"/>
  <c r="C555" i="34"/>
  <c r="B555" i="34"/>
  <c r="C554" i="34"/>
  <c r="B554" i="34"/>
  <c r="C553" i="34"/>
  <c r="B553" i="34"/>
  <c r="C552" i="34"/>
  <c r="B552" i="34"/>
  <c r="C551" i="34"/>
  <c r="B551" i="34"/>
  <c r="C550" i="34"/>
  <c r="B550" i="34"/>
  <c r="C549" i="34"/>
  <c r="B549" i="34"/>
  <c r="C548" i="34"/>
  <c r="B548" i="34"/>
  <c r="C547" i="34"/>
  <c r="B547" i="34"/>
  <c r="C546" i="34"/>
  <c r="B546" i="34"/>
  <c r="C545" i="34"/>
  <c r="B545" i="34"/>
  <c r="C544" i="34"/>
  <c r="B544" i="34"/>
  <c r="C543" i="34"/>
  <c r="B543" i="34"/>
  <c r="C542" i="34"/>
  <c r="B542" i="34"/>
  <c r="C541" i="34"/>
  <c r="B541" i="34"/>
  <c r="C540" i="34"/>
  <c r="B540" i="34"/>
  <c r="C539" i="34"/>
  <c r="B539" i="34"/>
  <c r="C538" i="34"/>
  <c r="B538" i="34"/>
  <c r="C537" i="34"/>
  <c r="B537" i="34"/>
  <c r="C536" i="34"/>
  <c r="B536" i="34"/>
  <c r="C535" i="34"/>
  <c r="B535" i="34"/>
  <c r="C534" i="34"/>
  <c r="B534" i="34"/>
  <c r="C533" i="34"/>
  <c r="B533" i="34"/>
  <c r="C532" i="34"/>
  <c r="B532" i="34"/>
  <c r="C531" i="34"/>
  <c r="B531" i="34"/>
  <c r="C530" i="34"/>
  <c r="B530" i="34"/>
  <c r="C529" i="34"/>
  <c r="B529" i="34"/>
  <c r="C528" i="34"/>
  <c r="B528" i="34"/>
  <c r="C527" i="34"/>
  <c r="B527" i="34"/>
  <c r="C526" i="34"/>
  <c r="B526" i="34"/>
  <c r="C525" i="34"/>
  <c r="B525" i="34"/>
  <c r="C524" i="34"/>
  <c r="B524" i="34"/>
  <c r="C523" i="34"/>
  <c r="B523" i="34"/>
  <c r="C522" i="34"/>
  <c r="B522" i="34"/>
  <c r="C521" i="34"/>
  <c r="B521" i="34"/>
  <c r="C520" i="34"/>
  <c r="B520" i="34"/>
  <c r="C519" i="34"/>
  <c r="B519" i="34"/>
  <c r="C518" i="34"/>
  <c r="B518" i="34"/>
  <c r="C517" i="34"/>
  <c r="B517" i="34"/>
  <c r="C516" i="34"/>
  <c r="B516" i="34"/>
  <c r="C515" i="34"/>
  <c r="B515" i="34"/>
  <c r="C514" i="34"/>
  <c r="B514" i="34"/>
  <c r="C513" i="34"/>
  <c r="B513" i="34"/>
  <c r="C512" i="34"/>
  <c r="B512" i="34"/>
  <c r="C511" i="34"/>
  <c r="B511" i="34"/>
  <c r="C510" i="34"/>
  <c r="B510" i="34"/>
  <c r="C509" i="34"/>
  <c r="B509" i="34"/>
  <c r="C508" i="34"/>
  <c r="B508" i="34"/>
  <c r="C507" i="34"/>
  <c r="B507" i="34"/>
  <c r="C506" i="34"/>
  <c r="B506" i="34"/>
  <c r="C505" i="34"/>
  <c r="B505" i="34"/>
  <c r="K30" i="31" s="1"/>
  <c r="C504" i="34"/>
  <c r="B504" i="34"/>
  <c r="C503" i="34"/>
  <c r="B503" i="34"/>
  <c r="C502" i="34"/>
  <c r="B502" i="34"/>
  <c r="C501" i="34"/>
  <c r="B501" i="34"/>
  <c r="C500" i="34"/>
  <c r="B500" i="34"/>
  <c r="C499" i="34"/>
  <c r="B499" i="34"/>
  <c r="C498" i="34"/>
  <c r="B498" i="34"/>
  <c r="C497" i="34"/>
  <c r="B497" i="34"/>
  <c r="C496" i="34"/>
  <c r="B496" i="34"/>
  <c r="C495" i="34"/>
  <c r="B495" i="34"/>
  <c r="C494" i="34"/>
  <c r="B494" i="34"/>
  <c r="C493" i="34"/>
  <c r="B493" i="34"/>
  <c r="C492" i="34"/>
  <c r="B492" i="34"/>
  <c r="C491" i="34"/>
  <c r="B491" i="34"/>
  <c r="C490" i="34"/>
  <c r="B490" i="34"/>
  <c r="C489" i="34"/>
  <c r="B489" i="34"/>
  <c r="C488" i="34"/>
  <c r="B488" i="34"/>
  <c r="C487" i="34"/>
  <c r="B487" i="34"/>
  <c r="C486" i="34"/>
  <c r="B486" i="34"/>
  <c r="C485" i="34"/>
  <c r="B485" i="34"/>
  <c r="J9" i="26" s="1"/>
  <c r="C484" i="34"/>
  <c r="B484" i="34"/>
  <c r="C483" i="34"/>
  <c r="B483" i="34"/>
  <c r="C482" i="34"/>
  <c r="B482" i="34"/>
  <c r="C481" i="34"/>
  <c r="B481" i="34"/>
  <c r="C480" i="34"/>
  <c r="B480" i="34"/>
  <c r="C479" i="34"/>
  <c r="B479" i="34"/>
  <c r="C478" i="34"/>
  <c r="B478" i="34"/>
  <c r="C477" i="34"/>
  <c r="B477" i="34"/>
  <c r="J16" i="28" s="1"/>
  <c r="C476" i="34"/>
  <c r="B476" i="34"/>
  <c r="C475" i="34"/>
  <c r="B475" i="34"/>
  <c r="C474" i="34"/>
  <c r="B474" i="34"/>
  <c r="C473" i="34"/>
  <c r="B473" i="34"/>
  <c r="C472" i="34"/>
  <c r="B472" i="34"/>
  <c r="C471" i="34"/>
  <c r="B471" i="34"/>
  <c r="C470" i="34"/>
  <c r="B470" i="34"/>
  <c r="C469" i="34"/>
  <c r="B469" i="34"/>
  <c r="C468" i="34"/>
  <c r="B468" i="34"/>
  <c r="C467" i="34"/>
  <c r="B467" i="34"/>
  <c r="C466" i="34"/>
  <c r="B466" i="34"/>
  <c r="C465" i="34"/>
  <c r="B465" i="34"/>
  <c r="C464" i="34"/>
  <c r="B464" i="34"/>
  <c r="C463" i="34"/>
  <c r="B463" i="34"/>
  <c r="C462" i="34"/>
  <c r="B462" i="34"/>
  <c r="C461" i="34"/>
  <c r="B461" i="34"/>
  <c r="C460" i="34"/>
  <c r="B460" i="34"/>
  <c r="C459" i="34"/>
  <c r="B459" i="34"/>
  <c r="C458" i="34"/>
  <c r="B458" i="34"/>
  <c r="C457" i="34"/>
  <c r="B457" i="34"/>
  <c r="J12" i="24" s="1"/>
  <c r="C456" i="34"/>
  <c r="B456" i="34"/>
  <c r="C455" i="34"/>
  <c r="B455" i="34"/>
  <c r="C454" i="34"/>
  <c r="B454" i="34"/>
  <c r="C453" i="34"/>
  <c r="B453" i="34"/>
  <c r="J13" i="26" s="1"/>
  <c r="C452" i="34"/>
  <c r="B452" i="34"/>
  <c r="C451" i="34"/>
  <c r="B451" i="34"/>
  <c r="C450" i="34"/>
  <c r="B450" i="34"/>
  <c r="C449" i="34"/>
  <c r="B449" i="34"/>
  <c r="J14" i="30" s="1"/>
  <c r="C448" i="34"/>
  <c r="B448" i="34"/>
  <c r="C447" i="34"/>
  <c r="B447" i="34"/>
  <c r="C446" i="34"/>
  <c r="B446" i="34"/>
  <c r="C445" i="34"/>
  <c r="B445" i="34"/>
  <c r="J16" i="22" s="1"/>
  <c r="C444" i="34"/>
  <c r="B444" i="34"/>
  <c r="C443" i="34"/>
  <c r="B443" i="34"/>
  <c r="C442" i="34"/>
  <c r="B442" i="34"/>
  <c r="C441" i="34"/>
  <c r="B441" i="34"/>
  <c r="C440" i="34"/>
  <c r="B440" i="34"/>
  <c r="C439" i="34"/>
  <c r="B439" i="34"/>
  <c r="C438" i="34"/>
  <c r="B438" i="34"/>
  <c r="C437" i="34"/>
  <c r="B437" i="34"/>
  <c r="C436" i="34"/>
  <c r="B436" i="34"/>
  <c r="C435" i="34"/>
  <c r="B435" i="34"/>
  <c r="C434" i="34"/>
  <c r="B434" i="34"/>
  <c r="C433" i="34"/>
  <c r="B433" i="34"/>
  <c r="J25" i="29" s="1"/>
  <c r="C432" i="34"/>
  <c r="B432" i="34"/>
  <c r="C431" i="34"/>
  <c r="B431" i="34"/>
  <c r="C430" i="34"/>
  <c r="B430" i="34"/>
  <c r="C429" i="34"/>
  <c r="B429" i="34"/>
  <c r="C428" i="34"/>
  <c r="B428" i="34"/>
  <c r="C427" i="34"/>
  <c r="B427" i="34"/>
  <c r="C426" i="34"/>
  <c r="B426" i="34"/>
  <c r="C425" i="34"/>
  <c r="B425" i="34"/>
  <c r="K12" i="31" s="1"/>
  <c r="C424" i="34"/>
  <c r="B424" i="34"/>
  <c r="C423" i="34"/>
  <c r="B423" i="34"/>
  <c r="C422" i="34"/>
  <c r="B422" i="34"/>
  <c r="C421" i="34"/>
  <c r="B421" i="34"/>
  <c r="K14" i="29" s="1"/>
  <c r="C420" i="34"/>
  <c r="B420" i="34"/>
  <c r="C419" i="34"/>
  <c r="B419" i="34"/>
  <c r="C418" i="34"/>
  <c r="B418" i="34"/>
  <c r="C417" i="34"/>
  <c r="B417" i="34"/>
  <c r="J7" i="31" s="1"/>
  <c r="C416" i="34"/>
  <c r="B416" i="34"/>
  <c r="C415" i="34"/>
  <c r="B415" i="34"/>
  <c r="C414" i="34"/>
  <c r="B414" i="34"/>
  <c r="C413" i="34"/>
  <c r="B413" i="34"/>
  <c r="K28" i="25" s="1"/>
  <c r="C412" i="34"/>
  <c r="B412" i="34"/>
  <c r="C411" i="34"/>
  <c r="B411" i="34"/>
  <c r="C410" i="34"/>
  <c r="B410" i="34"/>
  <c r="C409" i="34"/>
  <c r="B409" i="34"/>
  <c r="C408" i="34"/>
  <c r="B408" i="34"/>
  <c r="C407" i="34"/>
  <c r="B407" i="34"/>
  <c r="C406" i="34"/>
  <c r="B406" i="34"/>
  <c r="C405" i="34"/>
  <c r="B405" i="34"/>
  <c r="K15" i="31" s="1"/>
  <c r="C404" i="34"/>
  <c r="B404" i="34"/>
  <c r="C403" i="34"/>
  <c r="B403" i="34"/>
  <c r="C402" i="34"/>
  <c r="B402" i="34"/>
  <c r="C401" i="34"/>
  <c r="B401" i="34"/>
  <c r="C400" i="34"/>
  <c r="B400" i="34"/>
  <c r="C399" i="34"/>
  <c r="B399" i="34"/>
  <c r="C398" i="34"/>
  <c r="B398" i="34"/>
  <c r="C397" i="34"/>
  <c r="B397" i="34"/>
  <c r="J28" i="26" s="1"/>
  <c r="C396" i="34"/>
  <c r="B396" i="34"/>
  <c r="C395" i="34"/>
  <c r="B395" i="34"/>
  <c r="C394" i="34"/>
  <c r="B394" i="34"/>
  <c r="C393" i="34"/>
  <c r="B393" i="34"/>
  <c r="C392" i="34"/>
  <c r="B392" i="34"/>
  <c r="C391" i="34"/>
  <c r="B391" i="34"/>
  <c r="C390" i="34"/>
  <c r="B390" i="34"/>
  <c r="C389" i="34"/>
  <c r="B389" i="34"/>
  <c r="K9" i="26" s="1"/>
  <c r="C388" i="34"/>
  <c r="B388" i="34"/>
  <c r="C387" i="34"/>
  <c r="B387" i="34"/>
  <c r="C386" i="34"/>
  <c r="B386" i="34"/>
  <c r="C385" i="34"/>
  <c r="B385" i="34"/>
  <c r="C384" i="34"/>
  <c r="B384" i="34"/>
  <c r="C383" i="34"/>
  <c r="B383" i="34"/>
  <c r="C382" i="34"/>
  <c r="B382" i="34"/>
  <c r="C381" i="34"/>
  <c r="B381" i="34"/>
  <c r="K7" i="31" s="1"/>
  <c r="C380" i="34"/>
  <c r="B380" i="34"/>
  <c r="C379" i="34"/>
  <c r="B379" i="34"/>
  <c r="C378" i="34"/>
  <c r="B378" i="34"/>
  <c r="C377" i="34"/>
  <c r="B377" i="34"/>
  <c r="C376" i="34"/>
  <c r="B376" i="34"/>
  <c r="C375" i="34"/>
  <c r="B375" i="34"/>
  <c r="C374" i="34"/>
  <c r="B374" i="34"/>
  <c r="C373" i="34"/>
  <c r="B373" i="34"/>
  <c r="J23" i="27" s="1"/>
  <c r="C372" i="34"/>
  <c r="B372" i="34"/>
  <c r="C371" i="34"/>
  <c r="B371" i="34"/>
  <c r="C370" i="34"/>
  <c r="B370" i="34"/>
  <c r="J13" i="24" s="1"/>
  <c r="C369" i="34"/>
  <c r="B369" i="34"/>
  <c r="J6" i="29" s="1"/>
  <c r="C368" i="34"/>
  <c r="B368" i="34"/>
  <c r="C367" i="34"/>
  <c r="B367" i="34"/>
  <c r="C366" i="34"/>
  <c r="B366" i="34"/>
  <c r="C365" i="34"/>
  <c r="B365" i="34"/>
  <c r="K18" i="26" s="1"/>
  <c r="C364" i="34"/>
  <c r="B364" i="34"/>
  <c r="C363" i="34"/>
  <c r="B363" i="34"/>
  <c r="C362" i="34"/>
  <c r="B362" i="34"/>
  <c r="C361" i="34"/>
  <c r="B361" i="34"/>
  <c r="K25" i="29" s="1"/>
  <c r="C360" i="34"/>
  <c r="B360" i="34"/>
  <c r="C359" i="34"/>
  <c r="B359" i="34"/>
  <c r="C358" i="34"/>
  <c r="B358" i="34"/>
  <c r="C357" i="34"/>
  <c r="B357" i="34"/>
  <c r="J24" i="26" s="1"/>
  <c r="C356" i="34"/>
  <c r="B356" i="34"/>
  <c r="C355" i="34"/>
  <c r="B355" i="34"/>
  <c r="C354" i="34"/>
  <c r="B354" i="34"/>
  <c r="C353" i="34"/>
  <c r="B353" i="34"/>
  <c r="J25" i="31" s="1"/>
  <c r="C352" i="34"/>
  <c r="B352" i="34"/>
  <c r="C351" i="34"/>
  <c r="B351" i="34"/>
  <c r="C350" i="34"/>
  <c r="B350" i="34"/>
  <c r="C349" i="34"/>
  <c r="B349" i="34"/>
  <c r="K15" i="29" s="1"/>
  <c r="C348" i="34"/>
  <c r="B348" i="34"/>
  <c r="C347" i="34"/>
  <c r="B347" i="34"/>
  <c r="C346" i="34"/>
  <c r="B346" i="34"/>
  <c r="C345" i="34"/>
  <c r="B345" i="34"/>
  <c r="K14" i="26" s="1"/>
  <c r="C344" i="34"/>
  <c r="B344" i="34"/>
  <c r="C343" i="34"/>
  <c r="B343" i="34"/>
  <c r="C342" i="34"/>
  <c r="B342" i="34"/>
  <c r="C341" i="34"/>
  <c r="B341" i="34"/>
  <c r="K8" i="30" s="1"/>
  <c r="C340" i="34"/>
  <c r="B340" i="34"/>
  <c r="C339" i="34"/>
  <c r="B339" i="34"/>
  <c r="C338" i="34"/>
  <c r="B338" i="34"/>
  <c r="K10" i="24" s="1"/>
  <c r="C337" i="34"/>
  <c r="B337" i="34"/>
  <c r="C336" i="34"/>
  <c r="B336" i="34"/>
  <c r="C335" i="34"/>
  <c r="B335" i="34"/>
  <c r="C334" i="34"/>
  <c r="B334" i="34"/>
  <c r="C333" i="34"/>
  <c r="B333" i="34"/>
  <c r="C332" i="34"/>
  <c r="B332" i="34"/>
  <c r="C331" i="34"/>
  <c r="B331" i="34"/>
  <c r="C330" i="34"/>
  <c r="B330" i="34"/>
  <c r="C329" i="34"/>
  <c r="B329" i="34"/>
  <c r="C328" i="34"/>
  <c r="B328" i="34"/>
  <c r="C327" i="34"/>
  <c r="B327" i="34"/>
  <c r="C326" i="34"/>
  <c r="B326" i="34"/>
  <c r="C325" i="34"/>
  <c r="B325" i="34"/>
  <c r="C324" i="34"/>
  <c r="B324" i="34"/>
  <c r="C323" i="34"/>
  <c r="B323" i="34"/>
  <c r="C322" i="34"/>
  <c r="B322" i="34"/>
  <c r="C321" i="34"/>
  <c r="B321" i="34"/>
  <c r="C320" i="34"/>
  <c r="B320" i="34"/>
  <c r="C319" i="34"/>
  <c r="B319" i="34"/>
  <c r="C318" i="34"/>
  <c r="B318" i="34"/>
  <c r="C317" i="34"/>
  <c r="B317" i="34"/>
  <c r="C316" i="34"/>
  <c r="B316" i="34"/>
  <c r="C315" i="34"/>
  <c r="B315" i="34"/>
  <c r="C314" i="34"/>
  <c r="B314" i="34"/>
  <c r="C313" i="34"/>
  <c r="B313" i="34"/>
  <c r="C312" i="34"/>
  <c r="B312" i="34"/>
  <c r="C311" i="34"/>
  <c r="B311" i="34"/>
  <c r="C310" i="34"/>
  <c r="B310" i="34"/>
  <c r="C309" i="34"/>
  <c r="B309" i="34"/>
  <c r="C308" i="34"/>
  <c r="B308" i="34"/>
  <c r="C307" i="34"/>
  <c r="B307" i="34"/>
  <c r="C306" i="34"/>
  <c r="B306" i="34"/>
  <c r="C305" i="34"/>
  <c r="B305" i="34"/>
  <c r="C304" i="34"/>
  <c r="B304" i="34"/>
  <c r="C303" i="34"/>
  <c r="B303" i="34"/>
  <c r="C302" i="34"/>
  <c r="B302" i="34"/>
  <c r="C301" i="34"/>
  <c r="B301" i="34"/>
  <c r="C300" i="34"/>
  <c r="B300" i="34"/>
  <c r="C299" i="34"/>
  <c r="B299" i="34"/>
  <c r="C298" i="34"/>
  <c r="B298" i="34"/>
  <c r="C297" i="34"/>
  <c r="B297" i="34"/>
  <c r="C296" i="34"/>
  <c r="B296" i="34"/>
  <c r="C295" i="34"/>
  <c r="B295" i="34"/>
  <c r="C294" i="34"/>
  <c r="B294" i="34"/>
  <c r="C293" i="34"/>
  <c r="B293" i="34"/>
  <c r="C292" i="34"/>
  <c r="B292" i="34"/>
  <c r="C291" i="34"/>
  <c r="B291" i="34"/>
  <c r="C290" i="34"/>
  <c r="B290" i="34"/>
  <c r="C289" i="34"/>
  <c r="B289" i="34"/>
  <c r="C288" i="34"/>
  <c r="B288" i="34"/>
  <c r="C287" i="34"/>
  <c r="B287" i="34"/>
  <c r="C286" i="34"/>
  <c r="B286" i="34"/>
  <c r="C285" i="34"/>
  <c r="B285" i="34"/>
  <c r="C284" i="34"/>
  <c r="B284" i="34"/>
  <c r="C283" i="34"/>
  <c r="B283" i="34"/>
  <c r="C282" i="34"/>
  <c r="B282" i="34"/>
  <c r="C281" i="34"/>
  <c r="B281" i="34"/>
  <c r="C280" i="34"/>
  <c r="B280" i="34"/>
  <c r="C279" i="34"/>
  <c r="B279" i="34"/>
  <c r="C278" i="34"/>
  <c r="B278" i="34"/>
  <c r="C277" i="34"/>
  <c r="B277" i="34"/>
  <c r="C276" i="34"/>
  <c r="B276" i="34"/>
  <c r="C275" i="34"/>
  <c r="B275" i="34"/>
  <c r="C274" i="34"/>
  <c r="B274" i="34"/>
  <c r="C273" i="34"/>
  <c r="B273" i="34"/>
  <c r="C272" i="34"/>
  <c r="B272" i="34"/>
  <c r="C271" i="34"/>
  <c r="B271" i="34"/>
  <c r="C270" i="34"/>
  <c r="B270" i="34"/>
  <c r="C269" i="34"/>
  <c r="B269" i="34"/>
  <c r="C268" i="34"/>
  <c r="B268" i="34"/>
  <c r="C267" i="34"/>
  <c r="B267" i="34"/>
  <c r="C266" i="34"/>
  <c r="B266" i="34"/>
  <c r="C265" i="34"/>
  <c r="B265" i="34"/>
  <c r="C264" i="34"/>
  <c r="B264" i="34"/>
  <c r="C263" i="34"/>
  <c r="B263" i="34"/>
  <c r="C262" i="34"/>
  <c r="B262" i="34"/>
  <c r="C261" i="34"/>
  <c r="B261" i="34"/>
  <c r="C260" i="34"/>
  <c r="B260" i="34"/>
  <c r="C259" i="34"/>
  <c r="B259" i="34"/>
  <c r="C258" i="34"/>
  <c r="B258" i="34"/>
  <c r="C257" i="34"/>
  <c r="B257" i="34"/>
  <c r="C256" i="34"/>
  <c r="B256" i="34"/>
  <c r="C255" i="34"/>
  <c r="B255" i="34"/>
  <c r="C254" i="34"/>
  <c r="B254" i="34"/>
  <c r="C253" i="34"/>
  <c r="B253" i="34"/>
  <c r="C252" i="34"/>
  <c r="B252" i="34"/>
  <c r="C251" i="34"/>
  <c r="B251" i="34"/>
  <c r="C250" i="34"/>
  <c r="B250" i="34"/>
  <c r="C249" i="34"/>
  <c r="B249" i="34"/>
  <c r="C248" i="34"/>
  <c r="B248" i="34"/>
  <c r="C247" i="34"/>
  <c r="B247" i="34"/>
  <c r="C246" i="34"/>
  <c r="B246" i="34"/>
  <c r="C245" i="34"/>
  <c r="B245" i="34"/>
  <c r="C244" i="34"/>
  <c r="B244" i="34"/>
  <c r="C243" i="34"/>
  <c r="B243" i="34"/>
  <c r="C242" i="34"/>
  <c r="B242" i="34"/>
  <c r="C241" i="34"/>
  <c r="B241" i="34"/>
  <c r="C240" i="34"/>
  <c r="B240" i="34"/>
  <c r="C239" i="34"/>
  <c r="B239" i="34"/>
  <c r="C238" i="34"/>
  <c r="B238" i="34"/>
  <c r="C237" i="34"/>
  <c r="B237" i="34"/>
  <c r="C236" i="34"/>
  <c r="B236" i="34"/>
  <c r="C235" i="34"/>
  <c r="B235" i="34"/>
  <c r="C234" i="34"/>
  <c r="B234" i="34"/>
  <c r="C233" i="34"/>
  <c r="B233" i="34"/>
  <c r="C232" i="34"/>
  <c r="B232" i="34"/>
  <c r="C231" i="34"/>
  <c r="B231" i="34"/>
  <c r="C230" i="34"/>
  <c r="B230" i="34"/>
  <c r="C229" i="34"/>
  <c r="B229" i="34"/>
  <c r="C228" i="34"/>
  <c r="B228" i="34"/>
  <c r="C227" i="34"/>
  <c r="B227" i="34"/>
  <c r="C226" i="34"/>
  <c r="B226" i="34"/>
  <c r="C225" i="34"/>
  <c r="B225" i="34"/>
  <c r="C224" i="34"/>
  <c r="B224" i="34"/>
  <c r="C223" i="34"/>
  <c r="B223" i="34"/>
  <c r="C222" i="34"/>
  <c r="B222" i="34"/>
  <c r="C221" i="34"/>
  <c r="B221" i="34"/>
  <c r="C220" i="34"/>
  <c r="B220" i="34"/>
  <c r="C219" i="34"/>
  <c r="B219" i="34"/>
  <c r="C218" i="34"/>
  <c r="B218" i="34"/>
  <c r="C217" i="34"/>
  <c r="B217" i="34"/>
  <c r="C216" i="34"/>
  <c r="B216" i="34"/>
  <c r="C215" i="34"/>
  <c r="B215" i="34"/>
  <c r="C214" i="34"/>
  <c r="B214" i="34"/>
  <c r="C213" i="34"/>
  <c r="B213" i="34"/>
  <c r="C212" i="34"/>
  <c r="B212" i="34"/>
  <c r="C211" i="34"/>
  <c r="B211" i="34"/>
  <c r="C210" i="34"/>
  <c r="B210" i="34"/>
  <c r="C209" i="34"/>
  <c r="B209" i="34"/>
  <c r="C208" i="34"/>
  <c r="B208" i="34"/>
  <c r="C207" i="34"/>
  <c r="B207" i="34"/>
  <c r="C206" i="34"/>
  <c r="B206" i="34"/>
  <c r="C205" i="34"/>
  <c r="B205" i="34"/>
  <c r="C204" i="34"/>
  <c r="B204" i="34"/>
  <c r="C203" i="34"/>
  <c r="B203" i="34"/>
  <c r="C202" i="34"/>
  <c r="B202" i="34"/>
  <c r="C201" i="34"/>
  <c r="B201" i="34"/>
  <c r="C200" i="34"/>
  <c r="B200" i="34"/>
  <c r="C199" i="34"/>
  <c r="B199" i="34"/>
  <c r="C198" i="34"/>
  <c r="B198" i="34"/>
  <c r="C197" i="34"/>
  <c r="B197" i="34"/>
  <c r="C196" i="34"/>
  <c r="B196" i="34"/>
  <c r="C195" i="34"/>
  <c r="B195" i="34"/>
  <c r="C194" i="34"/>
  <c r="B194" i="34"/>
  <c r="C193" i="34"/>
  <c r="B193" i="34"/>
  <c r="C192" i="34"/>
  <c r="B192" i="34"/>
  <c r="C191" i="34"/>
  <c r="B191" i="34"/>
  <c r="C190" i="34"/>
  <c r="B190" i="34"/>
  <c r="C189" i="34"/>
  <c r="B189" i="34"/>
  <c r="C188" i="34"/>
  <c r="B188" i="34"/>
  <c r="C187" i="34"/>
  <c r="B187" i="34"/>
  <c r="C186" i="34"/>
  <c r="B186" i="34"/>
  <c r="C185" i="34"/>
  <c r="B185" i="34"/>
  <c r="C184" i="34"/>
  <c r="B184" i="34"/>
  <c r="C183" i="34"/>
  <c r="B183" i="34"/>
  <c r="C182" i="34"/>
  <c r="B182" i="34"/>
  <c r="C181" i="34"/>
  <c r="B181" i="34"/>
  <c r="C180" i="34"/>
  <c r="B180" i="34"/>
  <c r="C179" i="34"/>
  <c r="B179" i="34"/>
  <c r="C178" i="34"/>
  <c r="B178" i="34"/>
  <c r="C177" i="34"/>
  <c r="B177" i="34"/>
  <c r="C176" i="34"/>
  <c r="B176" i="34"/>
  <c r="C175" i="34"/>
  <c r="B175" i="34"/>
  <c r="C174" i="34"/>
  <c r="B174" i="34"/>
  <c r="C173" i="34"/>
  <c r="B173" i="34"/>
  <c r="C172" i="34"/>
  <c r="B172" i="34"/>
  <c r="C171" i="34"/>
  <c r="B171" i="34"/>
  <c r="C170" i="34"/>
  <c r="B170" i="34"/>
  <c r="C169" i="34"/>
  <c r="B169" i="34"/>
  <c r="C168" i="34"/>
  <c r="B168" i="34"/>
  <c r="C167" i="34"/>
  <c r="B167" i="34"/>
  <c r="C166" i="34"/>
  <c r="B166" i="34"/>
  <c r="C165" i="34"/>
  <c r="B165" i="34"/>
  <c r="C164" i="34"/>
  <c r="B164" i="34"/>
  <c r="C163" i="34"/>
  <c r="B163" i="34"/>
  <c r="C162" i="34"/>
  <c r="B162" i="34"/>
  <c r="C161" i="34"/>
  <c r="B161" i="34"/>
  <c r="C160" i="34"/>
  <c r="B160" i="34"/>
  <c r="C159" i="34"/>
  <c r="B159" i="34"/>
  <c r="C158" i="34"/>
  <c r="B158" i="34"/>
  <c r="C157" i="34"/>
  <c r="B157" i="34"/>
  <c r="C156" i="34"/>
  <c r="B156" i="34"/>
  <c r="C155" i="34"/>
  <c r="B155" i="34"/>
  <c r="C154" i="34"/>
  <c r="B154" i="34"/>
  <c r="C153" i="34"/>
  <c r="B153" i="34"/>
  <c r="C152" i="34"/>
  <c r="B152" i="34"/>
  <c r="C151" i="34"/>
  <c r="B151" i="34"/>
  <c r="C150" i="34"/>
  <c r="B150" i="34"/>
  <c r="C149" i="34"/>
  <c r="B149" i="34"/>
  <c r="C148" i="34"/>
  <c r="B148" i="34"/>
  <c r="C147" i="34"/>
  <c r="B147" i="34"/>
  <c r="C146" i="34"/>
  <c r="B146" i="34"/>
  <c r="C145" i="34"/>
  <c r="B145" i="34"/>
  <c r="C144" i="34"/>
  <c r="B144" i="34"/>
  <c r="C143" i="34"/>
  <c r="B143" i="34"/>
  <c r="C142" i="34"/>
  <c r="B142" i="34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81" i="34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K15" i="26" s="1"/>
  <c r="B7" i="34"/>
  <c r="C6" i="34"/>
  <c r="B6" i="34"/>
  <c r="C5" i="34"/>
  <c r="J29" i="31" s="1"/>
  <c r="B5" i="34"/>
  <c r="B30" i="31"/>
  <c r="B29" i="31"/>
  <c r="B28" i="31"/>
  <c r="B27" i="31"/>
  <c r="B26" i="31"/>
  <c r="B25" i="31"/>
  <c r="B24" i="31"/>
  <c r="B23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30" i="30"/>
  <c r="B29" i="30"/>
  <c r="B28" i="30"/>
  <c r="B27" i="30"/>
  <c r="B26" i="30"/>
  <c r="B25" i="30"/>
  <c r="K25" i="30" s="1"/>
  <c r="B24" i="30"/>
  <c r="B23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29" i="29"/>
  <c r="B28" i="29"/>
  <c r="B27" i="29"/>
  <c r="B26" i="29"/>
  <c r="B25" i="29"/>
  <c r="B24" i="29"/>
  <c r="B23" i="29"/>
  <c r="B22" i="29"/>
  <c r="K18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29" i="28"/>
  <c r="K28" i="28"/>
  <c r="B28" i="28"/>
  <c r="B27" i="28"/>
  <c r="B26" i="28"/>
  <c r="B25" i="28"/>
  <c r="B24" i="28"/>
  <c r="B23" i="28"/>
  <c r="B22" i="28"/>
  <c r="K18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K1" i="28"/>
  <c r="B30" i="27"/>
  <c r="K29" i="27"/>
  <c r="B29" i="27"/>
  <c r="B28" i="27"/>
  <c r="B27" i="27"/>
  <c r="B26" i="27"/>
  <c r="K25" i="27"/>
  <c r="B25" i="27"/>
  <c r="B24" i="27"/>
  <c r="B23" i="27"/>
  <c r="B19" i="27"/>
  <c r="J19" i="27" s="1"/>
  <c r="B18" i="27"/>
  <c r="B17" i="27"/>
  <c r="B16" i="27"/>
  <c r="B15" i="27"/>
  <c r="B14" i="27"/>
  <c r="J13" i="27"/>
  <c r="B13" i="27"/>
  <c r="B12" i="27"/>
  <c r="B11" i="27"/>
  <c r="B10" i="27"/>
  <c r="B9" i="27"/>
  <c r="B8" i="27"/>
  <c r="B7" i="27"/>
  <c r="K6" i="27"/>
  <c r="B6" i="27"/>
  <c r="K1" i="27"/>
  <c r="J1" i="27"/>
  <c r="B30" i="26"/>
  <c r="J29" i="26"/>
  <c r="B29" i="26"/>
  <c r="B28" i="26"/>
  <c r="B27" i="26"/>
  <c r="B26" i="26"/>
  <c r="J26" i="26" s="1"/>
  <c r="K25" i="26"/>
  <c r="B25" i="26"/>
  <c r="B24" i="26"/>
  <c r="B23" i="26"/>
  <c r="B19" i="26"/>
  <c r="B18" i="26"/>
  <c r="B17" i="26"/>
  <c r="B16" i="26"/>
  <c r="B15" i="26"/>
  <c r="B14" i="26"/>
  <c r="J14" i="26" s="1"/>
  <c r="B13" i="26"/>
  <c r="B12" i="26"/>
  <c r="K12" i="26" s="1"/>
  <c r="B11" i="26"/>
  <c r="B10" i="26"/>
  <c r="B9" i="26"/>
  <c r="B8" i="26"/>
  <c r="B7" i="26"/>
  <c r="B6" i="26"/>
  <c r="K1" i="26"/>
  <c r="B30" i="25"/>
  <c r="J30" i="25" s="1"/>
  <c r="K29" i="25"/>
  <c r="B29" i="25"/>
  <c r="B28" i="25"/>
  <c r="B27" i="25"/>
  <c r="B26" i="25"/>
  <c r="J25" i="25"/>
  <c r="B25" i="25"/>
  <c r="B24" i="25"/>
  <c r="B23" i="25"/>
  <c r="B19" i="25"/>
  <c r="J19" i="25" s="1"/>
  <c r="B18" i="25"/>
  <c r="J18" i="25" s="1"/>
  <c r="B17" i="25"/>
  <c r="B16" i="25"/>
  <c r="B15" i="25"/>
  <c r="B14" i="25"/>
  <c r="J13" i="25"/>
  <c r="B13" i="25"/>
  <c r="B12" i="25"/>
  <c r="K12" i="25" s="1"/>
  <c r="B11" i="25"/>
  <c r="B10" i="25"/>
  <c r="B9" i="25"/>
  <c r="J8" i="25"/>
  <c r="B8" i="25"/>
  <c r="B7" i="25"/>
  <c r="B6" i="25"/>
  <c r="K1" i="25"/>
  <c r="B30" i="24"/>
  <c r="K29" i="24"/>
  <c r="B29" i="24"/>
  <c r="B28" i="24"/>
  <c r="J27" i="24"/>
  <c r="B27" i="24"/>
  <c r="B26" i="24"/>
  <c r="K25" i="24"/>
  <c r="B25" i="24"/>
  <c r="B24" i="24"/>
  <c r="B23" i="24"/>
  <c r="B19" i="24"/>
  <c r="B18" i="24"/>
  <c r="K17" i="24"/>
  <c r="B17" i="24"/>
  <c r="B16" i="24"/>
  <c r="B15" i="24"/>
  <c r="J15" i="24" s="1"/>
  <c r="B14" i="24"/>
  <c r="B13" i="24"/>
  <c r="B12" i="24"/>
  <c r="B11" i="24"/>
  <c r="J10" i="24"/>
  <c r="B10" i="24"/>
  <c r="B9" i="24"/>
  <c r="B8" i="24"/>
  <c r="K7" i="24"/>
  <c r="B7" i="24"/>
  <c r="J7" i="24" s="1"/>
  <c r="K6" i="24"/>
  <c r="B6" i="24"/>
  <c r="J6" i="24" s="1"/>
  <c r="J1" i="24"/>
  <c r="B30" i="23"/>
  <c r="B29" i="23"/>
  <c r="J29" i="23" s="1"/>
  <c r="J28" i="23"/>
  <c r="B28" i="23"/>
  <c r="B27" i="23"/>
  <c r="B26" i="23"/>
  <c r="J25" i="23"/>
  <c r="B25" i="23"/>
  <c r="K24" i="23"/>
  <c r="B24" i="23"/>
  <c r="B23" i="23"/>
  <c r="K19" i="23"/>
  <c r="B19" i="23"/>
  <c r="J19" i="23" s="1"/>
  <c r="K18" i="23"/>
  <c r="B18" i="23"/>
  <c r="J18" i="23" s="1"/>
  <c r="K17" i="23"/>
  <c r="J17" i="23"/>
  <c r="B17" i="23"/>
  <c r="B16" i="23"/>
  <c r="B15" i="23"/>
  <c r="J14" i="23"/>
  <c r="B14" i="23"/>
  <c r="K13" i="23"/>
  <c r="J13" i="23"/>
  <c r="B13" i="23"/>
  <c r="B12" i="23"/>
  <c r="B11" i="23"/>
  <c r="K10" i="23"/>
  <c r="B10" i="23"/>
  <c r="J10" i="23" s="1"/>
  <c r="B9" i="23"/>
  <c r="K9" i="23" s="1"/>
  <c r="B8" i="23"/>
  <c r="B7" i="23"/>
  <c r="K6" i="23"/>
  <c r="B6" i="23"/>
  <c r="K1" i="23"/>
  <c r="J1" i="23"/>
  <c r="B30" i="22"/>
  <c r="K29" i="22"/>
  <c r="J29" i="22"/>
  <c r="B29" i="22"/>
  <c r="B28" i="22"/>
  <c r="J27" i="22"/>
  <c r="B27" i="22"/>
  <c r="K27" i="22" s="1"/>
  <c r="B26" i="22"/>
  <c r="J26" i="22" s="1"/>
  <c r="K25" i="22"/>
  <c r="B25" i="22"/>
  <c r="B24" i="22"/>
  <c r="K24" i="22" s="1"/>
  <c r="B23" i="22"/>
  <c r="B19" i="22"/>
  <c r="K18" i="22"/>
  <c r="J18" i="22"/>
  <c r="B18" i="22"/>
  <c r="K17" i="22"/>
  <c r="B17" i="22"/>
  <c r="B16" i="22"/>
  <c r="B15" i="22"/>
  <c r="K14" i="22"/>
  <c r="B14" i="22"/>
  <c r="B13" i="22"/>
  <c r="B12" i="22"/>
  <c r="K12" i="22" s="1"/>
  <c r="B11" i="22"/>
  <c r="K10" i="22"/>
  <c r="J10" i="22"/>
  <c r="B10" i="22"/>
  <c r="K9" i="22"/>
  <c r="J9" i="22"/>
  <c r="B9" i="22"/>
  <c r="B8" i="22"/>
  <c r="K8" i="22" s="1"/>
  <c r="B7" i="22"/>
  <c r="K6" i="22"/>
  <c r="B6" i="22"/>
  <c r="J6" i="22" s="1"/>
  <c r="K1" i="22"/>
  <c r="J1" i="22"/>
  <c r="B30" i="21"/>
  <c r="J30" i="21" s="1"/>
  <c r="K29" i="21"/>
  <c r="B29" i="21"/>
  <c r="J29" i="21" s="1"/>
  <c r="B28" i="21"/>
  <c r="J27" i="21"/>
  <c r="B27" i="21"/>
  <c r="K27" i="21" s="1"/>
  <c r="B26" i="21"/>
  <c r="K25" i="21"/>
  <c r="B25" i="21"/>
  <c r="K24" i="21"/>
  <c r="B24" i="21"/>
  <c r="B23" i="21"/>
  <c r="K23" i="21" s="1"/>
  <c r="B19" i="21"/>
  <c r="J19" i="21" s="1"/>
  <c r="K18" i="21"/>
  <c r="B18" i="21"/>
  <c r="J18" i="21" s="1"/>
  <c r="J17" i="21"/>
  <c r="B17" i="21"/>
  <c r="B16" i="21"/>
  <c r="B15" i="21"/>
  <c r="J14" i="21"/>
  <c r="B14" i="21"/>
  <c r="K13" i="21"/>
  <c r="J13" i="21"/>
  <c r="B13" i="21"/>
  <c r="B12" i="21"/>
  <c r="K12" i="21" s="1"/>
  <c r="K11" i="21"/>
  <c r="B11" i="21"/>
  <c r="J11" i="21" s="1"/>
  <c r="K10" i="21"/>
  <c r="B10" i="21"/>
  <c r="K9" i="21"/>
  <c r="J9" i="21"/>
  <c r="B9" i="21"/>
  <c r="B8" i="21"/>
  <c r="K8" i="21" s="1"/>
  <c r="B7" i="21"/>
  <c r="K6" i="21"/>
  <c r="J6" i="21"/>
  <c r="B6" i="21"/>
  <c r="K1" i="21"/>
  <c r="J1" i="21"/>
  <c r="B30" i="20"/>
  <c r="K29" i="20"/>
  <c r="J29" i="20"/>
  <c r="B29" i="20"/>
  <c r="K28" i="20"/>
  <c r="B28" i="20"/>
  <c r="B27" i="20"/>
  <c r="K27" i="20" s="1"/>
  <c r="K26" i="20"/>
  <c r="B26" i="20"/>
  <c r="K25" i="20"/>
  <c r="B25" i="20"/>
  <c r="K24" i="20"/>
  <c r="B24" i="20"/>
  <c r="B23" i="20"/>
  <c r="K23" i="20" s="1"/>
  <c r="B19" i="20"/>
  <c r="K18" i="20"/>
  <c r="B18" i="20"/>
  <c r="K17" i="20"/>
  <c r="J17" i="20"/>
  <c r="B17" i="20"/>
  <c r="J16" i="20"/>
  <c r="B16" i="20"/>
  <c r="K16" i="20" s="1"/>
  <c r="B15" i="20"/>
  <c r="J15" i="20" s="1"/>
  <c r="B14" i="20"/>
  <c r="J14" i="20" s="1"/>
  <c r="B13" i="20"/>
  <c r="K13" i="20" s="1"/>
  <c r="B12" i="20"/>
  <c r="B11" i="20"/>
  <c r="K10" i="20"/>
  <c r="J10" i="20"/>
  <c r="B10" i="20"/>
  <c r="J9" i="20"/>
  <c r="B9" i="20"/>
  <c r="J8" i="20"/>
  <c r="B8" i="20"/>
  <c r="K8" i="20" s="1"/>
  <c r="B7" i="20"/>
  <c r="J7" i="20" s="1"/>
  <c r="K6" i="20"/>
  <c r="B6" i="20"/>
  <c r="J6" i="20" s="1"/>
  <c r="K1" i="20"/>
  <c r="J1" i="20"/>
  <c r="B30" i="19"/>
  <c r="J30" i="19" s="1"/>
  <c r="K29" i="19"/>
  <c r="B29" i="19"/>
  <c r="J29" i="19" s="1"/>
  <c r="B28" i="19"/>
  <c r="K28" i="19" s="1"/>
  <c r="B27" i="19"/>
  <c r="B26" i="19"/>
  <c r="K25" i="19"/>
  <c r="B25" i="19"/>
  <c r="K24" i="19"/>
  <c r="J24" i="19"/>
  <c r="B24" i="19"/>
  <c r="J23" i="19"/>
  <c r="B23" i="19"/>
  <c r="K23" i="19" s="1"/>
  <c r="B19" i="19"/>
  <c r="B18" i="19"/>
  <c r="J18" i="19" s="1"/>
  <c r="B17" i="19"/>
  <c r="J16" i="19"/>
  <c r="B16" i="19"/>
  <c r="B15" i="19"/>
  <c r="K14" i="19"/>
  <c r="B14" i="19"/>
  <c r="K13" i="19"/>
  <c r="J13" i="19"/>
  <c r="B13" i="19"/>
  <c r="B12" i="19"/>
  <c r="B11" i="19"/>
  <c r="J11" i="19" s="1"/>
  <c r="K10" i="19"/>
  <c r="B10" i="19"/>
  <c r="J10" i="19" s="1"/>
  <c r="K9" i="19"/>
  <c r="J9" i="19"/>
  <c r="B9" i="19"/>
  <c r="J8" i="19"/>
  <c r="B8" i="19"/>
  <c r="K8" i="19" s="1"/>
  <c r="B7" i="19"/>
  <c r="K6" i="19"/>
  <c r="J6" i="19"/>
  <c r="B6" i="19"/>
  <c r="K1" i="19"/>
  <c r="J1" i="19"/>
  <c r="B29" i="18"/>
  <c r="K28" i="18"/>
  <c r="J28" i="18"/>
  <c r="B28" i="18"/>
  <c r="K27" i="18"/>
  <c r="J27" i="18"/>
  <c r="B27" i="18"/>
  <c r="B26" i="18"/>
  <c r="B25" i="18"/>
  <c r="J25" i="18" s="1"/>
  <c r="K24" i="18"/>
  <c r="B24" i="18"/>
  <c r="J24" i="18" s="1"/>
  <c r="K23" i="18"/>
  <c r="J23" i="18"/>
  <c r="B23" i="18"/>
  <c r="J19" i="18"/>
  <c r="B19" i="18"/>
  <c r="K19" i="18" s="1"/>
  <c r="B18" i="18"/>
  <c r="K17" i="18"/>
  <c r="J17" i="18"/>
  <c r="B17" i="18"/>
  <c r="K16" i="18"/>
  <c r="J16" i="18"/>
  <c r="B16" i="18"/>
  <c r="B15" i="18"/>
  <c r="K15" i="18" s="1"/>
  <c r="K14" i="18"/>
  <c r="B14" i="18"/>
  <c r="J14" i="18" s="1"/>
  <c r="K13" i="18"/>
  <c r="B13" i="18"/>
  <c r="J13" i="18" s="1"/>
  <c r="K12" i="18"/>
  <c r="J12" i="18"/>
  <c r="B12" i="18"/>
  <c r="B11" i="18"/>
  <c r="K11" i="18" s="1"/>
  <c r="B10" i="18"/>
  <c r="K9" i="18"/>
  <c r="J9" i="18"/>
  <c r="B9" i="18"/>
  <c r="K8" i="18"/>
  <c r="J8" i="18"/>
  <c r="B8" i="18"/>
  <c r="J7" i="18"/>
  <c r="B7" i="18"/>
  <c r="K7" i="18" s="1"/>
  <c r="B6" i="18"/>
  <c r="J6" i="18" s="1"/>
  <c r="K1" i="18"/>
  <c r="J1" i="18"/>
  <c r="B29" i="17"/>
  <c r="K29" i="17" s="1"/>
  <c r="K28" i="17"/>
  <c r="B28" i="17"/>
  <c r="J28" i="17" s="1"/>
  <c r="K27" i="17"/>
  <c r="J27" i="17"/>
  <c r="B27" i="17"/>
  <c r="K26" i="17"/>
  <c r="B26" i="17"/>
  <c r="J26" i="17" s="1"/>
  <c r="J25" i="17"/>
  <c r="B25" i="17"/>
  <c r="K25" i="17" s="1"/>
  <c r="K24" i="17"/>
  <c r="B24" i="17"/>
  <c r="J24" i="17" s="1"/>
  <c r="K23" i="17"/>
  <c r="J23" i="17"/>
  <c r="B23" i="17"/>
  <c r="J19" i="17"/>
  <c r="B19" i="17"/>
  <c r="K19" i="17" s="1"/>
  <c r="J18" i="17"/>
  <c r="B18" i="17"/>
  <c r="K18" i="17" s="1"/>
  <c r="B17" i="17"/>
  <c r="K16" i="17"/>
  <c r="J16" i="17"/>
  <c r="B16" i="17"/>
  <c r="B15" i="17"/>
  <c r="K15" i="17" s="1"/>
  <c r="B14" i="17"/>
  <c r="B13" i="17"/>
  <c r="J13" i="17" s="1"/>
  <c r="K12" i="17"/>
  <c r="J12" i="17"/>
  <c r="B12" i="17"/>
  <c r="K11" i="17"/>
  <c r="B11" i="17"/>
  <c r="J11" i="17" s="1"/>
  <c r="B10" i="17"/>
  <c r="K10" i="17" s="1"/>
  <c r="K9" i="17"/>
  <c r="B9" i="17"/>
  <c r="J9" i="17" s="1"/>
  <c r="K8" i="17"/>
  <c r="J8" i="17"/>
  <c r="B8" i="17"/>
  <c r="K7" i="17"/>
  <c r="B7" i="17"/>
  <c r="J7" i="17" s="1"/>
  <c r="J6" i="17"/>
  <c r="B6" i="17"/>
  <c r="K6" i="17" s="1"/>
  <c r="K1" i="17"/>
  <c r="J1" i="17"/>
  <c r="K29" i="16"/>
  <c r="J29" i="16"/>
  <c r="B29" i="16"/>
  <c r="B28" i="16"/>
  <c r="B27" i="16"/>
  <c r="K27" i="16" s="1"/>
  <c r="K26" i="16"/>
  <c r="J26" i="16"/>
  <c r="B26" i="16"/>
  <c r="J25" i="16"/>
  <c r="B25" i="16"/>
  <c r="K25" i="16" s="1"/>
  <c r="K24" i="16"/>
  <c r="J24" i="16"/>
  <c r="B24" i="16"/>
  <c r="K23" i="16"/>
  <c r="B23" i="16"/>
  <c r="J23" i="16" s="1"/>
  <c r="J19" i="16"/>
  <c r="B19" i="16"/>
  <c r="K19" i="16" s="1"/>
  <c r="K18" i="16"/>
  <c r="J18" i="16"/>
  <c r="B18" i="16"/>
  <c r="K17" i="16"/>
  <c r="B17" i="16"/>
  <c r="J17" i="16" s="1"/>
  <c r="K16" i="16"/>
  <c r="B16" i="16"/>
  <c r="J16" i="16" s="1"/>
  <c r="K15" i="16"/>
  <c r="B15" i="16"/>
  <c r="J15" i="16" s="1"/>
  <c r="B14" i="16"/>
  <c r="B13" i="16"/>
  <c r="K13" i="16" s="1"/>
  <c r="K12" i="16"/>
  <c r="J12" i="16"/>
  <c r="B12" i="16"/>
  <c r="J11" i="16"/>
  <c r="B11" i="16"/>
  <c r="K11" i="16" s="1"/>
  <c r="K10" i="16"/>
  <c r="J10" i="16"/>
  <c r="B10" i="16"/>
  <c r="K9" i="16"/>
  <c r="B9" i="16"/>
  <c r="J9" i="16" s="1"/>
  <c r="B8" i="16"/>
  <c r="J8" i="16" s="1"/>
  <c r="K7" i="16"/>
  <c r="B7" i="16"/>
  <c r="J7" i="16" s="1"/>
  <c r="B6" i="16"/>
  <c r="K1" i="16"/>
  <c r="J1" i="16"/>
  <c r="K29" i="15"/>
  <c r="B29" i="15"/>
  <c r="J29" i="15" s="1"/>
  <c r="B28" i="15"/>
  <c r="J27" i="15"/>
  <c r="B27" i="15"/>
  <c r="K27" i="15" s="1"/>
  <c r="K26" i="15"/>
  <c r="J26" i="15"/>
  <c r="B26" i="15"/>
  <c r="J25" i="15"/>
  <c r="B25" i="15"/>
  <c r="K25" i="15" s="1"/>
  <c r="K24" i="15"/>
  <c r="J24" i="15"/>
  <c r="B24" i="15"/>
  <c r="K23" i="15"/>
  <c r="B23" i="15"/>
  <c r="J23" i="15" s="1"/>
  <c r="B19" i="15"/>
  <c r="J19" i="15" s="1"/>
  <c r="B18" i="15"/>
  <c r="J18" i="15" s="1"/>
  <c r="B17" i="15"/>
  <c r="B16" i="15"/>
  <c r="K16" i="15" s="1"/>
  <c r="K15" i="15"/>
  <c r="J15" i="15"/>
  <c r="B15" i="15"/>
  <c r="J14" i="15"/>
  <c r="B14" i="15"/>
  <c r="K14" i="15" s="1"/>
  <c r="K13" i="15"/>
  <c r="J13" i="15"/>
  <c r="B13" i="15"/>
  <c r="K12" i="15"/>
  <c r="B12" i="15"/>
  <c r="J12" i="15" s="1"/>
  <c r="K11" i="15"/>
  <c r="B11" i="15"/>
  <c r="J11" i="15" s="1"/>
  <c r="K10" i="15"/>
  <c r="B10" i="15"/>
  <c r="J10" i="15" s="1"/>
  <c r="B9" i="15"/>
  <c r="B8" i="15"/>
  <c r="K8" i="15" s="1"/>
  <c r="K7" i="15"/>
  <c r="J7" i="15"/>
  <c r="B7" i="15"/>
  <c r="J6" i="15"/>
  <c r="B6" i="15"/>
  <c r="K6" i="15" s="1"/>
  <c r="K1" i="15"/>
  <c r="J1" i="15"/>
  <c r="K29" i="14"/>
  <c r="J29" i="14"/>
  <c r="B29" i="14"/>
  <c r="J28" i="14"/>
  <c r="B28" i="14"/>
  <c r="K28" i="14" s="1"/>
  <c r="K27" i="14"/>
  <c r="J27" i="14"/>
  <c r="B27" i="14"/>
  <c r="K26" i="14"/>
  <c r="B26" i="14"/>
  <c r="J26" i="14" s="1"/>
  <c r="B25" i="14"/>
  <c r="J25" i="14" s="1"/>
  <c r="K24" i="14"/>
  <c r="B24" i="14"/>
  <c r="J24" i="14" s="1"/>
  <c r="B23" i="14"/>
  <c r="K19" i="14"/>
  <c r="J19" i="14"/>
  <c r="B19" i="14"/>
  <c r="K18" i="14"/>
  <c r="J18" i="14"/>
  <c r="B18" i="14"/>
  <c r="J17" i="14"/>
  <c r="B17" i="14"/>
  <c r="K17" i="14" s="1"/>
  <c r="K16" i="14"/>
  <c r="J16" i="14"/>
  <c r="B16" i="14"/>
  <c r="K15" i="14"/>
  <c r="B15" i="14"/>
  <c r="J15" i="14" s="1"/>
  <c r="K14" i="14"/>
  <c r="J14" i="14"/>
  <c r="B14" i="14"/>
  <c r="K13" i="14"/>
  <c r="B13" i="14"/>
  <c r="J13" i="14" s="1"/>
  <c r="B12" i="14"/>
  <c r="J11" i="14"/>
  <c r="B11" i="14"/>
  <c r="K11" i="14" s="1"/>
  <c r="K10" i="14"/>
  <c r="J10" i="14"/>
  <c r="B10" i="14"/>
  <c r="J9" i="14"/>
  <c r="B9" i="14"/>
  <c r="K9" i="14" s="1"/>
  <c r="K8" i="14"/>
  <c r="J8" i="14"/>
  <c r="B8" i="14"/>
  <c r="K7" i="14"/>
  <c r="B7" i="14"/>
  <c r="J7" i="14" s="1"/>
  <c r="K6" i="14"/>
  <c r="J6" i="14"/>
  <c r="B6" i="14"/>
  <c r="K1" i="14"/>
  <c r="J1" i="14"/>
  <c r="K29" i="13"/>
  <c r="B29" i="13"/>
  <c r="J29" i="13" s="1"/>
  <c r="J28" i="13"/>
  <c r="B28" i="13"/>
  <c r="K28" i="13" s="1"/>
  <c r="K27" i="13"/>
  <c r="B27" i="13"/>
  <c r="J27" i="13" s="1"/>
  <c r="B26" i="13"/>
  <c r="K25" i="13"/>
  <c r="J25" i="13"/>
  <c r="B25" i="13"/>
  <c r="K24" i="13"/>
  <c r="J24" i="13"/>
  <c r="B24" i="13"/>
  <c r="B23" i="13"/>
  <c r="K23" i="13" s="1"/>
  <c r="K19" i="13"/>
  <c r="J19" i="13"/>
  <c r="B19" i="13"/>
  <c r="K18" i="13"/>
  <c r="B18" i="13"/>
  <c r="J18" i="13" s="1"/>
  <c r="B17" i="13"/>
  <c r="J17" i="13" s="1"/>
  <c r="K16" i="13"/>
  <c r="B16" i="13"/>
  <c r="J16" i="13" s="1"/>
  <c r="B15" i="13"/>
  <c r="K14" i="13"/>
  <c r="J14" i="13"/>
  <c r="B14" i="13"/>
  <c r="K13" i="13"/>
  <c r="J13" i="13"/>
  <c r="B13" i="13"/>
  <c r="J12" i="13"/>
  <c r="B12" i="13"/>
  <c r="K12" i="13" s="1"/>
  <c r="K11" i="13"/>
  <c r="J11" i="13"/>
  <c r="B11" i="13"/>
  <c r="K10" i="13"/>
  <c r="B10" i="13"/>
  <c r="J10" i="13" s="1"/>
  <c r="K9" i="13"/>
  <c r="J9" i="13"/>
  <c r="B9" i="13"/>
  <c r="K8" i="13"/>
  <c r="B8" i="13"/>
  <c r="J8" i="13" s="1"/>
  <c r="B7" i="13"/>
  <c r="J6" i="13"/>
  <c r="B6" i="13"/>
  <c r="K6" i="13" s="1"/>
  <c r="K1" i="13"/>
  <c r="J1" i="13"/>
  <c r="B29" i="12"/>
  <c r="K28" i="12"/>
  <c r="J28" i="12"/>
  <c r="B28" i="12"/>
  <c r="K27" i="12"/>
  <c r="J27" i="12"/>
  <c r="B27" i="12"/>
  <c r="B26" i="12"/>
  <c r="K26" i="12" s="1"/>
  <c r="K25" i="12"/>
  <c r="J25" i="12"/>
  <c r="B25" i="12"/>
  <c r="K24" i="12"/>
  <c r="B24" i="12"/>
  <c r="J24" i="12" s="1"/>
  <c r="B23" i="12"/>
  <c r="K23" i="12" s="1"/>
  <c r="K19" i="12"/>
  <c r="B19" i="12"/>
  <c r="J19" i="12" s="1"/>
  <c r="B18" i="12"/>
  <c r="K17" i="12"/>
  <c r="J17" i="12"/>
  <c r="B17" i="12"/>
  <c r="K16" i="12"/>
  <c r="J16" i="12"/>
  <c r="B16" i="12"/>
  <c r="J15" i="12"/>
  <c r="B15" i="12"/>
  <c r="K15" i="12" s="1"/>
  <c r="K14" i="12"/>
  <c r="J14" i="12"/>
  <c r="B14" i="12"/>
  <c r="K13" i="12"/>
  <c r="B13" i="12"/>
  <c r="J13" i="12" s="1"/>
  <c r="K12" i="12"/>
  <c r="J12" i="12"/>
  <c r="B12" i="12"/>
  <c r="K11" i="12"/>
  <c r="J11" i="12"/>
  <c r="B11" i="12"/>
  <c r="B10" i="12"/>
  <c r="K9" i="12"/>
  <c r="J9" i="12"/>
  <c r="B9" i="12"/>
  <c r="K8" i="12"/>
  <c r="J8" i="12"/>
  <c r="B8" i="12"/>
  <c r="J7" i="12"/>
  <c r="B7" i="12"/>
  <c r="K7" i="12" s="1"/>
  <c r="K6" i="12"/>
  <c r="J6" i="12"/>
  <c r="B6" i="12"/>
  <c r="K1" i="12"/>
  <c r="J1" i="12"/>
  <c r="J30" i="11"/>
  <c r="B30" i="11"/>
  <c r="K30" i="11" s="1"/>
  <c r="J29" i="11"/>
  <c r="B29" i="11"/>
  <c r="K29" i="11" s="1"/>
  <c r="K28" i="11"/>
  <c r="B28" i="11"/>
  <c r="J28" i="11" s="1"/>
  <c r="K27" i="11"/>
  <c r="J27" i="11"/>
  <c r="B27" i="11"/>
  <c r="J26" i="11"/>
  <c r="B26" i="11"/>
  <c r="K26" i="11" s="1"/>
  <c r="B25" i="11"/>
  <c r="J24" i="11"/>
  <c r="B24" i="11"/>
  <c r="K24" i="11" s="1"/>
  <c r="K20" i="11"/>
  <c r="J20" i="11"/>
  <c r="B20" i="11"/>
  <c r="J19" i="11"/>
  <c r="B19" i="11"/>
  <c r="K19" i="11" s="1"/>
  <c r="J18" i="11"/>
  <c r="B18" i="11"/>
  <c r="K18" i="11" s="1"/>
  <c r="K17" i="11"/>
  <c r="B17" i="11"/>
  <c r="J17" i="11" s="1"/>
  <c r="K16" i="11"/>
  <c r="J16" i="11"/>
  <c r="B16" i="11"/>
  <c r="J15" i="11"/>
  <c r="B15" i="11"/>
  <c r="K15" i="11" s="1"/>
  <c r="B14" i="11"/>
  <c r="J13" i="11"/>
  <c r="B13" i="11"/>
  <c r="K13" i="11" s="1"/>
  <c r="K12" i="11"/>
  <c r="J12" i="11"/>
  <c r="B12" i="11"/>
  <c r="J11" i="11"/>
  <c r="B11" i="11"/>
  <c r="K11" i="11" s="1"/>
  <c r="J10" i="11"/>
  <c r="B10" i="11"/>
  <c r="K10" i="11" s="1"/>
  <c r="K9" i="11"/>
  <c r="B9" i="11"/>
  <c r="J9" i="11" s="1"/>
  <c r="K8" i="11"/>
  <c r="J8" i="11"/>
  <c r="B8" i="11"/>
  <c r="J7" i="11"/>
  <c r="B7" i="11"/>
  <c r="K7" i="11" s="1"/>
  <c r="B6" i="11"/>
  <c r="K1" i="11"/>
  <c r="J1" i="11"/>
  <c r="K30" i="10"/>
  <c r="J30" i="10"/>
  <c r="B30" i="10"/>
  <c r="B29" i="10"/>
  <c r="K28" i="10"/>
  <c r="J28" i="10"/>
  <c r="B28" i="10"/>
  <c r="K27" i="10"/>
  <c r="J27" i="10"/>
  <c r="B27" i="10"/>
  <c r="B26" i="10"/>
  <c r="K26" i="10" s="1"/>
  <c r="K25" i="10"/>
  <c r="J25" i="10"/>
  <c r="B25" i="10"/>
  <c r="K24" i="10"/>
  <c r="B24" i="10"/>
  <c r="J24" i="10" s="1"/>
  <c r="B20" i="10"/>
  <c r="K20" i="10" s="1"/>
  <c r="K19" i="10"/>
  <c r="J19" i="10"/>
  <c r="B19" i="10"/>
  <c r="B18" i="10"/>
  <c r="K17" i="10"/>
  <c r="J17" i="10"/>
  <c r="B17" i="10"/>
  <c r="K16" i="10"/>
  <c r="J16" i="10"/>
  <c r="B16" i="10"/>
  <c r="B15" i="10"/>
  <c r="K15" i="10" s="1"/>
  <c r="K14" i="10"/>
  <c r="J14" i="10"/>
  <c r="B14" i="10"/>
  <c r="K13" i="10"/>
  <c r="B13" i="10"/>
  <c r="J13" i="10" s="1"/>
  <c r="B12" i="10"/>
  <c r="J12" i="10" s="1"/>
  <c r="K11" i="10"/>
  <c r="J11" i="10"/>
  <c r="B11" i="10"/>
  <c r="B10" i="10"/>
  <c r="K9" i="10"/>
  <c r="J9" i="10"/>
  <c r="B9" i="10"/>
  <c r="K8" i="10"/>
  <c r="J8" i="10"/>
  <c r="B8" i="10"/>
  <c r="B7" i="10"/>
  <c r="K7" i="10" s="1"/>
  <c r="K6" i="10"/>
  <c r="J6" i="10"/>
  <c r="B6" i="10"/>
  <c r="K1" i="10"/>
  <c r="J1" i="10"/>
  <c r="J30" i="9"/>
  <c r="B30" i="9"/>
  <c r="K30" i="9" s="1"/>
  <c r="K29" i="9"/>
  <c r="J29" i="9"/>
  <c r="B29" i="9"/>
  <c r="K28" i="9"/>
  <c r="B28" i="9"/>
  <c r="J28" i="9" s="1"/>
  <c r="K27" i="9"/>
  <c r="J27" i="9"/>
  <c r="B27" i="9"/>
  <c r="K26" i="9"/>
  <c r="J26" i="9"/>
  <c r="B26" i="9"/>
  <c r="B25" i="9"/>
  <c r="K24" i="9"/>
  <c r="J24" i="9"/>
  <c r="B24" i="9"/>
  <c r="K20" i="9"/>
  <c r="J20" i="9"/>
  <c r="B20" i="9"/>
  <c r="J19" i="9"/>
  <c r="B19" i="9"/>
  <c r="K19" i="9" s="1"/>
  <c r="K18" i="9"/>
  <c r="J18" i="9"/>
  <c r="B18" i="9"/>
  <c r="K17" i="9"/>
  <c r="B17" i="9"/>
  <c r="J17" i="9" s="1"/>
  <c r="K16" i="9"/>
  <c r="J16" i="9"/>
  <c r="B16" i="9"/>
  <c r="K15" i="9"/>
  <c r="J15" i="9"/>
  <c r="B15" i="9"/>
  <c r="B14" i="9"/>
  <c r="K13" i="9"/>
  <c r="J13" i="9"/>
  <c r="B13" i="9"/>
  <c r="K12" i="9"/>
  <c r="J12" i="9"/>
  <c r="B12" i="9"/>
  <c r="J11" i="9"/>
  <c r="B11" i="9"/>
  <c r="K11" i="9" s="1"/>
  <c r="K10" i="9"/>
  <c r="J10" i="9"/>
  <c r="B10" i="9"/>
  <c r="K9" i="9"/>
  <c r="B9" i="9"/>
  <c r="J9" i="9" s="1"/>
  <c r="K8" i="9"/>
  <c r="J8" i="9"/>
  <c r="B8" i="9"/>
  <c r="K7" i="9"/>
  <c r="J7" i="9"/>
  <c r="B7" i="9"/>
  <c r="B6" i="9"/>
  <c r="K1" i="9"/>
  <c r="J1" i="9"/>
  <c r="B30" i="8"/>
  <c r="K30" i="8" s="1"/>
  <c r="B29" i="8"/>
  <c r="B28" i="8"/>
  <c r="J28" i="8" s="1"/>
  <c r="K27" i="8"/>
  <c r="J27" i="8"/>
  <c r="B27" i="8"/>
  <c r="J26" i="8"/>
  <c r="B26" i="8"/>
  <c r="K26" i="8" s="1"/>
  <c r="B25" i="8"/>
  <c r="J25" i="8" s="1"/>
  <c r="K24" i="8"/>
  <c r="B24" i="8"/>
  <c r="J24" i="8" s="1"/>
  <c r="J20" i="8"/>
  <c r="B20" i="8"/>
  <c r="K20" i="8" s="1"/>
  <c r="B19" i="8"/>
  <c r="J19" i="8" s="1"/>
  <c r="B18" i="8"/>
  <c r="B17" i="8"/>
  <c r="K17" i="8" s="1"/>
  <c r="K16" i="8"/>
  <c r="J16" i="8"/>
  <c r="B16" i="8"/>
  <c r="J15" i="8"/>
  <c r="B15" i="8"/>
  <c r="K15" i="8" s="1"/>
  <c r="B14" i="8"/>
  <c r="K14" i="8" s="1"/>
  <c r="K13" i="8"/>
  <c r="B13" i="8"/>
  <c r="J13" i="8" s="1"/>
  <c r="J12" i="8"/>
  <c r="B12" i="8"/>
  <c r="K12" i="8" s="1"/>
  <c r="B11" i="8"/>
  <c r="K11" i="8" s="1"/>
  <c r="B10" i="8"/>
  <c r="B9" i="8"/>
  <c r="J9" i="8" s="1"/>
  <c r="K8" i="8"/>
  <c r="J8" i="8"/>
  <c r="B8" i="8"/>
  <c r="J7" i="8"/>
  <c r="B7" i="8"/>
  <c r="K7" i="8" s="1"/>
  <c r="B6" i="8"/>
  <c r="J6" i="8" s="1"/>
  <c r="K1" i="8"/>
  <c r="J1" i="8"/>
  <c r="B30" i="7"/>
  <c r="K30" i="7" s="1"/>
  <c r="K29" i="7"/>
  <c r="J29" i="7"/>
  <c r="B29" i="7"/>
  <c r="K28" i="7"/>
  <c r="B28" i="7"/>
  <c r="J28" i="7" s="1"/>
  <c r="B27" i="7"/>
  <c r="K27" i="7" s="1"/>
  <c r="K26" i="7"/>
  <c r="J26" i="7"/>
  <c r="B26" i="7"/>
  <c r="B25" i="7"/>
  <c r="K24" i="7"/>
  <c r="J24" i="7"/>
  <c r="B24" i="7"/>
  <c r="K23" i="7"/>
  <c r="J23" i="7"/>
  <c r="B23" i="7"/>
  <c r="B19" i="7"/>
  <c r="K19" i="7" s="1"/>
  <c r="K18" i="7"/>
  <c r="J18" i="7"/>
  <c r="B18" i="7"/>
  <c r="K17" i="7"/>
  <c r="B17" i="7"/>
  <c r="J17" i="7" s="1"/>
  <c r="B16" i="7"/>
  <c r="J16" i="7" s="1"/>
  <c r="K15" i="7"/>
  <c r="J15" i="7"/>
  <c r="B15" i="7"/>
  <c r="B14" i="7"/>
  <c r="K13" i="7"/>
  <c r="J13" i="7"/>
  <c r="B13" i="7"/>
  <c r="K12" i="7"/>
  <c r="J12" i="7"/>
  <c r="B12" i="7"/>
  <c r="B11" i="7"/>
  <c r="K11" i="7" s="1"/>
  <c r="K10" i="7"/>
  <c r="J10" i="7"/>
  <c r="B10" i="7"/>
  <c r="K9" i="7"/>
  <c r="J9" i="7"/>
  <c r="B9" i="7"/>
  <c r="B8" i="7"/>
  <c r="K8" i="7" s="1"/>
  <c r="B7" i="7"/>
  <c r="J7" i="7" s="1"/>
  <c r="K6" i="7"/>
  <c r="B6" i="7"/>
  <c r="J6" i="7" s="1"/>
  <c r="K1" i="7"/>
  <c r="J1" i="7"/>
  <c r="K30" i="6"/>
  <c r="J30" i="6"/>
  <c r="B30" i="6"/>
  <c r="K29" i="6"/>
  <c r="B29" i="6"/>
  <c r="J29" i="6" s="1"/>
  <c r="B28" i="6"/>
  <c r="K28" i="6" s="1"/>
  <c r="K27" i="6"/>
  <c r="J27" i="6"/>
  <c r="B27" i="6"/>
  <c r="J26" i="6"/>
  <c r="B26" i="6"/>
  <c r="K26" i="6" s="1"/>
  <c r="B25" i="6"/>
  <c r="K25" i="6" s="1"/>
  <c r="K24" i="6"/>
  <c r="J24" i="6"/>
  <c r="B24" i="6"/>
  <c r="K20" i="6"/>
  <c r="J20" i="6"/>
  <c r="B20" i="6"/>
  <c r="B19" i="6"/>
  <c r="K19" i="6" s="1"/>
  <c r="K18" i="6"/>
  <c r="B18" i="6"/>
  <c r="J18" i="6" s="1"/>
  <c r="K17" i="6"/>
  <c r="J17" i="6"/>
  <c r="B17" i="6"/>
  <c r="B16" i="6"/>
  <c r="K16" i="6" s="1"/>
  <c r="J15" i="6"/>
  <c r="B15" i="6"/>
  <c r="K15" i="6" s="1"/>
  <c r="K14" i="6"/>
  <c r="J14" i="6"/>
  <c r="B14" i="6"/>
  <c r="K13" i="6"/>
  <c r="J13" i="6"/>
  <c r="B13" i="6"/>
  <c r="B12" i="6"/>
  <c r="J12" i="6" s="1"/>
  <c r="K11" i="6"/>
  <c r="J11" i="6"/>
  <c r="B11" i="6"/>
  <c r="B10" i="6"/>
  <c r="J10" i="6" s="1"/>
  <c r="B9" i="6"/>
  <c r="J9" i="6" s="1"/>
  <c r="K8" i="6"/>
  <c r="J8" i="6"/>
  <c r="B8" i="6"/>
  <c r="B7" i="6"/>
  <c r="K7" i="6" s="1"/>
  <c r="B6" i="6"/>
  <c r="J6" i="6" s="1"/>
  <c r="K1" i="6"/>
  <c r="J1" i="6"/>
  <c r="B31" i="5"/>
  <c r="K31" i="5" s="1"/>
  <c r="B30" i="5"/>
  <c r="J30" i="5" s="1"/>
  <c r="K29" i="5"/>
  <c r="J29" i="5"/>
  <c r="B29" i="5"/>
  <c r="K28" i="5"/>
  <c r="J28" i="5"/>
  <c r="B28" i="5"/>
  <c r="J27" i="5"/>
  <c r="B27" i="5"/>
  <c r="K27" i="5" s="1"/>
  <c r="B26" i="5"/>
  <c r="K26" i="5" s="1"/>
  <c r="K25" i="5"/>
  <c r="J25" i="5"/>
  <c r="B25" i="5"/>
  <c r="K21" i="5"/>
  <c r="J21" i="5"/>
  <c r="B21" i="5"/>
  <c r="B20" i="5"/>
  <c r="K20" i="5" s="1"/>
  <c r="B19" i="5"/>
  <c r="J19" i="5" s="1"/>
  <c r="K18" i="5"/>
  <c r="J18" i="5"/>
  <c r="B18" i="5"/>
  <c r="K17" i="5"/>
  <c r="J17" i="5"/>
  <c r="B17" i="5"/>
  <c r="J16" i="5"/>
  <c r="B16" i="5"/>
  <c r="K16" i="5" s="1"/>
  <c r="B15" i="5"/>
  <c r="K15" i="5" s="1"/>
  <c r="K14" i="5"/>
  <c r="J14" i="5"/>
  <c r="B14" i="5"/>
  <c r="K13" i="5"/>
  <c r="J13" i="5"/>
  <c r="B13" i="5"/>
  <c r="B12" i="5"/>
  <c r="K12" i="5" s="1"/>
  <c r="B11" i="5"/>
  <c r="J11" i="5" s="1"/>
  <c r="K10" i="5"/>
  <c r="J10" i="5"/>
  <c r="B10" i="5"/>
  <c r="K9" i="5"/>
  <c r="J9" i="5"/>
  <c r="B9" i="5"/>
  <c r="J8" i="5"/>
  <c r="B8" i="5"/>
  <c r="K8" i="5" s="1"/>
  <c r="B7" i="5"/>
  <c r="K7" i="5" s="1"/>
  <c r="K6" i="5"/>
  <c r="J6" i="5"/>
  <c r="B6" i="5"/>
  <c r="K1" i="5"/>
  <c r="J1" i="5"/>
  <c r="B32" i="4"/>
  <c r="K32" i="4" s="1"/>
  <c r="K31" i="4"/>
  <c r="J31" i="4"/>
  <c r="B31" i="4"/>
  <c r="K30" i="4"/>
  <c r="J30" i="4"/>
  <c r="B30" i="4"/>
  <c r="B29" i="4"/>
  <c r="K29" i="4" s="1"/>
  <c r="B28" i="4"/>
  <c r="J28" i="4" s="1"/>
  <c r="K27" i="4"/>
  <c r="J27" i="4"/>
  <c r="B27" i="4"/>
  <c r="K26" i="4"/>
  <c r="J26" i="4"/>
  <c r="B26" i="4"/>
  <c r="B22" i="4"/>
  <c r="K22" i="4" s="1"/>
  <c r="B21" i="4"/>
  <c r="K21" i="4" s="1"/>
  <c r="K20" i="4"/>
  <c r="J20" i="4"/>
  <c r="B20" i="4"/>
  <c r="K19" i="4"/>
  <c r="J19" i="4"/>
  <c r="B19" i="4"/>
  <c r="B18" i="4"/>
  <c r="K18" i="4" s="1"/>
  <c r="B17" i="4"/>
  <c r="J17" i="4" s="1"/>
  <c r="K16" i="4"/>
  <c r="J16" i="4"/>
  <c r="B16" i="4"/>
  <c r="K15" i="4"/>
  <c r="J15" i="4"/>
  <c r="B15" i="4"/>
  <c r="B14" i="4"/>
  <c r="K14" i="4" s="1"/>
  <c r="B13" i="4"/>
  <c r="K13" i="4" s="1"/>
  <c r="K12" i="4"/>
  <c r="J12" i="4"/>
  <c r="B12" i="4"/>
  <c r="K11" i="4"/>
  <c r="J11" i="4"/>
  <c r="B11" i="4"/>
  <c r="B10" i="4"/>
  <c r="K10" i="4" s="1"/>
  <c r="B9" i="4"/>
  <c r="J9" i="4" s="1"/>
  <c r="K8" i="4"/>
  <c r="J8" i="4"/>
  <c r="B8" i="4"/>
  <c r="K7" i="4"/>
  <c r="J7" i="4"/>
  <c r="B7" i="4"/>
  <c r="B6" i="4"/>
  <c r="K6" i="4" s="1"/>
  <c r="K1" i="4"/>
  <c r="J1" i="4"/>
  <c r="K32" i="3"/>
  <c r="J32" i="3"/>
  <c r="B32" i="3"/>
  <c r="B31" i="3"/>
  <c r="K31" i="3" s="1"/>
  <c r="B30" i="3"/>
  <c r="K30" i="3" s="1"/>
  <c r="K29" i="3"/>
  <c r="J29" i="3"/>
  <c r="B29" i="3"/>
  <c r="K28" i="3"/>
  <c r="J28" i="3"/>
  <c r="B28" i="3"/>
  <c r="B27" i="3"/>
  <c r="K27" i="3" s="1"/>
  <c r="B26" i="3"/>
  <c r="J26" i="3" s="1"/>
  <c r="K22" i="3"/>
  <c r="J22" i="3"/>
  <c r="B22" i="3"/>
  <c r="K21" i="3"/>
  <c r="J21" i="3"/>
  <c r="B21" i="3"/>
  <c r="B20" i="3"/>
  <c r="K20" i="3" s="1"/>
  <c r="B19" i="3"/>
  <c r="K19" i="3" s="1"/>
  <c r="K18" i="3"/>
  <c r="J18" i="3"/>
  <c r="B18" i="3"/>
  <c r="K17" i="3"/>
  <c r="J17" i="3"/>
  <c r="B17" i="3"/>
  <c r="B16" i="3"/>
  <c r="K16" i="3" s="1"/>
  <c r="B15" i="3"/>
  <c r="J15" i="3" s="1"/>
  <c r="K14" i="3"/>
  <c r="J14" i="3"/>
  <c r="B14" i="3"/>
  <c r="K13" i="3"/>
  <c r="J13" i="3"/>
  <c r="B13" i="3"/>
  <c r="B12" i="3"/>
  <c r="K12" i="3" s="1"/>
  <c r="B11" i="3"/>
  <c r="K11" i="3" s="1"/>
  <c r="K10" i="3"/>
  <c r="J10" i="3"/>
  <c r="B10" i="3"/>
  <c r="K9" i="3"/>
  <c r="J9" i="3"/>
  <c r="B9" i="3"/>
  <c r="B8" i="3"/>
  <c r="K8" i="3" s="1"/>
  <c r="B7" i="3"/>
  <c r="J7" i="3" s="1"/>
  <c r="K6" i="3"/>
  <c r="J6" i="3"/>
  <c r="B6" i="3"/>
  <c r="K1" i="3"/>
  <c r="J1" i="3"/>
  <c r="B31" i="2"/>
  <c r="J31" i="2" s="1"/>
  <c r="K30" i="2"/>
  <c r="J30" i="2"/>
  <c r="B30" i="2"/>
  <c r="K29" i="2"/>
  <c r="J29" i="2"/>
  <c r="B29" i="2"/>
  <c r="B28" i="2"/>
  <c r="K28" i="2" s="1"/>
  <c r="B27" i="2"/>
  <c r="K27" i="2" s="1"/>
  <c r="K26" i="2"/>
  <c r="J26" i="2"/>
  <c r="B26" i="2"/>
  <c r="K25" i="2"/>
  <c r="J25" i="2"/>
  <c r="B25" i="2"/>
  <c r="B21" i="2"/>
  <c r="K21" i="2" s="1"/>
  <c r="B20" i="2"/>
  <c r="J20" i="2" s="1"/>
  <c r="K19" i="2"/>
  <c r="J19" i="2"/>
  <c r="B19" i="2"/>
  <c r="K18" i="2"/>
  <c r="J18" i="2"/>
  <c r="B18" i="2"/>
  <c r="B17" i="2"/>
  <c r="K17" i="2" s="1"/>
  <c r="B16" i="2"/>
  <c r="K16" i="2" s="1"/>
  <c r="K15" i="2"/>
  <c r="J15" i="2"/>
  <c r="B15" i="2"/>
  <c r="K14" i="2"/>
  <c r="J14" i="2"/>
  <c r="B14" i="2"/>
  <c r="B13" i="2"/>
  <c r="K13" i="2" s="1"/>
  <c r="B12" i="2"/>
  <c r="J12" i="2" s="1"/>
  <c r="K11" i="2"/>
  <c r="J11" i="2"/>
  <c r="B11" i="2"/>
  <c r="J10" i="2"/>
  <c r="B10" i="2"/>
  <c r="K10" i="2" s="1"/>
  <c r="B9" i="2"/>
  <c r="K9" i="2" s="1"/>
  <c r="B8" i="2"/>
  <c r="K8" i="2" s="1"/>
  <c r="K7" i="2"/>
  <c r="J7" i="2"/>
  <c r="B7" i="2"/>
  <c r="K6" i="2"/>
  <c r="J6" i="2"/>
  <c r="B6" i="2"/>
  <c r="K1" i="2"/>
  <c r="J1" i="2"/>
  <c r="K31" i="1"/>
  <c r="J31" i="1"/>
  <c r="B31" i="1"/>
  <c r="K30" i="1"/>
  <c r="J30" i="1"/>
  <c r="B30" i="1"/>
  <c r="B29" i="1"/>
  <c r="K29" i="1" s="1"/>
  <c r="B28" i="1"/>
  <c r="J28" i="1" s="1"/>
  <c r="K27" i="1"/>
  <c r="J27" i="1"/>
  <c r="B27" i="1"/>
  <c r="J26" i="1"/>
  <c r="B26" i="1"/>
  <c r="K26" i="1" s="1"/>
  <c r="B25" i="1"/>
  <c r="K25" i="1" s="1"/>
  <c r="K21" i="1"/>
  <c r="B21" i="1"/>
  <c r="J21" i="1" s="1"/>
  <c r="K20" i="1"/>
  <c r="J20" i="1"/>
  <c r="B20" i="1"/>
  <c r="K19" i="1"/>
  <c r="J19" i="1"/>
  <c r="B19" i="1"/>
  <c r="B18" i="1"/>
  <c r="K18" i="1" s="1"/>
  <c r="B17" i="1"/>
  <c r="J17" i="1" s="1"/>
  <c r="K16" i="1"/>
  <c r="J16" i="1"/>
  <c r="B16" i="1"/>
  <c r="J15" i="1"/>
  <c r="B15" i="1"/>
  <c r="K15" i="1" s="1"/>
  <c r="B14" i="1"/>
  <c r="K14" i="1" s="1"/>
  <c r="K13" i="1"/>
  <c r="B13" i="1"/>
  <c r="J13" i="1" s="1"/>
  <c r="K12" i="1"/>
  <c r="J12" i="1"/>
  <c r="B12" i="1"/>
  <c r="K11" i="1"/>
  <c r="J11" i="1"/>
  <c r="B11" i="1"/>
  <c r="B10" i="1"/>
  <c r="K10" i="1" s="1"/>
  <c r="B9" i="1"/>
  <c r="J9" i="1" s="1"/>
  <c r="K8" i="1"/>
  <c r="J8" i="1"/>
  <c r="B8" i="1"/>
  <c r="J7" i="1"/>
  <c r="B7" i="1"/>
  <c r="K7" i="1" s="1"/>
  <c r="B6" i="1"/>
  <c r="K6" i="1" s="1"/>
  <c r="K1" i="1"/>
  <c r="J1" i="1"/>
  <c r="K10" i="29" l="1"/>
  <c r="K29" i="29"/>
  <c r="K13" i="24"/>
  <c r="J6" i="25"/>
  <c r="J18" i="30"/>
  <c r="J10" i="26"/>
  <c r="K6" i="29"/>
  <c r="K17" i="26"/>
  <c r="K14" i="21"/>
  <c r="J15" i="22"/>
  <c r="J11" i="23"/>
  <c r="K14" i="23"/>
  <c r="K25" i="23"/>
  <c r="K29" i="23"/>
  <c r="J17" i="24"/>
  <c r="J25" i="24"/>
  <c r="J29" i="24"/>
  <c r="K8" i="25"/>
  <c r="K13" i="25"/>
  <c r="J6" i="26"/>
  <c r="K23" i="26"/>
  <c r="J6" i="28"/>
  <c r="K13" i="28"/>
  <c r="J18" i="28"/>
  <c r="K26" i="28"/>
  <c r="J22" i="29"/>
  <c r="K6" i="30"/>
  <c r="J25" i="20"/>
  <c r="K16" i="22"/>
  <c r="J7" i="26"/>
  <c r="J26" i="31"/>
  <c r="K18" i="19"/>
  <c r="J25" i="19"/>
  <c r="K16" i="21"/>
  <c r="J28" i="22"/>
  <c r="J12" i="23"/>
  <c r="K16" i="23"/>
  <c r="K23" i="23"/>
  <c r="K27" i="23"/>
  <c r="J9" i="24"/>
  <c r="J26" i="24"/>
  <c r="J24" i="25"/>
  <c r="J28" i="25"/>
  <c r="K8" i="26"/>
  <c r="K24" i="26"/>
  <c r="K29" i="26"/>
  <c r="J8" i="27"/>
  <c r="K23" i="27"/>
  <c r="K8" i="28"/>
  <c r="K9" i="29"/>
  <c r="J15" i="29"/>
  <c r="J8" i="31"/>
  <c r="J7" i="30"/>
  <c r="J14" i="19"/>
  <c r="K14" i="20"/>
  <c r="J18" i="20"/>
  <c r="J26" i="20"/>
  <c r="J16" i="21"/>
  <c r="J24" i="21"/>
  <c r="J7" i="22"/>
  <c r="J27" i="23"/>
  <c r="K1" i="24"/>
  <c r="K9" i="24"/>
  <c r="J14" i="24"/>
  <c r="J18" i="24"/>
  <c r="K27" i="24"/>
  <c r="J1" i="25"/>
  <c r="K24" i="25"/>
  <c r="J29" i="25"/>
  <c r="J8" i="26"/>
  <c r="K14" i="27"/>
  <c r="J29" i="27"/>
  <c r="K16" i="28"/>
  <c r="J28" i="28"/>
  <c r="J24" i="23"/>
  <c r="K14" i="24"/>
  <c r="K18" i="24"/>
  <c r="K16" i="26"/>
  <c r="J24" i="27"/>
  <c r="K18" i="31"/>
  <c r="J10" i="31"/>
  <c r="K10" i="27"/>
  <c r="K24" i="27"/>
  <c r="J10" i="28"/>
  <c r="J17" i="28"/>
  <c r="K24" i="28"/>
  <c r="K11" i="29"/>
  <c r="K29" i="30"/>
  <c r="K16" i="19"/>
  <c r="J25" i="21"/>
  <c r="J14" i="22"/>
  <c r="K26" i="22"/>
  <c r="K28" i="23"/>
  <c r="K28" i="24"/>
  <c r="K18" i="25"/>
  <c r="K25" i="25"/>
  <c r="J1" i="26"/>
  <c r="K27" i="26"/>
  <c r="J16" i="27"/>
  <c r="J1" i="28"/>
  <c r="K17" i="28"/>
  <c r="J1" i="29"/>
  <c r="J18" i="29"/>
  <c r="K28" i="29"/>
  <c r="J19" i="30"/>
  <c r="J29" i="30"/>
  <c r="K8" i="24"/>
  <c r="K12" i="24"/>
  <c r="K16" i="24"/>
  <c r="K23" i="24"/>
  <c r="J10" i="25"/>
  <c r="J14" i="25"/>
  <c r="K23" i="25"/>
  <c r="K30" i="25"/>
  <c r="J23" i="26"/>
  <c r="J9" i="27"/>
  <c r="K13" i="27"/>
  <c r="J18" i="27"/>
  <c r="J30" i="27"/>
  <c r="J9" i="28"/>
  <c r="J14" i="28"/>
  <c r="J25" i="28"/>
  <c r="J7" i="29"/>
  <c r="J12" i="29"/>
  <c r="K22" i="29"/>
  <c r="K26" i="29"/>
  <c r="J11" i="30"/>
  <c r="J15" i="30"/>
  <c r="J26" i="30"/>
  <c r="J30" i="30"/>
  <c r="K14" i="31"/>
  <c r="K26" i="31"/>
  <c r="K29" i="31"/>
  <c r="J24" i="20"/>
  <c r="J28" i="20"/>
  <c r="J10" i="21"/>
  <c r="K17" i="21"/>
  <c r="J12" i="22"/>
  <c r="J17" i="22"/>
  <c r="J25" i="22"/>
  <c r="K28" i="22"/>
  <c r="J6" i="23"/>
  <c r="K12" i="23"/>
  <c r="J30" i="23"/>
  <c r="J23" i="24"/>
  <c r="J28" i="24"/>
  <c r="K10" i="25"/>
  <c r="K14" i="25"/>
  <c r="J23" i="25"/>
  <c r="K27" i="25"/>
  <c r="J17" i="26"/>
  <c r="K9" i="27"/>
  <c r="K18" i="27"/>
  <c r="J25" i="27"/>
  <c r="K9" i="28"/>
  <c r="K14" i="28"/>
  <c r="K25" i="28"/>
  <c r="J29" i="28"/>
  <c r="K7" i="29"/>
  <c r="K13" i="29"/>
  <c r="K11" i="30"/>
  <c r="K15" i="30"/>
  <c r="K19" i="30"/>
  <c r="K26" i="30"/>
  <c r="K30" i="30"/>
  <c r="K10" i="31"/>
  <c r="J14" i="31"/>
  <c r="K19" i="31"/>
  <c r="K27" i="31"/>
  <c r="J11" i="25"/>
  <c r="K13" i="26"/>
  <c r="K28" i="26"/>
  <c r="J6" i="27"/>
  <c r="J10" i="27"/>
  <c r="J14" i="27"/>
  <c r="J15" i="28"/>
  <c r="J26" i="28"/>
  <c r="K29" i="28"/>
  <c r="J13" i="29"/>
  <c r="K17" i="29"/>
  <c r="K24" i="29"/>
  <c r="K7" i="30"/>
  <c r="J12" i="30"/>
  <c r="J16" i="30"/>
  <c r="J23" i="30"/>
  <c r="J27" i="30"/>
  <c r="K6" i="31"/>
  <c r="J23" i="31"/>
  <c r="J19" i="31"/>
  <c r="J17" i="29"/>
  <c r="J24" i="29"/>
  <c r="J28" i="29"/>
  <c r="J8" i="30"/>
  <c r="K12" i="30"/>
  <c r="K16" i="30"/>
  <c r="K23" i="30"/>
  <c r="K27" i="30"/>
  <c r="J6" i="31"/>
  <c r="J15" i="31"/>
  <c r="K23" i="31"/>
  <c r="K17" i="25"/>
  <c r="K6" i="26"/>
  <c r="J18" i="26"/>
  <c r="J25" i="26"/>
  <c r="J11" i="27"/>
  <c r="K6" i="28"/>
  <c r="K10" i="28"/>
  <c r="K23" i="28"/>
  <c r="K27" i="28"/>
  <c r="J10" i="29"/>
  <c r="J14" i="29"/>
  <c r="K11" i="31"/>
  <c r="K10" i="26"/>
  <c r="J15" i="26"/>
  <c r="K8" i="27"/>
  <c r="K12" i="27"/>
  <c r="K16" i="27"/>
  <c r="K28" i="27"/>
  <c r="J7" i="28"/>
  <c r="J29" i="29"/>
  <c r="K14" i="30"/>
  <c r="K18" i="30"/>
  <c r="J12" i="31"/>
  <c r="J16" i="31"/>
  <c r="K25" i="31"/>
  <c r="J30" i="31"/>
  <c r="J24" i="28"/>
  <c r="J11" i="29"/>
  <c r="K10" i="30"/>
  <c r="J25" i="30"/>
  <c r="K9" i="1"/>
  <c r="K17" i="1"/>
  <c r="K28" i="1"/>
  <c r="K12" i="2"/>
  <c r="K20" i="2"/>
  <c r="K31" i="2"/>
  <c r="K7" i="3"/>
  <c r="K15" i="3"/>
  <c r="K26" i="3"/>
  <c r="K9" i="4"/>
  <c r="K17" i="4"/>
  <c r="K28" i="4"/>
  <c r="K11" i="5"/>
  <c r="K19" i="5"/>
  <c r="K30" i="5"/>
  <c r="K6" i="6"/>
  <c r="K9" i="6"/>
  <c r="K12" i="6"/>
  <c r="K7" i="7"/>
  <c r="K16" i="7"/>
  <c r="K6" i="8"/>
  <c r="K9" i="8"/>
  <c r="K19" i="8"/>
  <c r="K25" i="8"/>
  <c r="K28" i="8"/>
  <c r="K12" i="10"/>
  <c r="K6" i="11"/>
  <c r="J6" i="11"/>
  <c r="K25" i="11"/>
  <c r="J25" i="11"/>
  <c r="K7" i="13"/>
  <c r="J7" i="13"/>
  <c r="K17" i="13"/>
  <c r="K12" i="14"/>
  <c r="J12" i="14"/>
  <c r="K25" i="14"/>
  <c r="J17" i="17"/>
  <c r="K17" i="17"/>
  <c r="K29" i="18"/>
  <c r="J29" i="18"/>
  <c r="K19" i="22"/>
  <c r="J19" i="22"/>
  <c r="J17" i="2"/>
  <c r="J14" i="4"/>
  <c r="J22" i="4"/>
  <c r="K10" i="8"/>
  <c r="J10" i="8"/>
  <c r="K29" i="8"/>
  <c r="J29" i="8"/>
  <c r="K19" i="15"/>
  <c r="K26" i="18"/>
  <c r="J26" i="18"/>
  <c r="K17" i="19"/>
  <c r="J17" i="19"/>
  <c r="K11" i="20"/>
  <c r="J11" i="20"/>
  <c r="K28" i="21"/>
  <c r="J28" i="21"/>
  <c r="K23" i="22"/>
  <c r="J23" i="22"/>
  <c r="K30" i="24"/>
  <c r="J30" i="24"/>
  <c r="K26" i="27"/>
  <c r="J26" i="27"/>
  <c r="J28" i="2"/>
  <c r="J8" i="3"/>
  <c r="J18" i="4"/>
  <c r="J12" i="5"/>
  <c r="J16" i="6"/>
  <c r="J19" i="6"/>
  <c r="J8" i="7"/>
  <c r="K14" i="7"/>
  <c r="J14" i="7"/>
  <c r="K10" i="10"/>
  <c r="J10" i="10"/>
  <c r="K14" i="17"/>
  <c r="J14" i="17"/>
  <c r="K12" i="20"/>
  <c r="J12" i="20"/>
  <c r="K9" i="25"/>
  <c r="J9" i="25"/>
  <c r="K27" i="27"/>
  <c r="J27" i="27"/>
  <c r="J25" i="1"/>
  <c r="J20" i="3"/>
  <c r="K25" i="7"/>
  <c r="J25" i="7"/>
  <c r="J10" i="1"/>
  <c r="J18" i="1"/>
  <c r="J29" i="1"/>
  <c r="J13" i="2"/>
  <c r="J21" i="2"/>
  <c r="J16" i="3"/>
  <c r="J27" i="3"/>
  <c r="J10" i="4"/>
  <c r="J29" i="4"/>
  <c r="J20" i="5"/>
  <c r="J31" i="5"/>
  <c r="J7" i="6"/>
  <c r="K10" i="6"/>
  <c r="K29" i="10"/>
  <c r="J29" i="10"/>
  <c r="K29" i="12"/>
  <c r="J29" i="12"/>
  <c r="J8" i="2"/>
  <c r="J16" i="2"/>
  <c r="J27" i="2"/>
  <c r="J11" i="3"/>
  <c r="J19" i="3"/>
  <c r="J30" i="3"/>
  <c r="J13" i="4"/>
  <c r="J21" i="4"/>
  <c r="J32" i="4"/>
  <c r="J7" i="5"/>
  <c r="J15" i="5"/>
  <c r="J26" i="5"/>
  <c r="J25" i="6"/>
  <c r="J28" i="6"/>
  <c r="J11" i="7"/>
  <c r="J27" i="7"/>
  <c r="J30" i="7"/>
  <c r="J11" i="8"/>
  <c r="J14" i="8"/>
  <c r="J17" i="8"/>
  <c r="J30" i="8"/>
  <c r="K14" i="9"/>
  <c r="J14" i="9"/>
  <c r="J7" i="10"/>
  <c r="J20" i="10"/>
  <c r="J26" i="10"/>
  <c r="K10" i="12"/>
  <c r="J10" i="12"/>
  <c r="J23" i="12"/>
  <c r="J26" i="12"/>
  <c r="K15" i="13"/>
  <c r="J15" i="13"/>
  <c r="K23" i="14"/>
  <c r="J23" i="14"/>
  <c r="J8" i="15"/>
  <c r="K6" i="16"/>
  <c r="J6" i="16"/>
  <c r="J13" i="16"/>
  <c r="J27" i="16"/>
  <c r="K30" i="19"/>
  <c r="K11" i="23"/>
  <c r="K7" i="26"/>
  <c r="K15" i="28"/>
  <c r="J14" i="1"/>
  <c r="J12" i="3"/>
  <c r="K14" i="11"/>
  <c r="J14" i="11"/>
  <c r="K9" i="15"/>
  <c r="J9" i="15"/>
  <c r="J16" i="15"/>
  <c r="K14" i="16"/>
  <c r="J14" i="16"/>
  <c r="K28" i="16"/>
  <c r="J28" i="16"/>
  <c r="J15" i="17"/>
  <c r="J19" i="19"/>
  <c r="K19" i="19"/>
  <c r="K13" i="22"/>
  <c r="J13" i="22"/>
  <c r="K19" i="25"/>
  <c r="K18" i="8"/>
  <c r="J18" i="8"/>
  <c r="K17" i="15"/>
  <c r="J17" i="15"/>
  <c r="K26" i="19"/>
  <c r="J26" i="19"/>
  <c r="K7" i="23"/>
  <c r="J7" i="23"/>
  <c r="K24" i="24"/>
  <c r="J24" i="24"/>
  <c r="K17" i="27"/>
  <c r="J17" i="27"/>
  <c r="K11" i="28"/>
  <c r="J11" i="28"/>
  <c r="K15" i="19"/>
  <c r="J15" i="19"/>
  <c r="K27" i="19"/>
  <c r="J27" i="19"/>
  <c r="K8" i="23"/>
  <c r="J8" i="23"/>
  <c r="K15" i="25"/>
  <c r="J15" i="25"/>
  <c r="J8" i="28"/>
  <c r="K12" i="28"/>
  <c r="J12" i="28"/>
  <c r="J6" i="1"/>
  <c r="J9" i="2"/>
  <c r="J31" i="3"/>
  <c r="J6" i="4"/>
  <c r="K18" i="10"/>
  <c r="J18" i="10"/>
  <c r="K26" i="13"/>
  <c r="J26" i="13"/>
  <c r="K28" i="15"/>
  <c r="J28" i="15"/>
  <c r="J19" i="7"/>
  <c r="K6" i="9"/>
  <c r="J6" i="9"/>
  <c r="K25" i="9"/>
  <c r="J25" i="9"/>
  <c r="J15" i="10"/>
  <c r="K18" i="12"/>
  <c r="J18" i="12"/>
  <c r="J23" i="13"/>
  <c r="K18" i="15"/>
  <c r="K8" i="16"/>
  <c r="K6" i="18"/>
  <c r="K12" i="19"/>
  <c r="J12" i="19"/>
  <c r="K15" i="20"/>
  <c r="J12" i="25"/>
  <c r="K16" i="25"/>
  <c r="J16" i="25"/>
  <c r="K30" i="27"/>
  <c r="K26" i="21"/>
  <c r="J26" i="21"/>
  <c r="K11" i="22"/>
  <c r="J11" i="22"/>
  <c r="K19" i="24"/>
  <c r="J19" i="24"/>
  <c r="K7" i="25"/>
  <c r="J7" i="25"/>
  <c r="K30" i="26"/>
  <c r="J30" i="26"/>
  <c r="K15" i="27"/>
  <c r="J15" i="27"/>
  <c r="K9" i="31"/>
  <c r="J9" i="31"/>
  <c r="J18" i="31"/>
  <c r="K7" i="20"/>
  <c r="J23" i="21"/>
  <c r="K30" i="21"/>
  <c r="J8" i="22"/>
  <c r="K15" i="22"/>
  <c r="J16" i="24"/>
  <c r="K26" i="24"/>
  <c r="K11" i="25"/>
  <c r="J27" i="26"/>
  <c r="J12" i="27"/>
  <c r="K19" i="27"/>
  <c r="K7" i="28"/>
  <c r="K28" i="31"/>
  <c r="J28" i="31"/>
  <c r="K10" i="18"/>
  <c r="J10" i="18"/>
  <c r="K19" i="20"/>
  <c r="J19" i="20"/>
  <c r="K7" i="21"/>
  <c r="J7" i="21"/>
  <c r="K30" i="22"/>
  <c r="J30" i="22"/>
  <c r="K15" i="23"/>
  <c r="J15" i="23"/>
  <c r="K26" i="25"/>
  <c r="J26" i="25"/>
  <c r="K11" i="26"/>
  <c r="J11" i="26"/>
  <c r="K22" i="28"/>
  <c r="J22" i="28"/>
  <c r="K9" i="30"/>
  <c r="J9" i="30"/>
  <c r="K13" i="30"/>
  <c r="J13" i="30"/>
  <c r="K17" i="30"/>
  <c r="J17" i="30"/>
  <c r="K24" i="30"/>
  <c r="J24" i="30"/>
  <c r="K28" i="30"/>
  <c r="J28" i="30"/>
  <c r="K8" i="29"/>
  <c r="J8" i="29"/>
  <c r="K24" i="31"/>
  <c r="J24" i="31"/>
  <c r="J11" i="18"/>
  <c r="K18" i="18"/>
  <c r="J18" i="18"/>
  <c r="K7" i="19"/>
  <c r="J7" i="19"/>
  <c r="J28" i="19"/>
  <c r="J13" i="20"/>
  <c r="J23" i="20"/>
  <c r="K30" i="20"/>
  <c r="J30" i="20"/>
  <c r="J8" i="21"/>
  <c r="K15" i="21"/>
  <c r="J15" i="21"/>
  <c r="J24" i="22"/>
  <c r="J9" i="23"/>
  <c r="J16" i="23"/>
  <c r="K26" i="23"/>
  <c r="J26" i="23"/>
  <c r="K11" i="24"/>
  <c r="J11" i="24"/>
  <c r="J17" i="25"/>
  <c r="J27" i="25"/>
  <c r="J12" i="26"/>
  <c r="K19" i="26"/>
  <c r="J19" i="26"/>
  <c r="K7" i="27"/>
  <c r="J7" i="27"/>
  <c r="J28" i="27"/>
  <c r="J13" i="28"/>
  <c r="J23" i="28"/>
  <c r="K12" i="29"/>
  <c r="J6" i="30"/>
  <c r="J10" i="30"/>
  <c r="K17" i="31"/>
  <c r="J17" i="31"/>
  <c r="J10" i="17"/>
  <c r="K13" i="17"/>
  <c r="J29" i="17"/>
  <c r="J15" i="18"/>
  <c r="K25" i="18"/>
  <c r="K11" i="19"/>
  <c r="J27" i="20"/>
  <c r="J12" i="21"/>
  <c r="K19" i="21"/>
  <c r="K7" i="22"/>
  <c r="J23" i="23"/>
  <c r="K30" i="23"/>
  <c r="J8" i="24"/>
  <c r="K15" i="24"/>
  <c r="J16" i="26"/>
  <c r="K26" i="26"/>
  <c r="K11" i="27"/>
  <c r="J27" i="28"/>
  <c r="J9" i="29"/>
  <c r="K16" i="29"/>
  <c r="J16" i="29"/>
  <c r="K23" i="29"/>
  <c r="J23" i="29"/>
  <c r="K27" i="29"/>
  <c r="J27" i="29"/>
  <c r="K13" i="31"/>
  <c r="J13" i="31"/>
  <c r="K1" i="29"/>
  <c r="J1" i="30"/>
  <c r="K1" i="30"/>
  <c r="J1" i="31"/>
  <c r="J26" i="29"/>
  <c r="K1" i="31"/>
  <c r="J27" i="31"/>
  <c r="K8" i="31"/>
  <c r="J11" i="31"/>
  <c r="K16" i="31"/>
</calcChain>
</file>

<file path=xl/sharedStrings.xml><?xml version="1.0" encoding="utf-8"?>
<sst xmlns="http://schemas.openxmlformats.org/spreadsheetml/2006/main" count="17234" uniqueCount="637">
  <si>
    <t>PROYECTO:</t>
  </si>
  <si>
    <t>LA COIPA</t>
  </si>
  <si>
    <t>DIA</t>
  </si>
  <si>
    <t>MES</t>
  </si>
  <si>
    <t>AÑO</t>
  </si>
  <si>
    <t>N°</t>
  </si>
  <si>
    <t>RUT</t>
  </si>
  <si>
    <t>NOMBRE COMPLETO</t>
  </si>
  <si>
    <t>CARGO</t>
  </si>
  <si>
    <t>MAQUINA</t>
  </si>
  <si>
    <t>DIAMETRO</t>
  </si>
  <si>
    <t>ESCALA</t>
  </si>
  <si>
    <t>METROS</t>
  </si>
  <si>
    <t>H. EXTRAS</t>
  </si>
  <si>
    <t>workera entrada</t>
  </si>
  <si>
    <t>workera salida</t>
  </si>
  <si>
    <t>MOTIVO HORAS EXTRAS</t>
  </si>
  <si>
    <t>Alex Mario Morales Antiquera</t>
  </si>
  <si>
    <t xml:space="preserve">JEFE DE FAENA </t>
  </si>
  <si>
    <t>PQ</t>
  </si>
  <si>
    <t>500-1000</t>
  </si>
  <si>
    <t>15,00</t>
  </si>
  <si>
    <t>Nora Alexandra Salas Rojas</t>
  </si>
  <si>
    <t>HSEC</t>
  </si>
  <si>
    <t>Nataly Antonia Salas Escobar</t>
  </si>
  <si>
    <t>ADMINISTRATIVO</t>
  </si>
  <si>
    <t xml:space="preserve">Leonardo Andres Meneses Arredondo </t>
  </si>
  <si>
    <t>SUPERVISOR</t>
  </si>
  <si>
    <t>Leonel Guillermo Campusano Dubo</t>
  </si>
  <si>
    <t>AYUDANTE</t>
  </si>
  <si>
    <t>Victor Manuel Mondaca Vega</t>
  </si>
  <si>
    <t>William Hernan Alvares Trujillo</t>
  </si>
  <si>
    <t>SOLDADOR</t>
  </si>
  <si>
    <t>Paolo Alejandro Manriquez Silva</t>
  </si>
  <si>
    <t>BODEGUERO</t>
  </si>
  <si>
    <t>Walter del Carmen Pizarro Alvarez</t>
  </si>
  <si>
    <t>CHOFER</t>
  </si>
  <si>
    <t>Jorge Erikson Durand Ruiz</t>
  </si>
  <si>
    <t>MECÁNICO</t>
  </si>
  <si>
    <t>Benjamin Josafatt Espinoza Uribe</t>
  </si>
  <si>
    <t>Jorge Armando Tinoco Ospino</t>
  </si>
  <si>
    <t>CHOFER TRADUCTOR</t>
  </si>
  <si>
    <t>Jason Fletcher</t>
  </si>
  <si>
    <t>GERENTE TECNICO</t>
  </si>
  <si>
    <t>Mauricio Enrique Tapia Carvajal</t>
  </si>
  <si>
    <t>PERFORISTA BU</t>
  </si>
  <si>
    <t>Ariunbold Tsogkhorkhoi</t>
  </si>
  <si>
    <t>PERFORISTA</t>
  </si>
  <si>
    <t>EDM 2000-8</t>
  </si>
  <si>
    <t>Fabian Patricio Cabrera Godoy</t>
  </si>
  <si>
    <t>TURNO NOCHE</t>
  </si>
  <si>
    <t>Ulinson Diaz Cortes</t>
  </si>
  <si>
    <t>6,00</t>
  </si>
  <si>
    <t>Rodrigo Alejandro Flores Zepeda</t>
  </si>
  <si>
    <t>Ignacio Alejandro Robles Barrios</t>
  </si>
  <si>
    <t xml:space="preserve">Benigno Eduardo Paez Meneses </t>
  </si>
  <si>
    <t>Estefania Constanza Naeter Quiroz</t>
  </si>
  <si>
    <t>CONDUCTOR TRADUCTOR</t>
  </si>
  <si>
    <t>Roberto Mario Vargas Rodriguez</t>
  </si>
  <si>
    <t>MECANICO</t>
  </si>
  <si>
    <t>GANTSOOJ KHISHIGBAYAR</t>
  </si>
  <si>
    <t>14,00</t>
  </si>
  <si>
    <t>16,00</t>
  </si>
  <si>
    <t>7,05</t>
  </si>
  <si>
    <t>Carlos Rodrigez Hernandez</t>
  </si>
  <si>
    <t>ADC</t>
  </si>
  <si>
    <t>16,95</t>
  </si>
  <si>
    <t>13,50</t>
  </si>
  <si>
    <t>16,50</t>
  </si>
  <si>
    <t>9,00</t>
  </si>
  <si>
    <t>Jose Cristian Bastias Perez</t>
  </si>
  <si>
    <t>Javier Eduardo Catalan Espinoza</t>
  </si>
  <si>
    <t xml:space="preserve">Mauricio Andres Oyarzun Salamanca </t>
  </si>
  <si>
    <t>Felipe David Saavedra Campos</t>
  </si>
  <si>
    <t>Waldo Rafael Castro Pastenes</t>
  </si>
  <si>
    <t>Jose Leandro Parra Saravia</t>
  </si>
  <si>
    <t>Pablo Lucas Poblete Kuhne</t>
  </si>
  <si>
    <t>Manuel Alejandro Tilleria Saavedra</t>
  </si>
  <si>
    <t>Ariel Andres Silva Riquelme</t>
  </si>
  <si>
    <t>18,00</t>
  </si>
  <si>
    <t>Vicente Andres Lopez Martines</t>
  </si>
  <si>
    <t>Francisco Alejandro Araya Barraza</t>
  </si>
  <si>
    <t xml:space="preserve">Daniel Andres Andrade Aguilar </t>
  </si>
  <si>
    <t>Luis Humberto Peña Ahumada</t>
  </si>
  <si>
    <t>12,00</t>
  </si>
  <si>
    <t>Carlos Alberto Pizarro Pizarro</t>
  </si>
  <si>
    <t>Ulzi</t>
  </si>
  <si>
    <t>9,40</t>
  </si>
  <si>
    <t>Zaya</t>
  </si>
  <si>
    <t>Ulziibadrakh Bayanmunkh</t>
  </si>
  <si>
    <t>Jose Rodriguez</t>
  </si>
  <si>
    <t>TRADUCTOR</t>
  </si>
  <si>
    <t>Enkhzaya Ganbaatar</t>
  </si>
  <si>
    <t>9,70</t>
  </si>
  <si>
    <t>3,25</t>
  </si>
  <si>
    <t>0,00</t>
  </si>
  <si>
    <t xml:space="preserve">Cristian Rogelio Pasten Vergara	</t>
  </si>
  <si>
    <t>John Briceño</t>
  </si>
  <si>
    <t>Rene Alfredo Rios Maldonado</t>
  </si>
  <si>
    <t>Felipe Ivan Zambra Gonzalez</t>
  </si>
  <si>
    <t>Alisson Ayleen Villagra Caballero</t>
  </si>
  <si>
    <t>14,75</t>
  </si>
  <si>
    <t>14,30</t>
  </si>
  <si>
    <t>12,20</t>
  </si>
  <si>
    <t>15,15</t>
  </si>
  <si>
    <t>13,00</t>
  </si>
  <si>
    <t xml:space="preserve">Dotación RECONDRILLING </t>
  </si>
  <si>
    <t>COIPA 1</t>
  </si>
  <si>
    <t>TELÉFONO</t>
  </si>
  <si>
    <t>EMPRESA</t>
  </si>
  <si>
    <t>TURNO</t>
  </si>
  <si>
    <t>CIUDAD DE ORIGEN</t>
  </si>
  <si>
    <t>14313865-8</t>
  </si>
  <si>
    <t>Alex Eduardo Tabilo Rivera</t>
  </si>
  <si>
    <t>RECONDRILLING</t>
  </si>
  <si>
    <t>14X14 A</t>
  </si>
  <si>
    <t>OVALLE</t>
  </si>
  <si>
    <t>11384027-7</t>
  </si>
  <si>
    <t>14X14 A/B</t>
  </si>
  <si>
    <t>LA SERENA</t>
  </si>
  <si>
    <t>JEFE DE FAENA</t>
  </si>
  <si>
    <t>15613806-1</t>
  </si>
  <si>
    <t>14X14 B</t>
  </si>
  <si>
    <t>ARICA</t>
  </si>
  <si>
    <t>28683244-K</t>
  </si>
  <si>
    <t>17643998-k</t>
  </si>
  <si>
    <t>VALLENAR</t>
  </si>
  <si>
    <t>17805184-9</t>
  </si>
  <si>
    <t>56 957795944</t>
  </si>
  <si>
    <t>SANTIAGO</t>
  </si>
  <si>
    <t>17721340-3</t>
  </si>
  <si>
    <t>COQUIMBO</t>
  </si>
  <si>
    <t>15570854-9</t>
  </si>
  <si>
    <t>Carlos Robinson Valdes Paez</t>
  </si>
  <si>
    <t>LINARES</t>
  </si>
  <si>
    <t>12806491-5</t>
  </si>
  <si>
    <t>Cristian Eduardo Carvajal Jaime</t>
  </si>
  <si>
    <t>16053497-4</t>
  </si>
  <si>
    <t>JEFE DE TRUNO</t>
  </si>
  <si>
    <t xml:space="preserve">17465056-K </t>
  </si>
  <si>
    <t>LA LIGUA</t>
  </si>
  <si>
    <t>20173381-2</t>
  </si>
  <si>
    <t>Elias Nicolas Cortez Cortez</t>
  </si>
  <si>
    <t>LA CALERA</t>
  </si>
  <si>
    <t>4500884-3</t>
  </si>
  <si>
    <t>19949787-1</t>
  </si>
  <si>
    <t>La Serena</t>
  </si>
  <si>
    <t xml:space="preserve">AYUDANTE </t>
  </si>
  <si>
    <t>18450168-6</t>
  </si>
  <si>
    <t>19507111-K</t>
  </si>
  <si>
    <t>4.500.919-K</t>
  </si>
  <si>
    <t>INSTRUCTOR</t>
  </si>
  <si>
    <t>20718093-9</t>
  </si>
  <si>
    <t xml:space="preserve">14X14 </t>
  </si>
  <si>
    <t>CALDERA</t>
  </si>
  <si>
    <t>4.500.989-0</t>
  </si>
  <si>
    <t>JASON NEIL FLETCHER</t>
  </si>
  <si>
    <t>copaipo</t>
  </si>
  <si>
    <t>13775192-5</t>
  </si>
  <si>
    <t>TILCOCO</t>
  </si>
  <si>
    <t>19339512-0</t>
  </si>
  <si>
    <t>John Byron Vasquez Carroza</t>
  </si>
  <si>
    <t>5692701 2763</t>
  </si>
  <si>
    <t>23868099-9</t>
  </si>
  <si>
    <t>21254681-K</t>
  </si>
  <si>
    <t>14413231-9</t>
  </si>
  <si>
    <t>LOS ALAMOS</t>
  </si>
  <si>
    <t>13809180-5</t>
  </si>
  <si>
    <t>CONDUCTOR</t>
  </si>
  <si>
    <t>14043656-9</t>
  </si>
  <si>
    <t>18889617-0</t>
  </si>
  <si>
    <t>19804200-5</t>
  </si>
  <si>
    <t>17964013-9</t>
  </si>
  <si>
    <t>VALDIVIA</t>
  </si>
  <si>
    <t>17626968-5</t>
  </si>
  <si>
    <t>21516063-7</t>
  </si>
  <si>
    <t>VILLA ALEMANA</t>
  </si>
  <si>
    <t>ADMIN</t>
  </si>
  <si>
    <t>18352777-0</t>
  </si>
  <si>
    <t>13855440-6</t>
  </si>
  <si>
    <t>LOS ANGELES</t>
  </si>
  <si>
    <t>17628970-8</t>
  </si>
  <si>
    <t>14594999-8</t>
  </si>
  <si>
    <t>16188552-5</t>
  </si>
  <si>
    <t>15.814.058-6</t>
  </si>
  <si>
    <t>Antofagasta</t>
  </si>
  <si>
    <t>4500901-7</t>
  </si>
  <si>
    <t>21294612-5</t>
  </si>
  <si>
    <t>16.706.064-1</t>
  </si>
  <si>
    <t>LA  SERENA</t>
  </si>
  <si>
    <t>13744310-4</t>
  </si>
  <si>
    <t>vallenar</t>
  </si>
  <si>
    <t>12814487-0</t>
  </si>
  <si>
    <t>Coquimbo</t>
  </si>
  <si>
    <t>11508866-1</t>
  </si>
  <si>
    <t>17979787-9</t>
  </si>
  <si>
    <t>John Alexis Briceño Honores</t>
  </si>
  <si>
    <t>18.919.440-4</t>
  </si>
  <si>
    <t>14x14 B</t>
  </si>
  <si>
    <t>19.460.207-3</t>
  </si>
  <si>
    <t>Conductor</t>
  </si>
  <si>
    <t>25.832.490-0</t>
  </si>
  <si>
    <t xml:space="preserve">Jose Leonardo Rodriguez Robles </t>
  </si>
  <si>
    <t>15593625-8</t>
  </si>
  <si>
    <t>Carlos Rodriguez</t>
  </si>
  <si>
    <t>4x3</t>
  </si>
  <si>
    <t>Curanilahue</t>
  </si>
  <si>
    <t xml:space="preserve"> </t>
  </si>
  <si>
    <t>15831074-0</t>
  </si>
  <si>
    <t>8851221-9</t>
  </si>
  <si>
    <t>CURICÓ</t>
  </si>
  <si>
    <t>12.152.241-1</t>
  </si>
  <si>
    <t>Jorge Esteban Saavedra Mena</t>
  </si>
  <si>
    <t>?</t>
  </si>
  <si>
    <t>18141318-2</t>
  </si>
  <si>
    <t>Daniel Andres Martinez Gonzalez</t>
  </si>
  <si>
    <t>Copiapo</t>
  </si>
  <si>
    <t>14099614-9</t>
  </si>
  <si>
    <t>Sebastian Alfonso Ramos Esquivel</t>
  </si>
  <si>
    <t>4500975-0</t>
  </si>
  <si>
    <t>Dayne Passmore</t>
  </si>
  <si>
    <t>18633143-5</t>
  </si>
  <si>
    <t>Cristopher Jesus Maldonado Mondaca</t>
  </si>
  <si>
    <t>COIPA 2</t>
  </si>
  <si>
    <t>11726306-1</t>
  </si>
  <si>
    <t>Boris Julian Jumenez Diaz</t>
  </si>
  <si>
    <t>Andacollo</t>
  </si>
  <si>
    <t>Perforista</t>
  </si>
  <si>
    <t>13049877-9</t>
  </si>
  <si>
    <t>Carlos Andres Cornejo Osorio</t>
  </si>
  <si>
    <t>Quilpue</t>
  </si>
  <si>
    <t>Supervisor</t>
  </si>
  <si>
    <t>19322282-K</t>
  </si>
  <si>
    <t>Cristian Nicolas Sambra Torres</t>
  </si>
  <si>
    <t>Vicuña</t>
  </si>
  <si>
    <t>Ayudante</t>
  </si>
  <si>
    <t>20921611-6</t>
  </si>
  <si>
    <t>Duban Andres Contreras Bordones</t>
  </si>
  <si>
    <t>11934921-4</t>
  </si>
  <si>
    <t>Edinson Rodrigo gonzalez Cortinez</t>
  </si>
  <si>
    <t>21028758-2</t>
  </si>
  <si>
    <t>13329197-0</t>
  </si>
  <si>
    <t>Jaime Marcelo Escobar Cortes</t>
  </si>
  <si>
    <t>19753292-0</t>
  </si>
  <si>
    <t>Michael Ignacio Valencia Muñoz</t>
  </si>
  <si>
    <t>16732957-8</t>
  </si>
  <si>
    <t>Nelcio Antonio Ramirez Pizarro</t>
  </si>
  <si>
    <t>14117289-1</t>
  </si>
  <si>
    <t>Pablo Andres Albarnez Lopez</t>
  </si>
  <si>
    <t>COPIAPÓ</t>
  </si>
  <si>
    <t>13044962-K</t>
  </si>
  <si>
    <t>Patricio Alejandro Castillo Troncoso</t>
  </si>
  <si>
    <t>15000375-K</t>
  </si>
  <si>
    <t>Ruben Andres Vallejos Ardiles</t>
  </si>
  <si>
    <t>17643890-8</t>
  </si>
  <si>
    <t>Sebastian Andres Briceño Galleguillos</t>
  </si>
  <si>
    <t>Vallenar</t>
  </si>
  <si>
    <t>10362133-K</t>
  </si>
  <si>
    <t>Nibaldo Castro</t>
  </si>
  <si>
    <t>TALCA</t>
  </si>
  <si>
    <t xml:space="preserve">CHOFER  </t>
  </si>
  <si>
    <t>14128763-K</t>
  </si>
  <si>
    <t xml:space="preserve">Jorge Guerra Cubillos </t>
  </si>
  <si>
    <t>santiago</t>
  </si>
  <si>
    <t xml:space="preserve">SUPERVISOR </t>
  </si>
  <si>
    <t>11345634-5</t>
  </si>
  <si>
    <t>Alberto Calderon Calderon</t>
  </si>
  <si>
    <t>15572472-2</t>
  </si>
  <si>
    <t>Julio Andres Cisterna Rojas</t>
  </si>
  <si>
    <t>18.403.993-1</t>
  </si>
  <si>
    <t xml:space="preserve"> JOEL ANDRES CARO GALLARDO</t>
  </si>
  <si>
    <t>14x14 A</t>
  </si>
  <si>
    <t>Chañaral</t>
  </si>
  <si>
    <t>14.615.536-7</t>
  </si>
  <si>
    <t xml:space="preserve">CRISTIAN ALBERTO MARIN CORTES </t>
  </si>
  <si>
    <t>ADMIN Contrato</t>
  </si>
  <si>
    <t>10508202-9</t>
  </si>
  <si>
    <t>Fernando Andres Ardiles Pisaya</t>
  </si>
  <si>
    <t>Cristopher Maldonado</t>
  </si>
  <si>
    <t>COPIAPO</t>
  </si>
  <si>
    <t>17.625.404-1</t>
  </si>
  <si>
    <t>JUAN FRANCSCO LAMAS HIDALGO</t>
  </si>
  <si>
    <t>15.946.640-K</t>
  </si>
  <si>
    <t>JOSE LUIS VASQUEZ SILVA</t>
  </si>
  <si>
    <t>chillan</t>
  </si>
  <si>
    <t>Cristian Rojas Segovia</t>
  </si>
  <si>
    <t xml:space="preserve">PERSONAL POR CONFIRMAR SITIO </t>
  </si>
  <si>
    <t>20955488-7</t>
  </si>
  <si>
    <t>Alan Patricio Astorga Orrego</t>
  </si>
  <si>
    <t>4500875-4</t>
  </si>
  <si>
    <t>Altankhundaga Suglemaa</t>
  </si>
  <si>
    <t>14x14 AB</t>
  </si>
  <si>
    <t>28280633-9</t>
  </si>
  <si>
    <t xml:space="preserve">Andrew William </t>
  </si>
  <si>
    <t>18679487-7</t>
  </si>
  <si>
    <t>Angelo Piero Llanos Lara</t>
  </si>
  <si>
    <t>LOS ANDES</t>
  </si>
  <si>
    <t>4500902-5</t>
  </si>
  <si>
    <t>Byambatseren Tserendavaa</t>
  </si>
  <si>
    <t>21777671-6</t>
  </si>
  <si>
    <t>Cristian Marcelo Rojas Segovia</t>
  </si>
  <si>
    <t>15037826-5</t>
  </si>
  <si>
    <t>Daniel Antonio Manso Diaz</t>
  </si>
  <si>
    <t>18178758-9</t>
  </si>
  <si>
    <t>Diego Felipe Gonzalez Castillo</t>
  </si>
  <si>
    <t>4x4 A/B</t>
  </si>
  <si>
    <t>11210318-k</t>
  </si>
  <si>
    <t>Fabian Segundo Alvarado Muñoz</t>
  </si>
  <si>
    <t>12.951.924-K</t>
  </si>
  <si>
    <t>Felix Jorge Jimenez Castillo</t>
  </si>
  <si>
    <t>La Calera</t>
  </si>
  <si>
    <t>Chofer</t>
  </si>
  <si>
    <t>19347969-3</t>
  </si>
  <si>
    <t>Francisco Humberto Rojas Ossandon</t>
  </si>
  <si>
    <t>HANS YERKO MARQUEZ MUÑOZ</t>
  </si>
  <si>
    <t>Mecanico</t>
  </si>
  <si>
    <t>17831608-7</t>
  </si>
  <si>
    <t xml:space="preserve">Heber Antonio Carvajal Castro </t>
  </si>
  <si>
    <t>16.732.650-1</t>
  </si>
  <si>
    <t>Hugo Marcelo Lorenzzo Zamarca Egaña</t>
  </si>
  <si>
    <t>26111839-4</t>
  </si>
  <si>
    <t>Jesyled Mijares</t>
  </si>
  <si>
    <t>IMDEX</t>
  </si>
  <si>
    <t>14X14</t>
  </si>
  <si>
    <t>Exp. Lodos</t>
  </si>
  <si>
    <t>17295160-0</t>
  </si>
  <si>
    <t>John Veliz Hidalgo</t>
  </si>
  <si>
    <t>13745724-5</t>
  </si>
  <si>
    <t>Jose Manuel Castillo Garcia</t>
  </si>
  <si>
    <t>Instructor</t>
  </si>
  <si>
    <t>4500886-K</t>
  </si>
  <si>
    <t>Joshua Mann</t>
  </si>
  <si>
    <t>4X3 A/B</t>
  </si>
  <si>
    <t>19734247-1</t>
  </si>
  <si>
    <t>Juan Antonio De Jesus Salazar Bustos</t>
  </si>
  <si>
    <t>18449925-8</t>
  </si>
  <si>
    <t>Juan Pablo Morales Campusano</t>
  </si>
  <si>
    <t>21817932-0</t>
  </si>
  <si>
    <t>Kevin Matias Araya Alvarez</t>
  </si>
  <si>
    <t>18589217-4</t>
  </si>
  <si>
    <t>Luis Armando Morales Navea</t>
  </si>
  <si>
    <t>ILLAPEL</t>
  </si>
  <si>
    <t>MATIAS ALEJANDRO CORTES ROJAS</t>
  </si>
  <si>
    <t>21301397-1</t>
  </si>
  <si>
    <t>Matias Cortes</t>
  </si>
  <si>
    <t>19349807-8</t>
  </si>
  <si>
    <t>Matias Patricio Carvajal Cerda</t>
  </si>
  <si>
    <t>4500943-2</t>
  </si>
  <si>
    <t>Robert Leotta Den Berg</t>
  </si>
  <si>
    <t>16425205-1</t>
  </si>
  <si>
    <t>Rodrigo Alex Balladares Perez</t>
  </si>
  <si>
    <t>28821672-K</t>
  </si>
  <si>
    <t>Romeo Alexander Suciu</t>
  </si>
  <si>
    <t>4500900-9</t>
  </si>
  <si>
    <t>Tugsbayar Choijiljav</t>
  </si>
  <si>
    <t>28698456-8</t>
  </si>
  <si>
    <t>Tumennsan Sansrai</t>
  </si>
  <si>
    <t>15885001-K</t>
  </si>
  <si>
    <t>Victor Rodrigo Garcia Rojas</t>
  </si>
  <si>
    <t>19078552-1</t>
  </si>
  <si>
    <t>Mauricio Giovani Venegas Bochieri</t>
  </si>
  <si>
    <t>Código</t>
  </si>
  <si>
    <t>Nombre</t>
  </si>
  <si>
    <t>Sucursal</t>
  </si>
  <si>
    <t>Departamento</t>
  </si>
  <si>
    <t>Reloj</t>
  </si>
  <si>
    <t>Fecha/Hora</t>
  </si>
  <si>
    <t>Tipo registro</t>
  </si>
  <si>
    <t>Dirección</t>
  </si>
  <si>
    <t>Estado</t>
  </si>
  <si>
    <t>Checksum</t>
  </si>
  <si>
    <t>14313865</t>
  </si>
  <si>
    <t>14.313.865-8</t>
  </si>
  <si>
    <t>ALEX TABILO  RIVERA</t>
  </si>
  <si>
    <t>Proyecto La Coipa "2"</t>
  </si>
  <si>
    <t>OPERACIONES</t>
  </si>
  <si>
    <t>Reloj virtual(App móvil)</t>
  </si>
  <si>
    <t>Salida</t>
  </si>
  <si>
    <t>14128763</t>
  </si>
  <si>
    <t>14.128.763-K</t>
  </si>
  <si>
    <t>JORGE GUERRA  CUBILLOS</t>
  </si>
  <si>
    <t>14099614</t>
  </si>
  <si>
    <t>14.099.614-9</t>
  </si>
  <si>
    <t>SEBASTIAN RAMOS  ESQUIVEL</t>
  </si>
  <si>
    <t>11345634</t>
  </si>
  <si>
    <t>11.345.634-5</t>
  </si>
  <si>
    <t>ALBERTO CALDERON  CALDERON</t>
  </si>
  <si>
    <t>17643890</t>
  </si>
  <si>
    <t>17.643.890-8</t>
  </si>
  <si>
    <t>SEBASTIAN BRICEÑO  GALLEGUILLOS</t>
  </si>
  <si>
    <t>Entrada</t>
  </si>
  <si>
    <t>12447356</t>
  </si>
  <si>
    <t>12.447.356-K</t>
  </si>
  <si>
    <t>RICARDO ARAYA  BARRAZA</t>
  </si>
  <si>
    <t>MANTENIMIENTO</t>
  </si>
  <si>
    <t>HWM4244700656</t>
  </si>
  <si>
    <t>19753292</t>
  </si>
  <si>
    <t>19.753.292-0</t>
  </si>
  <si>
    <t>MICHAEL VALENCIA  MUÑOZ</t>
  </si>
  <si>
    <t>15572472</t>
  </si>
  <si>
    <t>15.572.472-2</t>
  </si>
  <si>
    <t>JULIO CISTERNAS  ROJAS</t>
  </si>
  <si>
    <t>15000375</t>
  </si>
  <si>
    <t>15.000.375-K</t>
  </si>
  <si>
    <t>RUBEN VALLEJOS  ARDILES</t>
  </si>
  <si>
    <t>13329197</t>
  </si>
  <si>
    <t>13.329.197-0</t>
  </si>
  <si>
    <t>JAIME ESCOBAR  CORTES</t>
  </si>
  <si>
    <t>18141318</t>
  </si>
  <si>
    <t>18.141.318-2</t>
  </si>
  <si>
    <t>DANIEL MARTINEZ  GONZALEZ</t>
  </si>
  <si>
    <t>13044962</t>
  </si>
  <si>
    <t>13.044.962-K</t>
  </si>
  <si>
    <t>PATRICIO CASTILLO  TRONCOSO</t>
  </si>
  <si>
    <t>10362133</t>
  </si>
  <si>
    <t>10.362.133-K</t>
  </si>
  <si>
    <t>NIBALDO CASTRO  CORTES</t>
  </si>
  <si>
    <t>13049877</t>
  </si>
  <si>
    <t>13.049.877-9</t>
  </si>
  <si>
    <t>CARLOS CORNEJO  OSORIO</t>
  </si>
  <si>
    <t>20921611</t>
  </si>
  <si>
    <t>20.921.611-6</t>
  </si>
  <si>
    <t>DUBAN CONTRERAS  BORDONES</t>
  </si>
  <si>
    <t>21028758</t>
  </si>
  <si>
    <t>21.028.758-2</t>
  </si>
  <si>
    <t>FRANCISCO ARAYA  BARRAZA</t>
  </si>
  <si>
    <t>19322282</t>
  </si>
  <si>
    <t>19.322.282-K</t>
  </si>
  <si>
    <t>CRISTIAN SAMBRA  TORRES</t>
  </si>
  <si>
    <t>11726306</t>
  </si>
  <si>
    <t>11.726.306-1</t>
  </si>
  <si>
    <t>BORIS JIMENEZ  DIAZ</t>
  </si>
  <si>
    <t>10508202</t>
  </si>
  <si>
    <t>10.508.202-9</t>
  </si>
  <si>
    <t>FERNANDO ARDILES  PISAYA</t>
  </si>
  <si>
    <t>HWM4244700731</t>
  </si>
  <si>
    <t>18889617</t>
  </si>
  <si>
    <t>18.889.617-0</t>
  </si>
  <si>
    <t>LEONEL CAMPUSANO  DUBO</t>
  </si>
  <si>
    <t>Proyecto La Coipa</t>
  </si>
  <si>
    <t>14413231</t>
  </si>
  <si>
    <t>14.413.231-9</t>
  </si>
  <si>
    <t>JOSE BASTIAS  PEREZ</t>
  </si>
  <si>
    <t>17626968</t>
  </si>
  <si>
    <t>17.626.968-5</t>
  </si>
  <si>
    <t>MAURICIO TAPIA  CARVAJAL</t>
  </si>
  <si>
    <t>15831074</t>
  </si>
  <si>
    <t>15.831.074-0</t>
  </si>
  <si>
    <t>ESTEFANIA NAETER  QUIROZ</t>
  </si>
  <si>
    <t>17643998</t>
  </si>
  <si>
    <t>17.643.998-K</t>
  </si>
  <si>
    <t>BENIGNO PAEZ  MENESES</t>
  </si>
  <si>
    <t>20718093</t>
  </si>
  <si>
    <t>20.718.093-9</t>
  </si>
  <si>
    <t>IGNACIO ROBLES  BARRIOS</t>
  </si>
  <si>
    <t>21516063</t>
  </si>
  <si>
    <t>21.516.063-7</t>
  </si>
  <si>
    <t>NATALY SALAS  ESCOBAR</t>
  </si>
  <si>
    <t>11508866</t>
  </si>
  <si>
    <t>11.508.866-1</t>
  </si>
  <si>
    <t>WILLIAM ALVAREZ  TRUJILLO</t>
  </si>
  <si>
    <t>15593625</t>
  </si>
  <si>
    <t>15.593.625-8</t>
  </si>
  <si>
    <t>CARLOS RODRIGUEZ  HERNANDEZ</t>
  </si>
  <si>
    <t>16188552</t>
  </si>
  <si>
    <t>16.188.552-5</t>
  </si>
  <si>
    <t>RODRIGO FLORES  ZEPEDA</t>
  </si>
  <si>
    <t>19949787</t>
  </si>
  <si>
    <t>19.949.787-1</t>
  </si>
  <si>
    <t>FABIAN CABRERA  GODOY</t>
  </si>
  <si>
    <t>15814058</t>
  </si>
  <si>
    <t>ULINSON DIAZ  CORTES</t>
  </si>
  <si>
    <t>18352777</t>
  </si>
  <si>
    <t>18.352.777-0</t>
  </si>
  <si>
    <t>NORA SALAS  ROJAS</t>
  </si>
  <si>
    <t>13855440</t>
  </si>
  <si>
    <t>13.855.440-6</t>
  </si>
  <si>
    <t>PAOLO MANRIQUEZ  SILVA</t>
  </si>
  <si>
    <t>LOGISTICA</t>
  </si>
  <si>
    <t>12814487</t>
  </si>
  <si>
    <t>12.814.487-0</t>
  </si>
  <si>
    <t>WALTER PIZARRO  ALVAREZ</t>
  </si>
  <si>
    <t>17805184</t>
  </si>
  <si>
    <t>17.805.184-9</t>
  </si>
  <si>
    <t>BENJAMIN ESPINOZA  URIBE</t>
  </si>
  <si>
    <t>14594999</t>
  </si>
  <si>
    <t>14.594.999-8</t>
  </si>
  <si>
    <t>ROBERTO VARGAS  RODRIGUEZ</t>
  </si>
  <si>
    <t>23868099</t>
  </si>
  <si>
    <t>23.868.099-9</t>
  </si>
  <si>
    <t>JORGE TINOCO  OSPINO</t>
  </si>
  <si>
    <t>16706064</t>
  </si>
  <si>
    <t>VICTOR MONDACA  VEGA</t>
  </si>
  <si>
    <t>14043656</t>
  </si>
  <si>
    <t>14.043.656-9</t>
  </si>
  <si>
    <t>LEONARDO MENESES  ARREDONDO</t>
  </si>
  <si>
    <t>21254681</t>
  </si>
  <si>
    <t>21.254.681-K</t>
  </si>
  <si>
    <t>JORGE DURAND  RUIZ</t>
  </si>
  <si>
    <t>14615536</t>
  </si>
  <si>
    <t>CRISTIAN MARÍN  CORTES</t>
  </si>
  <si>
    <t>FLOTA</t>
  </si>
  <si>
    <t>16053497</t>
  </si>
  <si>
    <t>16.053.497-4</t>
  </si>
  <si>
    <t>CRISTIAN PASTEN  VERGARA</t>
  </si>
  <si>
    <t>19507111</t>
  </si>
  <si>
    <t>19.507.111-K</t>
  </si>
  <si>
    <t>FELIPE ZAMBRA  GONZALEZ</t>
  </si>
  <si>
    <t>13412582</t>
  </si>
  <si>
    <t>13.412.582-9</t>
  </si>
  <si>
    <t>ALEJANDRO CAMPILLAY  RUIZ</t>
  </si>
  <si>
    <t>HWM4244700680</t>
  </si>
  <si>
    <t>17628970</t>
  </si>
  <si>
    <t>17.628.970-8</t>
  </si>
  <si>
    <t>RENE RIOS  MALDONADO</t>
  </si>
  <si>
    <t>12152241</t>
  </si>
  <si>
    <t>JORGE SAAVEDRA  MENA</t>
  </si>
  <si>
    <t>18919440</t>
  </si>
  <si>
    <t>ALISSON VILLAGRA  CABALLERO</t>
  </si>
  <si>
    <t>14117289</t>
  </si>
  <si>
    <t>14.117.289-1</t>
  </si>
  <si>
    <t>PABLO ALBARNEZ  LOPEZ</t>
  </si>
  <si>
    <t>13744310</t>
  </si>
  <si>
    <t>13.744.310-4</t>
  </si>
  <si>
    <t>WALDO CASTRO  PASTENE</t>
  </si>
  <si>
    <t>8851229</t>
  </si>
  <si>
    <t>8.851.229-4</t>
  </si>
  <si>
    <t>LUIS PEÑA  AHUMADA</t>
  </si>
  <si>
    <t>17721340</t>
  </si>
  <si>
    <t>17.721.340-3</t>
  </si>
  <si>
    <t>CARLOS PIZARRO  PIZARRO</t>
  </si>
  <si>
    <t>19804200</t>
  </si>
  <si>
    <t>19.804.200-5</t>
  </si>
  <si>
    <t>MANUEL TILLERIA  SAAVEDRA</t>
  </si>
  <si>
    <t>17964013</t>
  </si>
  <si>
    <t>17.964.013-9</t>
  </si>
  <si>
    <t>MAURICIO OYARZUN  SALAMANCA</t>
  </si>
  <si>
    <t>15613806</t>
  </si>
  <si>
    <t>15.613.806-1</t>
  </si>
  <si>
    <t>ARIEL SILVA  RIQUELME</t>
  </si>
  <si>
    <t>13775192</t>
  </si>
  <si>
    <t>13.775.192-5</t>
  </si>
  <si>
    <t>JAVIER CATALAN  ESPINOZA</t>
  </si>
  <si>
    <t>18450168</t>
  </si>
  <si>
    <t>18.450.168-6</t>
  </si>
  <si>
    <t>FELIPE SAAVEDRA  CAMPOS</t>
  </si>
  <si>
    <t>13809180</t>
  </si>
  <si>
    <t>13.809.180-5</t>
  </si>
  <si>
    <t>JOSE PARRA  SARAVIA</t>
  </si>
  <si>
    <t>21294612</t>
  </si>
  <si>
    <t>21.294.612-5</t>
  </si>
  <si>
    <t>VICENTE LOPEZ  MARTINEZ</t>
  </si>
  <si>
    <t>Reloj virtual (Portal usuario)</t>
  </si>
  <si>
    <t>HWM4244700712</t>
  </si>
  <si>
    <t>Fecha (sin hora)</t>
  </si>
  <si>
    <t>RUT (normalizado)</t>
  </si>
  <si>
    <t>N° identificación (RUT)</t>
  </si>
  <si>
    <t>Motivo</t>
  </si>
  <si>
    <t>Nombre (referencia)</t>
  </si>
  <si>
    <t>11.384.027-7</t>
  </si>
  <si>
    <t>ENTRADA</t>
  </si>
  <si>
    <t>01-08-2026 8:00</t>
  </si>
  <si>
    <t>Regularización marcación</t>
  </si>
  <si>
    <t>SALIDA</t>
  </si>
  <si>
    <t>01-08-2026 20:00</t>
  </si>
  <si>
    <t>28.683.244-K</t>
  </si>
  <si>
    <t>02-08-2026 8:00</t>
  </si>
  <si>
    <t>02-08-2026 20:00</t>
  </si>
  <si>
    <t>03-08-2026 8:00</t>
  </si>
  <si>
    <t>03-08-2026 20:00</t>
  </si>
  <si>
    <t>04-08-2026 8:00</t>
  </si>
  <si>
    <t>04-08-2026 20:00</t>
  </si>
  <si>
    <t>05-08-2026 8:00</t>
  </si>
  <si>
    <t>05-08-2026 20:00</t>
  </si>
  <si>
    <t>17.465.056-K</t>
  </si>
  <si>
    <t>8.851.221-9</t>
  </si>
  <si>
    <t>06-08-2026 8:00</t>
  </si>
  <si>
    <t>06-08-2026 20:00</t>
  </si>
  <si>
    <t>07-08-2026 8:00</t>
  </si>
  <si>
    <t>07-08-2026 20:00</t>
  </si>
  <si>
    <t>08-08-2026 8:00</t>
  </si>
  <si>
    <t>08-08-2026 20:00</t>
  </si>
  <si>
    <t>09-08-2026 8:00</t>
  </si>
  <si>
    <t>09-08-2026 20:00</t>
  </si>
  <si>
    <t>4.500.901-7</t>
  </si>
  <si>
    <t>4.500.884-3</t>
  </si>
  <si>
    <t>10-08-2026 8:00</t>
  </si>
  <si>
    <t>10-08-2026 20:00</t>
  </si>
  <si>
    <t>11-08-2026 8:00</t>
  </si>
  <si>
    <t>11-08-2026 20:00</t>
  </si>
  <si>
    <t>12-08-2026 8:00</t>
  </si>
  <si>
    <t>12-08-2026 20:00</t>
  </si>
  <si>
    <t>17.979.787-9</t>
  </si>
  <si>
    <t>13-08-2026 8:00</t>
  </si>
  <si>
    <t>13-08-2026 20:00</t>
  </si>
  <si>
    <t>14-08-2026 8:00</t>
  </si>
  <si>
    <t>14-08-2026 20:00</t>
  </si>
  <si>
    <t>15-08-2026 8:00</t>
  </si>
  <si>
    <t>15-08-2026 20:00</t>
  </si>
  <si>
    <t>16-08-2026 8:00</t>
  </si>
  <si>
    <t>16-08-2026 20:00</t>
  </si>
  <si>
    <t>17-08-2026 8:00</t>
  </si>
  <si>
    <t>17-08-2026 20:00</t>
  </si>
  <si>
    <t>18-08-2026 8:00</t>
  </si>
  <si>
    <t>18-08-2026 20:00</t>
  </si>
  <si>
    <t>19-08-2026 8:00</t>
  </si>
  <si>
    <t>19-08-2026 20:00</t>
  </si>
  <si>
    <t>20-08-2026 8:00</t>
  </si>
  <si>
    <t>20-08-2026 20:00</t>
  </si>
  <si>
    <t>21-08-2026 8:00</t>
  </si>
  <si>
    <t>21-08-2026 20:00</t>
  </si>
  <si>
    <t>22-08-2026 8:00</t>
  </si>
  <si>
    <t>22-08-2026 20:00</t>
  </si>
  <si>
    <t>23-08-2026 8:00</t>
  </si>
  <si>
    <t>23-08-2026 20:00</t>
  </si>
  <si>
    <t>24-08-2026 8:00</t>
  </si>
  <si>
    <t>24-08-2026 20:00</t>
  </si>
  <si>
    <t>25-08-2026 8:00</t>
  </si>
  <si>
    <t>25-08-2026 20:00</t>
  </si>
  <si>
    <t>26-08-2026 8:00</t>
  </si>
  <si>
    <t>26-08-2026 20:00</t>
  </si>
  <si>
    <t>27-08-2026 8:00</t>
  </si>
  <si>
    <t>27-08-2026 20:00</t>
  </si>
  <si>
    <t>28-08-2026 20:00</t>
  </si>
  <si>
    <t>28-08-2026 8:00</t>
  </si>
  <si>
    <t>29-08-2026 20:00</t>
  </si>
  <si>
    <t>29-08-2026 8:00</t>
  </si>
  <si>
    <t>30-08-2026 8:00</t>
  </si>
  <si>
    <t>30-08-2026 20:00</t>
  </si>
  <si>
    <t>31-08-2026 8:00</t>
  </si>
  <si>
    <t>31-08-2026 20:00</t>
  </si>
  <si>
    <t xml:space="preserve">Solicitud de marcaciones faltantes </t>
  </si>
  <si>
    <t>TURNO A DÍA</t>
  </si>
  <si>
    <t>TURNO B DÍA</t>
  </si>
  <si>
    <t xml:space="preserve">Marcación Workera </t>
  </si>
  <si>
    <t>47K-2</t>
  </si>
  <si>
    <t>EDM-47K2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</si>
</sst>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\-mm\-yyyy"/>
  </numFmts>
  <fonts count="10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9"/>
      <name val="Arial"/>
      <charset val="1"/>
    </font>
    <font>
      <b/>
      <sz val="8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2F5597"/>
      <name val="Arial"/>
      <charset val="1"/>
    </font>
    <font>
      <i/>
      <sz val="9"/>
      <color rgb="FF666666"/>
      <name val="Arial"/>
      <charset val="1"/>
    </font>
    <font>
      <b/>
      <sz val="13"/>
      <color rgb="FF2F5597"/>
      <name val="Arial"/>
      <charset val="1"/>
    </font>
    <font>
      <i/>
      <sz val="9"/>
      <color rgb="FFC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548235"/>
        <bgColor rgb="FF666666"/>
      </patternFill>
    </fill>
    <fill>
      <patternFill patternType="solid">
        <fgColor rgb="FF2F5597"/>
        <bgColor rgb="FF203864"/>
      </patternFill>
    </fill>
    <fill>
      <patternFill patternType="solid">
        <fgColor rgb="FFEAF1FB"/>
        <bgColor rgb="FFFFFFFF"/>
      </patternFill>
    </fill>
    <fill>
      <patternFill patternType="solid">
        <fgColor rgb="FFFFF2CC"/>
        <bgColor rgb="FFEAF1FB"/>
      </patternFill>
    </fill>
    <fill>
      <patternFill patternType="solid">
        <fgColor rgb="FF20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4" fillId="6" borderId="0" xfId="0" applyFont="1" applyFill="1"/>
    <xf numFmtId="0" fontId="0" fillId="6" borderId="0" xfId="0" applyFill="1"/>
    <xf numFmtId="164" fontId="0" fillId="0" borderId="0" xfId="0" applyNumberFormat="1"/>
    <xf numFmtId="0" fontId="5" fillId="3" borderId="0" xfId="0" applyFont="1" applyFill="1"/>
    <xf numFmtId="0" fontId="5" fillId="3" borderId="1" xfId="0" applyFont="1" applyFill="1" applyBorder="1" applyAlignment="1">
      <alignment horizontal="center"/>
    </xf>
    <xf numFmtId="165" fontId="2" fillId="0" borderId="0" xfId="0" applyNumberFormat="1" applyFont="1"/>
    <xf numFmtId="0" fontId="2" fillId="0" borderId="0" xfId="0" applyFont="1"/>
    <xf numFmtId="0" fontId="2" fillId="0" borderId="1" xfId="0" applyFont="1" applyBorder="1"/>
    <xf numFmtId="22" fontId="2" fillId="0" borderId="1" xfId="0" applyNumberFormat="1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62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zoomScaleNormal="100" workbookViewId="0">
      <pane ySplit="3" topLeftCell="A4" activePane="bottomLeft" state="frozen"/>
      <selection pane="bottomLeft" activeCell="G16" sqref="G16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21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21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21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IFERROR(INDEX(Dotación!$A$5:$A$160,MATCH($C9,Dotación!$B$5:$B$160,0)),"14043656-9")</f>
        <v>14043656-9</v>
      </c>
      <c r="C9" s="10" t="s">
        <v>26</v>
      </c>
      <c r="D9" s="11" t="s">
        <v>27</v>
      </c>
      <c r="E9" s="8" t="s">
        <v>636</v>
      </c>
      <c r="F9" s="8" t="s">
        <v>19</v>
      </c>
      <c r="G9" s="8" t="s">
        <v>20</v>
      </c>
      <c r="H9" s="8" t="s">
        <v>21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IFERROR(INDEX(Dotación!$A$5:$A$160,MATCH($C10,Dotación!$B$5:$B$160,0)),"18889617-0")</f>
        <v>18889617-0</v>
      </c>
      <c r="C10" s="10" t="s">
        <v>28</v>
      </c>
      <c r="D10" s="11" t="s">
        <v>29</v>
      </c>
      <c r="E10" s="8" t="s">
        <v>636</v>
      </c>
      <c r="F10" s="8" t="s">
        <v>19</v>
      </c>
      <c r="G10" s="8" t="s">
        <v>20</v>
      </c>
      <c r="H10" s="8" t="s">
        <v>21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IFERROR(INDEX(Dotación!$A$5:$A$160,MATCH($C11,Dotación!$B$5:$B$160,0)),"16.706.064-1")</f>
        <v>16.706.064-1</v>
      </c>
      <c r="C11" s="10" t="s">
        <v>30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21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IFERROR(INDEX(Dotación!$A$5:$A$160,MATCH($C12,Dotación!$B$5:$B$160,0)),"11508866-1")</f>
        <v>11508866-1</v>
      </c>
      <c r="C12" s="10" t="s">
        <v>31</v>
      </c>
      <c r="D12" s="11" t="s">
        <v>32</v>
      </c>
      <c r="E12" s="8" t="s">
        <v>636</v>
      </c>
      <c r="F12" s="8" t="s">
        <v>19</v>
      </c>
      <c r="G12" s="8" t="s">
        <v>20</v>
      </c>
      <c r="H12" s="8" t="s">
        <v>21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IFERROR(INDEX(Dotación!$A$5:$A$160,MATCH($C13,Dotación!$B$5:$B$160,0)),"13855440-6")</f>
        <v>13855440-6</v>
      </c>
      <c r="C13" s="10" t="s">
        <v>33</v>
      </c>
      <c r="D13" s="11" t="s">
        <v>34</v>
      </c>
      <c r="E13" s="8" t="s">
        <v>636</v>
      </c>
      <c r="F13" s="8" t="s">
        <v>19</v>
      </c>
      <c r="G13" s="8" t="s">
        <v>20</v>
      </c>
      <c r="H13" s="8" t="s">
        <v>21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IFERROR(INDEX(Dotación!$A$5:$A$160,MATCH($C14,Dotación!$B$5:$B$160,0)),"12814487-0")</f>
        <v>12814487-0</v>
      </c>
      <c r="C14" s="10" t="s">
        <v>35</v>
      </c>
      <c r="D14" s="11" t="s">
        <v>36</v>
      </c>
      <c r="E14" s="8" t="s">
        <v>636</v>
      </c>
      <c r="F14" s="8" t="s">
        <v>19</v>
      </c>
      <c r="G14" s="8" t="s">
        <v>20</v>
      </c>
      <c r="H14" s="8" t="s">
        <v>21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IFERROR(INDEX(Dotación!$A$5:$A$160,MATCH($C15,Dotación!$B$5:$B$160,0)),"21254681-K")</f>
        <v>21254681-K</v>
      </c>
      <c r="C15" s="10" t="s">
        <v>37</v>
      </c>
      <c r="D15" s="11" t="s">
        <v>38</v>
      </c>
      <c r="E15" s="8" t="s">
        <v>636</v>
      </c>
      <c r="F15" s="8" t="s">
        <v>19</v>
      </c>
      <c r="G15" s="8" t="s">
        <v>20</v>
      </c>
      <c r="H15" s="8" t="s">
        <v>21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IFERROR(INDEX(Dotación!$A$5:$A$160,MATCH($C16,Dotación!$B$5:$B$160,0)),"17805184-9")</f>
        <v>17805184-9</v>
      </c>
      <c r="C16" s="10" t="s">
        <v>39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21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IFERROR(INDEX(Dotación!$A$5:$A$160,MATCH($C17,Dotación!$B$5:$B$160,0)),"23868099-9")</f>
        <v>23868099-9</v>
      </c>
      <c r="C17" s="10" t="s">
        <v>40</v>
      </c>
      <c r="D17" s="11" t="s">
        <v>41</v>
      </c>
      <c r="E17" s="8" t="s">
        <v>636</v>
      </c>
      <c r="F17" s="8" t="s">
        <v>19</v>
      </c>
      <c r="G17" s="8" t="s">
        <v>20</v>
      </c>
      <c r="H17" s="8" t="s">
        <v>21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IFERROR(INDEX(Dotación!$A$5:$A$160,MATCH($C18,Dotación!$B$5:$B$160,0)),"4500989-0")</f>
        <v>4500989-0</v>
      </c>
      <c r="C18" s="10" t="s">
        <v>42</v>
      </c>
      <c r="D18" s="11" t="s">
        <v>43</v>
      </c>
      <c r="E18" s="8" t="s">
        <v>636</v>
      </c>
      <c r="F18" s="8" t="s">
        <v>19</v>
      </c>
      <c r="G18" s="8" t="s">
        <v>20</v>
      </c>
      <c r="H18" s="8" t="s">
        <v>21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IFERROR(INDEX(Dotación!$A$5:$A$160,MATCH($C19,Dotación!$B$5:$B$160,0)),"17626968-5")</f>
        <v>17626968-5</v>
      </c>
      <c r="C19" s="10" t="s">
        <v>44</v>
      </c>
      <c r="D19" s="11" t="s">
        <v>45</v>
      </c>
      <c r="E19" s="8" t="s">
        <v>636</v>
      </c>
      <c r="F19" s="8" t="s">
        <v>19</v>
      </c>
      <c r="G19" s="8" t="s">
        <v>20</v>
      </c>
      <c r="H19" s="8" t="s">
        <v>21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IFERROR(INDEX(Dotación!$A$5:$A$160,MATCH($C20,Dotación!$B$5:$B$160,0)),"28683244-K")</f>
        <v>28683244-K</v>
      </c>
      <c r="C20" s="10" t="s">
        <v>46</v>
      </c>
      <c r="D20" s="11" t="s">
        <v>47</v>
      </c>
      <c r="E20" s="8" t="s">
        <v>636</v>
      </c>
      <c r="F20" s="8" t="s">
        <v>19</v>
      </c>
      <c r="G20" s="8" t="s">
        <v>20</v>
      </c>
      <c r="H20" s="8" t="s">
        <v>21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1" spans="1:12" ht="15" customHeight="1" x14ac:dyDescent="0.3">
      <c r="A21" s="8">
        <v>16</v>
      </c>
      <c r="B21" s="9" t="str">
        <f>IFERROR(INDEX(Dotación!$A$5:$A$160,MATCH($C21,Dotación!$B$5:$B$160,0)),"19949787-1")</f>
        <v>19949787-1</v>
      </c>
      <c r="C21" s="10" t="s">
        <v>49</v>
      </c>
      <c r="D21" s="11" t="s">
        <v>29</v>
      </c>
      <c r="E21" s="8" t="s">
        <v>636</v>
      </c>
      <c r="F21" s="8" t="s">
        <v>19</v>
      </c>
      <c r="G21" s="8" t="s">
        <v>20</v>
      </c>
      <c r="H21" s="8" t="s">
        <v>21</v>
      </c>
      <c r="I21" s="8"/>
      <c r="J21" s="8" t="str">
        <f>IF($B21="","",IF(COUNTIFS('Ayuda Workera'!$C$5:$C$3004,UPPER(SUBSTITUTE($B21,".","")),'Ayuda Workera'!$B$5:$B$3004,DATE($H$1,$G$1,$F$1),'Marcación Workera'!$H$5:$H$3004,"Entrada")&gt;0,"SI","NO"))</f>
        <v>SI</v>
      </c>
      <c r="K21" s="8" t="str">
        <f>IF($B21="","",IF(COUNTIFS('Ayuda Workera'!$C$5:$C$3004,UPPER(SUBSTITUTE($B21,".","")),'Ayuda Workera'!$B$5:$B$3004,DATE($H$1,$G$1,$F$1),'Marcación Workera'!$H$5:$H$3004,"Salida")&gt;0,"SI","NO"))</f>
        <v>NO</v>
      </c>
      <c r="L21" s="8"/>
    </row>
    <row r="23" spans="1:12" ht="15" customHeight="1" x14ac:dyDescent="0.3">
      <c r="A23" s="12" t="s">
        <v>50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21.75" customHeight="1" x14ac:dyDescent="0.3">
      <c r="A24" s="7" t="s">
        <v>5</v>
      </c>
      <c r="B24" s="7" t="s">
        <v>6</v>
      </c>
      <c r="C24" s="7" t="s">
        <v>7</v>
      </c>
      <c r="D24" s="7" t="s">
        <v>8</v>
      </c>
      <c r="E24" s="7" t="s">
        <v>9</v>
      </c>
      <c r="F24" s="7" t="s">
        <v>10</v>
      </c>
      <c r="G24" s="7" t="s">
        <v>11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spans="1:12" ht="15" customHeight="1" x14ac:dyDescent="0.3">
      <c r="A25" s="8">
        <v>1</v>
      </c>
      <c r="B25" s="9" t="str">
        <f>IFERROR(INDEX(Dotación!$A$5:$A$160,MATCH($C25,Dotación!$B$5:$B$160,0)),"15.814.058-6")</f>
        <v>15.814.058-6</v>
      </c>
      <c r="C25" s="10" t="s">
        <v>51</v>
      </c>
      <c r="D25" s="11" t="s">
        <v>27</v>
      </c>
      <c r="E25" s="8" t="s">
        <v>636</v>
      </c>
      <c r="F25" s="8" t="s">
        <v>19</v>
      </c>
      <c r="G25" s="8" t="s">
        <v>20</v>
      </c>
      <c r="H25" s="8" t="s">
        <v>52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2</v>
      </c>
      <c r="B26" s="9" t="str">
        <f>IFERROR(INDEX(Dotación!$A$5:$A$160,MATCH($C26,Dotación!$B$5:$B$160,0)),"16188552-5")</f>
        <v>16188552-5</v>
      </c>
      <c r="C26" s="10" t="s">
        <v>53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52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3</v>
      </c>
      <c r="B27" s="9" t="str">
        <f>IFERROR(INDEX(Dotación!$A$5:$A$160,MATCH($C27,Dotación!$B$5:$B$160,0)),"20718093-9")</f>
        <v>20718093-9</v>
      </c>
      <c r="C27" s="10" t="s">
        <v>54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52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4</v>
      </c>
      <c r="B28" s="9" t="str">
        <f>IFERROR(INDEX(Dotación!$A$5:$A$160,MATCH($C28,Dotación!$B$5:$B$160,0)),"17643998-k")</f>
        <v>17643998-k</v>
      </c>
      <c r="C28" s="10" t="s">
        <v>55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52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5</v>
      </c>
      <c r="B29" s="9" t="str">
        <f>IFERROR(INDEX(Dotación!$A$5:$A$160,MATCH($C29,Dotación!$B$5:$B$160,0)),"15831074-0")</f>
        <v>15831074-0</v>
      </c>
      <c r="C29" s="10" t="s">
        <v>56</v>
      </c>
      <c r="D29" s="11" t="s">
        <v>57</v>
      </c>
      <c r="E29" s="8" t="s">
        <v>636</v>
      </c>
      <c r="F29" s="8" t="s">
        <v>19</v>
      </c>
      <c r="G29" s="8" t="s">
        <v>20</v>
      </c>
      <c r="H29" s="8" t="s">
        <v>52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SI</v>
      </c>
      <c r="L29" s="8"/>
    </row>
    <row r="30" spans="1:12" ht="15" customHeight="1" x14ac:dyDescent="0.3">
      <c r="A30" s="8">
        <v>6</v>
      </c>
      <c r="B30" s="9" t="str">
        <f>IFERROR(INDEX(Dotación!$A$5:$A$160,MATCH($C30,Dotación!$B$5:$B$160,0)),"14594999-8")</f>
        <v>14594999-8</v>
      </c>
      <c r="C30" s="10" t="s">
        <v>58</v>
      </c>
      <c r="D30" s="11" t="s">
        <v>59</v>
      </c>
      <c r="E30" s="8" t="s">
        <v>636</v>
      </c>
      <c r="F30" s="8" t="s">
        <v>19</v>
      </c>
      <c r="G30" s="8" t="s">
        <v>20</v>
      </c>
      <c r="H30" s="8" t="s">
        <v>52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  <row r="31" spans="1:12" ht="15" customHeight="1" x14ac:dyDescent="0.3">
      <c r="A31" s="8">
        <v>7</v>
      </c>
      <c r="B31" s="9" t="str">
        <f>IFERROR(INDEX(Dotación!$A$5:$A$160,MATCH($C31,Dotación!$B$5:$B$160,0)),"4.500.919-K")</f>
        <v>4.500.919-K</v>
      </c>
      <c r="C31" s="10" t="s">
        <v>60</v>
      </c>
      <c r="D31" s="11" t="s">
        <v>47</v>
      </c>
      <c r="E31" s="8" t="s">
        <v>636</v>
      </c>
      <c r="F31" s="8" t="s">
        <v>19</v>
      </c>
      <c r="G31" s="8" t="s">
        <v>20</v>
      </c>
      <c r="H31" s="8" t="s">
        <v>52</v>
      </c>
      <c r="I31" s="8"/>
      <c r="J31" s="8" t="str">
        <f>IF($B31="","",IF(COUNTIFS('Ayuda Workera'!$C$5:$C$3004,UPPER(SUBSTITUTE($B31,".","")),'Ayuda Workera'!$B$5:$B$3004,DATE($H$1,$G$1,$F$1),'Marcación Workera'!$H$5:$H$3004,"Entrada")&gt;0,"SI","NO"))</f>
        <v>NO</v>
      </c>
      <c r="K31" s="8" t="str">
        <f>IF($B31="","",IF(COUNTIFS('Ayuda Workera'!$C$5:$C$3004,UPPER(SUBSTITUTE($B31,".","")),'Ayuda Workera'!$B$5:$B$3004,DATE($H$1,$G$1,$F$1),'Marcación Workera'!$H$5:$H$3004,"Salida")&gt;0,"SI","NO"))</f>
        <v>NO</v>
      </c>
      <c r="L31" s="8"/>
    </row>
  </sheetData>
  <conditionalFormatting sqref="J5:K31">
    <cfRule type="cellIs" dxfId="61" priority="2" operator="equal">
      <formula>"SI"</formula>
    </cfRule>
    <cfRule type="cellIs" dxfId="6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Dotación!$B$5:$B$160</xm:f>
          </x14:formula1>
          <x14:formula2>
            <xm:f>0</xm:f>
          </x14:formula2>
          <xm:sqref>C6:C21 C25:C31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61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61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61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IFERROR(INDEX(Dotación!$A$5:$A$160,MATCH($C9,Dotación!$B$5:$B$160,0)),"14043656-9")</f>
        <v>14043656-9</v>
      </c>
      <c r="C9" s="10" t="s">
        <v>26</v>
      </c>
      <c r="D9" s="11" t="s">
        <v>27</v>
      </c>
      <c r="E9" s="8" t="s">
        <v>636</v>
      </c>
      <c r="F9" s="8" t="s">
        <v>19</v>
      </c>
      <c r="G9" s="8" t="s">
        <v>20</v>
      </c>
      <c r="H9" s="8" t="s">
        <v>61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IFERROR(INDEX(Dotación!$A$5:$A$160,MATCH($C10,Dotación!$B$5:$B$160,0)),"18889617-0")</f>
        <v>18889617-0</v>
      </c>
      <c r="C10" s="10" t="s">
        <v>28</v>
      </c>
      <c r="D10" s="11" t="s">
        <v>29</v>
      </c>
      <c r="E10" s="8" t="s">
        <v>636</v>
      </c>
      <c r="F10" s="8" t="s">
        <v>19</v>
      </c>
      <c r="G10" s="8" t="s">
        <v>20</v>
      </c>
      <c r="H10" s="8" t="s">
        <v>61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IFERROR(INDEX(Dotación!$A$5:$A$160,MATCH($C11,Dotación!$B$5:$B$160,0)),"16.706.064-1")</f>
        <v>16.706.064-1</v>
      </c>
      <c r="C11" s="10" t="s">
        <v>30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61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IFERROR(INDEX(Dotación!$A$5:$A$160,MATCH($C12,Dotación!$B$5:$B$160,0)),"11508866-1")</f>
        <v>11508866-1</v>
      </c>
      <c r="C12" s="10" t="s">
        <v>31</v>
      </c>
      <c r="D12" s="11" t="s">
        <v>32</v>
      </c>
      <c r="E12" s="8" t="s">
        <v>636</v>
      </c>
      <c r="F12" s="8" t="s">
        <v>19</v>
      </c>
      <c r="G12" s="8" t="s">
        <v>20</v>
      </c>
      <c r="H12" s="8" t="s">
        <v>61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IFERROR(INDEX(Dotación!$A$5:$A$160,MATCH($C13,Dotación!$B$5:$B$160,0)),"13855440-6")</f>
        <v>13855440-6</v>
      </c>
      <c r="C13" s="10" t="s">
        <v>33</v>
      </c>
      <c r="D13" s="11" t="s">
        <v>34</v>
      </c>
      <c r="E13" s="8" t="s">
        <v>636</v>
      </c>
      <c r="F13" s="8" t="s">
        <v>19</v>
      </c>
      <c r="G13" s="8" t="s">
        <v>20</v>
      </c>
      <c r="H13" s="8" t="s">
        <v>61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IFERROR(INDEX(Dotación!$A$5:$A$160,MATCH($C14,Dotación!$B$5:$B$160,0)),"12814487-0")</f>
        <v>12814487-0</v>
      </c>
      <c r="C14" s="10" t="s">
        <v>35</v>
      </c>
      <c r="D14" s="11" t="s">
        <v>36</v>
      </c>
      <c r="E14" s="8" t="s">
        <v>636</v>
      </c>
      <c r="F14" s="8" t="s">
        <v>19</v>
      </c>
      <c r="G14" s="8" t="s">
        <v>20</v>
      </c>
      <c r="H14" s="8" t="s">
        <v>61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IFERROR(INDEX(Dotación!$A$5:$A$160,MATCH($C15,Dotación!$B$5:$B$160,0)),"21254681-K")</f>
        <v>21254681-K</v>
      </c>
      <c r="C15" s="10" t="s">
        <v>37</v>
      </c>
      <c r="D15" s="11" t="s">
        <v>38</v>
      </c>
      <c r="E15" s="8" t="s">
        <v>636</v>
      </c>
      <c r="F15" s="8" t="s">
        <v>19</v>
      </c>
      <c r="G15" s="8" t="s">
        <v>20</v>
      </c>
      <c r="H15" s="8" t="s">
        <v>61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IFERROR(INDEX(Dotación!$A$5:$A$160,MATCH($C16,Dotación!$B$5:$B$160,0)),"17805184-9")</f>
        <v>17805184-9</v>
      </c>
      <c r="C16" s="10" t="s">
        <v>39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61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IFERROR(INDEX(Dotación!$A$5:$A$160,MATCH($C17,Dotación!$B$5:$B$160,0)),"23868099-9")</f>
        <v>23868099-9</v>
      </c>
      <c r="C17" s="10" t="s">
        <v>40</v>
      </c>
      <c r="D17" s="11" t="s">
        <v>41</v>
      </c>
      <c r="E17" s="8" t="s">
        <v>636</v>
      </c>
      <c r="F17" s="8" t="s">
        <v>19</v>
      </c>
      <c r="G17" s="8" t="s">
        <v>20</v>
      </c>
      <c r="H17" s="8" t="s">
        <v>61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IFERROR(INDEX(Dotación!$A$5:$A$160,MATCH($C18,Dotación!$B$5:$B$160,0)),"4500989-0")</f>
        <v>4500989-0</v>
      </c>
      <c r="C18" s="10" t="s">
        <v>42</v>
      </c>
      <c r="D18" s="11" t="s">
        <v>43</v>
      </c>
      <c r="E18" s="8" t="s">
        <v>636</v>
      </c>
      <c r="F18" s="8" t="s">
        <v>19</v>
      </c>
      <c r="G18" s="8" t="s">
        <v>20</v>
      </c>
      <c r="H18" s="8" t="s">
        <v>61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IFERROR(INDEX(Dotación!$A$5:$A$160,MATCH($C19,Dotación!$B$5:$B$160,0)),"17626968-5")</f>
        <v>17626968-5</v>
      </c>
      <c r="C19" s="10" t="s">
        <v>44</v>
      </c>
      <c r="D19" s="11" t="s">
        <v>45</v>
      </c>
      <c r="E19" s="8" t="s">
        <v>636</v>
      </c>
      <c r="F19" s="8" t="s">
        <v>19</v>
      </c>
      <c r="G19" s="8" t="s">
        <v>20</v>
      </c>
      <c r="H19" s="8" t="s">
        <v>61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IFERROR(INDEX(Dotación!$A$5:$A$160,MATCH($C20,Dotación!$B$5:$B$160,0)),"28683244-K")</f>
        <v>28683244-K</v>
      </c>
      <c r="C20" s="10" t="s">
        <v>46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61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1" spans="1:12" ht="15" customHeight="1" x14ac:dyDescent="0.3">
      <c r="A21" s="8">
        <v>16</v>
      </c>
      <c r="B21" s="9" t="str">
        <f>IFERROR(INDEX(Dotación!$A$5:$A$160,MATCH($C21,Dotación!$B$5:$B$160,0)),"19949787-1")</f>
        <v>19949787-1</v>
      </c>
      <c r="C21" s="10" t="s">
        <v>49</v>
      </c>
      <c r="D21" s="11" t="s">
        <v>29</v>
      </c>
      <c r="E21" s="8" t="s">
        <v>636</v>
      </c>
      <c r="F21" s="8" t="s">
        <v>19</v>
      </c>
      <c r="G21" s="8" t="s">
        <v>20</v>
      </c>
      <c r="H21" s="8" t="s">
        <v>61</v>
      </c>
      <c r="I21" s="8"/>
      <c r="J21" s="8" t="str">
        <f>IF($B21="","",IF(COUNTIFS('Ayuda Workera'!$C$5:$C$3004,UPPER(SUBSTITUTE($B21,".","")),'Ayuda Workera'!$B$5:$B$3004,DATE($H$1,$G$1,$F$1),'Marcación Workera'!$H$5:$H$3004,"Entrada")&gt;0,"SI","NO"))</f>
        <v>SI</v>
      </c>
      <c r="K21" s="8" t="str">
        <f>IF($B21="","",IF(COUNTIFS('Ayuda Workera'!$C$5:$C$3004,UPPER(SUBSTITUTE($B21,".","")),'Ayuda Workera'!$B$5:$B$3004,DATE($H$1,$G$1,$F$1),'Marcación Workera'!$H$5:$H$3004,"Salida")&gt;0,"SI","NO"))</f>
        <v>NO</v>
      </c>
      <c r="L21" s="8"/>
    </row>
    <row r="23" spans="1:12" ht="15" customHeight="1" x14ac:dyDescent="0.3">
      <c r="A23" s="12" t="s">
        <v>50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21.75" customHeight="1" x14ac:dyDescent="0.3">
      <c r="A24" s="7" t="s">
        <v>5</v>
      </c>
      <c r="B24" s="7" t="s">
        <v>6</v>
      </c>
      <c r="C24" s="7" t="s">
        <v>7</v>
      </c>
      <c r="D24" s="7" t="s">
        <v>8</v>
      </c>
      <c r="E24" s="7" t="s">
        <v>9</v>
      </c>
      <c r="F24" s="7" t="s">
        <v>10</v>
      </c>
      <c r="G24" s="7" t="s">
        <v>11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spans="1:12" ht="15" customHeight="1" x14ac:dyDescent="0.3">
      <c r="A25" s="8">
        <v>1</v>
      </c>
      <c r="B25" s="9" t="str">
        <f>IFERROR(INDEX(Dotación!$A$5:$A$160,MATCH($C25,Dotación!$B$5:$B$160,0)),"15.814.058-6")</f>
        <v>15.814.058-6</v>
      </c>
      <c r="C25" s="10" t="s">
        <v>51</v>
      </c>
      <c r="D25" s="11" t="s">
        <v>27</v>
      </c>
      <c r="E25" s="8" t="s">
        <v>636</v>
      </c>
      <c r="F25" s="8" t="s">
        <v>19</v>
      </c>
      <c r="G25" s="8" t="s">
        <v>20</v>
      </c>
      <c r="H25" s="8" t="s">
        <v>62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2</v>
      </c>
      <c r="B26" s="9" t="str">
        <f>IFERROR(INDEX(Dotación!$A$5:$A$160,MATCH($C26,Dotación!$B$5:$B$160,0)),"16188552-5")</f>
        <v>16188552-5</v>
      </c>
      <c r="C26" s="10" t="s">
        <v>53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62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3</v>
      </c>
      <c r="B27" s="9" t="str">
        <f>IFERROR(INDEX(Dotación!$A$5:$A$160,MATCH($C27,Dotación!$B$5:$B$160,0)),"20718093-9")</f>
        <v>20718093-9</v>
      </c>
      <c r="C27" s="10" t="s">
        <v>54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62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4</v>
      </c>
      <c r="B28" s="9" t="str">
        <f>IFERROR(INDEX(Dotación!$A$5:$A$160,MATCH($C28,Dotación!$B$5:$B$160,0)),"17643998-k")</f>
        <v>17643998-k</v>
      </c>
      <c r="C28" s="10" t="s">
        <v>55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62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5</v>
      </c>
      <c r="B29" s="9" t="str">
        <f>IFERROR(INDEX(Dotación!$A$5:$A$160,MATCH($C29,Dotación!$B$5:$B$160,0)),"15831074-0")</f>
        <v>15831074-0</v>
      </c>
      <c r="C29" s="10" t="s">
        <v>56</v>
      </c>
      <c r="D29" s="11" t="s">
        <v>57</v>
      </c>
      <c r="E29" s="8" t="s">
        <v>636</v>
      </c>
      <c r="F29" s="8" t="s">
        <v>19</v>
      </c>
      <c r="G29" s="8" t="s">
        <v>20</v>
      </c>
      <c r="H29" s="8" t="s">
        <v>62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6</v>
      </c>
      <c r="B30" s="9" t="str">
        <f>IFERROR(INDEX(Dotación!$A$5:$A$160,MATCH($C30,Dotación!$B$5:$B$160,0)),"14594999-8")</f>
        <v>14594999-8</v>
      </c>
      <c r="C30" s="10" t="s">
        <v>58</v>
      </c>
      <c r="D30" s="11" t="s">
        <v>59</v>
      </c>
      <c r="E30" s="8" t="s">
        <v>636</v>
      </c>
      <c r="F30" s="8" t="s">
        <v>19</v>
      </c>
      <c r="G30" s="8" t="s">
        <v>20</v>
      </c>
      <c r="H30" s="8" t="s">
        <v>62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  <row r="31" spans="1:12" ht="15" customHeight="1" x14ac:dyDescent="0.3">
      <c r="A31" s="8">
        <v>7</v>
      </c>
      <c r="B31" s="9" t="str">
        <f>IFERROR(INDEX(Dotación!$A$5:$A$160,MATCH($C31,Dotación!$B$5:$B$160,0)),"4.500.919-K")</f>
        <v>4.500.919-K</v>
      </c>
      <c r="C31" s="10" t="s">
        <v>60</v>
      </c>
      <c r="D31" s="11" t="s">
        <v>47</v>
      </c>
      <c r="E31" s="8" t="s">
        <v>636</v>
      </c>
      <c r="F31" s="8" t="s">
        <v>19</v>
      </c>
      <c r="G31" s="8" t="s">
        <v>20</v>
      </c>
      <c r="H31" s="8" t="s">
        <v>62</v>
      </c>
      <c r="I31" s="8"/>
      <c r="J31" s="8" t="str">
        <f>IF($B31="","",IF(COUNTIFS('Ayuda Workera'!$C$5:$C$3004,UPPER(SUBSTITUTE($B31,".","")),'Ayuda Workera'!$B$5:$B$3004,DATE($H$1,$G$1,$F$1),'Marcación Workera'!$H$5:$H$3004,"Entrada")&gt;0,"SI","NO"))</f>
        <v>NO</v>
      </c>
      <c r="K31" s="8" t="str">
        <f>IF($B31="","",IF(COUNTIFS('Ayuda Workera'!$C$5:$C$3004,UPPER(SUBSTITUTE($B31,".","")),'Ayuda Workera'!$B$5:$B$3004,DATE($H$1,$G$1,$F$1),'Marcación Workera'!$H$5:$H$3004,"Salida")&gt;0,"SI","NO"))</f>
        <v>NO</v>
      </c>
      <c r="L31" s="8"/>
    </row>
  </sheetData>
  <conditionalFormatting sqref="J5:K31">
    <cfRule type="cellIs" dxfId="59" priority="2" operator="equal">
      <formula>"SI"</formula>
    </cfRule>
    <cfRule type="cellIs" dxfId="5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Dotación!$B$5:$B$160</xm:f>
          </x14:formula1>
          <x14:formula2>
            <xm:f>0</xm:f>
          </x14:formula2>
          <xm:sqref>C6:C21 C25:C31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3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63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63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63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IFERROR(INDEX(Dotación!$A$5:$A$160,MATCH($C9,Dotación!$B$5:$B$160,0)),"15593625-8")</f>
        <v>15593625-8</v>
      </c>
      <c r="C9" s="10" t="s">
        <v>64</v>
      </c>
      <c r="D9" s="11" t="s">
        <v>65</v>
      </c>
      <c r="E9" s="8" t="s">
        <v>636</v>
      </c>
      <c r="F9" s="8" t="s">
        <v>19</v>
      </c>
      <c r="G9" s="8" t="s">
        <v>20</v>
      </c>
      <c r="H9" s="8" t="s">
        <v>63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IFERROR(INDEX(Dotación!$A$5:$A$160,MATCH($C10,Dotación!$B$5:$B$160,0)),"14043656-9")</f>
        <v>14043656-9</v>
      </c>
      <c r="C10" s="10" t="s">
        <v>26</v>
      </c>
      <c r="D10" s="11" t="s">
        <v>27</v>
      </c>
      <c r="E10" s="8" t="s">
        <v>636</v>
      </c>
      <c r="F10" s="8" t="s">
        <v>19</v>
      </c>
      <c r="G10" s="8" t="s">
        <v>20</v>
      </c>
      <c r="H10" s="8" t="s">
        <v>63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IFERROR(INDEX(Dotación!$A$5:$A$160,MATCH($C11,Dotación!$B$5:$B$160,0)),"18889617-0")</f>
        <v>18889617-0</v>
      </c>
      <c r="C11" s="10" t="s">
        <v>28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63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IFERROR(INDEX(Dotación!$A$5:$A$160,MATCH($C12,Dotación!$B$5:$B$160,0)),"16.706.064-1")</f>
        <v>16.706.064-1</v>
      </c>
      <c r="C12" s="10" t="s">
        <v>30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63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IFERROR(INDEX(Dotación!$A$5:$A$160,MATCH($C13,Dotación!$B$5:$B$160,0)),"11508866-1")</f>
        <v>11508866-1</v>
      </c>
      <c r="C13" s="10" t="s">
        <v>31</v>
      </c>
      <c r="D13" s="11" t="s">
        <v>32</v>
      </c>
      <c r="E13" s="8" t="s">
        <v>636</v>
      </c>
      <c r="F13" s="8" t="s">
        <v>19</v>
      </c>
      <c r="G13" s="8" t="s">
        <v>20</v>
      </c>
      <c r="H13" s="8" t="s">
        <v>63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IFERROR(INDEX(Dotación!$A$5:$A$160,MATCH($C14,Dotación!$B$5:$B$160,0)),"13855440-6")</f>
        <v>13855440-6</v>
      </c>
      <c r="C14" s="10" t="s">
        <v>33</v>
      </c>
      <c r="D14" s="11" t="s">
        <v>34</v>
      </c>
      <c r="E14" s="8" t="s">
        <v>636</v>
      </c>
      <c r="F14" s="8" t="s">
        <v>19</v>
      </c>
      <c r="G14" s="8" t="s">
        <v>20</v>
      </c>
      <c r="H14" s="8" t="s">
        <v>63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IFERROR(INDEX(Dotación!$A$5:$A$160,MATCH($C15,Dotación!$B$5:$B$160,0)),"12814487-0")</f>
        <v>12814487-0</v>
      </c>
      <c r="C15" s="10" t="s">
        <v>35</v>
      </c>
      <c r="D15" s="11" t="s">
        <v>36</v>
      </c>
      <c r="E15" s="8" t="s">
        <v>636</v>
      </c>
      <c r="F15" s="8" t="s">
        <v>19</v>
      </c>
      <c r="G15" s="8" t="s">
        <v>20</v>
      </c>
      <c r="H15" s="8" t="s">
        <v>63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IFERROR(INDEX(Dotación!$A$5:$A$160,MATCH($C16,Dotación!$B$5:$B$160,0)),"21254681-K")</f>
        <v>21254681-K</v>
      </c>
      <c r="C16" s="10" t="s">
        <v>37</v>
      </c>
      <c r="D16" s="11" t="s">
        <v>38</v>
      </c>
      <c r="E16" s="8" t="s">
        <v>636</v>
      </c>
      <c r="F16" s="8" t="s">
        <v>19</v>
      </c>
      <c r="G16" s="8" t="s">
        <v>20</v>
      </c>
      <c r="H16" s="8" t="s">
        <v>63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IFERROR(INDEX(Dotación!$A$5:$A$160,MATCH($C17,Dotación!$B$5:$B$160,0)),"17805184-9")</f>
        <v>17805184-9</v>
      </c>
      <c r="C17" s="10" t="s">
        <v>39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63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IFERROR(INDEX(Dotación!$A$5:$A$160,MATCH($C18,Dotación!$B$5:$B$160,0)),"23868099-9")</f>
        <v>23868099-9</v>
      </c>
      <c r="C18" s="10" t="s">
        <v>40</v>
      </c>
      <c r="D18" s="11" t="s">
        <v>41</v>
      </c>
      <c r="E18" s="8" t="s">
        <v>636</v>
      </c>
      <c r="F18" s="8" t="s">
        <v>19</v>
      </c>
      <c r="G18" s="8" t="s">
        <v>20</v>
      </c>
      <c r="H18" s="8" t="s">
        <v>63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IFERROR(INDEX(Dotación!$A$5:$A$160,MATCH($C19,Dotación!$B$5:$B$160,0)),"4500989-0")</f>
        <v>4500989-0</v>
      </c>
      <c r="C19" s="10" t="s">
        <v>42</v>
      </c>
      <c r="D19" s="11" t="s">
        <v>43</v>
      </c>
      <c r="E19" s="8" t="s">
        <v>636</v>
      </c>
      <c r="F19" s="8" t="s">
        <v>19</v>
      </c>
      <c r="G19" s="8" t="s">
        <v>20</v>
      </c>
      <c r="H19" s="8" t="s">
        <v>63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IFERROR(INDEX(Dotación!$A$5:$A$160,MATCH($C20,Dotación!$B$5:$B$160,0)),"17626968-5")</f>
        <v>17626968-5</v>
      </c>
      <c r="C20" s="10" t="s">
        <v>44</v>
      </c>
      <c r="D20" s="11" t="s">
        <v>45</v>
      </c>
      <c r="E20" s="8" t="s">
        <v>636</v>
      </c>
      <c r="F20" s="8" t="s">
        <v>19</v>
      </c>
      <c r="G20" s="8" t="s">
        <v>20</v>
      </c>
      <c r="H20" s="8" t="s">
        <v>63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1" spans="1:12" ht="15" customHeight="1" x14ac:dyDescent="0.3">
      <c r="A21" s="8">
        <v>16</v>
      </c>
      <c r="B21" s="9" t="str">
        <f>IFERROR(INDEX(Dotación!$A$5:$A$160,MATCH($C21,Dotación!$B$5:$B$160,0)),"28683244-K")</f>
        <v>28683244-K</v>
      </c>
      <c r="C21" s="10" t="s">
        <v>46</v>
      </c>
      <c r="D21" s="11" t="s">
        <v>47</v>
      </c>
      <c r="E21" s="8" t="s">
        <v>48</v>
      </c>
      <c r="F21" s="8" t="s">
        <v>19</v>
      </c>
      <c r="G21" s="8" t="s">
        <v>20</v>
      </c>
      <c r="H21" s="8" t="s">
        <v>63</v>
      </c>
      <c r="I21" s="8"/>
      <c r="J21" s="8" t="str">
        <f>IF($B21="","",IF(COUNTIFS('Ayuda Workera'!$C$5:$C$3004,UPPER(SUBSTITUTE($B21,".","")),'Ayuda Workera'!$B$5:$B$3004,DATE($H$1,$G$1,$F$1),'Marcación Workera'!$H$5:$H$3004,"Entrada")&gt;0,"SI","NO"))</f>
        <v>NO</v>
      </c>
      <c r="K21" s="8" t="str">
        <f>IF($B21="","",IF(COUNTIFS('Ayuda Workera'!$C$5:$C$3004,UPPER(SUBSTITUTE($B21,".","")),'Ayuda Workera'!$B$5:$B$3004,DATE($H$1,$G$1,$F$1),'Marcación Workera'!$H$5:$H$3004,"Salida")&gt;0,"SI","NO"))</f>
        <v>NO</v>
      </c>
      <c r="L21" s="8"/>
    </row>
    <row r="22" spans="1:12" ht="15" customHeight="1" x14ac:dyDescent="0.3">
      <c r="A22" s="8">
        <v>17</v>
      </c>
      <c r="B22" s="9" t="str">
        <f>IFERROR(INDEX(Dotación!$A$5:$A$160,MATCH($C22,Dotación!$B$5:$B$160,0)),"19949787-1")</f>
        <v>19949787-1</v>
      </c>
      <c r="C22" s="10" t="s">
        <v>49</v>
      </c>
      <c r="D22" s="11" t="s">
        <v>29</v>
      </c>
      <c r="E22" s="8" t="s">
        <v>636</v>
      </c>
      <c r="F22" s="8" t="s">
        <v>19</v>
      </c>
      <c r="G22" s="8" t="s">
        <v>20</v>
      </c>
      <c r="H22" s="8" t="s">
        <v>63</v>
      </c>
      <c r="I22" s="8"/>
      <c r="J22" s="8" t="str">
        <f>IF($B22="","",IF(COUNTIFS('Ayuda Workera'!$C$5:$C$3004,UPPER(SUBSTITUTE($B22,".","")),'Ayuda Workera'!$B$5:$B$3004,DATE($H$1,$G$1,$F$1),'Marcación Workera'!$H$5:$H$3004,"Entrada")&gt;0,"SI","NO"))</f>
        <v>NO</v>
      </c>
      <c r="K22" s="8" t="str">
        <f>IF($B22="","",IF(COUNTIFS('Ayuda Workera'!$C$5:$C$3004,UPPER(SUBSTITUTE($B22,".","")),'Ayuda Workera'!$B$5:$B$3004,DATE($H$1,$G$1,$F$1),'Marcación Workera'!$H$5:$H$3004,"Salida")&gt;0,"SI","NO"))</f>
        <v>NO</v>
      </c>
      <c r="L22" s="8"/>
    </row>
    <row r="24" spans="1:12" ht="15" customHeight="1" x14ac:dyDescent="0.3">
      <c r="A24" s="12" t="s">
        <v>50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1.75" customHeight="1" x14ac:dyDescent="0.3">
      <c r="A25" s="7" t="s">
        <v>5</v>
      </c>
      <c r="B25" s="7" t="s">
        <v>6</v>
      </c>
      <c r="C25" s="7" t="s">
        <v>7</v>
      </c>
      <c r="D25" s="7" t="s">
        <v>8</v>
      </c>
      <c r="E25" s="7" t="s">
        <v>9</v>
      </c>
      <c r="F25" s="7" t="s">
        <v>10</v>
      </c>
      <c r="G25" s="7" t="s">
        <v>11</v>
      </c>
      <c r="H25" s="7" t="s">
        <v>12</v>
      </c>
      <c r="I25" s="7" t="s">
        <v>13</v>
      </c>
      <c r="J25" s="7" t="s">
        <v>14</v>
      </c>
      <c r="K25" s="7" t="s">
        <v>15</v>
      </c>
      <c r="L25" s="7" t="s">
        <v>16</v>
      </c>
    </row>
    <row r="26" spans="1:12" ht="15" customHeight="1" x14ac:dyDescent="0.3">
      <c r="A26" s="8">
        <v>1</v>
      </c>
      <c r="B26" s="9" t="str">
        <f>IFERROR(INDEX(Dotación!$A$5:$A$160,MATCH($C26,Dotación!$B$5:$B$160,0)),"15.814.058-6")</f>
        <v>15.814.058-6</v>
      </c>
      <c r="C26" s="10" t="s">
        <v>51</v>
      </c>
      <c r="D26" s="11" t="s">
        <v>27</v>
      </c>
      <c r="E26" s="8" t="s">
        <v>636</v>
      </c>
      <c r="F26" s="8" t="s">
        <v>19</v>
      </c>
      <c r="G26" s="8" t="s">
        <v>20</v>
      </c>
      <c r="H26" s="8" t="s">
        <v>66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2</v>
      </c>
      <c r="B27" s="9" t="str">
        <f>IFERROR(INDEX(Dotación!$A$5:$A$160,MATCH($C27,Dotación!$B$5:$B$160,0)),"16188552-5")</f>
        <v>16188552-5</v>
      </c>
      <c r="C27" s="10" t="s">
        <v>53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66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3</v>
      </c>
      <c r="B28" s="9" t="str">
        <f>IFERROR(INDEX(Dotación!$A$5:$A$160,MATCH($C28,Dotación!$B$5:$B$160,0)),"20718093-9")</f>
        <v>20718093-9</v>
      </c>
      <c r="C28" s="10" t="s">
        <v>54</v>
      </c>
      <c r="D28" s="11" t="s">
        <v>29</v>
      </c>
      <c r="E28" s="8" t="s">
        <v>636</v>
      </c>
      <c r="F28" s="8" t="s">
        <v>19</v>
      </c>
      <c r="G28" s="8" t="s">
        <v>20</v>
      </c>
      <c r="H28" s="8" t="s">
        <v>66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4</v>
      </c>
      <c r="B29" s="9" t="str">
        <f>IFERROR(INDEX(Dotación!$A$5:$A$160,MATCH($C29,Dotación!$B$5:$B$160,0)),"17643998-k")</f>
        <v>17643998-k</v>
      </c>
      <c r="C29" s="10" t="s">
        <v>55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66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5</v>
      </c>
      <c r="B30" s="9" t="str">
        <f>IFERROR(INDEX(Dotación!$A$5:$A$160,MATCH($C30,Dotación!$B$5:$B$160,0)),"15831074-0")</f>
        <v>15831074-0</v>
      </c>
      <c r="C30" s="10" t="s">
        <v>56</v>
      </c>
      <c r="D30" s="11" t="s">
        <v>57</v>
      </c>
      <c r="E30" s="8" t="s">
        <v>636</v>
      </c>
      <c r="F30" s="8" t="s">
        <v>19</v>
      </c>
      <c r="G30" s="8" t="s">
        <v>20</v>
      </c>
      <c r="H30" s="8" t="s">
        <v>66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  <row r="31" spans="1:12" ht="15" customHeight="1" x14ac:dyDescent="0.3">
      <c r="A31" s="8">
        <v>6</v>
      </c>
      <c r="B31" s="9" t="str">
        <f>IFERROR(INDEX(Dotación!$A$5:$A$160,MATCH($C31,Dotación!$B$5:$B$160,0)),"14594999-8")</f>
        <v>14594999-8</v>
      </c>
      <c r="C31" s="10" t="s">
        <v>58</v>
      </c>
      <c r="D31" s="11" t="s">
        <v>59</v>
      </c>
      <c r="E31" s="8" t="s">
        <v>636</v>
      </c>
      <c r="F31" s="8" t="s">
        <v>19</v>
      </c>
      <c r="G31" s="8" t="s">
        <v>20</v>
      </c>
      <c r="H31" s="8" t="s">
        <v>66</v>
      </c>
      <c r="I31" s="8"/>
      <c r="J31" s="8" t="str">
        <f>IF($B31="","",IF(COUNTIFS('Ayuda Workera'!$C$5:$C$3004,UPPER(SUBSTITUTE($B31,".","")),'Ayuda Workera'!$B$5:$B$3004,DATE($H$1,$G$1,$F$1),'Marcación Workera'!$H$5:$H$3004,"Entrada")&gt;0,"SI","NO"))</f>
        <v>NO</v>
      </c>
      <c r="K31" s="8" t="str">
        <f>IF($B31="","",IF(COUNTIFS('Ayuda Workera'!$C$5:$C$3004,UPPER(SUBSTITUTE($B31,".","")),'Ayuda Workera'!$B$5:$B$3004,DATE($H$1,$G$1,$F$1),'Marcación Workera'!$H$5:$H$3004,"Salida")&gt;0,"SI","NO"))</f>
        <v>NO</v>
      </c>
      <c r="L31" s="8"/>
    </row>
    <row r="32" spans="1:12" ht="15" customHeight="1" x14ac:dyDescent="0.3">
      <c r="A32" s="8">
        <v>7</v>
      </c>
      <c r="B32" s="9" t="str">
        <f>IFERROR(INDEX(Dotación!$A$5:$A$160,MATCH($C32,Dotación!$B$5:$B$160,0)),"4.500.919-K")</f>
        <v>4.500.919-K</v>
      </c>
      <c r="C32" s="10" t="s">
        <v>60</v>
      </c>
      <c r="D32" s="11" t="s">
        <v>47</v>
      </c>
      <c r="E32" s="8" t="s">
        <v>636</v>
      </c>
      <c r="F32" s="8" t="s">
        <v>19</v>
      </c>
      <c r="G32" s="8" t="s">
        <v>20</v>
      </c>
      <c r="H32" s="8" t="s">
        <v>66</v>
      </c>
      <c r="I32" s="8"/>
      <c r="J32" s="8" t="str">
        <f>IF($B32="","",IF(COUNTIFS('Ayuda Workera'!$C$5:$C$3004,UPPER(SUBSTITUTE($B32,".","")),'Ayuda Workera'!$B$5:$B$3004,DATE($H$1,$G$1,$F$1),'Marcación Workera'!$H$5:$H$3004,"Entrada")&gt;0,"SI","NO"))</f>
        <v>NO</v>
      </c>
      <c r="K32" s="8" t="str">
        <f>IF($B32="","",IF(COUNTIFS('Ayuda Workera'!$C$5:$C$3004,UPPER(SUBSTITUTE($B32,".","")),'Ayuda Workera'!$B$5:$B$3004,DATE($H$1,$G$1,$F$1),'Marcación Workera'!$H$5:$H$3004,"Salida")&gt;0,"SI","NO"))</f>
        <v>NO</v>
      </c>
      <c r="L32" s="8"/>
    </row>
  </sheetData>
  <conditionalFormatting sqref="J5:K32">
    <cfRule type="cellIs" dxfId="57" priority="2" operator="equal">
      <formula>"SI"</formula>
    </cfRule>
    <cfRule type="cellIs" dxfId="5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Dotación!$B$5:$B$160</xm:f>
          </x14:formula1>
          <x14:formula2>
            <xm:f>0</xm:f>
          </x14:formula2>
          <xm:sqref>C6:C22 C26:C32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showGridLines="0" zoomScaleNormal="100" workbookViewId="0">
      <pane ySplit="3" topLeftCell="A4" activePane="bottomLeft" state="frozen"/>
      <selection pane="bottomLeft" activeCell="E7" sqref="E7:E22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31" bestFit="1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4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635</v>
      </c>
      <c r="F6" s="8" t="s">
        <v>19</v>
      </c>
      <c r="G6" s="8" t="s">
        <v>20</v>
      </c>
      <c r="H6" s="8" t="s">
        <v>67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635</v>
      </c>
      <c r="F7" s="8" t="s">
        <v>19</v>
      </c>
      <c r="G7" s="8" t="s">
        <v>20</v>
      </c>
      <c r="H7" s="8" t="s">
        <v>67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635</v>
      </c>
      <c r="F8" s="8" t="s">
        <v>19</v>
      </c>
      <c r="G8" s="8" t="s">
        <v>20</v>
      </c>
      <c r="H8" s="8" t="s">
        <v>67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IFERROR(INDEX(Dotación!$A$5:$A$160,MATCH($C9,Dotación!$B$5:$B$160,0)),"15593625-8")</f>
        <v>15593625-8</v>
      </c>
      <c r="C9" s="10" t="s">
        <v>64</v>
      </c>
      <c r="D9" s="11" t="s">
        <v>65</v>
      </c>
      <c r="E9" s="8" t="s">
        <v>635</v>
      </c>
      <c r="F9" s="8" t="s">
        <v>19</v>
      </c>
      <c r="G9" s="8" t="s">
        <v>20</v>
      </c>
      <c r="H9" s="8" t="s">
        <v>67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IFERROR(INDEX(Dotación!$A$5:$A$160,MATCH($C10,Dotación!$B$5:$B$160,0)),"14043656-9")</f>
        <v>14043656-9</v>
      </c>
      <c r="C10" s="10" t="s">
        <v>26</v>
      </c>
      <c r="D10" s="11" t="s">
        <v>27</v>
      </c>
      <c r="E10" s="8" t="s">
        <v>635</v>
      </c>
      <c r="F10" s="8" t="s">
        <v>19</v>
      </c>
      <c r="G10" s="8" t="s">
        <v>20</v>
      </c>
      <c r="H10" s="8" t="s">
        <v>67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IFERROR(INDEX(Dotación!$A$5:$A$160,MATCH($C11,Dotación!$B$5:$B$160,0)),"18889617-0")</f>
        <v>18889617-0</v>
      </c>
      <c r="C11" s="10" t="s">
        <v>28</v>
      </c>
      <c r="D11" s="11" t="s">
        <v>29</v>
      </c>
      <c r="E11" s="8" t="s">
        <v>635</v>
      </c>
      <c r="F11" s="8" t="s">
        <v>19</v>
      </c>
      <c r="G11" s="8" t="s">
        <v>20</v>
      </c>
      <c r="H11" s="8" t="s">
        <v>67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IFERROR(INDEX(Dotación!$A$5:$A$160,MATCH($C12,Dotación!$B$5:$B$160,0)),"16.706.064-1")</f>
        <v>16.706.064-1</v>
      </c>
      <c r="C12" s="10" t="s">
        <v>30</v>
      </c>
      <c r="D12" s="11" t="s">
        <v>29</v>
      </c>
      <c r="E12" s="8" t="s">
        <v>635</v>
      </c>
      <c r="F12" s="8" t="s">
        <v>19</v>
      </c>
      <c r="G12" s="8" t="s">
        <v>20</v>
      </c>
      <c r="H12" s="8" t="s">
        <v>67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IFERROR(INDEX(Dotación!$A$5:$A$160,MATCH($C13,Dotación!$B$5:$B$160,0)),"11508866-1")</f>
        <v>11508866-1</v>
      </c>
      <c r="C13" s="10" t="s">
        <v>31</v>
      </c>
      <c r="D13" s="11" t="s">
        <v>32</v>
      </c>
      <c r="E13" s="8" t="s">
        <v>635</v>
      </c>
      <c r="F13" s="8" t="s">
        <v>19</v>
      </c>
      <c r="G13" s="8" t="s">
        <v>20</v>
      </c>
      <c r="H13" s="8" t="s">
        <v>67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IFERROR(INDEX(Dotación!$A$5:$A$160,MATCH($C14,Dotación!$B$5:$B$160,0)),"13855440-6")</f>
        <v>13855440-6</v>
      </c>
      <c r="C14" s="10" t="s">
        <v>33</v>
      </c>
      <c r="D14" s="11" t="s">
        <v>34</v>
      </c>
      <c r="E14" s="8" t="s">
        <v>635</v>
      </c>
      <c r="F14" s="8" t="s">
        <v>19</v>
      </c>
      <c r="G14" s="8" t="s">
        <v>20</v>
      </c>
      <c r="H14" s="8" t="s">
        <v>67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IFERROR(INDEX(Dotación!$A$5:$A$160,MATCH($C15,Dotación!$B$5:$B$160,0)),"12814487-0")</f>
        <v>12814487-0</v>
      </c>
      <c r="C15" s="10" t="s">
        <v>35</v>
      </c>
      <c r="D15" s="11" t="s">
        <v>36</v>
      </c>
      <c r="E15" s="8" t="s">
        <v>635</v>
      </c>
      <c r="F15" s="8" t="s">
        <v>19</v>
      </c>
      <c r="G15" s="8" t="s">
        <v>20</v>
      </c>
      <c r="H15" s="8" t="s">
        <v>67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IFERROR(INDEX(Dotación!$A$5:$A$160,MATCH($C16,Dotación!$B$5:$B$160,0)),"21254681-K")</f>
        <v>21254681-K</v>
      </c>
      <c r="C16" s="10" t="s">
        <v>37</v>
      </c>
      <c r="D16" s="11" t="s">
        <v>38</v>
      </c>
      <c r="E16" s="8" t="s">
        <v>635</v>
      </c>
      <c r="F16" s="8" t="s">
        <v>19</v>
      </c>
      <c r="G16" s="8" t="s">
        <v>20</v>
      </c>
      <c r="H16" s="8" t="s">
        <v>67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IFERROR(INDEX(Dotación!$A$5:$A$160,MATCH($C17,Dotación!$B$5:$B$160,0)),"17805184-9")</f>
        <v>17805184-9</v>
      </c>
      <c r="C17" s="10" t="s">
        <v>39</v>
      </c>
      <c r="D17" s="11" t="s">
        <v>36</v>
      </c>
      <c r="E17" s="8" t="s">
        <v>635</v>
      </c>
      <c r="F17" s="8" t="s">
        <v>19</v>
      </c>
      <c r="G17" s="8" t="s">
        <v>20</v>
      </c>
      <c r="H17" s="8" t="s">
        <v>67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IFERROR(INDEX(Dotación!$A$5:$A$160,MATCH($C18,Dotación!$B$5:$B$160,0)),"23868099-9")</f>
        <v>23868099-9</v>
      </c>
      <c r="C18" s="10" t="s">
        <v>40</v>
      </c>
      <c r="D18" s="11" t="s">
        <v>41</v>
      </c>
      <c r="E18" s="8" t="s">
        <v>635</v>
      </c>
      <c r="F18" s="8" t="s">
        <v>19</v>
      </c>
      <c r="G18" s="8" t="s">
        <v>20</v>
      </c>
      <c r="H18" s="8" t="s">
        <v>67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IFERROR(INDEX(Dotación!$A$5:$A$160,MATCH($C19,Dotación!$B$5:$B$160,0)),"4500989-0")</f>
        <v>4500989-0</v>
      </c>
      <c r="C19" s="10" t="s">
        <v>42</v>
      </c>
      <c r="D19" s="11" t="s">
        <v>43</v>
      </c>
      <c r="E19" s="8" t="s">
        <v>635</v>
      </c>
      <c r="F19" s="8" t="s">
        <v>19</v>
      </c>
      <c r="G19" s="8" t="s">
        <v>20</v>
      </c>
      <c r="H19" s="8" t="s">
        <v>67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IFERROR(INDEX(Dotación!$A$5:$A$160,MATCH($C20,Dotación!$B$5:$B$160,0)),"17626968-5")</f>
        <v>17626968-5</v>
      </c>
      <c r="C20" s="10" t="s">
        <v>44</v>
      </c>
      <c r="D20" s="11" t="s">
        <v>45</v>
      </c>
      <c r="E20" s="8" t="s">
        <v>635</v>
      </c>
      <c r="F20" s="8" t="s">
        <v>19</v>
      </c>
      <c r="G20" s="8" t="s">
        <v>20</v>
      </c>
      <c r="H20" s="8" t="s">
        <v>67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1" spans="1:12" ht="15" customHeight="1" x14ac:dyDescent="0.3">
      <c r="A21" s="8">
        <v>16</v>
      </c>
      <c r="B21" s="9" t="str">
        <f>IFERROR(INDEX(Dotación!$A$5:$A$160,MATCH($C21,Dotación!$B$5:$B$160,0)),"28683244-K")</f>
        <v>28683244-K</v>
      </c>
      <c r="C21" s="10" t="s">
        <v>46</v>
      </c>
      <c r="D21" s="11" t="s">
        <v>47</v>
      </c>
      <c r="E21" s="8" t="s">
        <v>635</v>
      </c>
      <c r="F21" s="8" t="s">
        <v>19</v>
      </c>
      <c r="G21" s="8" t="s">
        <v>20</v>
      </c>
      <c r="H21" s="8" t="s">
        <v>67</v>
      </c>
      <c r="I21" s="8"/>
      <c r="J21" s="8" t="str">
        <f>IF($B21="","",IF(COUNTIFS('Ayuda Workera'!$C$5:$C$3004,UPPER(SUBSTITUTE($B21,".","")),'Ayuda Workera'!$B$5:$B$3004,DATE($H$1,$G$1,$F$1),'Marcación Workera'!$H$5:$H$3004,"Entrada")&gt;0,"SI","NO"))</f>
        <v>NO</v>
      </c>
      <c r="K21" s="8" t="str">
        <f>IF($B21="","",IF(COUNTIFS('Ayuda Workera'!$C$5:$C$3004,UPPER(SUBSTITUTE($B21,".","")),'Ayuda Workera'!$B$5:$B$3004,DATE($H$1,$G$1,$F$1),'Marcación Workera'!$H$5:$H$3004,"Salida")&gt;0,"SI","NO"))</f>
        <v>NO</v>
      </c>
      <c r="L21" s="8"/>
    </row>
    <row r="22" spans="1:12" ht="15" customHeight="1" x14ac:dyDescent="0.3">
      <c r="A22" s="8">
        <v>17</v>
      </c>
      <c r="B22" s="9" t="str">
        <f>IFERROR(INDEX(Dotación!$A$5:$A$160,MATCH($C22,Dotación!$B$5:$B$160,0)),"19949787-1")</f>
        <v>19949787-1</v>
      </c>
      <c r="C22" s="10" t="s">
        <v>49</v>
      </c>
      <c r="D22" s="11" t="s">
        <v>29</v>
      </c>
      <c r="E22" s="8" t="s">
        <v>635</v>
      </c>
      <c r="F22" s="8" t="s">
        <v>19</v>
      </c>
      <c r="G22" s="8" t="s">
        <v>20</v>
      </c>
      <c r="H22" s="8" t="s">
        <v>67</v>
      </c>
      <c r="I22" s="8"/>
      <c r="J22" s="8" t="str">
        <f>IF($B22="","",IF(COUNTIFS('Ayuda Workera'!$C$5:$C$3004,UPPER(SUBSTITUTE($B22,".","")),'Ayuda Workera'!$B$5:$B$3004,DATE($H$1,$G$1,$F$1),'Marcación Workera'!$H$5:$H$3004,"Entrada")&gt;0,"SI","NO"))</f>
        <v>SI</v>
      </c>
      <c r="K22" s="8" t="str">
        <f>IF($B22="","",IF(COUNTIFS('Ayuda Workera'!$C$5:$C$3004,UPPER(SUBSTITUTE($B22,".","")),'Ayuda Workera'!$B$5:$B$3004,DATE($H$1,$G$1,$F$1),'Marcación Workera'!$H$5:$H$3004,"Salida")&gt;0,"SI","NO"))</f>
        <v>NO</v>
      </c>
      <c r="L22" s="8"/>
    </row>
    <row r="24" spans="1:12" ht="15" customHeight="1" x14ac:dyDescent="0.3">
      <c r="A24" s="12" t="s">
        <v>50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1.75" customHeight="1" x14ac:dyDescent="0.3">
      <c r="A25" s="7" t="s">
        <v>5</v>
      </c>
      <c r="B25" s="7" t="s">
        <v>6</v>
      </c>
      <c r="C25" s="7" t="s">
        <v>7</v>
      </c>
      <c r="D25" s="7" t="s">
        <v>8</v>
      </c>
      <c r="E25" s="7" t="s">
        <v>9</v>
      </c>
      <c r="F25" s="7" t="s">
        <v>10</v>
      </c>
      <c r="G25" s="7" t="s">
        <v>11</v>
      </c>
      <c r="H25" s="7" t="s">
        <v>12</v>
      </c>
      <c r="I25" s="7" t="s">
        <v>13</v>
      </c>
      <c r="J25" s="7" t="s">
        <v>14</v>
      </c>
      <c r="K25" s="7" t="s">
        <v>15</v>
      </c>
      <c r="L25" s="7" t="s">
        <v>16</v>
      </c>
    </row>
    <row r="26" spans="1:12" ht="15" customHeight="1" x14ac:dyDescent="0.3">
      <c r="A26" s="8">
        <v>1</v>
      </c>
      <c r="B26" s="9" t="str">
        <f>IFERROR(INDEX(Dotación!$A$5:$A$160,MATCH($C26,Dotación!$B$5:$B$160,0)),"15.814.058-6")</f>
        <v>15.814.058-6</v>
      </c>
      <c r="C26" s="10" t="s">
        <v>51</v>
      </c>
      <c r="D26" s="11" t="s">
        <v>27</v>
      </c>
      <c r="E26" s="8" t="s">
        <v>636</v>
      </c>
      <c r="F26" s="8" t="s">
        <v>19</v>
      </c>
      <c r="G26" s="8" t="s">
        <v>20</v>
      </c>
      <c r="H26" s="8" t="s">
        <v>68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2</v>
      </c>
      <c r="B27" s="9" t="str">
        <f>IFERROR(INDEX(Dotación!$A$5:$A$160,MATCH($C27,Dotación!$B$5:$B$160,0)),"16188552-5")</f>
        <v>16188552-5</v>
      </c>
      <c r="C27" s="10" t="s">
        <v>53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68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3</v>
      </c>
      <c r="B28" s="9" t="str">
        <f>IFERROR(INDEX(Dotación!$A$5:$A$160,MATCH($C28,Dotación!$B$5:$B$160,0)),"20718093-9")</f>
        <v>20718093-9</v>
      </c>
      <c r="C28" s="10" t="s">
        <v>54</v>
      </c>
      <c r="D28" s="11" t="s">
        <v>29</v>
      </c>
      <c r="E28" s="8" t="s">
        <v>636</v>
      </c>
      <c r="F28" s="8" t="s">
        <v>19</v>
      </c>
      <c r="G28" s="8" t="s">
        <v>20</v>
      </c>
      <c r="H28" s="8" t="s">
        <v>68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4</v>
      </c>
      <c r="B29" s="9" t="str">
        <f>IFERROR(INDEX(Dotación!$A$5:$A$160,MATCH($C29,Dotación!$B$5:$B$160,0)),"17643998-k")</f>
        <v>17643998-k</v>
      </c>
      <c r="C29" s="10" t="s">
        <v>55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68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5</v>
      </c>
      <c r="B30" s="9" t="str">
        <f>IFERROR(INDEX(Dotación!$A$5:$A$160,MATCH($C30,Dotación!$B$5:$B$160,0)),"15831074-0")</f>
        <v>15831074-0</v>
      </c>
      <c r="C30" s="10" t="s">
        <v>56</v>
      </c>
      <c r="D30" s="11" t="s">
        <v>57</v>
      </c>
      <c r="E30" s="8" t="s">
        <v>636</v>
      </c>
      <c r="F30" s="8" t="s">
        <v>19</v>
      </c>
      <c r="G30" s="8" t="s">
        <v>20</v>
      </c>
      <c r="H30" s="8" t="s">
        <v>68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  <row r="31" spans="1:12" ht="15" customHeight="1" x14ac:dyDescent="0.3">
      <c r="A31" s="8">
        <v>6</v>
      </c>
      <c r="B31" s="9" t="str">
        <f>IFERROR(INDEX(Dotación!$A$5:$A$160,MATCH($C31,Dotación!$B$5:$B$160,0)),"14594999-8")</f>
        <v>14594999-8</v>
      </c>
      <c r="C31" s="10" t="s">
        <v>58</v>
      </c>
      <c r="D31" s="11" t="s">
        <v>59</v>
      </c>
      <c r="E31" s="8" t="s">
        <v>636</v>
      </c>
      <c r="F31" s="8" t="s">
        <v>19</v>
      </c>
      <c r="G31" s="8" t="s">
        <v>20</v>
      </c>
      <c r="H31" s="8" t="s">
        <v>68</v>
      </c>
      <c r="I31" s="8"/>
      <c r="J31" s="8" t="str">
        <f>IF($B31="","",IF(COUNTIFS('Ayuda Workera'!$C$5:$C$3004,UPPER(SUBSTITUTE($B31,".","")),'Ayuda Workera'!$B$5:$B$3004,DATE($H$1,$G$1,$F$1),'Marcación Workera'!$H$5:$H$3004,"Entrada")&gt;0,"SI","NO"))</f>
        <v>NO</v>
      </c>
      <c r="K31" s="8" t="str">
        <f>IF($B31="","",IF(COUNTIFS('Ayuda Workera'!$C$5:$C$3004,UPPER(SUBSTITUTE($B31,".","")),'Ayuda Workera'!$B$5:$B$3004,DATE($H$1,$G$1,$F$1),'Marcación Workera'!$H$5:$H$3004,"Salida")&gt;0,"SI","NO"))</f>
        <v>NO</v>
      </c>
      <c r="L31" s="8"/>
    </row>
    <row r="32" spans="1:12" ht="15" customHeight="1" x14ac:dyDescent="0.3">
      <c r="A32" s="8">
        <v>7</v>
      </c>
      <c r="B32" s="9" t="str">
        <f>IFERROR(INDEX(Dotación!$A$5:$A$160,MATCH($C32,Dotación!$B$5:$B$160,0)),"4.500.919-K")</f>
        <v>4.500.919-K</v>
      </c>
      <c r="C32" s="10" t="s">
        <v>60</v>
      </c>
      <c r="D32" s="11" t="s">
        <v>47</v>
      </c>
      <c r="E32" s="8" t="s">
        <v>636</v>
      </c>
      <c r="F32" s="8" t="s">
        <v>19</v>
      </c>
      <c r="G32" s="8" t="s">
        <v>20</v>
      </c>
      <c r="H32" s="8" t="s">
        <v>68</v>
      </c>
      <c r="I32" s="8"/>
      <c r="J32" s="8" t="str">
        <f>IF($B32="","",IF(COUNTIFS('Ayuda Workera'!$C$5:$C$3004,UPPER(SUBSTITUTE($B32,".","")),'Ayuda Workera'!$B$5:$B$3004,DATE($H$1,$G$1,$F$1),'Marcación Workera'!$H$5:$H$3004,"Entrada")&gt;0,"SI","NO"))</f>
        <v>NO</v>
      </c>
      <c r="K32" s="8" t="str">
        <f>IF($B32="","",IF(COUNTIFS('Ayuda Workera'!$C$5:$C$3004,UPPER(SUBSTITUTE($B32,".","")),'Ayuda Workera'!$B$5:$B$3004,DATE($H$1,$G$1,$F$1),'Marcación Workera'!$H$5:$H$3004,"Salida")&gt;0,"SI","NO"))</f>
        <v>NO</v>
      </c>
      <c r="L32" s="8"/>
    </row>
  </sheetData>
  <conditionalFormatting sqref="J5:K32">
    <cfRule type="cellIs" dxfId="55" priority="2" operator="equal">
      <formula>"SI"</formula>
    </cfRule>
    <cfRule type="cellIs" dxfId="5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Dotación!$B$5:$B$160</xm:f>
          </x14:formula1>
          <x14:formula2>
            <xm:f>0</xm:f>
          </x14:formula2>
          <xm:sqref>C6:C22 C26:C32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5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69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69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69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IFERROR(INDEX(Dotación!$A$5:$A$160,MATCH($C9,Dotación!$B$5:$B$160,0)),"15593625-8")</f>
        <v>15593625-8</v>
      </c>
      <c r="C9" s="10" t="s">
        <v>64</v>
      </c>
      <c r="D9" s="11" t="s">
        <v>65</v>
      </c>
      <c r="E9" s="8" t="s">
        <v>636</v>
      </c>
      <c r="F9" s="8" t="s">
        <v>19</v>
      </c>
      <c r="G9" s="8" t="s">
        <v>20</v>
      </c>
      <c r="H9" s="8" t="s">
        <v>69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IFERROR(INDEX(Dotación!$A$5:$A$160,MATCH($C10,Dotación!$B$5:$B$160,0)),"13855440-6")</f>
        <v>13855440-6</v>
      </c>
      <c r="C10" s="10" t="s">
        <v>33</v>
      </c>
      <c r="D10" s="11" t="s">
        <v>34</v>
      </c>
      <c r="E10" s="8" t="s">
        <v>636</v>
      </c>
      <c r="F10" s="8" t="s">
        <v>19</v>
      </c>
      <c r="G10" s="8" t="s">
        <v>20</v>
      </c>
      <c r="H10" s="8" t="s">
        <v>69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IFERROR(INDEX(Dotación!$A$5:$A$160,MATCH($C11,Dotación!$B$5:$B$160,0)),"14413231-9")</f>
        <v>14413231-9</v>
      </c>
      <c r="C11" s="10" t="s">
        <v>70</v>
      </c>
      <c r="D11" s="11" t="s">
        <v>27</v>
      </c>
      <c r="E11" s="8" t="s">
        <v>636</v>
      </c>
      <c r="F11" s="8" t="s">
        <v>19</v>
      </c>
      <c r="G11" s="8" t="s">
        <v>20</v>
      </c>
      <c r="H11" s="8" t="s">
        <v>69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69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69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69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69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69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69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69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69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SI</v>
      </c>
      <c r="K19" s="8" t="str">
        <f>IF($B19="","",IF(COUNTIFS('Ayuda Workera'!$C$5:$C$3004,UPPER(SUBSTITUTE($B19,".","")),'Ayuda Workera'!$B$5:$B$3004,DATE($H$1,$G$1,$F$1),'Marcación Workera'!$H$5:$H$3004,"Salida")&gt;0,"SI","NO"))</f>
        <v>SI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IFERROR(INDEX(Dotación!$A$5:$A$160,MATCH($C20,Dotación!$B$5:$B$160,0)),"4500989-0")</f>
        <v>4500989-0</v>
      </c>
      <c r="C20" s="10" t="s">
        <v>42</v>
      </c>
      <c r="D20" s="11" t="s">
        <v>43</v>
      </c>
      <c r="E20" s="8" t="s">
        <v>636</v>
      </c>
      <c r="F20" s="8" t="s">
        <v>19</v>
      </c>
      <c r="G20" s="8" t="s">
        <v>20</v>
      </c>
      <c r="H20" s="8" t="s">
        <v>69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1" spans="1:12" ht="15" customHeight="1" x14ac:dyDescent="0.3">
      <c r="A21" s="8">
        <v>16</v>
      </c>
      <c r="B21" s="9" t="str">
        <f>IFERROR(INDEX(Dotación!$A$5:$A$160,MATCH($C21,Dotación!$B$5:$B$160,0)),"28683244-K")</f>
        <v>28683244-K</v>
      </c>
      <c r="C21" s="10" t="s">
        <v>46</v>
      </c>
      <c r="D21" s="11" t="s">
        <v>47</v>
      </c>
      <c r="E21" s="8" t="s">
        <v>48</v>
      </c>
      <c r="F21" s="8" t="s">
        <v>19</v>
      </c>
      <c r="G21" s="8" t="s">
        <v>20</v>
      </c>
      <c r="H21" s="8" t="s">
        <v>69</v>
      </c>
      <c r="I21" s="8"/>
      <c r="J21" s="8" t="str">
        <f>IF($B21="","",IF(COUNTIFS('Ayuda Workera'!$C$5:$C$3004,UPPER(SUBSTITUTE($B21,".","")),'Ayuda Workera'!$B$5:$B$3004,DATE($H$1,$G$1,$F$1),'Marcación Workera'!$H$5:$H$3004,"Entrada")&gt;0,"SI","NO"))</f>
        <v>NO</v>
      </c>
      <c r="K21" s="8" t="str">
        <f>IF($B21="","",IF(COUNTIFS('Ayuda Workera'!$C$5:$C$3004,UPPER(SUBSTITUTE($B21,".","")),'Ayuda Workera'!$B$5:$B$3004,DATE($H$1,$G$1,$F$1),'Marcación Workera'!$H$5:$H$3004,"Salida")&gt;0,"SI","NO"))</f>
        <v>NO</v>
      </c>
      <c r="L21" s="8"/>
    </row>
    <row r="23" spans="1:12" ht="15" customHeight="1" x14ac:dyDescent="0.3">
      <c r="A23" s="12" t="s">
        <v>50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21.75" customHeight="1" x14ac:dyDescent="0.3">
      <c r="A24" s="7" t="s">
        <v>5</v>
      </c>
      <c r="B24" s="7" t="s">
        <v>6</v>
      </c>
      <c r="C24" s="7" t="s">
        <v>7</v>
      </c>
      <c r="D24" s="7" t="s">
        <v>8</v>
      </c>
      <c r="E24" s="7" t="s">
        <v>9</v>
      </c>
      <c r="F24" s="7" t="s">
        <v>10</v>
      </c>
      <c r="G24" s="7" t="s">
        <v>11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spans="1:12" ht="15" customHeight="1" x14ac:dyDescent="0.3">
      <c r="A25" s="8">
        <v>1</v>
      </c>
      <c r="B25" s="9" t="str">
        <f>IFERROR(INDEX(Dotación!$A$5:$A$160,MATCH($C25,Dotación!$B$5:$B$160,0)),"15613806-1")</f>
        <v>15613806-1</v>
      </c>
      <c r="C25" s="10" t="s">
        <v>78</v>
      </c>
      <c r="D25" s="11" t="s">
        <v>27</v>
      </c>
      <c r="E25" s="8" t="s">
        <v>636</v>
      </c>
      <c r="F25" s="8" t="s">
        <v>19</v>
      </c>
      <c r="G25" s="8" t="s">
        <v>20</v>
      </c>
      <c r="H25" s="8" t="s">
        <v>79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2</v>
      </c>
      <c r="B26" s="9" t="str">
        <f>IFERROR(INDEX(Dotación!$A$5:$A$160,MATCH($C26,Dotación!$B$5:$B$160,0)),"21294612-5")</f>
        <v>21294612-5</v>
      </c>
      <c r="C26" s="10" t="s">
        <v>80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79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3</v>
      </c>
      <c r="B27" s="9" t="str">
        <f>IFERROR(INDEX(Dotación!$A$5:$A$160,MATCH($C27,Dotación!$B$5:$B$160,0)),"21028758-2")</f>
        <v>21028758-2</v>
      </c>
      <c r="C27" s="10" t="s">
        <v>81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79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4</v>
      </c>
      <c r="B28" s="9" t="str">
        <f>IFERROR(INDEX(Dotación!$A$5:$A$160,MATCH($C28,Dotación!$B$5:$B$160,0)),"17465056-K ")</f>
        <v xml:space="preserve">17465056-K </v>
      </c>
      <c r="C28" s="10" t="s">
        <v>82</v>
      </c>
      <c r="D28" s="11" t="s">
        <v>59</v>
      </c>
      <c r="E28" s="8" t="s">
        <v>636</v>
      </c>
      <c r="F28" s="8" t="s">
        <v>19</v>
      </c>
      <c r="G28" s="8" t="s">
        <v>20</v>
      </c>
      <c r="H28" s="8" t="s">
        <v>79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5</v>
      </c>
      <c r="B29" s="9" t="str">
        <f>IFERROR(INDEX(Dotación!$A$5:$A$160,MATCH($C29,Dotación!$B$5:$B$160,0)),"8851221-9")</f>
        <v>8851221-9</v>
      </c>
      <c r="C29" s="10" t="s">
        <v>83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79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6</v>
      </c>
      <c r="B30" s="9" t="str">
        <f>IFERROR(INDEX(Dotación!$A$5:$A$160,MATCH($C30,Dotación!$B$5:$B$160,0)),"15831074-0")</f>
        <v>15831074-0</v>
      </c>
      <c r="C30" s="10" t="s">
        <v>56</v>
      </c>
      <c r="D30" s="11" t="s">
        <v>57</v>
      </c>
      <c r="E30" s="8" t="s">
        <v>636</v>
      </c>
      <c r="F30" s="8" t="s">
        <v>19</v>
      </c>
      <c r="G30" s="8" t="s">
        <v>20</v>
      </c>
      <c r="H30" s="8" t="s">
        <v>79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  <row r="31" spans="1:12" ht="15" customHeight="1" x14ac:dyDescent="0.3">
      <c r="A31" s="8">
        <v>7</v>
      </c>
      <c r="B31" s="9" t="str">
        <f>IFERROR(INDEX(Dotación!$A$5:$A$160,MATCH($C31,Dotación!$B$5:$B$160,0)),"4.500.919-K")</f>
        <v>4.500.919-K</v>
      </c>
      <c r="C31" s="10" t="s">
        <v>60</v>
      </c>
      <c r="D31" s="11" t="s">
        <v>47</v>
      </c>
      <c r="E31" s="8" t="s">
        <v>636</v>
      </c>
      <c r="F31" s="8" t="s">
        <v>19</v>
      </c>
      <c r="G31" s="8" t="s">
        <v>20</v>
      </c>
      <c r="H31" s="8" t="s">
        <v>79</v>
      </c>
      <c r="I31" s="8"/>
      <c r="J31" s="8" t="str">
        <f>IF($B31="","",IF(COUNTIFS('Ayuda Workera'!$C$5:$C$3004,UPPER(SUBSTITUTE($B31,".","")),'Ayuda Workera'!$B$5:$B$3004,DATE($H$1,$G$1,$F$1),'Marcación Workera'!$H$5:$H$3004,"Entrada")&gt;0,"SI","NO"))</f>
        <v>NO</v>
      </c>
      <c r="K31" s="8" t="str">
        <f>IF($B31="","",IF(COUNTIFS('Ayuda Workera'!$C$5:$C$3004,UPPER(SUBSTITUTE($B31,".","")),'Ayuda Workera'!$B$5:$B$3004,DATE($H$1,$G$1,$F$1),'Marcación Workera'!$H$5:$H$3004,"Salida")&gt;0,"SI","NO"))</f>
        <v>NO</v>
      </c>
      <c r="L31" s="8"/>
    </row>
  </sheetData>
  <conditionalFormatting sqref="J5:K31">
    <cfRule type="cellIs" dxfId="53" priority="2" operator="equal">
      <formula>"SI"</formula>
    </cfRule>
    <cfRule type="cellIs" dxfId="5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Dotación!$B$5:$B$160</xm:f>
          </x14:formula1>
          <x14:formula2>
            <xm:f>0</xm:f>
          </x14:formula2>
          <xm:sqref>C6:C21 C25:C31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6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84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84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84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IFERROR(INDEX(Dotación!$A$5:$A$160,MATCH($C9,Dotación!$B$5:$B$160,0)),"15593625-8")</f>
        <v>15593625-8</v>
      </c>
      <c r="C9" s="10" t="s">
        <v>64</v>
      </c>
      <c r="D9" s="11" t="s">
        <v>65</v>
      </c>
      <c r="E9" s="8" t="s">
        <v>636</v>
      </c>
      <c r="F9" s="8" t="s">
        <v>19</v>
      </c>
      <c r="G9" s="8" t="s">
        <v>20</v>
      </c>
      <c r="H9" s="8" t="s">
        <v>84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IFERROR(INDEX(Dotación!$A$5:$A$160,MATCH($C10,Dotación!$B$5:$B$160,0)),"13855440-6")</f>
        <v>13855440-6</v>
      </c>
      <c r="C10" s="10" t="s">
        <v>33</v>
      </c>
      <c r="D10" s="11" t="s">
        <v>34</v>
      </c>
      <c r="E10" s="8" t="s">
        <v>636</v>
      </c>
      <c r="F10" s="8" t="s">
        <v>19</v>
      </c>
      <c r="G10" s="8" t="s">
        <v>20</v>
      </c>
      <c r="H10" s="8" t="s">
        <v>84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IFERROR(INDEX(Dotación!$A$5:$A$160,MATCH($C11,Dotación!$B$5:$B$160,0)),"14413231-9")</f>
        <v>14413231-9</v>
      </c>
      <c r="C11" s="10" t="s">
        <v>70</v>
      </c>
      <c r="D11" s="11" t="s">
        <v>27</v>
      </c>
      <c r="E11" s="8" t="s">
        <v>636</v>
      </c>
      <c r="F11" s="8" t="s">
        <v>19</v>
      </c>
      <c r="G11" s="8" t="s">
        <v>20</v>
      </c>
      <c r="H11" s="8" t="s">
        <v>84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84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84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84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84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84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84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84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84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SI</v>
      </c>
      <c r="K19" s="8" t="str">
        <f>IF($B19="","",IF(COUNTIFS('Ayuda Workera'!$C$5:$C$3004,UPPER(SUBSTITUTE($B19,".","")),'Ayuda Workera'!$B$5:$B$3004,DATE($H$1,$G$1,$F$1),'Marcación Workera'!$H$5:$H$3004,"Salida")&gt;0,"SI","NO"))</f>
        <v>SI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IFERROR(INDEX(Dotación!$A$5:$A$160,MATCH($C20,Dotación!$B$5:$B$160,0)),"28683244-K")</f>
        <v>28683244-K</v>
      </c>
      <c r="C20" s="10" t="s">
        <v>46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84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2" spans="1:12" ht="15" customHeight="1" x14ac:dyDescent="0.3">
      <c r="A22" s="12" t="s">
        <v>50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21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7" t="s">
        <v>15</v>
      </c>
      <c r="L23" s="7" t="s">
        <v>16</v>
      </c>
    </row>
    <row r="24" spans="1:12" ht="15" customHeight="1" x14ac:dyDescent="0.3">
      <c r="A24" s="8">
        <v>1</v>
      </c>
      <c r="B24" s="9" t="str">
        <f>IFERROR(INDEX(Dotación!$A$5:$A$160,MATCH($C24,Dotación!$B$5:$B$160,0)),"15613806-1")</f>
        <v>15613806-1</v>
      </c>
      <c r="C24" s="10" t="s">
        <v>78</v>
      </c>
      <c r="D24" s="11" t="s">
        <v>27</v>
      </c>
      <c r="E24" s="8" t="s">
        <v>636</v>
      </c>
      <c r="F24" s="8" t="s">
        <v>19</v>
      </c>
      <c r="G24" s="8" t="s">
        <v>20</v>
      </c>
      <c r="H24" s="8" t="s">
        <v>21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2</v>
      </c>
      <c r="B25" s="9" t="str">
        <f>IFERROR(INDEX(Dotación!$A$5:$A$160,MATCH($C25,Dotación!$B$5:$B$160,0)),"21294612-5")</f>
        <v>21294612-5</v>
      </c>
      <c r="C25" s="10" t="s">
        <v>80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21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3</v>
      </c>
      <c r="B26" s="9" t="str">
        <f>IFERROR(INDEX(Dotación!$A$5:$A$160,MATCH($C26,Dotación!$B$5:$B$160,0)),"21028758-2")</f>
        <v>21028758-2</v>
      </c>
      <c r="C26" s="10" t="s">
        <v>81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21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4</v>
      </c>
      <c r="B27" s="9" t="str">
        <f>IFERROR(INDEX(Dotación!$A$5:$A$160,MATCH($C27,Dotación!$B$5:$B$160,0)),"17465056-K ")</f>
        <v xml:space="preserve">17465056-K </v>
      </c>
      <c r="C27" s="10" t="s">
        <v>82</v>
      </c>
      <c r="D27" s="11" t="s">
        <v>59</v>
      </c>
      <c r="E27" s="8" t="s">
        <v>636</v>
      </c>
      <c r="F27" s="8" t="s">
        <v>19</v>
      </c>
      <c r="G27" s="8" t="s">
        <v>20</v>
      </c>
      <c r="H27" s="8" t="s">
        <v>21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5</v>
      </c>
      <c r="B28" s="9" t="str">
        <f>IFERROR(INDEX(Dotación!$A$5:$A$160,MATCH($C28,Dotación!$B$5:$B$160,0)),"8851221-9")</f>
        <v>8851221-9</v>
      </c>
      <c r="C28" s="10" t="s">
        <v>83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21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6</v>
      </c>
      <c r="B29" s="9" t="str">
        <f>IFERROR(INDEX(Dotación!$A$5:$A$160,MATCH($C29,Dotación!$B$5:$B$160,0)),"15831074-0")</f>
        <v>15831074-0</v>
      </c>
      <c r="C29" s="10" t="s">
        <v>56</v>
      </c>
      <c r="D29" s="11" t="s">
        <v>57</v>
      </c>
      <c r="E29" s="8" t="s">
        <v>636</v>
      </c>
      <c r="F29" s="8" t="s">
        <v>19</v>
      </c>
      <c r="G29" s="8" t="s">
        <v>20</v>
      </c>
      <c r="H29" s="8" t="s">
        <v>21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SI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7</v>
      </c>
      <c r="B30" s="9" t="str">
        <f>IFERROR(INDEX(Dotación!$A$5:$A$160,MATCH($C30,Dotación!$B$5:$B$160,0)),"4.500.919-K")</f>
        <v>4.500.919-K</v>
      </c>
      <c r="C30" s="10" t="s">
        <v>60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21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51" priority="2" operator="equal">
      <formula>"SI"</formula>
    </cfRule>
    <cfRule type="cellIs" dxfId="5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Dotación!$B$5:$B$160</xm:f>
          </x14:formula1>
          <x14:formula2>
            <xm:f>0</xm:f>
          </x14:formula2>
          <xm:sqref>C6:C20 C24:C30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7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84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84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84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84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IFERROR(INDEX(Dotación!$A$5:$A$160,MATCH($C10,Dotación!$B$5:$B$160,0)),"14413231-9")</f>
        <v>14413231-9</v>
      </c>
      <c r="C10" s="10" t="s">
        <v>70</v>
      </c>
      <c r="D10" s="11" t="s">
        <v>27</v>
      </c>
      <c r="E10" s="8" t="s">
        <v>636</v>
      </c>
      <c r="F10" s="8" t="s">
        <v>19</v>
      </c>
      <c r="G10" s="8" t="s">
        <v>20</v>
      </c>
      <c r="H10" s="8" t="s">
        <v>84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IFERROR(INDEX(Dotación!$A$5:$A$160,MATCH($C11,Dotación!$B$5:$B$160,0)),"13775192-5")</f>
        <v>13775192-5</v>
      </c>
      <c r="C11" s="10" t="s">
        <v>71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84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IFERROR(INDEX(Dotación!$A$5:$A$160,MATCH($C12,Dotación!$B$5:$B$160,0)),"17964013-9")</f>
        <v>17964013-9</v>
      </c>
      <c r="C12" s="10" t="s">
        <v>72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84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IFERROR(INDEX(Dotación!$A$5:$A$160,MATCH($C13,Dotación!$B$5:$B$160,0)),"18450168-6")</f>
        <v>18450168-6</v>
      </c>
      <c r="C13" s="10" t="s">
        <v>73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84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IFERROR(INDEX(Dotación!$A$5:$A$160,MATCH($C14,Dotación!$B$5:$B$160,0)),"13744310-4")</f>
        <v>13744310-4</v>
      </c>
      <c r="C14" s="10" t="s">
        <v>74</v>
      </c>
      <c r="D14" s="11" t="s">
        <v>32</v>
      </c>
      <c r="E14" s="8" t="s">
        <v>636</v>
      </c>
      <c r="F14" s="8" t="s">
        <v>19</v>
      </c>
      <c r="G14" s="8" t="s">
        <v>20</v>
      </c>
      <c r="H14" s="8" t="s">
        <v>84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IFERROR(INDEX(Dotación!$A$5:$A$160,MATCH($C15,Dotación!$B$5:$B$160,0)),"13809180-5")</f>
        <v>13809180-5</v>
      </c>
      <c r="C15" s="10" t="s">
        <v>75</v>
      </c>
      <c r="D15" s="11" t="s">
        <v>36</v>
      </c>
      <c r="E15" s="8" t="s">
        <v>636</v>
      </c>
      <c r="F15" s="8" t="s">
        <v>19</v>
      </c>
      <c r="G15" s="8" t="s">
        <v>20</v>
      </c>
      <c r="H15" s="8" t="s">
        <v>84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IFERROR(INDEX(Dotación!$A$5:$A$160,MATCH($C16,Dotación!$B$5:$B$160,0)),"19460207-3")</f>
        <v>19.460.207-3</v>
      </c>
      <c r="C16" s="10" t="s">
        <v>76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84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IFERROR(INDEX(Dotación!$A$5:$A$160,MATCH($C17,Dotación!$B$5:$B$160,0)),"19804200-5")</f>
        <v>19804200-5</v>
      </c>
      <c r="C17" s="10" t="s">
        <v>77</v>
      </c>
      <c r="D17" s="11" t="s">
        <v>59</v>
      </c>
      <c r="E17" s="8" t="s">
        <v>636</v>
      </c>
      <c r="F17" s="8" t="s">
        <v>19</v>
      </c>
      <c r="G17" s="8" t="s">
        <v>20</v>
      </c>
      <c r="H17" s="8" t="s">
        <v>84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IFERROR(INDEX(Dotación!$A$5:$A$160,MATCH($C18,Dotación!$B$5:$B$160,0)),"23868099-9")</f>
        <v>23868099-9</v>
      </c>
      <c r="C18" s="10" t="s">
        <v>40</v>
      </c>
      <c r="D18" s="11" t="s">
        <v>41</v>
      </c>
      <c r="E18" s="8" t="s">
        <v>636</v>
      </c>
      <c r="F18" s="8" t="s">
        <v>19</v>
      </c>
      <c r="G18" s="8" t="s">
        <v>20</v>
      </c>
      <c r="H18" s="8" t="s">
        <v>84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IFERROR(INDEX(Dotación!$A$5:$A$160,MATCH($C19,Dotación!$B$5:$B$160,0)),"28683244-K")</f>
        <v>28683244-K</v>
      </c>
      <c r="C19" s="10" t="s">
        <v>46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84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79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79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IFERROR(INDEX(Dotación!$A$5:$A$160,MATCH($C25,Dotación!$B$5:$B$160,0)),"21028758-2")</f>
        <v>21028758-2</v>
      </c>
      <c r="C25" s="10" t="s">
        <v>81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79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IFERROR(INDEX(Dotación!$A$5:$A$160,MATCH($C26,Dotación!$B$5:$B$160,0)),"17721340-3")</f>
        <v>17721340-3</v>
      </c>
      <c r="C26" s="10" t="s">
        <v>85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79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IFERROR(INDEX(Dotación!$A$5:$A$160,MATCH($C27,Dotación!$B$5:$B$160,0)),"17465056-K ")</f>
        <v xml:space="preserve">17465056-K </v>
      </c>
      <c r="C27" s="10" t="s">
        <v>82</v>
      </c>
      <c r="D27" s="11" t="s">
        <v>59</v>
      </c>
      <c r="E27" s="8" t="s">
        <v>636</v>
      </c>
      <c r="F27" s="8" t="s">
        <v>19</v>
      </c>
      <c r="G27" s="8" t="s">
        <v>20</v>
      </c>
      <c r="H27" s="8" t="s">
        <v>79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IFERROR(INDEX(Dotación!$A$5:$A$160,MATCH($C28,Dotación!$B$5:$B$160,0)),"8851221-9")</f>
        <v>8851221-9</v>
      </c>
      <c r="C28" s="10" t="s">
        <v>83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79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IFERROR(INDEX(Dotación!$A$5:$A$160,MATCH($C29,Dotación!$B$5:$B$160,0)),"15831074-0")</f>
        <v>15831074-0</v>
      </c>
      <c r="C29" s="10" t="s">
        <v>56</v>
      </c>
      <c r="D29" s="11" t="s">
        <v>57</v>
      </c>
      <c r="E29" s="8" t="s">
        <v>636</v>
      </c>
      <c r="F29" s="8" t="s">
        <v>19</v>
      </c>
      <c r="G29" s="8" t="s">
        <v>20</v>
      </c>
      <c r="H29" s="8" t="s">
        <v>79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SI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IFERROR(INDEX(Dotación!$A$5:$A$160,MATCH($C30,Dotación!$B$5:$B$160,0)),"4.500.919-K")</f>
        <v>4.500.919-K</v>
      </c>
      <c r="C30" s="10" t="s">
        <v>60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79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49" priority="2" operator="equal">
      <formula>"SI"</formula>
    </cfRule>
    <cfRule type="cellIs" dxfId="4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8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79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79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79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79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IFERROR(INDEX(Dotación!$A$5:$A$160,MATCH($C10,Dotación!$B$5:$B$160,0)),"4500989-0")</f>
        <v>4500989-0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79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IFERROR(INDEX(Dotación!$A$5:$A$160,MATCH($C11,Dotación!$B$5:$B$160,0)),"14413231-9")</f>
        <v>14413231-9</v>
      </c>
      <c r="C11" s="10" t="s">
        <v>70</v>
      </c>
      <c r="D11" s="11" t="s">
        <v>27</v>
      </c>
      <c r="E11" s="8" t="s">
        <v>636</v>
      </c>
      <c r="F11" s="8" t="s">
        <v>19</v>
      </c>
      <c r="G11" s="8" t="s">
        <v>20</v>
      </c>
      <c r="H11" s="8" t="s">
        <v>79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79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79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79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79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79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79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79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79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SI</v>
      </c>
      <c r="K19" s="8" t="str">
        <f>IF($B19="","",IF(COUNTIFS('Ayuda Workera'!$C$5:$C$3004,UPPER(SUBSTITUTE($B19,".","")),'Ayuda Workera'!$B$5:$B$3004,DATE($H$1,$G$1,$F$1),'Marcación Workera'!$H$5:$H$3004,"Salida")&gt;0,"SI","NO"))</f>
        <v>SI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IFERROR(INDEX(Dotación!$A$5:$A$160,MATCH($C20,Dotación!$B$5:$B$160,0)),"28683244-K")</f>
        <v>28683244-K</v>
      </c>
      <c r="C20" s="10" t="s">
        <v>86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79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2" spans="1:12" ht="15" customHeight="1" x14ac:dyDescent="0.3">
      <c r="A22" s="12" t="s">
        <v>50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21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7" t="s">
        <v>15</v>
      </c>
      <c r="L23" s="7" t="s">
        <v>16</v>
      </c>
    </row>
    <row r="24" spans="1:12" ht="15" customHeight="1" x14ac:dyDescent="0.3">
      <c r="A24" s="8">
        <v>1</v>
      </c>
      <c r="B24" s="9" t="str">
        <f>IFERROR(INDEX(Dotación!$A$5:$A$160,MATCH($C24,Dotación!$B$5:$B$160,0)),"15613806-1")</f>
        <v>15613806-1</v>
      </c>
      <c r="C24" s="10" t="s">
        <v>78</v>
      </c>
      <c r="D24" s="11" t="s">
        <v>27</v>
      </c>
      <c r="E24" s="8" t="s">
        <v>636</v>
      </c>
      <c r="F24" s="8" t="s">
        <v>19</v>
      </c>
      <c r="G24" s="8" t="s">
        <v>20</v>
      </c>
      <c r="H24" s="8" t="s">
        <v>87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2</v>
      </c>
      <c r="B25" s="9" t="str">
        <f>IFERROR(INDEX(Dotación!$A$5:$A$160,MATCH($C25,Dotación!$B$5:$B$160,0)),"21294612-5")</f>
        <v>21294612-5</v>
      </c>
      <c r="C25" s="10" t="s">
        <v>80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87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3</v>
      </c>
      <c r="B26" s="9" t="str">
        <f>IFERROR(INDEX(Dotación!$A$5:$A$160,MATCH($C26,Dotación!$B$5:$B$160,0)),"21028758-2")</f>
        <v>21028758-2</v>
      </c>
      <c r="C26" s="10" t="s">
        <v>81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87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4</v>
      </c>
      <c r="B27" s="9" t="str">
        <f>IFERROR(INDEX(Dotación!$A$5:$A$160,MATCH($C27,Dotación!$B$5:$B$160,0)),"17721340-3")</f>
        <v>17721340-3</v>
      </c>
      <c r="C27" s="10" t="s">
        <v>85</v>
      </c>
      <c r="D27" s="11" t="s">
        <v>29</v>
      </c>
      <c r="E27" s="8" t="s">
        <v>636</v>
      </c>
      <c r="F27" s="8" t="s">
        <v>19</v>
      </c>
      <c r="G27" s="8" t="s">
        <v>20</v>
      </c>
      <c r="H27" s="8" t="s">
        <v>87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5</v>
      </c>
      <c r="B28" s="9" t="str">
        <f>IFERROR(INDEX(Dotación!$A$5:$A$160,MATCH($C28,Dotación!$B$5:$B$160,0)),"17465056-K ")</f>
        <v xml:space="preserve">17465056-K </v>
      </c>
      <c r="C28" s="10" t="s">
        <v>82</v>
      </c>
      <c r="D28" s="11" t="s">
        <v>59</v>
      </c>
      <c r="E28" s="8" t="s">
        <v>636</v>
      </c>
      <c r="F28" s="8" t="s">
        <v>19</v>
      </c>
      <c r="G28" s="8" t="s">
        <v>20</v>
      </c>
      <c r="H28" s="8" t="s">
        <v>87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6</v>
      </c>
      <c r="B29" s="9" t="str">
        <f>IFERROR(INDEX(Dotación!$A$5:$A$160,MATCH($C29,Dotación!$B$5:$B$160,0)),"8851221-9")</f>
        <v>8851221-9</v>
      </c>
      <c r="C29" s="10" t="s">
        <v>83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87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7</v>
      </c>
      <c r="B30" s="9" t="str">
        <f>IFERROR(INDEX(Dotación!$A$5:$A$160,MATCH($C30,Dotación!$B$5:$B$160,0)),"4.500.919-K")</f>
        <v>4.500.919-K</v>
      </c>
      <c r="C30" s="10" t="s">
        <v>88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87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47" priority="2" operator="equal">
      <formula>"SI"</formula>
    </cfRule>
    <cfRule type="cellIs" dxfId="4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Dotación!$B$5:$B$160</xm:f>
          </x14:formula1>
          <x14:formula2>
            <xm:f>0</xm:f>
          </x14:formula2>
          <xm:sqref>C6:C20 C24:C30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9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79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79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79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79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IFERROR(INDEX(Dotación!$A$5:$A$160,MATCH($C10,Dotación!$B$5:$B$160,0)),"4500989-0")</f>
        <v>4500989-0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79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84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NO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79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79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79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79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79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79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79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79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SI</v>
      </c>
      <c r="K19" s="8" t="str">
        <f>IF($B19="","",IF(COUNTIFS('Ayuda Workera'!$C$5:$C$3004,UPPER(SUBSTITUTE($B19,".","")),'Ayuda Workera'!$B$5:$B$3004,DATE($H$1,$G$1,$F$1),'Marcación Workera'!$H$5:$H$3004,"Salida")&gt;0,"SI","NO"))</f>
        <v>SI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IFERROR(INDEX(Dotación!$A$5:$A$160,MATCH($C20,Dotación!$B$5:$B$160,0)),"4500901-7")</f>
        <v>4500901-7</v>
      </c>
      <c r="C20" s="10" t="s">
        <v>89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79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2" spans="1:12" ht="15" customHeight="1" x14ac:dyDescent="0.3">
      <c r="A22" s="12" t="s">
        <v>50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21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7" t="s">
        <v>15</v>
      </c>
      <c r="L23" s="7" t="s">
        <v>16</v>
      </c>
    </row>
    <row r="24" spans="1:12" ht="15" customHeight="1" x14ac:dyDescent="0.3">
      <c r="A24" s="8">
        <v>1</v>
      </c>
      <c r="B24" s="9" t="str">
        <f>IFERROR(INDEX(Dotación!$A$5:$A$160,MATCH($C24,Dotación!$B$5:$B$160,0)),"15613806-1")</f>
        <v>15613806-1</v>
      </c>
      <c r="C24" s="10" t="s">
        <v>78</v>
      </c>
      <c r="D24" s="11" t="s">
        <v>27</v>
      </c>
      <c r="E24" s="8" t="s">
        <v>636</v>
      </c>
      <c r="F24" s="8" t="s">
        <v>19</v>
      </c>
      <c r="G24" s="8" t="s">
        <v>20</v>
      </c>
      <c r="H24" s="8" t="s">
        <v>87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2</v>
      </c>
      <c r="B25" s="9" t="str">
        <f>IFERROR(INDEX(Dotación!$A$5:$A$160,MATCH($C25,Dotación!$B$5:$B$160,0)),"21294612-5")</f>
        <v>21294612-5</v>
      </c>
      <c r="C25" s="10" t="s">
        <v>80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87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3</v>
      </c>
      <c r="B26" s="9" t="str">
        <f>IFERROR(INDEX(Dotación!$A$5:$A$160,MATCH($C26,Dotación!$B$5:$B$160,0)),"17721340-3")</f>
        <v>17721340-3</v>
      </c>
      <c r="C26" s="10" t="s">
        <v>85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87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4</v>
      </c>
      <c r="B27" s="9" t="str">
        <f>IFERROR(INDEX(Dotación!$A$5:$A$160,MATCH($C27,Dotación!$B$5:$B$160,0)),"17465056-K ")</f>
        <v xml:space="preserve">17465056-K </v>
      </c>
      <c r="C27" s="10" t="s">
        <v>82</v>
      </c>
      <c r="D27" s="11" t="s">
        <v>59</v>
      </c>
      <c r="E27" s="8" t="s">
        <v>636</v>
      </c>
      <c r="F27" s="8" t="s">
        <v>19</v>
      </c>
      <c r="G27" s="8" t="s">
        <v>20</v>
      </c>
      <c r="H27" s="8" t="s">
        <v>87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5</v>
      </c>
      <c r="B28" s="9" t="str">
        <f>IFERROR(INDEX(Dotación!$A$5:$A$160,MATCH($C28,Dotación!$B$5:$B$160,0)),"8851221-9")</f>
        <v>8851221-9</v>
      </c>
      <c r="C28" s="10" t="s">
        <v>83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87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6</v>
      </c>
      <c r="B29" s="9" t="str">
        <f>IFERROR(INDEX(Dotación!$A$5:$A$160,MATCH($C29,Dotación!$B$5:$B$160,0)),"25832490-0")</f>
        <v>25832490-0</v>
      </c>
      <c r="C29" s="10" t="s">
        <v>90</v>
      </c>
      <c r="D29" s="11" t="s">
        <v>91</v>
      </c>
      <c r="E29" s="8"/>
      <c r="F29" s="8"/>
      <c r="G29" s="8"/>
      <c r="H29" s="8" t="s">
        <v>87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7</v>
      </c>
      <c r="B30" s="9" t="str">
        <f>IFERROR(INDEX(Dotación!$A$5:$A$160,MATCH($C30,Dotación!$B$5:$B$160,0)),"4500884-3")</f>
        <v>4500884-3</v>
      </c>
      <c r="C30" s="10" t="s">
        <v>92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87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45" priority="2" operator="equal">
      <formula>"SI"</formula>
    </cfRule>
    <cfRule type="cellIs" dxfId="4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Dotación!$B$5:$B$160</xm:f>
          </x14:formula1>
          <x14:formula2>
            <xm:f>0</xm:f>
          </x14:formula2>
          <xm:sqref>C6:C20 C24:C30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10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93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93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93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93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IFERROR(INDEX(Dotación!$A$5:$A$160,MATCH($C10,Dotación!$B$5:$B$160,0)),"4500989-0")</f>
        <v>4500989-0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93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93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93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93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93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93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93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93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93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93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SI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IFERROR(INDEX(Dotación!$A$5:$A$160,MATCH($C20,Dotación!$B$5:$B$160,0)),"4500901-7")</f>
        <v>4500901-7</v>
      </c>
      <c r="C20" s="10" t="s">
        <v>89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93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2" spans="1:12" ht="15" customHeight="1" x14ac:dyDescent="0.3">
      <c r="A22" s="12" t="s">
        <v>50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21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7" t="s">
        <v>15</v>
      </c>
      <c r="L23" s="7" t="s">
        <v>16</v>
      </c>
    </row>
    <row r="24" spans="1:12" ht="15" customHeight="1" x14ac:dyDescent="0.3">
      <c r="A24" s="8">
        <v>1</v>
      </c>
      <c r="B24" s="9" t="str">
        <f>IFERROR(INDEX(Dotación!$A$5:$A$160,MATCH($C24,Dotación!$B$5:$B$160,0)),"15613806-1")</f>
        <v>15613806-1</v>
      </c>
      <c r="C24" s="10" t="s">
        <v>78</v>
      </c>
      <c r="D24" s="11" t="s">
        <v>27</v>
      </c>
      <c r="E24" s="8" t="s">
        <v>636</v>
      </c>
      <c r="F24" s="8" t="s">
        <v>19</v>
      </c>
      <c r="G24" s="8" t="s">
        <v>20</v>
      </c>
      <c r="H24" s="8" t="s">
        <v>94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2</v>
      </c>
      <c r="B25" s="9" t="str">
        <f>IFERROR(INDEX(Dotación!$A$5:$A$160,MATCH($C25,Dotación!$B$5:$B$160,0)),"21294612-5")</f>
        <v>21294612-5</v>
      </c>
      <c r="C25" s="10" t="s">
        <v>80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94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3</v>
      </c>
      <c r="B26" s="9" t="str">
        <f>IFERROR(INDEX(Dotación!$A$5:$A$160,MATCH($C26,Dotación!$B$5:$B$160,0)),"17721340-3")</f>
        <v>17721340-3</v>
      </c>
      <c r="C26" s="10" t="s">
        <v>85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94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4</v>
      </c>
      <c r="B27" s="9" t="str">
        <f>IFERROR(INDEX(Dotación!$A$5:$A$160,MATCH($C27,Dotación!$B$5:$B$160,0)),"17465056-K ")</f>
        <v xml:space="preserve">17465056-K </v>
      </c>
      <c r="C27" s="10" t="s">
        <v>82</v>
      </c>
      <c r="D27" s="11" t="s">
        <v>59</v>
      </c>
      <c r="E27" s="8" t="s">
        <v>636</v>
      </c>
      <c r="F27" s="8" t="s">
        <v>19</v>
      </c>
      <c r="G27" s="8" t="s">
        <v>20</v>
      </c>
      <c r="H27" s="8" t="s">
        <v>94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5</v>
      </c>
      <c r="B28" s="9" t="str">
        <f>IFERROR(INDEX(Dotación!$A$5:$A$160,MATCH($C28,Dotación!$B$5:$B$160,0)),"8851221-9")</f>
        <v>8851221-9</v>
      </c>
      <c r="C28" s="10" t="s">
        <v>83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94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6</v>
      </c>
      <c r="B29" s="9" t="str">
        <f>IFERROR(INDEX(Dotación!$A$5:$A$160,MATCH($C29,Dotación!$B$5:$B$160,0)),"25832490-0")</f>
        <v>25832490-0</v>
      </c>
      <c r="C29" s="10" t="s">
        <v>90</v>
      </c>
      <c r="D29" s="11" t="s">
        <v>91</v>
      </c>
      <c r="E29" s="8"/>
      <c r="F29" s="8"/>
      <c r="G29" s="8"/>
      <c r="H29" s="8" t="s">
        <v>94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7</v>
      </c>
      <c r="B30" s="9" t="str">
        <f>IFERROR(INDEX(Dotación!$A$5:$A$160,MATCH($C30,Dotación!$B$5:$B$160,0)),"4500884-3")</f>
        <v>4500884-3</v>
      </c>
      <c r="C30" s="10" t="s">
        <v>92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94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43" priority="2" operator="equal">
      <formula>"SI"</formula>
    </cfRule>
    <cfRule type="cellIs" dxfId="4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Dotación!$B$5:$B$160</xm:f>
          </x14:formula1>
          <x14:formula2>
            <xm:f>0</xm:f>
          </x14:formula2>
          <xm:sqref>C6:C20 C24:C30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11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IFERROR(INDEX(Dotación!$A$5:$A$160,MATCH($C6,Dotación!$B$5:$B$160,0)),"11384027-7")</f>
        <v>11384027-7</v>
      </c>
      <c r="C6" s="10" t="s">
        <v>17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NO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IFERROR(INDEX(Dotación!$A$5:$A$160,MATCH($C10,Dotación!$B$5:$B$160,0)),"4500989-0")</f>
        <v>4500989-0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IFERROR(INDEX(Dotación!$A$5:$A$160,MATCH($C19,Dotación!$B$5:$B$160,0)),"23868099-9")</f>
        <v>23868099-9</v>
      </c>
      <c r="C19" s="10" t="s">
        <v>40</v>
      </c>
      <c r="D19" s="11" t="s">
        <v>41</v>
      </c>
      <c r="E19" s="8" t="s">
        <v>636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0" spans="1:12" ht="15" customHeight="1" x14ac:dyDescent="0.3">
      <c r="A20" s="8">
        <v>15</v>
      </c>
      <c r="B20" s="9" t="str">
        <f>IFERROR(INDEX(Dotación!$A$5:$A$160,MATCH($C20,Dotación!$B$5:$B$160,0)),"4500901-7")</f>
        <v>4500901-7</v>
      </c>
      <c r="C20" s="10" t="s">
        <v>89</v>
      </c>
      <c r="D20" s="11" t="s">
        <v>47</v>
      </c>
      <c r="E20" s="8" t="s">
        <v>48</v>
      </c>
      <c r="F20" s="8" t="s">
        <v>19</v>
      </c>
      <c r="G20" s="8" t="s">
        <v>20</v>
      </c>
      <c r="H20" s="8" t="s">
        <v>95</v>
      </c>
      <c r="I20" s="8"/>
      <c r="J20" s="8" t="str">
        <f>IF($B20="","",IF(COUNTIFS('Ayuda Workera'!$C$5:$C$3004,UPPER(SUBSTITUTE($B20,".","")),'Ayuda Workera'!$B$5:$B$3004,DATE($H$1,$G$1,$F$1),'Marcación Workera'!$H$5:$H$3004,"Entrada")&gt;0,"SI","NO"))</f>
        <v>NO</v>
      </c>
      <c r="K20" s="8" t="str">
        <f>IF($B20="","",IF(COUNTIFS('Ayuda Workera'!$C$5:$C$3004,UPPER(SUBSTITUTE($B20,".","")),'Ayuda Workera'!$B$5:$B$3004,DATE($H$1,$G$1,$F$1),'Marcación Workera'!$H$5:$H$3004,"Salida")&gt;0,"SI","NO"))</f>
        <v>NO</v>
      </c>
      <c r="L20" s="8"/>
    </row>
    <row r="22" spans="1:12" ht="15" customHeight="1" x14ac:dyDescent="0.3">
      <c r="A22" s="12" t="s">
        <v>50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21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7" t="s">
        <v>15</v>
      </c>
      <c r="L23" s="7" t="s">
        <v>16</v>
      </c>
    </row>
    <row r="24" spans="1:12" ht="15" customHeight="1" x14ac:dyDescent="0.3">
      <c r="A24" s="8">
        <v>1</v>
      </c>
      <c r="B24" s="9" t="str">
        <f>IFERROR(INDEX(Dotación!$A$5:$A$160,MATCH($C24,Dotación!$B$5:$B$160,0)),"15613806-1")</f>
        <v>15613806-1</v>
      </c>
      <c r="C24" s="10" t="s">
        <v>78</v>
      </c>
      <c r="D24" s="11" t="s">
        <v>27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2</v>
      </c>
      <c r="B25" s="9" t="str">
        <f>IFERROR(INDEX(Dotación!$A$5:$A$160,MATCH($C25,Dotación!$B$5:$B$160,0)),"21294612-5")</f>
        <v>21294612-5</v>
      </c>
      <c r="C25" s="10" t="s">
        <v>80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3</v>
      </c>
      <c r="B26" s="9" t="str">
        <f>IFERROR(INDEX(Dotación!$A$5:$A$160,MATCH($C26,Dotación!$B$5:$B$160,0)),"17721340-3")</f>
        <v>17721340-3</v>
      </c>
      <c r="C26" s="10" t="s">
        <v>85</v>
      </c>
      <c r="D26" s="11" t="s">
        <v>29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4</v>
      </c>
      <c r="B27" s="9" t="str">
        <f>IFERROR(INDEX(Dotación!$A$5:$A$160,MATCH($C27,Dotación!$B$5:$B$160,0)),"17465056-K ")</f>
        <v xml:space="preserve">17465056-K </v>
      </c>
      <c r="C27" s="10" t="s">
        <v>82</v>
      </c>
      <c r="D27" s="11" t="s">
        <v>59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5</v>
      </c>
      <c r="B28" s="9" t="str">
        <f>IFERROR(INDEX(Dotación!$A$5:$A$160,MATCH($C28,Dotación!$B$5:$B$160,0)),"8851221-9")</f>
        <v>8851221-9</v>
      </c>
      <c r="C28" s="10" t="s">
        <v>83</v>
      </c>
      <c r="D28" s="11" t="s">
        <v>36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6</v>
      </c>
      <c r="B29" s="9" t="str">
        <f>IFERROR(INDEX(Dotación!$A$5:$A$160,MATCH($C29,Dotación!$B$5:$B$160,0)),"25832490-0")</f>
        <v>25832490-0</v>
      </c>
      <c r="C29" s="10" t="s">
        <v>90</v>
      </c>
      <c r="D29" s="11" t="s">
        <v>91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7</v>
      </c>
      <c r="B30" s="9" t="str">
        <f>IFERROR(INDEX(Dotación!$A$5:$A$160,MATCH($C30,Dotación!$B$5:$B$160,0)),"4500884-3")</f>
        <v>4500884-3</v>
      </c>
      <c r="C30" s="10" t="s">
        <v>92</v>
      </c>
      <c r="D30" s="11" t="s">
        <v>47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NO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41" priority="2" operator="equal">
      <formula>"SI"</formula>
    </cfRule>
    <cfRule type="cellIs" dxfId="4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Dotación!$B$5:$B$160</xm:f>
          </x14:formula1>
          <x14:formula2>
            <xm:f>0</xm:f>
          </x14:formula2>
          <xm:sqref>C6:C20 C24:C30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12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NO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NO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IFERROR(INDEX(Dotación!$A$5:$A$160,MATCH($C10,Dotación!$B$5:$B$160,0)),"4.500.989-0")</f>
        <v>4.500.989-0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39" priority="2" operator="equal">
      <formula>"SI"</formula>
    </cfRule>
    <cfRule type="cellIs" dxfId="3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13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NO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NO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IFERROR(INDEX(Dotación!$A$5:$A$160,MATCH($C10,Dotación!$B$5:$B$160,0)),"4.500.989-0")</f>
        <v>4.500.989-0</v>
      </c>
      <c r="C10" s="10" t="s">
        <v>42</v>
      </c>
      <c r="D10" s="11" t="s">
        <v>43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37" priority="2" operator="equal">
      <formula>"SI"</formula>
    </cfRule>
    <cfRule type="cellIs" dxfId="3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C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14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18.919.440-4</v>
      </c>
      <c r="C10" s="10" t="s">
        <v>100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35" priority="2" operator="equal">
      <formula>"SI"</formula>
    </cfRule>
    <cfRule type="cellIs" dxfId="3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15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18.919.440-4</v>
      </c>
      <c r="C10" s="10" t="s">
        <v>100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33" priority="2" operator="equal">
      <formula>"SI"</formula>
    </cfRule>
    <cfRule type="cellIs" dxfId="3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E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16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18.919.440-4</v>
      </c>
      <c r="C10" s="10" t="s">
        <v>100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31" priority="2" operator="equal">
      <formula>"SI"</formula>
    </cfRule>
    <cfRule type="cellIs" dxfId="3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F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17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18.919.440-4</v>
      </c>
      <c r="C10" s="10" t="s">
        <v>100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29" priority="2" operator="equal">
      <formula>"SI"</formula>
    </cfRule>
    <cfRule type="cellIs" dxfId="2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0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18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NO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18.919.440-4</v>
      </c>
      <c r="C10" s="10" t="s">
        <v>100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13775192-5</v>
      </c>
      <c r="C12" s="10" t="s">
        <v>71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17964013-9</v>
      </c>
      <c r="C13" s="10" t="s">
        <v>72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18450168-6</v>
      </c>
      <c r="C14" s="10" t="s">
        <v>73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13744310-4</v>
      </c>
      <c r="C15" s="10" t="s">
        <v>74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13809180-5</v>
      </c>
      <c r="C16" s="10" t="s">
        <v>75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19.460.207-3</v>
      </c>
      <c r="C17" s="10" t="s">
        <v>76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19804200-5</v>
      </c>
      <c r="C18" s="10" t="s">
        <v>77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4500901-7</v>
      </c>
      <c r="C19" s="10" t="s">
        <v>89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IFERROR(INDEX(Dotación!$A$5:$A$160,MATCH($C23,Dotación!$B$5:$B$160,0)),"15613806-1")</f>
        <v>15613806-1</v>
      </c>
      <c r="C23" s="10" t="s">
        <v>78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21294612-5</v>
      </c>
      <c r="C24" s="10" t="s">
        <v>80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17721340-3</v>
      </c>
      <c r="C25" s="10" t="s">
        <v>85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 xml:space="preserve">17465056-K </v>
      </c>
      <c r="C26" s="10" t="s">
        <v>82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8851221-9</v>
      </c>
      <c r="C27" s="10" t="s">
        <v>83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NO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25832490-0</v>
      </c>
      <c r="C28" s="10" t="s">
        <v>90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4500884-3</v>
      </c>
      <c r="C29" s="10" t="s">
        <v>92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</sheetData>
  <conditionalFormatting sqref="J5:K29">
    <cfRule type="cellIs" dxfId="27" priority="2" operator="equal">
      <formula>"SI"</formula>
    </cfRule>
    <cfRule type="cellIs" dxfId="2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100-000000000000}">
          <x14:formula1>
            <xm:f>Dotación!$B$5:$B$160</xm:f>
          </x14:formula1>
          <x14:formula2>
            <xm:f>0</xm:f>
          </x14:formula2>
          <xm:sqref>C6:C19 C23:C29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19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NO</v>
      </c>
      <c r="K12" s="8" t="str">
        <f>IF($B12="","",IF(COUNTIFS('Ayuda Workera'!$C$5:$C$3004,UPPER(SUBSTITUTE($B12,".","")),'Ayuda Workera'!$B$5:$B$3004,DATE($H$1,$G$1,$F$1),'Marcación Workera'!$H$5:$H$3004,"Salida")&gt;0,"SI","NO"))</f>
        <v>NO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NO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NO</v>
      </c>
      <c r="K17" s="8" t="str">
        <f>IF($B17="","",IF(COUNTIFS('Ayuda Workera'!$C$5:$C$3004,UPPER(SUBSTITUTE($B17,".","")),'Ayuda Workera'!$B$5:$B$3004,DATE($H$1,$G$1,$F$1),'Marcación Workera'!$H$5:$H$3004,"Salida")&gt;0,"SI","NO"))</f>
        <v>NO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NO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NO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25" priority="2" operator="equal">
      <formula>"SI"</formula>
    </cfRule>
    <cfRule type="cellIs" dxfId="2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2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20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NO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NO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NO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NO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23" priority="2" operator="equal">
      <formula>"SI"</formula>
    </cfRule>
    <cfRule type="cellIs" dxfId="2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3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21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NO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NO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NO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NO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NO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NO</v>
      </c>
      <c r="L30" s="8"/>
    </row>
  </sheetData>
  <conditionalFormatting sqref="J5:K30">
    <cfRule type="cellIs" dxfId="21" priority="2" operator="equal">
      <formula>"SI"</formula>
    </cfRule>
    <cfRule type="cellIs" dxfId="2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4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22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NO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NO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9" priority="2" operator="equal">
      <formula>"SI"</formula>
    </cfRule>
    <cfRule type="cellIs" dxfId="1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5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23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NO</v>
      </c>
      <c r="K11" s="8" t="str">
        <f>IF($B11="","",IF(COUNTIFS('Ayuda Workera'!$C$5:$C$3004,UPPER(SUBSTITUTE($B11,".","")),'Ayuda Workera'!$B$5:$B$3004,DATE($H$1,$G$1,$F$1),'Marcación Workera'!$H$5:$H$3004,"Salida")&gt;0,"SI","NO"))</f>
        <v>NO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7" priority="2" operator="equal">
      <formula>"SI"</formula>
    </cfRule>
    <cfRule type="cellIs" dxfId="1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6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30"/>
  <sheetViews>
    <sheetView showGridLines="0" zoomScaleNormal="100" workbookViewId="0">
      <pane ySplit="3" topLeftCell="A4" activePane="bottomLeft" state="frozen"/>
      <selection pane="bottomLeft" activeCell="I10" sqref="I10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24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5" priority="2" operator="equal">
      <formula>"SI"</formula>
    </cfRule>
    <cfRule type="cellIs" dxfId="1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7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25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IFERROR(INDEX(Dotación!$A$5:$A$160,MATCH($C6,Dotación!$B$5:$B$160,0)),"16053497-4")</f>
        <v>16053497-4</v>
      </c>
      <c r="C6" s="10" t="s">
        <v>96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101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IFERROR(INDEX(Dotación!$A$5:$A$160,MATCH($C7,Dotación!$B$5:$B$160,0)),"17979787-9")</f>
        <v>17979787-9</v>
      </c>
      <c r="C7" s="10" t="s">
        <v>97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101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NO</v>
      </c>
      <c r="K7" s="8" t="str">
        <f>IF($B7="","",IF(COUNTIFS('Ayuda Workera'!$C$5:$C$3004,UPPER(SUBSTITUTE($B7,".","")),'Ayuda Workera'!$B$5:$B$3004,DATE($H$1,$G$1,$F$1),'Marcación Workera'!$H$5:$H$3004,"Salida")&gt;0,"SI","NO"))</f>
        <v>NO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IFERROR(INDEX(Dotación!$A$5:$A$160,MATCH($C8,Dotación!$B$5:$B$160,0)),"17628970-8")</f>
        <v>17628970-8</v>
      </c>
      <c r="C8" s="10" t="s">
        <v>98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101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IFERROR(INDEX(Dotación!$A$5:$A$160,MATCH($C9,Dotación!$B$5:$B$160,0)),"19507111-K")</f>
        <v>19507111-K</v>
      </c>
      <c r="C9" s="10" t="s">
        <v>99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101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101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101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101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101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101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101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101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101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101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101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3" priority="2" operator="equal">
      <formula>"SI"</formula>
    </cfRule>
    <cfRule type="cellIs" dxfId="1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8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0"/>
  <sheetViews>
    <sheetView showGridLines="0" zoomScaleNormal="100" workbookViewId="0">
      <pane ySplit="3" topLeftCell="A4" activePane="bottomLeft" state="frozen"/>
      <selection pane="bottomLeft" activeCell="M6" sqref="M6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26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102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102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102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102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102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102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102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102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102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NO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102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102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102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102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102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1" priority="2" operator="equal">
      <formula>"SI"</formula>
    </cfRule>
    <cfRule type="cellIs" dxfId="1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9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27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NO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IFERROR(INDEX(Dotación!$A$5:$A$160,MATCH($C11,Dotación!$B$5:$B$160,0)),"15593625-8")</f>
        <v>15593625-8</v>
      </c>
      <c r="C11" s="10" t="s">
        <v>64</v>
      </c>
      <c r="D11" s="11" t="s">
        <v>65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9" priority="2" operator="equal">
      <formula>"SI"</formula>
    </cfRule>
    <cfRule type="cellIs" dxfId="8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A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28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NO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IFERROR(INDEX(Dotación!$A$5:$A$160,MATCH($C11,Dotación!$B$5:$B$160,0)),"13775192-5")</f>
        <v>20718093-9</v>
      </c>
      <c r="C11" s="10" t="s">
        <v>54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IFERROR(INDEX(Dotación!$A$5:$A$160,MATCH($C12,Dotación!$B$5:$B$160,0)),"17964013-9")</f>
        <v>16188552-5</v>
      </c>
      <c r="C12" s="10" t="s">
        <v>53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IFERROR(INDEX(Dotación!$A$5:$A$160,MATCH($C13,Dotación!$B$5:$B$160,0)),"18450168-6")</f>
        <v>19949787-1</v>
      </c>
      <c r="C13" s="10" t="s">
        <v>49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IFERROR(INDEX(Dotación!$A$5:$A$160,MATCH($C14,Dotación!$B$5:$B$160,0)),"13744310-4")</f>
        <v>11508866-1</v>
      </c>
      <c r="C14" s="10" t="s">
        <v>31</v>
      </c>
      <c r="D14" s="11" t="s">
        <v>32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IFERROR(INDEX(Dotación!$A$5:$A$160,MATCH($C15,Dotación!$B$5:$B$160,0)),"13809180-5")</f>
        <v>12814487-0</v>
      </c>
      <c r="C15" s="10" t="s">
        <v>35</v>
      </c>
      <c r="D15" s="11" t="s">
        <v>36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IFERROR(INDEX(Dotación!$A$5:$A$160,MATCH($C16,Dotación!$B$5:$B$160,0)),"19460207-3")</f>
        <v>17643998-k</v>
      </c>
      <c r="C16" s="10" t="s">
        <v>55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IFERROR(INDEX(Dotación!$A$5:$A$160,MATCH($C17,Dotación!$B$5:$B$160,0)),"19804200-5")</f>
        <v>14594999-8</v>
      </c>
      <c r="C17" s="10" t="s">
        <v>58</v>
      </c>
      <c r="D17" s="11" t="s">
        <v>59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IFERROR(INDEX(Dotación!$A$5:$A$160,MATCH($C18,Dotación!$B$5:$B$160,0)),"4500901-7")</f>
        <v>4.500.919-K</v>
      </c>
      <c r="C18" s="10" t="s">
        <v>60</v>
      </c>
      <c r="D18" s="11" t="s">
        <v>47</v>
      </c>
      <c r="E18" s="8" t="s">
        <v>48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20" spans="1:12" ht="15" customHeight="1" x14ac:dyDescent="0.3">
      <c r="A20" s="12" t="s">
        <v>50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21.75" customHeight="1" x14ac:dyDescent="0.3">
      <c r="A21" s="7" t="s">
        <v>5</v>
      </c>
      <c r="B21" s="7" t="s">
        <v>6</v>
      </c>
      <c r="C21" s="7" t="s">
        <v>7</v>
      </c>
      <c r="D21" s="7" t="s">
        <v>8</v>
      </c>
      <c r="E21" s="7" t="s">
        <v>9</v>
      </c>
      <c r="F21" s="7" t="s">
        <v>10</v>
      </c>
      <c r="G21" s="7" t="s">
        <v>11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spans="1:12" ht="15" customHeight="1" x14ac:dyDescent="0.3">
      <c r="A22" s="8">
        <v>1</v>
      </c>
      <c r="B22" s="9" t="str">
        <f>IFERROR(INDEX(Dotación!$A$5:$A$160,MATCH($C22,Dotación!$B$5:$B$160,0)),"15814058-6")</f>
        <v>15.814.058-6</v>
      </c>
      <c r="C22" s="10" t="s">
        <v>51</v>
      </c>
      <c r="D22" s="11" t="s">
        <v>27</v>
      </c>
      <c r="E22" s="8" t="s">
        <v>636</v>
      </c>
      <c r="F22" s="8" t="s">
        <v>19</v>
      </c>
      <c r="G22" s="8" t="s">
        <v>20</v>
      </c>
      <c r="H22" s="8" t="s">
        <v>95</v>
      </c>
      <c r="I22" s="8"/>
      <c r="J22" s="8" t="str">
        <f>IF($B22="","",IF(COUNTIFS('Ayuda Workera'!$C$5:$C$3004,UPPER(SUBSTITUTE($B22,".","")),'Ayuda Workera'!$B$5:$B$3004,DATE($H$1,$G$1,$F$1),'Marcación Workera'!$H$5:$H$3004,"Entrada")&gt;0,"SI","NO"))</f>
        <v>SI</v>
      </c>
      <c r="K22" s="8" t="str">
        <f>IF($B22="","",IF(COUNTIFS('Ayuda Workera'!$C$5:$C$3004,UPPER(SUBSTITUTE($B22,".","")),'Ayuda Workera'!$B$5:$B$3004,DATE($H$1,$G$1,$F$1),'Marcación Workera'!$H$5:$H$3004,"Salida")&gt;0,"SI","NO"))</f>
        <v>SI</v>
      </c>
      <c r="L22" s="8"/>
    </row>
    <row r="23" spans="1:12" ht="15" customHeight="1" x14ac:dyDescent="0.3">
      <c r="A23" s="8">
        <v>2</v>
      </c>
      <c r="B23" s="9" t="str">
        <f>IFERROR(INDEX(Dotación!$A$5:$A$160,MATCH($C23,Dotación!$B$5:$B$160,0)),"21294612-5")</f>
        <v>18889617-0</v>
      </c>
      <c r="C23" s="10" t="s">
        <v>28</v>
      </c>
      <c r="D23" s="11" t="s">
        <v>29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3</v>
      </c>
      <c r="B24" s="9" t="str">
        <f>IFERROR(INDEX(Dotación!$A$5:$A$160,MATCH($C24,Dotación!$B$5:$B$160,0)),"17721340-3")</f>
        <v>16.706.064-1</v>
      </c>
      <c r="C24" s="10" t="s">
        <v>30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4</v>
      </c>
      <c r="B25" s="9" t="str">
        <f>IFERROR(INDEX(Dotación!$A$5:$A$160,MATCH($C25,Dotación!$B$5:$B$160,0)),"17465056-K ")</f>
        <v>21254681-K</v>
      </c>
      <c r="C25" s="10" t="s">
        <v>37</v>
      </c>
      <c r="D25" s="11" t="s">
        <v>59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5</v>
      </c>
      <c r="B26" s="9" t="str">
        <f>IFERROR(INDEX(Dotación!$A$5:$A$160,MATCH($C26,Dotación!$B$5:$B$160,0)),"8851221-9")</f>
        <v>17805184-9</v>
      </c>
      <c r="C26" s="10" t="s">
        <v>39</v>
      </c>
      <c r="D26" s="11" t="s">
        <v>36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6</v>
      </c>
      <c r="B27" s="9" t="str">
        <f>IFERROR(INDEX(Dotación!$A$5:$A$160,MATCH($C27,Dotación!$B$5:$B$160,0)),"25832490-0")</f>
        <v>23868099-9</v>
      </c>
      <c r="C27" s="10" t="s">
        <v>40</v>
      </c>
      <c r="D27" s="11" t="s">
        <v>91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7</v>
      </c>
      <c r="B28" s="9" t="str">
        <f>IFERROR(INDEX(Dotación!$A$5:$A$160,MATCH($C28,Dotación!$B$5:$B$160,0)),"4500884-3")</f>
        <v>28683244-K</v>
      </c>
      <c r="C28" s="10" t="s">
        <v>46</v>
      </c>
      <c r="D28" s="11" t="s">
        <v>47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8</v>
      </c>
      <c r="B29" s="9" t="str">
        <f>IFERROR(INDEX(Dotación!$A$5:$A$160,MATCH($C29,Dotación!$B$5:$B$160,0)),"15613806-1")</f>
        <v>17805184-9</v>
      </c>
      <c r="C29" s="10" t="s">
        <v>39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SI</v>
      </c>
      <c r="K29" s="8" t="str">
        <f>IF($B29="","",IF(COUNTIFS('Ayuda Workera'!$C$5:$C$3004,UPPER(SUBSTITUTE($B29,".","")),'Ayuda Workera'!$B$5:$B$3004,DATE($H$1,$G$1,$F$1),'Marcación Workera'!$H$5:$H$3004,"Salida")&gt;0,"SI","NO"))</f>
        <v>SI</v>
      </c>
      <c r="L29" s="8"/>
    </row>
  </sheetData>
  <conditionalFormatting sqref="J5:K29">
    <cfRule type="cellIs" dxfId="7" priority="2" operator="equal">
      <formula>"SI"</formula>
    </cfRule>
    <cfRule type="cellIs" dxfId="6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B00-000000000000}">
          <x14:formula1>
            <xm:f>Dotación!$B$5:$B$160</xm:f>
          </x14:formula1>
          <x14:formula2>
            <xm:f>0</xm:f>
          </x14:formula2>
          <xm:sqref>C6:C18 C22:C29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9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29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103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103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103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NO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103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IFERROR(INDEX(Dotación!$A$5:$A$160,MATCH($C10,Dotación!$B$5:$B$160,0)),"18.919.440-4")</f>
        <v>15831074-0</v>
      </c>
      <c r="C10" s="10" t="s">
        <v>56</v>
      </c>
      <c r="D10" s="11" t="s">
        <v>91</v>
      </c>
      <c r="E10" s="8" t="s">
        <v>636</v>
      </c>
      <c r="F10" s="8" t="s">
        <v>19</v>
      </c>
      <c r="G10" s="8" t="s">
        <v>20</v>
      </c>
      <c r="H10" s="8" t="s">
        <v>103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IFERROR(INDEX(Dotación!$A$5:$A$160,MATCH($C11,Dotación!$B$5:$B$160,0)),"13775192-5")</f>
        <v>20718093-9</v>
      </c>
      <c r="C11" s="10" t="s">
        <v>54</v>
      </c>
      <c r="D11" s="11" t="s">
        <v>29</v>
      </c>
      <c r="E11" s="8" t="s">
        <v>636</v>
      </c>
      <c r="F11" s="8" t="s">
        <v>19</v>
      </c>
      <c r="G11" s="8" t="s">
        <v>20</v>
      </c>
      <c r="H11" s="8" t="s">
        <v>103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IFERROR(INDEX(Dotación!$A$5:$A$160,MATCH($C12,Dotación!$B$5:$B$160,0)),"17964013-9")</f>
        <v>16188552-5</v>
      </c>
      <c r="C12" s="10" t="s">
        <v>53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103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IFERROR(INDEX(Dotación!$A$5:$A$160,MATCH($C13,Dotación!$B$5:$B$160,0)),"18450168-6")</f>
        <v>19949787-1</v>
      </c>
      <c r="C13" s="10" t="s">
        <v>49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103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NO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IFERROR(INDEX(Dotación!$A$5:$A$160,MATCH($C14,Dotación!$B$5:$B$160,0)),"13744310-4")</f>
        <v>11508866-1</v>
      </c>
      <c r="C14" s="10" t="s">
        <v>31</v>
      </c>
      <c r="D14" s="11" t="s">
        <v>32</v>
      </c>
      <c r="E14" s="8" t="s">
        <v>636</v>
      </c>
      <c r="F14" s="8" t="s">
        <v>19</v>
      </c>
      <c r="G14" s="8" t="s">
        <v>20</v>
      </c>
      <c r="H14" s="8" t="s">
        <v>103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IFERROR(INDEX(Dotación!$A$5:$A$160,MATCH($C15,Dotación!$B$5:$B$160,0)),"13809180-5")</f>
        <v>12814487-0</v>
      </c>
      <c r="C15" s="10" t="s">
        <v>35</v>
      </c>
      <c r="D15" s="11" t="s">
        <v>36</v>
      </c>
      <c r="E15" s="8" t="s">
        <v>636</v>
      </c>
      <c r="F15" s="8" t="s">
        <v>19</v>
      </c>
      <c r="G15" s="8" t="s">
        <v>20</v>
      </c>
      <c r="H15" s="8" t="s">
        <v>103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IFERROR(INDEX(Dotación!$A$5:$A$160,MATCH($C16,Dotación!$B$5:$B$160,0)),"19460207-3")</f>
        <v>17643998-k</v>
      </c>
      <c r="C16" s="10" t="s">
        <v>55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103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IFERROR(INDEX(Dotación!$A$5:$A$160,MATCH($C17,Dotación!$B$5:$B$160,0)),"19804200-5")</f>
        <v>14594999-8</v>
      </c>
      <c r="C17" s="10" t="s">
        <v>58</v>
      </c>
      <c r="D17" s="11" t="s">
        <v>59</v>
      </c>
      <c r="E17" s="8" t="s">
        <v>636</v>
      </c>
      <c r="F17" s="8" t="s">
        <v>19</v>
      </c>
      <c r="G17" s="8" t="s">
        <v>20</v>
      </c>
      <c r="H17" s="8" t="s">
        <v>103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IFERROR(INDEX(Dotación!$A$5:$A$160,MATCH($C18,Dotación!$B$5:$B$160,0)),"4500901-7")</f>
        <v>4.500.919-K</v>
      </c>
      <c r="C18" s="10" t="s">
        <v>60</v>
      </c>
      <c r="D18" s="11" t="s">
        <v>47</v>
      </c>
      <c r="E18" s="8" t="s">
        <v>48</v>
      </c>
      <c r="F18" s="8" t="s">
        <v>19</v>
      </c>
      <c r="G18" s="8" t="s">
        <v>20</v>
      </c>
      <c r="H18" s="8" t="s">
        <v>103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NO</v>
      </c>
      <c r="L18" s="8"/>
    </row>
    <row r="20" spans="1:12" ht="15" customHeight="1" x14ac:dyDescent="0.3">
      <c r="A20" s="12" t="s">
        <v>50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21.75" customHeight="1" x14ac:dyDescent="0.3">
      <c r="A21" s="7" t="s">
        <v>5</v>
      </c>
      <c r="B21" s="7" t="s">
        <v>6</v>
      </c>
      <c r="C21" s="7" t="s">
        <v>7</v>
      </c>
      <c r="D21" s="7" t="s">
        <v>8</v>
      </c>
      <c r="E21" s="7" t="s">
        <v>9</v>
      </c>
      <c r="F21" s="7" t="s">
        <v>10</v>
      </c>
      <c r="G21" s="7" t="s">
        <v>11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spans="1:12" ht="15" customHeight="1" x14ac:dyDescent="0.3">
      <c r="A22" s="8">
        <v>1</v>
      </c>
      <c r="B22" s="9" t="str">
        <f>IFERROR(INDEX(Dotación!$A$5:$A$160,MATCH($C22,Dotación!$B$5:$B$160,0)),"15814058-6")</f>
        <v>15.814.058-6</v>
      </c>
      <c r="C22" s="10" t="s">
        <v>51</v>
      </c>
      <c r="D22" s="11" t="s">
        <v>27</v>
      </c>
      <c r="E22" s="8" t="s">
        <v>636</v>
      </c>
      <c r="F22" s="8" t="s">
        <v>19</v>
      </c>
      <c r="G22" s="8" t="s">
        <v>20</v>
      </c>
      <c r="H22" s="8" t="s">
        <v>95</v>
      </c>
      <c r="I22" s="8"/>
      <c r="J22" s="8" t="str">
        <f>IF($B22="","",IF(COUNTIFS('Ayuda Workera'!$C$5:$C$3004,UPPER(SUBSTITUTE($B22,".","")),'Ayuda Workera'!$B$5:$B$3004,DATE($H$1,$G$1,$F$1),'Marcación Workera'!$H$5:$H$3004,"Entrada")&gt;0,"SI","NO"))</f>
        <v>SI</v>
      </c>
      <c r="K22" s="8" t="str">
        <f>IF($B22="","",IF(COUNTIFS('Ayuda Workera'!$C$5:$C$3004,UPPER(SUBSTITUTE($B22,".","")),'Ayuda Workera'!$B$5:$B$3004,DATE($H$1,$G$1,$F$1),'Marcación Workera'!$H$5:$H$3004,"Salida")&gt;0,"SI","NO"))</f>
        <v>SI</v>
      </c>
      <c r="L22" s="8"/>
    </row>
    <row r="23" spans="1:12" ht="15" customHeight="1" x14ac:dyDescent="0.3">
      <c r="A23" s="8">
        <v>2</v>
      </c>
      <c r="B23" s="9" t="str">
        <f>IFERROR(INDEX(Dotación!$A$5:$A$160,MATCH($C23,Dotación!$B$5:$B$160,0)),"21294612-5")</f>
        <v>18889617-0</v>
      </c>
      <c r="C23" s="10" t="s">
        <v>28</v>
      </c>
      <c r="D23" s="11" t="s">
        <v>29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3</v>
      </c>
      <c r="B24" s="9" t="str">
        <f>IFERROR(INDEX(Dotación!$A$5:$A$160,MATCH($C24,Dotación!$B$5:$B$160,0)),"17721340-3")</f>
        <v>16.706.064-1</v>
      </c>
      <c r="C24" s="10" t="s">
        <v>30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4</v>
      </c>
      <c r="B25" s="9" t="str">
        <f>IFERROR(INDEX(Dotación!$A$5:$A$160,MATCH($C25,Dotación!$B$5:$B$160,0)),"17465056-K ")</f>
        <v>21254681-K</v>
      </c>
      <c r="C25" s="10" t="s">
        <v>37</v>
      </c>
      <c r="D25" s="11" t="s">
        <v>59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5</v>
      </c>
      <c r="B26" s="9" t="str">
        <f>IFERROR(INDEX(Dotación!$A$5:$A$160,MATCH($C26,Dotación!$B$5:$B$160,0)),"8851221-9")</f>
        <v>17805184-9</v>
      </c>
      <c r="C26" s="10" t="s">
        <v>39</v>
      </c>
      <c r="D26" s="11" t="s">
        <v>36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6</v>
      </c>
      <c r="B27" s="9" t="str">
        <f>IFERROR(INDEX(Dotación!$A$5:$A$160,MATCH($C27,Dotación!$B$5:$B$160,0)),"25832490-0")</f>
        <v>23868099-9</v>
      </c>
      <c r="C27" s="10" t="s">
        <v>40</v>
      </c>
      <c r="D27" s="11" t="s">
        <v>91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7</v>
      </c>
      <c r="B28" s="9" t="str">
        <f>IFERROR(INDEX(Dotación!$A$5:$A$160,MATCH($C28,Dotación!$B$5:$B$160,0)),"4500884-3")</f>
        <v>28683244-K</v>
      </c>
      <c r="C28" s="10" t="s">
        <v>46</v>
      </c>
      <c r="D28" s="11" t="s">
        <v>47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NO</v>
      </c>
      <c r="K28" s="8" t="str">
        <f>IF($B28="","",IF(COUNTIFS('Ayuda Workera'!$C$5:$C$3004,UPPER(SUBSTITUTE($B28,".","")),'Ayuda Workera'!$B$5:$B$3004,DATE($H$1,$G$1,$F$1),'Marcación Workera'!$H$5:$H$3004,"Salida")&gt;0,"SI","NO"))</f>
        <v>NO</v>
      </c>
      <c r="L28" s="8"/>
    </row>
    <row r="29" spans="1:12" ht="15" customHeight="1" x14ac:dyDescent="0.3">
      <c r="A29" s="8">
        <v>8</v>
      </c>
      <c r="B29" s="9" t="str">
        <f>IFERROR(INDEX(Dotación!$A$5:$A$160,MATCH($C29,Dotación!$B$5:$B$160,0)),"15613806-1")</f>
        <v>17805184-9</v>
      </c>
      <c r="C29" s="10" t="s">
        <v>39</v>
      </c>
      <c r="D29" s="11" t="s">
        <v>36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SI</v>
      </c>
      <c r="K29" s="8" t="str">
        <f>IF($B29="","",IF(COUNTIFS('Ayuda Workera'!$C$5:$C$3004,UPPER(SUBSTITUTE($B29,".","")),'Ayuda Workera'!$B$5:$B$3004,DATE($H$1,$G$1,$F$1),'Marcación Workera'!$H$5:$H$3004,"Salida")&gt;0,"SI","NO"))</f>
        <v>SI</v>
      </c>
      <c r="L29" s="8"/>
    </row>
  </sheetData>
  <conditionalFormatting sqref="J5:K29">
    <cfRule type="cellIs" dxfId="5" priority="2" operator="equal">
      <formula>"SI"</formula>
    </cfRule>
    <cfRule type="cellIs" dxfId="4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C00-000000000000}">
          <x14:formula1>
            <xm:f>Dotación!$B$5:$B$160</xm:f>
          </x14:formula1>
          <x14:formula2>
            <xm:f>0</xm:f>
          </x14:formula2>
          <xm:sqref>C6:C18 C22:C29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0"/>
  <sheetViews>
    <sheetView showGridLines="0" zoomScaleNormal="100" workbookViewId="0">
      <pane ySplit="3" topLeftCell="A4" activePane="bottomLeft" state="frozen"/>
      <selection pane="bottomLeft" activeCell="D1" sqref="D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30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95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95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95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95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IFERROR(INDEX(Dotación!$A$5:$A$160,MATCH($C10,Dotación!$B$5:$B$160,0)),"15593625-8")</f>
        <v>15593625-8</v>
      </c>
      <c r="C10" s="10" t="s">
        <v>64</v>
      </c>
      <c r="D10" s="11" t="s">
        <v>65</v>
      </c>
      <c r="E10" s="8" t="s">
        <v>636</v>
      </c>
      <c r="F10" s="8" t="s">
        <v>19</v>
      </c>
      <c r="G10" s="8" t="s">
        <v>20</v>
      </c>
      <c r="H10" s="8" t="s">
        <v>95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NO</v>
      </c>
      <c r="K10" s="8" t="str">
        <f>IF($B10="","",IF(COUNTIFS('Ayuda Workera'!$C$5:$C$3004,UPPER(SUBSTITUTE($B10,".","")),'Ayuda Workera'!$B$5:$B$3004,DATE($H$1,$G$1,$F$1),'Marcación Workera'!$H$5:$H$3004,"Salida")&gt;0,"SI","NO"))</f>
        <v>NO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IFERROR(INDEX(Dotación!$A$5:$A$160,MATCH($C11,Dotación!$B$5:$B$160,0)),"18.919.440-4")</f>
        <v>15831074-0</v>
      </c>
      <c r="C11" s="10" t="s">
        <v>56</v>
      </c>
      <c r="D11" s="11" t="s">
        <v>91</v>
      </c>
      <c r="E11" s="8" t="s">
        <v>636</v>
      </c>
      <c r="F11" s="8" t="s">
        <v>19</v>
      </c>
      <c r="G11" s="8" t="s">
        <v>20</v>
      </c>
      <c r="H11" s="8" t="s">
        <v>95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95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95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95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95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NO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95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95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95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SI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95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95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NO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95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NO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95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95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SI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95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95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95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95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3" priority="2" operator="equal">
      <formula>"SI"</formula>
    </cfRule>
    <cfRule type="cellIs" dxfId="2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D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30"/>
  <sheetViews>
    <sheetView showGridLines="0" zoomScaleNormal="100" workbookViewId="0">
      <pane ySplit="3" topLeftCell="A4" activePane="bottomLeft" state="frozen"/>
      <selection pane="bottomLeft" activeCell="I12" sqref="I12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28" customWidth="1"/>
    <col min="4" max="4" width="20" customWidth="1"/>
    <col min="5" max="5" width="12" customWidth="1"/>
    <col min="6" max="6" width="10" customWidth="1"/>
    <col min="7" max="7" width="11" customWidth="1"/>
    <col min="8" max="9" width="9" customWidth="1"/>
    <col min="10" max="11" width="13" customWidth="1"/>
    <col min="12" max="12" width="22" customWidth="1"/>
  </cols>
  <sheetData>
    <row r="1" spans="1:12" ht="15" customHeight="1" x14ac:dyDescent="0.3">
      <c r="B1" s="2" t="s">
        <v>0</v>
      </c>
      <c r="C1" s="2" t="s">
        <v>1</v>
      </c>
      <c r="F1">
        <v>31</v>
      </c>
      <c r="G1">
        <v>8</v>
      </c>
      <c r="H1">
        <v>2026</v>
      </c>
      <c r="J1" s="3" t="str">
        <f>IF($B1="","",IF(COUNTIFS('Ayuda Workera'!$C$5:$C$3004,UPPER(SUBSTITUTE($B1,".","")),'Ayuda Workera'!$B$5:$B$3004,DATE($H$1,$G$1,$F$1),'Marcación Workera'!$H$5:$H$3004,"Entrada")&gt;0,"SI","NO"))</f>
        <v>NO</v>
      </c>
      <c r="K1" s="3" t="str">
        <f>IF($B1="","",IF(COUNTIFS('Ayuda Workera'!$C$5:$C$3004,UPPER(SUBSTITUTE($B1,".","")),'Ayuda Workera'!$B$5:$B$3004,DATE($H$1,$G$1,$F$1),'Marcación Workera'!$H$5:$H$3004,"Salida")&gt;0,"SI","NO"))</f>
        <v>NO</v>
      </c>
    </row>
    <row r="2" spans="1:12" ht="15" customHeight="1" x14ac:dyDescent="0.3">
      <c r="F2" s="4" t="s">
        <v>2</v>
      </c>
      <c r="G2" s="4" t="s">
        <v>3</v>
      </c>
      <c r="H2" s="4" t="s">
        <v>4</v>
      </c>
    </row>
    <row r="4" spans="1:12" ht="15" customHeight="1" x14ac:dyDescent="0.3">
      <c r="A4" s="5" t="s">
        <v>632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1.75" customHeight="1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spans="1:12" ht="15" customHeight="1" x14ac:dyDescent="0.3">
      <c r="A6" s="8">
        <v>1</v>
      </c>
      <c r="B6" s="9" t="str">
        <f>IFERROR(INDEX(Dotación!$A$5:$A$160,MATCH($C6,Dotación!$B$5:$B$160,0)),"14413231-9")</f>
        <v>14413231-9</v>
      </c>
      <c r="C6" s="10" t="s">
        <v>70</v>
      </c>
      <c r="D6" s="11" t="s">
        <v>18</v>
      </c>
      <c r="E6" s="8" t="s">
        <v>636</v>
      </c>
      <c r="F6" s="8" t="s">
        <v>19</v>
      </c>
      <c r="G6" s="8" t="s">
        <v>20</v>
      </c>
      <c r="H6" s="8" t="s">
        <v>104</v>
      </c>
      <c r="I6" s="8"/>
      <c r="J6" s="8" t="str">
        <f>IF($B6="","",IF(COUNTIFS('Ayuda Workera'!$C$5:$C$3004,UPPER(SUBSTITUTE($B6,".","")),'Ayuda Workera'!$B$5:$B$3004,DATE($H$1,$G$1,$F$1),'Marcación Workera'!$H$5:$H$3004,"Entrada")&gt;0,"SI","NO"))</f>
        <v>SI</v>
      </c>
      <c r="K6" s="8" t="str">
        <f>IF($B6="","",IF(COUNTIFS('Ayuda Workera'!$C$5:$C$3004,UPPER(SUBSTITUTE($B6,".","")),'Ayuda Workera'!$B$5:$B$3004,DATE($H$1,$G$1,$F$1),'Marcación Workera'!$H$5:$H$3004,"Salida")&gt;0,"SI","NO"))</f>
        <v>SI</v>
      </c>
      <c r="L6" s="8"/>
    </row>
    <row r="7" spans="1:12" ht="15" customHeight="1" x14ac:dyDescent="0.3">
      <c r="A7" s="8">
        <v>2</v>
      </c>
      <c r="B7" s="9" t="str">
        <f>IFERROR(INDEX(Dotación!$A$5:$A$160,MATCH($C7,Dotación!$B$5:$B$160,0)),"18352777-0")</f>
        <v>18352777-0</v>
      </c>
      <c r="C7" s="10" t="s">
        <v>22</v>
      </c>
      <c r="D7" s="11" t="s">
        <v>23</v>
      </c>
      <c r="E7" s="8" t="s">
        <v>636</v>
      </c>
      <c r="F7" s="8" t="s">
        <v>19</v>
      </c>
      <c r="G7" s="8" t="s">
        <v>20</v>
      </c>
      <c r="H7" s="8" t="s">
        <v>104</v>
      </c>
      <c r="I7" s="8"/>
      <c r="J7" s="8" t="str">
        <f>IF($B7="","",IF(COUNTIFS('Ayuda Workera'!$C$5:$C$3004,UPPER(SUBSTITUTE($B7,".","")),'Ayuda Workera'!$B$5:$B$3004,DATE($H$1,$G$1,$F$1),'Marcación Workera'!$H$5:$H$3004,"Entrada")&gt;0,"SI","NO"))</f>
        <v>SI</v>
      </c>
      <c r="K7" s="8" t="str">
        <f>IF($B7="","",IF(COUNTIFS('Ayuda Workera'!$C$5:$C$3004,UPPER(SUBSTITUTE($B7,".","")),'Ayuda Workera'!$B$5:$B$3004,DATE($H$1,$G$1,$F$1),'Marcación Workera'!$H$5:$H$3004,"Salida")&gt;0,"SI","NO"))</f>
        <v>SI</v>
      </c>
      <c r="L7" s="8"/>
    </row>
    <row r="8" spans="1:12" ht="15" customHeight="1" x14ac:dyDescent="0.3">
      <c r="A8" s="8">
        <v>3</v>
      </c>
      <c r="B8" s="9" t="str">
        <f>IFERROR(INDEX(Dotación!$A$5:$A$160,MATCH($C8,Dotación!$B$5:$B$160,0)),"21516063-7")</f>
        <v>21516063-7</v>
      </c>
      <c r="C8" s="10" t="s">
        <v>24</v>
      </c>
      <c r="D8" s="11" t="s">
        <v>25</v>
      </c>
      <c r="E8" s="8" t="s">
        <v>636</v>
      </c>
      <c r="F8" s="8" t="s">
        <v>19</v>
      </c>
      <c r="G8" s="8" t="s">
        <v>20</v>
      </c>
      <c r="H8" s="8" t="s">
        <v>104</v>
      </c>
      <c r="I8" s="8"/>
      <c r="J8" s="8" t="str">
        <f>IF($B8="","",IF(COUNTIFS('Ayuda Workera'!$C$5:$C$3004,UPPER(SUBSTITUTE($B8,".","")),'Ayuda Workera'!$B$5:$B$3004,DATE($H$1,$G$1,$F$1),'Marcación Workera'!$H$5:$H$3004,"Entrada")&gt;0,"SI","NO"))</f>
        <v>SI</v>
      </c>
      <c r="K8" s="8" t="str">
        <f>IF($B8="","",IF(COUNTIFS('Ayuda Workera'!$C$5:$C$3004,UPPER(SUBSTITUTE($B8,".","")),'Ayuda Workera'!$B$5:$B$3004,DATE($H$1,$G$1,$F$1),'Marcación Workera'!$H$5:$H$3004,"Salida")&gt;0,"SI","NO"))</f>
        <v>SI</v>
      </c>
      <c r="L8" s="8"/>
    </row>
    <row r="9" spans="1:12" ht="15" customHeight="1" x14ac:dyDescent="0.3">
      <c r="A9" s="8">
        <v>4</v>
      </c>
      <c r="B9" s="9" t="str">
        <f>IFERROR(INDEX(Dotación!$A$5:$A$160,MATCH($C9,Dotación!$B$5:$B$160,0)),"13855440-6")</f>
        <v>13855440-6</v>
      </c>
      <c r="C9" s="10" t="s">
        <v>33</v>
      </c>
      <c r="D9" s="11" t="s">
        <v>34</v>
      </c>
      <c r="E9" s="8" t="s">
        <v>636</v>
      </c>
      <c r="F9" s="8" t="s">
        <v>19</v>
      </c>
      <c r="G9" s="8" t="s">
        <v>20</v>
      </c>
      <c r="H9" s="8" t="s">
        <v>104</v>
      </c>
      <c r="I9" s="8"/>
      <c r="J9" s="8" t="str">
        <f>IF($B9="","",IF(COUNTIFS('Ayuda Workera'!$C$5:$C$3004,UPPER(SUBSTITUTE($B9,".","")),'Ayuda Workera'!$B$5:$B$3004,DATE($H$1,$G$1,$F$1),'Marcación Workera'!$H$5:$H$3004,"Entrada")&gt;0,"SI","NO"))</f>
        <v>SI</v>
      </c>
      <c r="K9" s="8" t="str">
        <f>IF($B9="","",IF(COUNTIFS('Ayuda Workera'!$C$5:$C$3004,UPPER(SUBSTITUTE($B9,".","")),'Ayuda Workera'!$B$5:$B$3004,DATE($H$1,$G$1,$F$1),'Marcación Workera'!$H$5:$H$3004,"Salida")&gt;0,"SI","NO"))</f>
        <v>SI</v>
      </c>
      <c r="L9" s="8"/>
    </row>
    <row r="10" spans="1:12" ht="15" customHeight="1" x14ac:dyDescent="0.3">
      <c r="A10" s="8">
        <v>5</v>
      </c>
      <c r="B10" s="9" t="str">
        <f>IFERROR(INDEX(Dotación!$A$5:$A$160,MATCH($C10,Dotación!$B$5:$B$160,0)),"15593625-8")</f>
        <v>15593625-8</v>
      </c>
      <c r="C10" s="10" t="s">
        <v>64</v>
      </c>
      <c r="D10" s="11" t="s">
        <v>65</v>
      </c>
      <c r="E10" s="8" t="s">
        <v>636</v>
      </c>
      <c r="F10" s="8" t="s">
        <v>19</v>
      </c>
      <c r="G10" s="8" t="s">
        <v>20</v>
      </c>
      <c r="H10" s="8" t="s">
        <v>104</v>
      </c>
      <c r="I10" s="8"/>
      <c r="J10" s="8" t="str">
        <f>IF($B10="","",IF(COUNTIFS('Ayuda Workera'!$C$5:$C$3004,UPPER(SUBSTITUTE($B10,".","")),'Ayuda Workera'!$B$5:$B$3004,DATE($H$1,$G$1,$F$1),'Marcación Workera'!$H$5:$H$3004,"Entrada")&gt;0,"SI","NO"))</f>
        <v>SI</v>
      </c>
      <c r="K10" s="8" t="str">
        <f>IF($B10="","",IF(COUNTIFS('Ayuda Workera'!$C$5:$C$3004,UPPER(SUBSTITUTE($B10,".","")),'Ayuda Workera'!$B$5:$B$3004,DATE($H$1,$G$1,$F$1),'Marcación Workera'!$H$5:$H$3004,"Salida")&gt;0,"SI","NO"))</f>
        <v>SI</v>
      </c>
      <c r="L10" s="8"/>
    </row>
    <row r="11" spans="1:12" ht="15" customHeight="1" x14ac:dyDescent="0.3">
      <c r="A11" s="8">
        <v>6</v>
      </c>
      <c r="B11" s="9" t="str">
        <f>IFERROR(INDEX(Dotación!$A$5:$A$160,MATCH($C11,Dotación!$B$5:$B$160,0)),"18.919.440-4")</f>
        <v>15831074-0</v>
      </c>
      <c r="C11" s="10" t="s">
        <v>56</v>
      </c>
      <c r="D11" s="11" t="s">
        <v>91</v>
      </c>
      <c r="E11" s="8" t="s">
        <v>636</v>
      </c>
      <c r="F11" s="8" t="s">
        <v>19</v>
      </c>
      <c r="G11" s="8" t="s">
        <v>20</v>
      </c>
      <c r="H11" s="8" t="s">
        <v>104</v>
      </c>
      <c r="I11" s="8"/>
      <c r="J11" s="8" t="str">
        <f>IF($B11="","",IF(COUNTIFS('Ayuda Workera'!$C$5:$C$3004,UPPER(SUBSTITUTE($B11,".","")),'Ayuda Workera'!$B$5:$B$3004,DATE($H$1,$G$1,$F$1),'Marcación Workera'!$H$5:$H$3004,"Entrada")&gt;0,"SI","NO"))</f>
        <v>SI</v>
      </c>
      <c r="K11" s="8" t="str">
        <f>IF($B11="","",IF(COUNTIFS('Ayuda Workera'!$C$5:$C$3004,UPPER(SUBSTITUTE($B11,".","")),'Ayuda Workera'!$B$5:$B$3004,DATE($H$1,$G$1,$F$1),'Marcación Workera'!$H$5:$H$3004,"Salida")&gt;0,"SI","NO"))</f>
        <v>SI</v>
      </c>
      <c r="L11" s="8"/>
    </row>
    <row r="12" spans="1:12" ht="15" customHeight="1" x14ac:dyDescent="0.3">
      <c r="A12" s="8">
        <v>7</v>
      </c>
      <c r="B12" s="9" t="str">
        <f>IFERROR(INDEX(Dotación!$A$5:$A$160,MATCH($C12,Dotación!$B$5:$B$160,0)),"13775192-5")</f>
        <v>20718093-9</v>
      </c>
      <c r="C12" s="10" t="s">
        <v>54</v>
      </c>
      <c r="D12" s="11" t="s">
        <v>29</v>
      </c>
      <c r="E12" s="8" t="s">
        <v>636</v>
      </c>
      <c r="F12" s="8" t="s">
        <v>19</v>
      </c>
      <c r="G12" s="8" t="s">
        <v>20</v>
      </c>
      <c r="H12" s="8" t="s">
        <v>104</v>
      </c>
      <c r="I12" s="8"/>
      <c r="J12" s="8" t="str">
        <f>IF($B12="","",IF(COUNTIFS('Ayuda Workera'!$C$5:$C$3004,UPPER(SUBSTITUTE($B12,".","")),'Ayuda Workera'!$B$5:$B$3004,DATE($H$1,$G$1,$F$1),'Marcación Workera'!$H$5:$H$3004,"Entrada")&gt;0,"SI","NO"))</f>
        <v>SI</v>
      </c>
      <c r="K12" s="8" t="str">
        <f>IF($B12="","",IF(COUNTIFS('Ayuda Workera'!$C$5:$C$3004,UPPER(SUBSTITUTE($B12,".","")),'Ayuda Workera'!$B$5:$B$3004,DATE($H$1,$G$1,$F$1),'Marcación Workera'!$H$5:$H$3004,"Salida")&gt;0,"SI","NO"))</f>
        <v>SI</v>
      </c>
      <c r="L12" s="8"/>
    </row>
    <row r="13" spans="1:12" ht="15" customHeight="1" x14ac:dyDescent="0.3">
      <c r="A13" s="8">
        <v>8</v>
      </c>
      <c r="B13" s="9" t="str">
        <f>IFERROR(INDEX(Dotación!$A$5:$A$160,MATCH($C13,Dotación!$B$5:$B$160,0)),"17964013-9")</f>
        <v>16188552-5</v>
      </c>
      <c r="C13" s="10" t="s">
        <v>53</v>
      </c>
      <c r="D13" s="11" t="s">
        <v>29</v>
      </c>
      <c r="E13" s="8" t="s">
        <v>636</v>
      </c>
      <c r="F13" s="8" t="s">
        <v>19</v>
      </c>
      <c r="G13" s="8" t="s">
        <v>20</v>
      </c>
      <c r="H13" s="8" t="s">
        <v>104</v>
      </c>
      <c r="I13" s="8"/>
      <c r="J13" s="8" t="str">
        <f>IF($B13="","",IF(COUNTIFS('Ayuda Workera'!$C$5:$C$3004,UPPER(SUBSTITUTE($B13,".","")),'Ayuda Workera'!$B$5:$B$3004,DATE($H$1,$G$1,$F$1),'Marcación Workera'!$H$5:$H$3004,"Entrada")&gt;0,"SI","NO"))</f>
        <v>SI</v>
      </c>
      <c r="K13" s="8" t="str">
        <f>IF($B13="","",IF(COUNTIFS('Ayuda Workera'!$C$5:$C$3004,UPPER(SUBSTITUTE($B13,".","")),'Ayuda Workera'!$B$5:$B$3004,DATE($H$1,$G$1,$F$1),'Marcación Workera'!$H$5:$H$3004,"Salida")&gt;0,"SI","NO"))</f>
        <v>SI</v>
      </c>
      <c r="L13" s="8"/>
    </row>
    <row r="14" spans="1:12" ht="15" customHeight="1" x14ac:dyDescent="0.3">
      <c r="A14" s="8">
        <v>9</v>
      </c>
      <c r="B14" s="9" t="str">
        <f>IFERROR(INDEX(Dotación!$A$5:$A$160,MATCH($C14,Dotación!$B$5:$B$160,0)),"18450168-6")</f>
        <v>19949787-1</v>
      </c>
      <c r="C14" s="10" t="s">
        <v>49</v>
      </c>
      <c r="D14" s="11" t="s">
        <v>29</v>
      </c>
      <c r="E14" s="8" t="s">
        <v>636</v>
      </c>
      <c r="F14" s="8" t="s">
        <v>19</v>
      </c>
      <c r="G14" s="8" t="s">
        <v>20</v>
      </c>
      <c r="H14" s="8" t="s">
        <v>104</v>
      </c>
      <c r="I14" s="8"/>
      <c r="J14" s="8" t="str">
        <f>IF($B14="","",IF(COUNTIFS('Ayuda Workera'!$C$5:$C$3004,UPPER(SUBSTITUTE($B14,".","")),'Ayuda Workera'!$B$5:$B$3004,DATE($H$1,$G$1,$F$1),'Marcación Workera'!$H$5:$H$3004,"Entrada")&gt;0,"SI","NO"))</f>
        <v>SI</v>
      </c>
      <c r="K14" s="8" t="str">
        <f>IF($B14="","",IF(COUNTIFS('Ayuda Workera'!$C$5:$C$3004,UPPER(SUBSTITUTE($B14,".","")),'Ayuda Workera'!$B$5:$B$3004,DATE($H$1,$G$1,$F$1),'Marcación Workera'!$H$5:$H$3004,"Salida")&gt;0,"SI","NO"))</f>
        <v>SI</v>
      </c>
      <c r="L14" s="8"/>
    </row>
    <row r="15" spans="1:12" ht="15" customHeight="1" x14ac:dyDescent="0.3">
      <c r="A15" s="8">
        <v>10</v>
      </c>
      <c r="B15" s="9" t="str">
        <f>IFERROR(INDEX(Dotación!$A$5:$A$160,MATCH($C15,Dotación!$B$5:$B$160,0)),"13744310-4")</f>
        <v>11508866-1</v>
      </c>
      <c r="C15" s="10" t="s">
        <v>31</v>
      </c>
      <c r="D15" s="11" t="s">
        <v>32</v>
      </c>
      <c r="E15" s="8" t="s">
        <v>636</v>
      </c>
      <c r="F15" s="8" t="s">
        <v>19</v>
      </c>
      <c r="G15" s="8" t="s">
        <v>20</v>
      </c>
      <c r="H15" s="8" t="s">
        <v>104</v>
      </c>
      <c r="I15" s="8"/>
      <c r="J15" s="8" t="str">
        <f>IF($B15="","",IF(COUNTIFS('Ayuda Workera'!$C$5:$C$3004,UPPER(SUBSTITUTE($B15,".","")),'Ayuda Workera'!$B$5:$B$3004,DATE($H$1,$G$1,$F$1),'Marcación Workera'!$H$5:$H$3004,"Entrada")&gt;0,"SI","NO"))</f>
        <v>SI</v>
      </c>
      <c r="K15" s="8" t="str">
        <f>IF($B15="","",IF(COUNTIFS('Ayuda Workera'!$C$5:$C$3004,UPPER(SUBSTITUTE($B15,".","")),'Ayuda Workera'!$B$5:$B$3004,DATE($H$1,$G$1,$F$1),'Marcación Workera'!$H$5:$H$3004,"Salida")&gt;0,"SI","NO"))</f>
        <v>SI</v>
      </c>
      <c r="L15" s="8"/>
    </row>
    <row r="16" spans="1:12" ht="15" customHeight="1" x14ac:dyDescent="0.3">
      <c r="A16" s="8">
        <v>11</v>
      </c>
      <c r="B16" s="9" t="str">
        <f>IFERROR(INDEX(Dotación!$A$5:$A$160,MATCH($C16,Dotación!$B$5:$B$160,0)),"13809180-5")</f>
        <v>12814487-0</v>
      </c>
      <c r="C16" s="10" t="s">
        <v>35</v>
      </c>
      <c r="D16" s="11" t="s">
        <v>36</v>
      </c>
      <c r="E16" s="8" t="s">
        <v>636</v>
      </c>
      <c r="F16" s="8" t="s">
        <v>19</v>
      </c>
      <c r="G16" s="8" t="s">
        <v>20</v>
      </c>
      <c r="H16" s="8" t="s">
        <v>104</v>
      </c>
      <c r="I16" s="8"/>
      <c r="J16" s="8" t="str">
        <f>IF($B16="","",IF(COUNTIFS('Ayuda Workera'!$C$5:$C$3004,UPPER(SUBSTITUTE($B16,".","")),'Ayuda Workera'!$B$5:$B$3004,DATE($H$1,$G$1,$F$1),'Marcación Workera'!$H$5:$H$3004,"Entrada")&gt;0,"SI","NO"))</f>
        <v>SI</v>
      </c>
      <c r="K16" s="8" t="str">
        <f>IF($B16="","",IF(COUNTIFS('Ayuda Workera'!$C$5:$C$3004,UPPER(SUBSTITUTE($B16,".","")),'Ayuda Workera'!$B$5:$B$3004,DATE($H$1,$G$1,$F$1),'Marcación Workera'!$H$5:$H$3004,"Salida")&gt;0,"SI","NO"))</f>
        <v>SI</v>
      </c>
      <c r="L16" s="8"/>
    </row>
    <row r="17" spans="1:12" ht="15" customHeight="1" x14ac:dyDescent="0.3">
      <c r="A17" s="8">
        <v>12</v>
      </c>
      <c r="B17" s="9" t="str">
        <f>IFERROR(INDEX(Dotación!$A$5:$A$160,MATCH($C17,Dotación!$B$5:$B$160,0)),"19460207-3")</f>
        <v>17643998-k</v>
      </c>
      <c r="C17" s="10" t="s">
        <v>55</v>
      </c>
      <c r="D17" s="11" t="s">
        <v>36</v>
      </c>
      <c r="E17" s="8" t="s">
        <v>636</v>
      </c>
      <c r="F17" s="8" t="s">
        <v>19</v>
      </c>
      <c r="G17" s="8" t="s">
        <v>20</v>
      </c>
      <c r="H17" s="8" t="s">
        <v>104</v>
      </c>
      <c r="I17" s="8"/>
      <c r="J17" s="8" t="str">
        <f>IF($B17="","",IF(COUNTIFS('Ayuda Workera'!$C$5:$C$3004,UPPER(SUBSTITUTE($B17,".","")),'Ayuda Workera'!$B$5:$B$3004,DATE($H$1,$G$1,$F$1),'Marcación Workera'!$H$5:$H$3004,"Entrada")&gt;0,"SI","NO"))</f>
        <v>SI</v>
      </c>
      <c r="K17" s="8" t="str">
        <f>IF($B17="","",IF(COUNTIFS('Ayuda Workera'!$C$5:$C$3004,UPPER(SUBSTITUTE($B17,".","")),'Ayuda Workera'!$B$5:$B$3004,DATE($H$1,$G$1,$F$1),'Marcación Workera'!$H$5:$H$3004,"Salida")&gt;0,"SI","NO"))</f>
        <v>SI</v>
      </c>
      <c r="L17" s="8"/>
    </row>
    <row r="18" spans="1:12" ht="15" customHeight="1" x14ac:dyDescent="0.3">
      <c r="A18" s="8">
        <v>13</v>
      </c>
      <c r="B18" s="9" t="str">
        <f>IFERROR(INDEX(Dotación!$A$5:$A$160,MATCH($C18,Dotación!$B$5:$B$160,0)),"19804200-5")</f>
        <v>14594999-8</v>
      </c>
      <c r="C18" s="10" t="s">
        <v>58</v>
      </c>
      <c r="D18" s="11" t="s">
        <v>59</v>
      </c>
      <c r="E18" s="8" t="s">
        <v>636</v>
      </c>
      <c r="F18" s="8" t="s">
        <v>19</v>
      </c>
      <c r="G18" s="8" t="s">
        <v>20</v>
      </c>
      <c r="H18" s="8" t="s">
        <v>104</v>
      </c>
      <c r="I18" s="8"/>
      <c r="J18" s="8" t="str">
        <f>IF($B18="","",IF(COUNTIFS('Ayuda Workera'!$C$5:$C$3004,UPPER(SUBSTITUTE($B18,".","")),'Ayuda Workera'!$B$5:$B$3004,DATE($H$1,$G$1,$F$1),'Marcación Workera'!$H$5:$H$3004,"Entrada")&gt;0,"SI","NO"))</f>
        <v>NO</v>
      </c>
      <c r="K18" s="8" t="str">
        <f>IF($B18="","",IF(COUNTIFS('Ayuda Workera'!$C$5:$C$3004,UPPER(SUBSTITUTE($B18,".","")),'Ayuda Workera'!$B$5:$B$3004,DATE($H$1,$G$1,$F$1),'Marcación Workera'!$H$5:$H$3004,"Salida")&gt;0,"SI","NO"))</f>
        <v>SI</v>
      </c>
      <c r="L18" s="8"/>
    </row>
    <row r="19" spans="1:12" ht="15" customHeight="1" x14ac:dyDescent="0.3">
      <c r="A19" s="8">
        <v>14</v>
      </c>
      <c r="B19" s="9" t="str">
        <f>IFERROR(INDEX(Dotación!$A$5:$A$160,MATCH($C19,Dotación!$B$5:$B$160,0)),"4500901-7")</f>
        <v>4.500.919-K</v>
      </c>
      <c r="C19" s="10" t="s">
        <v>60</v>
      </c>
      <c r="D19" s="11" t="s">
        <v>47</v>
      </c>
      <c r="E19" s="8" t="s">
        <v>48</v>
      </c>
      <c r="F19" s="8" t="s">
        <v>19</v>
      </c>
      <c r="G19" s="8" t="s">
        <v>20</v>
      </c>
      <c r="H19" s="8" t="s">
        <v>104</v>
      </c>
      <c r="I19" s="8"/>
      <c r="J19" s="8" t="str">
        <f>IF($B19="","",IF(COUNTIFS('Ayuda Workera'!$C$5:$C$3004,UPPER(SUBSTITUTE($B19,".","")),'Ayuda Workera'!$B$5:$B$3004,DATE($H$1,$G$1,$F$1),'Marcación Workera'!$H$5:$H$3004,"Entrada")&gt;0,"SI","NO"))</f>
        <v>NO</v>
      </c>
      <c r="K19" s="8" t="str">
        <f>IF($B19="","",IF(COUNTIFS('Ayuda Workera'!$C$5:$C$3004,UPPER(SUBSTITUTE($B19,".","")),'Ayuda Workera'!$B$5:$B$3004,DATE($H$1,$G$1,$F$1),'Marcación Workera'!$H$5:$H$3004,"Salida")&gt;0,"SI","NO"))</f>
        <v>NO</v>
      </c>
      <c r="L19" s="8"/>
    </row>
    <row r="21" spans="1:12" ht="15" customHeight="1" x14ac:dyDescent="0.3">
      <c r="A21" s="12" t="s">
        <v>50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21.75" customHeight="1" x14ac:dyDescent="0.3">
      <c r="A22" s="7" t="s">
        <v>5</v>
      </c>
      <c r="B22" s="7" t="s">
        <v>6</v>
      </c>
      <c r="C22" s="7" t="s">
        <v>7</v>
      </c>
      <c r="D22" s="7" t="s">
        <v>8</v>
      </c>
      <c r="E22" s="7" t="s">
        <v>9</v>
      </c>
      <c r="F22" s="7" t="s">
        <v>10</v>
      </c>
      <c r="G22" s="7" t="s">
        <v>11</v>
      </c>
      <c r="H22" s="7" t="s">
        <v>12</v>
      </c>
      <c r="I22" s="7" t="s">
        <v>13</v>
      </c>
      <c r="J22" s="7" t="s">
        <v>14</v>
      </c>
      <c r="K22" s="7" t="s">
        <v>15</v>
      </c>
      <c r="L22" s="7" t="s">
        <v>16</v>
      </c>
    </row>
    <row r="23" spans="1:12" ht="15" customHeight="1" x14ac:dyDescent="0.3">
      <c r="A23" s="8">
        <v>1</v>
      </c>
      <c r="B23" s="9" t="str">
        <f>IFERROR(INDEX(Dotación!$A$5:$A$160,MATCH($C23,Dotación!$B$5:$B$160,0)),"15814058-6")</f>
        <v>15.814.058-6</v>
      </c>
      <c r="C23" s="10" t="s">
        <v>51</v>
      </c>
      <c r="D23" s="11" t="s">
        <v>27</v>
      </c>
      <c r="E23" s="8" t="s">
        <v>636</v>
      </c>
      <c r="F23" s="8" t="s">
        <v>19</v>
      </c>
      <c r="G23" s="8" t="s">
        <v>20</v>
      </c>
      <c r="H23" s="8" t="s">
        <v>105</v>
      </c>
      <c r="I23" s="8"/>
      <c r="J23" s="8" t="str">
        <f>IF($B23="","",IF(COUNTIFS('Ayuda Workera'!$C$5:$C$3004,UPPER(SUBSTITUTE($B23,".","")),'Ayuda Workera'!$B$5:$B$3004,DATE($H$1,$G$1,$F$1),'Marcación Workera'!$H$5:$H$3004,"Entrada")&gt;0,"SI","NO"))</f>
        <v>SI</v>
      </c>
      <c r="K23" s="8" t="str">
        <f>IF($B23="","",IF(COUNTIFS('Ayuda Workera'!$C$5:$C$3004,UPPER(SUBSTITUTE($B23,".","")),'Ayuda Workera'!$B$5:$B$3004,DATE($H$1,$G$1,$F$1),'Marcación Workera'!$H$5:$H$3004,"Salida")&gt;0,"SI","NO"))</f>
        <v>SI</v>
      </c>
      <c r="L23" s="8"/>
    </row>
    <row r="24" spans="1:12" ht="15" customHeight="1" x14ac:dyDescent="0.3">
      <c r="A24" s="8">
        <v>2</v>
      </c>
      <c r="B24" s="9" t="str">
        <f>IFERROR(INDEX(Dotación!$A$5:$A$160,MATCH($C24,Dotación!$B$5:$B$160,0)),"21294612-5")</f>
        <v>18889617-0</v>
      </c>
      <c r="C24" s="10" t="s">
        <v>28</v>
      </c>
      <c r="D24" s="11" t="s">
        <v>29</v>
      </c>
      <c r="E24" s="8" t="s">
        <v>636</v>
      </c>
      <c r="F24" s="8" t="s">
        <v>19</v>
      </c>
      <c r="G24" s="8" t="s">
        <v>20</v>
      </c>
      <c r="H24" s="8" t="s">
        <v>105</v>
      </c>
      <c r="I24" s="8"/>
      <c r="J24" s="8" t="str">
        <f>IF($B24="","",IF(COUNTIFS('Ayuda Workera'!$C$5:$C$3004,UPPER(SUBSTITUTE($B24,".","")),'Ayuda Workera'!$B$5:$B$3004,DATE($H$1,$G$1,$F$1),'Marcación Workera'!$H$5:$H$3004,"Entrada")&gt;0,"SI","NO"))</f>
        <v>SI</v>
      </c>
      <c r="K24" s="8" t="str">
        <f>IF($B24="","",IF(COUNTIFS('Ayuda Workera'!$C$5:$C$3004,UPPER(SUBSTITUTE($B24,".","")),'Ayuda Workera'!$B$5:$B$3004,DATE($H$1,$G$1,$F$1),'Marcación Workera'!$H$5:$H$3004,"Salida")&gt;0,"SI","NO"))</f>
        <v>SI</v>
      </c>
      <c r="L24" s="8"/>
    </row>
    <row r="25" spans="1:12" ht="15" customHeight="1" x14ac:dyDescent="0.3">
      <c r="A25" s="8">
        <v>3</v>
      </c>
      <c r="B25" s="9" t="str">
        <f>IFERROR(INDEX(Dotación!$A$5:$A$160,MATCH($C25,Dotación!$B$5:$B$160,0)),"17721340-3")</f>
        <v>16.706.064-1</v>
      </c>
      <c r="C25" s="10" t="s">
        <v>30</v>
      </c>
      <c r="D25" s="11" t="s">
        <v>29</v>
      </c>
      <c r="E25" s="8" t="s">
        <v>636</v>
      </c>
      <c r="F25" s="8" t="s">
        <v>19</v>
      </c>
      <c r="G25" s="8" t="s">
        <v>20</v>
      </c>
      <c r="H25" s="8" t="s">
        <v>105</v>
      </c>
      <c r="I25" s="8"/>
      <c r="J25" s="8" t="str">
        <f>IF($B25="","",IF(COUNTIFS('Ayuda Workera'!$C$5:$C$3004,UPPER(SUBSTITUTE($B25,".","")),'Ayuda Workera'!$B$5:$B$3004,DATE($H$1,$G$1,$F$1),'Marcación Workera'!$H$5:$H$3004,"Entrada")&gt;0,"SI","NO"))</f>
        <v>SI</v>
      </c>
      <c r="K25" s="8" t="str">
        <f>IF($B25="","",IF(COUNTIFS('Ayuda Workera'!$C$5:$C$3004,UPPER(SUBSTITUTE($B25,".","")),'Ayuda Workera'!$B$5:$B$3004,DATE($H$1,$G$1,$F$1),'Marcación Workera'!$H$5:$H$3004,"Salida")&gt;0,"SI","NO"))</f>
        <v>SI</v>
      </c>
      <c r="L25" s="8"/>
    </row>
    <row r="26" spans="1:12" ht="15" customHeight="1" x14ac:dyDescent="0.3">
      <c r="A26" s="8">
        <v>4</v>
      </c>
      <c r="B26" s="9" t="str">
        <f>IFERROR(INDEX(Dotación!$A$5:$A$160,MATCH($C26,Dotación!$B$5:$B$160,0)),"17465056-K ")</f>
        <v>21254681-K</v>
      </c>
      <c r="C26" s="10" t="s">
        <v>37</v>
      </c>
      <c r="D26" s="11" t="s">
        <v>59</v>
      </c>
      <c r="E26" s="8" t="s">
        <v>636</v>
      </c>
      <c r="F26" s="8" t="s">
        <v>19</v>
      </c>
      <c r="G26" s="8" t="s">
        <v>20</v>
      </c>
      <c r="H26" s="8" t="s">
        <v>105</v>
      </c>
      <c r="I26" s="8"/>
      <c r="J26" s="8" t="str">
        <f>IF($B26="","",IF(COUNTIFS('Ayuda Workera'!$C$5:$C$3004,UPPER(SUBSTITUTE($B26,".","")),'Ayuda Workera'!$B$5:$B$3004,DATE($H$1,$G$1,$F$1),'Marcación Workera'!$H$5:$H$3004,"Entrada")&gt;0,"SI","NO"))</f>
        <v>NO</v>
      </c>
      <c r="K26" s="8" t="str">
        <f>IF($B26="","",IF(COUNTIFS('Ayuda Workera'!$C$5:$C$3004,UPPER(SUBSTITUTE($B26,".","")),'Ayuda Workera'!$B$5:$B$3004,DATE($H$1,$G$1,$F$1),'Marcación Workera'!$H$5:$H$3004,"Salida")&gt;0,"SI","NO"))</f>
        <v>SI</v>
      </c>
      <c r="L26" s="8"/>
    </row>
    <row r="27" spans="1:12" ht="15" customHeight="1" x14ac:dyDescent="0.3">
      <c r="A27" s="8">
        <v>5</v>
      </c>
      <c r="B27" s="9" t="str">
        <f>IFERROR(INDEX(Dotación!$A$5:$A$160,MATCH($C27,Dotación!$B$5:$B$160,0)),"8851221-9")</f>
        <v>17805184-9</v>
      </c>
      <c r="C27" s="10" t="s">
        <v>39</v>
      </c>
      <c r="D27" s="11" t="s">
        <v>36</v>
      </c>
      <c r="E27" s="8" t="s">
        <v>636</v>
      </c>
      <c r="F27" s="8" t="s">
        <v>19</v>
      </c>
      <c r="G27" s="8" t="s">
        <v>20</v>
      </c>
      <c r="H27" s="8" t="s">
        <v>105</v>
      </c>
      <c r="I27" s="8"/>
      <c r="J27" s="8" t="str">
        <f>IF($B27="","",IF(COUNTIFS('Ayuda Workera'!$C$5:$C$3004,UPPER(SUBSTITUTE($B27,".","")),'Ayuda Workera'!$B$5:$B$3004,DATE($H$1,$G$1,$F$1),'Marcación Workera'!$H$5:$H$3004,"Entrada")&gt;0,"SI","NO"))</f>
        <v>SI</v>
      </c>
      <c r="K27" s="8" t="str">
        <f>IF($B27="","",IF(COUNTIFS('Ayuda Workera'!$C$5:$C$3004,UPPER(SUBSTITUTE($B27,".","")),'Ayuda Workera'!$B$5:$B$3004,DATE($H$1,$G$1,$F$1),'Marcación Workera'!$H$5:$H$3004,"Salida")&gt;0,"SI","NO"))</f>
        <v>SI</v>
      </c>
      <c r="L27" s="8"/>
    </row>
    <row r="28" spans="1:12" ht="15" customHeight="1" x14ac:dyDescent="0.3">
      <c r="A28" s="8">
        <v>6</v>
      </c>
      <c r="B28" s="9" t="str">
        <f>IFERROR(INDEX(Dotación!$A$5:$A$160,MATCH($C28,Dotación!$B$5:$B$160,0)),"25832490-0")</f>
        <v>23868099-9</v>
      </c>
      <c r="C28" s="10" t="s">
        <v>40</v>
      </c>
      <c r="D28" s="11" t="s">
        <v>91</v>
      </c>
      <c r="E28" s="8" t="s">
        <v>636</v>
      </c>
      <c r="F28" s="8" t="s">
        <v>19</v>
      </c>
      <c r="G28" s="8" t="s">
        <v>20</v>
      </c>
      <c r="H28" s="8" t="s">
        <v>105</v>
      </c>
      <c r="I28" s="8"/>
      <c r="J28" s="8" t="str">
        <f>IF($B28="","",IF(COUNTIFS('Ayuda Workera'!$C$5:$C$3004,UPPER(SUBSTITUTE($B28,".","")),'Ayuda Workera'!$B$5:$B$3004,DATE($H$1,$G$1,$F$1),'Marcación Workera'!$H$5:$H$3004,"Entrada")&gt;0,"SI","NO"))</f>
        <v>SI</v>
      </c>
      <c r="K28" s="8" t="str">
        <f>IF($B28="","",IF(COUNTIFS('Ayuda Workera'!$C$5:$C$3004,UPPER(SUBSTITUTE($B28,".","")),'Ayuda Workera'!$B$5:$B$3004,DATE($H$1,$G$1,$F$1),'Marcación Workera'!$H$5:$H$3004,"Salida")&gt;0,"SI","NO"))</f>
        <v>SI</v>
      </c>
      <c r="L28" s="8"/>
    </row>
    <row r="29" spans="1:12" ht="15" customHeight="1" x14ac:dyDescent="0.3">
      <c r="A29" s="8">
        <v>7</v>
      </c>
      <c r="B29" s="9" t="str">
        <f>IFERROR(INDEX(Dotación!$A$5:$A$160,MATCH($C29,Dotación!$B$5:$B$160,0)),"4500884-3")</f>
        <v>28683244-K</v>
      </c>
      <c r="C29" s="10" t="s">
        <v>46</v>
      </c>
      <c r="D29" s="11" t="s">
        <v>47</v>
      </c>
      <c r="E29" s="8" t="s">
        <v>636</v>
      </c>
      <c r="F29" s="8" t="s">
        <v>19</v>
      </c>
      <c r="G29" s="8" t="s">
        <v>20</v>
      </c>
      <c r="H29" s="8" t="s">
        <v>105</v>
      </c>
      <c r="I29" s="8"/>
      <c r="J29" s="8" t="str">
        <f>IF($B29="","",IF(COUNTIFS('Ayuda Workera'!$C$5:$C$3004,UPPER(SUBSTITUTE($B29,".","")),'Ayuda Workera'!$B$5:$B$3004,DATE($H$1,$G$1,$F$1),'Marcación Workera'!$H$5:$H$3004,"Entrada")&gt;0,"SI","NO"))</f>
        <v>NO</v>
      </c>
      <c r="K29" s="8" t="str">
        <f>IF($B29="","",IF(COUNTIFS('Ayuda Workera'!$C$5:$C$3004,UPPER(SUBSTITUTE($B29,".","")),'Ayuda Workera'!$B$5:$B$3004,DATE($H$1,$G$1,$F$1),'Marcación Workera'!$H$5:$H$3004,"Salida")&gt;0,"SI","NO"))</f>
        <v>NO</v>
      </c>
      <c r="L29" s="8"/>
    </row>
    <row r="30" spans="1:12" ht="15" customHeight="1" x14ac:dyDescent="0.3">
      <c r="A30" s="8">
        <v>8</v>
      </c>
      <c r="B30" s="9" t="str">
        <f>IFERROR(INDEX(Dotación!$A$5:$A$160,MATCH($C30,Dotación!$B$5:$B$160,0)),"15613806-1")</f>
        <v>17805184-9</v>
      </c>
      <c r="C30" s="10" t="s">
        <v>39</v>
      </c>
      <c r="D30" s="11" t="s">
        <v>36</v>
      </c>
      <c r="E30" s="8" t="s">
        <v>636</v>
      </c>
      <c r="F30" s="8" t="s">
        <v>19</v>
      </c>
      <c r="G30" s="8" t="s">
        <v>20</v>
      </c>
      <c r="H30" s="8" t="s">
        <v>105</v>
      </c>
      <c r="I30" s="8"/>
      <c r="J30" s="8" t="str">
        <f>IF($B30="","",IF(COUNTIFS('Ayuda Workera'!$C$5:$C$3004,UPPER(SUBSTITUTE($B30,".","")),'Ayuda Workera'!$B$5:$B$3004,DATE($H$1,$G$1,$F$1),'Marcación Workera'!$H$5:$H$3004,"Entrada")&gt;0,"SI","NO"))</f>
        <v>SI</v>
      </c>
      <c r="K30" s="8" t="str">
        <f>IF($B30="","",IF(COUNTIFS('Ayuda Workera'!$C$5:$C$3004,UPPER(SUBSTITUTE($B30,".","")),'Ayuda Workera'!$B$5:$B$3004,DATE($H$1,$G$1,$F$1),'Marcación Workera'!$H$5:$H$3004,"Salida")&gt;0,"SI","NO"))</f>
        <v>SI</v>
      </c>
      <c r="L30" s="8"/>
    </row>
  </sheetData>
  <conditionalFormatting sqref="J5:K30">
    <cfRule type="cellIs" dxfId="1" priority="2" operator="equal">
      <formula>"SI"</formula>
    </cfRule>
    <cfRule type="cellIs" dxfId="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E00-000000000000}">
          <x14:formula1>
            <xm:f>Dotación!$B$5:$B$160</xm:f>
          </x14:formula1>
          <x14:formula2>
            <xm:f>0</xm:f>
          </x14:formula2>
          <xm:sqref>C6:C19 C23:C30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55"/>
  <sheetViews>
    <sheetView topLeftCell="A109" zoomScaleNormal="100" workbookViewId="0">
      <selection activeCell="K13" sqref="K13"/>
    </sheetView>
  </sheetViews>
  <sheetFormatPr baseColWidth="10" defaultColWidth="8.6640625" defaultRowHeight="14.4" x14ac:dyDescent="0.3"/>
  <cols>
    <col min="1" max="1" width="30.77734375" bestFit="1" customWidth="1"/>
    <col min="2" max="2" width="34.44140625" bestFit="1" customWidth="1"/>
    <col min="3" max="3" width="12.44140625" bestFit="1" customWidth="1"/>
    <col min="4" max="5" width="14.6640625" bestFit="1" customWidth="1"/>
    <col min="6" max="6" width="17.44140625" bestFit="1" customWidth="1"/>
    <col min="7" max="7" width="18.77734375" bestFit="1" customWidth="1"/>
    <col min="8" max="8" width="1.44140625" bestFit="1" customWidth="1"/>
  </cols>
  <sheetData>
    <row r="1" spans="1:7" ht="15" customHeight="1" x14ac:dyDescent="0.3">
      <c r="A1" t="s">
        <v>106</v>
      </c>
    </row>
    <row r="3" spans="1:7" ht="15" customHeight="1" x14ac:dyDescent="0.3">
      <c r="A3" t="s">
        <v>107</v>
      </c>
    </row>
    <row r="4" spans="1:7" ht="15" customHeight="1" x14ac:dyDescent="0.3">
      <c r="A4" t="s">
        <v>6</v>
      </c>
      <c r="B4" t="s">
        <v>7</v>
      </c>
      <c r="C4" t="s">
        <v>108</v>
      </c>
      <c r="D4" t="s">
        <v>109</v>
      </c>
      <c r="E4" t="s">
        <v>110</v>
      </c>
      <c r="F4" t="s">
        <v>111</v>
      </c>
      <c r="G4" t="s">
        <v>8</v>
      </c>
    </row>
    <row r="5" spans="1:7" ht="15" customHeight="1" x14ac:dyDescent="0.3">
      <c r="A5" t="s">
        <v>112</v>
      </c>
      <c r="B5" t="s">
        <v>113</v>
      </c>
      <c r="C5">
        <v>56995204064</v>
      </c>
      <c r="D5" t="s">
        <v>114</v>
      </c>
      <c r="E5" t="s">
        <v>115</v>
      </c>
      <c r="F5" t="s">
        <v>116</v>
      </c>
      <c r="G5" t="s">
        <v>47</v>
      </c>
    </row>
    <row r="6" spans="1:7" ht="15" customHeight="1" x14ac:dyDescent="0.3">
      <c r="A6" t="s">
        <v>117</v>
      </c>
      <c r="B6" t="s">
        <v>17</v>
      </c>
      <c r="C6">
        <v>56934595911</v>
      </c>
      <c r="D6" t="s">
        <v>114</v>
      </c>
      <c r="E6" t="s">
        <v>118</v>
      </c>
      <c r="F6" t="s">
        <v>119</v>
      </c>
      <c r="G6" t="s">
        <v>120</v>
      </c>
    </row>
    <row r="7" spans="1:7" ht="15" customHeight="1" x14ac:dyDescent="0.3">
      <c r="A7" t="s">
        <v>121</v>
      </c>
      <c r="B7" t="s">
        <v>78</v>
      </c>
      <c r="C7">
        <v>56956410932</v>
      </c>
      <c r="D7" t="s">
        <v>114</v>
      </c>
      <c r="E7" t="s">
        <v>122</v>
      </c>
      <c r="F7" t="s">
        <v>123</v>
      </c>
      <c r="G7" t="s">
        <v>27</v>
      </c>
    </row>
    <row r="8" spans="1:7" ht="15" customHeight="1" x14ac:dyDescent="0.3">
      <c r="A8" t="s">
        <v>124</v>
      </c>
      <c r="B8" t="s">
        <v>46</v>
      </c>
      <c r="C8">
        <v>0</v>
      </c>
      <c r="D8" t="s">
        <v>114</v>
      </c>
      <c r="E8" t="s">
        <v>118</v>
      </c>
      <c r="F8" t="s">
        <v>119</v>
      </c>
      <c r="G8" t="s">
        <v>27</v>
      </c>
    </row>
    <row r="9" spans="1:7" ht="15" customHeight="1" x14ac:dyDescent="0.3">
      <c r="A9" t="s">
        <v>125</v>
      </c>
      <c r="B9" t="s">
        <v>55</v>
      </c>
      <c r="C9">
        <v>56921874468</v>
      </c>
      <c r="D9" t="s">
        <v>114</v>
      </c>
      <c r="E9" t="s">
        <v>115</v>
      </c>
      <c r="F9" t="s">
        <v>126</v>
      </c>
      <c r="G9" t="s">
        <v>36</v>
      </c>
    </row>
    <row r="10" spans="1:7" ht="15" customHeight="1" x14ac:dyDescent="0.3">
      <c r="A10" t="s">
        <v>127</v>
      </c>
      <c r="B10" t="s">
        <v>39</v>
      </c>
      <c r="C10" t="s">
        <v>128</v>
      </c>
      <c r="D10" t="s">
        <v>114</v>
      </c>
      <c r="E10" t="s">
        <v>115</v>
      </c>
      <c r="F10" t="s">
        <v>129</v>
      </c>
      <c r="G10" t="s">
        <v>36</v>
      </c>
    </row>
    <row r="11" spans="1:7" ht="15" customHeight="1" x14ac:dyDescent="0.3">
      <c r="A11" t="s">
        <v>130</v>
      </c>
      <c r="B11" t="s">
        <v>85</v>
      </c>
      <c r="C11">
        <v>56965009040</v>
      </c>
      <c r="D11" t="s">
        <v>114</v>
      </c>
      <c r="E11" t="s">
        <v>115</v>
      </c>
      <c r="F11" t="s">
        <v>131</v>
      </c>
      <c r="G11" t="s">
        <v>29</v>
      </c>
    </row>
    <row r="12" spans="1:7" ht="15" customHeight="1" x14ac:dyDescent="0.3">
      <c r="A12" t="s">
        <v>132</v>
      </c>
      <c r="B12" t="s">
        <v>133</v>
      </c>
      <c r="C12">
        <v>56930557312</v>
      </c>
      <c r="D12" t="s">
        <v>114</v>
      </c>
      <c r="E12" t="s">
        <v>122</v>
      </c>
      <c r="F12" t="s">
        <v>134</v>
      </c>
      <c r="G12" t="s">
        <v>47</v>
      </c>
    </row>
    <row r="13" spans="1:7" ht="15" customHeight="1" x14ac:dyDescent="0.3">
      <c r="A13" t="s">
        <v>135</v>
      </c>
      <c r="B13" t="s">
        <v>136</v>
      </c>
      <c r="C13">
        <v>56978999169</v>
      </c>
      <c r="D13" t="s">
        <v>114</v>
      </c>
      <c r="E13" t="s">
        <v>115</v>
      </c>
      <c r="F13" t="s">
        <v>131</v>
      </c>
      <c r="G13" t="s">
        <v>47</v>
      </c>
    </row>
    <row r="14" spans="1:7" ht="15" customHeight="1" x14ac:dyDescent="0.3">
      <c r="A14" t="s">
        <v>137</v>
      </c>
      <c r="B14" t="s">
        <v>96</v>
      </c>
      <c r="C14">
        <v>56944795246</v>
      </c>
      <c r="D14" t="s">
        <v>114</v>
      </c>
      <c r="E14" t="s">
        <v>118</v>
      </c>
      <c r="F14" t="s">
        <v>119</v>
      </c>
      <c r="G14" t="s">
        <v>138</v>
      </c>
    </row>
    <row r="15" spans="1:7" ht="15" customHeight="1" x14ac:dyDescent="0.3">
      <c r="A15" t="s">
        <v>139</v>
      </c>
      <c r="B15" t="s">
        <v>82</v>
      </c>
      <c r="C15">
        <v>56951780496</v>
      </c>
      <c r="D15" t="s">
        <v>114</v>
      </c>
      <c r="E15" t="s">
        <v>122</v>
      </c>
      <c r="F15" t="s">
        <v>140</v>
      </c>
      <c r="G15" t="s">
        <v>59</v>
      </c>
    </row>
    <row r="16" spans="1:7" ht="15" customHeight="1" x14ac:dyDescent="0.3">
      <c r="A16" t="s">
        <v>141</v>
      </c>
      <c r="B16" t="s">
        <v>142</v>
      </c>
      <c r="C16">
        <v>56934632944</v>
      </c>
      <c r="D16" t="s">
        <v>114</v>
      </c>
      <c r="E16" t="s">
        <v>115</v>
      </c>
      <c r="F16" t="s">
        <v>143</v>
      </c>
      <c r="G16" t="s">
        <v>36</v>
      </c>
    </row>
    <row r="17" spans="1:7" ht="15" customHeight="1" x14ac:dyDescent="0.3">
      <c r="A17" t="s">
        <v>144</v>
      </c>
      <c r="B17" t="s">
        <v>92</v>
      </c>
      <c r="C17">
        <v>0</v>
      </c>
      <c r="D17" t="s">
        <v>114</v>
      </c>
      <c r="E17" t="s">
        <v>115</v>
      </c>
      <c r="F17" t="s">
        <v>119</v>
      </c>
      <c r="G17" t="s">
        <v>47</v>
      </c>
    </row>
    <row r="18" spans="1:7" ht="15" customHeight="1" x14ac:dyDescent="0.3">
      <c r="A18" t="s">
        <v>145</v>
      </c>
      <c r="B18" t="s">
        <v>49</v>
      </c>
      <c r="C18">
        <v>56957640020</v>
      </c>
      <c r="D18" t="s">
        <v>114</v>
      </c>
      <c r="E18" t="s">
        <v>115</v>
      </c>
      <c r="F18" t="s">
        <v>146</v>
      </c>
      <c r="G18" t="s">
        <v>147</v>
      </c>
    </row>
    <row r="19" spans="1:7" ht="15" customHeight="1" x14ac:dyDescent="0.3">
      <c r="A19" t="s">
        <v>148</v>
      </c>
      <c r="B19" t="s">
        <v>73</v>
      </c>
      <c r="C19">
        <v>56956566703</v>
      </c>
      <c r="D19" t="s">
        <v>114</v>
      </c>
      <c r="E19" t="s">
        <v>122</v>
      </c>
      <c r="F19" t="s">
        <v>119</v>
      </c>
      <c r="G19" t="s">
        <v>147</v>
      </c>
    </row>
    <row r="20" spans="1:7" ht="15" customHeight="1" x14ac:dyDescent="0.3">
      <c r="A20" t="s">
        <v>149</v>
      </c>
      <c r="B20" t="s">
        <v>99</v>
      </c>
      <c r="C20">
        <v>56947510057</v>
      </c>
      <c r="D20" t="s">
        <v>114</v>
      </c>
      <c r="E20" t="s">
        <v>115</v>
      </c>
      <c r="F20" t="s">
        <v>119</v>
      </c>
      <c r="G20" t="s">
        <v>34</v>
      </c>
    </row>
    <row r="21" spans="1:7" ht="15" customHeight="1" x14ac:dyDescent="0.3">
      <c r="A21" t="s">
        <v>150</v>
      </c>
      <c r="B21" t="s">
        <v>60</v>
      </c>
      <c r="C21">
        <v>0</v>
      </c>
      <c r="D21" t="s">
        <v>114</v>
      </c>
      <c r="E21" t="s">
        <v>118</v>
      </c>
      <c r="F21" t="s">
        <v>119</v>
      </c>
      <c r="G21" t="s">
        <v>151</v>
      </c>
    </row>
    <row r="22" spans="1:7" ht="15" customHeight="1" x14ac:dyDescent="0.3">
      <c r="A22" t="s">
        <v>152</v>
      </c>
      <c r="B22" t="s">
        <v>54</v>
      </c>
      <c r="C22">
        <v>56974827753</v>
      </c>
      <c r="D22" t="s">
        <v>114</v>
      </c>
      <c r="E22" t="s">
        <v>153</v>
      </c>
      <c r="F22" t="s">
        <v>154</v>
      </c>
      <c r="G22" t="s">
        <v>29</v>
      </c>
    </row>
    <row r="23" spans="1:7" ht="15" customHeight="1" x14ac:dyDescent="0.3">
      <c r="A23" t="s">
        <v>155</v>
      </c>
      <c r="B23" t="s">
        <v>156</v>
      </c>
      <c r="D23" t="s">
        <v>114</v>
      </c>
      <c r="F23" t="s">
        <v>157</v>
      </c>
      <c r="G23" t="s">
        <v>43</v>
      </c>
    </row>
    <row r="24" spans="1:7" ht="15" customHeight="1" x14ac:dyDescent="0.3">
      <c r="A24" t="s">
        <v>158</v>
      </c>
      <c r="B24" t="s">
        <v>71</v>
      </c>
      <c r="C24">
        <v>56939436765</v>
      </c>
      <c r="D24" t="s">
        <v>114</v>
      </c>
      <c r="E24" t="s">
        <v>122</v>
      </c>
      <c r="F24" t="s">
        <v>159</v>
      </c>
      <c r="G24" t="s">
        <v>147</v>
      </c>
    </row>
    <row r="25" spans="1:7" ht="15" customHeight="1" x14ac:dyDescent="0.3">
      <c r="A25" t="s">
        <v>160</v>
      </c>
      <c r="B25" t="s">
        <v>161</v>
      </c>
      <c r="C25" t="s">
        <v>162</v>
      </c>
      <c r="D25" t="s">
        <v>114</v>
      </c>
      <c r="E25" t="s">
        <v>122</v>
      </c>
      <c r="F25" t="s">
        <v>140</v>
      </c>
      <c r="G25" t="s">
        <v>147</v>
      </c>
    </row>
    <row r="26" spans="1:7" ht="15" customHeight="1" x14ac:dyDescent="0.3">
      <c r="A26" t="s">
        <v>163</v>
      </c>
      <c r="B26" t="s">
        <v>40</v>
      </c>
      <c r="C26">
        <v>56995355882</v>
      </c>
      <c r="D26" t="s">
        <v>114</v>
      </c>
      <c r="E26" t="s">
        <v>122</v>
      </c>
      <c r="F26" t="s">
        <v>129</v>
      </c>
      <c r="G26" t="s">
        <v>41</v>
      </c>
    </row>
    <row r="27" spans="1:7" ht="15" customHeight="1" x14ac:dyDescent="0.3">
      <c r="A27" t="s">
        <v>164</v>
      </c>
      <c r="B27" t="s">
        <v>37</v>
      </c>
      <c r="C27">
        <v>56997859184</v>
      </c>
      <c r="D27" t="s">
        <v>114</v>
      </c>
      <c r="E27" t="s">
        <v>115</v>
      </c>
      <c r="F27" t="s">
        <v>129</v>
      </c>
      <c r="G27" t="s">
        <v>59</v>
      </c>
    </row>
    <row r="28" spans="1:7" ht="15" customHeight="1" x14ac:dyDescent="0.3">
      <c r="A28" t="s">
        <v>165</v>
      </c>
      <c r="B28" t="s">
        <v>70</v>
      </c>
      <c r="C28">
        <v>56999311783</v>
      </c>
      <c r="D28" t="s">
        <v>114</v>
      </c>
      <c r="E28" t="s">
        <v>122</v>
      </c>
      <c r="F28" t="s">
        <v>166</v>
      </c>
      <c r="G28" t="s">
        <v>27</v>
      </c>
    </row>
    <row r="29" spans="1:7" ht="15" customHeight="1" x14ac:dyDescent="0.3">
      <c r="A29" t="s">
        <v>167</v>
      </c>
      <c r="B29" t="s">
        <v>75</v>
      </c>
      <c r="C29">
        <v>56946119810</v>
      </c>
      <c r="D29" t="s">
        <v>114</v>
      </c>
      <c r="E29" t="s">
        <v>122</v>
      </c>
      <c r="F29" t="s">
        <v>129</v>
      </c>
      <c r="G29" t="s">
        <v>168</v>
      </c>
    </row>
    <row r="30" spans="1:7" ht="15" customHeight="1" x14ac:dyDescent="0.3">
      <c r="A30" t="s">
        <v>169</v>
      </c>
      <c r="B30" t="s">
        <v>26</v>
      </c>
      <c r="C30">
        <v>56987569481</v>
      </c>
      <c r="D30" t="s">
        <v>114</v>
      </c>
      <c r="E30" t="s">
        <v>115</v>
      </c>
      <c r="F30" t="s">
        <v>143</v>
      </c>
      <c r="G30" t="s">
        <v>27</v>
      </c>
    </row>
    <row r="31" spans="1:7" ht="15" customHeight="1" x14ac:dyDescent="0.3">
      <c r="A31" t="s">
        <v>170</v>
      </c>
      <c r="B31" t="s">
        <v>28</v>
      </c>
      <c r="C31">
        <v>56965822339</v>
      </c>
      <c r="D31" t="s">
        <v>114</v>
      </c>
      <c r="E31" t="s">
        <v>115</v>
      </c>
      <c r="F31" t="s">
        <v>131</v>
      </c>
      <c r="G31" t="s">
        <v>29</v>
      </c>
    </row>
    <row r="32" spans="1:7" ht="15" customHeight="1" x14ac:dyDescent="0.3">
      <c r="A32" t="s">
        <v>171</v>
      </c>
      <c r="B32" t="s">
        <v>77</v>
      </c>
      <c r="C32">
        <v>56993985343</v>
      </c>
      <c r="D32" t="s">
        <v>114</v>
      </c>
      <c r="E32" t="s">
        <v>122</v>
      </c>
      <c r="F32" t="s">
        <v>129</v>
      </c>
      <c r="G32" t="s">
        <v>59</v>
      </c>
    </row>
    <row r="33" spans="1:7" ht="15" customHeight="1" x14ac:dyDescent="0.3">
      <c r="A33" t="s">
        <v>172</v>
      </c>
      <c r="B33" t="s">
        <v>72</v>
      </c>
      <c r="C33">
        <v>56973961961</v>
      </c>
      <c r="D33" t="s">
        <v>114</v>
      </c>
      <c r="E33" t="s">
        <v>122</v>
      </c>
      <c r="F33" t="s">
        <v>173</v>
      </c>
      <c r="G33" t="s">
        <v>147</v>
      </c>
    </row>
    <row r="34" spans="1:7" ht="15" customHeight="1" x14ac:dyDescent="0.3">
      <c r="A34" t="s">
        <v>174</v>
      </c>
      <c r="B34" t="s">
        <v>44</v>
      </c>
      <c r="C34">
        <v>56956133801</v>
      </c>
      <c r="D34" t="s">
        <v>114</v>
      </c>
      <c r="E34" t="s">
        <v>115</v>
      </c>
      <c r="F34" t="s">
        <v>119</v>
      </c>
      <c r="G34" t="s">
        <v>47</v>
      </c>
    </row>
    <row r="35" spans="1:7" ht="15" customHeight="1" x14ac:dyDescent="0.3">
      <c r="A35" t="s">
        <v>175</v>
      </c>
      <c r="B35" t="s">
        <v>24</v>
      </c>
      <c r="C35">
        <v>56957196402</v>
      </c>
      <c r="D35" t="s">
        <v>114</v>
      </c>
      <c r="E35" t="s">
        <v>118</v>
      </c>
      <c r="F35" t="s">
        <v>176</v>
      </c>
      <c r="G35" t="s">
        <v>177</v>
      </c>
    </row>
    <row r="36" spans="1:7" ht="15" customHeight="1" x14ac:dyDescent="0.3">
      <c r="A36" t="s">
        <v>178</v>
      </c>
      <c r="B36" t="s">
        <v>22</v>
      </c>
      <c r="C36">
        <v>56953228559</v>
      </c>
      <c r="D36" t="s">
        <v>114</v>
      </c>
      <c r="E36" t="s">
        <v>118</v>
      </c>
      <c r="F36" t="s">
        <v>116</v>
      </c>
      <c r="G36" t="s">
        <v>23</v>
      </c>
    </row>
    <row r="37" spans="1:7" ht="15" customHeight="1" x14ac:dyDescent="0.3">
      <c r="A37" t="s">
        <v>179</v>
      </c>
      <c r="B37" t="s">
        <v>33</v>
      </c>
      <c r="C37">
        <v>56994981528</v>
      </c>
      <c r="D37" t="s">
        <v>114</v>
      </c>
      <c r="E37" t="s">
        <v>122</v>
      </c>
      <c r="F37" t="s">
        <v>180</v>
      </c>
      <c r="G37" t="s">
        <v>34</v>
      </c>
    </row>
    <row r="38" spans="1:7" ht="15" customHeight="1" x14ac:dyDescent="0.3">
      <c r="A38" t="s">
        <v>181</v>
      </c>
      <c r="B38" t="s">
        <v>98</v>
      </c>
      <c r="C38">
        <v>56986433132</v>
      </c>
      <c r="D38" t="s">
        <v>114</v>
      </c>
      <c r="E38" t="s">
        <v>118</v>
      </c>
      <c r="F38" t="s">
        <v>119</v>
      </c>
      <c r="G38" t="s">
        <v>177</v>
      </c>
    </row>
    <row r="39" spans="1:7" ht="15" customHeight="1" x14ac:dyDescent="0.3">
      <c r="A39" t="s">
        <v>182</v>
      </c>
      <c r="B39" t="s">
        <v>58</v>
      </c>
      <c r="C39">
        <v>56938868873</v>
      </c>
      <c r="D39" t="s">
        <v>114</v>
      </c>
      <c r="E39" t="s">
        <v>115</v>
      </c>
      <c r="F39" t="s">
        <v>119</v>
      </c>
      <c r="G39" t="s">
        <v>59</v>
      </c>
    </row>
    <row r="40" spans="1:7" ht="15" customHeight="1" x14ac:dyDescent="0.3">
      <c r="A40" t="s">
        <v>183</v>
      </c>
      <c r="B40" t="s">
        <v>53</v>
      </c>
      <c r="C40">
        <v>56962971776</v>
      </c>
      <c r="D40" t="s">
        <v>114</v>
      </c>
      <c r="E40" t="s">
        <v>115</v>
      </c>
      <c r="F40" t="s">
        <v>146</v>
      </c>
      <c r="G40" t="s">
        <v>147</v>
      </c>
    </row>
    <row r="41" spans="1:7" ht="15" customHeight="1" x14ac:dyDescent="0.3">
      <c r="A41" t="s">
        <v>184</v>
      </c>
      <c r="B41" t="s">
        <v>51</v>
      </c>
      <c r="C41">
        <v>56957237353</v>
      </c>
      <c r="D41" t="s">
        <v>114</v>
      </c>
      <c r="E41" t="s">
        <v>115</v>
      </c>
      <c r="F41" t="s">
        <v>185</v>
      </c>
      <c r="G41" t="s">
        <v>27</v>
      </c>
    </row>
    <row r="42" spans="1:7" ht="15" customHeight="1" x14ac:dyDescent="0.3">
      <c r="A42" t="s">
        <v>186</v>
      </c>
      <c r="B42" t="s">
        <v>89</v>
      </c>
      <c r="C42">
        <v>0</v>
      </c>
      <c r="D42" t="s">
        <v>114</v>
      </c>
      <c r="E42" t="s">
        <v>118</v>
      </c>
      <c r="F42" t="s">
        <v>119</v>
      </c>
      <c r="G42" t="s">
        <v>47</v>
      </c>
    </row>
    <row r="43" spans="1:7" ht="15" customHeight="1" x14ac:dyDescent="0.3">
      <c r="A43" t="s">
        <v>187</v>
      </c>
      <c r="B43" t="s">
        <v>80</v>
      </c>
      <c r="C43">
        <v>56962489803</v>
      </c>
      <c r="D43" t="s">
        <v>114</v>
      </c>
      <c r="E43" t="s">
        <v>122</v>
      </c>
      <c r="F43" t="s">
        <v>119</v>
      </c>
      <c r="G43" t="s">
        <v>147</v>
      </c>
    </row>
    <row r="44" spans="1:7" ht="15" customHeight="1" x14ac:dyDescent="0.3">
      <c r="A44" t="s">
        <v>188</v>
      </c>
      <c r="B44" t="s">
        <v>30</v>
      </c>
      <c r="C44">
        <v>56929505684</v>
      </c>
      <c r="D44" t="s">
        <v>114</v>
      </c>
      <c r="E44" t="s">
        <v>115</v>
      </c>
      <c r="F44" t="s">
        <v>189</v>
      </c>
      <c r="G44" t="s">
        <v>147</v>
      </c>
    </row>
    <row r="45" spans="1:7" ht="15" customHeight="1" x14ac:dyDescent="0.3">
      <c r="A45" t="s">
        <v>190</v>
      </c>
      <c r="B45" t="s">
        <v>74</v>
      </c>
      <c r="C45">
        <v>56933680339</v>
      </c>
      <c r="D45" t="s">
        <v>114</v>
      </c>
      <c r="E45" t="s">
        <v>122</v>
      </c>
      <c r="F45" t="s">
        <v>191</v>
      </c>
      <c r="G45" t="s">
        <v>32</v>
      </c>
    </row>
    <row r="46" spans="1:7" ht="15" customHeight="1" x14ac:dyDescent="0.3">
      <c r="A46" t="s">
        <v>192</v>
      </c>
      <c r="B46" t="s">
        <v>35</v>
      </c>
      <c r="C46">
        <v>56963862122</v>
      </c>
      <c r="D46" t="s">
        <v>114</v>
      </c>
      <c r="E46" t="s">
        <v>115</v>
      </c>
      <c r="F46" t="s">
        <v>193</v>
      </c>
      <c r="G46" t="s">
        <v>168</v>
      </c>
    </row>
    <row r="47" spans="1:7" ht="15" customHeight="1" x14ac:dyDescent="0.3">
      <c r="A47" t="s">
        <v>194</v>
      </c>
      <c r="B47" t="s">
        <v>31</v>
      </c>
      <c r="C47">
        <v>56992991655</v>
      </c>
      <c r="D47" t="s">
        <v>114</v>
      </c>
      <c r="E47" t="s">
        <v>115</v>
      </c>
      <c r="F47" t="s">
        <v>126</v>
      </c>
      <c r="G47" t="s">
        <v>32</v>
      </c>
    </row>
    <row r="48" spans="1:7" ht="15" customHeight="1" x14ac:dyDescent="0.3">
      <c r="A48" t="s">
        <v>195</v>
      </c>
      <c r="B48" t="s">
        <v>196</v>
      </c>
      <c r="C48">
        <v>942485600</v>
      </c>
      <c r="D48" t="s">
        <v>114</v>
      </c>
      <c r="E48" t="s">
        <v>122</v>
      </c>
      <c r="F48" t="s">
        <v>119</v>
      </c>
      <c r="G48" t="s">
        <v>23</v>
      </c>
    </row>
    <row r="49" spans="1:8" ht="15" customHeight="1" x14ac:dyDescent="0.3">
      <c r="A49" t="s">
        <v>197</v>
      </c>
      <c r="B49" t="s">
        <v>100</v>
      </c>
      <c r="C49">
        <v>56974506802</v>
      </c>
      <c r="D49" t="s">
        <v>114</v>
      </c>
      <c r="E49" t="s">
        <v>198</v>
      </c>
      <c r="F49" t="s">
        <v>185</v>
      </c>
      <c r="G49" t="s">
        <v>91</v>
      </c>
    </row>
    <row r="50" spans="1:8" ht="15" customHeight="1" x14ac:dyDescent="0.3">
      <c r="A50" t="s">
        <v>199</v>
      </c>
      <c r="B50" t="s">
        <v>76</v>
      </c>
      <c r="C50">
        <v>56931832236</v>
      </c>
      <c r="D50" t="s">
        <v>114</v>
      </c>
      <c r="E50" t="s">
        <v>198</v>
      </c>
      <c r="F50" t="s">
        <v>131</v>
      </c>
      <c r="G50" t="s">
        <v>200</v>
      </c>
    </row>
    <row r="51" spans="1:8" ht="15" customHeight="1" x14ac:dyDescent="0.3">
      <c r="A51" t="s">
        <v>201</v>
      </c>
      <c r="B51" t="s">
        <v>202</v>
      </c>
      <c r="C51">
        <v>56995145053</v>
      </c>
      <c r="D51" t="s">
        <v>114</v>
      </c>
      <c r="E51" t="s">
        <v>198</v>
      </c>
      <c r="F51" t="s">
        <v>129</v>
      </c>
      <c r="G51" t="s">
        <v>91</v>
      </c>
    </row>
    <row r="52" spans="1:8" ht="15" customHeight="1" x14ac:dyDescent="0.3">
      <c r="A52" t="s">
        <v>203</v>
      </c>
      <c r="B52" t="s">
        <v>204</v>
      </c>
      <c r="C52">
        <v>56995967913</v>
      </c>
      <c r="D52" t="s">
        <v>114</v>
      </c>
      <c r="E52" t="s">
        <v>205</v>
      </c>
      <c r="F52" t="s">
        <v>206</v>
      </c>
      <c r="G52" t="s">
        <v>65</v>
      </c>
      <c r="H52" t="s">
        <v>207</v>
      </c>
    </row>
    <row r="53" spans="1:8" ht="15" customHeight="1" x14ac:dyDescent="0.3">
      <c r="A53" t="s">
        <v>208</v>
      </c>
      <c r="B53" t="s">
        <v>56</v>
      </c>
      <c r="C53">
        <v>56991405748</v>
      </c>
      <c r="D53" t="s">
        <v>114</v>
      </c>
      <c r="E53" t="s">
        <v>115</v>
      </c>
      <c r="F53" t="s">
        <v>176</v>
      </c>
      <c r="G53" t="s">
        <v>91</v>
      </c>
    </row>
    <row r="54" spans="1:8" ht="15" customHeight="1" x14ac:dyDescent="0.3">
      <c r="A54" t="s">
        <v>209</v>
      </c>
      <c r="B54" t="s">
        <v>83</v>
      </c>
      <c r="C54">
        <v>56991015639</v>
      </c>
      <c r="D54" t="s">
        <v>114</v>
      </c>
      <c r="E54" t="s">
        <v>122</v>
      </c>
      <c r="F54" t="s">
        <v>210</v>
      </c>
      <c r="G54" t="s">
        <v>168</v>
      </c>
    </row>
    <row r="55" spans="1:8" ht="15" customHeight="1" x14ac:dyDescent="0.3">
      <c r="A55" t="s">
        <v>211</v>
      </c>
      <c r="B55" t="s">
        <v>212</v>
      </c>
      <c r="D55" t="s">
        <v>114</v>
      </c>
      <c r="E55" t="s">
        <v>122</v>
      </c>
      <c r="F55" t="s">
        <v>213</v>
      </c>
      <c r="G55" t="s">
        <v>168</v>
      </c>
    </row>
    <row r="56" spans="1:8" ht="15" customHeight="1" x14ac:dyDescent="0.3">
      <c r="A56" t="s">
        <v>214</v>
      </c>
      <c r="B56" t="s">
        <v>215</v>
      </c>
      <c r="C56">
        <v>951980867</v>
      </c>
      <c r="D56" t="s">
        <v>114</v>
      </c>
      <c r="E56" t="s">
        <v>115</v>
      </c>
      <c r="F56" t="s">
        <v>216</v>
      </c>
      <c r="G56" t="s">
        <v>23</v>
      </c>
    </row>
    <row r="57" spans="1:8" ht="15" customHeight="1" x14ac:dyDescent="0.3">
      <c r="A57" t="s">
        <v>217</v>
      </c>
      <c r="B57" t="s">
        <v>218</v>
      </c>
      <c r="C57">
        <v>996359390</v>
      </c>
      <c r="D57" t="s">
        <v>114</v>
      </c>
      <c r="E57" t="s">
        <v>122</v>
      </c>
      <c r="F57" t="s">
        <v>146</v>
      </c>
      <c r="G57" t="s">
        <v>23</v>
      </c>
    </row>
    <row r="58" spans="1:8" ht="15" customHeight="1" x14ac:dyDescent="0.3">
      <c r="A58" t="s">
        <v>219</v>
      </c>
      <c r="B58" t="s">
        <v>220</v>
      </c>
      <c r="D58" t="s">
        <v>114</v>
      </c>
      <c r="G58" t="s">
        <v>43</v>
      </c>
    </row>
    <row r="59" spans="1:8" ht="15" customHeight="1" x14ac:dyDescent="0.3">
      <c r="A59" t="s">
        <v>221</v>
      </c>
      <c r="B59" t="s">
        <v>222</v>
      </c>
      <c r="D59" t="s">
        <v>114</v>
      </c>
      <c r="G59" t="s">
        <v>36</v>
      </c>
    </row>
    <row r="74" spans="1:7" ht="15" customHeight="1" x14ac:dyDescent="0.3">
      <c r="A74" t="s">
        <v>223</v>
      </c>
    </row>
    <row r="75" spans="1:7" ht="15" customHeight="1" x14ac:dyDescent="0.3">
      <c r="A75" t="s">
        <v>6</v>
      </c>
      <c r="B75" t="s">
        <v>7</v>
      </c>
      <c r="C75" t="s">
        <v>108</v>
      </c>
      <c r="D75" t="s">
        <v>109</v>
      </c>
      <c r="E75" t="s">
        <v>110</v>
      </c>
      <c r="F75" t="s">
        <v>111</v>
      </c>
      <c r="G75" t="s">
        <v>8</v>
      </c>
    </row>
    <row r="76" spans="1:7" ht="15" customHeight="1" x14ac:dyDescent="0.3">
      <c r="A76" t="s">
        <v>224</v>
      </c>
      <c r="B76" t="s">
        <v>225</v>
      </c>
      <c r="C76">
        <v>932695417</v>
      </c>
      <c r="D76" t="s">
        <v>114</v>
      </c>
      <c r="E76" t="s">
        <v>122</v>
      </c>
      <c r="F76" t="s">
        <v>226</v>
      </c>
      <c r="G76" t="s">
        <v>227</v>
      </c>
    </row>
    <row r="77" spans="1:7" ht="15" customHeight="1" x14ac:dyDescent="0.3">
      <c r="A77" t="s">
        <v>228</v>
      </c>
      <c r="B77" t="s">
        <v>229</v>
      </c>
      <c r="C77">
        <v>984343362</v>
      </c>
      <c r="D77" t="s">
        <v>114</v>
      </c>
      <c r="E77" t="s">
        <v>115</v>
      </c>
      <c r="F77" t="s">
        <v>230</v>
      </c>
      <c r="G77" t="s">
        <v>231</v>
      </c>
    </row>
    <row r="78" spans="1:7" ht="15" customHeight="1" x14ac:dyDescent="0.3">
      <c r="A78" t="s">
        <v>232</v>
      </c>
      <c r="B78" t="s">
        <v>233</v>
      </c>
      <c r="C78">
        <v>952271790</v>
      </c>
      <c r="D78" t="s">
        <v>114</v>
      </c>
      <c r="E78" t="s">
        <v>115</v>
      </c>
      <c r="F78" t="s">
        <v>234</v>
      </c>
      <c r="G78" t="s">
        <v>235</v>
      </c>
    </row>
    <row r="79" spans="1:7" ht="15" customHeight="1" x14ac:dyDescent="0.3">
      <c r="A79" t="s">
        <v>214</v>
      </c>
      <c r="B79" t="s">
        <v>215</v>
      </c>
      <c r="C79">
        <v>951980867</v>
      </c>
      <c r="D79" t="s">
        <v>114</v>
      </c>
      <c r="E79" t="s">
        <v>115</v>
      </c>
      <c r="F79" t="s">
        <v>216</v>
      </c>
      <c r="G79" t="s">
        <v>23</v>
      </c>
    </row>
    <row r="80" spans="1:7" ht="15" customHeight="1" x14ac:dyDescent="0.3">
      <c r="A80" t="s">
        <v>236</v>
      </c>
      <c r="B80" t="s">
        <v>237</v>
      </c>
      <c r="C80">
        <v>935882722</v>
      </c>
      <c r="D80" t="s">
        <v>114</v>
      </c>
      <c r="E80" t="s">
        <v>115</v>
      </c>
      <c r="F80" t="s">
        <v>146</v>
      </c>
      <c r="G80" t="s">
        <v>235</v>
      </c>
    </row>
    <row r="81" spans="1:7" ht="15" customHeight="1" x14ac:dyDescent="0.3">
      <c r="A81" t="s">
        <v>238</v>
      </c>
      <c r="B81" t="s">
        <v>239</v>
      </c>
      <c r="C81">
        <v>967696261</v>
      </c>
      <c r="D81" t="s">
        <v>114</v>
      </c>
      <c r="E81" t="s">
        <v>115</v>
      </c>
      <c r="F81" t="s">
        <v>193</v>
      </c>
      <c r="G81" t="s">
        <v>235</v>
      </c>
    </row>
    <row r="82" spans="1:7" ht="15" customHeight="1" x14ac:dyDescent="0.3">
      <c r="A82" t="s">
        <v>240</v>
      </c>
      <c r="B82" t="s">
        <v>81</v>
      </c>
      <c r="C82">
        <v>56964819124</v>
      </c>
      <c r="D82" t="s">
        <v>114</v>
      </c>
      <c r="E82" t="s">
        <v>122</v>
      </c>
      <c r="F82" t="s">
        <v>146</v>
      </c>
      <c r="G82" t="s">
        <v>235</v>
      </c>
    </row>
    <row r="83" spans="1:7" ht="15" customHeight="1" x14ac:dyDescent="0.3">
      <c r="A83" t="s">
        <v>241</v>
      </c>
      <c r="B83" t="s">
        <v>242</v>
      </c>
      <c r="C83">
        <v>996487370</v>
      </c>
      <c r="D83" t="s">
        <v>114</v>
      </c>
      <c r="E83" t="s">
        <v>122</v>
      </c>
      <c r="F83" t="s">
        <v>146</v>
      </c>
      <c r="G83" t="s">
        <v>227</v>
      </c>
    </row>
    <row r="84" spans="1:7" ht="15" customHeight="1" x14ac:dyDescent="0.3">
      <c r="A84" t="s">
        <v>243</v>
      </c>
      <c r="B84" t="s">
        <v>244</v>
      </c>
      <c r="C84">
        <v>937028119</v>
      </c>
      <c r="D84" t="s">
        <v>114</v>
      </c>
      <c r="E84" t="s">
        <v>122</v>
      </c>
      <c r="F84" t="s">
        <v>216</v>
      </c>
      <c r="G84" t="s">
        <v>235</v>
      </c>
    </row>
    <row r="85" spans="1:7" ht="15" customHeight="1" x14ac:dyDescent="0.3">
      <c r="A85" t="s">
        <v>245</v>
      </c>
      <c r="B85" t="s">
        <v>246</v>
      </c>
      <c r="C85">
        <v>942771770</v>
      </c>
      <c r="D85" t="s">
        <v>114</v>
      </c>
      <c r="E85" t="s">
        <v>115</v>
      </c>
      <c r="F85" t="s">
        <v>146</v>
      </c>
      <c r="G85" t="s">
        <v>235</v>
      </c>
    </row>
    <row r="86" spans="1:7" ht="15" customHeight="1" x14ac:dyDescent="0.3">
      <c r="A86" t="s">
        <v>247</v>
      </c>
      <c r="B86" t="s">
        <v>248</v>
      </c>
      <c r="C86">
        <v>56971460551</v>
      </c>
      <c r="D86" t="s">
        <v>114</v>
      </c>
      <c r="E86" t="s">
        <v>122</v>
      </c>
      <c r="F86" t="s">
        <v>249</v>
      </c>
      <c r="G86" t="s">
        <v>47</v>
      </c>
    </row>
    <row r="87" spans="1:7" ht="15" customHeight="1" x14ac:dyDescent="0.3">
      <c r="A87" t="s">
        <v>250</v>
      </c>
      <c r="B87" t="s">
        <v>251</v>
      </c>
      <c r="C87">
        <v>933684784</v>
      </c>
      <c r="D87" t="s">
        <v>114</v>
      </c>
      <c r="E87" t="s">
        <v>115</v>
      </c>
      <c r="F87" t="s">
        <v>146</v>
      </c>
      <c r="G87" t="s">
        <v>227</v>
      </c>
    </row>
    <row r="88" spans="1:7" ht="15" customHeight="1" x14ac:dyDescent="0.3">
      <c r="A88" t="s">
        <v>252</v>
      </c>
      <c r="B88" t="s">
        <v>253</v>
      </c>
      <c r="C88">
        <v>56981373188</v>
      </c>
      <c r="D88" t="s">
        <v>114</v>
      </c>
      <c r="E88" t="s">
        <v>115</v>
      </c>
      <c r="F88" t="s">
        <v>226</v>
      </c>
      <c r="G88" t="s">
        <v>227</v>
      </c>
    </row>
    <row r="89" spans="1:7" ht="15" customHeight="1" x14ac:dyDescent="0.3">
      <c r="A89" t="s">
        <v>217</v>
      </c>
      <c r="B89" t="s">
        <v>218</v>
      </c>
      <c r="C89">
        <v>996359390</v>
      </c>
      <c r="D89" t="s">
        <v>114</v>
      </c>
      <c r="E89" t="s">
        <v>122</v>
      </c>
      <c r="F89" t="s">
        <v>146</v>
      </c>
      <c r="G89" t="s">
        <v>23</v>
      </c>
    </row>
    <row r="90" spans="1:7" ht="15" customHeight="1" x14ac:dyDescent="0.3">
      <c r="A90" t="s">
        <v>254</v>
      </c>
      <c r="B90" t="s">
        <v>255</v>
      </c>
      <c r="C90">
        <v>56963983691</v>
      </c>
      <c r="D90" t="s">
        <v>114</v>
      </c>
      <c r="E90" t="s">
        <v>122</v>
      </c>
      <c r="F90" t="s">
        <v>256</v>
      </c>
      <c r="G90" t="s">
        <v>235</v>
      </c>
    </row>
    <row r="91" spans="1:7" ht="15" customHeight="1" x14ac:dyDescent="0.3">
      <c r="A91" t="s">
        <v>257</v>
      </c>
      <c r="B91" t="s">
        <v>258</v>
      </c>
      <c r="C91">
        <v>989512863</v>
      </c>
      <c r="D91" t="s">
        <v>114</v>
      </c>
      <c r="E91" t="s">
        <v>115</v>
      </c>
      <c r="F91" t="s">
        <v>259</v>
      </c>
      <c r="G91" t="s">
        <v>260</v>
      </c>
    </row>
    <row r="92" spans="1:7" ht="15" customHeight="1" x14ac:dyDescent="0.3">
      <c r="A92" t="s">
        <v>261</v>
      </c>
      <c r="B92" t="s">
        <v>262</v>
      </c>
      <c r="C92">
        <v>932004100</v>
      </c>
      <c r="D92" t="s">
        <v>114</v>
      </c>
      <c r="E92" t="s">
        <v>122</v>
      </c>
      <c r="F92" t="s">
        <v>263</v>
      </c>
      <c r="G92" t="s">
        <v>264</v>
      </c>
    </row>
    <row r="93" spans="1:7" ht="15" customHeight="1" x14ac:dyDescent="0.3">
      <c r="A93" t="s">
        <v>265</v>
      </c>
      <c r="B93" t="s">
        <v>266</v>
      </c>
      <c r="C93">
        <v>998304439</v>
      </c>
      <c r="D93" t="s">
        <v>114</v>
      </c>
      <c r="E93" t="s">
        <v>122</v>
      </c>
      <c r="F93" t="s">
        <v>216</v>
      </c>
      <c r="G93" t="s">
        <v>264</v>
      </c>
    </row>
    <row r="94" spans="1:7" ht="15" customHeight="1" x14ac:dyDescent="0.3">
      <c r="A94" t="s">
        <v>267</v>
      </c>
      <c r="B94" t="s">
        <v>268</v>
      </c>
      <c r="C94">
        <v>992416926</v>
      </c>
      <c r="D94" t="s">
        <v>114</v>
      </c>
      <c r="E94" t="s">
        <v>122</v>
      </c>
      <c r="F94" t="s">
        <v>146</v>
      </c>
      <c r="G94" t="s">
        <v>147</v>
      </c>
    </row>
    <row r="95" spans="1:7" ht="15" customHeight="1" x14ac:dyDescent="0.3">
      <c r="A95" t="s">
        <v>269</v>
      </c>
      <c r="B95" t="s">
        <v>270</v>
      </c>
      <c r="C95">
        <v>56942113881</v>
      </c>
      <c r="D95" t="s">
        <v>114</v>
      </c>
      <c r="E95" t="s">
        <v>271</v>
      </c>
      <c r="F95" t="s">
        <v>272</v>
      </c>
      <c r="G95" t="s">
        <v>200</v>
      </c>
    </row>
    <row r="96" spans="1:7" ht="15" customHeight="1" x14ac:dyDescent="0.3">
      <c r="A96" t="s">
        <v>273</v>
      </c>
      <c r="B96" t="s">
        <v>274</v>
      </c>
      <c r="C96">
        <v>56976990323</v>
      </c>
      <c r="D96" t="s">
        <v>114</v>
      </c>
      <c r="E96" t="s">
        <v>271</v>
      </c>
      <c r="F96" t="s">
        <v>193</v>
      </c>
      <c r="G96" t="s">
        <v>200</v>
      </c>
    </row>
    <row r="97" spans="1:7" ht="15" customHeight="1" x14ac:dyDescent="0.3">
      <c r="B97" t="s">
        <v>204</v>
      </c>
      <c r="C97">
        <v>56995967913</v>
      </c>
      <c r="D97" t="s">
        <v>114</v>
      </c>
      <c r="E97" t="s">
        <v>205</v>
      </c>
      <c r="F97" t="s">
        <v>206</v>
      </c>
      <c r="G97" t="s">
        <v>275</v>
      </c>
    </row>
    <row r="98" spans="1:7" ht="15" customHeight="1" x14ac:dyDescent="0.3">
      <c r="A98" t="s">
        <v>276</v>
      </c>
      <c r="B98" t="s">
        <v>277</v>
      </c>
      <c r="C98">
        <v>984391730</v>
      </c>
      <c r="D98" t="s">
        <v>114</v>
      </c>
      <c r="E98" t="s">
        <v>115</v>
      </c>
      <c r="F98" t="s">
        <v>146</v>
      </c>
      <c r="G98" t="s">
        <v>231</v>
      </c>
    </row>
    <row r="99" spans="1:7" ht="15" customHeight="1" x14ac:dyDescent="0.3">
      <c r="A99" t="s">
        <v>221</v>
      </c>
      <c r="B99" t="s">
        <v>278</v>
      </c>
    </row>
    <row r="100" spans="1:7" ht="15" customHeight="1" x14ac:dyDescent="0.3">
      <c r="A100" t="s">
        <v>182</v>
      </c>
      <c r="B100" t="s">
        <v>58</v>
      </c>
      <c r="C100">
        <v>56938868873</v>
      </c>
      <c r="D100" t="s">
        <v>114</v>
      </c>
      <c r="E100" t="s">
        <v>115</v>
      </c>
      <c r="F100" t="s">
        <v>119</v>
      </c>
      <c r="G100" t="s">
        <v>59</v>
      </c>
    </row>
    <row r="101" spans="1:7" ht="15" customHeight="1" x14ac:dyDescent="0.3">
      <c r="A101" t="s">
        <v>164</v>
      </c>
      <c r="B101" t="s">
        <v>37</v>
      </c>
      <c r="C101">
        <v>56997859184</v>
      </c>
      <c r="D101" t="s">
        <v>114</v>
      </c>
      <c r="E101" t="s">
        <v>115</v>
      </c>
      <c r="F101" t="s">
        <v>129</v>
      </c>
      <c r="G101" t="s">
        <v>59</v>
      </c>
    </row>
    <row r="102" spans="1:7" ht="15" customHeight="1" x14ac:dyDescent="0.3">
      <c r="A102" t="s">
        <v>194</v>
      </c>
      <c r="B102" t="s">
        <v>31</v>
      </c>
      <c r="C102">
        <v>56992991655</v>
      </c>
      <c r="D102" t="s">
        <v>114</v>
      </c>
      <c r="E102" t="s">
        <v>115</v>
      </c>
      <c r="F102" t="s">
        <v>126</v>
      </c>
      <c r="G102" t="s">
        <v>32</v>
      </c>
    </row>
    <row r="103" spans="1:7" ht="15" customHeight="1" x14ac:dyDescent="0.3">
      <c r="A103" t="s">
        <v>155</v>
      </c>
      <c r="B103" t="s">
        <v>156</v>
      </c>
      <c r="D103" t="s">
        <v>114</v>
      </c>
      <c r="E103" t="s">
        <v>118</v>
      </c>
      <c r="F103" t="s">
        <v>279</v>
      </c>
      <c r="G103" t="s">
        <v>43</v>
      </c>
    </row>
    <row r="104" spans="1:7" ht="15" customHeight="1" x14ac:dyDescent="0.3">
      <c r="A104" t="s">
        <v>280</v>
      </c>
      <c r="B104" t="s">
        <v>281</v>
      </c>
      <c r="C104">
        <v>56938781685</v>
      </c>
      <c r="D104" t="s">
        <v>114</v>
      </c>
      <c r="E104" t="s">
        <v>115</v>
      </c>
      <c r="F104" t="s">
        <v>146</v>
      </c>
      <c r="G104" t="s">
        <v>29</v>
      </c>
    </row>
    <row r="105" spans="1:7" ht="15" customHeight="1" x14ac:dyDescent="0.3">
      <c r="A105" t="s">
        <v>282</v>
      </c>
      <c r="B105" t="s">
        <v>283</v>
      </c>
      <c r="C105">
        <v>56930814634</v>
      </c>
      <c r="D105" t="s">
        <v>114</v>
      </c>
      <c r="E105" t="s">
        <v>115</v>
      </c>
      <c r="F105" t="s">
        <v>284</v>
      </c>
      <c r="G105" t="s">
        <v>29</v>
      </c>
    </row>
    <row r="106" spans="1:7" ht="15" customHeight="1" x14ac:dyDescent="0.3">
      <c r="A106" t="s">
        <v>139</v>
      </c>
      <c r="B106" t="s">
        <v>82</v>
      </c>
      <c r="C106">
        <v>56951780496</v>
      </c>
      <c r="D106" t="s">
        <v>114</v>
      </c>
      <c r="E106" t="s">
        <v>122</v>
      </c>
      <c r="F106" t="s">
        <v>140</v>
      </c>
      <c r="G106" t="s">
        <v>59</v>
      </c>
    </row>
    <row r="107" spans="1:7" ht="15" customHeight="1" x14ac:dyDescent="0.3">
      <c r="A107" t="s">
        <v>190</v>
      </c>
      <c r="B107" t="s">
        <v>74</v>
      </c>
      <c r="C107">
        <v>56933680339</v>
      </c>
      <c r="D107" t="s">
        <v>114</v>
      </c>
      <c r="E107" t="s">
        <v>122</v>
      </c>
      <c r="F107" t="s">
        <v>191</v>
      </c>
      <c r="G107" t="s">
        <v>32</v>
      </c>
    </row>
    <row r="108" spans="1:7" ht="15" customHeight="1" x14ac:dyDescent="0.3">
      <c r="B108" t="s">
        <v>285</v>
      </c>
      <c r="G108" t="s">
        <v>235</v>
      </c>
    </row>
    <row r="117" spans="1:7" ht="15" customHeight="1" x14ac:dyDescent="0.3">
      <c r="A117" t="s">
        <v>286</v>
      </c>
    </row>
    <row r="118" spans="1:7" ht="15" customHeight="1" x14ac:dyDescent="0.3">
      <c r="A118" t="s">
        <v>6</v>
      </c>
      <c r="B118" t="s">
        <v>7</v>
      </c>
      <c r="C118" t="s">
        <v>108</v>
      </c>
      <c r="D118" t="s">
        <v>109</v>
      </c>
      <c r="E118" t="s">
        <v>110</v>
      </c>
      <c r="F118" t="s">
        <v>111</v>
      </c>
      <c r="G118" t="s">
        <v>8</v>
      </c>
    </row>
    <row r="119" spans="1:7" ht="15" customHeight="1" x14ac:dyDescent="0.3">
      <c r="A119" t="s">
        <v>287</v>
      </c>
      <c r="B119" t="s">
        <v>288</v>
      </c>
      <c r="C119">
        <v>967185035</v>
      </c>
      <c r="D119" t="s">
        <v>114</v>
      </c>
      <c r="E119" t="s">
        <v>122</v>
      </c>
      <c r="F119" t="s">
        <v>146</v>
      </c>
      <c r="G119" t="s">
        <v>235</v>
      </c>
    </row>
    <row r="120" spans="1:7" ht="15" customHeight="1" x14ac:dyDescent="0.3">
      <c r="A120" t="s">
        <v>289</v>
      </c>
      <c r="B120" t="s">
        <v>290</v>
      </c>
      <c r="C120">
        <v>0</v>
      </c>
      <c r="D120" t="s">
        <v>114</v>
      </c>
      <c r="E120" t="s">
        <v>291</v>
      </c>
      <c r="F120" t="s">
        <v>119</v>
      </c>
      <c r="G120" t="s">
        <v>27</v>
      </c>
    </row>
    <row r="121" spans="1:7" ht="15" customHeight="1" x14ac:dyDescent="0.3">
      <c r="A121" t="s">
        <v>292</v>
      </c>
      <c r="B121" t="s">
        <v>293</v>
      </c>
      <c r="C121">
        <v>0</v>
      </c>
      <c r="D121" t="s">
        <v>114</v>
      </c>
      <c r="E121" t="s">
        <v>118</v>
      </c>
      <c r="F121" t="s">
        <v>119</v>
      </c>
      <c r="G121" t="s">
        <v>27</v>
      </c>
    </row>
    <row r="122" spans="1:7" ht="15" customHeight="1" x14ac:dyDescent="0.3">
      <c r="A122" t="s">
        <v>294</v>
      </c>
      <c r="B122" t="s">
        <v>295</v>
      </c>
      <c r="C122">
        <v>56994197712</v>
      </c>
      <c r="D122" t="s">
        <v>114</v>
      </c>
      <c r="E122" t="s">
        <v>118</v>
      </c>
      <c r="F122" t="s">
        <v>296</v>
      </c>
      <c r="G122" t="s">
        <v>23</v>
      </c>
    </row>
    <row r="123" spans="1:7" ht="15" customHeight="1" x14ac:dyDescent="0.3">
      <c r="A123" t="s">
        <v>297</v>
      </c>
      <c r="B123" t="s">
        <v>298</v>
      </c>
      <c r="C123">
        <v>0</v>
      </c>
      <c r="D123" t="s">
        <v>114</v>
      </c>
      <c r="E123" t="s">
        <v>118</v>
      </c>
      <c r="F123" t="s">
        <v>119</v>
      </c>
      <c r="G123" t="s">
        <v>47</v>
      </c>
    </row>
    <row r="124" spans="1:7" ht="15" customHeight="1" x14ac:dyDescent="0.3">
      <c r="A124" t="s">
        <v>203</v>
      </c>
      <c r="B124" t="s">
        <v>204</v>
      </c>
      <c r="C124">
        <v>56995967913</v>
      </c>
      <c r="D124" t="s">
        <v>114</v>
      </c>
      <c r="E124" t="s">
        <v>118</v>
      </c>
      <c r="F124" t="s">
        <v>119</v>
      </c>
      <c r="G124" t="s">
        <v>65</v>
      </c>
    </row>
    <row r="125" spans="1:7" ht="15" customHeight="1" x14ac:dyDescent="0.3">
      <c r="A125" t="s">
        <v>299</v>
      </c>
      <c r="B125" t="s">
        <v>300</v>
      </c>
      <c r="C125">
        <v>991365059</v>
      </c>
      <c r="D125" t="s">
        <v>114</v>
      </c>
      <c r="E125" t="s">
        <v>122</v>
      </c>
      <c r="F125" t="s">
        <v>146</v>
      </c>
      <c r="G125" t="s">
        <v>235</v>
      </c>
    </row>
    <row r="126" spans="1:7" ht="15" customHeight="1" x14ac:dyDescent="0.3">
      <c r="A126" t="s">
        <v>301</v>
      </c>
      <c r="B126" t="s">
        <v>302</v>
      </c>
      <c r="C126">
        <v>56946590834</v>
      </c>
      <c r="D126" t="s">
        <v>114</v>
      </c>
      <c r="E126" t="s">
        <v>153</v>
      </c>
      <c r="F126" t="s">
        <v>119</v>
      </c>
      <c r="G126" t="s">
        <v>29</v>
      </c>
    </row>
    <row r="127" spans="1:7" ht="15" customHeight="1" x14ac:dyDescent="0.3">
      <c r="A127" t="s">
        <v>303</v>
      </c>
      <c r="B127" t="s">
        <v>304</v>
      </c>
      <c r="C127">
        <v>56985893628</v>
      </c>
      <c r="D127" t="s">
        <v>114</v>
      </c>
      <c r="E127" t="s">
        <v>305</v>
      </c>
      <c r="F127" t="s">
        <v>119</v>
      </c>
      <c r="G127" t="s">
        <v>23</v>
      </c>
    </row>
    <row r="128" spans="1:7" ht="15" customHeight="1" x14ac:dyDescent="0.3">
      <c r="A128" t="s">
        <v>208</v>
      </c>
      <c r="B128" t="s">
        <v>56</v>
      </c>
      <c r="C128">
        <v>56991405748</v>
      </c>
      <c r="D128" t="s">
        <v>114</v>
      </c>
      <c r="E128" t="s">
        <v>115</v>
      </c>
      <c r="F128" t="s">
        <v>176</v>
      </c>
      <c r="G128" t="s">
        <v>41</v>
      </c>
    </row>
    <row r="129" spans="1:7" ht="15" customHeight="1" x14ac:dyDescent="0.3">
      <c r="A129" t="s">
        <v>306</v>
      </c>
      <c r="B129" t="s">
        <v>307</v>
      </c>
      <c r="C129">
        <v>56986353187</v>
      </c>
      <c r="D129" t="s">
        <v>114</v>
      </c>
      <c r="E129" t="s">
        <v>118</v>
      </c>
      <c r="F129" t="s">
        <v>129</v>
      </c>
      <c r="G129" t="s">
        <v>34</v>
      </c>
    </row>
    <row r="130" spans="1:7" ht="15" customHeight="1" x14ac:dyDescent="0.3">
      <c r="A130" t="s">
        <v>308</v>
      </c>
      <c r="B130" t="s">
        <v>309</v>
      </c>
      <c r="C130">
        <v>56930911591</v>
      </c>
      <c r="D130" t="s">
        <v>114</v>
      </c>
      <c r="E130" t="s">
        <v>122</v>
      </c>
      <c r="F130" t="s">
        <v>310</v>
      </c>
      <c r="G130" t="s">
        <v>311</v>
      </c>
    </row>
    <row r="131" spans="1:7" ht="15" customHeight="1" x14ac:dyDescent="0.3">
      <c r="A131" t="s">
        <v>276</v>
      </c>
      <c r="B131" t="s">
        <v>277</v>
      </c>
      <c r="C131">
        <v>984391730</v>
      </c>
      <c r="D131" t="s">
        <v>114</v>
      </c>
      <c r="E131" t="s">
        <v>115</v>
      </c>
      <c r="F131" t="s">
        <v>146</v>
      </c>
      <c r="G131" t="s">
        <v>231</v>
      </c>
    </row>
    <row r="132" spans="1:7" ht="15" customHeight="1" x14ac:dyDescent="0.3">
      <c r="A132" t="s">
        <v>312</v>
      </c>
      <c r="B132" t="s">
        <v>313</v>
      </c>
      <c r="C132">
        <v>56962182503</v>
      </c>
      <c r="D132" t="s">
        <v>114</v>
      </c>
      <c r="E132" t="s">
        <v>115</v>
      </c>
      <c r="F132" t="s">
        <v>119</v>
      </c>
      <c r="G132" t="s">
        <v>29</v>
      </c>
    </row>
    <row r="133" spans="1:7" ht="15" customHeight="1" x14ac:dyDescent="0.3">
      <c r="A133">
        <v>182233196</v>
      </c>
      <c r="B133" t="s">
        <v>314</v>
      </c>
      <c r="D133" t="s">
        <v>114</v>
      </c>
      <c r="E133" t="s">
        <v>115</v>
      </c>
      <c r="F133" t="s">
        <v>119</v>
      </c>
      <c r="G133" t="s">
        <v>315</v>
      </c>
    </row>
    <row r="134" spans="1:7" ht="15" customHeight="1" x14ac:dyDescent="0.3">
      <c r="A134" t="s">
        <v>316</v>
      </c>
      <c r="B134" t="s">
        <v>317</v>
      </c>
      <c r="C134">
        <v>56969165296</v>
      </c>
      <c r="D134" t="s">
        <v>114</v>
      </c>
      <c r="E134" t="s">
        <v>153</v>
      </c>
      <c r="F134" t="s">
        <v>119</v>
      </c>
      <c r="G134" t="s">
        <v>29</v>
      </c>
    </row>
    <row r="135" spans="1:7" ht="15" customHeight="1" x14ac:dyDescent="0.3">
      <c r="A135" t="s">
        <v>318</v>
      </c>
      <c r="B135" t="s">
        <v>319</v>
      </c>
      <c r="C135">
        <v>56944795246</v>
      </c>
      <c r="D135" t="s">
        <v>114</v>
      </c>
      <c r="E135" t="s">
        <v>115</v>
      </c>
      <c r="F135" t="s">
        <v>126</v>
      </c>
      <c r="G135" t="s">
        <v>23</v>
      </c>
    </row>
    <row r="136" spans="1:7" ht="15" customHeight="1" x14ac:dyDescent="0.3">
      <c r="A136" t="s">
        <v>320</v>
      </c>
      <c r="B136" t="s">
        <v>321</v>
      </c>
      <c r="D136" t="s">
        <v>322</v>
      </c>
      <c r="E136" t="s">
        <v>323</v>
      </c>
      <c r="G136" t="s">
        <v>324</v>
      </c>
    </row>
    <row r="137" spans="1:7" ht="15" customHeight="1" x14ac:dyDescent="0.3">
      <c r="A137" t="s">
        <v>325</v>
      </c>
      <c r="B137" t="s">
        <v>326</v>
      </c>
      <c r="C137">
        <v>56975262122</v>
      </c>
      <c r="D137" t="s">
        <v>114</v>
      </c>
      <c r="E137" t="s">
        <v>115</v>
      </c>
      <c r="F137" t="s">
        <v>119</v>
      </c>
      <c r="G137" t="s">
        <v>27</v>
      </c>
    </row>
    <row r="138" spans="1:7" ht="15" customHeight="1" x14ac:dyDescent="0.3">
      <c r="A138" t="s">
        <v>327</v>
      </c>
      <c r="B138" t="s">
        <v>328</v>
      </c>
      <c r="D138" t="s">
        <v>114</v>
      </c>
      <c r="F138" t="s">
        <v>119</v>
      </c>
      <c r="G138" t="s">
        <v>329</v>
      </c>
    </row>
    <row r="139" spans="1:7" ht="15" customHeight="1" x14ac:dyDescent="0.3">
      <c r="A139" t="s">
        <v>330</v>
      </c>
      <c r="B139" t="s">
        <v>331</v>
      </c>
      <c r="C139">
        <v>0</v>
      </c>
      <c r="D139" t="s">
        <v>114</v>
      </c>
      <c r="E139" t="s">
        <v>332</v>
      </c>
      <c r="F139" t="s">
        <v>119</v>
      </c>
      <c r="G139" t="s">
        <v>27</v>
      </c>
    </row>
    <row r="140" spans="1:7" ht="15" customHeight="1" x14ac:dyDescent="0.3">
      <c r="A140" t="s">
        <v>333</v>
      </c>
      <c r="B140" t="s">
        <v>334</v>
      </c>
      <c r="D140" t="s">
        <v>114</v>
      </c>
      <c r="E140" t="s">
        <v>122</v>
      </c>
      <c r="F140" t="s">
        <v>119</v>
      </c>
      <c r="G140" t="s">
        <v>59</v>
      </c>
    </row>
    <row r="141" spans="1:7" ht="15" customHeight="1" x14ac:dyDescent="0.3">
      <c r="A141" t="s">
        <v>335</v>
      </c>
      <c r="B141" t="s">
        <v>336</v>
      </c>
      <c r="C141">
        <v>56979183174</v>
      </c>
      <c r="D141" t="s">
        <v>114</v>
      </c>
      <c r="E141" t="s">
        <v>115</v>
      </c>
      <c r="F141" t="s">
        <v>119</v>
      </c>
      <c r="G141" t="s">
        <v>29</v>
      </c>
    </row>
    <row r="142" spans="1:7" ht="15" customHeight="1" x14ac:dyDescent="0.3">
      <c r="A142" t="s">
        <v>337</v>
      </c>
      <c r="B142" t="s">
        <v>338</v>
      </c>
      <c r="C142">
        <v>991613166</v>
      </c>
      <c r="D142" t="s">
        <v>114</v>
      </c>
      <c r="E142" t="s">
        <v>115</v>
      </c>
      <c r="F142" t="s">
        <v>193</v>
      </c>
      <c r="G142" t="s">
        <v>235</v>
      </c>
    </row>
    <row r="143" spans="1:7" ht="15" customHeight="1" x14ac:dyDescent="0.3">
      <c r="A143" t="s">
        <v>339</v>
      </c>
      <c r="B143" t="s">
        <v>340</v>
      </c>
      <c r="C143">
        <v>56944355975</v>
      </c>
      <c r="D143" t="s">
        <v>114</v>
      </c>
      <c r="E143" t="s">
        <v>115</v>
      </c>
      <c r="F143" t="s">
        <v>341</v>
      </c>
      <c r="G143" t="s">
        <v>29</v>
      </c>
    </row>
    <row r="144" spans="1:7" ht="15" customHeight="1" x14ac:dyDescent="0.3">
      <c r="A144" t="s">
        <v>209</v>
      </c>
      <c r="B144" t="s">
        <v>83</v>
      </c>
      <c r="C144">
        <v>56991015639</v>
      </c>
      <c r="D144" t="s">
        <v>114</v>
      </c>
      <c r="E144" t="s">
        <v>122</v>
      </c>
      <c r="F144" t="s">
        <v>210</v>
      </c>
      <c r="G144" t="s">
        <v>168</v>
      </c>
    </row>
    <row r="145" spans="1:7" ht="15" customHeight="1" x14ac:dyDescent="0.3">
      <c r="A145">
        <v>213013971</v>
      </c>
      <c r="B145" t="s">
        <v>342</v>
      </c>
      <c r="D145" t="s">
        <v>114</v>
      </c>
      <c r="E145" t="s">
        <v>115</v>
      </c>
      <c r="F145" t="s">
        <v>119</v>
      </c>
      <c r="G145" t="s">
        <v>315</v>
      </c>
    </row>
    <row r="146" spans="1:7" ht="15" customHeight="1" x14ac:dyDescent="0.3">
      <c r="A146" t="s">
        <v>343</v>
      </c>
      <c r="B146" t="s">
        <v>344</v>
      </c>
      <c r="D146" t="s">
        <v>114</v>
      </c>
      <c r="E146" t="s">
        <v>118</v>
      </c>
      <c r="F146" t="s">
        <v>131</v>
      </c>
      <c r="G146" t="s">
        <v>59</v>
      </c>
    </row>
    <row r="147" spans="1:7" ht="15" customHeight="1" x14ac:dyDescent="0.3">
      <c r="A147" t="s">
        <v>345</v>
      </c>
      <c r="B147" t="s">
        <v>346</v>
      </c>
      <c r="C147">
        <v>56982414929</v>
      </c>
      <c r="D147" t="s">
        <v>114</v>
      </c>
      <c r="E147" t="s">
        <v>115</v>
      </c>
      <c r="F147" t="s">
        <v>119</v>
      </c>
      <c r="G147" t="s">
        <v>29</v>
      </c>
    </row>
    <row r="148" spans="1:7" ht="15" customHeight="1" x14ac:dyDescent="0.3">
      <c r="A148" t="s">
        <v>347</v>
      </c>
      <c r="B148" t="s">
        <v>348</v>
      </c>
      <c r="C148">
        <v>0</v>
      </c>
      <c r="D148" t="s">
        <v>114</v>
      </c>
      <c r="E148" t="s">
        <v>118</v>
      </c>
      <c r="F148" t="s">
        <v>119</v>
      </c>
      <c r="G148" t="s">
        <v>47</v>
      </c>
    </row>
    <row r="149" spans="1:7" ht="15" customHeight="1" x14ac:dyDescent="0.3">
      <c r="A149" t="s">
        <v>349</v>
      </c>
      <c r="B149" t="s">
        <v>350</v>
      </c>
      <c r="C149">
        <v>56949438650</v>
      </c>
      <c r="D149" t="s">
        <v>114</v>
      </c>
      <c r="E149" t="s">
        <v>118</v>
      </c>
      <c r="F149" t="s">
        <v>119</v>
      </c>
      <c r="G149" t="s">
        <v>120</v>
      </c>
    </row>
    <row r="150" spans="1:7" ht="15" customHeight="1" x14ac:dyDescent="0.3">
      <c r="A150" t="s">
        <v>351</v>
      </c>
      <c r="B150" t="s">
        <v>352</v>
      </c>
      <c r="C150">
        <v>0</v>
      </c>
      <c r="D150" t="s">
        <v>114</v>
      </c>
      <c r="E150" t="s">
        <v>118</v>
      </c>
      <c r="F150" t="s">
        <v>119</v>
      </c>
      <c r="G150" t="s">
        <v>47</v>
      </c>
    </row>
    <row r="151" spans="1:7" ht="15" customHeight="1" x14ac:dyDescent="0.3">
      <c r="A151" t="s">
        <v>353</v>
      </c>
      <c r="B151" t="s">
        <v>354</v>
      </c>
      <c r="C151">
        <v>0</v>
      </c>
      <c r="D151" t="s">
        <v>114</v>
      </c>
      <c r="E151" t="s">
        <v>118</v>
      </c>
      <c r="F151" t="s">
        <v>119</v>
      </c>
      <c r="G151" t="s">
        <v>27</v>
      </c>
    </row>
    <row r="152" spans="1:7" ht="15" customHeight="1" x14ac:dyDescent="0.3">
      <c r="A152" t="s">
        <v>355</v>
      </c>
      <c r="B152" t="s">
        <v>356</v>
      </c>
      <c r="C152">
        <v>0</v>
      </c>
      <c r="D152" t="s">
        <v>114</v>
      </c>
      <c r="E152" t="s">
        <v>114</v>
      </c>
      <c r="F152" t="s">
        <v>119</v>
      </c>
      <c r="G152" t="s">
        <v>27</v>
      </c>
    </row>
    <row r="153" spans="1:7" ht="15" customHeight="1" x14ac:dyDescent="0.3">
      <c r="A153" t="s">
        <v>357</v>
      </c>
      <c r="B153" t="s">
        <v>358</v>
      </c>
      <c r="D153" t="s">
        <v>114</v>
      </c>
      <c r="E153" t="s">
        <v>115</v>
      </c>
      <c r="G153" t="s">
        <v>311</v>
      </c>
    </row>
    <row r="154" spans="1:7" ht="15" customHeight="1" x14ac:dyDescent="0.3">
      <c r="A154" t="s">
        <v>359</v>
      </c>
      <c r="B154" t="s">
        <v>360</v>
      </c>
      <c r="C154">
        <v>950343524</v>
      </c>
      <c r="D154" t="s">
        <v>114</v>
      </c>
      <c r="E154" t="s">
        <v>122</v>
      </c>
      <c r="G154" t="s">
        <v>147</v>
      </c>
    </row>
    <row r="155" spans="1:7" ht="15" customHeight="1" x14ac:dyDescent="0.3">
      <c r="A155" t="s">
        <v>269</v>
      </c>
      <c r="B155" t="s">
        <v>270</v>
      </c>
      <c r="D155" t="s">
        <v>114</v>
      </c>
      <c r="E155" t="s">
        <v>271</v>
      </c>
      <c r="G155" t="s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153"/>
  <sheetViews>
    <sheetView showGridLines="0" zoomScaleNormal="100" workbookViewId="0">
      <pane ySplit="4" topLeftCell="A345" activePane="bottomLeft" state="frozen"/>
      <selection pane="bottomLeft" activeCell="C362" sqref="C362"/>
    </sheetView>
  </sheetViews>
  <sheetFormatPr baseColWidth="10" defaultColWidth="8.6640625" defaultRowHeight="14.4" x14ac:dyDescent="0.3"/>
  <cols>
    <col min="1" max="1" width="10" customWidth="1"/>
    <col min="2" max="2" width="14" customWidth="1"/>
    <col min="3" max="3" width="26" customWidth="1"/>
    <col min="4" max="4" width="16" customWidth="1"/>
    <col min="5" max="5" width="14" customWidth="1"/>
    <col min="6" max="6" width="22" customWidth="1"/>
    <col min="7" max="7" width="18" customWidth="1"/>
    <col min="8" max="8" width="12" customWidth="1"/>
    <col min="9" max="9" width="24" customWidth="1"/>
    <col min="10" max="10" width="10" customWidth="1"/>
    <col min="11" max="11" width="12" customWidth="1"/>
  </cols>
  <sheetData>
    <row r="1" spans="1:11" ht="17.25" customHeight="1" x14ac:dyDescent="0.3">
      <c r="A1" s="21" t="s">
        <v>634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15" customHeight="1" x14ac:dyDescent="0.3">
      <c r="A4" s="7" t="s">
        <v>361</v>
      </c>
      <c r="B4" s="7" t="s">
        <v>6</v>
      </c>
      <c r="C4" s="7" t="s">
        <v>362</v>
      </c>
      <c r="D4" s="7" t="s">
        <v>363</v>
      </c>
      <c r="E4" s="7" t="s">
        <v>364</v>
      </c>
      <c r="F4" s="7" t="s">
        <v>365</v>
      </c>
      <c r="G4" s="7" t="s">
        <v>366</v>
      </c>
      <c r="H4" s="7" t="s">
        <v>367</v>
      </c>
      <c r="I4" s="7" t="s">
        <v>368</v>
      </c>
      <c r="J4" s="7" t="s">
        <v>369</v>
      </c>
      <c r="K4" s="7" t="s">
        <v>370</v>
      </c>
    </row>
    <row r="5" spans="1:11" ht="15" customHeight="1" x14ac:dyDescent="0.3">
      <c r="A5" t="s">
        <v>371</v>
      </c>
      <c r="B5" t="s">
        <v>372</v>
      </c>
      <c r="C5" t="s">
        <v>373</v>
      </c>
      <c r="D5" t="s">
        <v>374</v>
      </c>
      <c r="E5" t="s">
        <v>375</v>
      </c>
      <c r="F5" t="s">
        <v>376</v>
      </c>
      <c r="G5" s="14">
        <v>46265.839768518497</v>
      </c>
      <c r="H5" t="s">
        <v>377</v>
      </c>
    </row>
    <row r="6" spans="1:11" ht="15" customHeight="1" x14ac:dyDescent="0.3">
      <c r="A6" t="s">
        <v>378</v>
      </c>
      <c r="B6" t="s">
        <v>379</v>
      </c>
      <c r="C6" t="s">
        <v>380</v>
      </c>
      <c r="D6" t="s">
        <v>374</v>
      </c>
      <c r="E6" t="s">
        <v>375</v>
      </c>
      <c r="F6" t="s">
        <v>376</v>
      </c>
      <c r="G6" s="14">
        <v>46265.835046296299</v>
      </c>
      <c r="H6" t="s">
        <v>377</v>
      </c>
    </row>
    <row r="7" spans="1:11" ht="15" customHeight="1" x14ac:dyDescent="0.3">
      <c r="A7" t="s">
        <v>381</v>
      </c>
      <c r="B7" t="s">
        <v>382</v>
      </c>
      <c r="C7" t="s">
        <v>383</v>
      </c>
      <c r="D7" t="s">
        <v>374</v>
      </c>
      <c r="E7" t="s">
        <v>23</v>
      </c>
      <c r="F7" t="s">
        <v>376</v>
      </c>
      <c r="G7" s="14">
        <v>46265.834479166697</v>
      </c>
      <c r="H7" t="s">
        <v>377</v>
      </c>
    </row>
    <row r="8" spans="1:11" ht="15" customHeight="1" x14ac:dyDescent="0.3">
      <c r="A8" t="s">
        <v>384</v>
      </c>
      <c r="B8" t="s">
        <v>385</v>
      </c>
      <c r="C8" t="s">
        <v>386</v>
      </c>
      <c r="D8" t="s">
        <v>374</v>
      </c>
      <c r="E8" t="s">
        <v>375</v>
      </c>
      <c r="F8" t="s">
        <v>376</v>
      </c>
      <c r="G8" s="14">
        <v>46265.834386574097</v>
      </c>
      <c r="H8" t="s">
        <v>377</v>
      </c>
    </row>
    <row r="9" spans="1:11" ht="15" customHeight="1" x14ac:dyDescent="0.3">
      <c r="A9" t="s">
        <v>387</v>
      </c>
      <c r="B9" t="s">
        <v>388</v>
      </c>
      <c r="C9" t="s">
        <v>389</v>
      </c>
      <c r="D9" t="s">
        <v>374</v>
      </c>
      <c r="E9" t="s">
        <v>375</v>
      </c>
      <c r="F9" t="s">
        <v>376</v>
      </c>
      <c r="G9" s="14">
        <v>46265.829710648199</v>
      </c>
      <c r="H9" t="s">
        <v>390</v>
      </c>
    </row>
    <row r="10" spans="1:11" ht="15" customHeight="1" x14ac:dyDescent="0.3">
      <c r="A10" t="s">
        <v>391</v>
      </c>
      <c r="B10" t="s">
        <v>392</v>
      </c>
      <c r="C10" t="s">
        <v>393</v>
      </c>
      <c r="D10" t="s">
        <v>374</v>
      </c>
      <c r="E10" t="s">
        <v>394</v>
      </c>
      <c r="F10" t="s">
        <v>395</v>
      </c>
      <c r="G10" s="14">
        <v>46265.750439814801</v>
      </c>
      <c r="H10" t="s">
        <v>377</v>
      </c>
    </row>
    <row r="11" spans="1:11" ht="15" customHeight="1" x14ac:dyDescent="0.3">
      <c r="A11" t="s">
        <v>387</v>
      </c>
      <c r="B11" t="s">
        <v>388</v>
      </c>
      <c r="C11" t="s">
        <v>389</v>
      </c>
      <c r="D11" t="s">
        <v>374</v>
      </c>
      <c r="E11" t="s">
        <v>375</v>
      </c>
      <c r="F11" t="s">
        <v>376</v>
      </c>
      <c r="G11" s="14">
        <v>46265.462951388901</v>
      </c>
      <c r="H11" t="s">
        <v>377</v>
      </c>
    </row>
    <row r="12" spans="1:11" ht="15" customHeight="1" x14ac:dyDescent="0.3">
      <c r="A12" t="s">
        <v>371</v>
      </c>
      <c r="B12" t="s">
        <v>372</v>
      </c>
      <c r="C12" t="s">
        <v>373</v>
      </c>
      <c r="D12" t="s">
        <v>374</v>
      </c>
      <c r="E12" t="s">
        <v>375</v>
      </c>
      <c r="F12" t="s">
        <v>376</v>
      </c>
      <c r="G12" s="14">
        <v>46265.342650462997</v>
      </c>
      <c r="H12" t="s">
        <v>390</v>
      </c>
    </row>
    <row r="13" spans="1:11" ht="15" customHeight="1" x14ac:dyDescent="0.3">
      <c r="A13" t="s">
        <v>378</v>
      </c>
      <c r="B13" t="s">
        <v>379</v>
      </c>
      <c r="C13" t="s">
        <v>380</v>
      </c>
      <c r="D13" t="s">
        <v>374</v>
      </c>
      <c r="E13" t="s">
        <v>375</v>
      </c>
      <c r="F13" t="s">
        <v>376</v>
      </c>
      <c r="G13" s="14">
        <v>46265.339780092603</v>
      </c>
      <c r="H13" t="s">
        <v>390</v>
      </c>
    </row>
    <row r="14" spans="1:11" ht="15" customHeight="1" x14ac:dyDescent="0.3">
      <c r="A14" t="s">
        <v>396</v>
      </c>
      <c r="B14" t="s">
        <v>397</v>
      </c>
      <c r="C14" t="s">
        <v>398</v>
      </c>
      <c r="D14" t="s">
        <v>374</v>
      </c>
      <c r="E14" t="s">
        <v>375</v>
      </c>
      <c r="F14" t="s">
        <v>376</v>
      </c>
      <c r="G14" s="14">
        <v>46265.334340277797</v>
      </c>
      <c r="H14" t="s">
        <v>377</v>
      </c>
    </row>
    <row r="15" spans="1:11" ht="15" customHeight="1" x14ac:dyDescent="0.3">
      <c r="A15" t="s">
        <v>399</v>
      </c>
      <c r="B15" t="s">
        <v>400</v>
      </c>
      <c r="C15" t="s">
        <v>401</v>
      </c>
      <c r="D15" t="s">
        <v>374</v>
      </c>
      <c r="E15" t="s">
        <v>375</v>
      </c>
      <c r="F15" t="s">
        <v>376</v>
      </c>
      <c r="G15" s="14">
        <v>46265.333101851902</v>
      </c>
      <c r="H15" t="s">
        <v>390</v>
      </c>
    </row>
    <row r="16" spans="1:11" ht="15" customHeight="1" x14ac:dyDescent="0.3">
      <c r="A16" t="s">
        <v>381</v>
      </c>
      <c r="B16" t="s">
        <v>382</v>
      </c>
      <c r="C16" t="s">
        <v>383</v>
      </c>
      <c r="D16" t="s">
        <v>374</v>
      </c>
      <c r="E16" t="s">
        <v>23</v>
      </c>
      <c r="F16" t="s">
        <v>376</v>
      </c>
      <c r="G16" s="14">
        <v>46265.332256944399</v>
      </c>
      <c r="H16" t="s">
        <v>390</v>
      </c>
    </row>
    <row r="17" spans="1:8" ht="15" customHeight="1" x14ac:dyDescent="0.3">
      <c r="A17" t="s">
        <v>384</v>
      </c>
      <c r="B17" t="s">
        <v>385</v>
      </c>
      <c r="C17" t="s">
        <v>386</v>
      </c>
      <c r="D17" t="s">
        <v>374</v>
      </c>
      <c r="E17" t="s">
        <v>375</v>
      </c>
      <c r="F17" t="s">
        <v>376</v>
      </c>
      <c r="G17" s="14">
        <v>46265.327060185198</v>
      </c>
      <c r="H17" t="s">
        <v>390</v>
      </c>
    </row>
    <row r="18" spans="1:8" ht="15" customHeight="1" x14ac:dyDescent="0.3">
      <c r="A18" t="s">
        <v>391</v>
      </c>
      <c r="B18" t="s">
        <v>392</v>
      </c>
      <c r="C18" t="s">
        <v>393</v>
      </c>
      <c r="D18" t="s">
        <v>374</v>
      </c>
      <c r="E18" t="s">
        <v>394</v>
      </c>
      <c r="F18" t="s">
        <v>395</v>
      </c>
      <c r="G18" s="14">
        <v>46265.326932870397</v>
      </c>
      <c r="H18" t="s">
        <v>390</v>
      </c>
    </row>
    <row r="19" spans="1:8" ht="15" customHeight="1" x14ac:dyDescent="0.3">
      <c r="A19" t="s">
        <v>399</v>
      </c>
      <c r="B19" t="s">
        <v>400</v>
      </c>
      <c r="C19" t="s">
        <v>401</v>
      </c>
      <c r="D19" t="s">
        <v>374</v>
      </c>
      <c r="E19" t="s">
        <v>375</v>
      </c>
      <c r="F19" t="s">
        <v>376</v>
      </c>
      <c r="G19" s="14">
        <v>46264.894363425898</v>
      </c>
      <c r="H19" t="s">
        <v>377</v>
      </c>
    </row>
    <row r="20" spans="1:8" ht="15" customHeight="1" x14ac:dyDescent="0.3">
      <c r="A20" t="s">
        <v>387</v>
      </c>
      <c r="B20" t="s">
        <v>388</v>
      </c>
      <c r="C20" t="s">
        <v>389</v>
      </c>
      <c r="D20" t="s">
        <v>374</v>
      </c>
      <c r="E20" t="s">
        <v>375</v>
      </c>
      <c r="F20" t="s">
        <v>376</v>
      </c>
      <c r="G20" s="14">
        <v>46264.851886574099</v>
      </c>
      <c r="H20" t="s">
        <v>390</v>
      </c>
    </row>
    <row r="21" spans="1:8" ht="15" customHeight="1" x14ac:dyDescent="0.3">
      <c r="A21" t="s">
        <v>384</v>
      </c>
      <c r="B21" t="s">
        <v>385</v>
      </c>
      <c r="C21" t="s">
        <v>386</v>
      </c>
      <c r="D21" t="s">
        <v>374</v>
      </c>
      <c r="E21" t="s">
        <v>375</v>
      </c>
      <c r="F21" t="s">
        <v>376</v>
      </c>
      <c r="G21" s="14">
        <v>46264.843356481499</v>
      </c>
      <c r="H21" t="s">
        <v>377</v>
      </c>
    </row>
    <row r="22" spans="1:8" ht="15" customHeight="1" x14ac:dyDescent="0.3">
      <c r="A22" t="s">
        <v>378</v>
      </c>
      <c r="B22" t="s">
        <v>379</v>
      </c>
      <c r="C22" t="s">
        <v>380</v>
      </c>
      <c r="D22" t="s">
        <v>374</v>
      </c>
      <c r="E22" t="s">
        <v>375</v>
      </c>
      <c r="F22" t="s">
        <v>376</v>
      </c>
      <c r="G22" s="14">
        <v>46264.840613425898</v>
      </c>
      <c r="H22" t="s">
        <v>377</v>
      </c>
    </row>
    <row r="23" spans="1:8" ht="15" customHeight="1" x14ac:dyDescent="0.3">
      <c r="A23" t="s">
        <v>371</v>
      </c>
      <c r="B23" t="s">
        <v>372</v>
      </c>
      <c r="C23" t="s">
        <v>373</v>
      </c>
      <c r="D23" t="s">
        <v>374</v>
      </c>
      <c r="E23" t="s">
        <v>375</v>
      </c>
      <c r="F23" t="s">
        <v>376</v>
      </c>
      <c r="G23" s="14">
        <v>46264.834178240701</v>
      </c>
      <c r="H23" t="s">
        <v>377</v>
      </c>
    </row>
    <row r="24" spans="1:8" ht="15" customHeight="1" x14ac:dyDescent="0.3">
      <c r="A24" t="s">
        <v>381</v>
      </c>
      <c r="B24" t="s">
        <v>382</v>
      </c>
      <c r="C24" t="s">
        <v>383</v>
      </c>
      <c r="D24" t="s">
        <v>374</v>
      </c>
      <c r="E24" t="s">
        <v>23</v>
      </c>
      <c r="F24" t="s">
        <v>376</v>
      </c>
      <c r="G24" s="14">
        <v>46264.833877314799</v>
      </c>
      <c r="H24" t="s">
        <v>377</v>
      </c>
    </row>
    <row r="25" spans="1:8" ht="15" customHeight="1" x14ac:dyDescent="0.3">
      <c r="A25" t="s">
        <v>371</v>
      </c>
      <c r="B25" t="s">
        <v>372</v>
      </c>
      <c r="C25" t="s">
        <v>373</v>
      </c>
      <c r="D25" t="s">
        <v>374</v>
      </c>
      <c r="E25" t="s">
        <v>375</v>
      </c>
      <c r="F25" t="s">
        <v>376</v>
      </c>
      <c r="G25" s="14">
        <v>46264.585185185198</v>
      </c>
      <c r="H25" t="s">
        <v>390</v>
      </c>
    </row>
    <row r="26" spans="1:8" ht="15" customHeight="1" x14ac:dyDescent="0.3">
      <c r="A26" t="s">
        <v>381</v>
      </c>
      <c r="B26" t="s">
        <v>382</v>
      </c>
      <c r="C26" t="s">
        <v>383</v>
      </c>
      <c r="D26" t="s">
        <v>374</v>
      </c>
      <c r="E26" t="s">
        <v>23</v>
      </c>
      <c r="F26" t="s">
        <v>376</v>
      </c>
      <c r="G26" s="14">
        <v>46264.333912037</v>
      </c>
      <c r="H26" t="s">
        <v>390</v>
      </c>
    </row>
    <row r="27" spans="1:8" ht="15" customHeight="1" x14ac:dyDescent="0.3">
      <c r="A27" t="s">
        <v>399</v>
      </c>
      <c r="B27" t="s">
        <v>400</v>
      </c>
      <c r="C27" t="s">
        <v>401</v>
      </c>
      <c r="D27" t="s">
        <v>374</v>
      </c>
      <c r="E27" t="s">
        <v>375</v>
      </c>
      <c r="F27" t="s">
        <v>376</v>
      </c>
      <c r="G27" s="14">
        <v>46264.325613425899</v>
      </c>
      <c r="H27" t="s">
        <v>390</v>
      </c>
    </row>
    <row r="28" spans="1:8" ht="15" customHeight="1" x14ac:dyDescent="0.3">
      <c r="A28" t="s">
        <v>384</v>
      </c>
      <c r="B28" t="s">
        <v>385</v>
      </c>
      <c r="C28" t="s">
        <v>386</v>
      </c>
      <c r="D28" t="s">
        <v>374</v>
      </c>
      <c r="E28" t="s">
        <v>375</v>
      </c>
      <c r="F28" t="s">
        <v>376</v>
      </c>
      <c r="G28" s="14">
        <v>46264.323969907397</v>
      </c>
      <c r="H28" t="s">
        <v>390</v>
      </c>
    </row>
    <row r="29" spans="1:8" ht="15" customHeight="1" x14ac:dyDescent="0.3">
      <c r="A29" t="s">
        <v>378</v>
      </c>
      <c r="B29" t="s">
        <v>379</v>
      </c>
      <c r="C29" t="s">
        <v>380</v>
      </c>
      <c r="D29" t="s">
        <v>374</v>
      </c>
      <c r="E29" t="s">
        <v>375</v>
      </c>
      <c r="F29" t="s">
        <v>376</v>
      </c>
      <c r="G29" s="14">
        <v>46264.323310185202</v>
      </c>
      <c r="H29" t="s">
        <v>390</v>
      </c>
    </row>
    <row r="30" spans="1:8" ht="15" customHeight="1" x14ac:dyDescent="0.3">
      <c r="A30" t="s">
        <v>396</v>
      </c>
      <c r="B30" t="s">
        <v>397</v>
      </c>
      <c r="C30" t="s">
        <v>398</v>
      </c>
      <c r="D30" t="s">
        <v>374</v>
      </c>
      <c r="E30" t="s">
        <v>375</v>
      </c>
      <c r="F30" t="s">
        <v>376</v>
      </c>
      <c r="G30" s="14">
        <v>46264.320636574099</v>
      </c>
      <c r="H30" t="s">
        <v>377</v>
      </c>
    </row>
    <row r="31" spans="1:8" ht="15" customHeight="1" x14ac:dyDescent="0.3">
      <c r="A31" t="s">
        <v>384</v>
      </c>
      <c r="B31" t="s">
        <v>385</v>
      </c>
      <c r="C31" t="s">
        <v>386</v>
      </c>
      <c r="D31" t="s">
        <v>374</v>
      </c>
      <c r="E31" t="s">
        <v>375</v>
      </c>
      <c r="F31" t="s">
        <v>376</v>
      </c>
      <c r="G31" s="14">
        <v>46263.845648148199</v>
      </c>
      <c r="H31" t="s">
        <v>377</v>
      </c>
    </row>
    <row r="32" spans="1:8" ht="15" customHeight="1" x14ac:dyDescent="0.3">
      <c r="A32" t="s">
        <v>378</v>
      </c>
      <c r="B32" t="s">
        <v>379</v>
      </c>
      <c r="C32" t="s">
        <v>380</v>
      </c>
      <c r="D32" t="s">
        <v>374</v>
      </c>
      <c r="E32" t="s">
        <v>375</v>
      </c>
      <c r="F32" t="s">
        <v>376</v>
      </c>
      <c r="G32" s="14">
        <v>46263.8452314815</v>
      </c>
      <c r="H32" t="s">
        <v>377</v>
      </c>
    </row>
    <row r="33" spans="1:8" ht="15" customHeight="1" x14ac:dyDescent="0.3">
      <c r="A33" t="s">
        <v>381</v>
      </c>
      <c r="B33" t="s">
        <v>382</v>
      </c>
      <c r="C33" t="s">
        <v>383</v>
      </c>
      <c r="D33" t="s">
        <v>374</v>
      </c>
      <c r="E33" t="s">
        <v>23</v>
      </c>
      <c r="F33" t="s">
        <v>376</v>
      </c>
      <c r="G33" s="14">
        <v>46263.834467592598</v>
      </c>
      <c r="H33" t="s">
        <v>377</v>
      </c>
    </row>
    <row r="34" spans="1:8" ht="15" customHeight="1" x14ac:dyDescent="0.3">
      <c r="A34" t="s">
        <v>387</v>
      </c>
      <c r="B34" t="s">
        <v>388</v>
      </c>
      <c r="C34" t="s">
        <v>389</v>
      </c>
      <c r="D34" t="s">
        <v>374</v>
      </c>
      <c r="E34" t="s">
        <v>375</v>
      </c>
      <c r="F34" t="s">
        <v>376</v>
      </c>
      <c r="G34" s="14">
        <v>46263.355868055602</v>
      </c>
      <c r="H34" t="s">
        <v>377</v>
      </c>
    </row>
    <row r="35" spans="1:8" ht="15" customHeight="1" x14ac:dyDescent="0.3">
      <c r="A35" t="s">
        <v>381</v>
      </c>
      <c r="B35" t="s">
        <v>382</v>
      </c>
      <c r="C35" t="s">
        <v>383</v>
      </c>
      <c r="D35" t="s">
        <v>374</v>
      </c>
      <c r="E35" t="s">
        <v>23</v>
      </c>
      <c r="F35" t="s">
        <v>376</v>
      </c>
      <c r="G35" s="14">
        <v>46263.333668981497</v>
      </c>
      <c r="H35" t="s">
        <v>390</v>
      </c>
    </row>
    <row r="36" spans="1:8" ht="15" customHeight="1" x14ac:dyDescent="0.3">
      <c r="A36" t="s">
        <v>396</v>
      </c>
      <c r="B36" t="s">
        <v>397</v>
      </c>
      <c r="C36" t="s">
        <v>398</v>
      </c>
      <c r="D36" t="s">
        <v>374</v>
      </c>
      <c r="E36" t="s">
        <v>375</v>
      </c>
      <c r="F36" t="s">
        <v>376</v>
      </c>
      <c r="G36" s="14">
        <v>46263.333275463003</v>
      </c>
      <c r="H36" t="s">
        <v>377</v>
      </c>
    </row>
    <row r="37" spans="1:8" ht="15" customHeight="1" x14ac:dyDescent="0.3">
      <c r="A37" t="s">
        <v>378</v>
      </c>
      <c r="B37" t="s">
        <v>379</v>
      </c>
      <c r="C37" t="s">
        <v>380</v>
      </c>
      <c r="D37" t="s">
        <v>374</v>
      </c>
      <c r="E37" t="s">
        <v>375</v>
      </c>
      <c r="F37" t="s">
        <v>376</v>
      </c>
      <c r="G37" s="14">
        <v>46262.853263888901</v>
      </c>
      <c r="H37" t="s">
        <v>377</v>
      </c>
    </row>
    <row r="38" spans="1:8" ht="15" customHeight="1" x14ac:dyDescent="0.3">
      <c r="A38" t="s">
        <v>384</v>
      </c>
      <c r="B38" t="s">
        <v>385</v>
      </c>
      <c r="C38" t="s">
        <v>386</v>
      </c>
      <c r="D38" t="s">
        <v>374</v>
      </c>
      <c r="E38" t="s">
        <v>375</v>
      </c>
      <c r="F38" t="s">
        <v>376</v>
      </c>
      <c r="G38" s="14">
        <v>46262.839479166701</v>
      </c>
      <c r="H38" t="s">
        <v>377</v>
      </c>
    </row>
    <row r="39" spans="1:8" ht="15" customHeight="1" x14ac:dyDescent="0.3">
      <c r="A39" t="s">
        <v>381</v>
      </c>
      <c r="B39" t="s">
        <v>382</v>
      </c>
      <c r="C39" t="s">
        <v>383</v>
      </c>
      <c r="D39" t="s">
        <v>374</v>
      </c>
      <c r="E39" t="s">
        <v>23</v>
      </c>
      <c r="F39" t="s">
        <v>376</v>
      </c>
      <c r="G39" s="14">
        <v>46262.8366087963</v>
      </c>
      <c r="H39" t="s">
        <v>377</v>
      </c>
    </row>
    <row r="40" spans="1:8" ht="15" customHeight="1" x14ac:dyDescent="0.3">
      <c r="A40" t="s">
        <v>391</v>
      </c>
      <c r="B40" t="s">
        <v>392</v>
      </c>
      <c r="C40" t="s">
        <v>393</v>
      </c>
      <c r="D40" t="s">
        <v>374</v>
      </c>
      <c r="E40" t="s">
        <v>394</v>
      </c>
      <c r="F40" t="s">
        <v>395</v>
      </c>
      <c r="G40" s="14">
        <v>46262.588796296302</v>
      </c>
      <c r="H40" t="s">
        <v>377</v>
      </c>
    </row>
    <row r="41" spans="1:8" ht="15" customHeight="1" x14ac:dyDescent="0.3">
      <c r="A41" t="s">
        <v>396</v>
      </c>
      <c r="B41" t="s">
        <v>397</v>
      </c>
      <c r="C41" t="s">
        <v>398</v>
      </c>
      <c r="D41" t="s">
        <v>374</v>
      </c>
      <c r="E41" t="s">
        <v>375</v>
      </c>
      <c r="F41" t="s">
        <v>376</v>
      </c>
      <c r="G41" s="14">
        <v>46262.426527777803</v>
      </c>
      <c r="H41" t="s">
        <v>377</v>
      </c>
    </row>
    <row r="42" spans="1:8" ht="15" customHeight="1" x14ac:dyDescent="0.3">
      <c r="A42" t="s">
        <v>381</v>
      </c>
      <c r="B42" t="s">
        <v>382</v>
      </c>
      <c r="C42" t="s">
        <v>383</v>
      </c>
      <c r="D42" t="s">
        <v>374</v>
      </c>
      <c r="E42" t="s">
        <v>23</v>
      </c>
      <c r="F42" t="s">
        <v>376</v>
      </c>
      <c r="G42" s="14">
        <v>46262.333900463003</v>
      </c>
      <c r="H42" t="s">
        <v>390</v>
      </c>
    </row>
    <row r="43" spans="1:8" ht="15" customHeight="1" x14ac:dyDescent="0.3">
      <c r="A43" t="s">
        <v>399</v>
      </c>
      <c r="B43" t="s">
        <v>400</v>
      </c>
      <c r="C43" t="s">
        <v>401</v>
      </c>
      <c r="D43" t="s">
        <v>374</v>
      </c>
      <c r="E43" t="s">
        <v>375</v>
      </c>
      <c r="F43" t="s">
        <v>376</v>
      </c>
      <c r="G43" s="14">
        <v>46262.333541666703</v>
      </c>
      <c r="H43" t="s">
        <v>390</v>
      </c>
    </row>
    <row r="44" spans="1:8" ht="15" customHeight="1" x14ac:dyDescent="0.3">
      <c r="A44" t="s">
        <v>391</v>
      </c>
      <c r="B44" t="s">
        <v>392</v>
      </c>
      <c r="C44" t="s">
        <v>393</v>
      </c>
      <c r="D44" t="s">
        <v>374</v>
      </c>
      <c r="E44" t="s">
        <v>394</v>
      </c>
      <c r="F44" t="s">
        <v>395</v>
      </c>
      <c r="G44" s="14">
        <v>46262.327060185198</v>
      </c>
      <c r="H44" t="s">
        <v>390</v>
      </c>
    </row>
    <row r="45" spans="1:8" ht="15" customHeight="1" x14ac:dyDescent="0.3">
      <c r="A45" t="s">
        <v>384</v>
      </c>
      <c r="B45" t="s">
        <v>385</v>
      </c>
      <c r="C45" t="s">
        <v>386</v>
      </c>
      <c r="D45" t="s">
        <v>374</v>
      </c>
      <c r="E45" t="s">
        <v>375</v>
      </c>
      <c r="F45" t="s">
        <v>376</v>
      </c>
      <c r="G45" s="14">
        <v>46262.322800925896</v>
      </c>
      <c r="H45" t="s">
        <v>390</v>
      </c>
    </row>
    <row r="46" spans="1:8" ht="15" customHeight="1" x14ac:dyDescent="0.3">
      <c r="A46" t="s">
        <v>378</v>
      </c>
      <c r="B46" t="s">
        <v>379</v>
      </c>
      <c r="C46" t="s">
        <v>380</v>
      </c>
      <c r="D46" t="s">
        <v>374</v>
      </c>
      <c r="E46" t="s">
        <v>375</v>
      </c>
      <c r="F46" t="s">
        <v>376</v>
      </c>
      <c r="G46" s="14">
        <v>46262.322152777801</v>
      </c>
      <c r="H46" t="s">
        <v>390</v>
      </c>
    </row>
    <row r="47" spans="1:8" ht="15" customHeight="1" x14ac:dyDescent="0.3">
      <c r="A47" t="s">
        <v>399</v>
      </c>
      <c r="B47" t="s">
        <v>400</v>
      </c>
      <c r="C47" t="s">
        <v>401</v>
      </c>
      <c r="D47" t="s">
        <v>374</v>
      </c>
      <c r="E47" t="s">
        <v>375</v>
      </c>
      <c r="F47" t="s">
        <v>376</v>
      </c>
      <c r="G47" s="14">
        <v>46261.871377314797</v>
      </c>
      <c r="H47" t="s">
        <v>377</v>
      </c>
    </row>
    <row r="48" spans="1:8" ht="15" customHeight="1" x14ac:dyDescent="0.3">
      <c r="A48" t="s">
        <v>384</v>
      </c>
      <c r="B48" t="s">
        <v>385</v>
      </c>
      <c r="C48" t="s">
        <v>386</v>
      </c>
      <c r="D48" t="s">
        <v>374</v>
      </c>
      <c r="E48" t="s">
        <v>375</v>
      </c>
      <c r="F48" t="s">
        <v>376</v>
      </c>
      <c r="G48" s="14">
        <v>46261.846030092602</v>
      </c>
      <c r="H48" t="s">
        <v>377</v>
      </c>
    </row>
    <row r="49" spans="1:8" ht="15" customHeight="1" x14ac:dyDescent="0.3">
      <c r="A49" t="s">
        <v>378</v>
      </c>
      <c r="B49" t="s">
        <v>379</v>
      </c>
      <c r="C49" t="s">
        <v>380</v>
      </c>
      <c r="D49" t="s">
        <v>374</v>
      </c>
      <c r="E49" t="s">
        <v>375</v>
      </c>
      <c r="F49" t="s">
        <v>376</v>
      </c>
      <c r="G49" s="14">
        <v>46261.845347222203</v>
      </c>
      <c r="H49" t="s">
        <v>377</v>
      </c>
    </row>
    <row r="50" spans="1:8" ht="15" customHeight="1" x14ac:dyDescent="0.3">
      <c r="A50" t="s">
        <v>381</v>
      </c>
      <c r="B50" t="s">
        <v>382</v>
      </c>
      <c r="C50" t="s">
        <v>383</v>
      </c>
      <c r="D50" t="s">
        <v>374</v>
      </c>
      <c r="E50" t="s">
        <v>23</v>
      </c>
      <c r="F50" t="s">
        <v>376</v>
      </c>
      <c r="G50" s="14">
        <v>46261.834467592598</v>
      </c>
      <c r="H50" t="s">
        <v>377</v>
      </c>
    </row>
    <row r="51" spans="1:8" ht="15" customHeight="1" x14ac:dyDescent="0.3">
      <c r="A51" t="s">
        <v>396</v>
      </c>
      <c r="B51" t="s">
        <v>397</v>
      </c>
      <c r="C51" t="s">
        <v>398</v>
      </c>
      <c r="D51" t="s">
        <v>374</v>
      </c>
      <c r="E51" t="s">
        <v>375</v>
      </c>
      <c r="F51" t="s">
        <v>376</v>
      </c>
      <c r="G51" s="14">
        <v>46261.8049537037</v>
      </c>
      <c r="H51" t="s">
        <v>390</v>
      </c>
    </row>
    <row r="52" spans="1:8" ht="15" customHeight="1" x14ac:dyDescent="0.3">
      <c r="A52" t="s">
        <v>391</v>
      </c>
      <c r="B52" t="s">
        <v>392</v>
      </c>
      <c r="C52" t="s">
        <v>393</v>
      </c>
      <c r="D52" t="s">
        <v>374</v>
      </c>
      <c r="E52" t="s">
        <v>394</v>
      </c>
      <c r="F52" t="s">
        <v>395</v>
      </c>
      <c r="G52" s="14">
        <v>46261.751944444499</v>
      </c>
      <c r="H52" t="s">
        <v>377</v>
      </c>
    </row>
    <row r="53" spans="1:8" ht="15" customHeight="1" x14ac:dyDescent="0.3">
      <c r="A53" t="s">
        <v>387</v>
      </c>
      <c r="B53" t="s">
        <v>388</v>
      </c>
      <c r="C53" t="s">
        <v>389</v>
      </c>
      <c r="D53" t="s">
        <v>374</v>
      </c>
      <c r="E53" t="s">
        <v>375</v>
      </c>
      <c r="F53" t="s">
        <v>376</v>
      </c>
      <c r="G53" s="14">
        <v>46261.337754629603</v>
      </c>
      <c r="H53" t="s">
        <v>377</v>
      </c>
    </row>
    <row r="54" spans="1:8" ht="15" customHeight="1" x14ac:dyDescent="0.3">
      <c r="A54" t="s">
        <v>381</v>
      </c>
      <c r="B54" t="s">
        <v>382</v>
      </c>
      <c r="C54" t="s">
        <v>383</v>
      </c>
      <c r="D54" t="s">
        <v>374</v>
      </c>
      <c r="E54" t="s">
        <v>23</v>
      </c>
      <c r="F54" t="s">
        <v>376</v>
      </c>
      <c r="G54" s="14">
        <v>46261.333854166704</v>
      </c>
      <c r="H54" t="s">
        <v>390</v>
      </c>
    </row>
    <row r="55" spans="1:8" ht="15" customHeight="1" x14ac:dyDescent="0.3">
      <c r="A55" t="s">
        <v>402</v>
      </c>
      <c r="B55" t="s">
        <v>403</v>
      </c>
      <c r="C55" t="s">
        <v>404</v>
      </c>
      <c r="D55" t="s">
        <v>374</v>
      </c>
      <c r="E55" t="s">
        <v>375</v>
      </c>
      <c r="F55" t="s">
        <v>376</v>
      </c>
      <c r="G55" s="14">
        <v>46261.3293865741</v>
      </c>
      <c r="H55" t="s">
        <v>390</v>
      </c>
    </row>
    <row r="56" spans="1:8" ht="15" customHeight="1" x14ac:dyDescent="0.3">
      <c r="A56" t="s">
        <v>405</v>
      </c>
      <c r="B56" t="s">
        <v>406</v>
      </c>
      <c r="C56" t="s">
        <v>407</v>
      </c>
      <c r="D56" t="s">
        <v>374</v>
      </c>
      <c r="E56" t="s">
        <v>375</v>
      </c>
      <c r="F56" t="s">
        <v>376</v>
      </c>
      <c r="G56" s="14">
        <v>46261.3268171296</v>
      </c>
      <c r="H56" t="s">
        <v>390</v>
      </c>
    </row>
    <row r="57" spans="1:8" ht="15" customHeight="1" x14ac:dyDescent="0.3">
      <c r="A57" t="s">
        <v>399</v>
      </c>
      <c r="B57" t="s">
        <v>400</v>
      </c>
      <c r="C57" t="s">
        <v>401</v>
      </c>
      <c r="D57" t="s">
        <v>374</v>
      </c>
      <c r="E57" t="s">
        <v>375</v>
      </c>
      <c r="F57" t="s">
        <v>376</v>
      </c>
      <c r="G57" s="14">
        <v>46261.326168981497</v>
      </c>
      <c r="H57" t="s">
        <v>390</v>
      </c>
    </row>
    <row r="58" spans="1:8" ht="15" customHeight="1" x14ac:dyDescent="0.3">
      <c r="A58" t="s">
        <v>391</v>
      </c>
      <c r="B58" t="s">
        <v>392</v>
      </c>
      <c r="C58" t="s">
        <v>393</v>
      </c>
      <c r="D58" t="s">
        <v>374</v>
      </c>
      <c r="E58" t="s">
        <v>394</v>
      </c>
      <c r="F58" t="s">
        <v>395</v>
      </c>
      <c r="G58" s="14">
        <v>46261.325405092597</v>
      </c>
      <c r="H58" t="s">
        <v>390</v>
      </c>
    </row>
    <row r="59" spans="1:8" ht="15" customHeight="1" x14ac:dyDescent="0.3">
      <c r="A59" t="s">
        <v>384</v>
      </c>
      <c r="B59" t="s">
        <v>385</v>
      </c>
      <c r="C59" t="s">
        <v>386</v>
      </c>
      <c r="D59" t="s">
        <v>374</v>
      </c>
      <c r="E59" t="s">
        <v>375</v>
      </c>
      <c r="F59" t="s">
        <v>376</v>
      </c>
      <c r="G59" s="14">
        <v>46261.320289351897</v>
      </c>
      <c r="H59" t="s">
        <v>390</v>
      </c>
    </row>
    <row r="60" spans="1:8" ht="15" customHeight="1" x14ac:dyDescent="0.3">
      <c r="A60" t="s">
        <v>378</v>
      </c>
      <c r="B60" t="s">
        <v>379</v>
      </c>
      <c r="C60" t="s">
        <v>380</v>
      </c>
      <c r="D60" t="s">
        <v>374</v>
      </c>
      <c r="E60" t="s">
        <v>375</v>
      </c>
      <c r="F60" t="s">
        <v>376</v>
      </c>
      <c r="G60" s="14">
        <v>46261.308553240699</v>
      </c>
      <c r="H60" t="s">
        <v>390</v>
      </c>
    </row>
    <row r="61" spans="1:8" ht="15" customHeight="1" x14ac:dyDescent="0.3">
      <c r="A61" t="s">
        <v>381</v>
      </c>
      <c r="B61" t="s">
        <v>382</v>
      </c>
      <c r="C61" t="s">
        <v>383</v>
      </c>
      <c r="D61" t="s">
        <v>374</v>
      </c>
      <c r="E61" t="s">
        <v>23</v>
      </c>
      <c r="F61" t="s">
        <v>376</v>
      </c>
      <c r="G61" s="14">
        <v>46260.862488425897</v>
      </c>
      <c r="H61" t="s">
        <v>377</v>
      </c>
    </row>
    <row r="62" spans="1:8" ht="15" customHeight="1" x14ac:dyDescent="0.3">
      <c r="A62" t="s">
        <v>378</v>
      </c>
      <c r="B62" t="s">
        <v>379</v>
      </c>
      <c r="C62" t="s">
        <v>380</v>
      </c>
      <c r="D62" t="s">
        <v>374</v>
      </c>
      <c r="E62" t="s">
        <v>375</v>
      </c>
      <c r="F62" t="s">
        <v>376</v>
      </c>
      <c r="G62" s="14">
        <v>46260.861724536997</v>
      </c>
      <c r="H62" t="s">
        <v>377</v>
      </c>
    </row>
    <row r="63" spans="1:8" ht="15" customHeight="1" x14ac:dyDescent="0.3">
      <c r="A63" t="s">
        <v>384</v>
      </c>
      <c r="B63" t="s">
        <v>385</v>
      </c>
      <c r="C63" t="s">
        <v>386</v>
      </c>
      <c r="D63" t="s">
        <v>374</v>
      </c>
      <c r="E63" t="s">
        <v>375</v>
      </c>
      <c r="F63" t="s">
        <v>376</v>
      </c>
      <c r="G63" s="14">
        <v>46260.835995370398</v>
      </c>
      <c r="H63" t="s">
        <v>377</v>
      </c>
    </row>
    <row r="64" spans="1:8" ht="15" customHeight="1" x14ac:dyDescent="0.3">
      <c r="A64" t="s">
        <v>391</v>
      </c>
      <c r="B64" t="s">
        <v>392</v>
      </c>
      <c r="C64" t="s">
        <v>393</v>
      </c>
      <c r="D64" t="s">
        <v>374</v>
      </c>
      <c r="E64" t="s">
        <v>394</v>
      </c>
      <c r="F64" t="s">
        <v>395</v>
      </c>
      <c r="G64" s="14">
        <v>46260.750648148198</v>
      </c>
      <c r="H64" t="s">
        <v>377</v>
      </c>
    </row>
    <row r="65" spans="1:8" ht="15" customHeight="1" x14ac:dyDescent="0.3">
      <c r="A65" t="s">
        <v>381</v>
      </c>
      <c r="B65" t="s">
        <v>382</v>
      </c>
      <c r="C65" t="s">
        <v>383</v>
      </c>
      <c r="D65" t="s">
        <v>374</v>
      </c>
      <c r="E65" t="s">
        <v>23</v>
      </c>
      <c r="F65" t="s">
        <v>376</v>
      </c>
      <c r="G65" s="14">
        <v>46260.334212962996</v>
      </c>
      <c r="H65" t="s">
        <v>390</v>
      </c>
    </row>
    <row r="66" spans="1:8" ht="15" customHeight="1" x14ac:dyDescent="0.3">
      <c r="A66" t="s">
        <v>387</v>
      </c>
      <c r="B66" t="s">
        <v>388</v>
      </c>
      <c r="C66" t="s">
        <v>389</v>
      </c>
      <c r="D66" t="s">
        <v>374</v>
      </c>
      <c r="E66" t="s">
        <v>375</v>
      </c>
      <c r="F66" t="s">
        <v>376</v>
      </c>
      <c r="G66" s="14">
        <v>46260.333495370403</v>
      </c>
      <c r="H66" t="s">
        <v>377</v>
      </c>
    </row>
    <row r="67" spans="1:8" ht="15" customHeight="1" x14ac:dyDescent="0.3">
      <c r="A67" t="s">
        <v>399</v>
      </c>
      <c r="B67" t="s">
        <v>400</v>
      </c>
      <c r="C67" t="s">
        <v>401</v>
      </c>
      <c r="D67" t="s">
        <v>374</v>
      </c>
      <c r="E67" t="s">
        <v>375</v>
      </c>
      <c r="F67" t="s">
        <v>376</v>
      </c>
      <c r="G67" s="14">
        <v>46260.333009259302</v>
      </c>
      <c r="H67" t="s">
        <v>377</v>
      </c>
    </row>
    <row r="68" spans="1:8" ht="15" customHeight="1" x14ac:dyDescent="0.3">
      <c r="A68" t="s">
        <v>391</v>
      </c>
      <c r="B68" t="s">
        <v>392</v>
      </c>
      <c r="C68" t="s">
        <v>393</v>
      </c>
      <c r="D68" t="s">
        <v>374</v>
      </c>
      <c r="E68" t="s">
        <v>394</v>
      </c>
      <c r="F68" t="s">
        <v>395</v>
      </c>
      <c r="G68" s="14">
        <v>46260.3211226852</v>
      </c>
      <c r="H68" t="s">
        <v>390</v>
      </c>
    </row>
    <row r="69" spans="1:8" ht="15" customHeight="1" x14ac:dyDescent="0.3">
      <c r="A69" t="s">
        <v>384</v>
      </c>
      <c r="B69" t="s">
        <v>385</v>
      </c>
      <c r="C69" t="s">
        <v>386</v>
      </c>
      <c r="D69" t="s">
        <v>374</v>
      </c>
      <c r="E69" t="s">
        <v>375</v>
      </c>
      <c r="F69" t="s">
        <v>376</v>
      </c>
      <c r="G69" s="14">
        <v>46260.318668981497</v>
      </c>
      <c r="H69" t="s">
        <v>390</v>
      </c>
    </row>
    <row r="70" spans="1:8" ht="15" customHeight="1" x14ac:dyDescent="0.3">
      <c r="A70" t="s">
        <v>405</v>
      </c>
      <c r="B70" t="s">
        <v>406</v>
      </c>
      <c r="C70" t="s">
        <v>407</v>
      </c>
      <c r="D70" t="s">
        <v>374</v>
      </c>
      <c r="E70" t="s">
        <v>375</v>
      </c>
      <c r="F70" t="s">
        <v>376</v>
      </c>
      <c r="G70" s="14">
        <v>46260.317418981504</v>
      </c>
      <c r="H70" t="s">
        <v>390</v>
      </c>
    </row>
    <row r="71" spans="1:8" ht="15" customHeight="1" x14ac:dyDescent="0.3">
      <c r="A71" t="s">
        <v>402</v>
      </c>
      <c r="B71" t="s">
        <v>403</v>
      </c>
      <c r="C71" t="s">
        <v>404</v>
      </c>
      <c r="D71" t="s">
        <v>374</v>
      </c>
      <c r="E71" t="s">
        <v>375</v>
      </c>
      <c r="F71" t="s">
        <v>376</v>
      </c>
      <c r="G71" s="14">
        <v>46260.315995370402</v>
      </c>
      <c r="H71" t="s">
        <v>390</v>
      </c>
    </row>
    <row r="72" spans="1:8" ht="15" customHeight="1" x14ac:dyDescent="0.3">
      <c r="A72" t="s">
        <v>378</v>
      </c>
      <c r="B72" t="s">
        <v>379</v>
      </c>
      <c r="C72" t="s">
        <v>380</v>
      </c>
      <c r="D72" t="s">
        <v>374</v>
      </c>
      <c r="E72" t="s">
        <v>375</v>
      </c>
      <c r="F72" t="s">
        <v>376</v>
      </c>
      <c r="G72" s="14">
        <v>46260.299317129597</v>
      </c>
      <c r="H72" t="s">
        <v>390</v>
      </c>
    </row>
    <row r="73" spans="1:8" ht="15" customHeight="1" x14ac:dyDescent="0.3">
      <c r="A73" t="s">
        <v>399</v>
      </c>
      <c r="B73" t="s">
        <v>400</v>
      </c>
      <c r="C73" t="s">
        <v>401</v>
      </c>
      <c r="D73" t="s">
        <v>374</v>
      </c>
      <c r="E73" t="s">
        <v>375</v>
      </c>
      <c r="F73" t="s">
        <v>376</v>
      </c>
      <c r="G73" s="14">
        <v>46259.883553240703</v>
      </c>
      <c r="H73" t="s">
        <v>390</v>
      </c>
    </row>
    <row r="74" spans="1:8" ht="15" customHeight="1" x14ac:dyDescent="0.3">
      <c r="A74" t="s">
        <v>408</v>
      </c>
      <c r="B74" t="s">
        <v>409</v>
      </c>
      <c r="C74" t="s">
        <v>410</v>
      </c>
      <c r="D74" t="s">
        <v>374</v>
      </c>
      <c r="E74" t="s">
        <v>23</v>
      </c>
      <c r="F74" t="s">
        <v>376</v>
      </c>
      <c r="G74" s="14">
        <v>46259.8663773148</v>
      </c>
      <c r="H74" t="s">
        <v>377</v>
      </c>
    </row>
    <row r="75" spans="1:8" ht="15" customHeight="1" x14ac:dyDescent="0.3">
      <c r="A75" t="s">
        <v>387</v>
      </c>
      <c r="B75" t="s">
        <v>388</v>
      </c>
      <c r="C75" t="s">
        <v>389</v>
      </c>
      <c r="D75" t="s">
        <v>374</v>
      </c>
      <c r="E75" t="s">
        <v>375</v>
      </c>
      <c r="F75" t="s">
        <v>376</v>
      </c>
      <c r="G75" s="14">
        <v>46259.844409722202</v>
      </c>
      <c r="H75" t="s">
        <v>390</v>
      </c>
    </row>
    <row r="76" spans="1:8" ht="15" customHeight="1" x14ac:dyDescent="0.3">
      <c r="A76" t="s">
        <v>402</v>
      </c>
      <c r="B76" t="s">
        <v>403</v>
      </c>
      <c r="C76" t="s">
        <v>404</v>
      </c>
      <c r="D76" t="s">
        <v>374</v>
      </c>
      <c r="E76" t="s">
        <v>375</v>
      </c>
      <c r="F76" t="s">
        <v>376</v>
      </c>
      <c r="G76" s="14">
        <v>46259.836585648198</v>
      </c>
      <c r="H76" t="s">
        <v>377</v>
      </c>
    </row>
    <row r="77" spans="1:8" ht="15" customHeight="1" x14ac:dyDescent="0.3">
      <c r="A77" t="s">
        <v>405</v>
      </c>
      <c r="B77" t="s">
        <v>406</v>
      </c>
      <c r="C77" t="s">
        <v>407</v>
      </c>
      <c r="D77" t="s">
        <v>374</v>
      </c>
      <c r="E77" t="s">
        <v>375</v>
      </c>
      <c r="F77" t="s">
        <v>376</v>
      </c>
      <c r="G77" s="14">
        <v>46259.836527777799</v>
      </c>
      <c r="H77" t="s">
        <v>377</v>
      </c>
    </row>
    <row r="78" spans="1:8" ht="15" customHeight="1" x14ac:dyDescent="0.3">
      <c r="A78" t="s">
        <v>384</v>
      </c>
      <c r="B78" t="s">
        <v>385</v>
      </c>
      <c r="C78" t="s">
        <v>386</v>
      </c>
      <c r="D78" t="s">
        <v>374</v>
      </c>
      <c r="E78" t="s">
        <v>375</v>
      </c>
      <c r="F78" t="s">
        <v>376</v>
      </c>
      <c r="G78" s="14">
        <v>46259.8339583333</v>
      </c>
      <c r="H78" t="s">
        <v>377</v>
      </c>
    </row>
    <row r="79" spans="1:8" ht="15" customHeight="1" x14ac:dyDescent="0.3">
      <c r="A79" t="s">
        <v>378</v>
      </c>
      <c r="B79" t="s">
        <v>379</v>
      </c>
      <c r="C79" t="s">
        <v>380</v>
      </c>
      <c r="D79" t="s">
        <v>374</v>
      </c>
      <c r="E79" t="s">
        <v>375</v>
      </c>
      <c r="F79" t="s">
        <v>376</v>
      </c>
      <c r="G79" s="14">
        <v>46259.833634259303</v>
      </c>
      <c r="H79" t="s">
        <v>377</v>
      </c>
    </row>
    <row r="80" spans="1:8" ht="15" customHeight="1" x14ac:dyDescent="0.3">
      <c r="A80" t="s">
        <v>391</v>
      </c>
      <c r="B80" t="s">
        <v>392</v>
      </c>
      <c r="C80" t="s">
        <v>393</v>
      </c>
      <c r="D80" t="s">
        <v>374</v>
      </c>
      <c r="E80" t="s">
        <v>394</v>
      </c>
      <c r="F80" t="s">
        <v>395</v>
      </c>
      <c r="G80" s="14">
        <v>46259.750509259298</v>
      </c>
      <c r="H80" t="s">
        <v>377</v>
      </c>
    </row>
    <row r="81" spans="1:8" ht="15" customHeight="1" x14ac:dyDescent="0.3">
      <c r="A81" t="s">
        <v>402</v>
      </c>
      <c r="B81" t="s">
        <v>403</v>
      </c>
      <c r="C81" t="s">
        <v>404</v>
      </c>
      <c r="D81" t="s">
        <v>374</v>
      </c>
      <c r="E81" t="s">
        <v>375</v>
      </c>
      <c r="F81" t="s">
        <v>376</v>
      </c>
      <c r="G81" s="14">
        <v>46259.342291666697</v>
      </c>
      <c r="H81" t="s">
        <v>390</v>
      </c>
    </row>
    <row r="82" spans="1:8" ht="15" customHeight="1" x14ac:dyDescent="0.3">
      <c r="A82" t="s">
        <v>399</v>
      </c>
      <c r="B82" t="s">
        <v>400</v>
      </c>
      <c r="C82" t="s">
        <v>401</v>
      </c>
      <c r="D82" t="s">
        <v>374</v>
      </c>
      <c r="E82" t="s">
        <v>375</v>
      </c>
      <c r="F82" t="s">
        <v>376</v>
      </c>
      <c r="G82" s="14">
        <v>46259.341145833299</v>
      </c>
      <c r="H82" t="s">
        <v>377</v>
      </c>
    </row>
    <row r="83" spans="1:8" ht="15" customHeight="1" x14ac:dyDescent="0.3">
      <c r="A83" t="s">
        <v>405</v>
      </c>
      <c r="B83" t="s">
        <v>406</v>
      </c>
      <c r="C83" t="s">
        <v>407</v>
      </c>
      <c r="D83" t="s">
        <v>374</v>
      </c>
      <c r="E83" t="s">
        <v>375</v>
      </c>
      <c r="F83" t="s">
        <v>376</v>
      </c>
      <c r="G83" s="14">
        <v>46259.335752314801</v>
      </c>
      <c r="H83" t="s">
        <v>390</v>
      </c>
    </row>
    <row r="84" spans="1:8" ht="15" customHeight="1" x14ac:dyDescent="0.3">
      <c r="A84" t="s">
        <v>384</v>
      </c>
      <c r="B84" t="s">
        <v>385</v>
      </c>
      <c r="C84" t="s">
        <v>386</v>
      </c>
      <c r="D84" t="s">
        <v>374</v>
      </c>
      <c r="E84" t="s">
        <v>375</v>
      </c>
      <c r="F84" t="s">
        <v>376</v>
      </c>
      <c r="G84" s="14">
        <v>46259.330520833297</v>
      </c>
      <c r="H84" t="s">
        <v>390</v>
      </c>
    </row>
    <row r="85" spans="1:8" ht="15" customHeight="1" x14ac:dyDescent="0.3">
      <c r="A85" t="s">
        <v>387</v>
      </c>
      <c r="B85" t="s">
        <v>388</v>
      </c>
      <c r="C85" t="s">
        <v>389</v>
      </c>
      <c r="D85" t="s">
        <v>374</v>
      </c>
      <c r="E85" t="s">
        <v>375</v>
      </c>
      <c r="F85" t="s">
        <v>376</v>
      </c>
      <c r="G85" s="14">
        <v>46259.3257407407</v>
      </c>
      <c r="H85" t="s">
        <v>377</v>
      </c>
    </row>
    <row r="86" spans="1:8" ht="15" customHeight="1" x14ac:dyDescent="0.3">
      <c r="A86" t="s">
        <v>391</v>
      </c>
      <c r="B86" t="s">
        <v>392</v>
      </c>
      <c r="C86" t="s">
        <v>393</v>
      </c>
      <c r="D86" t="s">
        <v>374</v>
      </c>
      <c r="E86" t="s">
        <v>394</v>
      </c>
      <c r="F86" t="s">
        <v>395</v>
      </c>
      <c r="G86" s="14">
        <v>46259.323344907403</v>
      </c>
      <c r="H86" t="s">
        <v>390</v>
      </c>
    </row>
    <row r="87" spans="1:8" ht="15" customHeight="1" x14ac:dyDescent="0.3">
      <c r="A87" t="s">
        <v>378</v>
      </c>
      <c r="B87" t="s">
        <v>379</v>
      </c>
      <c r="C87" t="s">
        <v>380</v>
      </c>
      <c r="D87" t="s">
        <v>374</v>
      </c>
      <c r="E87" t="s">
        <v>375</v>
      </c>
      <c r="F87" t="s">
        <v>376</v>
      </c>
      <c r="G87" s="14">
        <v>46259.317349536999</v>
      </c>
      <c r="H87" t="s">
        <v>390</v>
      </c>
    </row>
    <row r="88" spans="1:8" ht="15" customHeight="1" x14ac:dyDescent="0.3">
      <c r="A88" t="s">
        <v>408</v>
      </c>
      <c r="B88" t="s">
        <v>409</v>
      </c>
      <c r="C88" t="s">
        <v>410</v>
      </c>
      <c r="D88" t="s">
        <v>374</v>
      </c>
      <c r="E88" t="s">
        <v>23</v>
      </c>
      <c r="F88" t="s">
        <v>376</v>
      </c>
      <c r="G88" s="14">
        <v>46259.293993055602</v>
      </c>
      <c r="H88" t="s">
        <v>390</v>
      </c>
    </row>
    <row r="89" spans="1:8" ht="15" customHeight="1" x14ac:dyDescent="0.3">
      <c r="A89" t="s">
        <v>384</v>
      </c>
      <c r="B89" t="s">
        <v>385</v>
      </c>
      <c r="C89" t="s">
        <v>386</v>
      </c>
      <c r="D89" t="s">
        <v>374</v>
      </c>
      <c r="E89" t="s">
        <v>375</v>
      </c>
      <c r="F89" t="s">
        <v>376</v>
      </c>
      <c r="G89" s="14">
        <v>46258.845856481501</v>
      </c>
      <c r="H89" t="s">
        <v>377</v>
      </c>
    </row>
    <row r="90" spans="1:8" ht="15" customHeight="1" x14ac:dyDescent="0.3">
      <c r="A90" t="s">
        <v>399</v>
      </c>
      <c r="B90" t="s">
        <v>400</v>
      </c>
      <c r="C90" t="s">
        <v>401</v>
      </c>
      <c r="D90" t="s">
        <v>374</v>
      </c>
      <c r="E90" t="s">
        <v>375</v>
      </c>
      <c r="F90" t="s">
        <v>376</v>
      </c>
      <c r="G90" s="14">
        <v>46258.842962962997</v>
      </c>
      <c r="H90" t="s">
        <v>390</v>
      </c>
    </row>
    <row r="91" spans="1:8" ht="15" customHeight="1" x14ac:dyDescent="0.3">
      <c r="A91" t="s">
        <v>402</v>
      </c>
      <c r="B91" t="s">
        <v>403</v>
      </c>
      <c r="C91" t="s">
        <v>404</v>
      </c>
      <c r="D91" t="s">
        <v>374</v>
      </c>
      <c r="E91" t="s">
        <v>375</v>
      </c>
      <c r="F91" t="s">
        <v>376</v>
      </c>
      <c r="G91" s="14">
        <v>46258.8389930556</v>
      </c>
      <c r="H91" t="s">
        <v>377</v>
      </c>
    </row>
    <row r="92" spans="1:8" ht="15" customHeight="1" x14ac:dyDescent="0.3">
      <c r="A92" t="s">
        <v>405</v>
      </c>
      <c r="B92" t="s">
        <v>406</v>
      </c>
      <c r="C92" t="s">
        <v>407</v>
      </c>
      <c r="D92" t="s">
        <v>374</v>
      </c>
      <c r="E92" t="s">
        <v>375</v>
      </c>
      <c r="F92" t="s">
        <v>376</v>
      </c>
      <c r="G92" s="14">
        <v>46258.8386342593</v>
      </c>
      <c r="H92" t="s">
        <v>377</v>
      </c>
    </row>
    <row r="93" spans="1:8" ht="15" customHeight="1" x14ac:dyDescent="0.3">
      <c r="A93" t="s">
        <v>408</v>
      </c>
      <c r="B93" t="s">
        <v>409</v>
      </c>
      <c r="C93" t="s">
        <v>410</v>
      </c>
      <c r="D93" t="s">
        <v>374</v>
      </c>
      <c r="E93" t="s">
        <v>23</v>
      </c>
      <c r="F93" t="s">
        <v>376</v>
      </c>
      <c r="G93" s="14">
        <v>46258.8386342593</v>
      </c>
      <c r="H93" t="s">
        <v>377</v>
      </c>
    </row>
    <row r="94" spans="1:8" ht="15" customHeight="1" x14ac:dyDescent="0.3">
      <c r="A94" t="s">
        <v>378</v>
      </c>
      <c r="B94" t="s">
        <v>379</v>
      </c>
      <c r="C94" t="s">
        <v>380</v>
      </c>
      <c r="D94" t="s">
        <v>374</v>
      </c>
      <c r="E94" t="s">
        <v>375</v>
      </c>
      <c r="F94" t="s">
        <v>376</v>
      </c>
      <c r="G94" s="14">
        <v>46258.834293981497</v>
      </c>
      <c r="H94" t="s">
        <v>377</v>
      </c>
    </row>
    <row r="95" spans="1:8" ht="15" customHeight="1" x14ac:dyDescent="0.3">
      <c r="A95" t="s">
        <v>391</v>
      </c>
      <c r="B95" t="s">
        <v>392</v>
      </c>
      <c r="C95" t="s">
        <v>393</v>
      </c>
      <c r="D95" t="s">
        <v>374</v>
      </c>
      <c r="E95" t="s">
        <v>394</v>
      </c>
      <c r="F95" t="s">
        <v>395</v>
      </c>
      <c r="G95" s="14">
        <v>46258.750162037002</v>
      </c>
      <c r="H95" t="s">
        <v>377</v>
      </c>
    </row>
    <row r="96" spans="1:8" ht="15" customHeight="1" x14ac:dyDescent="0.3">
      <c r="A96" t="s">
        <v>399</v>
      </c>
      <c r="B96" t="s">
        <v>400</v>
      </c>
      <c r="C96" t="s">
        <v>401</v>
      </c>
      <c r="D96" t="s">
        <v>374</v>
      </c>
      <c r="E96" t="s">
        <v>375</v>
      </c>
      <c r="F96" t="s">
        <v>376</v>
      </c>
      <c r="G96" s="14">
        <v>46258.3800694444</v>
      </c>
      <c r="H96" t="s">
        <v>377</v>
      </c>
    </row>
    <row r="97" spans="1:8" ht="15" customHeight="1" x14ac:dyDescent="0.3">
      <c r="A97" t="s">
        <v>408</v>
      </c>
      <c r="B97" t="s">
        <v>409</v>
      </c>
      <c r="C97" t="s">
        <v>410</v>
      </c>
      <c r="D97" t="s">
        <v>374</v>
      </c>
      <c r="E97" t="s">
        <v>23</v>
      </c>
      <c r="F97" t="s">
        <v>376</v>
      </c>
      <c r="G97" s="14">
        <v>46258.331805555601</v>
      </c>
      <c r="H97" t="s">
        <v>390</v>
      </c>
    </row>
    <row r="98" spans="1:8" ht="15" customHeight="1" x14ac:dyDescent="0.3">
      <c r="A98" t="s">
        <v>402</v>
      </c>
      <c r="B98" t="s">
        <v>403</v>
      </c>
      <c r="C98" t="s">
        <v>404</v>
      </c>
      <c r="D98" t="s">
        <v>374</v>
      </c>
      <c r="E98" t="s">
        <v>375</v>
      </c>
      <c r="F98" t="s">
        <v>376</v>
      </c>
      <c r="G98" s="14">
        <v>46258.327349537001</v>
      </c>
      <c r="H98" t="s">
        <v>390</v>
      </c>
    </row>
    <row r="99" spans="1:8" ht="15" customHeight="1" x14ac:dyDescent="0.3">
      <c r="A99" t="s">
        <v>405</v>
      </c>
      <c r="B99" t="s">
        <v>406</v>
      </c>
      <c r="C99" t="s">
        <v>407</v>
      </c>
      <c r="D99" t="s">
        <v>374</v>
      </c>
      <c r="E99" t="s">
        <v>375</v>
      </c>
      <c r="F99" t="s">
        <v>376</v>
      </c>
      <c r="G99" s="14">
        <v>46258.327094907399</v>
      </c>
      <c r="H99" t="s">
        <v>390</v>
      </c>
    </row>
    <row r="100" spans="1:8" ht="15" customHeight="1" x14ac:dyDescent="0.3">
      <c r="A100" t="s">
        <v>384</v>
      </c>
      <c r="B100" t="s">
        <v>385</v>
      </c>
      <c r="C100" t="s">
        <v>386</v>
      </c>
      <c r="D100" t="s">
        <v>374</v>
      </c>
      <c r="E100" t="s">
        <v>375</v>
      </c>
      <c r="F100" t="s">
        <v>376</v>
      </c>
      <c r="G100" s="14">
        <v>46258.324270833298</v>
      </c>
      <c r="H100" t="s">
        <v>390</v>
      </c>
    </row>
    <row r="101" spans="1:8" ht="15" customHeight="1" x14ac:dyDescent="0.3">
      <c r="A101" t="s">
        <v>387</v>
      </c>
      <c r="B101" t="s">
        <v>388</v>
      </c>
      <c r="C101" t="s">
        <v>389</v>
      </c>
      <c r="D101" t="s">
        <v>374</v>
      </c>
      <c r="E101" t="s">
        <v>375</v>
      </c>
      <c r="F101" t="s">
        <v>376</v>
      </c>
      <c r="G101" s="14">
        <v>46258.324074074102</v>
      </c>
      <c r="H101" t="s">
        <v>390</v>
      </c>
    </row>
    <row r="102" spans="1:8" ht="15" customHeight="1" x14ac:dyDescent="0.3">
      <c r="A102" t="s">
        <v>391</v>
      </c>
      <c r="B102" t="s">
        <v>392</v>
      </c>
      <c r="C102" t="s">
        <v>393</v>
      </c>
      <c r="D102" t="s">
        <v>374</v>
      </c>
      <c r="E102" t="s">
        <v>394</v>
      </c>
      <c r="F102" t="s">
        <v>395</v>
      </c>
      <c r="G102" s="14">
        <v>46258.323981481502</v>
      </c>
      <c r="H102" t="s">
        <v>390</v>
      </c>
    </row>
    <row r="103" spans="1:8" ht="15" customHeight="1" x14ac:dyDescent="0.3">
      <c r="A103" t="s">
        <v>378</v>
      </c>
      <c r="B103" t="s">
        <v>379</v>
      </c>
      <c r="C103" t="s">
        <v>380</v>
      </c>
      <c r="D103" t="s">
        <v>374</v>
      </c>
      <c r="E103" t="s">
        <v>375</v>
      </c>
      <c r="F103" t="s">
        <v>376</v>
      </c>
      <c r="G103" s="14">
        <v>46258.323483796303</v>
      </c>
      <c r="H103" t="s">
        <v>390</v>
      </c>
    </row>
    <row r="104" spans="1:8" ht="15" customHeight="1" x14ac:dyDescent="0.3">
      <c r="A104" t="s">
        <v>402</v>
      </c>
      <c r="B104" t="s">
        <v>403</v>
      </c>
      <c r="C104" t="s">
        <v>404</v>
      </c>
      <c r="D104" t="s">
        <v>374</v>
      </c>
      <c r="E104" t="s">
        <v>375</v>
      </c>
      <c r="F104" t="s">
        <v>376</v>
      </c>
      <c r="G104" s="14">
        <v>46257.884502314802</v>
      </c>
      <c r="H104" t="s">
        <v>377</v>
      </c>
    </row>
    <row r="105" spans="1:8" ht="15" customHeight="1" x14ac:dyDescent="0.3">
      <c r="A105" t="s">
        <v>384</v>
      </c>
      <c r="B105" t="s">
        <v>385</v>
      </c>
      <c r="C105" t="s">
        <v>386</v>
      </c>
      <c r="D105" t="s">
        <v>374</v>
      </c>
      <c r="E105" t="s">
        <v>375</v>
      </c>
      <c r="F105" t="s">
        <v>376</v>
      </c>
      <c r="G105" s="14">
        <v>46257.839652777802</v>
      </c>
      <c r="H105" t="s">
        <v>377</v>
      </c>
    </row>
    <row r="106" spans="1:8" ht="15" customHeight="1" x14ac:dyDescent="0.3">
      <c r="A106" t="s">
        <v>408</v>
      </c>
      <c r="B106" t="s">
        <v>409</v>
      </c>
      <c r="C106" t="s">
        <v>410</v>
      </c>
      <c r="D106" t="s">
        <v>374</v>
      </c>
      <c r="E106" t="s">
        <v>23</v>
      </c>
      <c r="F106" t="s">
        <v>376</v>
      </c>
      <c r="G106" s="14">
        <v>46257.839212963001</v>
      </c>
      <c r="H106" t="s">
        <v>377</v>
      </c>
    </row>
    <row r="107" spans="1:8" ht="15" customHeight="1" x14ac:dyDescent="0.3">
      <c r="A107" t="s">
        <v>378</v>
      </c>
      <c r="B107" t="s">
        <v>379</v>
      </c>
      <c r="C107" t="s">
        <v>380</v>
      </c>
      <c r="D107" t="s">
        <v>374</v>
      </c>
      <c r="E107" t="s">
        <v>375</v>
      </c>
      <c r="F107" t="s">
        <v>376</v>
      </c>
      <c r="G107" s="14">
        <v>46257.834641203699</v>
      </c>
      <c r="H107" t="s">
        <v>377</v>
      </c>
    </row>
    <row r="108" spans="1:8" ht="15" customHeight="1" x14ac:dyDescent="0.3">
      <c r="A108" t="s">
        <v>387</v>
      </c>
      <c r="B108" t="s">
        <v>388</v>
      </c>
      <c r="C108" t="s">
        <v>389</v>
      </c>
      <c r="D108" t="s">
        <v>374</v>
      </c>
      <c r="E108" t="s">
        <v>375</v>
      </c>
      <c r="F108" t="s">
        <v>376</v>
      </c>
      <c r="G108" s="14">
        <v>46257.341724537</v>
      </c>
      <c r="H108" t="s">
        <v>377</v>
      </c>
    </row>
    <row r="109" spans="1:8" ht="15" customHeight="1" x14ac:dyDescent="0.3">
      <c r="A109" t="s">
        <v>399</v>
      </c>
      <c r="B109" t="s">
        <v>400</v>
      </c>
      <c r="C109" t="s">
        <v>401</v>
      </c>
      <c r="D109" t="s">
        <v>374</v>
      </c>
      <c r="E109" t="s">
        <v>375</v>
      </c>
      <c r="F109" t="s">
        <v>376</v>
      </c>
      <c r="G109" s="14">
        <v>46257.340335648201</v>
      </c>
      <c r="H109" t="s">
        <v>377</v>
      </c>
    </row>
    <row r="110" spans="1:8" ht="15" customHeight="1" x14ac:dyDescent="0.3">
      <c r="A110" t="s">
        <v>402</v>
      </c>
      <c r="B110" t="s">
        <v>403</v>
      </c>
      <c r="C110" t="s">
        <v>404</v>
      </c>
      <c r="D110" t="s">
        <v>374</v>
      </c>
      <c r="E110" t="s">
        <v>375</v>
      </c>
      <c r="F110" t="s">
        <v>376</v>
      </c>
      <c r="G110" s="14">
        <v>46257.334282407399</v>
      </c>
      <c r="H110" t="s">
        <v>390</v>
      </c>
    </row>
    <row r="111" spans="1:8" ht="15" customHeight="1" x14ac:dyDescent="0.3">
      <c r="A111" t="s">
        <v>405</v>
      </c>
      <c r="B111" t="s">
        <v>406</v>
      </c>
      <c r="C111" t="s">
        <v>407</v>
      </c>
      <c r="D111" t="s">
        <v>374</v>
      </c>
      <c r="E111" t="s">
        <v>375</v>
      </c>
      <c r="F111" t="s">
        <v>376</v>
      </c>
      <c r="G111" s="14">
        <v>46257.334074074097</v>
      </c>
      <c r="H111" t="s">
        <v>390</v>
      </c>
    </row>
    <row r="112" spans="1:8" ht="15" customHeight="1" x14ac:dyDescent="0.3">
      <c r="A112" t="s">
        <v>384</v>
      </c>
      <c r="B112" t="s">
        <v>385</v>
      </c>
      <c r="C112" t="s">
        <v>386</v>
      </c>
      <c r="D112" t="s">
        <v>374</v>
      </c>
      <c r="E112" t="s">
        <v>375</v>
      </c>
      <c r="F112" t="s">
        <v>376</v>
      </c>
      <c r="G112" s="14">
        <v>46257.332013888903</v>
      </c>
      <c r="H112" t="s">
        <v>390</v>
      </c>
    </row>
    <row r="113" spans="1:8" ht="15" customHeight="1" x14ac:dyDescent="0.3">
      <c r="A113" t="s">
        <v>378</v>
      </c>
      <c r="B113" t="s">
        <v>379</v>
      </c>
      <c r="C113" t="s">
        <v>380</v>
      </c>
      <c r="D113" t="s">
        <v>374</v>
      </c>
      <c r="E113" t="s">
        <v>375</v>
      </c>
      <c r="F113" t="s">
        <v>376</v>
      </c>
      <c r="G113" s="14">
        <v>46257.323240740698</v>
      </c>
      <c r="H113" t="s">
        <v>390</v>
      </c>
    </row>
    <row r="114" spans="1:8" ht="15" customHeight="1" x14ac:dyDescent="0.3">
      <c r="A114" t="s">
        <v>408</v>
      </c>
      <c r="B114" t="s">
        <v>409</v>
      </c>
      <c r="C114" t="s">
        <v>410</v>
      </c>
      <c r="D114" t="s">
        <v>374</v>
      </c>
      <c r="E114" t="s">
        <v>23</v>
      </c>
      <c r="F114" t="s">
        <v>376</v>
      </c>
      <c r="G114" s="14">
        <v>46256.853298611102</v>
      </c>
      <c r="H114" t="s">
        <v>377</v>
      </c>
    </row>
    <row r="115" spans="1:8" ht="15" customHeight="1" x14ac:dyDescent="0.3">
      <c r="A115" t="s">
        <v>378</v>
      </c>
      <c r="B115" t="s">
        <v>379</v>
      </c>
      <c r="C115" t="s">
        <v>380</v>
      </c>
      <c r="D115" t="s">
        <v>374</v>
      </c>
      <c r="E115" t="s">
        <v>375</v>
      </c>
      <c r="F115" t="s">
        <v>376</v>
      </c>
      <c r="G115" s="14">
        <v>46256.8429398148</v>
      </c>
      <c r="H115" t="s">
        <v>377</v>
      </c>
    </row>
    <row r="116" spans="1:8" ht="15" customHeight="1" x14ac:dyDescent="0.3">
      <c r="A116" t="s">
        <v>387</v>
      </c>
      <c r="B116" t="s">
        <v>388</v>
      </c>
      <c r="C116" t="s">
        <v>389</v>
      </c>
      <c r="D116" t="s">
        <v>374</v>
      </c>
      <c r="E116" t="s">
        <v>375</v>
      </c>
      <c r="F116" t="s">
        <v>376</v>
      </c>
      <c r="G116" s="14">
        <v>46256.824108796303</v>
      </c>
      <c r="H116" t="s">
        <v>390</v>
      </c>
    </row>
    <row r="117" spans="1:8" ht="15" customHeight="1" x14ac:dyDescent="0.3">
      <c r="A117" t="s">
        <v>399</v>
      </c>
      <c r="B117" t="s">
        <v>400</v>
      </c>
      <c r="C117" t="s">
        <v>401</v>
      </c>
      <c r="D117" t="s">
        <v>374</v>
      </c>
      <c r="E117" t="s">
        <v>375</v>
      </c>
      <c r="F117" t="s">
        <v>376</v>
      </c>
      <c r="G117" s="14">
        <v>46256.824062500003</v>
      </c>
      <c r="H117" t="s">
        <v>390</v>
      </c>
    </row>
    <row r="118" spans="1:8" ht="15" customHeight="1" x14ac:dyDescent="0.3">
      <c r="A118" t="s">
        <v>387</v>
      </c>
      <c r="B118" t="s">
        <v>388</v>
      </c>
      <c r="C118" t="s">
        <v>389</v>
      </c>
      <c r="D118" t="s">
        <v>374</v>
      </c>
      <c r="E118" t="s">
        <v>375</v>
      </c>
      <c r="F118" t="s">
        <v>376</v>
      </c>
      <c r="G118" s="14">
        <v>46256.346770833297</v>
      </c>
      <c r="H118" t="s">
        <v>377</v>
      </c>
    </row>
    <row r="119" spans="1:8" ht="15" customHeight="1" x14ac:dyDescent="0.3">
      <c r="A119" t="s">
        <v>399</v>
      </c>
      <c r="B119" t="s">
        <v>400</v>
      </c>
      <c r="C119" t="s">
        <v>401</v>
      </c>
      <c r="D119" t="s">
        <v>374</v>
      </c>
      <c r="E119" t="s">
        <v>375</v>
      </c>
      <c r="F119" t="s">
        <v>376</v>
      </c>
      <c r="G119" s="14">
        <v>46256.346192129597</v>
      </c>
      <c r="H119" t="s">
        <v>377</v>
      </c>
    </row>
    <row r="120" spans="1:8" ht="15" customHeight="1" x14ac:dyDescent="0.3">
      <c r="A120" t="s">
        <v>408</v>
      </c>
      <c r="B120" t="s">
        <v>409</v>
      </c>
      <c r="C120" t="s">
        <v>410</v>
      </c>
      <c r="D120" t="s">
        <v>374</v>
      </c>
      <c r="E120" t="s">
        <v>23</v>
      </c>
      <c r="F120" t="s">
        <v>376</v>
      </c>
      <c r="G120" s="14">
        <v>46256.3456365741</v>
      </c>
      <c r="H120" t="s">
        <v>390</v>
      </c>
    </row>
    <row r="121" spans="1:8" ht="15" customHeight="1" x14ac:dyDescent="0.3">
      <c r="A121" t="s">
        <v>402</v>
      </c>
      <c r="B121" t="s">
        <v>403</v>
      </c>
      <c r="C121" t="s">
        <v>404</v>
      </c>
      <c r="D121" t="s">
        <v>374</v>
      </c>
      <c r="E121" t="s">
        <v>375</v>
      </c>
      <c r="F121" t="s">
        <v>376</v>
      </c>
      <c r="G121" s="14">
        <v>46256.329097222202</v>
      </c>
      <c r="H121" t="s">
        <v>390</v>
      </c>
    </row>
    <row r="122" spans="1:8" ht="15" customHeight="1" x14ac:dyDescent="0.3">
      <c r="A122" t="s">
        <v>378</v>
      </c>
      <c r="B122" t="s">
        <v>379</v>
      </c>
      <c r="C122" t="s">
        <v>380</v>
      </c>
      <c r="D122" t="s">
        <v>374</v>
      </c>
      <c r="E122" t="s">
        <v>375</v>
      </c>
      <c r="F122" t="s">
        <v>376</v>
      </c>
      <c r="G122" s="14">
        <v>46256.315451388902</v>
      </c>
      <c r="H122" t="s">
        <v>390</v>
      </c>
    </row>
    <row r="123" spans="1:8" ht="15" customHeight="1" x14ac:dyDescent="0.3">
      <c r="A123" t="s">
        <v>402</v>
      </c>
      <c r="B123" t="s">
        <v>403</v>
      </c>
      <c r="C123" t="s">
        <v>404</v>
      </c>
      <c r="D123" t="s">
        <v>374</v>
      </c>
      <c r="E123" t="s">
        <v>375</v>
      </c>
      <c r="F123" t="s">
        <v>376</v>
      </c>
      <c r="G123" s="14">
        <v>46255.888634259303</v>
      </c>
      <c r="H123" t="s">
        <v>377</v>
      </c>
    </row>
    <row r="124" spans="1:8" ht="15" customHeight="1" x14ac:dyDescent="0.3">
      <c r="A124" t="s">
        <v>408</v>
      </c>
      <c r="B124" t="s">
        <v>409</v>
      </c>
      <c r="C124" t="s">
        <v>410</v>
      </c>
      <c r="D124" t="s">
        <v>374</v>
      </c>
      <c r="E124" t="s">
        <v>23</v>
      </c>
      <c r="F124" t="s">
        <v>376</v>
      </c>
      <c r="G124" s="14">
        <v>46255.8432060185</v>
      </c>
      <c r="H124" t="s">
        <v>377</v>
      </c>
    </row>
    <row r="125" spans="1:8" ht="15" customHeight="1" x14ac:dyDescent="0.3">
      <c r="A125" t="s">
        <v>387</v>
      </c>
      <c r="B125" t="s">
        <v>388</v>
      </c>
      <c r="C125" t="s">
        <v>389</v>
      </c>
      <c r="D125" t="s">
        <v>374</v>
      </c>
      <c r="E125" t="s">
        <v>375</v>
      </c>
      <c r="F125" t="s">
        <v>376</v>
      </c>
      <c r="G125" s="14">
        <v>46255.840486111098</v>
      </c>
      <c r="H125" t="s">
        <v>390</v>
      </c>
    </row>
    <row r="126" spans="1:8" ht="15" customHeight="1" x14ac:dyDescent="0.3">
      <c r="A126" t="s">
        <v>378</v>
      </c>
      <c r="B126" t="s">
        <v>379</v>
      </c>
      <c r="C126" t="s">
        <v>380</v>
      </c>
      <c r="D126" t="s">
        <v>374</v>
      </c>
      <c r="E126" t="s">
        <v>375</v>
      </c>
      <c r="F126" t="s">
        <v>376</v>
      </c>
      <c r="G126" s="14">
        <v>46255.829351851899</v>
      </c>
      <c r="H126" t="s">
        <v>377</v>
      </c>
    </row>
    <row r="127" spans="1:8" ht="15" customHeight="1" x14ac:dyDescent="0.3">
      <c r="A127" t="s">
        <v>399</v>
      </c>
      <c r="B127" t="s">
        <v>400</v>
      </c>
      <c r="C127" t="s">
        <v>401</v>
      </c>
      <c r="D127" t="s">
        <v>374</v>
      </c>
      <c r="E127" t="s">
        <v>375</v>
      </c>
      <c r="F127" t="s">
        <v>376</v>
      </c>
      <c r="G127" s="14">
        <v>46255.817546296297</v>
      </c>
      <c r="H127" t="s">
        <v>390</v>
      </c>
    </row>
    <row r="128" spans="1:8" ht="15" customHeight="1" x14ac:dyDescent="0.3">
      <c r="A128" t="s">
        <v>391</v>
      </c>
      <c r="B128" t="s">
        <v>392</v>
      </c>
      <c r="C128" t="s">
        <v>393</v>
      </c>
      <c r="D128" t="s">
        <v>374</v>
      </c>
      <c r="E128" t="s">
        <v>394</v>
      </c>
      <c r="F128" t="s">
        <v>395</v>
      </c>
      <c r="G128" s="14">
        <v>46255.5846296296</v>
      </c>
      <c r="H128" t="s">
        <v>377</v>
      </c>
    </row>
    <row r="129" spans="1:8" ht="15" customHeight="1" x14ac:dyDescent="0.3">
      <c r="A129" t="s">
        <v>405</v>
      </c>
      <c r="B129" t="s">
        <v>406</v>
      </c>
      <c r="C129" t="s">
        <v>407</v>
      </c>
      <c r="D129" t="s">
        <v>374</v>
      </c>
      <c r="E129" t="s">
        <v>375</v>
      </c>
      <c r="F129" t="s">
        <v>376</v>
      </c>
      <c r="G129" s="14">
        <v>46255.364652777796</v>
      </c>
      <c r="H129" t="s">
        <v>390</v>
      </c>
    </row>
    <row r="130" spans="1:8" ht="15" customHeight="1" x14ac:dyDescent="0.3">
      <c r="A130" t="s">
        <v>408</v>
      </c>
      <c r="B130" t="s">
        <v>409</v>
      </c>
      <c r="C130" t="s">
        <v>410</v>
      </c>
      <c r="D130" t="s">
        <v>374</v>
      </c>
      <c r="E130" t="s">
        <v>23</v>
      </c>
      <c r="F130" t="s">
        <v>376</v>
      </c>
      <c r="G130" s="14">
        <v>46255.347719907397</v>
      </c>
      <c r="H130" t="s">
        <v>390</v>
      </c>
    </row>
    <row r="131" spans="1:8" ht="15" customHeight="1" x14ac:dyDescent="0.3">
      <c r="A131" t="s">
        <v>387</v>
      </c>
      <c r="B131" t="s">
        <v>388</v>
      </c>
      <c r="C131" t="s">
        <v>389</v>
      </c>
      <c r="D131" t="s">
        <v>374</v>
      </c>
      <c r="E131" t="s">
        <v>375</v>
      </c>
      <c r="F131" t="s">
        <v>376</v>
      </c>
      <c r="G131" s="14">
        <v>46255.337789351899</v>
      </c>
      <c r="H131" t="s">
        <v>377</v>
      </c>
    </row>
    <row r="132" spans="1:8" ht="15" customHeight="1" x14ac:dyDescent="0.3">
      <c r="A132" t="s">
        <v>399</v>
      </c>
      <c r="B132" t="s">
        <v>400</v>
      </c>
      <c r="C132" t="s">
        <v>401</v>
      </c>
      <c r="D132" t="s">
        <v>374</v>
      </c>
      <c r="E132" t="s">
        <v>375</v>
      </c>
      <c r="F132" t="s">
        <v>376</v>
      </c>
      <c r="G132" s="14">
        <v>46255.337268518502</v>
      </c>
      <c r="H132" t="s">
        <v>377</v>
      </c>
    </row>
    <row r="133" spans="1:8" ht="15" customHeight="1" x14ac:dyDescent="0.3">
      <c r="A133" t="s">
        <v>402</v>
      </c>
      <c r="B133" t="s">
        <v>403</v>
      </c>
      <c r="C133" t="s">
        <v>404</v>
      </c>
      <c r="D133" t="s">
        <v>374</v>
      </c>
      <c r="E133" t="s">
        <v>375</v>
      </c>
      <c r="F133" t="s">
        <v>376</v>
      </c>
      <c r="G133" s="14">
        <v>46255.328414351898</v>
      </c>
      <c r="H133" t="s">
        <v>390</v>
      </c>
    </row>
    <row r="134" spans="1:8" ht="15" customHeight="1" x14ac:dyDescent="0.3">
      <c r="A134" t="s">
        <v>378</v>
      </c>
      <c r="B134" t="s">
        <v>379</v>
      </c>
      <c r="C134" t="s">
        <v>380</v>
      </c>
      <c r="D134" t="s">
        <v>374</v>
      </c>
      <c r="E134" t="s">
        <v>375</v>
      </c>
      <c r="F134" t="s">
        <v>376</v>
      </c>
      <c r="G134" s="14">
        <v>46255.324490740699</v>
      </c>
      <c r="H134" t="s">
        <v>390</v>
      </c>
    </row>
    <row r="135" spans="1:8" ht="15" customHeight="1" x14ac:dyDescent="0.3">
      <c r="A135" t="s">
        <v>391</v>
      </c>
      <c r="B135" t="s">
        <v>392</v>
      </c>
      <c r="C135" t="s">
        <v>393</v>
      </c>
      <c r="D135" t="s">
        <v>374</v>
      </c>
      <c r="E135" t="s">
        <v>394</v>
      </c>
      <c r="F135" t="s">
        <v>395</v>
      </c>
      <c r="G135" s="14">
        <v>46255.323587963001</v>
      </c>
      <c r="H135" t="s">
        <v>390</v>
      </c>
    </row>
    <row r="136" spans="1:8" ht="15" customHeight="1" x14ac:dyDescent="0.3">
      <c r="A136" t="s">
        <v>402</v>
      </c>
      <c r="B136" t="s">
        <v>403</v>
      </c>
      <c r="C136" t="s">
        <v>404</v>
      </c>
      <c r="D136" t="s">
        <v>374</v>
      </c>
      <c r="E136" t="s">
        <v>375</v>
      </c>
      <c r="F136" t="s">
        <v>376</v>
      </c>
      <c r="G136" s="14">
        <v>46254.9319791667</v>
      </c>
      <c r="H136" t="s">
        <v>377</v>
      </c>
    </row>
    <row r="137" spans="1:8" ht="15" customHeight="1" x14ac:dyDescent="0.3">
      <c r="A137" t="s">
        <v>402</v>
      </c>
      <c r="B137" t="s">
        <v>403</v>
      </c>
      <c r="C137" t="s">
        <v>404</v>
      </c>
      <c r="D137" t="s">
        <v>374</v>
      </c>
      <c r="E137" t="s">
        <v>375</v>
      </c>
      <c r="F137" t="s">
        <v>376</v>
      </c>
      <c r="G137" s="14">
        <v>46254.931724536997</v>
      </c>
      <c r="H137" t="s">
        <v>377</v>
      </c>
    </row>
    <row r="138" spans="1:8" ht="15" customHeight="1" x14ac:dyDescent="0.3">
      <c r="A138" t="s">
        <v>405</v>
      </c>
      <c r="B138" t="s">
        <v>406</v>
      </c>
      <c r="C138" t="s">
        <v>407</v>
      </c>
      <c r="D138" t="s">
        <v>374</v>
      </c>
      <c r="E138" t="s">
        <v>375</v>
      </c>
      <c r="F138" t="s">
        <v>376</v>
      </c>
      <c r="G138" s="14">
        <v>46254.843981481499</v>
      </c>
      <c r="H138" t="s">
        <v>377</v>
      </c>
    </row>
    <row r="139" spans="1:8" ht="15" customHeight="1" x14ac:dyDescent="0.3">
      <c r="A139" t="s">
        <v>408</v>
      </c>
      <c r="B139" t="s">
        <v>409</v>
      </c>
      <c r="C139" t="s">
        <v>410</v>
      </c>
      <c r="D139" t="s">
        <v>374</v>
      </c>
      <c r="E139" t="s">
        <v>23</v>
      </c>
      <c r="F139" t="s">
        <v>376</v>
      </c>
      <c r="G139" s="14">
        <v>46254.841516203698</v>
      </c>
      <c r="H139" t="s">
        <v>377</v>
      </c>
    </row>
    <row r="140" spans="1:8" ht="15" customHeight="1" x14ac:dyDescent="0.3">
      <c r="A140" t="s">
        <v>378</v>
      </c>
      <c r="B140" t="s">
        <v>379</v>
      </c>
      <c r="C140" t="s">
        <v>380</v>
      </c>
      <c r="D140" t="s">
        <v>374</v>
      </c>
      <c r="E140" t="s">
        <v>375</v>
      </c>
      <c r="F140" t="s">
        <v>376</v>
      </c>
      <c r="G140" s="14">
        <v>46254.8311805556</v>
      </c>
      <c r="H140" t="s">
        <v>377</v>
      </c>
    </row>
    <row r="141" spans="1:8" ht="15" customHeight="1" x14ac:dyDescent="0.3">
      <c r="A141" t="s">
        <v>387</v>
      </c>
      <c r="B141" t="s">
        <v>388</v>
      </c>
      <c r="C141" t="s">
        <v>389</v>
      </c>
      <c r="D141" t="s">
        <v>374</v>
      </c>
      <c r="E141" t="s">
        <v>375</v>
      </c>
      <c r="F141" t="s">
        <v>376</v>
      </c>
      <c r="G141" s="14">
        <v>46254.826898148203</v>
      </c>
      <c r="H141" t="s">
        <v>390</v>
      </c>
    </row>
    <row r="142" spans="1:8" ht="15" customHeight="1" x14ac:dyDescent="0.3">
      <c r="A142" t="s">
        <v>391</v>
      </c>
      <c r="B142" t="s">
        <v>392</v>
      </c>
      <c r="C142" t="s">
        <v>393</v>
      </c>
      <c r="D142" t="s">
        <v>374</v>
      </c>
      <c r="E142" t="s">
        <v>394</v>
      </c>
      <c r="F142" t="s">
        <v>395</v>
      </c>
      <c r="G142" s="14">
        <v>46254.7519791667</v>
      </c>
      <c r="H142" t="s">
        <v>377</v>
      </c>
    </row>
    <row r="143" spans="1:8" ht="15" customHeight="1" x14ac:dyDescent="0.3">
      <c r="A143" t="s">
        <v>408</v>
      </c>
      <c r="B143" t="s">
        <v>409</v>
      </c>
      <c r="C143" t="s">
        <v>410</v>
      </c>
      <c r="D143" t="s">
        <v>374</v>
      </c>
      <c r="E143" t="s">
        <v>23</v>
      </c>
      <c r="F143" t="s">
        <v>376</v>
      </c>
      <c r="G143" s="14">
        <v>46254.572094907402</v>
      </c>
      <c r="H143" t="s">
        <v>390</v>
      </c>
    </row>
    <row r="144" spans="1:8" ht="15" customHeight="1" x14ac:dyDescent="0.3">
      <c r="A144" t="s">
        <v>378</v>
      </c>
      <c r="B144" t="s">
        <v>379</v>
      </c>
      <c r="C144" t="s">
        <v>380</v>
      </c>
      <c r="D144" t="s">
        <v>374</v>
      </c>
      <c r="E144" t="s">
        <v>375</v>
      </c>
      <c r="F144" t="s">
        <v>376</v>
      </c>
      <c r="G144" s="14">
        <v>46254.464780092603</v>
      </c>
      <c r="H144" t="s">
        <v>390</v>
      </c>
    </row>
    <row r="145" spans="1:8" ht="15" customHeight="1" x14ac:dyDescent="0.3">
      <c r="A145" t="s">
        <v>391</v>
      </c>
      <c r="B145" t="s">
        <v>392</v>
      </c>
      <c r="C145" t="s">
        <v>393</v>
      </c>
      <c r="D145" t="s">
        <v>374</v>
      </c>
      <c r="E145" t="s">
        <v>394</v>
      </c>
      <c r="F145" t="s">
        <v>395</v>
      </c>
      <c r="G145" s="14">
        <v>46254.324224536998</v>
      </c>
      <c r="H145" t="s">
        <v>390</v>
      </c>
    </row>
    <row r="146" spans="1:8" ht="15" customHeight="1" x14ac:dyDescent="0.3">
      <c r="A146" t="s">
        <v>391</v>
      </c>
      <c r="B146" t="s">
        <v>392</v>
      </c>
      <c r="C146" t="s">
        <v>393</v>
      </c>
      <c r="D146" t="s">
        <v>374</v>
      </c>
      <c r="E146" t="s">
        <v>394</v>
      </c>
      <c r="F146" t="s">
        <v>395</v>
      </c>
      <c r="G146" s="14">
        <v>46253.751006944498</v>
      </c>
      <c r="H146" t="s">
        <v>377</v>
      </c>
    </row>
    <row r="147" spans="1:8" ht="15" customHeight="1" x14ac:dyDescent="0.3">
      <c r="A147" t="s">
        <v>391</v>
      </c>
      <c r="B147" t="s">
        <v>392</v>
      </c>
      <c r="C147" t="s">
        <v>393</v>
      </c>
      <c r="D147" t="s">
        <v>374</v>
      </c>
      <c r="E147" t="s">
        <v>394</v>
      </c>
      <c r="F147" t="s">
        <v>395</v>
      </c>
      <c r="G147" s="14">
        <v>46253.326099537</v>
      </c>
      <c r="H147" t="s">
        <v>390</v>
      </c>
    </row>
    <row r="148" spans="1:8" ht="15" customHeight="1" x14ac:dyDescent="0.3">
      <c r="A148" t="s">
        <v>411</v>
      </c>
      <c r="B148" t="s">
        <v>412</v>
      </c>
      <c r="C148" t="s">
        <v>413</v>
      </c>
      <c r="D148" t="s">
        <v>374</v>
      </c>
      <c r="E148" t="s">
        <v>375</v>
      </c>
      <c r="F148" t="s">
        <v>376</v>
      </c>
      <c r="G148" s="14">
        <v>46252.8979398148</v>
      </c>
      <c r="H148" t="s">
        <v>377</v>
      </c>
    </row>
    <row r="149" spans="1:8" ht="15" customHeight="1" x14ac:dyDescent="0.3">
      <c r="A149" t="s">
        <v>414</v>
      </c>
      <c r="B149" t="s">
        <v>415</v>
      </c>
      <c r="C149" t="s">
        <v>416</v>
      </c>
      <c r="D149" t="s">
        <v>374</v>
      </c>
      <c r="E149" t="s">
        <v>375</v>
      </c>
      <c r="F149" t="s">
        <v>376</v>
      </c>
      <c r="G149" s="14">
        <v>46252.835555555597</v>
      </c>
      <c r="H149" t="s">
        <v>377</v>
      </c>
    </row>
    <row r="150" spans="1:8" ht="15" customHeight="1" x14ac:dyDescent="0.3">
      <c r="A150" t="s">
        <v>391</v>
      </c>
      <c r="B150" t="s">
        <v>392</v>
      </c>
      <c r="C150" t="s">
        <v>393</v>
      </c>
      <c r="D150" t="s">
        <v>374</v>
      </c>
      <c r="E150" t="s">
        <v>394</v>
      </c>
      <c r="F150" t="s">
        <v>395</v>
      </c>
      <c r="G150" s="14">
        <v>46252.7513078704</v>
      </c>
      <c r="H150" t="s">
        <v>377</v>
      </c>
    </row>
    <row r="151" spans="1:8" ht="15" customHeight="1" x14ac:dyDescent="0.3">
      <c r="A151" t="s">
        <v>391</v>
      </c>
      <c r="B151" t="s">
        <v>392</v>
      </c>
      <c r="C151" t="s">
        <v>393</v>
      </c>
      <c r="D151" t="s">
        <v>374</v>
      </c>
      <c r="E151" t="s">
        <v>394</v>
      </c>
      <c r="F151" t="s">
        <v>395</v>
      </c>
      <c r="G151" s="14">
        <v>46252.323611111096</v>
      </c>
      <c r="H151" t="s">
        <v>390</v>
      </c>
    </row>
    <row r="152" spans="1:8" ht="15" customHeight="1" x14ac:dyDescent="0.3">
      <c r="A152" t="s">
        <v>417</v>
      </c>
      <c r="B152" t="s">
        <v>418</v>
      </c>
      <c r="C152" t="s">
        <v>419</v>
      </c>
      <c r="D152" t="s">
        <v>374</v>
      </c>
      <c r="E152" t="s">
        <v>375</v>
      </c>
      <c r="F152" t="s">
        <v>376</v>
      </c>
      <c r="G152" s="14">
        <v>46252.3217939815</v>
      </c>
      <c r="H152" t="s">
        <v>377</v>
      </c>
    </row>
    <row r="153" spans="1:8" ht="15" customHeight="1" x14ac:dyDescent="0.3">
      <c r="A153" t="s">
        <v>420</v>
      </c>
      <c r="B153" t="s">
        <v>421</v>
      </c>
      <c r="C153" t="s">
        <v>422</v>
      </c>
      <c r="D153" t="s">
        <v>374</v>
      </c>
      <c r="E153" t="s">
        <v>375</v>
      </c>
      <c r="F153" t="s">
        <v>376</v>
      </c>
      <c r="G153" s="14">
        <v>46252.320509259298</v>
      </c>
      <c r="H153" t="s">
        <v>390</v>
      </c>
    </row>
    <row r="154" spans="1:8" ht="15" customHeight="1" x14ac:dyDescent="0.3">
      <c r="A154" t="s">
        <v>423</v>
      </c>
      <c r="B154" t="s">
        <v>424</v>
      </c>
      <c r="C154" t="s">
        <v>425</v>
      </c>
      <c r="D154" t="s">
        <v>374</v>
      </c>
      <c r="E154" t="s">
        <v>375</v>
      </c>
      <c r="F154" t="s">
        <v>376</v>
      </c>
      <c r="G154" s="14">
        <v>46252.320277777799</v>
      </c>
      <c r="H154" t="s">
        <v>390</v>
      </c>
    </row>
    <row r="155" spans="1:8" ht="15" customHeight="1" x14ac:dyDescent="0.3">
      <c r="A155" t="s">
        <v>420</v>
      </c>
      <c r="B155" t="s">
        <v>421</v>
      </c>
      <c r="C155" t="s">
        <v>422</v>
      </c>
      <c r="D155" t="s">
        <v>374</v>
      </c>
      <c r="E155" t="s">
        <v>375</v>
      </c>
      <c r="F155" t="s">
        <v>376</v>
      </c>
      <c r="G155" s="14">
        <v>46252.320150462998</v>
      </c>
      <c r="H155" t="s">
        <v>390</v>
      </c>
    </row>
    <row r="156" spans="1:8" ht="15" customHeight="1" x14ac:dyDescent="0.3">
      <c r="A156" t="s">
        <v>426</v>
      </c>
      <c r="B156" t="s">
        <v>427</v>
      </c>
      <c r="C156" t="s">
        <v>428</v>
      </c>
      <c r="D156" t="s">
        <v>374</v>
      </c>
      <c r="E156" t="s">
        <v>375</v>
      </c>
      <c r="F156" t="s">
        <v>376</v>
      </c>
      <c r="G156" s="14">
        <v>46252.319976851897</v>
      </c>
      <c r="H156" t="s">
        <v>390</v>
      </c>
    </row>
    <row r="157" spans="1:8" ht="15" customHeight="1" x14ac:dyDescent="0.3">
      <c r="A157" t="s">
        <v>420</v>
      </c>
      <c r="B157" t="s">
        <v>421</v>
      </c>
      <c r="C157" t="s">
        <v>422</v>
      </c>
      <c r="D157" t="s">
        <v>374</v>
      </c>
      <c r="E157" t="s">
        <v>375</v>
      </c>
      <c r="F157" t="s">
        <v>376</v>
      </c>
      <c r="G157" s="14">
        <v>46252.319965277798</v>
      </c>
      <c r="H157" t="s">
        <v>390</v>
      </c>
    </row>
    <row r="158" spans="1:8" ht="15" customHeight="1" x14ac:dyDescent="0.3">
      <c r="A158" t="s">
        <v>414</v>
      </c>
      <c r="B158" t="s">
        <v>415</v>
      </c>
      <c r="C158" t="s">
        <v>416</v>
      </c>
      <c r="D158" t="s">
        <v>374</v>
      </c>
      <c r="E158" t="s">
        <v>375</v>
      </c>
      <c r="F158" t="s">
        <v>376</v>
      </c>
      <c r="G158" s="14">
        <v>46252.319722222201</v>
      </c>
      <c r="H158" t="s">
        <v>390</v>
      </c>
    </row>
    <row r="159" spans="1:8" ht="15" customHeight="1" x14ac:dyDescent="0.3">
      <c r="A159" t="s">
        <v>411</v>
      </c>
      <c r="B159" t="s">
        <v>412</v>
      </c>
      <c r="C159" t="s">
        <v>413</v>
      </c>
      <c r="D159" t="s">
        <v>374</v>
      </c>
      <c r="E159" t="s">
        <v>375</v>
      </c>
      <c r="F159" t="s">
        <v>376</v>
      </c>
      <c r="G159" s="14">
        <v>46251.888877314799</v>
      </c>
      <c r="H159" t="s">
        <v>377</v>
      </c>
    </row>
    <row r="160" spans="1:8" ht="15" customHeight="1" x14ac:dyDescent="0.3">
      <c r="A160" t="s">
        <v>429</v>
      </c>
      <c r="B160" t="s">
        <v>430</v>
      </c>
      <c r="C160" t="s">
        <v>431</v>
      </c>
      <c r="D160" t="s">
        <v>374</v>
      </c>
      <c r="E160" t="s">
        <v>375</v>
      </c>
      <c r="F160" t="s">
        <v>376</v>
      </c>
      <c r="G160" s="14">
        <v>46251.881469907399</v>
      </c>
      <c r="H160" t="s">
        <v>377</v>
      </c>
    </row>
    <row r="161" spans="1:8" ht="15" customHeight="1" x14ac:dyDescent="0.3">
      <c r="A161" t="s">
        <v>432</v>
      </c>
      <c r="B161" t="s">
        <v>433</v>
      </c>
      <c r="C161" t="s">
        <v>434</v>
      </c>
      <c r="D161" t="s">
        <v>374</v>
      </c>
      <c r="E161" t="s">
        <v>375</v>
      </c>
      <c r="F161" t="s">
        <v>376</v>
      </c>
      <c r="G161" s="14">
        <v>46251.880960648101</v>
      </c>
      <c r="H161" t="s">
        <v>377</v>
      </c>
    </row>
    <row r="162" spans="1:8" ht="15" customHeight="1" x14ac:dyDescent="0.3">
      <c r="A162" t="s">
        <v>417</v>
      </c>
      <c r="B162" t="s">
        <v>418</v>
      </c>
      <c r="C162" t="s">
        <v>419</v>
      </c>
      <c r="D162" t="s">
        <v>374</v>
      </c>
      <c r="E162" t="s">
        <v>375</v>
      </c>
      <c r="F162" t="s">
        <v>376</v>
      </c>
      <c r="G162" s="14">
        <v>46251.872673611098</v>
      </c>
      <c r="H162" t="s">
        <v>390</v>
      </c>
    </row>
    <row r="163" spans="1:8" ht="15" customHeight="1" x14ac:dyDescent="0.3">
      <c r="A163" t="s">
        <v>423</v>
      </c>
      <c r="B163" t="s">
        <v>424</v>
      </c>
      <c r="C163" t="s">
        <v>425</v>
      </c>
      <c r="D163" t="s">
        <v>374</v>
      </c>
      <c r="E163" t="s">
        <v>375</v>
      </c>
      <c r="F163" t="s">
        <v>376</v>
      </c>
      <c r="G163" s="14">
        <v>46251.835335648197</v>
      </c>
      <c r="H163" t="s">
        <v>377</v>
      </c>
    </row>
    <row r="164" spans="1:8" ht="15" customHeight="1" x14ac:dyDescent="0.3">
      <c r="A164" t="s">
        <v>420</v>
      </c>
      <c r="B164" t="s">
        <v>421</v>
      </c>
      <c r="C164" t="s">
        <v>422</v>
      </c>
      <c r="D164" t="s">
        <v>374</v>
      </c>
      <c r="E164" t="s">
        <v>375</v>
      </c>
      <c r="F164" t="s">
        <v>376</v>
      </c>
      <c r="G164" s="14">
        <v>46251.8352199074</v>
      </c>
      <c r="H164" t="s">
        <v>377</v>
      </c>
    </row>
    <row r="165" spans="1:8" ht="15" customHeight="1" x14ac:dyDescent="0.3">
      <c r="A165" t="s">
        <v>414</v>
      </c>
      <c r="B165" t="s">
        <v>415</v>
      </c>
      <c r="C165" t="s">
        <v>416</v>
      </c>
      <c r="D165" t="s">
        <v>374</v>
      </c>
      <c r="E165" t="s">
        <v>375</v>
      </c>
      <c r="F165" t="s">
        <v>376</v>
      </c>
      <c r="G165" s="14">
        <v>46251.834942129601</v>
      </c>
      <c r="H165" t="s">
        <v>377</v>
      </c>
    </row>
    <row r="166" spans="1:8" ht="15" customHeight="1" x14ac:dyDescent="0.3">
      <c r="A166" t="s">
        <v>417</v>
      </c>
      <c r="B166" t="s">
        <v>418</v>
      </c>
      <c r="C166" t="s">
        <v>419</v>
      </c>
      <c r="D166" t="s">
        <v>374</v>
      </c>
      <c r="E166" t="s">
        <v>375</v>
      </c>
      <c r="F166" t="s">
        <v>376</v>
      </c>
      <c r="G166" s="14">
        <v>46251.372662037</v>
      </c>
      <c r="H166" t="s">
        <v>377</v>
      </c>
    </row>
    <row r="167" spans="1:8" ht="15" customHeight="1" x14ac:dyDescent="0.3">
      <c r="A167" t="s">
        <v>414</v>
      </c>
      <c r="B167" t="s">
        <v>415</v>
      </c>
      <c r="C167" t="s">
        <v>416</v>
      </c>
      <c r="D167" t="s">
        <v>374</v>
      </c>
      <c r="E167" t="s">
        <v>375</v>
      </c>
      <c r="F167" t="s">
        <v>376</v>
      </c>
      <c r="G167" s="14">
        <v>46251.366585648197</v>
      </c>
      <c r="H167" t="s">
        <v>390</v>
      </c>
    </row>
    <row r="168" spans="1:8" ht="15" customHeight="1" x14ac:dyDescent="0.3">
      <c r="A168" t="s">
        <v>423</v>
      </c>
      <c r="B168" t="s">
        <v>424</v>
      </c>
      <c r="C168" t="s">
        <v>425</v>
      </c>
      <c r="D168" t="s">
        <v>374</v>
      </c>
      <c r="E168" t="s">
        <v>375</v>
      </c>
      <c r="F168" t="s">
        <v>376</v>
      </c>
      <c r="G168" s="14">
        <v>46251.357928240701</v>
      </c>
      <c r="H168" t="s">
        <v>390</v>
      </c>
    </row>
    <row r="169" spans="1:8" ht="15" customHeight="1" x14ac:dyDescent="0.3">
      <c r="A169" t="s">
        <v>432</v>
      </c>
      <c r="B169" t="s">
        <v>433</v>
      </c>
      <c r="C169" t="s">
        <v>434</v>
      </c>
      <c r="D169" t="s">
        <v>374</v>
      </c>
      <c r="E169" t="s">
        <v>375</v>
      </c>
      <c r="F169" t="s">
        <v>376</v>
      </c>
      <c r="G169" s="14">
        <v>46251.346875000003</v>
      </c>
      <c r="H169" t="s">
        <v>390</v>
      </c>
    </row>
    <row r="170" spans="1:8" ht="15" customHeight="1" x14ac:dyDescent="0.3">
      <c r="A170" t="s">
        <v>426</v>
      </c>
      <c r="B170" t="s">
        <v>427</v>
      </c>
      <c r="C170" t="s">
        <v>428</v>
      </c>
      <c r="D170" t="s">
        <v>374</v>
      </c>
      <c r="E170" t="s">
        <v>375</v>
      </c>
      <c r="F170" t="s">
        <v>376</v>
      </c>
      <c r="G170" s="14">
        <v>46251.343877314801</v>
      </c>
      <c r="H170" t="s">
        <v>390</v>
      </c>
    </row>
    <row r="171" spans="1:8" ht="15" customHeight="1" x14ac:dyDescent="0.3">
      <c r="A171" t="s">
        <v>411</v>
      </c>
      <c r="B171" t="s">
        <v>412</v>
      </c>
      <c r="C171" t="s">
        <v>413</v>
      </c>
      <c r="D171" t="s">
        <v>374</v>
      </c>
      <c r="E171" t="s">
        <v>375</v>
      </c>
      <c r="F171" t="s">
        <v>376</v>
      </c>
      <c r="G171" s="14">
        <v>46251.335763888899</v>
      </c>
      <c r="H171" t="s">
        <v>390</v>
      </c>
    </row>
    <row r="172" spans="1:8" ht="15" customHeight="1" x14ac:dyDescent="0.3">
      <c r="A172" t="s">
        <v>420</v>
      </c>
      <c r="B172" t="s">
        <v>421</v>
      </c>
      <c r="C172" t="s">
        <v>422</v>
      </c>
      <c r="D172" t="s">
        <v>374</v>
      </c>
      <c r="E172" t="s">
        <v>375</v>
      </c>
      <c r="F172" t="s">
        <v>376</v>
      </c>
      <c r="G172" s="14">
        <v>46251.334849537001</v>
      </c>
      <c r="H172" t="s">
        <v>390</v>
      </c>
    </row>
    <row r="173" spans="1:8" ht="15" customHeight="1" x14ac:dyDescent="0.3">
      <c r="A173" t="s">
        <v>420</v>
      </c>
      <c r="B173" t="s">
        <v>421</v>
      </c>
      <c r="C173" t="s">
        <v>422</v>
      </c>
      <c r="D173" t="s">
        <v>374</v>
      </c>
      <c r="E173" t="s">
        <v>375</v>
      </c>
      <c r="F173" t="s">
        <v>376</v>
      </c>
      <c r="G173" s="14">
        <v>46251.3347222222</v>
      </c>
      <c r="H173" t="s">
        <v>390</v>
      </c>
    </row>
    <row r="174" spans="1:8" ht="15" customHeight="1" x14ac:dyDescent="0.3">
      <c r="A174" t="s">
        <v>391</v>
      </c>
      <c r="B174" t="s">
        <v>392</v>
      </c>
      <c r="C174" t="s">
        <v>393</v>
      </c>
      <c r="D174" t="s">
        <v>374</v>
      </c>
      <c r="E174" t="s">
        <v>394</v>
      </c>
      <c r="F174" t="s">
        <v>395</v>
      </c>
      <c r="G174" s="14">
        <v>46251.325138888897</v>
      </c>
      <c r="H174" t="s">
        <v>390</v>
      </c>
    </row>
    <row r="175" spans="1:8" ht="15" customHeight="1" x14ac:dyDescent="0.3">
      <c r="A175" t="s">
        <v>429</v>
      </c>
      <c r="B175" t="s">
        <v>430</v>
      </c>
      <c r="C175" t="s">
        <v>431</v>
      </c>
      <c r="D175" t="s">
        <v>374</v>
      </c>
      <c r="E175" t="s">
        <v>375</v>
      </c>
      <c r="F175" t="s">
        <v>376</v>
      </c>
      <c r="G175" s="14">
        <v>46251.3180208333</v>
      </c>
      <c r="H175" t="s">
        <v>390</v>
      </c>
    </row>
    <row r="176" spans="1:8" ht="15" customHeight="1" x14ac:dyDescent="0.3">
      <c r="A176" t="s">
        <v>423</v>
      </c>
      <c r="B176" t="s">
        <v>424</v>
      </c>
      <c r="C176" t="s">
        <v>425</v>
      </c>
      <c r="D176" t="s">
        <v>374</v>
      </c>
      <c r="E176" t="s">
        <v>375</v>
      </c>
      <c r="F176" t="s">
        <v>376</v>
      </c>
      <c r="G176" s="14">
        <v>46250.846701388902</v>
      </c>
      <c r="H176" t="s">
        <v>377</v>
      </c>
    </row>
    <row r="177" spans="1:8" ht="15" customHeight="1" x14ac:dyDescent="0.3">
      <c r="A177" t="s">
        <v>417</v>
      </c>
      <c r="B177" t="s">
        <v>418</v>
      </c>
      <c r="C177" t="s">
        <v>419</v>
      </c>
      <c r="D177" t="s">
        <v>374</v>
      </c>
      <c r="E177" t="s">
        <v>375</v>
      </c>
      <c r="F177" t="s">
        <v>376</v>
      </c>
      <c r="G177" s="14">
        <v>46250.8444212963</v>
      </c>
      <c r="H177" t="s">
        <v>390</v>
      </c>
    </row>
    <row r="178" spans="1:8" ht="15" customHeight="1" x14ac:dyDescent="0.3">
      <c r="A178" t="s">
        <v>432</v>
      </c>
      <c r="B178" t="s">
        <v>433</v>
      </c>
      <c r="C178" t="s">
        <v>434</v>
      </c>
      <c r="D178" t="s">
        <v>374</v>
      </c>
      <c r="E178" t="s">
        <v>375</v>
      </c>
      <c r="F178" t="s">
        <v>376</v>
      </c>
      <c r="G178" s="14">
        <v>46250.839490740698</v>
      </c>
      <c r="H178" t="s">
        <v>377</v>
      </c>
    </row>
    <row r="179" spans="1:8" ht="15" customHeight="1" x14ac:dyDescent="0.3">
      <c r="A179" t="s">
        <v>429</v>
      </c>
      <c r="B179" t="s">
        <v>430</v>
      </c>
      <c r="C179" t="s">
        <v>431</v>
      </c>
      <c r="D179" t="s">
        <v>374</v>
      </c>
      <c r="E179" t="s">
        <v>375</v>
      </c>
      <c r="F179" t="s">
        <v>376</v>
      </c>
      <c r="G179" s="14">
        <v>46250.8386342593</v>
      </c>
      <c r="H179" t="s">
        <v>377</v>
      </c>
    </row>
    <row r="180" spans="1:8" ht="15" customHeight="1" x14ac:dyDescent="0.3">
      <c r="A180" t="s">
        <v>432</v>
      </c>
      <c r="B180" t="s">
        <v>433</v>
      </c>
      <c r="C180" t="s">
        <v>434</v>
      </c>
      <c r="D180" t="s">
        <v>374</v>
      </c>
      <c r="E180" t="s">
        <v>375</v>
      </c>
      <c r="F180" t="s">
        <v>376</v>
      </c>
      <c r="G180" s="14">
        <v>46250.838530092602</v>
      </c>
      <c r="H180" t="s">
        <v>377</v>
      </c>
    </row>
    <row r="181" spans="1:8" ht="15" customHeight="1" x14ac:dyDescent="0.3">
      <c r="A181" t="s">
        <v>414</v>
      </c>
      <c r="B181" t="s">
        <v>415</v>
      </c>
      <c r="C181" t="s">
        <v>416</v>
      </c>
      <c r="D181" t="s">
        <v>374</v>
      </c>
      <c r="E181" t="s">
        <v>375</v>
      </c>
      <c r="F181" t="s">
        <v>376</v>
      </c>
      <c r="G181" s="14">
        <v>46250.837094907401</v>
      </c>
      <c r="H181" t="s">
        <v>377</v>
      </c>
    </row>
    <row r="182" spans="1:8" ht="15" customHeight="1" x14ac:dyDescent="0.3">
      <c r="A182" t="s">
        <v>411</v>
      </c>
      <c r="B182" t="s">
        <v>412</v>
      </c>
      <c r="C182" t="s">
        <v>413</v>
      </c>
      <c r="D182" t="s">
        <v>374</v>
      </c>
      <c r="E182" t="s">
        <v>375</v>
      </c>
      <c r="F182" t="s">
        <v>376</v>
      </c>
      <c r="G182" s="14">
        <v>46250.8346296296</v>
      </c>
      <c r="H182" t="s">
        <v>377</v>
      </c>
    </row>
    <row r="183" spans="1:8" ht="15" customHeight="1" x14ac:dyDescent="0.3">
      <c r="A183" t="s">
        <v>420</v>
      </c>
      <c r="B183" t="s">
        <v>421</v>
      </c>
      <c r="C183" t="s">
        <v>422</v>
      </c>
      <c r="D183" t="s">
        <v>374</v>
      </c>
      <c r="E183" t="s">
        <v>375</v>
      </c>
      <c r="F183" t="s">
        <v>376</v>
      </c>
      <c r="G183" s="14">
        <v>46250.832696759302</v>
      </c>
      <c r="H183" t="s">
        <v>377</v>
      </c>
    </row>
    <row r="184" spans="1:8" ht="15" customHeight="1" x14ac:dyDescent="0.3">
      <c r="A184" t="s">
        <v>420</v>
      </c>
      <c r="B184" t="s">
        <v>421</v>
      </c>
      <c r="C184" t="s">
        <v>422</v>
      </c>
      <c r="D184" t="s">
        <v>374</v>
      </c>
      <c r="E184" t="s">
        <v>375</v>
      </c>
      <c r="F184" t="s">
        <v>376</v>
      </c>
      <c r="G184" s="14">
        <v>46250.832557870403</v>
      </c>
      <c r="H184" t="s">
        <v>377</v>
      </c>
    </row>
    <row r="185" spans="1:8" ht="15" customHeight="1" x14ac:dyDescent="0.3">
      <c r="A185" t="s">
        <v>426</v>
      </c>
      <c r="B185" t="s">
        <v>427</v>
      </c>
      <c r="C185" t="s">
        <v>428</v>
      </c>
      <c r="D185" t="s">
        <v>374</v>
      </c>
      <c r="E185" t="s">
        <v>375</v>
      </c>
      <c r="F185" t="s">
        <v>376</v>
      </c>
      <c r="G185" s="14">
        <v>46250.808958333299</v>
      </c>
      <c r="H185" t="s">
        <v>390</v>
      </c>
    </row>
    <row r="186" spans="1:8" ht="15" customHeight="1" x14ac:dyDescent="0.3">
      <c r="A186" t="s">
        <v>429</v>
      </c>
      <c r="B186" t="s">
        <v>430</v>
      </c>
      <c r="C186" t="s">
        <v>431</v>
      </c>
      <c r="D186" t="s">
        <v>374</v>
      </c>
      <c r="E186" t="s">
        <v>375</v>
      </c>
      <c r="F186" t="s">
        <v>376</v>
      </c>
      <c r="G186" s="14">
        <v>46250.346111111103</v>
      </c>
      <c r="H186" t="s">
        <v>390</v>
      </c>
    </row>
    <row r="187" spans="1:8" ht="15" customHeight="1" x14ac:dyDescent="0.3">
      <c r="A187" t="s">
        <v>426</v>
      </c>
      <c r="B187" t="s">
        <v>427</v>
      </c>
      <c r="C187" t="s">
        <v>428</v>
      </c>
      <c r="D187" t="s">
        <v>374</v>
      </c>
      <c r="E187" t="s">
        <v>375</v>
      </c>
      <c r="F187" t="s">
        <v>376</v>
      </c>
      <c r="G187" s="14">
        <v>46250.345648148199</v>
      </c>
      <c r="H187" t="s">
        <v>377</v>
      </c>
    </row>
    <row r="188" spans="1:8" ht="15" customHeight="1" x14ac:dyDescent="0.3">
      <c r="A188" t="s">
        <v>423</v>
      </c>
      <c r="B188" t="s">
        <v>424</v>
      </c>
      <c r="C188" t="s">
        <v>425</v>
      </c>
      <c r="D188" t="s">
        <v>374</v>
      </c>
      <c r="E188" t="s">
        <v>375</v>
      </c>
      <c r="F188" t="s">
        <v>376</v>
      </c>
      <c r="G188" s="14">
        <v>46250.345451388901</v>
      </c>
      <c r="H188" t="s">
        <v>377</v>
      </c>
    </row>
    <row r="189" spans="1:8" ht="15" customHeight="1" x14ac:dyDescent="0.3">
      <c r="A189" t="s">
        <v>417</v>
      </c>
      <c r="B189" t="s">
        <v>418</v>
      </c>
      <c r="C189" t="s">
        <v>419</v>
      </c>
      <c r="D189" t="s">
        <v>374</v>
      </c>
      <c r="E189" t="s">
        <v>375</v>
      </c>
      <c r="F189" t="s">
        <v>376</v>
      </c>
      <c r="G189" s="14">
        <v>46250.343854166698</v>
      </c>
      <c r="H189" t="s">
        <v>377</v>
      </c>
    </row>
    <row r="190" spans="1:8" ht="15" customHeight="1" x14ac:dyDescent="0.3">
      <c r="A190" t="s">
        <v>432</v>
      </c>
      <c r="B190" t="s">
        <v>433</v>
      </c>
      <c r="C190" t="s">
        <v>434</v>
      </c>
      <c r="D190" t="s">
        <v>374</v>
      </c>
      <c r="E190" t="s">
        <v>375</v>
      </c>
      <c r="F190" t="s">
        <v>376</v>
      </c>
      <c r="G190" s="14">
        <v>46250.3303703704</v>
      </c>
      <c r="H190" t="s">
        <v>390</v>
      </c>
    </row>
    <row r="191" spans="1:8" ht="15" customHeight="1" x14ac:dyDescent="0.3">
      <c r="A191" t="s">
        <v>411</v>
      </c>
      <c r="B191" t="s">
        <v>412</v>
      </c>
      <c r="C191" t="s">
        <v>413</v>
      </c>
      <c r="D191" t="s">
        <v>374</v>
      </c>
      <c r="E191" t="s">
        <v>375</v>
      </c>
      <c r="F191" t="s">
        <v>376</v>
      </c>
      <c r="G191" s="14">
        <v>46250.326701388898</v>
      </c>
      <c r="H191" t="s">
        <v>390</v>
      </c>
    </row>
    <row r="192" spans="1:8" ht="15" customHeight="1" x14ac:dyDescent="0.3">
      <c r="A192" t="s">
        <v>411</v>
      </c>
      <c r="B192" t="s">
        <v>412</v>
      </c>
      <c r="C192" t="s">
        <v>413</v>
      </c>
      <c r="D192" t="s">
        <v>374</v>
      </c>
      <c r="E192" t="s">
        <v>375</v>
      </c>
      <c r="F192" t="s">
        <v>376</v>
      </c>
      <c r="G192" s="14">
        <v>46250.326400462996</v>
      </c>
      <c r="H192" t="s">
        <v>390</v>
      </c>
    </row>
    <row r="193" spans="1:8" ht="15" customHeight="1" x14ac:dyDescent="0.3">
      <c r="A193" t="s">
        <v>420</v>
      </c>
      <c r="B193" t="s">
        <v>421</v>
      </c>
      <c r="C193" t="s">
        <v>422</v>
      </c>
      <c r="D193" t="s">
        <v>374</v>
      </c>
      <c r="E193" t="s">
        <v>375</v>
      </c>
      <c r="F193" t="s">
        <v>376</v>
      </c>
      <c r="G193" s="14">
        <v>46250.321331018502</v>
      </c>
      <c r="H193" t="s">
        <v>390</v>
      </c>
    </row>
    <row r="194" spans="1:8" ht="15" customHeight="1" x14ac:dyDescent="0.3">
      <c r="A194" t="s">
        <v>414</v>
      </c>
      <c r="B194" t="s">
        <v>415</v>
      </c>
      <c r="C194" t="s">
        <v>416</v>
      </c>
      <c r="D194" t="s">
        <v>374</v>
      </c>
      <c r="E194" t="s">
        <v>375</v>
      </c>
      <c r="F194" t="s">
        <v>376</v>
      </c>
      <c r="G194" s="14">
        <v>46250.318437499998</v>
      </c>
      <c r="H194" t="s">
        <v>390</v>
      </c>
    </row>
    <row r="195" spans="1:8" ht="15" customHeight="1" x14ac:dyDescent="0.3">
      <c r="A195" t="s">
        <v>420</v>
      </c>
      <c r="B195" t="s">
        <v>421</v>
      </c>
      <c r="C195" t="s">
        <v>422</v>
      </c>
      <c r="D195" t="s">
        <v>374</v>
      </c>
      <c r="E195" t="s">
        <v>375</v>
      </c>
      <c r="F195" t="s">
        <v>376</v>
      </c>
      <c r="G195" s="14">
        <v>46250.065497685202</v>
      </c>
      <c r="H195" t="s">
        <v>377</v>
      </c>
    </row>
    <row r="196" spans="1:8" ht="15" customHeight="1" x14ac:dyDescent="0.3">
      <c r="A196" t="s">
        <v>432</v>
      </c>
      <c r="B196" t="s">
        <v>433</v>
      </c>
      <c r="C196" t="s">
        <v>434</v>
      </c>
      <c r="D196" t="s">
        <v>374</v>
      </c>
      <c r="E196" t="s">
        <v>375</v>
      </c>
      <c r="F196" t="s">
        <v>376</v>
      </c>
      <c r="G196" s="14">
        <v>46250.016365740703</v>
      </c>
      <c r="H196" t="s">
        <v>377</v>
      </c>
    </row>
    <row r="197" spans="1:8" ht="15" customHeight="1" x14ac:dyDescent="0.3">
      <c r="A197" t="s">
        <v>411</v>
      </c>
      <c r="B197" t="s">
        <v>412</v>
      </c>
      <c r="C197" t="s">
        <v>413</v>
      </c>
      <c r="D197" t="s">
        <v>374</v>
      </c>
      <c r="E197" t="s">
        <v>375</v>
      </c>
      <c r="F197" t="s">
        <v>376</v>
      </c>
      <c r="G197" s="14">
        <v>46249.851180555597</v>
      </c>
      <c r="H197" t="s">
        <v>377</v>
      </c>
    </row>
    <row r="198" spans="1:8" ht="15" customHeight="1" x14ac:dyDescent="0.3">
      <c r="A198" t="s">
        <v>429</v>
      </c>
      <c r="B198" t="s">
        <v>430</v>
      </c>
      <c r="C198" t="s">
        <v>431</v>
      </c>
      <c r="D198" t="s">
        <v>374</v>
      </c>
      <c r="E198" t="s">
        <v>375</v>
      </c>
      <c r="F198" t="s">
        <v>376</v>
      </c>
      <c r="G198" s="14">
        <v>46249.841377314799</v>
      </c>
      <c r="H198" t="s">
        <v>377</v>
      </c>
    </row>
    <row r="199" spans="1:8" ht="15" customHeight="1" x14ac:dyDescent="0.3">
      <c r="A199" t="s">
        <v>414</v>
      </c>
      <c r="B199" t="s">
        <v>415</v>
      </c>
      <c r="C199" t="s">
        <v>416</v>
      </c>
      <c r="D199" t="s">
        <v>374</v>
      </c>
      <c r="E199" t="s">
        <v>375</v>
      </c>
      <c r="F199" t="s">
        <v>376</v>
      </c>
      <c r="G199" s="14">
        <v>46249.834374999999</v>
      </c>
      <c r="H199" t="s">
        <v>377</v>
      </c>
    </row>
    <row r="200" spans="1:8" ht="15" customHeight="1" x14ac:dyDescent="0.3">
      <c r="A200" t="s">
        <v>414</v>
      </c>
      <c r="B200" t="s">
        <v>415</v>
      </c>
      <c r="C200" t="s">
        <v>416</v>
      </c>
      <c r="D200" t="s">
        <v>374</v>
      </c>
      <c r="E200" t="s">
        <v>375</v>
      </c>
      <c r="F200" t="s">
        <v>376</v>
      </c>
      <c r="G200" s="14">
        <v>46249.834201388898</v>
      </c>
      <c r="H200" t="s">
        <v>377</v>
      </c>
    </row>
    <row r="201" spans="1:8" ht="15" customHeight="1" x14ac:dyDescent="0.3">
      <c r="A201" t="s">
        <v>426</v>
      </c>
      <c r="B201" t="s">
        <v>427</v>
      </c>
      <c r="C201" t="s">
        <v>428</v>
      </c>
      <c r="D201" t="s">
        <v>374</v>
      </c>
      <c r="E201" t="s">
        <v>375</v>
      </c>
      <c r="F201" t="s">
        <v>376</v>
      </c>
      <c r="G201" s="14">
        <v>46249.831342592603</v>
      </c>
      <c r="H201" t="s">
        <v>390</v>
      </c>
    </row>
    <row r="202" spans="1:8" ht="15" customHeight="1" x14ac:dyDescent="0.3">
      <c r="A202" t="s">
        <v>417</v>
      </c>
      <c r="B202" t="s">
        <v>418</v>
      </c>
      <c r="C202" t="s">
        <v>419</v>
      </c>
      <c r="D202" t="s">
        <v>374</v>
      </c>
      <c r="E202" t="s">
        <v>375</v>
      </c>
      <c r="F202" t="s">
        <v>376</v>
      </c>
      <c r="G202" s="14">
        <v>46249.823506944398</v>
      </c>
      <c r="H202" t="s">
        <v>377</v>
      </c>
    </row>
    <row r="203" spans="1:8" ht="15" customHeight="1" x14ac:dyDescent="0.3">
      <c r="A203" t="s">
        <v>411</v>
      </c>
      <c r="B203" t="s">
        <v>412</v>
      </c>
      <c r="C203" t="s">
        <v>413</v>
      </c>
      <c r="D203" t="s">
        <v>374</v>
      </c>
      <c r="E203" t="s">
        <v>375</v>
      </c>
      <c r="F203" t="s">
        <v>376</v>
      </c>
      <c r="G203" s="14">
        <v>46249.394525463002</v>
      </c>
      <c r="H203" t="s">
        <v>390</v>
      </c>
    </row>
    <row r="204" spans="1:8" ht="15" customHeight="1" x14ac:dyDescent="0.3">
      <c r="A204" t="s">
        <v>432</v>
      </c>
      <c r="B204" t="s">
        <v>433</v>
      </c>
      <c r="C204" t="s">
        <v>434</v>
      </c>
      <c r="D204" t="s">
        <v>374</v>
      </c>
      <c r="E204" t="s">
        <v>375</v>
      </c>
      <c r="F204" t="s">
        <v>376</v>
      </c>
      <c r="G204" s="14">
        <v>46249.355798611097</v>
      </c>
      <c r="H204" t="s">
        <v>390</v>
      </c>
    </row>
    <row r="205" spans="1:8" ht="15" customHeight="1" x14ac:dyDescent="0.3">
      <c r="A205" t="s">
        <v>420</v>
      </c>
      <c r="B205" t="s">
        <v>421</v>
      </c>
      <c r="C205" t="s">
        <v>422</v>
      </c>
      <c r="D205" t="s">
        <v>374</v>
      </c>
      <c r="E205" t="s">
        <v>375</v>
      </c>
      <c r="F205" t="s">
        <v>376</v>
      </c>
      <c r="G205" s="14">
        <v>46249.335613425901</v>
      </c>
      <c r="H205" t="s">
        <v>390</v>
      </c>
    </row>
    <row r="206" spans="1:8" ht="15" customHeight="1" x14ac:dyDescent="0.3">
      <c r="A206" t="s">
        <v>423</v>
      </c>
      <c r="B206" t="s">
        <v>424</v>
      </c>
      <c r="C206" t="s">
        <v>425</v>
      </c>
      <c r="D206" t="s">
        <v>374</v>
      </c>
      <c r="E206" t="s">
        <v>375</v>
      </c>
      <c r="F206" t="s">
        <v>376</v>
      </c>
      <c r="G206" s="14">
        <v>46249.332210648201</v>
      </c>
      <c r="H206" t="s">
        <v>390</v>
      </c>
    </row>
    <row r="207" spans="1:8" ht="15" customHeight="1" x14ac:dyDescent="0.3">
      <c r="A207" t="s">
        <v>426</v>
      </c>
      <c r="B207" t="s">
        <v>427</v>
      </c>
      <c r="C207" t="s">
        <v>428</v>
      </c>
      <c r="D207" t="s">
        <v>374</v>
      </c>
      <c r="E207" t="s">
        <v>375</v>
      </c>
      <c r="F207" t="s">
        <v>376</v>
      </c>
      <c r="G207" s="14">
        <v>46249.330381944397</v>
      </c>
      <c r="H207" t="s">
        <v>377</v>
      </c>
    </row>
    <row r="208" spans="1:8" ht="15" customHeight="1" x14ac:dyDescent="0.3">
      <c r="A208" t="s">
        <v>414</v>
      </c>
      <c r="B208" t="s">
        <v>415</v>
      </c>
      <c r="C208" t="s">
        <v>416</v>
      </c>
      <c r="D208" t="s">
        <v>374</v>
      </c>
      <c r="E208" t="s">
        <v>375</v>
      </c>
      <c r="F208" t="s">
        <v>376</v>
      </c>
      <c r="G208" s="14">
        <v>46249.328912037003</v>
      </c>
      <c r="H208" t="s">
        <v>390</v>
      </c>
    </row>
    <row r="209" spans="1:8" ht="15" customHeight="1" x14ac:dyDescent="0.3">
      <c r="A209" t="s">
        <v>429</v>
      </c>
      <c r="B209" t="s">
        <v>430</v>
      </c>
      <c r="C209" t="s">
        <v>431</v>
      </c>
      <c r="D209" t="s">
        <v>374</v>
      </c>
      <c r="E209" t="s">
        <v>375</v>
      </c>
      <c r="F209" t="s">
        <v>376</v>
      </c>
      <c r="G209" s="14">
        <v>46249.324780092596</v>
      </c>
      <c r="H209" t="s">
        <v>390</v>
      </c>
    </row>
    <row r="210" spans="1:8" ht="15" customHeight="1" x14ac:dyDescent="0.3">
      <c r="A210" t="s">
        <v>417</v>
      </c>
      <c r="B210" t="s">
        <v>418</v>
      </c>
      <c r="C210" t="s">
        <v>419</v>
      </c>
      <c r="D210" t="s">
        <v>374</v>
      </c>
      <c r="E210" t="s">
        <v>375</v>
      </c>
      <c r="F210" t="s">
        <v>376</v>
      </c>
      <c r="G210" s="14">
        <v>46249.321006944498</v>
      </c>
      <c r="H210" t="s">
        <v>390</v>
      </c>
    </row>
    <row r="211" spans="1:8" ht="15" customHeight="1" x14ac:dyDescent="0.3">
      <c r="A211" t="s">
        <v>423</v>
      </c>
      <c r="B211" t="s">
        <v>424</v>
      </c>
      <c r="C211" t="s">
        <v>425</v>
      </c>
      <c r="D211" t="s">
        <v>374</v>
      </c>
      <c r="E211" t="s">
        <v>375</v>
      </c>
      <c r="F211" t="s">
        <v>376</v>
      </c>
      <c r="G211" s="14">
        <v>46248.912870370397</v>
      </c>
      <c r="H211" t="s">
        <v>377</v>
      </c>
    </row>
    <row r="212" spans="1:8" ht="15" customHeight="1" x14ac:dyDescent="0.3">
      <c r="A212" t="s">
        <v>429</v>
      </c>
      <c r="B212" t="s">
        <v>430</v>
      </c>
      <c r="C212" t="s">
        <v>431</v>
      </c>
      <c r="D212" t="s">
        <v>374</v>
      </c>
      <c r="E212" t="s">
        <v>375</v>
      </c>
      <c r="F212" t="s">
        <v>376</v>
      </c>
      <c r="G212" s="14">
        <v>46248.852905092601</v>
      </c>
      <c r="H212" t="s">
        <v>377</v>
      </c>
    </row>
    <row r="213" spans="1:8" ht="15" customHeight="1" x14ac:dyDescent="0.3">
      <c r="A213" t="s">
        <v>417</v>
      </c>
      <c r="B213" t="s">
        <v>418</v>
      </c>
      <c r="C213" t="s">
        <v>419</v>
      </c>
      <c r="D213" t="s">
        <v>374</v>
      </c>
      <c r="E213" t="s">
        <v>375</v>
      </c>
      <c r="F213" t="s">
        <v>376</v>
      </c>
      <c r="G213" s="14">
        <v>46248.8511111111</v>
      </c>
      <c r="H213" t="s">
        <v>377</v>
      </c>
    </row>
    <row r="214" spans="1:8" ht="15" customHeight="1" x14ac:dyDescent="0.3">
      <c r="A214" t="s">
        <v>411</v>
      </c>
      <c r="B214" t="s">
        <v>412</v>
      </c>
      <c r="C214" t="s">
        <v>413</v>
      </c>
      <c r="D214" t="s">
        <v>374</v>
      </c>
      <c r="E214" t="s">
        <v>375</v>
      </c>
      <c r="F214" t="s">
        <v>376</v>
      </c>
      <c r="G214" s="14">
        <v>46248.831331018497</v>
      </c>
      <c r="H214" t="s">
        <v>390</v>
      </c>
    </row>
    <row r="215" spans="1:8" ht="15" customHeight="1" x14ac:dyDescent="0.3">
      <c r="A215" t="s">
        <v>414</v>
      </c>
      <c r="B215" t="s">
        <v>415</v>
      </c>
      <c r="C215" t="s">
        <v>416</v>
      </c>
      <c r="D215" t="s">
        <v>374</v>
      </c>
      <c r="E215" t="s">
        <v>375</v>
      </c>
      <c r="F215" t="s">
        <v>376</v>
      </c>
      <c r="G215" s="14">
        <v>46248.818576388898</v>
      </c>
      <c r="H215" t="s">
        <v>377</v>
      </c>
    </row>
    <row r="216" spans="1:8" ht="15" customHeight="1" x14ac:dyDescent="0.3">
      <c r="A216" t="s">
        <v>391</v>
      </c>
      <c r="B216" t="s">
        <v>392</v>
      </c>
      <c r="C216" t="s">
        <v>393</v>
      </c>
      <c r="D216" t="s">
        <v>374</v>
      </c>
      <c r="E216" t="s">
        <v>394</v>
      </c>
      <c r="F216" t="s">
        <v>395</v>
      </c>
      <c r="G216" s="14">
        <v>46248.5835069444</v>
      </c>
      <c r="H216" t="s">
        <v>377</v>
      </c>
    </row>
    <row r="217" spans="1:8" ht="15" customHeight="1" x14ac:dyDescent="0.3">
      <c r="A217" t="s">
        <v>426</v>
      </c>
      <c r="B217" t="s">
        <v>427</v>
      </c>
      <c r="C217" t="s">
        <v>428</v>
      </c>
      <c r="D217" t="s">
        <v>374</v>
      </c>
      <c r="E217" t="s">
        <v>375</v>
      </c>
      <c r="F217" t="s">
        <v>376</v>
      </c>
      <c r="G217" s="14">
        <v>46248.384780092601</v>
      </c>
      <c r="H217" t="s">
        <v>377</v>
      </c>
    </row>
    <row r="218" spans="1:8" ht="15" customHeight="1" x14ac:dyDescent="0.3">
      <c r="A218" t="s">
        <v>420</v>
      </c>
      <c r="B218" t="s">
        <v>421</v>
      </c>
      <c r="C218" t="s">
        <v>422</v>
      </c>
      <c r="D218" t="s">
        <v>374</v>
      </c>
      <c r="E218" t="s">
        <v>375</v>
      </c>
      <c r="F218" t="s">
        <v>376</v>
      </c>
      <c r="G218" s="14">
        <v>46248.349791666697</v>
      </c>
      <c r="H218" t="s">
        <v>390</v>
      </c>
    </row>
    <row r="219" spans="1:8" ht="15" customHeight="1" x14ac:dyDescent="0.3">
      <c r="A219" t="s">
        <v>432</v>
      </c>
      <c r="B219" t="s">
        <v>433</v>
      </c>
      <c r="C219" t="s">
        <v>434</v>
      </c>
      <c r="D219" t="s">
        <v>374</v>
      </c>
      <c r="E219" t="s">
        <v>375</v>
      </c>
      <c r="F219" t="s">
        <v>376</v>
      </c>
      <c r="G219" s="14">
        <v>46248.347685185203</v>
      </c>
      <c r="H219" t="s">
        <v>377</v>
      </c>
    </row>
    <row r="220" spans="1:8" ht="15" customHeight="1" x14ac:dyDescent="0.3">
      <c r="A220" t="s">
        <v>414</v>
      </c>
      <c r="B220" t="s">
        <v>415</v>
      </c>
      <c r="C220" t="s">
        <v>416</v>
      </c>
      <c r="D220" t="s">
        <v>374</v>
      </c>
      <c r="E220" t="s">
        <v>375</v>
      </c>
      <c r="F220" t="s">
        <v>376</v>
      </c>
      <c r="G220" s="14">
        <v>46248.340567129599</v>
      </c>
      <c r="H220" t="s">
        <v>390</v>
      </c>
    </row>
    <row r="221" spans="1:8" ht="15" customHeight="1" x14ac:dyDescent="0.3">
      <c r="A221" t="s">
        <v>411</v>
      </c>
      <c r="B221" t="s">
        <v>412</v>
      </c>
      <c r="C221" t="s">
        <v>413</v>
      </c>
      <c r="D221" t="s">
        <v>374</v>
      </c>
      <c r="E221" t="s">
        <v>375</v>
      </c>
      <c r="F221" t="s">
        <v>376</v>
      </c>
      <c r="G221" s="14">
        <v>46248.334467592598</v>
      </c>
      <c r="H221" t="s">
        <v>377</v>
      </c>
    </row>
    <row r="222" spans="1:8" ht="15" customHeight="1" x14ac:dyDescent="0.3">
      <c r="A222" t="s">
        <v>417</v>
      </c>
      <c r="B222" t="s">
        <v>418</v>
      </c>
      <c r="C222" t="s">
        <v>419</v>
      </c>
      <c r="D222" t="s">
        <v>374</v>
      </c>
      <c r="E222" t="s">
        <v>375</v>
      </c>
      <c r="F222" t="s">
        <v>376</v>
      </c>
      <c r="G222" s="14">
        <v>46248.329861111102</v>
      </c>
      <c r="H222" t="s">
        <v>390</v>
      </c>
    </row>
    <row r="223" spans="1:8" ht="15" customHeight="1" x14ac:dyDescent="0.3">
      <c r="A223" t="s">
        <v>391</v>
      </c>
      <c r="B223" t="s">
        <v>392</v>
      </c>
      <c r="C223" t="s">
        <v>393</v>
      </c>
      <c r="D223" t="s">
        <v>374</v>
      </c>
      <c r="E223" t="s">
        <v>394</v>
      </c>
      <c r="F223" t="s">
        <v>395</v>
      </c>
      <c r="G223" s="14">
        <v>46248.326539351903</v>
      </c>
      <c r="H223" t="s">
        <v>390</v>
      </c>
    </row>
    <row r="224" spans="1:8" ht="15" customHeight="1" x14ac:dyDescent="0.3">
      <c r="A224" t="s">
        <v>423</v>
      </c>
      <c r="B224" t="s">
        <v>424</v>
      </c>
      <c r="C224" t="s">
        <v>425</v>
      </c>
      <c r="D224" t="s">
        <v>374</v>
      </c>
      <c r="E224" t="s">
        <v>375</v>
      </c>
      <c r="F224" t="s">
        <v>376</v>
      </c>
      <c r="G224" s="14">
        <v>46248.326319444401</v>
      </c>
      <c r="H224" t="s">
        <v>390</v>
      </c>
    </row>
    <row r="225" spans="1:8" ht="15" customHeight="1" x14ac:dyDescent="0.3">
      <c r="A225" t="s">
        <v>429</v>
      </c>
      <c r="B225" t="s">
        <v>430</v>
      </c>
      <c r="C225" t="s">
        <v>431</v>
      </c>
      <c r="D225" t="s">
        <v>374</v>
      </c>
      <c r="E225" t="s">
        <v>375</v>
      </c>
      <c r="F225" t="s">
        <v>376</v>
      </c>
      <c r="G225" s="14">
        <v>46248.311134259297</v>
      </c>
      <c r="H225" t="s">
        <v>390</v>
      </c>
    </row>
    <row r="226" spans="1:8" ht="15" customHeight="1" x14ac:dyDescent="0.3">
      <c r="A226" t="s">
        <v>426</v>
      </c>
      <c r="B226" t="s">
        <v>427</v>
      </c>
      <c r="C226" t="s">
        <v>428</v>
      </c>
      <c r="D226" t="s">
        <v>374</v>
      </c>
      <c r="E226" t="s">
        <v>375</v>
      </c>
      <c r="F226" t="s">
        <v>376</v>
      </c>
      <c r="G226" s="14">
        <v>46247.881932870398</v>
      </c>
      <c r="H226" t="s">
        <v>390</v>
      </c>
    </row>
    <row r="227" spans="1:8" ht="15" customHeight="1" x14ac:dyDescent="0.3">
      <c r="A227" t="s">
        <v>423</v>
      </c>
      <c r="B227" t="s">
        <v>424</v>
      </c>
      <c r="C227" t="s">
        <v>425</v>
      </c>
      <c r="D227" t="s">
        <v>374</v>
      </c>
      <c r="E227" t="s">
        <v>375</v>
      </c>
      <c r="F227" t="s">
        <v>376</v>
      </c>
      <c r="G227" s="14">
        <v>46247.881203703699</v>
      </c>
      <c r="H227" t="s">
        <v>377</v>
      </c>
    </row>
    <row r="228" spans="1:8" ht="15" customHeight="1" x14ac:dyDescent="0.3">
      <c r="A228" t="s">
        <v>429</v>
      </c>
      <c r="B228" t="s">
        <v>430</v>
      </c>
      <c r="C228" t="s">
        <v>431</v>
      </c>
      <c r="D228" t="s">
        <v>374</v>
      </c>
      <c r="E228" t="s">
        <v>375</v>
      </c>
      <c r="F228" t="s">
        <v>376</v>
      </c>
      <c r="G228" s="14">
        <v>46247.843993055598</v>
      </c>
      <c r="H228" t="s">
        <v>377</v>
      </c>
    </row>
    <row r="229" spans="1:8" ht="15" customHeight="1" x14ac:dyDescent="0.3">
      <c r="A229" t="s">
        <v>432</v>
      </c>
      <c r="B229" t="s">
        <v>433</v>
      </c>
      <c r="C229" t="s">
        <v>434</v>
      </c>
      <c r="D229" t="s">
        <v>374</v>
      </c>
      <c r="E229" t="s">
        <v>375</v>
      </c>
      <c r="F229" t="s">
        <v>376</v>
      </c>
      <c r="G229" s="14">
        <v>46247.840636574103</v>
      </c>
      <c r="H229" t="s">
        <v>377</v>
      </c>
    </row>
    <row r="230" spans="1:8" ht="15" customHeight="1" x14ac:dyDescent="0.3">
      <c r="A230" t="s">
        <v>411</v>
      </c>
      <c r="B230" t="s">
        <v>412</v>
      </c>
      <c r="C230" t="s">
        <v>413</v>
      </c>
      <c r="D230" t="s">
        <v>374</v>
      </c>
      <c r="E230" t="s">
        <v>375</v>
      </c>
      <c r="F230" t="s">
        <v>376</v>
      </c>
      <c r="G230" s="14">
        <v>46247.840347222198</v>
      </c>
      <c r="H230" t="s">
        <v>390</v>
      </c>
    </row>
    <row r="231" spans="1:8" ht="15" customHeight="1" x14ac:dyDescent="0.3">
      <c r="A231" t="s">
        <v>420</v>
      </c>
      <c r="B231" t="s">
        <v>421</v>
      </c>
      <c r="C231" t="s">
        <v>422</v>
      </c>
      <c r="D231" t="s">
        <v>374</v>
      </c>
      <c r="E231" t="s">
        <v>375</v>
      </c>
      <c r="F231" t="s">
        <v>376</v>
      </c>
      <c r="G231" s="14">
        <v>46247.838668981502</v>
      </c>
      <c r="H231" t="s">
        <v>377</v>
      </c>
    </row>
    <row r="232" spans="1:8" ht="15" customHeight="1" x14ac:dyDescent="0.3">
      <c r="A232" t="s">
        <v>411</v>
      </c>
      <c r="B232" t="s">
        <v>412</v>
      </c>
      <c r="C232" t="s">
        <v>413</v>
      </c>
      <c r="D232" t="s">
        <v>374</v>
      </c>
      <c r="E232" t="s">
        <v>375</v>
      </c>
      <c r="F232" t="s">
        <v>376</v>
      </c>
      <c r="G232" s="14">
        <v>46247.838541666701</v>
      </c>
      <c r="H232" t="s">
        <v>390</v>
      </c>
    </row>
    <row r="233" spans="1:8" ht="15" customHeight="1" x14ac:dyDescent="0.3">
      <c r="A233" t="s">
        <v>417</v>
      </c>
      <c r="B233" t="s">
        <v>418</v>
      </c>
      <c r="C233" t="s">
        <v>419</v>
      </c>
      <c r="D233" t="s">
        <v>374</v>
      </c>
      <c r="E233" t="s">
        <v>375</v>
      </c>
      <c r="F233" t="s">
        <v>376</v>
      </c>
      <c r="G233" s="14">
        <v>46247.829861111102</v>
      </c>
      <c r="H233" t="s">
        <v>377</v>
      </c>
    </row>
    <row r="234" spans="1:8" ht="15" customHeight="1" x14ac:dyDescent="0.3">
      <c r="A234" t="s">
        <v>414</v>
      </c>
      <c r="B234" t="s">
        <v>415</v>
      </c>
      <c r="C234" t="s">
        <v>416</v>
      </c>
      <c r="D234" t="s">
        <v>374</v>
      </c>
      <c r="E234" t="s">
        <v>375</v>
      </c>
      <c r="F234" t="s">
        <v>376</v>
      </c>
      <c r="G234" s="14">
        <v>46247.816666666702</v>
      </c>
      <c r="H234" t="s">
        <v>377</v>
      </c>
    </row>
    <row r="235" spans="1:8" ht="15" customHeight="1" x14ac:dyDescent="0.3">
      <c r="A235" t="s">
        <v>391</v>
      </c>
      <c r="B235" t="s">
        <v>392</v>
      </c>
      <c r="C235" t="s">
        <v>393</v>
      </c>
      <c r="D235" t="s">
        <v>374</v>
      </c>
      <c r="E235" t="s">
        <v>394</v>
      </c>
      <c r="F235" t="s">
        <v>395</v>
      </c>
      <c r="G235" s="14">
        <v>46247.754155092603</v>
      </c>
      <c r="H235" t="s">
        <v>377</v>
      </c>
    </row>
    <row r="236" spans="1:8" ht="15" customHeight="1" x14ac:dyDescent="0.3">
      <c r="A236" t="s">
        <v>429</v>
      </c>
      <c r="B236" t="s">
        <v>430</v>
      </c>
      <c r="C236" t="s">
        <v>431</v>
      </c>
      <c r="D236" t="s">
        <v>374</v>
      </c>
      <c r="E236" t="s">
        <v>375</v>
      </c>
      <c r="F236" t="s">
        <v>376</v>
      </c>
      <c r="G236" s="14">
        <v>46247.433460648201</v>
      </c>
      <c r="H236" t="s">
        <v>390</v>
      </c>
    </row>
    <row r="237" spans="1:8" ht="15" customHeight="1" x14ac:dyDescent="0.3">
      <c r="A237" t="s">
        <v>417</v>
      </c>
      <c r="B237" t="s">
        <v>418</v>
      </c>
      <c r="C237" t="s">
        <v>419</v>
      </c>
      <c r="D237" t="s">
        <v>374</v>
      </c>
      <c r="E237" t="s">
        <v>375</v>
      </c>
      <c r="F237" t="s">
        <v>376</v>
      </c>
      <c r="G237" s="14">
        <v>46247.408078703702</v>
      </c>
      <c r="H237" t="s">
        <v>390</v>
      </c>
    </row>
    <row r="238" spans="1:8" ht="15" customHeight="1" x14ac:dyDescent="0.3">
      <c r="A238" t="s">
        <v>423</v>
      </c>
      <c r="B238" t="s">
        <v>424</v>
      </c>
      <c r="C238" t="s">
        <v>425</v>
      </c>
      <c r="D238" t="s">
        <v>374</v>
      </c>
      <c r="E238" t="s">
        <v>375</v>
      </c>
      <c r="F238" t="s">
        <v>376</v>
      </c>
      <c r="G238" s="14">
        <v>46247.379328703697</v>
      </c>
      <c r="H238" t="s">
        <v>390</v>
      </c>
    </row>
    <row r="239" spans="1:8" ht="15" customHeight="1" x14ac:dyDescent="0.3">
      <c r="A239" t="s">
        <v>432</v>
      </c>
      <c r="B239" t="s">
        <v>433</v>
      </c>
      <c r="C239" t="s">
        <v>434</v>
      </c>
      <c r="D239" t="s">
        <v>374</v>
      </c>
      <c r="E239" t="s">
        <v>375</v>
      </c>
      <c r="F239" t="s">
        <v>376</v>
      </c>
      <c r="G239" s="14">
        <v>46247.371041666702</v>
      </c>
      <c r="H239" t="s">
        <v>377</v>
      </c>
    </row>
    <row r="240" spans="1:8" ht="15" customHeight="1" x14ac:dyDescent="0.3">
      <c r="A240" t="s">
        <v>411</v>
      </c>
      <c r="B240" t="s">
        <v>412</v>
      </c>
      <c r="C240" t="s">
        <v>413</v>
      </c>
      <c r="D240" t="s">
        <v>374</v>
      </c>
      <c r="E240" t="s">
        <v>375</v>
      </c>
      <c r="F240" t="s">
        <v>376</v>
      </c>
      <c r="G240" s="14">
        <v>46247.333715277797</v>
      </c>
      <c r="H240" t="s">
        <v>377</v>
      </c>
    </row>
    <row r="241" spans="1:8" ht="15" customHeight="1" x14ac:dyDescent="0.3">
      <c r="A241" t="s">
        <v>411</v>
      </c>
      <c r="B241" t="s">
        <v>412</v>
      </c>
      <c r="C241" t="s">
        <v>413</v>
      </c>
      <c r="D241" t="s">
        <v>374</v>
      </c>
      <c r="E241" t="s">
        <v>375</v>
      </c>
      <c r="F241" t="s">
        <v>376</v>
      </c>
      <c r="G241" s="14">
        <v>46247.333425925899</v>
      </c>
      <c r="H241" t="s">
        <v>390</v>
      </c>
    </row>
    <row r="242" spans="1:8" ht="15" customHeight="1" x14ac:dyDescent="0.3">
      <c r="A242" t="s">
        <v>426</v>
      </c>
      <c r="B242" t="s">
        <v>427</v>
      </c>
      <c r="C242" t="s">
        <v>428</v>
      </c>
      <c r="D242" t="s">
        <v>374</v>
      </c>
      <c r="E242" t="s">
        <v>375</v>
      </c>
      <c r="F242" t="s">
        <v>376</v>
      </c>
      <c r="G242" s="14">
        <v>46247.331956018497</v>
      </c>
      <c r="H242" t="s">
        <v>377</v>
      </c>
    </row>
    <row r="243" spans="1:8" ht="15" customHeight="1" x14ac:dyDescent="0.3">
      <c r="A243" t="s">
        <v>391</v>
      </c>
      <c r="B243" t="s">
        <v>392</v>
      </c>
      <c r="C243" t="s">
        <v>393</v>
      </c>
      <c r="D243" t="s">
        <v>374</v>
      </c>
      <c r="E243" t="s">
        <v>394</v>
      </c>
      <c r="F243" t="s">
        <v>395</v>
      </c>
      <c r="G243" s="14">
        <v>46247.3264583333</v>
      </c>
      <c r="H243" t="s">
        <v>390</v>
      </c>
    </row>
    <row r="244" spans="1:8" ht="15" customHeight="1" x14ac:dyDescent="0.3">
      <c r="A244" t="s">
        <v>414</v>
      </c>
      <c r="B244" t="s">
        <v>415</v>
      </c>
      <c r="C244" t="s">
        <v>416</v>
      </c>
      <c r="D244" t="s">
        <v>374</v>
      </c>
      <c r="E244" t="s">
        <v>375</v>
      </c>
      <c r="F244" t="s">
        <v>376</v>
      </c>
      <c r="G244" s="14">
        <v>46247.319155092599</v>
      </c>
      <c r="H244" t="s">
        <v>390</v>
      </c>
    </row>
    <row r="245" spans="1:8" ht="15" customHeight="1" x14ac:dyDescent="0.3">
      <c r="A245" t="s">
        <v>426</v>
      </c>
      <c r="B245" t="s">
        <v>427</v>
      </c>
      <c r="C245" t="s">
        <v>428</v>
      </c>
      <c r="D245" t="s">
        <v>374</v>
      </c>
      <c r="E245" t="s">
        <v>375</v>
      </c>
      <c r="F245" t="s">
        <v>376</v>
      </c>
      <c r="G245" s="14">
        <v>46246.880474537</v>
      </c>
      <c r="H245" t="s">
        <v>390</v>
      </c>
    </row>
    <row r="246" spans="1:8" ht="15" customHeight="1" x14ac:dyDescent="0.3">
      <c r="A246" t="s">
        <v>429</v>
      </c>
      <c r="B246" t="s">
        <v>430</v>
      </c>
      <c r="C246" t="s">
        <v>431</v>
      </c>
      <c r="D246" t="s">
        <v>374</v>
      </c>
      <c r="E246" t="s">
        <v>375</v>
      </c>
      <c r="F246" t="s">
        <v>376</v>
      </c>
      <c r="G246" s="14">
        <v>46246.879710648202</v>
      </c>
      <c r="H246" t="s">
        <v>377</v>
      </c>
    </row>
    <row r="247" spans="1:8" ht="15" customHeight="1" x14ac:dyDescent="0.3">
      <c r="A247" t="s">
        <v>423</v>
      </c>
      <c r="B247" t="s">
        <v>424</v>
      </c>
      <c r="C247" t="s">
        <v>425</v>
      </c>
      <c r="D247" t="s">
        <v>374</v>
      </c>
      <c r="E247" t="s">
        <v>375</v>
      </c>
      <c r="F247" t="s">
        <v>376</v>
      </c>
      <c r="G247" s="14">
        <v>46246.879409722198</v>
      </c>
      <c r="H247" t="s">
        <v>377</v>
      </c>
    </row>
    <row r="248" spans="1:8" ht="15" customHeight="1" x14ac:dyDescent="0.3">
      <c r="A248" t="s">
        <v>414</v>
      </c>
      <c r="B248" t="s">
        <v>415</v>
      </c>
      <c r="C248" t="s">
        <v>416</v>
      </c>
      <c r="D248" t="s">
        <v>374</v>
      </c>
      <c r="E248" t="s">
        <v>375</v>
      </c>
      <c r="F248" t="s">
        <v>376</v>
      </c>
      <c r="G248" s="14">
        <v>46246.838969907403</v>
      </c>
      <c r="H248" t="s">
        <v>377</v>
      </c>
    </row>
    <row r="249" spans="1:8" ht="15" customHeight="1" x14ac:dyDescent="0.3">
      <c r="A249" t="s">
        <v>432</v>
      </c>
      <c r="B249" t="s">
        <v>433</v>
      </c>
      <c r="C249" t="s">
        <v>434</v>
      </c>
      <c r="D249" t="s">
        <v>374</v>
      </c>
      <c r="E249" t="s">
        <v>375</v>
      </c>
      <c r="F249" t="s">
        <v>376</v>
      </c>
      <c r="G249" s="14">
        <v>46246.836469907401</v>
      </c>
      <c r="H249" t="s">
        <v>390</v>
      </c>
    </row>
    <row r="250" spans="1:8" ht="15" customHeight="1" x14ac:dyDescent="0.3">
      <c r="A250" t="s">
        <v>420</v>
      </c>
      <c r="B250" t="s">
        <v>421</v>
      </c>
      <c r="C250" t="s">
        <v>422</v>
      </c>
      <c r="D250" t="s">
        <v>374</v>
      </c>
      <c r="E250" t="s">
        <v>375</v>
      </c>
      <c r="F250" t="s">
        <v>376</v>
      </c>
      <c r="G250" s="14">
        <v>46246.835775462998</v>
      </c>
      <c r="H250" t="s">
        <v>377</v>
      </c>
    </row>
    <row r="251" spans="1:8" ht="15" customHeight="1" x14ac:dyDescent="0.3">
      <c r="A251" t="s">
        <v>417</v>
      </c>
      <c r="B251" t="s">
        <v>418</v>
      </c>
      <c r="C251" t="s">
        <v>419</v>
      </c>
      <c r="D251" t="s">
        <v>374</v>
      </c>
      <c r="E251" t="s">
        <v>375</v>
      </c>
      <c r="F251" t="s">
        <v>376</v>
      </c>
      <c r="G251" s="14">
        <v>46246.835509259297</v>
      </c>
      <c r="H251" t="s">
        <v>377</v>
      </c>
    </row>
    <row r="252" spans="1:8" ht="15" customHeight="1" x14ac:dyDescent="0.3">
      <c r="A252" t="s">
        <v>411</v>
      </c>
      <c r="B252" t="s">
        <v>412</v>
      </c>
      <c r="C252" t="s">
        <v>413</v>
      </c>
      <c r="D252" t="s">
        <v>374</v>
      </c>
      <c r="E252" t="s">
        <v>375</v>
      </c>
      <c r="F252" t="s">
        <v>376</v>
      </c>
      <c r="G252" s="14">
        <v>46246.8199074074</v>
      </c>
      <c r="H252" t="s">
        <v>390</v>
      </c>
    </row>
    <row r="253" spans="1:8" ht="15" customHeight="1" x14ac:dyDescent="0.3">
      <c r="A253" t="s">
        <v>420</v>
      </c>
      <c r="B253" t="s">
        <v>421</v>
      </c>
      <c r="C253" t="s">
        <v>422</v>
      </c>
      <c r="D253" t="s">
        <v>374</v>
      </c>
      <c r="E253" t="s">
        <v>375</v>
      </c>
      <c r="F253" t="s">
        <v>376</v>
      </c>
      <c r="G253" s="14">
        <v>46246.804629629602</v>
      </c>
      <c r="H253" t="s">
        <v>390</v>
      </c>
    </row>
    <row r="254" spans="1:8" ht="15" customHeight="1" x14ac:dyDescent="0.3">
      <c r="A254" t="s">
        <v>391</v>
      </c>
      <c r="B254" t="s">
        <v>392</v>
      </c>
      <c r="C254" t="s">
        <v>393</v>
      </c>
      <c r="D254" t="s">
        <v>374</v>
      </c>
      <c r="E254" t="s">
        <v>394</v>
      </c>
      <c r="F254" t="s">
        <v>395</v>
      </c>
      <c r="G254" s="14">
        <v>46246.752268518503</v>
      </c>
      <c r="H254" t="s">
        <v>377</v>
      </c>
    </row>
    <row r="255" spans="1:8" ht="15" customHeight="1" x14ac:dyDescent="0.3">
      <c r="A255" t="s">
        <v>411</v>
      </c>
      <c r="B255" t="s">
        <v>412</v>
      </c>
      <c r="C255" t="s">
        <v>413</v>
      </c>
      <c r="D255" t="s">
        <v>374</v>
      </c>
      <c r="E255" t="s">
        <v>375</v>
      </c>
      <c r="F255" t="s">
        <v>376</v>
      </c>
      <c r="G255" s="14">
        <v>46246.4063888889</v>
      </c>
      <c r="H255" t="s">
        <v>377</v>
      </c>
    </row>
    <row r="256" spans="1:8" ht="15" customHeight="1" x14ac:dyDescent="0.3">
      <c r="A256" t="s">
        <v>414</v>
      </c>
      <c r="B256" t="s">
        <v>415</v>
      </c>
      <c r="C256" t="s">
        <v>416</v>
      </c>
      <c r="D256" t="s">
        <v>374</v>
      </c>
      <c r="E256" t="s">
        <v>375</v>
      </c>
      <c r="F256" t="s">
        <v>376</v>
      </c>
      <c r="G256" s="14">
        <v>46246.3917013889</v>
      </c>
      <c r="H256" t="s">
        <v>390</v>
      </c>
    </row>
    <row r="257" spans="1:8" ht="15" customHeight="1" x14ac:dyDescent="0.3">
      <c r="A257" t="s">
        <v>417</v>
      </c>
      <c r="B257" t="s">
        <v>418</v>
      </c>
      <c r="C257" t="s">
        <v>419</v>
      </c>
      <c r="D257" t="s">
        <v>374</v>
      </c>
      <c r="E257" t="s">
        <v>375</v>
      </c>
      <c r="F257" t="s">
        <v>376</v>
      </c>
      <c r="G257" s="14">
        <v>46246.336585648198</v>
      </c>
      <c r="H257" t="s">
        <v>390</v>
      </c>
    </row>
    <row r="258" spans="1:8" ht="15" customHeight="1" x14ac:dyDescent="0.3">
      <c r="A258" t="s">
        <v>429</v>
      </c>
      <c r="B258" t="s">
        <v>430</v>
      </c>
      <c r="C258" t="s">
        <v>431</v>
      </c>
      <c r="D258" t="s">
        <v>374</v>
      </c>
      <c r="E258" t="s">
        <v>375</v>
      </c>
      <c r="F258" t="s">
        <v>376</v>
      </c>
      <c r="G258" s="14">
        <v>46246.330590277801</v>
      </c>
      <c r="H258" t="s">
        <v>390</v>
      </c>
    </row>
    <row r="259" spans="1:8" ht="15" customHeight="1" x14ac:dyDescent="0.3">
      <c r="A259" t="s">
        <v>432</v>
      </c>
      <c r="B259" t="s">
        <v>433</v>
      </c>
      <c r="C259" t="s">
        <v>434</v>
      </c>
      <c r="D259" t="s">
        <v>374</v>
      </c>
      <c r="E259" t="s">
        <v>375</v>
      </c>
      <c r="F259" t="s">
        <v>376</v>
      </c>
      <c r="G259" s="14">
        <v>46246.3283912037</v>
      </c>
      <c r="H259" t="s">
        <v>377</v>
      </c>
    </row>
    <row r="260" spans="1:8" ht="15" customHeight="1" x14ac:dyDescent="0.3">
      <c r="A260" t="s">
        <v>420</v>
      </c>
      <c r="B260" t="s">
        <v>421</v>
      </c>
      <c r="C260" t="s">
        <v>422</v>
      </c>
      <c r="D260" t="s">
        <v>374</v>
      </c>
      <c r="E260" t="s">
        <v>375</v>
      </c>
      <c r="F260" t="s">
        <v>376</v>
      </c>
      <c r="G260" s="14">
        <v>46245.865312499998</v>
      </c>
      <c r="H260" t="s">
        <v>377</v>
      </c>
    </row>
    <row r="261" spans="1:8" ht="15" customHeight="1" x14ac:dyDescent="0.3">
      <c r="A261" t="s">
        <v>432</v>
      </c>
      <c r="B261" t="s">
        <v>433</v>
      </c>
      <c r="C261" t="s">
        <v>434</v>
      </c>
      <c r="D261" t="s">
        <v>374</v>
      </c>
      <c r="E261" t="s">
        <v>375</v>
      </c>
      <c r="F261" t="s">
        <v>376</v>
      </c>
      <c r="G261" s="14">
        <v>46245.865034722199</v>
      </c>
      <c r="H261" t="s">
        <v>390</v>
      </c>
    </row>
    <row r="262" spans="1:8" ht="15" customHeight="1" x14ac:dyDescent="0.3">
      <c r="A262" t="s">
        <v>429</v>
      </c>
      <c r="B262" t="s">
        <v>430</v>
      </c>
      <c r="C262" t="s">
        <v>431</v>
      </c>
      <c r="D262" t="s">
        <v>374</v>
      </c>
      <c r="E262" t="s">
        <v>375</v>
      </c>
      <c r="F262" t="s">
        <v>376</v>
      </c>
      <c r="G262" s="14">
        <v>46245.860659722202</v>
      </c>
      <c r="H262" t="s">
        <v>377</v>
      </c>
    </row>
    <row r="263" spans="1:8" ht="15" customHeight="1" x14ac:dyDescent="0.3">
      <c r="A263" t="s">
        <v>411</v>
      </c>
      <c r="B263" t="s">
        <v>412</v>
      </c>
      <c r="C263" t="s">
        <v>413</v>
      </c>
      <c r="D263" t="s">
        <v>374</v>
      </c>
      <c r="E263" t="s">
        <v>375</v>
      </c>
      <c r="F263" t="s">
        <v>376</v>
      </c>
      <c r="G263" s="14">
        <v>46245.8277199074</v>
      </c>
      <c r="H263" t="s">
        <v>390</v>
      </c>
    </row>
    <row r="264" spans="1:8" ht="15" customHeight="1" x14ac:dyDescent="0.3">
      <c r="A264" t="s">
        <v>417</v>
      </c>
      <c r="B264" t="s">
        <v>418</v>
      </c>
      <c r="C264" t="s">
        <v>419</v>
      </c>
      <c r="D264" t="s">
        <v>374</v>
      </c>
      <c r="E264" t="s">
        <v>375</v>
      </c>
      <c r="F264" t="s">
        <v>376</v>
      </c>
      <c r="G264" s="14">
        <v>46245.820381944497</v>
      </c>
      <c r="H264" t="s">
        <v>377</v>
      </c>
    </row>
    <row r="265" spans="1:8" ht="15" customHeight="1" x14ac:dyDescent="0.3">
      <c r="A265" t="s">
        <v>414</v>
      </c>
      <c r="B265" t="s">
        <v>415</v>
      </c>
      <c r="C265" t="s">
        <v>416</v>
      </c>
      <c r="D265" t="s">
        <v>374</v>
      </c>
      <c r="E265" t="s">
        <v>375</v>
      </c>
      <c r="F265" t="s">
        <v>376</v>
      </c>
      <c r="G265" s="14">
        <v>46245.8186921296</v>
      </c>
      <c r="H265" t="s">
        <v>377</v>
      </c>
    </row>
    <row r="266" spans="1:8" ht="15" customHeight="1" x14ac:dyDescent="0.3">
      <c r="A266" t="s">
        <v>391</v>
      </c>
      <c r="B266" t="s">
        <v>392</v>
      </c>
      <c r="C266" t="s">
        <v>393</v>
      </c>
      <c r="D266" t="s">
        <v>374</v>
      </c>
      <c r="E266" t="s">
        <v>394</v>
      </c>
      <c r="F266" t="s">
        <v>395</v>
      </c>
      <c r="G266" s="14">
        <v>46245.754513888904</v>
      </c>
      <c r="H266" t="s">
        <v>377</v>
      </c>
    </row>
    <row r="267" spans="1:8" ht="15" customHeight="1" x14ac:dyDescent="0.3">
      <c r="A267" t="s">
        <v>423</v>
      </c>
      <c r="B267" t="s">
        <v>424</v>
      </c>
      <c r="C267" t="s">
        <v>425</v>
      </c>
      <c r="D267" t="s">
        <v>374</v>
      </c>
      <c r="E267" t="s">
        <v>375</v>
      </c>
      <c r="F267" t="s">
        <v>376</v>
      </c>
      <c r="G267" s="14">
        <v>46245.3590625</v>
      </c>
      <c r="H267" t="s">
        <v>390</v>
      </c>
    </row>
    <row r="268" spans="1:8" ht="15" customHeight="1" x14ac:dyDescent="0.3">
      <c r="A268" t="s">
        <v>429</v>
      </c>
      <c r="B268" t="s">
        <v>430</v>
      </c>
      <c r="C268" t="s">
        <v>431</v>
      </c>
      <c r="D268" t="s">
        <v>374</v>
      </c>
      <c r="E268" t="s">
        <v>375</v>
      </c>
      <c r="F268" t="s">
        <v>376</v>
      </c>
      <c r="G268" s="14">
        <v>46245.356261574103</v>
      </c>
      <c r="H268" t="s">
        <v>390</v>
      </c>
    </row>
    <row r="269" spans="1:8" ht="15" customHeight="1" x14ac:dyDescent="0.3">
      <c r="A269" t="s">
        <v>411</v>
      </c>
      <c r="B269" t="s">
        <v>412</v>
      </c>
      <c r="C269" t="s">
        <v>413</v>
      </c>
      <c r="D269" t="s">
        <v>374</v>
      </c>
      <c r="E269" t="s">
        <v>375</v>
      </c>
      <c r="F269" t="s">
        <v>376</v>
      </c>
      <c r="G269" s="14">
        <v>46245.354247685202</v>
      </c>
      <c r="H269" t="s">
        <v>377</v>
      </c>
    </row>
    <row r="270" spans="1:8" ht="15" customHeight="1" x14ac:dyDescent="0.3">
      <c r="A270" t="s">
        <v>432</v>
      </c>
      <c r="B270" t="s">
        <v>433</v>
      </c>
      <c r="C270" t="s">
        <v>434</v>
      </c>
      <c r="D270" t="s">
        <v>374</v>
      </c>
      <c r="E270" t="s">
        <v>375</v>
      </c>
      <c r="F270" t="s">
        <v>376</v>
      </c>
      <c r="G270" s="14">
        <v>46245.345347222203</v>
      </c>
      <c r="H270" t="s">
        <v>377</v>
      </c>
    </row>
    <row r="271" spans="1:8" ht="15" customHeight="1" x14ac:dyDescent="0.3">
      <c r="A271" t="s">
        <v>426</v>
      </c>
      <c r="B271" t="s">
        <v>427</v>
      </c>
      <c r="C271" t="s">
        <v>428</v>
      </c>
      <c r="D271" t="s">
        <v>374</v>
      </c>
      <c r="E271" t="s">
        <v>375</v>
      </c>
      <c r="F271" t="s">
        <v>376</v>
      </c>
      <c r="G271" s="14">
        <v>46245.339305555601</v>
      </c>
      <c r="H271" t="s">
        <v>377</v>
      </c>
    </row>
    <row r="272" spans="1:8" ht="15" customHeight="1" x14ac:dyDescent="0.3">
      <c r="A272" t="s">
        <v>417</v>
      </c>
      <c r="B272" t="s">
        <v>418</v>
      </c>
      <c r="C272" t="s">
        <v>419</v>
      </c>
      <c r="D272" t="s">
        <v>374</v>
      </c>
      <c r="E272" t="s">
        <v>375</v>
      </c>
      <c r="F272" t="s">
        <v>376</v>
      </c>
      <c r="G272" s="14">
        <v>46245.333067129599</v>
      </c>
      <c r="H272" t="s">
        <v>390</v>
      </c>
    </row>
    <row r="273" spans="1:8" ht="15" customHeight="1" x14ac:dyDescent="0.3">
      <c r="A273" t="s">
        <v>391</v>
      </c>
      <c r="B273" t="s">
        <v>392</v>
      </c>
      <c r="C273" t="s">
        <v>393</v>
      </c>
      <c r="D273" t="s">
        <v>374</v>
      </c>
      <c r="E273" t="s">
        <v>394</v>
      </c>
      <c r="F273" t="s">
        <v>395</v>
      </c>
      <c r="G273" s="14">
        <v>46245.325497685197</v>
      </c>
      <c r="H273" t="s">
        <v>390</v>
      </c>
    </row>
    <row r="274" spans="1:8" ht="15" customHeight="1" x14ac:dyDescent="0.3">
      <c r="A274" t="s">
        <v>414</v>
      </c>
      <c r="B274" t="s">
        <v>415</v>
      </c>
      <c r="C274" t="s">
        <v>416</v>
      </c>
      <c r="D274" t="s">
        <v>374</v>
      </c>
      <c r="E274" t="s">
        <v>375</v>
      </c>
      <c r="F274" t="s">
        <v>376</v>
      </c>
      <c r="G274" s="14">
        <v>46245.318032407398</v>
      </c>
      <c r="H274" t="s">
        <v>390</v>
      </c>
    </row>
    <row r="275" spans="1:8" ht="15" customHeight="1" x14ac:dyDescent="0.3">
      <c r="A275" t="s">
        <v>420</v>
      </c>
      <c r="B275" t="s">
        <v>421</v>
      </c>
      <c r="C275" t="s">
        <v>422</v>
      </c>
      <c r="D275" t="s">
        <v>374</v>
      </c>
      <c r="E275" t="s">
        <v>375</v>
      </c>
      <c r="F275" t="s">
        <v>376</v>
      </c>
      <c r="G275" s="14">
        <v>46245.317835648202</v>
      </c>
      <c r="H275" t="s">
        <v>390</v>
      </c>
    </row>
    <row r="276" spans="1:8" ht="15" customHeight="1" x14ac:dyDescent="0.3">
      <c r="A276" t="s">
        <v>426</v>
      </c>
      <c r="B276" t="s">
        <v>427</v>
      </c>
      <c r="C276" t="s">
        <v>428</v>
      </c>
      <c r="D276" t="s">
        <v>374</v>
      </c>
      <c r="E276" t="s">
        <v>375</v>
      </c>
      <c r="F276" t="s">
        <v>376</v>
      </c>
      <c r="G276" s="14">
        <v>46244.9471990741</v>
      </c>
      <c r="H276" t="s">
        <v>390</v>
      </c>
    </row>
    <row r="277" spans="1:8" ht="15" customHeight="1" x14ac:dyDescent="0.3">
      <c r="A277" t="s">
        <v>426</v>
      </c>
      <c r="B277" t="s">
        <v>427</v>
      </c>
      <c r="C277" t="s">
        <v>428</v>
      </c>
      <c r="D277" t="s">
        <v>374</v>
      </c>
      <c r="E277" t="s">
        <v>375</v>
      </c>
      <c r="F277" t="s">
        <v>376</v>
      </c>
      <c r="G277" s="14">
        <v>46244.946203703701</v>
      </c>
      <c r="H277" t="s">
        <v>377</v>
      </c>
    </row>
    <row r="278" spans="1:8" ht="15" customHeight="1" x14ac:dyDescent="0.3">
      <c r="A278" t="s">
        <v>429</v>
      </c>
      <c r="B278" t="s">
        <v>430</v>
      </c>
      <c r="C278" t="s">
        <v>431</v>
      </c>
      <c r="D278" t="s">
        <v>374</v>
      </c>
      <c r="E278" t="s">
        <v>375</v>
      </c>
      <c r="F278" t="s">
        <v>376</v>
      </c>
      <c r="G278" s="14">
        <v>46244.900787036997</v>
      </c>
      <c r="H278" t="s">
        <v>377</v>
      </c>
    </row>
    <row r="279" spans="1:8" ht="15" customHeight="1" x14ac:dyDescent="0.3">
      <c r="A279" t="s">
        <v>414</v>
      </c>
      <c r="B279" t="s">
        <v>415</v>
      </c>
      <c r="C279" t="s">
        <v>416</v>
      </c>
      <c r="D279" t="s">
        <v>374</v>
      </c>
      <c r="E279" t="s">
        <v>375</v>
      </c>
      <c r="F279" t="s">
        <v>376</v>
      </c>
      <c r="G279" s="14">
        <v>46244.8585185185</v>
      </c>
      <c r="H279" t="s">
        <v>377</v>
      </c>
    </row>
    <row r="280" spans="1:8" ht="15" customHeight="1" x14ac:dyDescent="0.3">
      <c r="A280" t="s">
        <v>381</v>
      </c>
      <c r="B280" t="s">
        <v>382</v>
      </c>
      <c r="C280" t="s">
        <v>383</v>
      </c>
      <c r="D280" t="s">
        <v>374</v>
      </c>
      <c r="E280" t="s">
        <v>23</v>
      </c>
      <c r="F280" t="s">
        <v>376</v>
      </c>
      <c r="G280" s="14">
        <v>46244.837800925903</v>
      </c>
      <c r="H280" t="s">
        <v>377</v>
      </c>
    </row>
    <row r="281" spans="1:8" ht="15" customHeight="1" x14ac:dyDescent="0.3">
      <c r="A281" t="s">
        <v>411</v>
      </c>
      <c r="B281" t="s">
        <v>412</v>
      </c>
      <c r="C281" t="s">
        <v>413</v>
      </c>
      <c r="D281" t="s">
        <v>374</v>
      </c>
      <c r="E281" t="s">
        <v>375</v>
      </c>
      <c r="F281" t="s">
        <v>376</v>
      </c>
      <c r="G281" s="14">
        <v>46244.830833333297</v>
      </c>
      <c r="H281" t="s">
        <v>390</v>
      </c>
    </row>
    <row r="282" spans="1:8" ht="15" customHeight="1" x14ac:dyDescent="0.3">
      <c r="A282" t="s">
        <v>420</v>
      </c>
      <c r="B282" t="s">
        <v>421</v>
      </c>
      <c r="C282" t="s">
        <v>422</v>
      </c>
      <c r="D282" t="s">
        <v>374</v>
      </c>
      <c r="E282" t="s">
        <v>375</v>
      </c>
      <c r="F282" t="s">
        <v>376</v>
      </c>
      <c r="G282" s="14">
        <v>46244.811435185198</v>
      </c>
      <c r="H282" t="s">
        <v>377</v>
      </c>
    </row>
    <row r="283" spans="1:8" ht="15" customHeight="1" x14ac:dyDescent="0.3">
      <c r="A283" t="s">
        <v>432</v>
      </c>
      <c r="B283" t="s">
        <v>433</v>
      </c>
      <c r="C283" t="s">
        <v>434</v>
      </c>
      <c r="D283" t="s">
        <v>374</v>
      </c>
      <c r="E283" t="s">
        <v>375</v>
      </c>
      <c r="F283" t="s">
        <v>376</v>
      </c>
      <c r="G283" s="14">
        <v>46244.810682870397</v>
      </c>
      <c r="H283" t="s">
        <v>390</v>
      </c>
    </row>
    <row r="284" spans="1:8" ht="15" customHeight="1" x14ac:dyDescent="0.3">
      <c r="A284" t="s">
        <v>391</v>
      </c>
      <c r="B284" t="s">
        <v>392</v>
      </c>
      <c r="C284" t="s">
        <v>393</v>
      </c>
      <c r="D284" t="s">
        <v>374</v>
      </c>
      <c r="E284" t="s">
        <v>394</v>
      </c>
      <c r="F284" t="s">
        <v>395</v>
      </c>
      <c r="G284" s="14">
        <v>46244.7508564815</v>
      </c>
      <c r="H284" t="s">
        <v>377</v>
      </c>
    </row>
    <row r="285" spans="1:8" ht="15" customHeight="1" x14ac:dyDescent="0.3">
      <c r="A285" t="s">
        <v>414</v>
      </c>
      <c r="B285" t="s">
        <v>415</v>
      </c>
      <c r="C285" t="s">
        <v>416</v>
      </c>
      <c r="D285" t="s">
        <v>374</v>
      </c>
      <c r="E285" t="s">
        <v>375</v>
      </c>
      <c r="F285" t="s">
        <v>376</v>
      </c>
      <c r="G285" s="14">
        <v>46244.397905092599</v>
      </c>
      <c r="H285" t="s">
        <v>390</v>
      </c>
    </row>
    <row r="286" spans="1:8" ht="15" customHeight="1" x14ac:dyDescent="0.3">
      <c r="A286" t="s">
        <v>402</v>
      </c>
      <c r="B286" t="s">
        <v>403</v>
      </c>
      <c r="C286" t="s">
        <v>404</v>
      </c>
      <c r="D286" t="s">
        <v>374</v>
      </c>
      <c r="E286" t="s">
        <v>375</v>
      </c>
      <c r="F286" t="s">
        <v>395</v>
      </c>
      <c r="G286" s="14">
        <v>46244.356203703697</v>
      </c>
      <c r="H286" t="s">
        <v>390</v>
      </c>
    </row>
    <row r="287" spans="1:8" ht="15" customHeight="1" x14ac:dyDescent="0.3">
      <c r="A287" t="s">
        <v>429</v>
      </c>
      <c r="B287" t="s">
        <v>430</v>
      </c>
      <c r="C287" t="s">
        <v>431</v>
      </c>
      <c r="D287" t="s">
        <v>374</v>
      </c>
      <c r="E287" t="s">
        <v>375</v>
      </c>
      <c r="F287" t="s">
        <v>376</v>
      </c>
      <c r="G287" s="14">
        <v>46244.339004629597</v>
      </c>
      <c r="H287" t="s">
        <v>390</v>
      </c>
    </row>
    <row r="288" spans="1:8" ht="15" customHeight="1" x14ac:dyDescent="0.3">
      <c r="A288" t="s">
        <v>423</v>
      </c>
      <c r="B288" t="s">
        <v>424</v>
      </c>
      <c r="C288" t="s">
        <v>425</v>
      </c>
      <c r="D288" t="s">
        <v>374</v>
      </c>
      <c r="E288" t="s">
        <v>375</v>
      </c>
      <c r="F288" t="s">
        <v>376</v>
      </c>
      <c r="G288" s="14">
        <v>46244.338506944398</v>
      </c>
      <c r="H288" t="s">
        <v>390</v>
      </c>
    </row>
    <row r="289" spans="1:8" ht="15" customHeight="1" x14ac:dyDescent="0.3">
      <c r="A289" t="s">
        <v>426</v>
      </c>
      <c r="B289" t="s">
        <v>427</v>
      </c>
      <c r="C289" t="s">
        <v>428</v>
      </c>
      <c r="D289" t="s">
        <v>374</v>
      </c>
      <c r="E289" t="s">
        <v>375</v>
      </c>
      <c r="F289" t="s">
        <v>376</v>
      </c>
      <c r="G289" s="14">
        <v>46244.336180555598</v>
      </c>
      <c r="H289" t="s">
        <v>377</v>
      </c>
    </row>
    <row r="290" spans="1:8" ht="15" customHeight="1" x14ac:dyDescent="0.3">
      <c r="A290" t="s">
        <v>411</v>
      </c>
      <c r="B290" t="s">
        <v>412</v>
      </c>
      <c r="C290" t="s">
        <v>413</v>
      </c>
      <c r="D290" t="s">
        <v>374</v>
      </c>
      <c r="E290" t="s">
        <v>375</v>
      </c>
      <c r="F290" t="s">
        <v>376</v>
      </c>
      <c r="G290" s="14">
        <v>46244.328715277799</v>
      </c>
      <c r="H290" t="s">
        <v>377</v>
      </c>
    </row>
    <row r="291" spans="1:8" ht="15" customHeight="1" x14ac:dyDescent="0.3">
      <c r="A291" t="s">
        <v>391</v>
      </c>
      <c r="B291" t="s">
        <v>392</v>
      </c>
      <c r="C291" t="s">
        <v>393</v>
      </c>
      <c r="D291" t="s">
        <v>374</v>
      </c>
      <c r="E291" t="s">
        <v>394</v>
      </c>
      <c r="F291" t="s">
        <v>395</v>
      </c>
      <c r="G291" s="14">
        <v>46244.3265972222</v>
      </c>
      <c r="H291" t="s">
        <v>390</v>
      </c>
    </row>
    <row r="292" spans="1:8" ht="15" customHeight="1" x14ac:dyDescent="0.3">
      <c r="A292" t="s">
        <v>432</v>
      </c>
      <c r="B292" t="s">
        <v>433</v>
      </c>
      <c r="C292" t="s">
        <v>434</v>
      </c>
      <c r="D292" t="s">
        <v>374</v>
      </c>
      <c r="E292" t="s">
        <v>375</v>
      </c>
      <c r="F292" t="s">
        <v>376</v>
      </c>
      <c r="G292" s="14">
        <v>46244.325289351902</v>
      </c>
      <c r="H292" t="s">
        <v>377</v>
      </c>
    </row>
    <row r="293" spans="1:8" ht="15" customHeight="1" x14ac:dyDescent="0.3">
      <c r="A293" t="s">
        <v>417</v>
      </c>
      <c r="B293" t="s">
        <v>418</v>
      </c>
      <c r="C293" t="s">
        <v>419</v>
      </c>
      <c r="D293" t="s">
        <v>374</v>
      </c>
      <c r="E293" t="s">
        <v>375</v>
      </c>
      <c r="F293" t="s">
        <v>376</v>
      </c>
      <c r="G293" s="14">
        <v>46244.312928240703</v>
      </c>
      <c r="H293" t="s">
        <v>390</v>
      </c>
    </row>
    <row r="294" spans="1:8" ht="15" customHeight="1" x14ac:dyDescent="0.3">
      <c r="A294" t="s">
        <v>381</v>
      </c>
      <c r="B294" t="s">
        <v>382</v>
      </c>
      <c r="C294" t="s">
        <v>383</v>
      </c>
      <c r="D294" t="s">
        <v>374</v>
      </c>
      <c r="E294" t="s">
        <v>23</v>
      </c>
      <c r="F294" t="s">
        <v>376</v>
      </c>
      <c r="G294" s="14">
        <v>46244.3121412037</v>
      </c>
      <c r="H294" t="s">
        <v>390</v>
      </c>
    </row>
    <row r="295" spans="1:8" ht="15" customHeight="1" x14ac:dyDescent="0.3">
      <c r="A295" t="s">
        <v>420</v>
      </c>
      <c r="B295" t="s">
        <v>421</v>
      </c>
      <c r="C295" t="s">
        <v>422</v>
      </c>
      <c r="D295" t="s">
        <v>374</v>
      </c>
      <c r="E295" t="s">
        <v>375</v>
      </c>
      <c r="F295" t="s">
        <v>376</v>
      </c>
      <c r="G295" s="14">
        <v>46244.310729166697</v>
      </c>
      <c r="H295" t="s">
        <v>390</v>
      </c>
    </row>
    <row r="296" spans="1:8" ht="15" customHeight="1" x14ac:dyDescent="0.3">
      <c r="A296" t="s">
        <v>414</v>
      </c>
      <c r="B296" t="s">
        <v>415</v>
      </c>
      <c r="C296" t="s">
        <v>416</v>
      </c>
      <c r="D296" t="s">
        <v>374</v>
      </c>
      <c r="E296" t="s">
        <v>375</v>
      </c>
      <c r="F296" t="s">
        <v>376</v>
      </c>
      <c r="G296" s="14">
        <v>46243.932881944398</v>
      </c>
      <c r="H296" t="s">
        <v>377</v>
      </c>
    </row>
    <row r="297" spans="1:8" ht="15" customHeight="1" x14ac:dyDescent="0.3">
      <c r="A297" t="s">
        <v>420</v>
      </c>
      <c r="B297" t="s">
        <v>421</v>
      </c>
      <c r="C297" t="s">
        <v>422</v>
      </c>
      <c r="D297" t="s">
        <v>374</v>
      </c>
      <c r="E297" t="s">
        <v>375</v>
      </c>
      <c r="F297" t="s">
        <v>376</v>
      </c>
      <c r="G297" s="14">
        <v>46243.932847222197</v>
      </c>
      <c r="H297" t="s">
        <v>377</v>
      </c>
    </row>
    <row r="298" spans="1:8" ht="15" customHeight="1" x14ac:dyDescent="0.3">
      <c r="A298" t="s">
        <v>381</v>
      </c>
      <c r="B298" t="s">
        <v>382</v>
      </c>
      <c r="C298" t="s">
        <v>383</v>
      </c>
      <c r="D298" t="s">
        <v>374</v>
      </c>
      <c r="E298" t="s">
        <v>23</v>
      </c>
      <c r="F298" t="s">
        <v>376</v>
      </c>
      <c r="G298" s="14">
        <v>46243.876516203702</v>
      </c>
      <c r="H298" t="s">
        <v>377</v>
      </c>
    </row>
    <row r="299" spans="1:8" ht="15" customHeight="1" x14ac:dyDescent="0.3">
      <c r="A299" t="s">
        <v>411</v>
      </c>
      <c r="B299" t="s">
        <v>412</v>
      </c>
      <c r="C299" t="s">
        <v>413</v>
      </c>
      <c r="D299" t="s">
        <v>374</v>
      </c>
      <c r="E299" t="s">
        <v>375</v>
      </c>
      <c r="F299" t="s">
        <v>376</v>
      </c>
      <c r="G299" s="14">
        <v>46243.829780092601</v>
      </c>
      <c r="H299" t="s">
        <v>390</v>
      </c>
    </row>
    <row r="300" spans="1:8" ht="15" customHeight="1" x14ac:dyDescent="0.3">
      <c r="A300" t="s">
        <v>429</v>
      </c>
      <c r="B300" t="s">
        <v>430</v>
      </c>
      <c r="C300" t="s">
        <v>431</v>
      </c>
      <c r="D300" t="s">
        <v>374</v>
      </c>
      <c r="E300" t="s">
        <v>375</v>
      </c>
      <c r="F300" t="s">
        <v>376</v>
      </c>
      <c r="G300" s="14">
        <v>46243.828599537002</v>
      </c>
      <c r="H300" t="s">
        <v>377</v>
      </c>
    </row>
    <row r="301" spans="1:8" ht="15" customHeight="1" x14ac:dyDescent="0.3">
      <c r="A301" t="s">
        <v>417</v>
      </c>
      <c r="B301" t="s">
        <v>418</v>
      </c>
      <c r="C301" t="s">
        <v>419</v>
      </c>
      <c r="D301" t="s">
        <v>374</v>
      </c>
      <c r="E301" t="s">
        <v>375</v>
      </c>
      <c r="F301" t="s">
        <v>376</v>
      </c>
      <c r="G301" s="14">
        <v>46243.811747685198</v>
      </c>
      <c r="H301" t="s">
        <v>377</v>
      </c>
    </row>
    <row r="302" spans="1:8" ht="15" customHeight="1" x14ac:dyDescent="0.3">
      <c r="A302" t="s">
        <v>426</v>
      </c>
      <c r="B302" t="s">
        <v>427</v>
      </c>
      <c r="C302" t="s">
        <v>428</v>
      </c>
      <c r="D302" t="s">
        <v>374</v>
      </c>
      <c r="E302" t="s">
        <v>375</v>
      </c>
      <c r="F302" t="s">
        <v>376</v>
      </c>
      <c r="G302" s="14">
        <v>46243.8101157407</v>
      </c>
      <c r="H302" t="s">
        <v>390</v>
      </c>
    </row>
    <row r="303" spans="1:8" ht="15" customHeight="1" x14ac:dyDescent="0.3">
      <c r="A303" t="s">
        <v>432</v>
      </c>
      <c r="B303" t="s">
        <v>433</v>
      </c>
      <c r="C303" t="s">
        <v>434</v>
      </c>
      <c r="D303" t="s">
        <v>374</v>
      </c>
      <c r="E303" t="s">
        <v>375</v>
      </c>
      <c r="F303" t="s">
        <v>376</v>
      </c>
      <c r="G303" s="14">
        <v>46243.81</v>
      </c>
      <c r="H303" t="s">
        <v>390</v>
      </c>
    </row>
    <row r="304" spans="1:8" ht="15" customHeight="1" x14ac:dyDescent="0.3">
      <c r="A304" t="s">
        <v>429</v>
      </c>
      <c r="B304" t="s">
        <v>430</v>
      </c>
      <c r="C304" t="s">
        <v>431</v>
      </c>
      <c r="D304" t="s">
        <v>374</v>
      </c>
      <c r="E304" t="s">
        <v>375</v>
      </c>
      <c r="F304" t="s">
        <v>376</v>
      </c>
      <c r="G304" s="14">
        <v>46243.601736111101</v>
      </c>
      <c r="H304" t="s">
        <v>390</v>
      </c>
    </row>
    <row r="305" spans="1:8" ht="15" customHeight="1" x14ac:dyDescent="0.3">
      <c r="A305" t="s">
        <v>423</v>
      </c>
      <c r="B305" t="s">
        <v>424</v>
      </c>
      <c r="C305" t="s">
        <v>425</v>
      </c>
      <c r="D305" t="s">
        <v>374</v>
      </c>
      <c r="E305" t="s">
        <v>375</v>
      </c>
      <c r="F305" t="s">
        <v>376</v>
      </c>
      <c r="G305" s="14">
        <v>46243.600775462997</v>
      </c>
      <c r="H305" t="s">
        <v>390</v>
      </c>
    </row>
    <row r="306" spans="1:8" ht="15" customHeight="1" x14ac:dyDescent="0.3">
      <c r="A306" t="s">
        <v>381</v>
      </c>
      <c r="B306" t="s">
        <v>382</v>
      </c>
      <c r="C306" t="s">
        <v>383</v>
      </c>
      <c r="D306" t="s">
        <v>374</v>
      </c>
      <c r="E306" t="s">
        <v>23</v>
      </c>
      <c r="F306" t="s">
        <v>376</v>
      </c>
      <c r="G306" s="14">
        <v>46243.598854166703</v>
      </c>
      <c r="H306" t="s">
        <v>390</v>
      </c>
    </row>
    <row r="307" spans="1:8" ht="15" customHeight="1" x14ac:dyDescent="0.3">
      <c r="A307" t="s">
        <v>381</v>
      </c>
      <c r="B307" t="s">
        <v>382</v>
      </c>
      <c r="C307" t="s">
        <v>383</v>
      </c>
      <c r="D307" t="s">
        <v>374</v>
      </c>
      <c r="E307" t="s">
        <v>23</v>
      </c>
      <c r="F307" t="s">
        <v>376</v>
      </c>
      <c r="G307" s="14">
        <v>46243.598703703698</v>
      </c>
      <c r="H307" t="s">
        <v>390</v>
      </c>
    </row>
    <row r="308" spans="1:8" ht="15" customHeight="1" x14ac:dyDescent="0.3">
      <c r="A308" t="s">
        <v>411</v>
      </c>
      <c r="B308" t="s">
        <v>412</v>
      </c>
      <c r="C308" t="s">
        <v>413</v>
      </c>
      <c r="D308" t="s">
        <v>374</v>
      </c>
      <c r="E308" t="s">
        <v>375</v>
      </c>
      <c r="F308" t="s">
        <v>376</v>
      </c>
      <c r="G308" s="14">
        <v>46243.343333333301</v>
      </c>
      <c r="H308" t="s">
        <v>377</v>
      </c>
    </row>
    <row r="309" spans="1:8" ht="15" customHeight="1" x14ac:dyDescent="0.3">
      <c r="A309" t="s">
        <v>432</v>
      </c>
      <c r="B309" t="s">
        <v>433</v>
      </c>
      <c r="C309" t="s">
        <v>434</v>
      </c>
      <c r="D309" t="s">
        <v>374</v>
      </c>
      <c r="E309" t="s">
        <v>375</v>
      </c>
      <c r="F309" t="s">
        <v>376</v>
      </c>
      <c r="G309" s="14">
        <v>46243.343229166698</v>
      </c>
      <c r="H309" t="s">
        <v>377</v>
      </c>
    </row>
    <row r="310" spans="1:8" ht="15" customHeight="1" x14ac:dyDescent="0.3">
      <c r="A310" t="s">
        <v>414</v>
      </c>
      <c r="B310" t="s">
        <v>415</v>
      </c>
      <c r="C310" t="s">
        <v>416</v>
      </c>
      <c r="D310" t="s">
        <v>374</v>
      </c>
      <c r="E310" t="s">
        <v>375</v>
      </c>
      <c r="F310" t="s">
        <v>376</v>
      </c>
      <c r="G310" s="14">
        <v>46243.340254629598</v>
      </c>
      <c r="H310" t="s">
        <v>390</v>
      </c>
    </row>
    <row r="311" spans="1:8" ht="15" customHeight="1" x14ac:dyDescent="0.3">
      <c r="A311" t="s">
        <v>414</v>
      </c>
      <c r="B311" t="s">
        <v>415</v>
      </c>
      <c r="C311" t="s">
        <v>416</v>
      </c>
      <c r="D311" t="s">
        <v>374</v>
      </c>
      <c r="E311" t="s">
        <v>375</v>
      </c>
      <c r="F311" t="s">
        <v>376</v>
      </c>
      <c r="G311" s="14">
        <v>46243.339988425898</v>
      </c>
      <c r="H311" t="s">
        <v>390</v>
      </c>
    </row>
    <row r="312" spans="1:8" ht="15" customHeight="1" x14ac:dyDescent="0.3">
      <c r="A312" t="s">
        <v>420</v>
      </c>
      <c r="B312" t="s">
        <v>421</v>
      </c>
      <c r="C312" t="s">
        <v>422</v>
      </c>
      <c r="D312" t="s">
        <v>374</v>
      </c>
      <c r="E312" t="s">
        <v>375</v>
      </c>
      <c r="F312" t="s">
        <v>376</v>
      </c>
      <c r="G312" s="14">
        <v>46243.301111111097</v>
      </c>
      <c r="H312" t="s">
        <v>390</v>
      </c>
    </row>
    <row r="313" spans="1:8" ht="15" customHeight="1" x14ac:dyDescent="0.3">
      <c r="A313" t="s">
        <v>381</v>
      </c>
      <c r="B313" t="s">
        <v>382</v>
      </c>
      <c r="C313" t="s">
        <v>383</v>
      </c>
      <c r="D313" t="s">
        <v>374</v>
      </c>
      <c r="E313" t="s">
        <v>23</v>
      </c>
      <c r="F313" t="s">
        <v>376</v>
      </c>
      <c r="G313" s="14">
        <v>46242.859398148197</v>
      </c>
      <c r="H313" t="s">
        <v>377</v>
      </c>
    </row>
    <row r="314" spans="1:8" ht="15" customHeight="1" x14ac:dyDescent="0.3">
      <c r="A314" t="s">
        <v>423</v>
      </c>
      <c r="B314" t="s">
        <v>424</v>
      </c>
      <c r="C314" t="s">
        <v>425</v>
      </c>
      <c r="D314" t="s">
        <v>374</v>
      </c>
      <c r="E314" t="s">
        <v>375</v>
      </c>
      <c r="F314" t="s">
        <v>376</v>
      </c>
      <c r="G314" s="14">
        <v>46242.858599537001</v>
      </c>
      <c r="H314" t="s">
        <v>377</v>
      </c>
    </row>
    <row r="315" spans="1:8" ht="15" customHeight="1" x14ac:dyDescent="0.3">
      <c r="A315" t="s">
        <v>426</v>
      </c>
      <c r="B315" t="s">
        <v>427</v>
      </c>
      <c r="C315" t="s">
        <v>428</v>
      </c>
      <c r="D315" t="s">
        <v>374</v>
      </c>
      <c r="E315" t="s">
        <v>375</v>
      </c>
      <c r="F315" t="s">
        <v>376</v>
      </c>
      <c r="G315" s="14">
        <v>46242.858101851903</v>
      </c>
      <c r="H315" t="s">
        <v>377</v>
      </c>
    </row>
    <row r="316" spans="1:8" ht="15" customHeight="1" x14ac:dyDescent="0.3">
      <c r="A316" t="s">
        <v>432</v>
      </c>
      <c r="B316" t="s">
        <v>433</v>
      </c>
      <c r="C316" t="s">
        <v>434</v>
      </c>
      <c r="D316" t="s">
        <v>374</v>
      </c>
      <c r="E316" t="s">
        <v>375</v>
      </c>
      <c r="F316" t="s">
        <v>376</v>
      </c>
      <c r="G316" s="14">
        <v>46242.856446759302</v>
      </c>
      <c r="H316" t="s">
        <v>377</v>
      </c>
    </row>
    <row r="317" spans="1:8" ht="15" customHeight="1" x14ac:dyDescent="0.3">
      <c r="A317" t="s">
        <v>411</v>
      </c>
      <c r="B317" t="s">
        <v>412</v>
      </c>
      <c r="C317" t="s">
        <v>413</v>
      </c>
      <c r="D317" t="s">
        <v>374</v>
      </c>
      <c r="E317" t="s">
        <v>375</v>
      </c>
      <c r="F317" t="s">
        <v>376</v>
      </c>
      <c r="G317" s="14">
        <v>46242.855520833298</v>
      </c>
      <c r="H317" t="s">
        <v>377</v>
      </c>
    </row>
    <row r="318" spans="1:8" ht="15" customHeight="1" x14ac:dyDescent="0.3">
      <c r="A318" t="s">
        <v>420</v>
      </c>
      <c r="B318" t="s">
        <v>421</v>
      </c>
      <c r="C318" t="s">
        <v>422</v>
      </c>
      <c r="D318" t="s">
        <v>374</v>
      </c>
      <c r="E318" t="s">
        <v>375</v>
      </c>
      <c r="F318" t="s">
        <v>376</v>
      </c>
      <c r="G318" s="14">
        <v>46242.854652777802</v>
      </c>
      <c r="H318" t="s">
        <v>377</v>
      </c>
    </row>
    <row r="319" spans="1:8" ht="15" customHeight="1" x14ac:dyDescent="0.3">
      <c r="A319" t="s">
        <v>429</v>
      </c>
      <c r="B319" t="s">
        <v>430</v>
      </c>
      <c r="C319" t="s">
        <v>431</v>
      </c>
      <c r="D319" t="s">
        <v>374</v>
      </c>
      <c r="E319" t="s">
        <v>375</v>
      </c>
      <c r="F319" t="s">
        <v>376</v>
      </c>
      <c r="G319" s="14">
        <v>46242.853553240697</v>
      </c>
      <c r="H319" t="s">
        <v>377</v>
      </c>
    </row>
    <row r="320" spans="1:8" ht="15" customHeight="1" x14ac:dyDescent="0.3">
      <c r="A320" t="s">
        <v>414</v>
      </c>
      <c r="B320" t="s">
        <v>415</v>
      </c>
      <c r="C320" t="s">
        <v>416</v>
      </c>
      <c r="D320" t="s">
        <v>374</v>
      </c>
      <c r="E320" t="s">
        <v>375</v>
      </c>
      <c r="F320" t="s">
        <v>376</v>
      </c>
      <c r="G320" s="14">
        <v>46242.852812500001</v>
      </c>
      <c r="H320" t="s">
        <v>377</v>
      </c>
    </row>
    <row r="321" spans="1:8" ht="15" customHeight="1" x14ac:dyDescent="0.3">
      <c r="A321" t="s">
        <v>391</v>
      </c>
      <c r="B321" t="s">
        <v>392</v>
      </c>
      <c r="C321" t="s">
        <v>393</v>
      </c>
      <c r="D321" t="s">
        <v>374</v>
      </c>
      <c r="E321" t="s">
        <v>394</v>
      </c>
      <c r="F321" t="s">
        <v>395</v>
      </c>
      <c r="G321" s="14">
        <v>46241.585231481498</v>
      </c>
      <c r="H321" t="s">
        <v>377</v>
      </c>
    </row>
    <row r="322" spans="1:8" ht="15" customHeight="1" x14ac:dyDescent="0.3">
      <c r="A322" t="s">
        <v>423</v>
      </c>
      <c r="B322" t="s">
        <v>424</v>
      </c>
      <c r="C322" t="s">
        <v>425</v>
      </c>
      <c r="D322" t="s">
        <v>374</v>
      </c>
      <c r="E322" t="s">
        <v>375</v>
      </c>
      <c r="F322" t="s">
        <v>435</v>
      </c>
      <c r="G322" s="14">
        <v>46241.330740740697</v>
      </c>
      <c r="H322" t="s">
        <v>377</v>
      </c>
    </row>
    <row r="323" spans="1:8" ht="15" customHeight="1" x14ac:dyDescent="0.3">
      <c r="A323" t="s">
        <v>391</v>
      </c>
      <c r="B323" t="s">
        <v>392</v>
      </c>
      <c r="C323" t="s">
        <v>393</v>
      </c>
      <c r="D323" t="s">
        <v>374</v>
      </c>
      <c r="E323" t="s">
        <v>394</v>
      </c>
      <c r="F323" t="s">
        <v>395</v>
      </c>
      <c r="G323" s="14">
        <v>46241.3231018519</v>
      </c>
      <c r="H323" t="s">
        <v>390</v>
      </c>
    </row>
    <row r="324" spans="1:8" ht="15" customHeight="1" x14ac:dyDescent="0.3">
      <c r="A324" t="s">
        <v>423</v>
      </c>
      <c r="B324" t="s">
        <v>424</v>
      </c>
      <c r="C324" t="s">
        <v>425</v>
      </c>
      <c r="D324" t="s">
        <v>374</v>
      </c>
      <c r="E324" t="s">
        <v>375</v>
      </c>
      <c r="F324" t="s">
        <v>435</v>
      </c>
      <c r="G324" s="14">
        <v>46240.845115740703</v>
      </c>
      <c r="H324" t="s">
        <v>390</v>
      </c>
    </row>
    <row r="325" spans="1:8" ht="15" customHeight="1" x14ac:dyDescent="0.3">
      <c r="A325" t="s">
        <v>391</v>
      </c>
      <c r="B325" t="s">
        <v>392</v>
      </c>
      <c r="C325" t="s">
        <v>393</v>
      </c>
      <c r="D325" t="s">
        <v>374</v>
      </c>
      <c r="E325" t="s">
        <v>394</v>
      </c>
      <c r="F325" t="s">
        <v>395</v>
      </c>
      <c r="G325" s="14">
        <v>46240.758611111101</v>
      </c>
      <c r="H325" t="s">
        <v>377</v>
      </c>
    </row>
    <row r="326" spans="1:8" ht="15" customHeight="1" x14ac:dyDescent="0.3">
      <c r="A326" t="s">
        <v>423</v>
      </c>
      <c r="B326" t="s">
        <v>424</v>
      </c>
      <c r="C326" t="s">
        <v>425</v>
      </c>
      <c r="D326" t="s">
        <v>374</v>
      </c>
      <c r="E326" t="s">
        <v>375</v>
      </c>
      <c r="F326" t="s">
        <v>435</v>
      </c>
      <c r="G326" s="14">
        <v>46240.331018518496</v>
      </c>
      <c r="H326" t="s">
        <v>377</v>
      </c>
    </row>
    <row r="327" spans="1:8" ht="15" customHeight="1" x14ac:dyDescent="0.3">
      <c r="A327" t="s">
        <v>391</v>
      </c>
      <c r="B327" t="s">
        <v>392</v>
      </c>
      <c r="C327" t="s">
        <v>393</v>
      </c>
      <c r="D327" t="s">
        <v>374</v>
      </c>
      <c r="E327" t="s">
        <v>394</v>
      </c>
      <c r="F327" t="s">
        <v>395</v>
      </c>
      <c r="G327" s="14">
        <v>46240.325439814798</v>
      </c>
      <c r="H327" t="s">
        <v>390</v>
      </c>
    </row>
    <row r="328" spans="1:8" ht="15" customHeight="1" x14ac:dyDescent="0.3">
      <c r="A328" t="s">
        <v>423</v>
      </c>
      <c r="B328" t="s">
        <v>424</v>
      </c>
      <c r="C328" t="s">
        <v>425</v>
      </c>
      <c r="D328" t="s">
        <v>374</v>
      </c>
      <c r="E328" t="s">
        <v>375</v>
      </c>
      <c r="F328" t="s">
        <v>435</v>
      </c>
      <c r="G328" s="14">
        <v>46239.839155092603</v>
      </c>
      <c r="H328" t="s">
        <v>390</v>
      </c>
    </row>
    <row r="329" spans="1:8" ht="15" customHeight="1" x14ac:dyDescent="0.3">
      <c r="A329" t="s">
        <v>391</v>
      </c>
      <c r="B329" t="s">
        <v>392</v>
      </c>
      <c r="C329" t="s">
        <v>393</v>
      </c>
      <c r="D329" t="s">
        <v>374</v>
      </c>
      <c r="E329" t="s">
        <v>394</v>
      </c>
      <c r="F329" t="s">
        <v>395</v>
      </c>
      <c r="G329" s="14">
        <v>46239.749803240702</v>
      </c>
      <c r="H329" t="s">
        <v>377</v>
      </c>
    </row>
    <row r="330" spans="1:8" ht="15" customHeight="1" x14ac:dyDescent="0.3">
      <c r="A330" t="s">
        <v>391</v>
      </c>
      <c r="B330" t="s">
        <v>392</v>
      </c>
      <c r="C330" t="s">
        <v>393</v>
      </c>
      <c r="D330" t="s">
        <v>374</v>
      </c>
      <c r="E330" t="s">
        <v>394</v>
      </c>
      <c r="F330" t="s">
        <v>395</v>
      </c>
      <c r="G330" s="14">
        <v>46239.325208333299</v>
      </c>
      <c r="H330" t="s">
        <v>390</v>
      </c>
    </row>
    <row r="331" spans="1:8" ht="15" customHeight="1" x14ac:dyDescent="0.3">
      <c r="A331" t="s">
        <v>391</v>
      </c>
      <c r="B331" t="s">
        <v>392</v>
      </c>
      <c r="C331" t="s">
        <v>393</v>
      </c>
      <c r="D331" t="s">
        <v>374</v>
      </c>
      <c r="E331" t="s">
        <v>394</v>
      </c>
      <c r="F331" t="s">
        <v>395</v>
      </c>
      <c r="G331" s="14">
        <v>46238.752025463</v>
      </c>
      <c r="H331" t="s">
        <v>377</v>
      </c>
    </row>
    <row r="332" spans="1:8" ht="15" customHeight="1" x14ac:dyDescent="0.3">
      <c r="A332" t="s">
        <v>391</v>
      </c>
      <c r="B332" t="s">
        <v>392</v>
      </c>
      <c r="C332" t="s">
        <v>393</v>
      </c>
      <c r="D332" t="s">
        <v>374</v>
      </c>
      <c r="E332" t="s">
        <v>394</v>
      </c>
      <c r="F332" t="s">
        <v>395</v>
      </c>
      <c r="G332" s="14">
        <v>46238.326157407399</v>
      </c>
      <c r="H332" t="s">
        <v>390</v>
      </c>
    </row>
    <row r="333" spans="1:8" ht="15" customHeight="1" x14ac:dyDescent="0.3">
      <c r="A333" t="s">
        <v>391</v>
      </c>
      <c r="B333" t="s">
        <v>392</v>
      </c>
      <c r="C333" t="s">
        <v>393</v>
      </c>
      <c r="D333" t="s">
        <v>374</v>
      </c>
      <c r="E333" t="s">
        <v>394</v>
      </c>
      <c r="F333" t="s">
        <v>395</v>
      </c>
      <c r="G333" s="14">
        <v>46237.752268518503</v>
      </c>
      <c r="H333" t="s">
        <v>377</v>
      </c>
    </row>
    <row r="334" spans="1:8" ht="15" customHeight="1" x14ac:dyDescent="0.3">
      <c r="A334" t="s">
        <v>391</v>
      </c>
      <c r="B334" t="s">
        <v>392</v>
      </c>
      <c r="C334" t="s">
        <v>393</v>
      </c>
      <c r="D334" t="s">
        <v>374</v>
      </c>
      <c r="E334" t="s">
        <v>394</v>
      </c>
      <c r="F334" t="s">
        <v>395</v>
      </c>
      <c r="G334" s="14">
        <v>46237.324687499997</v>
      </c>
      <c r="H334" t="s">
        <v>390</v>
      </c>
    </row>
    <row r="335" spans="1:8" ht="15" customHeight="1" x14ac:dyDescent="0.3">
      <c r="A335" t="s">
        <v>436</v>
      </c>
      <c r="B335" t="s">
        <v>437</v>
      </c>
      <c r="C335" t="s">
        <v>438</v>
      </c>
      <c r="D335" t="s">
        <v>439</v>
      </c>
      <c r="E335" t="s">
        <v>375</v>
      </c>
      <c r="F335" t="s">
        <v>376</v>
      </c>
      <c r="G335" s="14">
        <v>46265.958310185197</v>
      </c>
      <c r="H335" t="s">
        <v>390</v>
      </c>
    </row>
    <row r="336" spans="1:8" ht="15" customHeight="1" x14ac:dyDescent="0.3">
      <c r="A336" t="s">
        <v>440</v>
      </c>
      <c r="B336" t="s">
        <v>441</v>
      </c>
      <c r="C336" t="s">
        <v>442</v>
      </c>
      <c r="D336" t="s">
        <v>439</v>
      </c>
      <c r="E336" t="s">
        <v>375</v>
      </c>
      <c r="F336" t="s">
        <v>376</v>
      </c>
      <c r="G336" s="14">
        <v>46265.888483796298</v>
      </c>
      <c r="H336" t="s">
        <v>377</v>
      </c>
    </row>
    <row r="337" spans="1:8" ht="15" customHeight="1" x14ac:dyDescent="0.3">
      <c r="A337" t="s">
        <v>443</v>
      </c>
      <c r="B337" t="s">
        <v>444</v>
      </c>
      <c r="C337" t="s">
        <v>445</v>
      </c>
      <c r="D337" t="s">
        <v>439</v>
      </c>
      <c r="E337" t="s">
        <v>375</v>
      </c>
      <c r="F337" t="s">
        <v>376</v>
      </c>
      <c r="G337" s="14">
        <v>46265.868287037003</v>
      </c>
      <c r="H337" t="s">
        <v>377</v>
      </c>
    </row>
    <row r="338" spans="1:8" ht="15" customHeight="1" x14ac:dyDescent="0.3">
      <c r="A338" t="s">
        <v>446</v>
      </c>
      <c r="B338" t="s">
        <v>447</v>
      </c>
      <c r="C338" t="s">
        <v>448</v>
      </c>
      <c r="D338" t="s">
        <v>439</v>
      </c>
      <c r="E338" t="s">
        <v>375</v>
      </c>
      <c r="F338" t="s">
        <v>376</v>
      </c>
      <c r="G338" s="14">
        <v>46265.867349537002</v>
      </c>
      <c r="H338" t="s">
        <v>377</v>
      </c>
    </row>
    <row r="339" spans="1:8" ht="15" customHeight="1" x14ac:dyDescent="0.3">
      <c r="A339" t="s">
        <v>449</v>
      </c>
      <c r="B339" t="s">
        <v>450</v>
      </c>
      <c r="C339" t="s">
        <v>451</v>
      </c>
      <c r="D339" t="s">
        <v>439</v>
      </c>
      <c r="E339" t="s">
        <v>375</v>
      </c>
      <c r="F339" t="s">
        <v>376</v>
      </c>
      <c r="G339" s="14">
        <v>46265.866956018501</v>
      </c>
      <c r="H339" t="s">
        <v>377</v>
      </c>
    </row>
    <row r="340" spans="1:8" ht="15" customHeight="1" x14ac:dyDescent="0.3">
      <c r="A340" t="s">
        <v>452</v>
      </c>
      <c r="B340" t="s">
        <v>453</v>
      </c>
      <c r="C340" t="s">
        <v>454</v>
      </c>
      <c r="D340" t="s">
        <v>439</v>
      </c>
      <c r="E340" t="s">
        <v>375</v>
      </c>
      <c r="F340" t="s">
        <v>376</v>
      </c>
      <c r="G340" s="14">
        <v>46265.866886574098</v>
      </c>
      <c r="H340" t="s">
        <v>377</v>
      </c>
    </row>
    <row r="341" spans="1:8" ht="15" customHeight="1" x14ac:dyDescent="0.3">
      <c r="A341" t="s">
        <v>455</v>
      </c>
      <c r="B341" t="s">
        <v>456</v>
      </c>
      <c r="C341" t="s">
        <v>457</v>
      </c>
      <c r="D341" t="s">
        <v>439</v>
      </c>
      <c r="E341" t="s">
        <v>375</v>
      </c>
      <c r="F341" t="s">
        <v>376</v>
      </c>
      <c r="G341" s="14">
        <v>46265.865127314799</v>
      </c>
      <c r="H341" t="s">
        <v>377</v>
      </c>
    </row>
    <row r="342" spans="1:8" ht="15" customHeight="1" x14ac:dyDescent="0.3">
      <c r="A342" t="s">
        <v>458</v>
      </c>
      <c r="B342" t="s">
        <v>459</v>
      </c>
      <c r="C342" t="s">
        <v>460</v>
      </c>
      <c r="D342" t="s">
        <v>439</v>
      </c>
      <c r="E342" t="s">
        <v>394</v>
      </c>
      <c r="F342" t="s">
        <v>376</v>
      </c>
      <c r="G342" s="14">
        <v>46265.857615740701</v>
      </c>
      <c r="H342" t="s">
        <v>377</v>
      </c>
    </row>
    <row r="343" spans="1:8" ht="15" customHeight="1" x14ac:dyDescent="0.3">
      <c r="A343" t="s">
        <v>461</v>
      </c>
      <c r="B343" t="s">
        <v>462</v>
      </c>
      <c r="C343" t="s">
        <v>463</v>
      </c>
      <c r="D343" t="s">
        <v>439</v>
      </c>
      <c r="E343" t="s">
        <v>375</v>
      </c>
      <c r="F343" t="s">
        <v>376</v>
      </c>
      <c r="G343" s="14">
        <v>46265.855532407397</v>
      </c>
      <c r="H343" t="s">
        <v>377</v>
      </c>
    </row>
    <row r="344" spans="1:8" ht="15" customHeight="1" x14ac:dyDescent="0.3">
      <c r="A344" t="s">
        <v>464</v>
      </c>
      <c r="B344" t="s">
        <v>465</v>
      </c>
      <c r="C344" t="s">
        <v>466</v>
      </c>
      <c r="D344" t="s">
        <v>439</v>
      </c>
      <c r="E344" t="s">
        <v>375</v>
      </c>
      <c r="F344" t="s">
        <v>376</v>
      </c>
      <c r="G344" s="14">
        <v>46265.849155092597</v>
      </c>
      <c r="H344" t="s">
        <v>377</v>
      </c>
    </row>
    <row r="345" spans="1:8" ht="15" customHeight="1" x14ac:dyDescent="0.3">
      <c r="A345" t="s">
        <v>467</v>
      </c>
      <c r="B345" t="s">
        <v>468</v>
      </c>
      <c r="C345" t="s">
        <v>469</v>
      </c>
      <c r="D345" t="s">
        <v>439</v>
      </c>
      <c r="E345" t="s">
        <v>375</v>
      </c>
      <c r="F345" t="s">
        <v>376</v>
      </c>
      <c r="G345" s="14">
        <v>46265.847488425898</v>
      </c>
      <c r="H345" t="s">
        <v>377</v>
      </c>
    </row>
    <row r="346" spans="1:8" ht="15" customHeight="1" x14ac:dyDescent="0.3">
      <c r="A346" t="s">
        <v>470</v>
      </c>
      <c r="B346" t="s">
        <v>184</v>
      </c>
      <c r="C346" t="s">
        <v>471</v>
      </c>
      <c r="D346" t="s">
        <v>439</v>
      </c>
      <c r="E346" t="s">
        <v>375</v>
      </c>
      <c r="F346" t="s">
        <v>376</v>
      </c>
      <c r="G346" s="14">
        <v>46265.845613425903</v>
      </c>
      <c r="H346" t="s">
        <v>377</v>
      </c>
    </row>
    <row r="347" spans="1:8" ht="15" customHeight="1" x14ac:dyDescent="0.3">
      <c r="A347" t="s">
        <v>472</v>
      </c>
      <c r="B347" t="s">
        <v>473</v>
      </c>
      <c r="C347" t="s">
        <v>474</v>
      </c>
      <c r="D347" t="s">
        <v>439</v>
      </c>
      <c r="E347" t="s">
        <v>23</v>
      </c>
      <c r="F347" t="s">
        <v>376</v>
      </c>
      <c r="G347" s="14">
        <v>46265.844791666699</v>
      </c>
      <c r="H347" t="s">
        <v>377</v>
      </c>
    </row>
    <row r="348" spans="1:8" ht="15" customHeight="1" x14ac:dyDescent="0.3">
      <c r="A348" t="s">
        <v>475</v>
      </c>
      <c r="B348" t="s">
        <v>476</v>
      </c>
      <c r="C348" t="s">
        <v>477</v>
      </c>
      <c r="D348" t="s">
        <v>439</v>
      </c>
      <c r="E348" t="s">
        <v>478</v>
      </c>
      <c r="F348" t="s">
        <v>376</v>
      </c>
      <c r="G348" s="14">
        <v>46265.839525463001</v>
      </c>
      <c r="H348" t="s">
        <v>377</v>
      </c>
    </row>
    <row r="349" spans="1:8" ht="15" customHeight="1" x14ac:dyDescent="0.3">
      <c r="A349" t="s">
        <v>479</v>
      </c>
      <c r="B349" t="s">
        <v>480</v>
      </c>
      <c r="C349" t="s">
        <v>481</v>
      </c>
      <c r="D349" t="s">
        <v>439</v>
      </c>
      <c r="E349" t="s">
        <v>375</v>
      </c>
      <c r="F349" t="s">
        <v>376</v>
      </c>
      <c r="G349" s="14">
        <v>46265.835138888899</v>
      </c>
      <c r="H349" t="s">
        <v>377</v>
      </c>
    </row>
    <row r="350" spans="1:8" ht="15" customHeight="1" x14ac:dyDescent="0.3">
      <c r="A350" t="s">
        <v>482</v>
      </c>
      <c r="B350" t="s">
        <v>483</v>
      </c>
      <c r="C350" t="s">
        <v>484</v>
      </c>
      <c r="D350" t="s">
        <v>439</v>
      </c>
      <c r="E350" t="s">
        <v>375</v>
      </c>
      <c r="F350" t="s">
        <v>376</v>
      </c>
      <c r="G350" s="14">
        <v>46265.8338194444</v>
      </c>
      <c r="H350" t="s">
        <v>390</v>
      </c>
    </row>
    <row r="351" spans="1:8" ht="15" customHeight="1" x14ac:dyDescent="0.3">
      <c r="A351" t="s">
        <v>485</v>
      </c>
      <c r="B351" t="s">
        <v>486</v>
      </c>
      <c r="C351" t="s">
        <v>487</v>
      </c>
      <c r="D351" t="s">
        <v>439</v>
      </c>
      <c r="E351" t="s">
        <v>394</v>
      </c>
      <c r="F351" t="s">
        <v>376</v>
      </c>
      <c r="G351" s="14">
        <v>46265.8288425926</v>
      </c>
      <c r="H351" t="s">
        <v>377</v>
      </c>
    </row>
    <row r="352" spans="1:8" ht="15" customHeight="1" x14ac:dyDescent="0.3">
      <c r="A352" t="s">
        <v>488</v>
      </c>
      <c r="B352" t="s">
        <v>489</v>
      </c>
      <c r="C352" t="s">
        <v>490</v>
      </c>
      <c r="D352" t="s">
        <v>439</v>
      </c>
      <c r="E352" t="s">
        <v>375</v>
      </c>
      <c r="F352" t="s">
        <v>376</v>
      </c>
      <c r="G352" s="14">
        <v>46265.824814814798</v>
      </c>
      <c r="H352" t="s">
        <v>390</v>
      </c>
    </row>
    <row r="353" spans="1:8" ht="15" customHeight="1" x14ac:dyDescent="0.3">
      <c r="A353" t="s">
        <v>491</v>
      </c>
      <c r="B353" t="s">
        <v>188</v>
      </c>
      <c r="C353" t="s">
        <v>492</v>
      </c>
      <c r="D353" t="s">
        <v>439</v>
      </c>
      <c r="E353" t="s">
        <v>375</v>
      </c>
      <c r="F353" t="s">
        <v>376</v>
      </c>
      <c r="G353" s="14">
        <v>46265.808645833298</v>
      </c>
      <c r="H353" t="s">
        <v>390</v>
      </c>
    </row>
    <row r="354" spans="1:8" ht="15" customHeight="1" x14ac:dyDescent="0.3">
      <c r="A354" t="s">
        <v>491</v>
      </c>
      <c r="B354" t="s">
        <v>188</v>
      </c>
      <c r="C354" t="s">
        <v>492</v>
      </c>
      <c r="D354" t="s">
        <v>439</v>
      </c>
      <c r="E354" t="s">
        <v>375</v>
      </c>
      <c r="F354" t="s">
        <v>376</v>
      </c>
      <c r="G354" s="14">
        <v>46265.808483796303</v>
      </c>
      <c r="H354" t="s">
        <v>390</v>
      </c>
    </row>
    <row r="355" spans="1:8" ht="15" customHeight="1" x14ac:dyDescent="0.3">
      <c r="A355" t="s">
        <v>493</v>
      </c>
      <c r="B355" t="s">
        <v>494</v>
      </c>
      <c r="C355" t="s">
        <v>495</v>
      </c>
      <c r="D355" t="s">
        <v>439</v>
      </c>
      <c r="E355" t="s">
        <v>375</v>
      </c>
      <c r="F355" t="s">
        <v>376</v>
      </c>
      <c r="G355" s="14">
        <v>46265.7843518519</v>
      </c>
      <c r="H355" t="s">
        <v>390</v>
      </c>
    </row>
    <row r="356" spans="1:8" ht="15" customHeight="1" x14ac:dyDescent="0.3">
      <c r="A356" t="s">
        <v>436</v>
      </c>
      <c r="B356" t="s">
        <v>437</v>
      </c>
      <c r="C356" t="s">
        <v>438</v>
      </c>
      <c r="D356" t="s">
        <v>439</v>
      </c>
      <c r="E356" t="s">
        <v>375</v>
      </c>
      <c r="F356" t="s">
        <v>376</v>
      </c>
      <c r="G356" s="14">
        <v>46265.445729166699</v>
      </c>
      <c r="H356" t="s">
        <v>377</v>
      </c>
    </row>
    <row r="357" spans="1:8" ht="15" customHeight="1" x14ac:dyDescent="0.3">
      <c r="A357" t="s">
        <v>436</v>
      </c>
      <c r="B357" t="s">
        <v>437</v>
      </c>
      <c r="C357" t="s">
        <v>438</v>
      </c>
      <c r="D357" t="s">
        <v>439</v>
      </c>
      <c r="E357" t="s">
        <v>375</v>
      </c>
      <c r="F357" t="s">
        <v>376</v>
      </c>
      <c r="G357" s="14">
        <v>46265.4370486111</v>
      </c>
      <c r="H357" t="s">
        <v>390</v>
      </c>
    </row>
    <row r="358" spans="1:8" ht="15" customHeight="1" x14ac:dyDescent="0.3">
      <c r="A358" t="s">
        <v>491</v>
      </c>
      <c r="B358" t="s">
        <v>188</v>
      </c>
      <c r="C358" t="s">
        <v>492</v>
      </c>
      <c r="D358" t="s">
        <v>439</v>
      </c>
      <c r="E358" t="s">
        <v>375</v>
      </c>
      <c r="F358" t="s">
        <v>376</v>
      </c>
      <c r="G358" s="14">
        <v>46265.376493055599</v>
      </c>
      <c r="H358" t="s">
        <v>377</v>
      </c>
    </row>
    <row r="359" spans="1:8" ht="15" customHeight="1" x14ac:dyDescent="0.3">
      <c r="A359" t="s">
        <v>443</v>
      </c>
      <c r="B359" t="s">
        <v>444</v>
      </c>
      <c r="C359" t="s">
        <v>445</v>
      </c>
      <c r="D359" t="s">
        <v>439</v>
      </c>
      <c r="E359" t="s">
        <v>375</v>
      </c>
      <c r="F359" t="s">
        <v>376</v>
      </c>
      <c r="G359" s="14">
        <v>46265.367291666698</v>
      </c>
      <c r="H359" t="s">
        <v>390</v>
      </c>
    </row>
    <row r="360" spans="1:8" ht="15" customHeight="1" x14ac:dyDescent="0.3">
      <c r="A360" t="s">
        <v>493</v>
      </c>
      <c r="B360" t="s">
        <v>494</v>
      </c>
      <c r="C360" t="s">
        <v>495</v>
      </c>
      <c r="D360" t="s">
        <v>439</v>
      </c>
      <c r="E360" t="s">
        <v>375</v>
      </c>
      <c r="F360" t="s">
        <v>376</v>
      </c>
      <c r="G360" s="14">
        <v>46265.356122685203</v>
      </c>
      <c r="H360" t="s">
        <v>377</v>
      </c>
    </row>
    <row r="361" spans="1:8" ht="15" customHeight="1" x14ac:dyDescent="0.3">
      <c r="A361" t="s">
        <v>496</v>
      </c>
      <c r="B361" t="s">
        <v>497</v>
      </c>
      <c r="C361" t="s">
        <v>498</v>
      </c>
      <c r="D361" t="s">
        <v>439</v>
      </c>
      <c r="E361" t="s">
        <v>394</v>
      </c>
      <c r="F361" t="s">
        <v>376</v>
      </c>
      <c r="G361" s="14">
        <v>46265.355277777802</v>
      </c>
      <c r="H361" t="s">
        <v>377</v>
      </c>
    </row>
    <row r="362" spans="1:8" ht="15" customHeight="1" x14ac:dyDescent="0.3">
      <c r="A362" t="s">
        <v>496</v>
      </c>
      <c r="B362" t="s">
        <v>497</v>
      </c>
      <c r="C362" t="s">
        <v>498</v>
      </c>
      <c r="D362" t="s">
        <v>439</v>
      </c>
      <c r="E362" t="s">
        <v>394</v>
      </c>
      <c r="F362" t="s">
        <v>376</v>
      </c>
      <c r="G362" s="14">
        <v>46265.355127314797</v>
      </c>
      <c r="H362" t="s">
        <v>377</v>
      </c>
    </row>
    <row r="363" spans="1:8" ht="15" customHeight="1" x14ac:dyDescent="0.3">
      <c r="A363" t="s">
        <v>449</v>
      </c>
      <c r="B363" t="s">
        <v>450</v>
      </c>
      <c r="C363" t="s">
        <v>451</v>
      </c>
      <c r="D363" t="s">
        <v>439</v>
      </c>
      <c r="E363" t="s">
        <v>375</v>
      </c>
      <c r="F363" t="s">
        <v>376</v>
      </c>
      <c r="G363" s="14">
        <v>46265.354942129597</v>
      </c>
      <c r="H363" t="s">
        <v>390</v>
      </c>
    </row>
    <row r="364" spans="1:8" ht="15" customHeight="1" x14ac:dyDescent="0.3">
      <c r="A364" t="s">
        <v>467</v>
      </c>
      <c r="B364" t="s">
        <v>468</v>
      </c>
      <c r="C364" t="s">
        <v>469</v>
      </c>
      <c r="D364" t="s">
        <v>439</v>
      </c>
      <c r="E364" t="s">
        <v>375</v>
      </c>
      <c r="F364" t="s">
        <v>376</v>
      </c>
      <c r="G364" s="14">
        <v>46265.337233796301</v>
      </c>
      <c r="H364" t="s">
        <v>390</v>
      </c>
    </row>
    <row r="365" spans="1:8" ht="15" customHeight="1" x14ac:dyDescent="0.3">
      <c r="A365" t="s">
        <v>485</v>
      </c>
      <c r="B365" t="s">
        <v>486</v>
      </c>
      <c r="C365" t="s">
        <v>487</v>
      </c>
      <c r="D365" t="s">
        <v>439</v>
      </c>
      <c r="E365" t="s">
        <v>394</v>
      </c>
      <c r="F365" t="s">
        <v>376</v>
      </c>
      <c r="G365" s="14">
        <v>46265.3355787037</v>
      </c>
      <c r="H365" t="s">
        <v>377</v>
      </c>
    </row>
    <row r="366" spans="1:8" ht="15" customHeight="1" x14ac:dyDescent="0.3">
      <c r="A366" t="s">
        <v>455</v>
      </c>
      <c r="B366" t="s">
        <v>456</v>
      </c>
      <c r="C366" t="s">
        <v>457</v>
      </c>
      <c r="D366" t="s">
        <v>439</v>
      </c>
      <c r="E366" t="s">
        <v>375</v>
      </c>
      <c r="F366" t="s">
        <v>376</v>
      </c>
      <c r="G366" s="14">
        <v>46265.335347222201</v>
      </c>
      <c r="H366" t="s">
        <v>390</v>
      </c>
    </row>
    <row r="367" spans="1:8" ht="15" customHeight="1" x14ac:dyDescent="0.3">
      <c r="A367" t="s">
        <v>488</v>
      </c>
      <c r="B367" t="s">
        <v>489</v>
      </c>
      <c r="C367" t="s">
        <v>490</v>
      </c>
      <c r="D367" t="s">
        <v>439</v>
      </c>
      <c r="E367" t="s">
        <v>375</v>
      </c>
      <c r="F367" t="s">
        <v>376</v>
      </c>
      <c r="G367" s="14">
        <v>46265.334432870397</v>
      </c>
      <c r="H367" t="s">
        <v>377</v>
      </c>
    </row>
    <row r="368" spans="1:8" ht="15" customHeight="1" x14ac:dyDescent="0.3">
      <c r="A368" t="s">
        <v>482</v>
      </c>
      <c r="B368" t="s">
        <v>483</v>
      </c>
      <c r="C368" t="s">
        <v>484</v>
      </c>
      <c r="D368" t="s">
        <v>439</v>
      </c>
      <c r="E368" t="s">
        <v>375</v>
      </c>
      <c r="F368" t="s">
        <v>376</v>
      </c>
      <c r="G368" s="14">
        <v>46265.333993055603</v>
      </c>
      <c r="H368" t="s">
        <v>377</v>
      </c>
    </row>
    <row r="369" spans="1:8" ht="15" customHeight="1" x14ac:dyDescent="0.3">
      <c r="A369" t="s">
        <v>440</v>
      </c>
      <c r="B369" t="s">
        <v>441</v>
      </c>
      <c r="C369" t="s">
        <v>442</v>
      </c>
      <c r="D369" t="s">
        <v>439</v>
      </c>
      <c r="E369" t="s">
        <v>375</v>
      </c>
      <c r="F369" t="s">
        <v>376</v>
      </c>
      <c r="G369" s="14">
        <v>46265.332731481503</v>
      </c>
      <c r="H369" t="s">
        <v>390</v>
      </c>
    </row>
    <row r="370" spans="1:8" ht="15" customHeight="1" x14ac:dyDescent="0.3">
      <c r="A370" t="s">
        <v>464</v>
      </c>
      <c r="B370" t="s">
        <v>465</v>
      </c>
      <c r="C370" t="s">
        <v>466</v>
      </c>
      <c r="D370" t="s">
        <v>439</v>
      </c>
      <c r="E370" t="s">
        <v>375</v>
      </c>
      <c r="F370" t="s">
        <v>376</v>
      </c>
      <c r="G370" s="14">
        <v>46265.332395833299</v>
      </c>
      <c r="H370" t="s">
        <v>390</v>
      </c>
    </row>
    <row r="371" spans="1:8" ht="15" customHeight="1" x14ac:dyDescent="0.3">
      <c r="A371" t="s">
        <v>458</v>
      </c>
      <c r="B371" t="s">
        <v>459</v>
      </c>
      <c r="C371" t="s">
        <v>460</v>
      </c>
      <c r="D371" t="s">
        <v>439</v>
      </c>
      <c r="E371" t="s">
        <v>394</v>
      </c>
      <c r="F371" t="s">
        <v>376</v>
      </c>
      <c r="G371" s="14">
        <v>46265.331041666701</v>
      </c>
      <c r="H371" t="s">
        <v>390</v>
      </c>
    </row>
    <row r="372" spans="1:8" ht="15" customHeight="1" x14ac:dyDescent="0.3">
      <c r="A372" t="s">
        <v>475</v>
      </c>
      <c r="B372" t="s">
        <v>476</v>
      </c>
      <c r="C372" t="s">
        <v>477</v>
      </c>
      <c r="D372" t="s">
        <v>439</v>
      </c>
      <c r="E372" t="s">
        <v>478</v>
      </c>
      <c r="F372" t="s">
        <v>376</v>
      </c>
      <c r="G372" s="14">
        <v>46265.331030092602</v>
      </c>
      <c r="H372" t="s">
        <v>390</v>
      </c>
    </row>
    <row r="373" spans="1:8" ht="15" customHeight="1" x14ac:dyDescent="0.3">
      <c r="A373" t="s">
        <v>470</v>
      </c>
      <c r="B373" t="s">
        <v>184</v>
      </c>
      <c r="C373" t="s">
        <v>471</v>
      </c>
      <c r="D373" t="s">
        <v>439</v>
      </c>
      <c r="E373" t="s">
        <v>375</v>
      </c>
      <c r="F373" t="s">
        <v>376</v>
      </c>
      <c r="G373" s="14">
        <v>46265.330451388902</v>
      </c>
      <c r="H373" t="s">
        <v>390</v>
      </c>
    </row>
    <row r="374" spans="1:8" ht="15" customHeight="1" x14ac:dyDescent="0.3">
      <c r="A374" t="s">
        <v>472</v>
      </c>
      <c r="B374" t="s">
        <v>473</v>
      </c>
      <c r="C374" t="s">
        <v>474</v>
      </c>
      <c r="D374" t="s">
        <v>439</v>
      </c>
      <c r="E374" t="s">
        <v>23</v>
      </c>
      <c r="F374" t="s">
        <v>376</v>
      </c>
      <c r="G374" s="14">
        <v>46265.326666666697</v>
      </c>
      <c r="H374" t="s">
        <v>390</v>
      </c>
    </row>
    <row r="375" spans="1:8" ht="15" customHeight="1" x14ac:dyDescent="0.3">
      <c r="A375" t="s">
        <v>479</v>
      </c>
      <c r="B375" t="s">
        <v>480</v>
      </c>
      <c r="C375" t="s">
        <v>481</v>
      </c>
      <c r="D375" t="s">
        <v>439</v>
      </c>
      <c r="E375" t="s">
        <v>375</v>
      </c>
      <c r="F375" t="s">
        <v>376</v>
      </c>
      <c r="G375" s="14">
        <v>46265.325231481504</v>
      </c>
      <c r="H375" t="s">
        <v>390</v>
      </c>
    </row>
    <row r="376" spans="1:8" ht="15" customHeight="1" x14ac:dyDescent="0.3">
      <c r="A376" t="s">
        <v>461</v>
      </c>
      <c r="B376" t="s">
        <v>462</v>
      </c>
      <c r="C376" t="s">
        <v>463</v>
      </c>
      <c r="D376" t="s">
        <v>439</v>
      </c>
      <c r="E376" t="s">
        <v>375</v>
      </c>
      <c r="F376" t="s">
        <v>376</v>
      </c>
      <c r="G376" s="14">
        <v>46265.3231481482</v>
      </c>
      <c r="H376" t="s">
        <v>390</v>
      </c>
    </row>
    <row r="377" spans="1:8" ht="15" customHeight="1" x14ac:dyDescent="0.3">
      <c r="A377" t="s">
        <v>499</v>
      </c>
      <c r="B377" t="s">
        <v>273</v>
      </c>
      <c r="C377" t="s">
        <v>500</v>
      </c>
      <c r="D377" t="s">
        <v>439</v>
      </c>
      <c r="E377" t="s">
        <v>501</v>
      </c>
      <c r="F377" t="s">
        <v>376</v>
      </c>
      <c r="G377" s="14">
        <v>46265.318796296298</v>
      </c>
      <c r="H377" t="s">
        <v>390</v>
      </c>
    </row>
    <row r="378" spans="1:8" ht="15" customHeight="1" x14ac:dyDescent="0.3">
      <c r="A378" t="s">
        <v>446</v>
      </c>
      <c r="B378" t="s">
        <v>447</v>
      </c>
      <c r="C378" t="s">
        <v>448</v>
      </c>
      <c r="D378" t="s">
        <v>439</v>
      </c>
      <c r="E378" t="s">
        <v>375</v>
      </c>
      <c r="F378" t="s">
        <v>376</v>
      </c>
      <c r="G378" s="14">
        <v>46265.317939814799</v>
      </c>
      <c r="H378" t="s">
        <v>390</v>
      </c>
    </row>
    <row r="379" spans="1:8" ht="15" customHeight="1" x14ac:dyDescent="0.3">
      <c r="A379" t="s">
        <v>452</v>
      </c>
      <c r="B379" t="s">
        <v>453</v>
      </c>
      <c r="C379" t="s">
        <v>454</v>
      </c>
      <c r="D379" t="s">
        <v>439</v>
      </c>
      <c r="E379" t="s">
        <v>375</v>
      </c>
      <c r="F379" t="s">
        <v>376</v>
      </c>
      <c r="G379" s="14">
        <v>46265.282997685201</v>
      </c>
      <c r="H379" t="s">
        <v>390</v>
      </c>
    </row>
    <row r="380" spans="1:8" ht="15" customHeight="1" x14ac:dyDescent="0.3">
      <c r="A380" t="s">
        <v>472</v>
      </c>
      <c r="B380" t="s">
        <v>473</v>
      </c>
      <c r="C380" t="s">
        <v>474</v>
      </c>
      <c r="D380" t="s">
        <v>439</v>
      </c>
      <c r="E380" t="s">
        <v>23</v>
      </c>
      <c r="F380" t="s">
        <v>376</v>
      </c>
      <c r="G380" s="14">
        <v>46264.933634259301</v>
      </c>
      <c r="H380" t="s">
        <v>377</v>
      </c>
    </row>
    <row r="381" spans="1:8" ht="15" customHeight="1" x14ac:dyDescent="0.3">
      <c r="A381" t="s">
        <v>472</v>
      </c>
      <c r="B381" t="s">
        <v>473</v>
      </c>
      <c r="C381" t="s">
        <v>474</v>
      </c>
      <c r="D381" t="s">
        <v>439</v>
      </c>
      <c r="E381" t="s">
        <v>23</v>
      </c>
      <c r="F381" t="s">
        <v>376</v>
      </c>
      <c r="G381" s="14">
        <v>46264.9322106482</v>
      </c>
      <c r="H381" t="s">
        <v>377</v>
      </c>
    </row>
    <row r="382" spans="1:8" ht="15" customHeight="1" x14ac:dyDescent="0.3">
      <c r="A382" t="s">
        <v>440</v>
      </c>
      <c r="B382" t="s">
        <v>441</v>
      </c>
      <c r="C382" t="s">
        <v>442</v>
      </c>
      <c r="D382" t="s">
        <v>439</v>
      </c>
      <c r="E382" t="s">
        <v>375</v>
      </c>
      <c r="F382" t="s">
        <v>376</v>
      </c>
      <c r="G382" s="14">
        <v>46264.854444444398</v>
      </c>
      <c r="H382" t="s">
        <v>377</v>
      </c>
    </row>
    <row r="383" spans="1:8" ht="15" customHeight="1" x14ac:dyDescent="0.3">
      <c r="A383" t="s">
        <v>440</v>
      </c>
      <c r="B383" t="s">
        <v>441</v>
      </c>
      <c r="C383" t="s">
        <v>442</v>
      </c>
      <c r="D383" t="s">
        <v>439</v>
      </c>
      <c r="E383" t="s">
        <v>375</v>
      </c>
      <c r="F383" t="s">
        <v>376</v>
      </c>
      <c r="G383" s="14">
        <v>46264.854236111103</v>
      </c>
      <c r="H383" t="s">
        <v>377</v>
      </c>
    </row>
    <row r="384" spans="1:8" ht="15" customHeight="1" x14ac:dyDescent="0.3">
      <c r="A384" t="s">
        <v>436</v>
      </c>
      <c r="B384" t="s">
        <v>437</v>
      </c>
      <c r="C384" t="s">
        <v>438</v>
      </c>
      <c r="D384" t="s">
        <v>439</v>
      </c>
      <c r="E384" t="s">
        <v>375</v>
      </c>
      <c r="F384" t="s">
        <v>376</v>
      </c>
      <c r="G384" s="14">
        <v>46264.851192129601</v>
      </c>
      <c r="H384" t="s">
        <v>390</v>
      </c>
    </row>
    <row r="385" spans="1:8" ht="15" customHeight="1" x14ac:dyDescent="0.3">
      <c r="A385" t="s">
        <v>485</v>
      </c>
      <c r="B385" t="s">
        <v>486</v>
      </c>
      <c r="C385" t="s">
        <v>487</v>
      </c>
      <c r="D385" t="s">
        <v>439</v>
      </c>
      <c r="E385" t="s">
        <v>394</v>
      </c>
      <c r="F385" t="s">
        <v>376</v>
      </c>
      <c r="G385" s="14">
        <v>46264.849571759303</v>
      </c>
      <c r="H385" t="s">
        <v>377</v>
      </c>
    </row>
    <row r="386" spans="1:8" ht="15" customHeight="1" x14ac:dyDescent="0.3">
      <c r="A386" t="s">
        <v>482</v>
      </c>
      <c r="B386" t="s">
        <v>483</v>
      </c>
      <c r="C386" t="s">
        <v>484</v>
      </c>
      <c r="D386" t="s">
        <v>439</v>
      </c>
      <c r="E386" t="s">
        <v>375</v>
      </c>
      <c r="F386" t="s">
        <v>376</v>
      </c>
      <c r="G386" s="14">
        <v>46264.847893518498</v>
      </c>
      <c r="H386" t="s">
        <v>390</v>
      </c>
    </row>
    <row r="387" spans="1:8" ht="15" customHeight="1" x14ac:dyDescent="0.3">
      <c r="A387" t="s">
        <v>470</v>
      </c>
      <c r="B387" t="s">
        <v>184</v>
      </c>
      <c r="C387" t="s">
        <v>471</v>
      </c>
      <c r="D387" t="s">
        <v>439</v>
      </c>
      <c r="E387" t="s">
        <v>375</v>
      </c>
      <c r="F387" t="s">
        <v>376</v>
      </c>
      <c r="G387" s="14">
        <v>46264.842476851903</v>
      </c>
      <c r="H387" t="s">
        <v>377</v>
      </c>
    </row>
    <row r="388" spans="1:8" ht="15" customHeight="1" x14ac:dyDescent="0.3">
      <c r="A388" t="s">
        <v>475</v>
      </c>
      <c r="B388" t="s">
        <v>476</v>
      </c>
      <c r="C388" t="s">
        <v>477</v>
      </c>
      <c r="D388" t="s">
        <v>439</v>
      </c>
      <c r="E388" t="s">
        <v>478</v>
      </c>
      <c r="F388" t="s">
        <v>376</v>
      </c>
      <c r="G388" s="14">
        <v>46264.839583333298</v>
      </c>
      <c r="H388" t="s">
        <v>377</v>
      </c>
    </row>
    <row r="389" spans="1:8" ht="15" customHeight="1" x14ac:dyDescent="0.3">
      <c r="A389" t="s">
        <v>475</v>
      </c>
      <c r="B389" t="s">
        <v>476</v>
      </c>
      <c r="C389" t="s">
        <v>477</v>
      </c>
      <c r="D389" t="s">
        <v>439</v>
      </c>
      <c r="E389" t="s">
        <v>478</v>
      </c>
      <c r="F389" t="s">
        <v>376</v>
      </c>
      <c r="G389" s="14">
        <v>46264.839074074102</v>
      </c>
      <c r="H389" t="s">
        <v>377</v>
      </c>
    </row>
    <row r="390" spans="1:8" ht="15" customHeight="1" x14ac:dyDescent="0.3">
      <c r="A390" t="s">
        <v>446</v>
      </c>
      <c r="B390" t="s">
        <v>447</v>
      </c>
      <c r="C390" t="s">
        <v>448</v>
      </c>
      <c r="D390" t="s">
        <v>439</v>
      </c>
      <c r="E390" t="s">
        <v>375</v>
      </c>
      <c r="F390" t="s">
        <v>376</v>
      </c>
      <c r="G390" s="14">
        <v>46264.8390393519</v>
      </c>
      <c r="H390" t="s">
        <v>377</v>
      </c>
    </row>
    <row r="391" spans="1:8" ht="15" customHeight="1" x14ac:dyDescent="0.3">
      <c r="A391" t="s">
        <v>467</v>
      </c>
      <c r="B391" t="s">
        <v>468</v>
      </c>
      <c r="C391" t="s">
        <v>469</v>
      </c>
      <c r="D391" t="s">
        <v>439</v>
      </c>
      <c r="E391" t="s">
        <v>375</v>
      </c>
      <c r="F391" t="s">
        <v>376</v>
      </c>
      <c r="G391" s="14">
        <v>46264.838333333297</v>
      </c>
      <c r="H391" t="s">
        <v>377</v>
      </c>
    </row>
    <row r="392" spans="1:8" ht="15" customHeight="1" x14ac:dyDescent="0.3">
      <c r="A392" t="s">
        <v>455</v>
      </c>
      <c r="B392" t="s">
        <v>456</v>
      </c>
      <c r="C392" t="s">
        <v>457</v>
      </c>
      <c r="D392" t="s">
        <v>439</v>
      </c>
      <c r="E392" t="s">
        <v>375</v>
      </c>
      <c r="F392" t="s">
        <v>376</v>
      </c>
      <c r="G392" s="14">
        <v>46264.835474537002</v>
      </c>
      <c r="H392" t="s">
        <v>377</v>
      </c>
    </row>
    <row r="393" spans="1:8" ht="15" customHeight="1" x14ac:dyDescent="0.3">
      <c r="A393" t="s">
        <v>491</v>
      </c>
      <c r="B393" t="s">
        <v>188</v>
      </c>
      <c r="C393" t="s">
        <v>492</v>
      </c>
      <c r="D393" t="s">
        <v>439</v>
      </c>
      <c r="E393" t="s">
        <v>375</v>
      </c>
      <c r="F393" t="s">
        <v>376</v>
      </c>
      <c r="G393" s="14">
        <v>46264.834386574097</v>
      </c>
      <c r="H393" t="s">
        <v>390</v>
      </c>
    </row>
    <row r="394" spans="1:8" ht="15" customHeight="1" x14ac:dyDescent="0.3">
      <c r="A394" t="s">
        <v>496</v>
      </c>
      <c r="B394" t="s">
        <v>497</v>
      </c>
      <c r="C394" t="s">
        <v>498</v>
      </c>
      <c r="D394" t="s">
        <v>439</v>
      </c>
      <c r="E394" t="s">
        <v>394</v>
      </c>
      <c r="F394" t="s">
        <v>376</v>
      </c>
      <c r="G394" s="14">
        <v>46264.834340277797</v>
      </c>
      <c r="H394" t="s">
        <v>390</v>
      </c>
    </row>
    <row r="395" spans="1:8" ht="15" customHeight="1" x14ac:dyDescent="0.3">
      <c r="A395" t="s">
        <v>449</v>
      </c>
      <c r="B395" t="s">
        <v>450</v>
      </c>
      <c r="C395" t="s">
        <v>451</v>
      </c>
      <c r="D395" t="s">
        <v>439</v>
      </c>
      <c r="E395" t="s">
        <v>375</v>
      </c>
      <c r="F395" t="s">
        <v>376</v>
      </c>
      <c r="G395" s="14">
        <v>46264.834155092598</v>
      </c>
      <c r="H395" t="s">
        <v>377</v>
      </c>
    </row>
    <row r="396" spans="1:8" ht="15" customHeight="1" x14ac:dyDescent="0.3">
      <c r="A396" t="s">
        <v>464</v>
      </c>
      <c r="B396" t="s">
        <v>465</v>
      </c>
      <c r="C396" t="s">
        <v>466</v>
      </c>
      <c r="D396" t="s">
        <v>439</v>
      </c>
      <c r="E396" t="s">
        <v>375</v>
      </c>
      <c r="F396" t="s">
        <v>376</v>
      </c>
      <c r="G396" s="14">
        <v>46264.833854166704</v>
      </c>
      <c r="H396" t="s">
        <v>377</v>
      </c>
    </row>
    <row r="397" spans="1:8" ht="15" customHeight="1" x14ac:dyDescent="0.3">
      <c r="A397" t="s">
        <v>488</v>
      </c>
      <c r="B397" t="s">
        <v>489</v>
      </c>
      <c r="C397" t="s">
        <v>490</v>
      </c>
      <c r="D397" t="s">
        <v>439</v>
      </c>
      <c r="E397" t="s">
        <v>375</v>
      </c>
      <c r="F397" t="s">
        <v>376</v>
      </c>
      <c r="G397" s="14">
        <v>46264.833807870396</v>
      </c>
      <c r="H397" t="s">
        <v>390</v>
      </c>
    </row>
    <row r="398" spans="1:8" ht="15" customHeight="1" x14ac:dyDescent="0.3">
      <c r="A398" t="s">
        <v>443</v>
      </c>
      <c r="B398" t="s">
        <v>444</v>
      </c>
      <c r="C398" t="s">
        <v>445</v>
      </c>
      <c r="D398" t="s">
        <v>439</v>
      </c>
      <c r="E398" t="s">
        <v>375</v>
      </c>
      <c r="F398" t="s">
        <v>376</v>
      </c>
      <c r="G398" s="14">
        <v>46264.833587963003</v>
      </c>
      <c r="H398" t="s">
        <v>377</v>
      </c>
    </row>
    <row r="399" spans="1:8" ht="15" customHeight="1" x14ac:dyDescent="0.3">
      <c r="A399" t="s">
        <v>452</v>
      </c>
      <c r="B399" t="s">
        <v>453</v>
      </c>
      <c r="C399" t="s">
        <v>454</v>
      </c>
      <c r="D399" t="s">
        <v>439</v>
      </c>
      <c r="E399" t="s">
        <v>375</v>
      </c>
      <c r="F399" t="s">
        <v>376</v>
      </c>
      <c r="G399" s="14">
        <v>46264.833541666703</v>
      </c>
      <c r="H399" t="s">
        <v>377</v>
      </c>
    </row>
    <row r="400" spans="1:8" ht="15" customHeight="1" x14ac:dyDescent="0.3">
      <c r="A400" t="s">
        <v>479</v>
      </c>
      <c r="B400" t="s">
        <v>480</v>
      </c>
      <c r="C400" t="s">
        <v>481</v>
      </c>
      <c r="D400" t="s">
        <v>439</v>
      </c>
      <c r="E400" t="s">
        <v>375</v>
      </c>
      <c r="F400" t="s">
        <v>376</v>
      </c>
      <c r="G400" s="14">
        <v>46264.8335069444</v>
      </c>
      <c r="H400" t="s">
        <v>377</v>
      </c>
    </row>
    <row r="401" spans="1:8" ht="15" customHeight="1" x14ac:dyDescent="0.3">
      <c r="A401" t="s">
        <v>493</v>
      </c>
      <c r="B401" t="s">
        <v>494</v>
      </c>
      <c r="C401" t="s">
        <v>495</v>
      </c>
      <c r="D401" t="s">
        <v>439</v>
      </c>
      <c r="E401" t="s">
        <v>375</v>
      </c>
      <c r="F401" t="s">
        <v>376</v>
      </c>
      <c r="G401" s="14">
        <v>46264.419525463003</v>
      </c>
      <c r="H401" t="s">
        <v>377</v>
      </c>
    </row>
    <row r="402" spans="1:8" ht="15" customHeight="1" x14ac:dyDescent="0.3">
      <c r="A402" t="s">
        <v>491</v>
      </c>
      <c r="B402" t="s">
        <v>188</v>
      </c>
      <c r="C402" t="s">
        <v>492</v>
      </c>
      <c r="D402" t="s">
        <v>439</v>
      </c>
      <c r="E402" t="s">
        <v>375</v>
      </c>
      <c r="F402" t="s">
        <v>376</v>
      </c>
      <c r="G402" s="14">
        <v>46264.367384259298</v>
      </c>
      <c r="H402" t="s">
        <v>377</v>
      </c>
    </row>
    <row r="403" spans="1:8" ht="15" customHeight="1" x14ac:dyDescent="0.3">
      <c r="A403" t="s">
        <v>496</v>
      </c>
      <c r="B403" t="s">
        <v>497</v>
      </c>
      <c r="C403" t="s">
        <v>498</v>
      </c>
      <c r="D403" t="s">
        <v>439</v>
      </c>
      <c r="E403" t="s">
        <v>394</v>
      </c>
      <c r="F403" t="s">
        <v>376</v>
      </c>
      <c r="G403" s="14">
        <v>46264.363240740699</v>
      </c>
      <c r="H403" t="s">
        <v>377</v>
      </c>
    </row>
    <row r="404" spans="1:8" ht="15" customHeight="1" x14ac:dyDescent="0.3">
      <c r="A404" t="s">
        <v>482</v>
      </c>
      <c r="B404" t="s">
        <v>483</v>
      </c>
      <c r="C404" t="s">
        <v>484</v>
      </c>
      <c r="D404" t="s">
        <v>439</v>
      </c>
      <c r="E404" t="s">
        <v>375</v>
      </c>
      <c r="F404" t="s">
        <v>376</v>
      </c>
      <c r="G404" s="14">
        <v>46264.363009259301</v>
      </c>
      <c r="H404" t="s">
        <v>377</v>
      </c>
    </row>
    <row r="405" spans="1:8" ht="15" customHeight="1" x14ac:dyDescent="0.3">
      <c r="A405" t="s">
        <v>458</v>
      </c>
      <c r="B405" t="s">
        <v>459</v>
      </c>
      <c r="C405" t="s">
        <v>460</v>
      </c>
      <c r="D405" t="s">
        <v>439</v>
      </c>
      <c r="E405" t="s">
        <v>394</v>
      </c>
      <c r="F405" t="s">
        <v>376</v>
      </c>
      <c r="G405" s="14">
        <v>46264.342326388898</v>
      </c>
      <c r="H405" t="s">
        <v>390</v>
      </c>
    </row>
    <row r="406" spans="1:8" ht="15" customHeight="1" x14ac:dyDescent="0.3">
      <c r="A406" t="s">
        <v>449</v>
      </c>
      <c r="B406" t="s">
        <v>450</v>
      </c>
      <c r="C406" t="s">
        <v>451</v>
      </c>
      <c r="D406" t="s">
        <v>439</v>
      </c>
      <c r="E406" t="s">
        <v>375</v>
      </c>
      <c r="F406" t="s">
        <v>376</v>
      </c>
      <c r="G406" s="14">
        <v>46264.339062500003</v>
      </c>
      <c r="H406" t="s">
        <v>390</v>
      </c>
    </row>
    <row r="407" spans="1:8" ht="15" customHeight="1" x14ac:dyDescent="0.3">
      <c r="A407" t="s">
        <v>449</v>
      </c>
      <c r="B407" t="s">
        <v>450</v>
      </c>
      <c r="C407" t="s">
        <v>451</v>
      </c>
      <c r="D407" t="s">
        <v>439</v>
      </c>
      <c r="E407" t="s">
        <v>375</v>
      </c>
      <c r="F407" t="s">
        <v>376</v>
      </c>
      <c r="G407" s="14">
        <v>46264.337037037003</v>
      </c>
      <c r="H407" t="s">
        <v>390</v>
      </c>
    </row>
    <row r="408" spans="1:8" ht="15" customHeight="1" x14ac:dyDescent="0.3">
      <c r="A408" t="s">
        <v>467</v>
      </c>
      <c r="B408" t="s">
        <v>468</v>
      </c>
      <c r="C408" t="s">
        <v>469</v>
      </c>
      <c r="D408" t="s">
        <v>439</v>
      </c>
      <c r="E408" t="s">
        <v>375</v>
      </c>
      <c r="F408" t="s">
        <v>376</v>
      </c>
      <c r="G408" s="14">
        <v>46264.336944444498</v>
      </c>
      <c r="H408" t="s">
        <v>390</v>
      </c>
    </row>
    <row r="409" spans="1:8" ht="15" customHeight="1" x14ac:dyDescent="0.3">
      <c r="A409" t="s">
        <v>440</v>
      </c>
      <c r="B409" t="s">
        <v>441</v>
      </c>
      <c r="C409" t="s">
        <v>442</v>
      </c>
      <c r="D409" t="s">
        <v>439</v>
      </c>
      <c r="E409" t="s">
        <v>375</v>
      </c>
      <c r="F409" t="s">
        <v>376</v>
      </c>
      <c r="G409" s="14">
        <v>46264.3358912037</v>
      </c>
      <c r="H409" t="s">
        <v>390</v>
      </c>
    </row>
    <row r="410" spans="1:8" ht="15" customHeight="1" x14ac:dyDescent="0.3">
      <c r="A410" t="s">
        <v>464</v>
      </c>
      <c r="B410" t="s">
        <v>465</v>
      </c>
      <c r="C410" t="s">
        <v>466</v>
      </c>
      <c r="D410" t="s">
        <v>439</v>
      </c>
      <c r="E410" t="s">
        <v>375</v>
      </c>
      <c r="F410" t="s">
        <v>376</v>
      </c>
      <c r="G410" s="14">
        <v>46264.335243055597</v>
      </c>
      <c r="H410" t="s">
        <v>390</v>
      </c>
    </row>
    <row r="411" spans="1:8" ht="15" customHeight="1" x14ac:dyDescent="0.3">
      <c r="A411" t="s">
        <v>479</v>
      </c>
      <c r="B411" t="s">
        <v>480</v>
      </c>
      <c r="C411" t="s">
        <v>481</v>
      </c>
      <c r="D411" t="s">
        <v>439</v>
      </c>
      <c r="E411" t="s">
        <v>375</v>
      </c>
      <c r="F411" t="s">
        <v>376</v>
      </c>
      <c r="G411" s="14">
        <v>46264.334710648203</v>
      </c>
      <c r="H411" t="s">
        <v>390</v>
      </c>
    </row>
    <row r="412" spans="1:8" ht="15" customHeight="1" x14ac:dyDescent="0.3">
      <c r="A412" t="s">
        <v>443</v>
      </c>
      <c r="B412" t="s">
        <v>444</v>
      </c>
      <c r="C412" t="s">
        <v>445</v>
      </c>
      <c r="D412" t="s">
        <v>439</v>
      </c>
      <c r="E412" t="s">
        <v>375</v>
      </c>
      <c r="F412" t="s">
        <v>376</v>
      </c>
      <c r="G412" s="14">
        <v>46264.334652777798</v>
      </c>
      <c r="H412" t="s">
        <v>390</v>
      </c>
    </row>
    <row r="413" spans="1:8" ht="15" customHeight="1" x14ac:dyDescent="0.3">
      <c r="A413" t="s">
        <v>488</v>
      </c>
      <c r="B413" t="s">
        <v>489</v>
      </c>
      <c r="C413" t="s">
        <v>490</v>
      </c>
      <c r="D413" t="s">
        <v>439</v>
      </c>
      <c r="E413" t="s">
        <v>375</v>
      </c>
      <c r="F413" t="s">
        <v>376</v>
      </c>
      <c r="G413" s="14">
        <v>46264.334560185198</v>
      </c>
      <c r="H413" t="s">
        <v>377</v>
      </c>
    </row>
    <row r="414" spans="1:8" ht="15" customHeight="1" x14ac:dyDescent="0.3">
      <c r="A414" t="s">
        <v>455</v>
      </c>
      <c r="B414" t="s">
        <v>456</v>
      </c>
      <c r="C414" t="s">
        <v>457</v>
      </c>
      <c r="D414" t="s">
        <v>439</v>
      </c>
      <c r="E414" t="s">
        <v>375</v>
      </c>
      <c r="F414" t="s">
        <v>376</v>
      </c>
      <c r="G414" s="14">
        <v>46264.330532407403</v>
      </c>
      <c r="H414" t="s">
        <v>390</v>
      </c>
    </row>
    <row r="415" spans="1:8" ht="15" customHeight="1" x14ac:dyDescent="0.3">
      <c r="A415" t="s">
        <v>475</v>
      </c>
      <c r="B415" t="s">
        <v>476</v>
      </c>
      <c r="C415" t="s">
        <v>477</v>
      </c>
      <c r="D415" t="s">
        <v>439</v>
      </c>
      <c r="E415" t="s">
        <v>478</v>
      </c>
      <c r="F415" t="s">
        <v>376</v>
      </c>
      <c r="G415" s="14">
        <v>46264.326608796298</v>
      </c>
      <c r="H415" t="s">
        <v>390</v>
      </c>
    </row>
    <row r="416" spans="1:8" ht="15" customHeight="1" x14ac:dyDescent="0.3">
      <c r="A416" t="s">
        <v>485</v>
      </c>
      <c r="B416" t="s">
        <v>486</v>
      </c>
      <c r="C416" t="s">
        <v>487</v>
      </c>
      <c r="D416" t="s">
        <v>439</v>
      </c>
      <c r="E416" t="s">
        <v>394</v>
      </c>
      <c r="F416" t="s">
        <v>376</v>
      </c>
      <c r="G416" s="14">
        <v>46264.324212963002</v>
      </c>
      <c r="H416" t="s">
        <v>390</v>
      </c>
    </row>
    <row r="417" spans="1:8" ht="15" customHeight="1" x14ac:dyDescent="0.3">
      <c r="A417" t="s">
        <v>472</v>
      </c>
      <c r="B417" t="s">
        <v>473</v>
      </c>
      <c r="C417" t="s">
        <v>474</v>
      </c>
      <c r="D417" t="s">
        <v>439</v>
      </c>
      <c r="E417" t="s">
        <v>23</v>
      </c>
      <c r="F417" t="s">
        <v>376</v>
      </c>
      <c r="G417" s="14">
        <v>46264.320625</v>
      </c>
      <c r="H417" t="s">
        <v>390</v>
      </c>
    </row>
    <row r="418" spans="1:8" ht="15" customHeight="1" x14ac:dyDescent="0.3">
      <c r="A418" t="s">
        <v>499</v>
      </c>
      <c r="B418" t="s">
        <v>273</v>
      </c>
      <c r="C418" t="s">
        <v>500</v>
      </c>
      <c r="D418" t="s">
        <v>439</v>
      </c>
      <c r="E418" t="s">
        <v>501</v>
      </c>
      <c r="F418" t="s">
        <v>376</v>
      </c>
      <c r="G418" s="14">
        <v>46264.318391203698</v>
      </c>
      <c r="H418" t="s">
        <v>390</v>
      </c>
    </row>
    <row r="419" spans="1:8" ht="15" customHeight="1" x14ac:dyDescent="0.3">
      <c r="A419" t="s">
        <v>446</v>
      </c>
      <c r="B419" t="s">
        <v>447</v>
      </c>
      <c r="C419" t="s">
        <v>448</v>
      </c>
      <c r="D419" t="s">
        <v>439</v>
      </c>
      <c r="E419" t="s">
        <v>375</v>
      </c>
      <c r="F419" t="s">
        <v>376</v>
      </c>
      <c r="G419" s="14">
        <v>46264.317175925898</v>
      </c>
      <c r="H419" t="s">
        <v>390</v>
      </c>
    </row>
    <row r="420" spans="1:8" ht="15" customHeight="1" x14ac:dyDescent="0.3">
      <c r="A420" t="s">
        <v>452</v>
      </c>
      <c r="B420" t="s">
        <v>453</v>
      </c>
      <c r="C420" t="s">
        <v>454</v>
      </c>
      <c r="D420" t="s">
        <v>439</v>
      </c>
      <c r="E420" t="s">
        <v>375</v>
      </c>
      <c r="F420" t="s">
        <v>376</v>
      </c>
      <c r="G420" s="14">
        <v>46264.315405092602</v>
      </c>
      <c r="H420" t="s">
        <v>390</v>
      </c>
    </row>
    <row r="421" spans="1:8" ht="15" customHeight="1" x14ac:dyDescent="0.3">
      <c r="A421" t="s">
        <v>458</v>
      </c>
      <c r="B421" t="s">
        <v>459</v>
      </c>
      <c r="C421" t="s">
        <v>460</v>
      </c>
      <c r="D421" t="s">
        <v>439</v>
      </c>
      <c r="E421" t="s">
        <v>394</v>
      </c>
      <c r="F421" t="s">
        <v>376</v>
      </c>
      <c r="G421" s="14">
        <v>46263.959398148101</v>
      </c>
      <c r="H421" t="s">
        <v>377</v>
      </c>
    </row>
    <row r="422" spans="1:8" ht="15" customHeight="1" x14ac:dyDescent="0.3">
      <c r="A422" t="s">
        <v>449</v>
      </c>
      <c r="B422" t="s">
        <v>450</v>
      </c>
      <c r="C422" t="s">
        <v>451</v>
      </c>
      <c r="D422" t="s">
        <v>439</v>
      </c>
      <c r="E422" t="s">
        <v>375</v>
      </c>
      <c r="F422" t="s">
        <v>376</v>
      </c>
      <c r="G422" s="14">
        <v>46263.9453125</v>
      </c>
      <c r="H422" t="s">
        <v>377</v>
      </c>
    </row>
    <row r="423" spans="1:8" ht="15" customHeight="1" x14ac:dyDescent="0.3">
      <c r="A423" t="s">
        <v>493</v>
      </c>
      <c r="B423" t="s">
        <v>494</v>
      </c>
      <c r="C423" t="s">
        <v>495</v>
      </c>
      <c r="D423" t="s">
        <v>439</v>
      </c>
      <c r="E423" t="s">
        <v>375</v>
      </c>
      <c r="F423" t="s">
        <v>376</v>
      </c>
      <c r="G423" s="14">
        <v>46263.926712963003</v>
      </c>
      <c r="H423" t="s">
        <v>390</v>
      </c>
    </row>
    <row r="424" spans="1:8" ht="15" customHeight="1" x14ac:dyDescent="0.3">
      <c r="A424" t="s">
        <v>493</v>
      </c>
      <c r="B424" t="s">
        <v>494</v>
      </c>
      <c r="C424" t="s">
        <v>495</v>
      </c>
      <c r="D424" t="s">
        <v>439</v>
      </c>
      <c r="E424" t="s">
        <v>375</v>
      </c>
      <c r="F424" t="s">
        <v>376</v>
      </c>
      <c r="G424" s="14">
        <v>46263.925856481503</v>
      </c>
      <c r="H424" t="s">
        <v>390</v>
      </c>
    </row>
    <row r="425" spans="1:8" ht="15" customHeight="1" x14ac:dyDescent="0.3">
      <c r="A425" t="s">
        <v>452</v>
      </c>
      <c r="B425" t="s">
        <v>453</v>
      </c>
      <c r="C425" t="s">
        <v>454</v>
      </c>
      <c r="D425" t="s">
        <v>439</v>
      </c>
      <c r="E425" t="s">
        <v>375</v>
      </c>
      <c r="F425" t="s">
        <v>376</v>
      </c>
      <c r="G425" s="14">
        <v>46263.869641203702</v>
      </c>
      <c r="H425" t="s">
        <v>377</v>
      </c>
    </row>
    <row r="426" spans="1:8" ht="15" customHeight="1" x14ac:dyDescent="0.3">
      <c r="A426" t="s">
        <v>472</v>
      </c>
      <c r="B426" t="s">
        <v>473</v>
      </c>
      <c r="C426" t="s">
        <v>474</v>
      </c>
      <c r="D426" t="s">
        <v>439</v>
      </c>
      <c r="E426" t="s">
        <v>23</v>
      </c>
      <c r="F426" t="s">
        <v>376</v>
      </c>
      <c r="G426" s="14">
        <v>46263.8694791667</v>
      </c>
      <c r="H426" t="s">
        <v>377</v>
      </c>
    </row>
    <row r="427" spans="1:8" ht="15" customHeight="1" x14ac:dyDescent="0.3">
      <c r="A427" t="s">
        <v>485</v>
      </c>
      <c r="B427" t="s">
        <v>486</v>
      </c>
      <c r="C427" t="s">
        <v>487</v>
      </c>
      <c r="D427" t="s">
        <v>439</v>
      </c>
      <c r="E427" t="s">
        <v>394</v>
      </c>
      <c r="F427" t="s">
        <v>376</v>
      </c>
      <c r="G427" s="14">
        <v>46263.855706018498</v>
      </c>
      <c r="H427" t="s">
        <v>377</v>
      </c>
    </row>
    <row r="428" spans="1:8" ht="15" customHeight="1" x14ac:dyDescent="0.3">
      <c r="A428" t="s">
        <v>475</v>
      </c>
      <c r="B428" t="s">
        <v>476</v>
      </c>
      <c r="C428" t="s">
        <v>477</v>
      </c>
      <c r="D428" t="s">
        <v>439</v>
      </c>
      <c r="E428" t="s">
        <v>478</v>
      </c>
      <c r="F428" t="s">
        <v>376</v>
      </c>
      <c r="G428" s="14">
        <v>46263.834583333301</v>
      </c>
      <c r="H428" t="s">
        <v>377</v>
      </c>
    </row>
    <row r="429" spans="1:8" ht="15" customHeight="1" x14ac:dyDescent="0.3">
      <c r="A429" t="s">
        <v>470</v>
      </c>
      <c r="B429" t="s">
        <v>184</v>
      </c>
      <c r="C429" t="s">
        <v>471</v>
      </c>
      <c r="D429" t="s">
        <v>439</v>
      </c>
      <c r="E429" t="s">
        <v>375</v>
      </c>
      <c r="F429" t="s">
        <v>376</v>
      </c>
      <c r="G429" s="14">
        <v>46263.834548611099</v>
      </c>
      <c r="H429" t="s">
        <v>377</v>
      </c>
    </row>
    <row r="430" spans="1:8" ht="15" customHeight="1" x14ac:dyDescent="0.3">
      <c r="A430" t="s">
        <v>479</v>
      </c>
      <c r="B430" t="s">
        <v>480</v>
      </c>
      <c r="C430" t="s">
        <v>481</v>
      </c>
      <c r="D430" t="s">
        <v>439</v>
      </c>
      <c r="E430" t="s">
        <v>375</v>
      </c>
      <c r="F430" t="s">
        <v>376</v>
      </c>
      <c r="G430" s="14">
        <v>46263.834293981497</v>
      </c>
      <c r="H430" t="s">
        <v>377</v>
      </c>
    </row>
    <row r="431" spans="1:8" ht="15" customHeight="1" x14ac:dyDescent="0.3">
      <c r="A431" t="s">
        <v>440</v>
      </c>
      <c r="B431" t="s">
        <v>441</v>
      </c>
      <c r="C431" t="s">
        <v>442</v>
      </c>
      <c r="D431" t="s">
        <v>439</v>
      </c>
      <c r="E431" t="s">
        <v>375</v>
      </c>
      <c r="F431" t="s">
        <v>376</v>
      </c>
      <c r="G431" s="14">
        <v>46263.834236111099</v>
      </c>
      <c r="H431" t="s">
        <v>377</v>
      </c>
    </row>
    <row r="432" spans="1:8" ht="15" customHeight="1" x14ac:dyDescent="0.3">
      <c r="A432" t="s">
        <v>482</v>
      </c>
      <c r="B432" t="s">
        <v>483</v>
      </c>
      <c r="C432" t="s">
        <v>484</v>
      </c>
      <c r="D432" t="s">
        <v>439</v>
      </c>
      <c r="E432" t="s">
        <v>375</v>
      </c>
      <c r="F432" t="s">
        <v>376</v>
      </c>
      <c r="G432" s="14">
        <v>46263.833495370403</v>
      </c>
      <c r="H432" t="s">
        <v>390</v>
      </c>
    </row>
    <row r="433" spans="1:8" ht="15" customHeight="1" x14ac:dyDescent="0.3">
      <c r="A433" t="s">
        <v>496</v>
      </c>
      <c r="B433" t="s">
        <v>497</v>
      </c>
      <c r="C433" t="s">
        <v>498</v>
      </c>
      <c r="D433" t="s">
        <v>439</v>
      </c>
      <c r="E433" t="s">
        <v>394</v>
      </c>
      <c r="F433" t="s">
        <v>376</v>
      </c>
      <c r="G433" s="14">
        <v>46263.832650463002</v>
      </c>
      <c r="H433" t="s">
        <v>390</v>
      </c>
    </row>
    <row r="434" spans="1:8" ht="15" customHeight="1" x14ac:dyDescent="0.3">
      <c r="A434" t="s">
        <v>443</v>
      </c>
      <c r="B434" t="s">
        <v>444</v>
      </c>
      <c r="C434" t="s">
        <v>445</v>
      </c>
      <c r="D434" t="s">
        <v>439</v>
      </c>
      <c r="E434" t="s">
        <v>375</v>
      </c>
      <c r="F434" t="s">
        <v>376</v>
      </c>
      <c r="G434" s="14">
        <v>46263.832581018498</v>
      </c>
      <c r="H434" t="s">
        <v>377</v>
      </c>
    </row>
    <row r="435" spans="1:8" ht="15" customHeight="1" x14ac:dyDescent="0.3">
      <c r="A435" t="s">
        <v>436</v>
      </c>
      <c r="B435" t="s">
        <v>437</v>
      </c>
      <c r="C435" t="s">
        <v>438</v>
      </c>
      <c r="D435" t="s">
        <v>439</v>
      </c>
      <c r="E435" t="s">
        <v>375</v>
      </c>
      <c r="F435" t="s">
        <v>376</v>
      </c>
      <c r="G435" s="14">
        <v>46263.828819444498</v>
      </c>
      <c r="H435" t="s">
        <v>390</v>
      </c>
    </row>
    <row r="436" spans="1:8" ht="15" customHeight="1" x14ac:dyDescent="0.3">
      <c r="A436" t="s">
        <v>464</v>
      </c>
      <c r="B436" t="s">
        <v>465</v>
      </c>
      <c r="C436" t="s">
        <v>466</v>
      </c>
      <c r="D436" t="s">
        <v>439</v>
      </c>
      <c r="E436" t="s">
        <v>375</v>
      </c>
      <c r="F436" t="s">
        <v>376</v>
      </c>
      <c r="G436" s="14">
        <v>46263.827881944497</v>
      </c>
      <c r="H436" t="s">
        <v>377</v>
      </c>
    </row>
    <row r="437" spans="1:8" ht="15" customHeight="1" x14ac:dyDescent="0.3">
      <c r="A437" t="s">
        <v>488</v>
      </c>
      <c r="B437" t="s">
        <v>489</v>
      </c>
      <c r="C437" t="s">
        <v>490</v>
      </c>
      <c r="D437" t="s">
        <v>439</v>
      </c>
      <c r="E437" t="s">
        <v>375</v>
      </c>
      <c r="F437" t="s">
        <v>376</v>
      </c>
      <c r="G437" s="14">
        <v>46263.8257407407</v>
      </c>
      <c r="H437" t="s">
        <v>390</v>
      </c>
    </row>
    <row r="438" spans="1:8" ht="15" customHeight="1" x14ac:dyDescent="0.3">
      <c r="A438" t="s">
        <v>491</v>
      </c>
      <c r="B438" t="s">
        <v>188</v>
      </c>
      <c r="C438" t="s">
        <v>492</v>
      </c>
      <c r="D438" t="s">
        <v>439</v>
      </c>
      <c r="E438" t="s">
        <v>375</v>
      </c>
      <c r="F438" t="s">
        <v>376</v>
      </c>
      <c r="G438" s="14">
        <v>46263.823877314797</v>
      </c>
      <c r="H438" t="s">
        <v>390</v>
      </c>
    </row>
    <row r="439" spans="1:8" ht="15" customHeight="1" x14ac:dyDescent="0.3">
      <c r="A439" t="s">
        <v>436</v>
      </c>
      <c r="B439" t="s">
        <v>437</v>
      </c>
      <c r="C439" t="s">
        <v>438</v>
      </c>
      <c r="D439" t="s">
        <v>439</v>
      </c>
      <c r="E439" t="s">
        <v>375</v>
      </c>
      <c r="F439" t="s">
        <v>376</v>
      </c>
      <c r="G439" s="14">
        <v>46263.378553240698</v>
      </c>
      <c r="H439" t="s">
        <v>377</v>
      </c>
    </row>
    <row r="440" spans="1:8" ht="15" customHeight="1" x14ac:dyDescent="0.3">
      <c r="A440" t="s">
        <v>485</v>
      </c>
      <c r="B440" t="s">
        <v>486</v>
      </c>
      <c r="C440" t="s">
        <v>487</v>
      </c>
      <c r="D440" t="s">
        <v>439</v>
      </c>
      <c r="E440" t="s">
        <v>394</v>
      </c>
      <c r="F440" t="s">
        <v>376</v>
      </c>
      <c r="G440" s="14">
        <v>46263.375601851898</v>
      </c>
      <c r="H440" t="s">
        <v>390</v>
      </c>
    </row>
    <row r="441" spans="1:8" ht="15" customHeight="1" x14ac:dyDescent="0.3">
      <c r="A441" t="s">
        <v>496</v>
      </c>
      <c r="B441" t="s">
        <v>497</v>
      </c>
      <c r="C441" t="s">
        <v>498</v>
      </c>
      <c r="D441" t="s">
        <v>439</v>
      </c>
      <c r="E441" t="s">
        <v>394</v>
      </c>
      <c r="F441" t="s">
        <v>376</v>
      </c>
      <c r="G441" s="14">
        <v>46263.3754513889</v>
      </c>
      <c r="H441" t="s">
        <v>377</v>
      </c>
    </row>
    <row r="442" spans="1:8" ht="15" customHeight="1" x14ac:dyDescent="0.3">
      <c r="A442" t="s">
        <v>472</v>
      </c>
      <c r="B442" t="s">
        <v>473</v>
      </c>
      <c r="C442" t="s">
        <v>474</v>
      </c>
      <c r="D442" t="s">
        <v>439</v>
      </c>
      <c r="E442" t="s">
        <v>23</v>
      </c>
      <c r="F442" t="s">
        <v>376</v>
      </c>
      <c r="G442" s="14">
        <v>46263.363564814797</v>
      </c>
      <c r="H442" t="s">
        <v>390</v>
      </c>
    </row>
    <row r="443" spans="1:8" ht="15" customHeight="1" x14ac:dyDescent="0.3">
      <c r="A443" t="s">
        <v>488</v>
      </c>
      <c r="B443" t="s">
        <v>489</v>
      </c>
      <c r="C443" t="s">
        <v>490</v>
      </c>
      <c r="D443" t="s">
        <v>439</v>
      </c>
      <c r="E443" t="s">
        <v>375</v>
      </c>
      <c r="F443" t="s">
        <v>376</v>
      </c>
      <c r="G443" s="14">
        <v>46263.342118055603</v>
      </c>
      <c r="H443" t="s">
        <v>377</v>
      </c>
    </row>
    <row r="444" spans="1:8" ht="15" customHeight="1" x14ac:dyDescent="0.3">
      <c r="A444" t="s">
        <v>475</v>
      </c>
      <c r="B444" t="s">
        <v>476</v>
      </c>
      <c r="C444" t="s">
        <v>477</v>
      </c>
      <c r="D444" t="s">
        <v>439</v>
      </c>
      <c r="E444" t="s">
        <v>478</v>
      </c>
      <c r="F444" t="s">
        <v>376</v>
      </c>
      <c r="G444" s="14">
        <v>46263.335046296299</v>
      </c>
      <c r="H444" t="s">
        <v>390</v>
      </c>
    </row>
    <row r="445" spans="1:8" ht="15" customHeight="1" x14ac:dyDescent="0.3">
      <c r="A445" t="s">
        <v>479</v>
      </c>
      <c r="B445" t="s">
        <v>480</v>
      </c>
      <c r="C445" t="s">
        <v>481</v>
      </c>
      <c r="D445" t="s">
        <v>439</v>
      </c>
      <c r="E445" t="s">
        <v>375</v>
      </c>
      <c r="F445" t="s">
        <v>376</v>
      </c>
      <c r="G445" s="14">
        <v>46263.333518518499</v>
      </c>
      <c r="H445" t="s">
        <v>390</v>
      </c>
    </row>
    <row r="446" spans="1:8" ht="15" customHeight="1" x14ac:dyDescent="0.3">
      <c r="A446" t="s">
        <v>482</v>
      </c>
      <c r="B446" t="s">
        <v>483</v>
      </c>
      <c r="C446" t="s">
        <v>484</v>
      </c>
      <c r="D446" t="s">
        <v>439</v>
      </c>
      <c r="E446" t="s">
        <v>375</v>
      </c>
      <c r="F446" t="s">
        <v>376</v>
      </c>
      <c r="G446" s="14">
        <v>46263.333437499998</v>
      </c>
      <c r="H446" t="s">
        <v>377</v>
      </c>
    </row>
    <row r="447" spans="1:8" ht="15" customHeight="1" x14ac:dyDescent="0.3">
      <c r="A447" t="s">
        <v>440</v>
      </c>
      <c r="B447" t="s">
        <v>441</v>
      </c>
      <c r="C447" t="s">
        <v>442</v>
      </c>
      <c r="D447" t="s">
        <v>439</v>
      </c>
      <c r="E447" t="s">
        <v>375</v>
      </c>
      <c r="F447" t="s">
        <v>376</v>
      </c>
      <c r="G447" s="14">
        <v>46263.332638888904</v>
      </c>
      <c r="H447" t="s">
        <v>390</v>
      </c>
    </row>
    <row r="448" spans="1:8" ht="15" customHeight="1" x14ac:dyDescent="0.3">
      <c r="A448" t="s">
        <v>499</v>
      </c>
      <c r="B448" t="s">
        <v>273</v>
      </c>
      <c r="C448" t="s">
        <v>500</v>
      </c>
      <c r="D448" t="s">
        <v>439</v>
      </c>
      <c r="E448" t="s">
        <v>501</v>
      </c>
      <c r="F448" t="s">
        <v>376</v>
      </c>
      <c r="G448" s="14">
        <v>46263.328993055598</v>
      </c>
      <c r="H448" t="s">
        <v>390</v>
      </c>
    </row>
    <row r="449" spans="1:8" ht="15" customHeight="1" x14ac:dyDescent="0.3">
      <c r="A449" t="s">
        <v>467</v>
      </c>
      <c r="B449" t="s">
        <v>468</v>
      </c>
      <c r="C449" t="s">
        <v>469</v>
      </c>
      <c r="D449" t="s">
        <v>439</v>
      </c>
      <c r="E449" t="s">
        <v>375</v>
      </c>
      <c r="F449" t="s">
        <v>376</v>
      </c>
      <c r="G449" s="14">
        <v>46263.328541666699</v>
      </c>
      <c r="H449" t="s">
        <v>390</v>
      </c>
    </row>
    <row r="450" spans="1:8" ht="15" customHeight="1" x14ac:dyDescent="0.3">
      <c r="A450" t="s">
        <v>449</v>
      </c>
      <c r="B450" t="s">
        <v>450</v>
      </c>
      <c r="C450" t="s">
        <v>451</v>
      </c>
      <c r="D450" t="s">
        <v>439</v>
      </c>
      <c r="E450" t="s">
        <v>375</v>
      </c>
      <c r="F450" t="s">
        <v>376</v>
      </c>
      <c r="G450" s="14">
        <v>46263.3285300926</v>
      </c>
      <c r="H450" t="s">
        <v>390</v>
      </c>
    </row>
    <row r="451" spans="1:8" ht="15" customHeight="1" x14ac:dyDescent="0.3">
      <c r="A451" t="s">
        <v>470</v>
      </c>
      <c r="B451" t="s">
        <v>184</v>
      </c>
      <c r="C451" t="s">
        <v>471</v>
      </c>
      <c r="D451" t="s">
        <v>439</v>
      </c>
      <c r="E451" t="s">
        <v>375</v>
      </c>
      <c r="F451" t="s">
        <v>376</v>
      </c>
      <c r="G451" s="14">
        <v>46263.3285300926</v>
      </c>
      <c r="H451" t="s">
        <v>390</v>
      </c>
    </row>
    <row r="452" spans="1:8" ht="15" customHeight="1" x14ac:dyDescent="0.3">
      <c r="A452" t="s">
        <v>458</v>
      </c>
      <c r="B452" t="s">
        <v>459</v>
      </c>
      <c r="C452" t="s">
        <v>460</v>
      </c>
      <c r="D452" t="s">
        <v>439</v>
      </c>
      <c r="E452" t="s">
        <v>394</v>
      </c>
      <c r="F452" t="s">
        <v>376</v>
      </c>
      <c r="G452" s="14">
        <v>46263.327280092599</v>
      </c>
      <c r="H452" t="s">
        <v>390</v>
      </c>
    </row>
    <row r="453" spans="1:8" ht="15" customHeight="1" x14ac:dyDescent="0.3">
      <c r="A453" t="s">
        <v>464</v>
      </c>
      <c r="B453" t="s">
        <v>465</v>
      </c>
      <c r="C453" t="s">
        <v>466</v>
      </c>
      <c r="D453" t="s">
        <v>439</v>
      </c>
      <c r="E453" t="s">
        <v>375</v>
      </c>
      <c r="F453" t="s">
        <v>376</v>
      </c>
      <c r="G453" s="14">
        <v>46263.326770833301</v>
      </c>
      <c r="H453" t="s">
        <v>390</v>
      </c>
    </row>
    <row r="454" spans="1:8" ht="15" customHeight="1" x14ac:dyDescent="0.3">
      <c r="A454" t="s">
        <v>446</v>
      </c>
      <c r="B454" t="s">
        <v>447</v>
      </c>
      <c r="C454" t="s">
        <v>448</v>
      </c>
      <c r="D454" t="s">
        <v>439</v>
      </c>
      <c r="E454" t="s">
        <v>375</v>
      </c>
      <c r="F454" t="s">
        <v>376</v>
      </c>
      <c r="G454" s="14">
        <v>46263.323993055601</v>
      </c>
      <c r="H454" t="s">
        <v>390</v>
      </c>
    </row>
    <row r="455" spans="1:8" ht="15" customHeight="1" x14ac:dyDescent="0.3">
      <c r="A455" t="s">
        <v>455</v>
      </c>
      <c r="B455" t="s">
        <v>456</v>
      </c>
      <c r="C455" t="s">
        <v>457</v>
      </c>
      <c r="D455" t="s">
        <v>439</v>
      </c>
      <c r="E455" t="s">
        <v>375</v>
      </c>
      <c r="F455" t="s">
        <v>376</v>
      </c>
      <c r="G455" s="14">
        <v>46263.323356481502</v>
      </c>
      <c r="H455" t="s">
        <v>390</v>
      </c>
    </row>
    <row r="456" spans="1:8" ht="15" customHeight="1" x14ac:dyDescent="0.3">
      <c r="A456" t="s">
        <v>443</v>
      </c>
      <c r="B456" t="s">
        <v>444</v>
      </c>
      <c r="C456" t="s">
        <v>445</v>
      </c>
      <c r="D456" t="s">
        <v>439</v>
      </c>
      <c r="E456" t="s">
        <v>375</v>
      </c>
      <c r="F456" t="s">
        <v>376</v>
      </c>
      <c r="G456" s="14">
        <v>46263.3227893519</v>
      </c>
      <c r="H456" t="s">
        <v>390</v>
      </c>
    </row>
    <row r="457" spans="1:8" ht="15" customHeight="1" x14ac:dyDescent="0.3">
      <c r="A457" t="s">
        <v>452</v>
      </c>
      <c r="B457" t="s">
        <v>453</v>
      </c>
      <c r="C457" t="s">
        <v>454</v>
      </c>
      <c r="D457" t="s">
        <v>439</v>
      </c>
      <c r="E457" t="s">
        <v>375</v>
      </c>
      <c r="F457" t="s">
        <v>376</v>
      </c>
      <c r="G457" s="14">
        <v>46263.317291666703</v>
      </c>
      <c r="H457" t="s">
        <v>390</v>
      </c>
    </row>
    <row r="458" spans="1:8" ht="15" customHeight="1" x14ac:dyDescent="0.3">
      <c r="A458" t="s">
        <v>472</v>
      </c>
      <c r="B458" t="s">
        <v>473</v>
      </c>
      <c r="C458" t="s">
        <v>474</v>
      </c>
      <c r="D458" t="s">
        <v>439</v>
      </c>
      <c r="E458" t="s">
        <v>23</v>
      </c>
      <c r="F458" t="s">
        <v>376</v>
      </c>
      <c r="G458" s="14">
        <v>46262.938032407401</v>
      </c>
      <c r="H458" t="s">
        <v>377</v>
      </c>
    </row>
    <row r="459" spans="1:8" ht="15" customHeight="1" x14ac:dyDescent="0.3">
      <c r="A459" t="s">
        <v>446</v>
      </c>
      <c r="B459" t="s">
        <v>447</v>
      </c>
      <c r="C459" t="s">
        <v>448</v>
      </c>
      <c r="D459" t="s">
        <v>439</v>
      </c>
      <c r="E459" t="s">
        <v>375</v>
      </c>
      <c r="F459" t="s">
        <v>376</v>
      </c>
      <c r="G459" s="14">
        <v>46262.916273148199</v>
      </c>
      <c r="H459" t="s">
        <v>377</v>
      </c>
    </row>
    <row r="460" spans="1:8" ht="15" customHeight="1" x14ac:dyDescent="0.3">
      <c r="A460" t="s">
        <v>443</v>
      </c>
      <c r="B460" t="s">
        <v>444</v>
      </c>
      <c r="C460" t="s">
        <v>445</v>
      </c>
      <c r="D460" t="s">
        <v>439</v>
      </c>
      <c r="E460" t="s">
        <v>375</v>
      </c>
      <c r="F460" t="s">
        <v>376</v>
      </c>
      <c r="G460" s="14">
        <v>46262.903518518498</v>
      </c>
      <c r="H460" t="s">
        <v>377</v>
      </c>
    </row>
    <row r="461" spans="1:8" ht="15" customHeight="1" x14ac:dyDescent="0.3">
      <c r="A461" t="s">
        <v>458</v>
      </c>
      <c r="B461" t="s">
        <v>459</v>
      </c>
      <c r="C461" t="s">
        <v>460</v>
      </c>
      <c r="D461" t="s">
        <v>439</v>
      </c>
      <c r="E461" t="s">
        <v>394</v>
      </c>
      <c r="F461" t="s">
        <v>376</v>
      </c>
      <c r="G461" s="14">
        <v>46262.874317129601</v>
      </c>
      <c r="H461" t="s">
        <v>377</v>
      </c>
    </row>
    <row r="462" spans="1:8" ht="15" customHeight="1" x14ac:dyDescent="0.3">
      <c r="A462" t="s">
        <v>449</v>
      </c>
      <c r="B462" t="s">
        <v>450</v>
      </c>
      <c r="C462" t="s">
        <v>451</v>
      </c>
      <c r="D462" t="s">
        <v>439</v>
      </c>
      <c r="E462" t="s">
        <v>375</v>
      </c>
      <c r="F462" t="s">
        <v>376</v>
      </c>
      <c r="G462" s="14">
        <v>46262.872523148202</v>
      </c>
      <c r="H462" t="s">
        <v>377</v>
      </c>
    </row>
    <row r="463" spans="1:8" ht="15" customHeight="1" x14ac:dyDescent="0.3">
      <c r="A463" t="s">
        <v>482</v>
      </c>
      <c r="B463" t="s">
        <v>483</v>
      </c>
      <c r="C463" t="s">
        <v>484</v>
      </c>
      <c r="D463" t="s">
        <v>439</v>
      </c>
      <c r="E463" t="s">
        <v>375</v>
      </c>
      <c r="F463" t="s">
        <v>376</v>
      </c>
      <c r="G463" s="14">
        <v>46262.868703703702</v>
      </c>
      <c r="H463" t="s">
        <v>390</v>
      </c>
    </row>
    <row r="464" spans="1:8" ht="15" customHeight="1" x14ac:dyDescent="0.3">
      <c r="A464" t="s">
        <v>496</v>
      </c>
      <c r="B464" t="s">
        <v>497</v>
      </c>
      <c r="C464" t="s">
        <v>498</v>
      </c>
      <c r="D464" t="s">
        <v>439</v>
      </c>
      <c r="E464" t="s">
        <v>394</v>
      </c>
      <c r="F464" t="s">
        <v>376</v>
      </c>
      <c r="G464" s="14">
        <v>46262.857199074097</v>
      </c>
      <c r="H464" t="s">
        <v>390</v>
      </c>
    </row>
    <row r="465" spans="1:8" ht="15" customHeight="1" x14ac:dyDescent="0.3">
      <c r="A465" t="s">
        <v>499</v>
      </c>
      <c r="B465" t="s">
        <v>273</v>
      </c>
      <c r="C465" t="s">
        <v>500</v>
      </c>
      <c r="D465" t="s">
        <v>439</v>
      </c>
      <c r="E465" t="s">
        <v>501</v>
      </c>
      <c r="F465" t="s">
        <v>376</v>
      </c>
      <c r="G465" s="14">
        <v>46262.854814814797</v>
      </c>
      <c r="H465" t="s">
        <v>377</v>
      </c>
    </row>
    <row r="466" spans="1:8" ht="15" customHeight="1" x14ac:dyDescent="0.3">
      <c r="A466" t="s">
        <v>452</v>
      </c>
      <c r="B466" t="s">
        <v>453</v>
      </c>
      <c r="C466" t="s">
        <v>454</v>
      </c>
      <c r="D466" t="s">
        <v>439</v>
      </c>
      <c r="E466" t="s">
        <v>375</v>
      </c>
      <c r="F466" t="s">
        <v>376</v>
      </c>
      <c r="G466" s="14">
        <v>46262.846817129597</v>
      </c>
      <c r="H466" t="s">
        <v>377</v>
      </c>
    </row>
    <row r="467" spans="1:8" ht="15" customHeight="1" x14ac:dyDescent="0.3">
      <c r="A467" t="s">
        <v>455</v>
      </c>
      <c r="B467" t="s">
        <v>456</v>
      </c>
      <c r="C467" t="s">
        <v>457</v>
      </c>
      <c r="D467" t="s">
        <v>439</v>
      </c>
      <c r="E467" t="s">
        <v>375</v>
      </c>
      <c r="F467" t="s">
        <v>376</v>
      </c>
      <c r="G467" s="14">
        <v>46262.842777777798</v>
      </c>
      <c r="H467" t="s">
        <v>377</v>
      </c>
    </row>
    <row r="468" spans="1:8" ht="15" customHeight="1" x14ac:dyDescent="0.3">
      <c r="A468" t="s">
        <v>485</v>
      </c>
      <c r="B468" t="s">
        <v>486</v>
      </c>
      <c r="C468" t="s">
        <v>487</v>
      </c>
      <c r="D468" t="s">
        <v>439</v>
      </c>
      <c r="E468" t="s">
        <v>394</v>
      </c>
      <c r="F468" t="s">
        <v>376</v>
      </c>
      <c r="G468" s="14">
        <v>46262.842187499999</v>
      </c>
      <c r="H468" t="s">
        <v>377</v>
      </c>
    </row>
    <row r="469" spans="1:8" ht="15" customHeight="1" x14ac:dyDescent="0.3">
      <c r="A469" t="s">
        <v>467</v>
      </c>
      <c r="B469" t="s">
        <v>468</v>
      </c>
      <c r="C469" t="s">
        <v>469</v>
      </c>
      <c r="D469" t="s">
        <v>439</v>
      </c>
      <c r="E469" t="s">
        <v>375</v>
      </c>
      <c r="F469" t="s">
        <v>376</v>
      </c>
      <c r="G469" s="14">
        <v>46262.841296296298</v>
      </c>
      <c r="H469" t="s">
        <v>377</v>
      </c>
    </row>
    <row r="470" spans="1:8" ht="15" customHeight="1" x14ac:dyDescent="0.3">
      <c r="A470" t="s">
        <v>475</v>
      </c>
      <c r="B470" t="s">
        <v>476</v>
      </c>
      <c r="C470" t="s">
        <v>477</v>
      </c>
      <c r="D470" t="s">
        <v>439</v>
      </c>
      <c r="E470" t="s">
        <v>478</v>
      </c>
      <c r="F470" t="s">
        <v>376</v>
      </c>
      <c r="G470" s="14">
        <v>46262.837743055599</v>
      </c>
      <c r="H470" t="s">
        <v>377</v>
      </c>
    </row>
    <row r="471" spans="1:8" ht="15" customHeight="1" x14ac:dyDescent="0.3">
      <c r="A471" t="s">
        <v>488</v>
      </c>
      <c r="B471" t="s">
        <v>489</v>
      </c>
      <c r="C471" t="s">
        <v>490</v>
      </c>
      <c r="D471" t="s">
        <v>439</v>
      </c>
      <c r="E471" t="s">
        <v>375</v>
      </c>
      <c r="F471" t="s">
        <v>376</v>
      </c>
      <c r="G471" s="14">
        <v>46262.837523148199</v>
      </c>
      <c r="H471" t="s">
        <v>390</v>
      </c>
    </row>
    <row r="472" spans="1:8" ht="15" customHeight="1" x14ac:dyDescent="0.3">
      <c r="A472" t="s">
        <v>479</v>
      </c>
      <c r="B472" t="s">
        <v>480</v>
      </c>
      <c r="C472" t="s">
        <v>481</v>
      </c>
      <c r="D472" t="s">
        <v>439</v>
      </c>
      <c r="E472" t="s">
        <v>375</v>
      </c>
      <c r="F472" t="s">
        <v>376</v>
      </c>
      <c r="G472" s="14">
        <v>46262.8350810185</v>
      </c>
      <c r="H472" t="s">
        <v>377</v>
      </c>
    </row>
    <row r="473" spans="1:8" ht="15" customHeight="1" x14ac:dyDescent="0.3">
      <c r="A473" t="s">
        <v>470</v>
      </c>
      <c r="B473" t="s">
        <v>184</v>
      </c>
      <c r="C473" t="s">
        <v>471</v>
      </c>
      <c r="D473" t="s">
        <v>439</v>
      </c>
      <c r="E473" t="s">
        <v>375</v>
      </c>
      <c r="F473" t="s">
        <v>376</v>
      </c>
      <c r="G473" s="14">
        <v>46262.831805555601</v>
      </c>
      <c r="H473" t="s">
        <v>377</v>
      </c>
    </row>
    <row r="474" spans="1:8" ht="15" customHeight="1" x14ac:dyDescent="0.3">
      <c r="A474" t="s">
        <v>464</v>
      </c>
      <c r="B474" t="s">
        <v>465</v>
      </c>
      <c r="C474" t="s">
        <v>466</v>
      </c>
      <c r="D474" t="s">
        <v>439</v>
      </c>
      <c r="E474" t="s">
        <v>375</v>
      </c>
      <c r="F474" t="s">
        <v>376</v>
      </c>
      <c r="G474" s="14">
        <v>46262.823564814797</v>
      </c>
      <c r="H474" t="s">
        <v>377</v>
      </c>
    </row>
    <row r="475" spans="1:8" ht="15" customHeight="1" x14ac:dyDescent="0.3">
      <c r="A475" t="s">
        <v>491</v>
      </c>
      <c r="B475" t="s">
        <v>188</v>
      </c>
      <c r="C475" t="s">
        <v>492</v>
      </c>
      <c r="D475" t="s">
        <v>439</v>
      </c>
      <c r="E475" t="s">
        <v>375</v>
      </c>
      <c r="F475" t="s">
        <v>376</v>
      </c>
      <c r="G475" s="14">
        <v>46262.818113425899</v>
      </c>
      <c r="H475" t="s">
        <v>390</v>
      </c>
    </row>
    <row r="476" spans="1:8" ht="15" customHeight="1" x14ac:dyDescent="0.3">
      <c r="A476" t="s">
        <v>436</v>
      </c>
      <c r="B476" t="s">
        <v>437</v>
      </c>
      <c r="C476" t="s">
        <v>438</v>
      </c>
      <c r="D476" t="s">
        <v>439</v>
      </c>
      <c r="E476" t="s">
        <v>375</v>
      </c>
      <c r="F476" t="s">
        <v>376</v>
      </c>
      <c r="G476" s="14">
        <v>46262.817627314798</v>
      </c>
      <c r="H476" t="s">
        <v>390</v>
      </c>
    </row>
    <row r="477" spans="1:8" ht="15" customHeight="1" x14ac:dyDescent="0.3">
      <c r="A477" t="s">
        <v>449</v>
      </c>
      <c r="B477" t="s">
        <v>450</v>
      </c>
      <c r="C477" t="s">
        <v>451</v>
      </c>
      <c r="D477" t="s">
        <v>439</v>
      </c>
      <c r="E477" t="s">
        <v>375</v>
      </c>
      <c r="F477" t="s">
        <v>376</v>
      </c>
      <c r="G477" s="14">
        <v>46262.440995370402</v>
      </c>
      <c r="H477" t="s">
        <v>390</v>
      </c>
    </row>
    <row r="478" spans="1:8" ht="15" customHeight="1" x14ac:dyDescent="0.3">
      <c r="A478" t="s">
        <v>491</v>
      </c>
      <c r="B478" t="s">
        <v>188</v>
      </c>
      <c r="C478" t="s">
        <v>492</v>
      </c>
      <c r="D478" t="s">
        <v>439</v>
      </c>
      <c r="E478" t="s">
        <v>375</v>
      </c>
      <c r="F478" t="s">
        <v>376</v>
      </c>
      <c r="G478" s="14">
        <v>46262.3879282407</v>
      </c>
      <c r="H478" t="s">
        <v>377</v>
      </c>
    </row>
    <row r="479" spans="1:8" ht="15" customHeight="1" x14ac:dyDescent="0.3">
      <c r="A479" t="s">
        <v>493</v>
      </c>
      <c r="B479" t="s">
        <v>494</v>
      </c>
      <c r="C479" t="s">
        <v>495</v>
      </c>
      <c r="D479" t="s">
        <v>439</v>
      </c>
      <c r="E479" t="s">
        <v>375</v>
      </c>
      <c r="F479" t="s">
        <v>376</v>
      </c>
      <c r="G479" s="14">
        <v>46262.387199074103</v>
      </c>
      <c r="H479" t="s">
        <v>377</v>
      </c>
    </row>
    <row r="480" spans="1:8" ht="15" customHeight="1" x14ac:dyDescent="0.3">
      <c r="A480" t="s">
        <v>436</v>
      </c>
      <c r="B480" t="s">
        <v>437</v>
      </c>
      <c r="C480" t="s">
        <v>438</v>
      </c>
      <c r="D480" t="s">
        <v>439</v>
      </c>
      <c r="E480" t="s">
        <v>375</v>
      </c>
      <c r="F480" t="s">
        <v>376</v>
      </c>
      <c r="G480" s="14">
        <v>46262.360567129603</v>
      </c>
      <c r="H480" t="s">
        <v>377</v>
      </c>
    </row>
    <row r="481" spans="1:8" ht="15" customHeight="1" x14ac:dyDescent="0.3">
      <c r="A481" t="s">
        <v>440</v>
      </c>
      <c r="B481" t="s">
        <v>441</v>
      </c>
      <c r="C481" t="s">
        <v>442</v>
      </c>
      <c r="D481" t="s">
        <v>439</v>
      </c>
      <c r="E481" t="s">
        <v>375</v>
      </c>
      <c r="F481" t="s">
        <v>376</v>
      </c>
      <c r="G481" s="14">
        <v>46262.355000000003</v>
      </c>
      <c r="H481" t="s">
        <v>390</v>
      </c>
    </row>
    <row r="482" spans="1:8" ht="15" customHeight="1" x14ac:dyDescent="0.3">
      <c r="A482" t="s">
        <v>496</v>
      </c>
      <c r="B482" t="s">
        <v>497</v>
      </c>
      <c r="C482" t="s">
        <v>498</v>
      </c>
      <c r="D482" t="s">
        <v>439</v>
      </c>
      <c r="E482" t="s">
        <v>394</v>
      </c>
      <c r="F482" t="s">
        <v>376</v>
      </c>
      <c r="G482" s="14">
        <v>46262.354293981502</v>
      </c>
      <c r="H482" t="s">
        <v>377</v>
      </c>
    </row>
    <row r="483" spans="1:8" ht="15" customHeight="1" x14ac:dyDescent="0.3">
      <c r="A483" t="s">
        <v>485</v>
      </c>
      <c r="B483" t="s">
        <v>486</v>
      </c>
      <c r="C483" t="s">
        <v>487</v>
      </c>
      <c r="D483" t="s">
        <v>439</v>
      </c>
      <c r="E483" t="s">
        <v>394</v>
      </c>
      <c r="F483" t="s">
        <v>376</v>
      </c>
      <c r="G483" s="14">
        <v>46262.338240740697</v>
      </c>
      <c r="H483" t="s">
        <v>390</v>
      </c>
    </row>
    <row r="484" spans="1:8" ht="15" customHeight="1" x14ac:dyDescent="0.3">
      <c r="A484" t="s">
        <v>479</v>
      </c>
      <c r="B484" t="s">
        <v>480</v>
      </c>
      <c r="C484" t="s">
        <v>481</v>
      </c>
      <c r="D484" t="s">
        <v>439</v>
      </c>
      <c r="E484" t="s">
        <v>375</v>
      </c>
      <c r="F484" t="s">
        <v>376</v>
      </c>
      <c r="G484" s="14">
        <v>46262.3364351852</v>
      </c>
      <c r="H484" t="s">
        <v>390</v>
      </c>
    </row>
    <row r="485" spans="1:8" ht="15" customHeight="1" x14ac:dyDescent="0.3">
      <c r="A485" t="s">
        <v>475</v>
      </c>
      <c r="B485" t="s">
        <v>476</v>
      </c>
      <c r="C485" t="s">
        <v>477</v>
      </c>
      <c r="D485" t="s">
        <v>439</v>
      </c>
      <c r="E485" t="s">
        <v>478</v>
      </c>
      <c r="F485" t="s">
        <v>376</v>
      </c>
      <c r="G485" s="14">
        <v>46262.336122685199</v>
      </c>
      <c r="H485" t="s">
        <v>390</v>
      </c>
    </row>
    <row r="486" spans="1:8" ht="15" customHeight="1" x14ac:dyDescent="0.3">
      <c r="A486" t="s">
        <v>443</v>
      </c>
      <c r="B486" t="s">
        <v>444</v>
      </c>
      <c r="C486" t="s">
        <v>445</v>
      </c>
      <c r="D486" t="s">
        <v>439</v>
      </c>
      <c r="E486" t="s">
        <v>375</v>
      </c>
      <c r="F486" t="s">
        <v>376</v>
      </c>
      <c r="G486" s="14">
        <v>46262.334976851896</v>
      </c>
      <c r="H486" t="s">
        <v>390</v>
      </c>
    </row>
    <row r="487" spans="1:8" ht="15" customHeight="1" x14ac:dyDescent="0.3">
      <c r="A487" t="s">
        <v>488</v>
      </c>
      <c r="B487" t="s">
        <v>489</v>
      </c>
      <c r="C487" t="s">
        <v>490</v>
      </c>
      <c r="D487" t="s">
        <v>439</v>
      </c>
      <c r="E487" t="s">
        <v>375</v>
      </c>
      <c r="F487" t="s">
        <v>376</v>
      </c>
      <c r="G487" s="14">
        <v>46262.3338657407</v>
      </c>
      <c r="H487" t="s">
        <v>377</v>
      </c>
    </row>
    <row r="488" spans="1:8" ht="15" customHeight="1" x14ac:dyDescent="0.3">
      <c r="A488" t="s">
        <v>482</v>
      </c>
      <c r="B488" t="s">
        <v>483</v>
      </c>
      <c r="C488" t="s">
        <v>484</v>
      </c>
      <c r="D488" t="s">
        <v>439</v>
      </c>
      <c r="E488" t="s">
        <v>375</v>
      </c>
      <c r="F488" t="s">
        <v>376</v>
      </c>
      <c r="G488" s="14">
        <v>46262.333738425899</v>
      </c>
      <c r="H488" t="s">
        <v>377</v>
      </c>
    </row>
    <row r="489" spans="1:8" ht="15" customHeight="1" x14ac:dyDescent="0.3">
      <c r="A489" t="s">
        <v>467</v>
      </c>
      <c r="B489" t="s">
        <v>468</v>
      </c>
      <c r="C489" t="s">
        <v>469</v>
      </c>
      <c r="D489" t="s">
        <v>439</v>
      </c>
      <c r="E489" t="s">
        <v>375</v>
      </c>
      <c r="F489" t="s">
        <v>376</v>
      </c>
      <c r="G489" s="14">
        <v>46262.333611111098</v>
      </c>
      <c r="H489" t="s">
        <v>390</v>
      </c>
    </row>
    <row r="490" spans="1:8" ht="15" customHeight="1" x14ac:dyDescent="0.3">
      <c r="A490" t="s">
        <v>458</v>
      </c>
      <c r="B490" t="s">
        <v>459</v>
      </c>
      <c r="C490" t="s">
        <v>460</v>
      </c>
      <c r="D490" t="s">
        <v>439</v>
      </c>
      <c r="E490" t="s">
        <v>394</v>
      </c>
      <c r="F490" t="s">
        <v>376</v>
      </c>
      <c r="G490" s="14">
        <v>46262.331840277802</v>
      </c>
      <c r="H490" t="s">
        <v>390</v>
      </c>
    </row>
    <row r="491" spans="1:8" ht="15" customHeight="1" x14ac:dyDescent="0.3">
      <c r="A491" t="s">
        <v>499</v>
      </c>
      <c r="B491" t="s">
        <v>273</v>
      </c>
      <c r="C491" t="s">
        <v>500</v>
      </c>
      <c r="D491" t="s">
        <v>439</v>
      </c>
      <c r="E491" t="s">
        <v>501</v>
      </c>
      <c r="F491" t="s">
        <v>376</v>
      </c>
      <c r="G491" s="14">
        <v>46262.330324074101</v>
      </c>
      <c r="H491" t="s">
        <v>390</v>
      </c>
    </row>
    <row r="492" spans="1:8" ht="15" customHeight="1" x14ac:dyDescent="0.3">
      <c r="A492" t="s">
        <v>472</v>
      </c>
      <c r="B492" t="s">
        <v>473</v>
      </c>
      <c r="C492" t="s">
        <v>474</v>
      </c>
      <c r="D492" t="s">
        <v>439</v>
      </c>
      <c r="E492" t="s">
        <v>23</v>
      </c>
      <c r="F492" t="s">
        <v>376</v>
      </c>
      <c r="G492" s="14">
        <v>46262.329178240703</v>
      </c>
      <c r="H492" t="s">
        <v>390</v>
      </c>
    </row>
    <row r="493" spans="1:8" ht="15" customHeight="1" x14ac:dyDescent="0.3">
      <c r="A493" t="s">
        <v>455</v>
      </c>
      <c r="B493" t="s">
        <v>456</v>
      </c>
      <c r="C493" t="s">
        <v>457</v>
      </c>
      <c r="D493" t="s">
        <v>439</v>
      </c>
      <c r="E493" t="s">
        <v>375</v>
      </c>
      <c r="F493" t="s">
        <v>376</v>
      </c>
      <c r="G493" s="14">
        <v>46262.326921296299</v>
      </c>
      <c r="H493" t="s">
        <v>390</v>
      </c>
    </row>
    <row r="494" spans="1:8" ht="15" customHeight="1" x14ac:dyDescent="0.3">
      <c r="A494" t="s">
        <v>464</v>
      </c>
      <c r="B494" t="s">
        <v>465</v>
      </c>
      <c r="C494" t="s">
        <v>466</v>
      </c>
      <c r="D494" t="s">
        <v>439</v>
      </c>
      <c r="E494" t="s">
        <v>375</v>
      </c>
      <c r="F494" t="s">
        <v>376</v>
      </c>
      <c r="G494" s="14">
        <v>46262.3224305556</v>
      </c>
      <c r="H494" t="s">
        <v>390</v>
      </c>
    </row>
    <row r="495" spans="1:8" ht="15" customHeight="1" x14ac:dyDescent="0.3">
      <c r="A495" t="s">
        <v>470</v>
      </c>
      <c r="B495" t="s">
        <v>184</v>
      </c>
      <c r="C495" t="s">
        <v>471</v>
      </c>
      <c r="D495" t="s">
        <v>439</v>
      </c>
      <c r="E495" t="s">
        <v>375</v>
      </c>
      <c r="F495" t="s">
        <v>376</v>
      </c>
      <c r="G495" s="14">
        <v>46262.322071759299</v>
      </c>
      <c r="H495" t="s">
        <v>390</v>
      </c>
    </row>
    <row r="496" spans="1:8" ht="15" customHeight="1" x14ac:dyDescent="0.3">
      <c r="A496" t="s">
        <v>446</v>
      </c>
      <c r="B496" t="s">
        <v>447</v>
      </c>
      <c r="C496" t="s">
        <v>448</v>
      </c>
      <c r="D496" t="s">
        <v>439</v>
      </c>
      <c r="E496" t="s">
        <v>375</v>
      </c>
      <c r="F496" t="s">
        <v>376</v>
      </c>
      <c r="G496" s="14">
        <v>46262.321284722202</v>
      </c>
      <c r="H496" t="s">
        <v>390</v>
      </c>
    </row>
    <row r="497" spans="1:8" ht="15" customHeight="1" x14ac:dyDescent="0.3">
      <c r="A497" t="s">
        <v>452</v>
      </c>
      <c r="B497" t="s">
        <v>453</v>
      </c>
      <c r="C497" t="s">
        <v>454</v>
      </c>
      <c r="D497" t="s">
        <v>439</v>
      </c>
      <c r="E497" t="s">
        <v>375</v>
      </c>
      <c r="F497" t="s">
        <v>376</v>
      </c>
      <c r="G497" s="14">
        <v>46262.296099537001</v>
      </c>
      <c r="H497" t="s">
        <v>390</v>
      </c>
    </row>
    <row r="498" spans="1:8" ht="15" customHeight="1" x14ac:dyDescent="0.3">
      <c r="A498" t="s">
        <v>472</v>
      </c>
      <c r="B498" t="s">
        <v>473</v>
      </c>
      <c r="C498" t="s">
        <v>474</v>
      </c>
      <c r="D498" t="s">
        <v>439</v>
      </c>
      <c r="E498" t="s">
        <v>23</v>
      </c>
      <c r="F498" t="s">
        <v>376</v>
      </c>
      <c r="G498" s="14">
        <v>46261.915000000001</v>
      </c>
      <c r="H498" t="s">
        <v>377</v>
      </c>
    </row>
    <row r="499" spans="1:8" ht="15" customHeight="1" x14ac:dyDescent="0.3">
      <c r="A499" t="s">
        <v>455</v>
      </c>
      <c r="B499" t="s">
        <v>456</v>
      </c>
      <c r="C499" t="s">
        <v>457</v>
      </c>
      <c r="D499" t="s">
        <v>439</v>
      </c>
      <c r="E499" t="s">
        <v>375</v>
      </c>
      <c r="F499" t="s">
        <v>376</v>
      </c>
      <c r="G499" s="14">
        <v>46261.914664351898</v>
      </c>
      <c r="H499" t="s">
        <v>377</v>
      </c>
    </row>
    <row r="500" spans="1:8" ht="15" customHeight="1" x14ac:dyDescent="0.3">
      <c r="A500" t="s">
        <v>446</v>
      </c>
      <c r="B500" t="s">
        <v>447</v>
      </c>
      <c r="C500" t="s">
        <v>448</v>
      </c>
      <c r="D500" t="s">
        <v>439</v>
      </c>
      <c r="E500" t="s">
        <v>375</v>
      </c>
      <c r="F500" t="s">
        <v>376</v>
      </c>
      <c r="G500" s="14">
        <v>46261.886226851901</v>
      </c>
      <c r="H500" t="s">
        <v>377</v>
      </c>
    </row>
    <row r="501" spans="1:8" ht="15" customHeight="1" x14ac:dyDescent="0.3">
      <c r="A501" t="s">
        <v>443</v>
      </c>
      <c r="B501" t="s">
        <v>444</v>
      </c>
      <c r="C501" t="s">
        <v>445</v>
      </c>
      <c r="D501" t="s">
        <v>439</v>
      </c>
      <c r="E501" t="s">
        <v>375</v>
      </c>
      <c r="F501" t="s">
        <v>376</v>
      </c>
      <c r="G501" s="14">
        <v>46261.872372685197</v>
      </c>
      <c r="H501" t="s">
        <v>377</v>
      </c>
    </row>
    <row r="502" spans="1:8" ht="15" customHeight="1" x14ac:dyDescent="0.3">
      <c r="A502" t="s">
        <v>452</v>
      </c>
      <c r="B502" t="s">
        <v>453</v>
      </c>
      <c r="C502" t="s">
        <v>454</v>
      </c>
      <c r="D502" t="s">
        <v>439</v>
      </c>
      <c r="E502" t="s">
        <v>375</v>
      </c>
      <c r="F502" t="s">
        <v>376</v>
      </c>
      <c r="G502" s="14">
        <v>46261.862175925897</v>
      </c>
      <c r="H502" t="s">
        <v>377</v>
      </c>
    </row>
    <row r="503" spans="1:8" ht="15" customHeight="1" x14ac:dyDescent="0.3">
      <c r="A503" t="s">
        <v>449</v>
      </c>
      <c r="B503" t="s">
        <v>450</v>
      </c>
      <c r="C503" t="s">
        <v>451</v>
      </c>
      <c r="D503" t="s">
        <v>439</v>
      </c>
      <c r="E503" t="s">
        <v>375</v>
      </c>
      <c r="F503" t="s">
        <v>376</v>
      </c>
      <c r="G503" s="14">
        <v>46261.848495370403</v>
      </c>
      <c r="H503" t="s">
        <v>377</v>
      </c>
    </row>
    <row r="504" spans="1:8" ht="15" customHeight="1" x14ac:dyDescent="0.3">
      <c r="A504" t="s">
        <v>467</v>
      </c>
      <c r="B504" t="s">
        <v>468</v>
      </c>
      <c r="C504" t="s">
        <v>469</v>
      </c>
      <c r="D504" t="s">
        <v>439</v>
      </c>
      <c r="E504" t="s">
        <v>375</v>
      </c>
      <c r="F504" t="s">
        <v>376</v>
      </c>
      <c r="G504" s="14">
        <v>46261.840381944399</v>
      </c>
      <c r="H504" t="s">
        <v>377</v>
      </c>
    </row>
    <row r="505" spans="1:8" ht="15" customHeight="1" x14ac:dyDescent="0.3">
      <c r="A505" t="s">
        <v>482</v>
      </c>
      <c r="B505" t="s">
        <v>483</v>
      </c>
      <c r="C505" t="s">
        <v>484</v>
      </c>
      <c r="D505" t="s">
        <v>439</v>
      </c>
      <c r="E505" t="s">
        <v>375</v>
      </c>
      <c r="F505" t="s">
        <v>376</v>
      </c>
      <c r="G505" s="14">
        <v>46261.834374999999</v>
      </c>
      <c r="H505" t="s">
        <v>390</v>
      </c>
    </row>
    <row r="506" spans="1:8" ht="15" customHeight="1" x14ac:dyDescent="0.3">
      <c r="A506" t="s">
        <v>479</v>
      </c>
      <c r="B506" t="s">
        <v>480</v>
      </c>
      <c r="C506" t="s">
        <v>481</v>
      </c>
      <c r="D506" t="s">
        <v>439</v>
      </c>
      <c r="E506" t="s">
        <v>375</v>
      </c>
      <c r="F506" t="s">
        <v>376</v>
      </c>
      <c r="G506" s="14">
        <v>46261.834305555603</v>
      </c>
      <c r="H506" t="s">
        <v>377</v>
      </c>
    </row>
    <row r="507" spans="1:8" ht="15" customHeight="1" x14ac:dyDescent="0.3">
      <c r="A507" t="s">
        <v>470</v>
      </c>
      <c r="B507" t="s">
        <v>184</v>
      </c>
      <c r="C507" t="s">
        <v>471</v>
      </c>
      <c r="D507" t="s">
        <v>439</v>
      </c>
      <c r="E507" t="s">
        <v>375</v>
      </c>
      <c r="F507" t="s">
        <v>376</v>
      </c>
      <c r="G507" s="14">
        <v>46261.833726851903</v>
      </c>
      <c r="H507" t="s">
        <v>377</v>
      </c>
    </row>
    <row r="508" spans="1:8" ht="15" customHeight="1" x14ac:dyDescent="0.3">
      <c r="A508" t="s">
        <v>475</v>
      </c>
      <c r="B508" t="s">
        <v>476</v>
      </c>
      <c r="C508" t="s">
        <v>477</v>
      </c>
      <c r="D508" t="s">
        <v>439</v>
      </c>
      <c r="E508" t="s">
        <v>478</v>
      </c>
      <c r="F508" t="s">
        <v>376</v>
      </c>
      <c r="G508" s="14">
        <v>46261.833599537</v>
      </c>
      <c r="H508" t="s">
        <v>377</v>
      </c>
    </row>
    <row r="509" spans="1:8" ht="15" customHeight="1" x14ac:dyDescent="0.3">
      <c r="A509" t="s">
        <v>493</v>
      </c>
      <c r="B509" t="s">
        <v>494</v>
      </c>
      <c r="C509" t="s">
        <v>495</v>
      </c>
      <c r="D509" t="s">
        <v>439</v>
      </c>
      <c r="E509" t="s">
        <v>375</v>
      </c>
      <c r="F509" t="s">
        <v>376</v>
      </c>
      <c r="G509" s="14">
        <v>46261.833032407398</v>
      </c>
      <c r="H509" t="s">
        <v>390</v>
      </c>
    </row>
    <row r="510" spans="1:8" ht="15" customHeight="1" x14ac:dyDescent="0.3">
      <c r="A510" t="s">
        <v>496</v>
      </c>
      <c r="B510" t="s">
        <v>497</v>
      </c>
      <c r="C510" t="s">
        <v>498</v>
      </c>
      <c r="D510" t="s">
        <v>439</v>
      </c>
      <c r="E510" t="s">
        <v>394</v>
      </c>
      <c r="F510" t="s">
        <v>376</v>
      </c>
      <c r="G510" s="14">
        <v>46261.832430555602</v>
      </c>
      <c r="H510" t="s">
        <v>390</v>
      </c>
    </row>
    <row r="511" spans="1:8" ht="15" customHeight="1" x14ac:dyDescent="0.3">
      <c r="A511" t="s">
        <v>436</v>
      </c>
      <c r="B511" t="s">
        <v>437</v>
      </c>
      <c r="C511" t="s">
        <v>438</v>
      </c>
      <c r="D511" t="s">
        <v>439</v>
      </c>
      <c r="E511" t="s">
        <v>375</v>
      </c>
      <c r="F511" t="s">
        <v>376</v>
      </c>
      <c r="G511" s="14">
        <v>46261.8270023148</v>
      </c>
      <c r="H511" t="s">
        <v>390</v>
      </c>
    </row>
    <row r="512" spans="1:8" ht="15" customHeight="1" x14ac:dyDescent="0.3">
      <c r="A512" t="s">
        <v>464</v>
      </c>
      <c r="B512" t="s">
        <v>465</v>
      </c>
      <c r="C512" t="s">
        <v>466</v>
      </c>
      <c r="D512" t="s">
        <v>439</v>
      </c>
      <c r="E512" t="s">
        <v>375</v>
      </c>
      <c r="F512" t="s">
        <v>376</v>
      </c>
      <c r="G512" s="14">
        <v>46261.8269560185</v>
      </c>
      <c r="H512" t="s">
        <v>377</v>
      </c>
    </row>
    <row r="513" spans="1:8" ht="15" customHeight="1" x14ac:dyDescent="0.3">
      <c r="A513" t="s">
        <v>488</v>
      </c>
      <c r="B513" t="s">
        <v>489</v>
      </c>
      <c r="C513" t="s">
        <v>490</v>
      </c>
      <c r="D513" t="s">
        <v>439</v>
      </c>
      <c r="E513" t="s">
        <v>375</v>
      </c>
      <c r="F513" t="s">
        <v>376</v>
      </c>
      <c r="G513" s="14">
        <v>46261.826793981498</v>
      </c>
      <c r="H513" t="s">
        <v>390</v>
      </c>
    </row>
    <row r="514" spans="1:8" ht="15" customHeight="1" x14ac:dyDescent="0.3">
      <c r="A514" t="s">
        <v>491</v>
      </c>
      <c r="B514" t="s">
        <v>188</v>
      </c>
      <c r="C514" t="s">
        <v>492</v>
      </c>
      <c r="D514" t="s">
        <v>439</v>
      </c>
      <c r="E514" t="s">
        <v>375</v>
      </c>
      <c r="F514" t="s">
        <v>376</v>
      </c>
      <c r="G514" s="14">
        <v>46261.826342592598</v>
      </c>
      <c r="H514" t="s">
        <v>390</v>
      </c>
    </row>
    <row r="515" spans="1:8" ht="15" customHeight="1" x14ac:dyDescent="0.3">
      <c r="A515" t="s">
        <v>461</v>
      </c>
      <c r="B515" t="s">
        <v>462</v>
      </c>
      <c r="C515" t="s">
        <v>463</v>
      </c>
      <c r="D515" t="s">
        <v>439</v>
      </c>
      <c r="E515" t="s">
        <v>375</v>
      </c>
      <c r="F515" t="s">
        <v>376</v>
      </c>
      <c r="G515" s="14">
        <v>46261.738888888904</v>
      </c>
      <c r="H515" t="s">
        <v>377</v>
      </c>
    </row>
    <row r="516" spans="1:8" ht="15" customHeight="1" x14ac:dyDescent="0.3">
      <c r="A516" t="s">
        <v>491</v>
      </c>
      <c r="B516" t="s">
        <v>188</v>
      </c>
      <c r="C516" t="s">
        <v>492</v>
      </c>
      <c r="D516" t="s">
        <v>439</v>
      </c>
      <c r="E516" t="s">
        <v>375</v>
      </c>
      <c r="F516" t="s">
        <v>376</v>
      </c>
      <c r="G516" s="14">
        <v>46261.373009259303</v>
      </c>
      <c r="H516" t="s">
        <v>377</v>
      </c>
    </row>
    <row r="517" spans="1:8" ht="15" customHeight="1" x14ac:dyDescent="0.3">
      <c r="A517" t="s">
        <v>496</v>
      </c>
      <c r="B517" t="s">
        <v>497</v>
      </c>
      <c r="C517" t="s">
        <v>498</v>
      </c>
      <c r="D517" t="s">
        <v>439</v>
      </c>
      <c r="E517" t="s">
        <v>394</v>
      </c>
      <c r="F517" t="s">
        <v>376</v>
      </c>
      <c r="G517" s="14">
        <v>46261.372395833299</v>
      </c>
      <c r="H517" t="s">
        <v>377</v>
      </c>
    </row>
    <row r="518" spans="1:8" ht="15" customHeight="1" x14ac:dyDescent="0.3">
      <c r="A518" t="s">
        <v>436</v>
      </c>
      <c r="B518" t="s">
        <v>437</v>
      </c>
      <c r="C518" t="s">
        <v>438</v>
      </c>
      <c r="D518" t="s">
        <v>439</v>
      </c>
      <c r="E518" t="s">
        <v>375</v>
      </c>
      <c r="F518" t="s">
        <v>376</v>
      </c>
      <c r="G518" s="14">
        <v>46261.372233796297</v>
      </c>
      <c r="H518" t="s">
        <v>377</v>
      </c>
    </row>
    <row r="519" spans="1:8" ht="15" customHeight="1" x14ac:dyDescent="0.3">
      <c r="A519" t="s">
        <v>464</v>
      </c>
      <c r="B519" t="s">
        <v>465</v>
      </c>
      <c r="C519" t="s">
        <v>466</v>
      </c>
      <c r="D519" t="s">
        <v>439</v>
      </c>
      <c r="E519" t="s">
        <v>375</v>
      </c>
      <c r="F519" t="s">
        <v>376</v>
      </c>
      <c r="G519" s="14">
        <v>46261.340069444399</v>
      </c>
      <c r="H519" t="s">
        <v>390</v>
      </c>
    </row>
    <row r="520" spans="1:8" ht="15" customHeight="1" x14ac:dyDescent="0.3">
      <c r="A520" t="s">
        <v>467</v>
      </c>
      <c r="B520" t="s">
        <v>468</v>
      </c>
      <c r="C520" t="s">
        <v>469</v>
      </c>
      <c r="D520" t="s">
        <v>439</v>
      </c>
      <c r="E520" t="s">
        <v>375</v>
      </c>
      <c r="F520" t="s">
        <v>376</v>
      </c>
      <c r="G520" s="14">
        <v>46261.337800925903</v>
      </c>
      <c r="H520" t="s">
        <v>390</v>
      </c>
    </row>
    <row r="521" spans="1:8" ht="15" customHeight="1" x14ac:dyDescent="0.3">
      <c r="A521" t="s">
        <v>472</v>
      </c>
      <c r="B521" t="s">
        <v>473</v>
      </c>
      <c r="C521" t="s">
        <v>474</v>
      </c>
      <c r="D521" t="s">
        <v>439</v>
      </c>
      <c r="E521" t="s">
        <v>23</v>
      </c>
      <c r="F521" t="s">
        <v>376</v>
      </c>
      <c r="G521" s="14">
        <v>46261.336215277799</v>
      </c>
      <c r="H521" t="s">
        <v>390</v>
      </c>
    </row>
    <row r="522" spans="1:8" ht="15" customHeight="1" x14ac:dyDescent="0.3">
      <c r="A522" t="s">
        <v>485</v>
      </c>
      <c r="B522" t="s">
        <v>486</v>
      </c>
      <c r="C522" t="s">
        <v>487</v>
      </c>
      <c r="D522" t="s">
        <v>439</v>
      </c>
      <c r="E522" t="s">
        <v>394</v>
      </c>
      <c r="F522" t="s">
        <v>376</v>
      </c>
      <c r="G522" s="14">
        <v>46261.334999999999</v>
      </c>
      <c r="H522" t="s">
        <v>390</v>
      </c>
    </row>
    <row r="523" spans="1:8" ht="15" customHeight="1" x14ac:dyDescent="0.3">
      <c r="A523" t="s">
        <v>488</v>
      </c>
      <c r="B523" t="s">
        <v>489</v>
      </c>
      <c r="C523" t="s">
        <v>490</v>
      </c>
      <c r="D523" t="s">
        <v>439</v>
      </c>
      <c r="E523" t="s">
        <v>375</v>
      </c>
      <c r="F523" t="s">
        <v>376</v>
      </c>
      <c r="G523" s="14">
        <v>46261.333657407398</v>
      </c>
      <c r="H523" t="s">
        <v>377</v>
      </c>
    </row>
    <row r="524" spans="1:8" ht="15" customHeight="1" x14ac:dyDescent="0.3">
      <c r="A524" t="s">
        <v>479</v>
      </c>
      <c r="B524" t="s">
        <v>480</v>
      </c>
      <c r="C524" t="s">
        <v>481</v>
      </c>
      <c r="D524" t="s">
        <v>439</v>
      </c>
      <c r="E524" t="s">
        <v>375</v>
      </c>
      <c r="F524" t="s">
        <v>376</v>
      </c>
      <c r="G524" s="14">
        <v>46261.332326388903</v>
      </c>
      <c r="H524" t="s">
        <v>390</v>
      </c>
    </row>
    <row r="525" spans="1:8" ht="15" customHeight="1" x14ac:dyDescent="0.3">
      <c r="A525" t="s">
        <v>443</v>
      </c>
      <c r="B525" t="s">
        <v>444</v>
      </c>
      <c r="C525" t="s">
        <v>445</v>
      </c>
      <c r="D525" t="s">
        <v>439</v>
      </c>
      <c r="E525" t="s">
        <v>375</v>
      </c>
      <c r="F525" t="s">
        <v>376</v>
      </c>
      <c r="G525" s="14">
        <v>46261.332245370402</v>
      </c>
      <c r="H525" t="s">
        <v>390</v>
      </c>
    </row>
    <row r="526" spans="1:8" ht="15" customHeight="1" x14ac:dyDescent="0.3">
      <c r="A526" t="s">
        <v>458</v>
      </c>
      <c r="B526" t="s">
        <v>459</v>
      </c>
      <c r="C526" t="s">
        <v>460</v>
      </c>
      <c r="D526" t="s">
        <v>439</v>
      </c>
      <c r="E526" t="s">
        <v>394</v>
      </c>
      <c r="F526" t="s">
        <v>376</v>
      </c>
      <c r="G526" s="14">
        <v>46261.332233796304</v>
      </c>
      <c r="H526" t="s">
        <v>390</v>
      </c>
    </row>
    <row r="527" spans="1:8" ht="15" customHeight="1" x14ac:dyDescent="0.3">
      <c r="A527" t="s">
        <v>482</v>
      </c>
      <c r="B527" t="s">
        <v>483</v>
      </c>
      <c r="C527" t="s">
        <v>484</v>
      </c>
      <c r="D527" t="s">
        <v>439</v>
      </c>
      <c r="E527" t="s">
        <v>375</v>
      </c>
      <c r="F527" t="s">
        <v>376</v>
      </c>
      <c r="G527" s="14">
        <v>46261.331412036998</v>
      </c>
      <c r="H527" t="s">
        <v>377</v>
      </c>
    </row>
    <row r="528" spans="1:8" ht="15" customHeight="1" x14ac:dyDescent="0.3">
      <c r="A528" t="s">
        <v>482</v>
      </c>
      <c r="B528" t="s">
        <v>483</v>
      </c>
      <c r="C528" t="s">
        <v>484</v>
      </c>
      <c r="D528" t="s">
        <v>439</v>
      </c>
      <c r="E528" t="s">
        <v>375</v>
      </c>
      <c r="F528" t="s">
        <v>376</v>
      </c>
      <c r="G528" s="14">
        <v>46261.331342592603</v>
      </c>
      <c r="H528" t="s">
        <v>377</v>
      </c>
    </row>
    <row r="529" spans="1:8" ht="15" customHeight="1" x14ac:dyDescent="0.3">
      <c r="A529" t="s">
        <v>475</v>
      </c>
      <c r="B529" t="s">
        <v>476</v>
      </c>
      <c r="C529" t="s">
        <v>477</v>
      </c>
      <c r="D529" t="s">
        <v>439</v>
      </c>
      <c r="E529" t="s">
        <v>478</v>
      </c>
      <c r="F529" t="s">
        <v>376</v>
      </c>
      <c r="G529" s="14">
        <v>46261.330949074101</v>
      </c>
      <c r="H529" t="s">
        <v>390</v>
      </c>
    </row>
    <row r="530" spans="1:8" ht="15" customHeight="1" x14ac:dyDescent="0.3">
      <c r="A530" t="s">
        <v>470</v>
      </c>
      <c r="B530" t="s">
        <v>184</v>
      </c>
      <c r="C530" t="s">
        <v>471</v>
      </c>
      <c r="D530" t="s">
        <v>439</v>
      </c>
      <c r="E530" t="s">
        <v>375</v>
      </c>
      <c r="F530" t="s">
        <v>376</v>
      </c>
      <c r="G530" s="14">
        <v>46261.330324074101</v>
      </c>
      <c r="H530" t="s">
        <v>390</v>
      </c>
    </row>
    <row r="531" spans="1:8" ht="15" customHeight="1" x14ac:dyDescent="0.3">
      <c r="A531" t="s">
        <v>455</v>
      </c>
      <c r="B531" t="s">
        <v>456</v>
      </c>
      <c r="C531" t="s">
        <v>457</v>
      </c>
      <c r="D531" t="s">
        <v>439</v>
      </c>
      <c r="E531" t="s">
        <v>375</v>
      </c>
      <c r="F531" t="s">
        <v>376</v>
      </c>
      <c r="G531" s="14">
        <v>46261.326712962997</v>
      </c>
      <c r="H531" t="s">
        <v>390</v>
      </c>
    </row>
    <row r="532" spans="1:8" ht="15" customHeight="1" x14ac:dyDescent="0.3">
      <c r="A532" t="s">
        <v>461</v>
      </c>
      <c r="B532" t="s">
        <v>462</v>
      </c>
      <c r="C532" t="s">
        <v>463</v>
      </c>
      <c r="D532" t="s">
        <v>439</v>
      </c>
      <c r="E532" t="s">
        <v>375</v>
      </c>
      <c r="F532" t="s">
        <v>376</v>
      </c>
      <c r="G532" s="14">
        <v>46261.326689814799</v>
      </c>
      <c r="H532" t="s">
        <v>390</v>
      </c>
    </row>
    <row r="533" spans="1:8" ht="15" customHeight="1" x14ac:dyDescent="0.3">
      <c r="A533" t="s">
        <v>499</v>
      </c>
      <c r="B533" t="s">
        <v>273</v>
      </c>
      <c r="C533" t="s">
        <v>500</v>
      </c>
      <c r="D533" t="s">
        <v>439</v>
      </c>
      <c r="E533" t="s">
        <v>501</v>
      </c>
      <c r="F533" t="s">
        <v>376</v>
      </c>
      <c r="G533" s="14">
        <v>46261.326157407399</v>
      </c>
      <c r="H533" t="s">
        <v>390</v>
      </c>
    </row>
    <row r="534" spans="1:8" ht="15" customHeight="1" x14ac:dyDescent="0.3">
      <c r="A534" t="s">
        <v>446</v>
      </c>
      <c r="B534" t="s">
        <v>447</v>
      </c>
      <c r="C534" t="s">
        <v>448</v>
      </c>
      <c r="D534" t="s">
        <v>439</v>
      </c>
      <c r="E534" t="s">
        <v>375</v>
      </c>
      <c r="F534" t="s">
        <v>376</v>
      </c>
      <c r="G534" s="14">
        <v>46261.318414351903</v>
      </c>
      <c r="H534" t="s">
        <v>390</v>
      </c>
    </row>
    <row r="535" spans="1:8" ht="15" customHeight="1" x14ac:dyDescent="0.3">
      <c r="A535" t="s">
        <v>449</v>
      </c>
      <c r="B535" t="s">
        <v>450</v>
      </c>
      <c r="C535" t="s">
        <v>451</v>
      </c>
      <c r="D535" t="s">
        <v>439</v>
      </c>
      <c r="E535" t="s">
        <v>375</v>
      </c>
      <c r="F535" t="s">
        <v>376</v>
      </c>
      <c r="G535" s="14">
        <v>46261.312488425901</v>
      </c>
      <c r="H535" t="s">
        <v>390</v>
      </c>
    </row>
    <row r="536" spans="1:8" ht="15" customHeight="1" x14ac:dyDescent="0.3">
      <c r="A536" t="s">
        <v>452</v>
      </c>
      <c r="B536" t="s">
        <v>453</v>
      </c>
      <c r="C536" t="s">
        <v>454</v>
      </c>
      <c r="D536" t="s">
        <v>439</v>
      </c>
      <c r="E536" t="s">
        <v>375</v>
      </c>
      <c r="F536" t="s">
        <v>376</v>
      </c>
      <c r="G536" s="14">
        <v>46261.305381944498</v>
      </c>
      <c r="H536" t="s">
        <v>390</v>
      </c>
    </row>
    <row r="537" spans="1:8" ht="15" customHeight="1" x14ac:dyDescent="0.3">
      <c r="A537" t="s">
        <v>488</v>
      </c>
      <c r="B537" t="s">
        <v>489</v>
      </c>
      <c r="C537" t="s">
        <v>490</v>
      </c>
      <c r="D537" t="s">
        <v>439</v>
      </c>
      <c r="E537" t="s">
        <v>375</v>
      </c>
      <c r="F537" t="s">
        <v>376</v>
      </c>
      <c r="G537" s="14">
        <v>46260.878090277802</v>
      </c>
      <c r="H537" t="s">
        <v>390</v>
      </c>
    </row>
    <row r="538" spans="1:8" ht="15" customHeight="1" x14ac:dyDescent="0.3">
      <c r="A538" t="s">
        <v>449</v>
      </c>
      <c r="B538" t="s">
        <v>450</v>
      </c>
      <c r="C538" t="s">
        <v>451</v>
      </c>
      <c r="D538" t="s">
        <v>439</v>
      </c>
      <c r="E538" t="s">
        <v>375</v>
      </c>
      <c r="F538" t="s">
        <v>376</v>
      </c>
      <c r="G538" s="14">
        <v>46260.876273148198</v>
      </c>
      <c r="H538" t="s">
        <v>377</v>
      </c>
    </row>
    <row r="539" spans="1:8" ht="15" customHeight="1" x14ac:dyDescent="0.3">
      <c r="A539" t="s">
        <v>472</v>
      </c>
      <c r="B539" t="s">
        <v>473</v>
      </c>
      <c r="C539" t="s">
        <v>474</v>
      </c>
      <c r="D539" t="s">
        <v>439</v>
      </c>
      <c r="E539" t="s">
        <v>23</v>
      </c>
      <c r="F539" t="s">
        <v>376</v>
      </c>
      <c r="G539" s="14">
        <v>46260.864247685196</v>
      </c>
      <c r="H539" t="s">
        <v>377</v>
      </c>
    </row>
    <row r="540" spans="1:8" ht="15" customHeight="1" x14ac:dyDescent="0.3">
      <c r="A540" t="s">
        <v>461</v>
      </c>
      <c r="B540" t="s">
        <v>462</v>
      </c>
      <c r="C540" t="s">
        <v>463</v>
      </c>
      <c r="D540" t="s">
        <v>439</v>
      </c>
      <c r="E540" t="s">
        <v>375</v>
      </c>
      <c r="F540" t="s">
        <v>376</v>
      </c>
      <c r="G540" s="14">
        <v>46260.855520833298</v>
      </c>
      <c r="H540" t="s">
        <v>377</v>
      </c>
    </row>
    <row r="541" spans="1:8" ht="15" customHeight="1" x14ac:dyDescent="0.3">
      <c r="A541" t="s">
        <v>455</v>
      </c>
      <c r="B541" t="s">
        <v>456</v>
      </c>
      <c r="C541" t="s">
        <v>457</v>
      </c>
      <c r="D541" t="s">
        <v>439</v>
      </c>
      <c r="E541" t="s">
        <v>375</v>
      </c>
      <c r="F541" t="s">
        <v>376</v>
      </c>
      <c r="G541" s="14">
        <v>46260.852349537003</v>
      </c>
      <c r="H541" t="s">
        <v>377</v>
      </c>
    </row>
    <row r="542" spans="1:8" ht="15" customHeight="1" x14ac:dyDescent="0.3">
      <c r="A542" t="s">
        <v>499</v>
      </c>
      <c r="B542" t="s">
        <v>273</v>
      </c>
      <c r="C542" t="s">
        <v>500</v>
      </c>
      <c r="D542" t="s">
        <v>439</v>
      </c>
      <c r="E542" t="s">
        <v>501</v>
      </c>
      <c r="F542" t="s">
        <v>376</v>
      </c>
      <c r="G542" s="14">
        <v>46260.850717592599</v>
      </c>
      <c r="H542" t="s">
        <v>377</v>
      </c>
    </row>
    <row r="543" spans="1:8" ht="15" customHeight="1" x14ac:dyDescent="0.3">
      <c r="A543" t="s">
        <v>485</v>
      </c>
      <c r="B543" t="s">
        <v>486</v>
      </c>
      <c r="C543" t="s">
        <v>487</v>
      </c>
      <c r="D543" t="s">
        <v>439</v>
      </c>
      <c r="E543" t="s">
        <v>394</v>
      </c>
      <c r="F543" t="s">
        <v>376</v>
      </c>
      <c r="G543" s="14">
        <v>46260.8384606482</v>
      </c>
      <c r="H543" t="s">
        <v>377</v>
      </c>
    </row>
    <row r="544" spans="1:8" ht="15" customHeight="1" x14ac:dyDescent="0.3">
      <c r="A544" t="s">
        <v>479</v>
      </c>
      <c r="B544" t="s">
        <v>480</v>
      </c>
      <c r="C544" t="s">
        <v>481</v>
      </c>
      <c r="D544" t="s">
        <v>439</v>
      </c>
      <c r="E544" t="s">
        <v>375</v>
      </c>
      <c r="F544" t="s">
        <v>376</v>
      </c>
      <c r="G544" s="14">
        <v>46260.835590277798</v>
      </c>
      <c r="H544" t="s">
        <v>377</v>
      </c>
    </row>
    <row r="545" spans="1:8" ht="15" customHeight="1" x14ac:dyDescent="0.3">
      <c r="A545" t="s">
        <v>458</v>
      </c>
      <c r="B545" t="s">
        <v>459</v>
      </c>
      <c r="C545" t="s">
        <v>460</v>
      </c>
      <c r="D545" t="s">
        <v>439</v>
      </c>
      <c r="E545" t="s">
        <v>394</v>
      </c>
      <c r="F545" t="s">
        <v>376</v>
      </c>
      <c r="G545" s="14">
        <v>46260.834849537001</v>
      </c>
      <c r="H545" t="s">
        <v>377</v>
      </c>
    </row>
    <row r="546" spans="1:8" ht="15" customHeight="1" x14ac:dyDescent="0.3">
      <c r="A546" t="s">
        <v>452</v>
      </c>
      <c r="B546" t="s">
        <v>453</v>
      </c>
      <c r="C546" t="s">
        <v>454</v>
      </c>
      <c r="D546" t="s">
        <v>439</v>
      </c>
      <c r="E546" t="s">
        <v>375</v>
      </c>
      <c r="F546" t="s">
        <v>376</v>
      </c>
      <c r="G546" s="14">
        <v>46260.834606481498</v>
      </c>
      <c r="H546" t="s">
        <v>377</v>
      </c>
    </row>
    <row r="547" spans="1:8" ht="15" customHeight="1" x14ac:dyDescent="0.3">
      <c r="A547" t="s">
        <v>443</v>
      </c>
      <c r="B547" t="s">
        <v>444</v>
      </c>
      <c r="C547" t="s">
        <v>445</v>
      </c>
      <c r="D547" t="s">
        <v>439</v>
      </c>
      <c r="E547" t="s">
        <v>375</v>
      </c>
      <c r="F547" t="s">
        <v>376</v>
      </c>
      <c r="G547" s="14">
        <v>46260.834166666697</v>
      </c>
      <c r="H547" t="s">
        <v>377</v>
      </c>
    </row>
    <row r="548" spans="1:8" ht="15" customHeight="1" x14ac:dyDescent="0.3">
      <c r="A548" t="s">
        <v>470</v>
      </c>
      <c r="B548" t="s">
        <v>184</v>
      </c>
      <c r="C548" t="s">
        <v>471</v>
      </c>
      <c r="D548" t="s">
        <v>439</v>
      </c>
      <c r="E548" t="s">
        <v>375</v>
      </c>
      <c r="F548" t="s">
        <v>376</v>
      </c>
      <c r="G548" s="14">
        <v>46260.833923611099</v>
      </c>
      <c r="H548" t="s">
        <v>377</v>
      </c>
    </row>
    <row r="549" spans="1:8" ht="15" customHeight="1" x14ac:dyDescent="0.3">
      <c r="A549" t="s">
        <v>475</v>
      </c>
      <c r="B549" t="s">
        <v>476</v>
      </c>
      <c r="C549" t="s">
        <v>477</v>
      </c>
      <c r="D549" t="s">
        <v>439</v>
      </c>
      <c r="E549" t="s">
        <v>478</v>
      </c>
      <c r="F549" t="s">
        <v>376</v>
      </c>
      <c r="G549" s="14">
        <v>46260.833854166704</v>
      </c>
      <c r="H549" t="s">
        <v>377</v>
      </c>
    </row>
    <row r="550" spans="1:8" ht="15" customHeight="1" x14ac:dyDescent="0.3">
      <c r="A550" t="s">
        <v>467</v>
      </c>
      <c r="B550" t="s">
        <v>468</v>
      </c>
      <c r="C550" t="s">
        <v>469</v>
      </c>
      <c r="D550" t="s">
        <v>439</v>
      </c>
      <c r="E550" t="s">
        <v>375</v>
      </c>
      <c r="F550" t="s">
        <v>376</v>
      </c>
      <c r="G550" s="14">
        <v>46260.833611111098</v>
      </c>
      <c r="H550" t="s">
        <v>390</v>
      </c>
    </row>
    <row r="551" spans="1:8" ht="15" customHeight="1" x14ac:dyDescent="0.3">
      <c r="A551" t="s">
        <v>482</v>
      </c>
      <c r="B551" t="s">
        <v>483</v>
      </c>
      <c r="C551" t="s">
        <v>484</v>
      </c>
      <c r="D551" t="s">
        <v>439</v>
      </c>
      <c r="E551" t="s">
        <v>375</v>
      </c>
      <c r="F551" t="s">
        <v>376</v>
      </c>
      <c r="G551" s="14">
        <v>46260.833460648202</v>
      </c>
      <c r="H551" t="s">
        <v>390</v>
      </c>
    </row>
    <row r="552" spans="1:8" ht="15" customHeight="1" x14ac:dyDescent="0.3">
      <c r="A552" t="s">
        <v>436</v>
      </c>
      <c r="B552" t="s">
        <v>437</v>
      </c>
      <c r="C552" t="s">
        <v>438</v>
      </c>
      <c r="D552" t="s">
        <v>439</v>
      </c>
      <c r="E552" t="s">
        <v>375</v>
      </c>
      <c r="F552" t="s">
        <v>376</v>
      </c>
      <c r="G552" s="14">
        <v>46260.828541666699</v>
      </c>
      <c r="H552" t="s">
        <v>390</v>
      </c>
    </row>
    <row r="553" spans="1:8" ht="15" customHeight="1" x14ac:dyDescent="0.3">
      <c r="A553" t="s">
        <v>446</v>
      </c>
      <c r="B553" t="s">
        <v>447</v>
      </c>
      <c r="C553" t="s">
        <v>448</v>
      </c>
      <c r="D553" t="s">
        <v>439</v>
      </c>
      <c r="E553" t="s">
        <v>375</v>
      </c>
      <c r="F553" t="s">
        <v>376</v>
      </c>
      <c r="G553" s="14">
        <v>46260.828368055598</v>
      </c>
      <c r="H553" t="s">
        <v>377</v>
      </c>
    </row>
    <row r="554" spans="1:8" ht="15" customHeight="1" x14ac:dyDescent="0.3">
      <c r="A554" t="s">
        <v>493</v>
      </c>
      <c r="B554" t="s">
        <v>494</v>
      </c>
      <c r="C554" t="s">
        <v>495</v>
      </c>
      <c r="D554" t="s">
        <v>439</v>
      </c>
      <c r="E554" t="s">
        <v>375</v>
      </c>
      <c r="F554" t="s">
        <v>376</v>
      </c>
      <c r="G554" s="14">
        <v>46260.828182870398</v>
      </c>
      <c r="H554" t="s">
        <v>390</v>
      </c>
    </row>
    <row r="555" spans="1:8" ht="15" customHeight="1" x14ac:dyDescent="0.3">
      <c r="A555" t="s">
        <v>464</v>
      </c>
      <c r="B555" t="s">
        <v>465</v>
      </c>
      <c r="C555" t="s">
        <v>466</v>
      </c>
      <c r="D555" t="s">
        <v>439</v>
      </c>
      <c r="E555" t="s">
        <v>375</v>
      </c>
      <c r="F555" t="s">
        <v>376</v>
      </c>
      <c r="G555" s="14">
        <v>46260.828159722201</v>
      </c>
      <c r="H555" t="s">
        <v>377</v>
      </c>
    </row>
    <row r="556" spans="1:8" ht="15" customHeight="1" x14ac:dyDescent="0.3">
      <c r="A556" t="s">
        <v>491</v>
      </c>
      <c r="B556" t="s">
        <v>188</v>
      </c>
      <c r="C556" t="s">
        <v>492</v>
      </c>
      <c r="D556" t="s">
        <v>439</v>
      </c>
      <c r="E556" t="s">
        <v>375</v>
      </c>
      <c r="F556" t="s">
        <v>376</v>
      </c>
      <c r="G556" s="14">
        <v>46260.827939814801</v>
      </c>
      <c r="H556" t="s">
        <v>390</v>
      </c>
    </row>
    <row r="557" spans="1:8" ht="15" customHeight="1" x14ac:dyDescent="0.3">
      <c r="A557" t="s">
        <v>491</v>
      </c>
      <c r="B557" t="s">
        <v>188</v>
      </c>
      <c r="C557" t="s">
        <v>492</v>
      </c>
      <c r="D557" t="s">
        <v>439</v>
      </c>
      <c r="E557" t="s">
        <v>375</v>
      </c>
      <c r="F557" t="s">
        <v>376</v>
      </c>
      <c r="G557" s="14">
        <v>46260.827685185199</v>
      </c>
      <c r="H557" t="s">
        <v>390</v>
      </c>
    </row>
    <row r="558" spans="1:8" ht="15" customHeight="1" x14ac:dyDescent="0.3">
      <c r="A558" t="s">
        <v>493</v>
      </c>
      <c r="B558" t="s">
        <v>494</v>
      </c>
      <c r="C558" t="s">
        <v>495</v>
      </c>
      <c r="D558" t="s">
        <v>439</v>
      </c>
      <c r="E558" t="s">
        <v>375</v>
      </c>
      <c r="F558" t="s">
        <v>376</v>
      </c>
      <c r="G558" s="14">
        <v>46260.4556481482</v>
      </c>
      <c r="H558" t="s">
        <v>377</v>
      </c>
    </row>
    <row r="559" spans="1:8" ht="15" customHeight="1" x14ac:dyDescent="0.3">
      <c r="A559" t="s">
        <v>436</v>
      </c>
      <c r="B559" t="s">
        <v>437</v>
      </c>
      <c r="C559" t="s">
        <v>438</v>
      </c>
      <c r="D559" t="s">
        <v>439</v>
      </c>
      <c r="E559" t="s">
        <v>375</v>
      </c>
      <c r="F559" t="s">
        <v>376</v>
      </c>
      <c r="G559" s="14">
        <v>46260.409849536998</v>
      </c>
      <c r="H559" t="s">
        <v>377</v>
      </c>
    </row>
    <row r="560" spans="1:8" ht="15" customHeight="1" x14ac:dyDescent="0.3">
      <c r="A560" t="s">
        <v>491</v>
      </c>
      <c r="B560" t="s">
        <v>188</v>
      </c>
      <c r="C560" t="s">
        <v>492</v>
      </c>
      <c r="D560" t="s">
        <v>439</v>
      </c>
      <c r="E560" t="s">
        <v>375</v>
      </c>
      <c r="F560" t="s">
        <v>376</v>
      </c>
      <c r="G560" s="14">
        <v>46260.387488425898</v>
      </c>
      <c r="H560" t="s">
        <v>377</v>
      </c>
    </row>
    <row r="561" spans="1:8" ht="15" customHeight="1" x14ac:dyDescent="0.3">
      <c r="A561" t="s">
        <v>449</v>
      </c>
      <c r="B561" t="s">
        <v>450</v>
      </c>
      <c r="C561" t="s">
        <v>451</v>
      </c>
      <c r="D561" t="s">
        <v>439</v>
      </c>
      <c r="E561" t="s">
        <v>375</v>
      </c>
      <c r="F561" t="s">
        <v>376</v>
      </c>
      <c r="G561" s="14">
        <v>46260.368622685201</v>
      </c>
      <c r="H561" t="s">
        <v>390</v>
      </c>
    </row>
    <row r="562" spans="1:8" ht="15" customHeight="1" x14ac:dyDescent="0.3">
      <c r="A562" t="s">
        <v>496</v>
      </c>
      <c r="B562" t="s">
        <v>497</v>
      </c>
      <c r="C562" t="s">
        <v>498</v>
      </c>
      <c r="D562" t="s">
        <v>439</v>
      </c>
      <c r="E562" t="s">
        <v>394</v>
      </c>
      <c r="F562" t="s">
        <v>376</v>
      </c>
      <c r="G562" s="14">
        <v>46260.365416666697</v>
      </c>
      <c r="H562" t="s">
        <v>377</v>
      </c>
    </row>
    <row r="563" spans="1:8" ht="15" customHeight="1" x14ac:dyDescent="0.3">
      <c r="A563" t="s">
        <v>455</v>
      </c>
      <c r="B563" t="s">
        <v>456</v>
      </c>
      <c r="C563" t="s">
        <v>457</v>
      </c>
      <c r="D563" t="s">
        <v>439</v>
      </c>
      <c r="E563" t="s">
        <v>375</v>
      </c>
      <c r="F563" t="s">
        <v>376</v>
      </c>
      <c r="G563" s="14">
        <v>46260.357592592598</v>
      </c>
      <c r="H563" t="s">
        <v>390</v>
      </c>
    </row>
    <row r="564" spans="1:8" ht="15" customHeight="1" x14ac:dyDescent="0.3">
      <c r="A564" t="s">
        <v>485</v>
      </c>
      <c r="B564" t="s">
        <v>486</v>
      </c>
      <c r="C564" t="s">
        <v>487</v>
      </c>
      <c r="D564" t="s">
        <v>439</v>
      </c>
      <c r="E564" t="s">
        <v>394</v>
      </c>
      <c r="F564" t="s">
        <v>376</v>
      </c>
      <c r="G564" s="14">
        <v>46260.345451388901</v>
      </c>
      <c r="H564" t="s">
        <v>390</v>
      </c>
    </row>
    <row r="565" spans="1:8" ht="15" customHeight="1" x14ac:dyDescent="0.3">
      <c r="A565" t="s">
        <v>475</v>
      </c>
      <c r="B565" t="s">
        <v>476</v>
      </c>
      <c r="C565" t="s">
        <v>477</v>
      </c>
      <c r="D565" t="s">
        <v>439</v>
      </c>
      <c r="E565" t="s">
        <v>478</v>
      </c>
      <c r="F565" t="s">
        <v>376</v>
      </c>
      <c r="G565" s="14">
        <v>46260.3436111111</v>
      </c>
      <c r="H565" t="s">
        <v>390</v>
      </c>
    </row>
    <row r="566" spans="1:8" ht="15" customHeight="1" x14ac:dyDescent="0.3">
      <c r="A566" t="s">
        <v>472</v>
      </c>
      <c r="B566" t="s">
        <v>473</v>
      </c>
      <c r="C566" t="s">
        <v>474</v>
      </c>
      <c r="D566" t="s">
        <v>439</v>
      </c>
      <c r="E566" t="s">
        <v>23</v>
      </c>
      <c r="F566" t="s">
        <v>376</v>
      </c>
      <c r="G566" s="14">
        <v>46260.339965277803</v>
      </c>
      <c r="H566" t="s">
        <v>390</v>
      </c>
    </row>
    <row r="567" spans="1:8" ht="15" customHeight="1" x14ac:dyDescent="0.3">
      <c r="A567" t="s">
        <v>467</v>
      </c>
      <c r="B567" t="s">
        <v>468</v>
      </c>
      <c r="C567" t="s">
        <v>469</v>
      </c>
      <c r="D567" t="s">
        <v>439</v>
      </c>
      <c r="E567" t="s">
        <v>375</v>
      </c>
      <c r="F567" t="s">
        <v>376</v>
      </c>
      <c r="G567" s="14">
        <v>46260.3390856482</v>
      </c>
      <c r="H567" t="s">
        <v>390</v>
      </c>
    </row>
    <row r="568" spans="1:8" ht="15" customHeight="1" x14ac:dyDescent="0.3">
      <c r="A568" t="s">
        <v>458</v>
      </c>
      <c r="B568" t="s">
        <v>459</v>
      </c>
      <c r="C568" t="s">
        <v>460</v>
      </c>
      <c r="D568" t="s">
        <v>439</v>
      </c>
      <c r="E568" t="s">
        <v>394</v>
      </c>
      <c r="F568" t="s">
        <v>376</v>
      </c>
      <c r="G568" s="14">
        <v>46260.337627314802</v>
      </c>
      <c r="H568" t="s">
        <v>390</v>
      </c>
    </row>
    <row r="569" spans="1:8" ht="15" customHeight="1" x14ac:dyDescent="0.3">
      <c r="A569" t="s">
        <v>482</v>
      </c>
      <c r="B569" t="s">
        <v>483</v>
      </c>
      <c r="C569" t="s">
        <v>484</v>
      </c>
      <c r="D569" t="s">
        <v>439</v>
      </c>
      <c r="E569" t="s">
        <v>375</v>
      </c>
      <c r="F569" t="s">
        <v>376</v>
      </c>
      <c r="G569" s="14">
        <v>46260.333854166704</v>
      </c>
      <c r="H569" t="s">
        <v>377</v>
      </c>
    </row>
    <row r="570" spans="1:8" ht="15" customHeight="1" x14ac:dyDescent="0.3">
      <c r="A570" t="s">
        <v>443</v>
      </c>
      <c r="B570" t="s">
        <v>444</v>
      </c>
      <c r="C570" t="s">
        <v>445</v>
      </c>
      <c r="D570" t="s">
        <v>439</v>
      </c>
      <c r="E570" t="s">
        <v>375</v>
      </c>
      <c r="F570" t="s">
        <v>376</v>
      </c>
      <c r="G570" s="14">
        <v>46260.333437499998</v>
      </c>
      <c r="H570" t="s">
        <v>390</v>
      </c>
    </row>
    <row r="571" spans="1:8" ht="15" customHeight="1" x14ac:dyDescent="0.3">
      <c r="A571" t="s">
        <v>499</v>
      </c>
      <c r="B571" t="s">
        <v>273</v>
      </c>
      <c r="C571" t="s">
        <v>500</v>
      </c>
      <c r="D571" t="s">
        <v>439</v>
      </c>
      <c r="E571" t="s">
        <v>501</v>
      </c>
      <c r="F571" t="s">
        <v>376</v>
      </c>
      <c r="G571" s="14">
        <v>46260.332719907397</v>
      </c>
      <c r="H571" t="s">
        <v>390</v>
      </c>
    </row>
    <row r="572" spans="1:8" ht="15" customHeight="1" x14ac:dyDescent="0.3">
      <c r="A572" t="s">
        <v>446</v>
      </c>
      <c r="B572" t="s">
        <v>447</v>
      </c>
      <c r="C572" t="s">
        <v>448</v>
      </c>
      <c r="D572" t="s">
        <v>439</v>
      </c>
      <c r="E572" t="s">
        <v>375</v>
      </c>
      <c r="F572" t="s">
        <v>376</v>
      </c>
      <c r="G572" s="14">
        <v>46260.331898148201</v>
      </c>
      <c r="H572" t="s">
        <v>390</v>
      </c>
    </row>
    <row r="573" spans="1:8" ht="15" customHeight="1" x14ac:dyDescent="0.3">
      <c r="A573" t="s">
        <v>488</v>
      </c>
      <c r="B573" t="s">
        <v>489</v>
      </c>
      <c r="C573" t="s">
        <v>490</v>
      </c>
      <c r="D573" t="s">
        <v>439</v>
      </c>
      <c r="E573" t="s">
        <v>375</v>
      </c>
      <c r="F573" t="s">
        <v>376</v>
      </c>
      <c r="G573" s="14">
        <v>46260.331435185202</v>
      </c>
      <c r="H573" t="s">
        <v>377</v>
      </c>
    </row>
    <row r="574" spans="1:8" ht="15" customHeight="1" x14ac:dyDescent="0.3">
      <c r="A574" t="s">
        <v>461</v>
      </c>
      <c r="B574" t="s">
        <v>462</v>
      </c>
      <c r="C574" t="s">
        <v>463</v>
      </c>
      <c r="D574" t="s">
        <v>439</v>
      </c>
      <c r="E574" t="s">
        <v>375</v>
      </c>
      <c r="F574" t="s">
        <v>376</v>
      </c>
      <c r="G574" s="14">
        <v>46260.3275810185</v>
      </c>
      <c r="H574" t="s">
        <v>390</v>
      </c>
    </row>
    <row r="575" spans="1:8" ht="15" customHeight="1" x14ac:dyDescent="0.3">
      <c r="A575" t="s">
        <v>464</v>
      </c>
      <c r="B575" t="s">
        <v>465</v>
      </c>
      <c r="C575" t="s">
        <v>466</v>
      </c>
      <c r="D575" t="s">
        <v>439</v>
      </c>
      <c r="E575" t="s">
        <v>375</v>
      </c>
      <c r="F575" t="s">
        <v>376</v>
      </c>
      <c r="G575" s="14">
        <v>46260.320300925901</v>
      </c>
      <c r="H575" t="s">
        <v>390</v>
      </c>
    </row>
    <row r="576" spans="1:8" ht="15" customHeight="1" x14ac:dyDescent="0.3">
      <c r="A576" t="s">
        <v>479</v>
      </c>
      <c r="B576" t="s">
        <v>480</v>
      </c>
      <c r="C576" t="s">
        <v>481</v>
      </c>
      <c r="D576" t="s">
        <v>439</v>
      </c>
      <c r="E576" t="s">
        <v>375</v>
      </c>
      <c r="F576" t="s">
        <v>376</v>
      </c>
      <c r="G576" s="14">
        <v>46260.316932870403</v>
      </c>
      <c r="H576" t="s">
        <v>390</v>
      </c>
    </row>
    <row r="577" spans="1:8" ht="15" customHeight="1" x14ac:dyDescent="0.3">
      <c r="A577" t="s">
        <v>470</v>
      </c>
      <c r="B577" t="s">
        <v>184</v>
      </c>
      <c r="C577" t="s">
        <v>471</v>
      </c>
      <c r="D577" t="s">
        <v>439</v>
      </c>
      <c r="E577" t="s">
        <v>375</v>
      </c>
      <c r="F577" t="s">
        <v>376</v>
      </c>
      <c r="G577" s="14">
        <v>46260.316655092603</v>
      </c>
      <c r="H577" t="s">
        <v>390</v>
      </c>
    </row>
    <row r="578" spans="1:8" ht="15" customHeight="1" x14ac:dyDescent="0.3">
      <c r="A578" t="s">
        <v>452</v>
      </c>
      <c r="B578" t="s">
        <v>453</v>
      </c>
      <c r="C578" t="s">
        <v>454</v>
      </c>
      <c r="D578" t="s">
        <v>439</v>
      </c>
      <c r="E578" t="s">
        <v>375</v>
      </c>
      <c r="F578" t="s">
        <v>376</v>
      </c>
      <c r="G578" s="14">
        <v>46260.306469907402</v>
      </c>
      <c r="H578" t="s">
        <v>390</v>
      </c>
    </row>
    <row r="579" spans="1:8" ht="15" customHeight="1" x14ac:dyDescent="0.3">
      <c r="A579" t="s">
        <v>461</v>
      </c>
      <c r="B579" t="s">
        <v>462</v>
      </c>
      <c r="C579" t="s">
        <v>463</v>
      </c>
      <c r="D579" t="s">
        <v>439</v>
      </c>
      <c r="E579" t="s">
        <v>375</v>
      </c>
      <c r="F579" t="s">
        <v>376</v>
      </c>
      <c r="G579" s="14">
        <v>46259.898634259298</v>
      </c>
      <c r="H579" t="s">
        <v>377</v>
      </c>
    </row>
    <row r="580" spans="1:8" ht="15" customHeight="1" x14ac:dyDescent="0.3">
      <c r="A580" t="s">
        <v>502</v>
      </c>
      <c r="B580" t="s">
        <v>503</v>
      </c>
      <c r="C580" t="s">
        <v>504</v>
      </c>
      <c r="D580" t="s">
        <v>439</v>
      </c>
      <c r="E580" t="s">
        <v>375</v>
      </c>
      <c r="F580" t="s">
        <v>376</v>
      </c>
      <c r="G580" s="14">
        <v>46259.8906712963</v>
      </c>
      <c r="H580" t="s">
        <v>377</v>
      </c>
    </row>
    <row r="581" spans="1:8" ht="15" customHeight="1" x14ac:dyDescent="0.3">
      <c r="A581" t="s">
        <v>452</v>
      </c>
      <c r="B581" t="s">
        <v>453</v>
      </c>
      <c r="C581" t="s">
        <v>454</v>
      </c>
      <c r="D581" t="s">
        <v>439</v>
      </c>
      <c r="E581" t="s">
        <v>375</v>
      </c>
      <c r="F581" t="s">
        <v>376</v>
      </c>
      <c r="G581" s="14">
        <v>46259.8811458333</v>
      </c>
      <c r="H581" t="s">
        <v>377</v>
      </c>
    </row>
    <row r="582" spans="1:8" ht="15" customHeight="1" x14ac:dyDescent="0.3">
      <c r="A582" t="s">
        <v>505</v>
      </c>
      <c r="B582" t="s">
        <v>506</v>
      </c>
      <c r="C582" t="s">
        <v>507</v>
      </c>
      <c r="D582" t="s">
        <v>439</v>
      </c>
      <c r="E582" t="s">
        <v>478</v>
      </c>
      <c r="F582" t="s">
        <v>376</v>
      </c>
      <c r="G582" s="14">
        <v>46259.859155092599</v>
      </c>
      <c r="H582" t="s">
        <v>377</v>
      </c>
    </row>
    <row r="583" spans="1:8" ht="15" customHeight="1" x14ac:dyDescent="0.3">
      <c r="A583" t="s">
        <v>505</v>
      </c>
      <c r="B583" t="s">
        <v>506</v>
      </c>
      <c r="C583" t="s">
        <v>507</v>
      </c>
      <c r="D583" t="s">
        <v>439</v>
      </c>
      <c r="E583" t="s">
        <v>478</v>
      </c>
      <c r="F583" t="s">
        <v>376</v>
      </c>
      <c r="G583" s="14">
        <v>46259.859074074098</v>
      </c>
      <c r="H583" t="s">
        <v>377</v>
      </c>
    </row>
    <row r="584" spans="1:8" ht="15" customHeight="1" x14ac:dyDescent="0.3">
      <c r="A584" t="s">
        <v>458</v>
      </c>
      <c r="B584" t="s">
        <v>459</v>
      </c>
      <c r="C584" t="s">
        <v>460</v>
      </c>
      <c r="D584" t="s">
        <v>439</v>
      </c>
      <c r="E584" t="s">
        <v>394</v>
      </c>
      <c r="F584" t="s">
        <v>376</v>
      </c>
      <c r="G584" s="14">
        <v>46259.858680555597</v>
      </c>
      <c r="H584" t="s">
        <v>377</v>
      </c>
    </row>
    <row r="585" spans="1:8" ht="15" customHeight="1" x14ac:dyDescent="0.3">
      <c r="A585" t="s">
        <v>496</v>
      </c>
      <c r="B585" t="s">
        <v>497</v>
      </c>
      <c r="C585" t="s">
        <v>498</v>
      </c>
      <c r="D585" t="s">
        <v>439</v>
      </c>
      <c r="E585" t="s">
        <v>394</v>
      </c>
      <c r="F585" t="s">
        <v>376</v>
      </c>
      <c r="G585" s="14">
        <v>46259.840347222198</v>
      </c>
      <c r="H585" t="s">
        <v>390</v>
      </c>
    </row>
    <row r="586" spans="1:8" ht="15" customHeight="1" x14ac:dyDescent="0.3">
      <c r="A586" t="s">
        <v>443</v>
      </c>
      <c r="B586" t="s">
        <v>444</v>
      </c>
      <c r="C586" t="s">
        <v>445</v>
      </c>
      <c r="D586" t="s">
        <v>439</v>
      </c>
      <c r="E586" t="s">
        <v>375</v>
      </c>
      <c r="F586" t="s">
        <v>376</v>
      </c>
      <c r="G586" s="14">
        <v>46259.839745370402</v>
      </c>
      <c r="H586" t="s">
        <v>377</v>
      </c>
    </row>
    <row r="587" spans="1:8" ht="15" customHeight="1" x14ac:dyDescent="0.3">
      <c r="A587" t="s">
        <v>485</v>
      </c>
      <c r="B587" t="s">
        <v>486</v>
      </c>
      <c r="C587" t="s">
        <v>487</v>
      </c>
      <c r="D587" t="s">
        <v>439</v>
      </c>
      <c r="E587" t="s">
        <v>394</v>
      </c>
      <c r="F587" t="s">
        <v>376</v>
      </c>
      <c r="G587" s="14">
        <v>46259.8386342593</v>
      </c>
      <c r="H587" t="s">
        <v>377</v>
      </c>
    </row>
    <row r="588" spans="1:8" ht="15" customHeight="1" x14ac:dyDescent="0.3">
      <c r="A588" t="s">
        <v>467</v>
      </c>
      <c r="B588" t="s">
        <v>468</v>
      </c>
      <c r="C588" t="s">
        <v>469</v>
      </c>
      <c r="D588" t="s">
        <v>439</v>
      </c>
      <c r="E588" t="s">
        <v>375</v>
      </c>
      <c r="F588" t="s">
        <v>376</v>
      </c>
      <c r="G588" s="14">
        <v>46259.835347222201</v>
      </c>
      <c r="H588" t="s">
        <v>377</v>
      </c>
    </row>
    <row r="589" spans="1:8" ht="15" customHeight="1" x14ac:dyDescent="0.3">
      <c r="A589" t="s">
        <v>482</v>
      </c>
      <c r="B589" t="s">
        <v>483</v>
      </c>
      <c r="C589" t="s">
        <v>484</v>
      </c>
      <c r="D589" t="s">
        <v>439</v>
      </c>
      <c r="E589" t="s">
        <v>375</v>
      </c>
      <c r="F589" t="s">
        <v>376</v>
      </c>
      <c r="G589" s="14">
        <v>46259.834224537</v>
      </c>
      <c r="H589" t="s">
        <v>390</v>
      </c>
    </row>
    <row r="590" spans="1:8" ht="15" customHeight="1" x14ac:dyDescent="0.3">
      <c r="A590" t="s">
        <v>449</v>
      </c>
      <c r="B590" t="s">
        <v>450</v>
      </c>
      <c r="C590" t="s">
        <v>451</v>
      </c>
      <c r="D590" t="s">
        <v>439</v>
      </c>
      <c r="E590" t="s">
        <v>375</v>
      </c>
      <c r="F590" t="s">
        <v>376</v>
      </c>
      <c r="G590" s="14">
        <v>46259.834201388898</v>
      </c>
      <c r="H590" t="s">
        <v>377</v>
      </c>
    </row>
    <row r="591" spans="1:8" ht="15" customHeight="1" x14ac:dyDescent="0.3">
      <c r="A591" t="s">
        <v>475</v>
      </c>
      <c r="B591" t="s">
        <v>476</v>
      </c>
      <c r="C591" t="s">
        <v>477</v>
      </c>
      <c r="D591" t="s">
        <v>439</v>
      </c>
      <c r="E591" t="s">
        <v>478</v>
      </c>
      <c r="F591" t="s">
        <v>376</v>
      </c>
      <c r="G591" s="14">
        <v>46259.833912037</v>
      </c>
      <c r="H591" t="s">
        <v>377</v>
      </c>
    </row>
    <row r="592" spans="1:8" ht="15" customHeight="1" x14ac:dyDescent="0.3">
      <c r="A592" t="s">
        <v>499</v>
      </c>
      <c r="B592" t="s">
        <v>273</v>
      </c>
      <c r="C592" t="s">
        <v>500</v>
      </c>
      <c r="D592" t="s">
        <v>439</v>
      </c>
      <c r="E592" t="s">
        <v>501</v>
      </c>
      <c r="F592" t="s">
        <v>376</v>
      </c>
      <c r="G592" s="14">
        <v>46259.833796296298</v>
      </c>
      <c r="H592" t="s">
        <v>377</v>
      </c>
    </row>
    <row r="593" spans="1:8" ht="15" customHeight="1" x14ac:dyDescent="0.3">
      <c r="A593" t="s">
        <v>479</v>
      </c>
      <c r="B593" t="s">
        <v>480</v>
      </c>
      <c r="C593" t="s">
        <v>481</v>
      </c>
      <c r="D593" t="s">
        <v>439</v>
      </c>
      <c r="E593" t="s">
        <v>375</v>
      </c>
      <c r="F593" t="s">
        <v>376</v>
      </c>
      <c r="G593" s="14">
        <v>46259.833599537</v>
      </c>
      <c r="H593" t="s">
        <v>377</v>
      </c>
    </row>
    <row r="594" spans="1:8" ht="15" customHeight="1" x14ac:dyDescent="0.3">
      <c r="A594" t="s">
        <v>464</v>
      </c>
      <c r="B594" t="s">
        <v>465</v>
      </c>
      <c r="C594" t="s">
        <v>466</v>
      </c>
      <c r="D594" t="s">
        <v>439</v>
      </c>
      <c r="E594" t="s">
        <v>375</v>
      </c>
      <c r="F594" t="s">
        <v>376</v>
      </c>
      <c r="G594" s="14">
        <v>46259.829930555599</v>
      </c>
      <c r="H594" t="s">
        <v>377</v>
      </c>
    </row>
    <row r="595" spans="1:8" ht="15" customHeight="1" x14ac:dyDescent="0.3">
      <c r="A595" t="s">
        <v>470</v>
      </c>
      <c r="B595" t="s">
        <v>184</v>
      </c>
      <c r="C595" t="s">
        <v>471</v>
      </c>
      <c r="D595" t="s">
        <v>439</v>
      </c>
      <c r="E595" t="s">
        <v>375</v>
      </c>
      <c r="F595" t="s">
        <v>376</v>
      </c>
      <c r="G595" s="14">
        <v>46259.829837963</v>
      </c>
      <c r="H595" t="s">
        <v>377</v>
      </c>
    </row>
    <row r="596" spans="1:8" ht="15" customHeight="1" x14ac:dyDescent="0.3">
      <c r="A596" t="s">
        <v>488</v>
      </c>
      <c r="B596" t="s">
        <v>489</v>
      </c>
      <c r="C596" t="s">
        <v>490</v>
      </c>
      <c r="D596" t="s">
        <v>439</v>
      </c>
      <c r="E596" t="s">
        <v>375</v>
      </c>
      <c r="F596" t="s">
        <v>435</v>
      </c>
      <c r="G596" s="14">
        <v>46259.828113425901</v>
      </c>
      <c r="H596" t="s">
        <v>390</v>
      </c>
    </row>
    <row r="597" spans="1:8" ht="15" customHeight="1" x14ac:dyDescent="0.3">
      <c r="A597" t="s">
        <v>493</v>
      </c>
      <c r="B597" t="s">
        <v>494</v>
      </c>
      <c r="C597" t="s">
        <v>495</v>
      </c>
      <c r="D597" t="s">
        <v>439</v>
      </c>
      <c r="E597" t="s">
        <v>375</v>
      </c>
      <c r="F597" t="s">
        <v>376</v>
      </c>
      <c r="G597" s="14">
        <v>46259.826631944401</v>
      </c>
      <c r="H597" t="s">
        <v>390</v>
      </c>
    </row>
    <row r="598" spans="1:8" ht="15" customHeight="1" x14ac:dyDescent="0.3">
      <c r="A598" t="s">
        <v>491</v>
      </c>
      <c r="B598" t="s">
        <v>188</v>
      </c>
      <c r="C598" t="s">
        <v>492</v>
      </c>
      <c r="D598" t="s">
        <v>439</v>
      </c>
      <c r="E598" t="s">
        <v>375</v>
      </c>
      <c r="F598" t="s">
        <v>376</v>
      </c>
      <c r="G598" s="14">
        <v>46259.8202662037</v>
      </c>
      <c r="H598" t="s">
        <v>390</v>
      </c>
    </row>
    <row r="599" spans="1:8" ht="15" customHeight="1" x14ac:dyDescent="0.3">
      <c r="A599" t="s">
        <v>436</v>
      </c>
      <c r="B599" t="s">
        <v>437</v>
      </c>
      <c r="C599" t="s">
        <v>438</v>
      </c>
      <c r="D599" t="s">
        <v>439</v>
      </c>
      <c r="E599" t="s">
        <v>375</v>
      </c>
      <c r="F599" t="s">
        <v>376</v>
      </c>
      <c r="G599" s="14">
        <v>46259.778460648202</v>
      </c>
      <c r="H599" t="s">
        <v>390</v>
      </c>
    </row>
    <row r="600" spans="1:8" ht="15" customHeight="1" x14ac:dyDescent="0.3">
      <c r="A600" t="s">
        <v>508</v>
      </c>
      <c r="B600" t="s">
        <v>509</v>
      </c>
      <c r="C600" t="s">
        <v>510</v>
      </c>
      <c r="D600" t="s">
        <v>439</v>
      </c>
      <c r="E600" t="s">
        <v>394</v>
      </c>
      <c r="F600" t="s">
        <v>511</v>
      </c>
      <c r="G600" s="14">
        <v>46259.755763888897</v>
      </c>
      <c r="H600" t="s">
        <v>377</v>
      </c>
    </row>
    <row r="601" spans="1:8" ht="15" customHeight="1" x14ac:dyDescent="0.3">
      <c r="A601" t="s">
        <v>449</v>
      </c>
      <c r="B601" t="s">
        <v>450</v>
      </c>
      <c r="C601" t="s">
        <v>451</v>
      </c>
      <c r="D601" t="s">
        <v>439</v>
      </c>
      <c r="E601" t="s">
        <v>375</v>
      </c>
      <c r="F601" t="s">
        <v>376</v>
      </c>
      <c r="G601" s="14">
        <v>46259.523680555598</v>
      </c>
      <c r="H601" t="s">
        <v>390</v>
      </c>
    </row>
    <row r="602" spans="1:8" ht="15" customHeight="1" x14ac:dyDescent="0.3">
      <c r="A602" t="s">
        <v>488</v>
      </c>
      <c r="B602" t="s">
        <v>489</v>
      </c>
      <c r="C602" t="s">
        <v>490</v>
      </c>
      <c r="D602" t="s">
        <v>439</v>
      </c>
      <c r="E602" t="s">
        <v>375</v>
      </c>
      <c r="F602" t="s">
        <v>376</v>
      </c>
      <c r="G602" s="14">
        <v>46259.397696759297</v>
      </c>
      <c r="H602" t="s">
        <v>377</v>
      </c>
    </row>
    <row r="603" spans="1:8" ht="15" customHeight="1" x14ac:dyDescent="0.3">
      <c r="A603" t="s">
        <v>493</v>
      </c>
      <c r="B603" t="s">
        <v>494</v>
      </c>
      <c r="C603" t="s">
        <v>495</v>
      </c>
      <c r="D603" t="s">
        <v>439</v>
      </c>
      <c r="E603" t="s">
        <v>375</v>
      </c>
      <c r="F603" t="s">
        <v>376</v>
      </c>
      <c r="G603" s="14">
        <v>46259.3849305556</v>
      </c>
      <c r="H603" t="s">
        <v>377</v>
      </c>
    </row>
    <row r="604" spans="1:8" ht="15" customHeight="1" x14ac:dyDescent="0.3">
      <c r="A604" t="s">
        <v>436</v>
      </c>
      <c r="B604" t="s">
        <v>437</v>
      </c>
      <c r="C604" t="s">
        <v>438</v>
      </c>
      <c r="D604" t="s">
        <v>439</v>
      </c>
      <c r="E604" t="s">
        <v>375</v>
      </c>
      <c r="F604" t="s">
        <v>376</v>
      </c>
      <c r="G604" s="14">
        <v>46259.384780092601</v>
      </c>
      <c r="H604" t="s">
        <v>377</v>
      </c>
    </row>
    <row r="605" spans="1:8" ht="15" customHeight="1" x14ac:dyDescent="0.3">
      <c r="A605" t="s">
        <v>496</v>
      </c>
      <c r="B605" t="s">
        <v>497</v>
      </c>
      <c r="C605" t="s">
        <v>498</v>
      </c>
      <c r="D605" t="s">
        <v>439</v>
      </c>
      <c r="E605" t="s">
        <v>394</v>
      </c>
      <c r="F605" t="s">
        <v>376</v>
      </c>
      <c r="G605" s="14">
        <v>46259.373321759304</v>
      </c>
      <c r="H605" t="s">
        <v>377</v>
      </c>
    </row>
    <row r="606" spans="1:8" ht="15" customHeight="1" x14ac:dyDescent="0.3">
      <c r="A606" t="s">
        <v>505</v>
      </c>
      <c r="B606" t="s">
        <v>506</v>
      </c>
      <c r="C606" t="s">
        <v>507</v>
      </c>
      <c r="D606" t="s">
        <v>439</v>
      </c>
      <c r="E606" t="s">
        <v>478</v>
      </c>
      <c r="F606" t="s">
        <v>376</v>
      </c>
      <c r="G606" s="14">
        <v>46259.371701388904</v>
      </c>
      <c r="H606" t="s">
        <v>390</v>
      </c>
    </row>
    <row r="607" spans="1:8" ht="15" customHeight="1" x14ac:dyDescent="0.3">
      <c r="A607" t="s">
        <v>461</v>
      </c>
      <c r="B607" t="s">
        <v>462</v>
      </c>
      <c r="C607" t="s">
        <v>463</v>
      </c>
      <c r="D607" t="s">
        <v>439</v>
      </c>
      <c r="E607" t="s">
        <v>375</v>
      </c>
      <c r="F607" t="s">
        <v>376</v>
      </c>
      <c r="G607" s="14">
        <v>46259.370196759301</v>
      </c>
      <c r="H607" t="s">
        <v>390</v>
      </c>
    </row>
    <row r="608" spans="1:8" ht="15" customHeight="1" x14ac:dyDescent="0.3">
      <c r="A608" t="s">
        <v>512</v>
      </c>
      <c r="B608" t="s">
        <v>513</v>
      </c>
      <c r="C608" t="s">
        <v>514</v>
      </c>
      <c r="D608" t="s">
        <v>439</v>
      </c>
      <c r="E608" t="s">
        <v>375</v>
      </c>
      <c r="F608" t="s">
        <v>376</v>
      </c>
      <c r="G608" s="14">
        <v>46259.370069444398</v>
      </c>
      <c r="H608" t="s">
        <v>390</v>
      </c>
    </row>
    <row r="609" spans="1:8" ht="15" customHeight="1" x14ac:dyDescent="0.3">
      <c r="A609" t="s">
        <v>443</v>
      </c>
      <c r="B609" t="s">
        <v>444</v>
      </c>
      <c r="C609" t="s">
        <v>445</v>
      </c>
      <c r="D609" t="s">
        <v>439</v>
      </c>
      <c r="E609" t="s">
        <v>375</v>
      </c>
      <c r="F609" t="s">
        <v>376</v>
      </c>
      <c r="G609" s="14">
        <v>46259.3655671296</v>
      </c>
      <c r="H609" t="s">
        <v>390</v>
      </c>
    </row>
    <row r="610" spans="1:8" ht="15" customHeight="1" x14ac:dyDescent="0.3">
      <c r="A610" t="s">
        <v>491</v>
      </c>
      <c r="B610" t="s">
        <v>188</v>
      </c>
      <c r="C610" t="s">
        <v>492</v>
      </c>
      <c r="D610" t="s">
        <v>439</v>
      </c>
      <c r="E610" t="s">
        <v>375</v>
      </c>
      <c r="F610" t="s">
        <v>376</v>
      </c>
      <c r="G610" s="14">
        <v>46259.333888888897</v>
      </c>
      <c r="H610" t="s">
        <v>377</v>
      </c>
    </row>
    <row r="611" spans="1:8" ht="15" customHeight="1" x14ac:dyDescent="0.3">
      <c r="A611" t="s">
        <v>491</v>
      </c>
      <c r="B611" t="s">
        <v>188</v>
      </c>
      <c r="C611" t="s">
        <v>492</v>
      </c>
      <c r="D611" t="s">
        <v>439</v>
      </c>
      <c r="E611" t="s">
        <v>375</v>
      </c>
      <c r="F611" t="s">
        <v>376</v>
      </c>
      <c r="G611" s="14">
        <v>46259.333773148202</v>
      </c>
      <c r="H611" t="s">
        <v>390</v>
      </c>
    </row>
    <row r="612" spans="1:8" ht="15" customHeight="1" x14ac:dyDescent="0.3">
      <c r="A612" t="s">
        <v>475</v>
      </c>
      <c r="B612" t="s">
        <v>476</v>
      </c>
      <c r="C612" t="s">
        <v>477</v>
      </c>
      <c r="D612" t="s">
        <v>439</v>
      </c>
      <c r="E612" t="s">
        <v>478</v>
      </c>
      <c r="F612" t="s">
        <v>376</v>
      </c>
      <c r="G612" s="14">
        <v>46259.333530092597</v>
      </c>
      <c r="H612" t="s">
        <v>390</v>
      </c>
    </row>
    <row r="613" spans="1:8" ht="15" customHeight="1" x14ac:dyDescent="0.3">
      <c r="A613" t="s">
        <v>482</v>
      </c>
      <c r="B613" t="s">
        <v>483</v>
      </c>
      <c r="C613" t="s">
        <v>484</v>
      </c>
      <c r="D613" t="s">
        <v>439</v>
      </c>
      <c r="E613" t="s">
        <v>375</v>
      </c>
      <c r="F613" t="s">
        <v>376</v>
      </c>
      <c r="G613" s="14">
        <v>46259.333425925899</v>
      </c>
      <c r="H613" t="s">
        <v>377</v>
      </c>
    </row>
    <row r="614" spans="1:8" ht="15" customHeight="1" x14ac:dyDescent="0.3">
      <c r="A614" t="s">
        <v>470</v>
      </c>
      <c r="B614" t="s">
        <v>184</v>
      </c>
      <c r="C614" t="s">
        <v>471</v>
      </c>
      <c r="D614" t="s">
        <v>439</v>
      </c>
      <c r="E614" t="s">
        <v>375</v>
      </c>
      <c r="F614" t="s">
        <v>376</v>
      </c>
      <c r="G614" s="14">
        <v>46259.333333333299</v>
      </c>
      <c r="H614" t="s">
        <v>390</v>
      </c>
    </row>
    <row r="615" spans="1:8" ht="15" customHeight="1" x14ac:dyDescent="0.3">
      <c r="A615" t="s">
        <v>479</v>
      </c>
      <c r="B615" t="s">
        <v>480</v>
      </c>
      <c r="C615" t="s">
        <v>481</v>
      </c>
      <c r="D615" t="s">
        <v>439</v>
      </c>
      <c r="E615" t="s">
        <v>375</v>
      </c>
      <c r="F615" t="s">
        <v>376</v>
      </c>
      <c r="G615" s="14">
        <v>46259.333171296297</v>
      </c>
      <c r="H615" t="s">
        <v>390</v>
      </c>
    </row>
    <row r="616" spans="1:8" ht="15" customHeight="1" x14ac:dyDescent="0.3">
      <c r="A616" t="s">
        <v>485</v>
      </c>
      <c r="B616" t="s">
        <v>486</v>
      </c>
      <c r="C616" t="s">
        <v>487</v>
      </c>
      <c r="D616" t="s">
        <v>439</v>
      </c>
      <c r="E616" t="s">
        <v>394</v>
      </c>
      <c r="F616" t="s">
        <v>376</v>
      </c>
      <c r="G616" s="14">
        <v>46259.332974536999</v>
      </c>
      <c r="H616" t="s">
        <v>390</v>
      </c>
    </row>
    <row r="617" spans="1:8" ht="15" customHeight="1" x14ac:dyDescent="0.3">
      <c r="A617" t="s">
        <v>467</v>
      </c>
      <c r="B617" t="s">
        <v>468</v>
      </c>
      <c r="C617" t="s">
        <v>469</v>
      </c>
      <c r="D617" t="s">
        <v>439</v>
      </c>
      <c r="E617" t="s">
        <v>375</v>
      </c>
      <c r="F617" t="s">
        <v>376</v>
      </c>
      <c r="G617" s="14">
        <v>46259.332962963003</v>
      </c>
      <c r="H617" t="s">
        <v>390</v>
      </c>
    </row>
    <row r="618" spans="1:8" ht="15" customHeight="1" x14ac:dyDescent="0.3">
      <c r="A618" t="s">
        <v>464</v>
      </c>
      <c r="B618" t="s">
        <v>465</v>
      </c>
      <c r="C618" t="s">
        <v>466</v>
      </c>
      <c r="D618" t="s">
        <v>439</v>
      </c>
      <c r="E618" t="s">
        <v>375</v>
      </c>
      <c r="F618" t="s">
        <v>376</v>
      </c>
      <c r="G618" s="14">
        <v>46259.331817129598</v>
      </c>
      <c r="H618" t="s">
        <v>390</v>
      </c>
    </row>
    <row r="619" spans="1:8" ht="15" customHeight="1" x14ac:dyDescent="0.3">
      <c r="A619" t="s">
        <v>458</v>
      </c>
      <c r="B619" t="s">
        <v>459</v>
      </c>
      <c r="C619" t="s">
        <v>460</v>
      </c>
      <c r="D619" t="s">
        <v>439</v>
      </c>
      <c r="E619" t="s">
        <v>394</v>
      </c>
      <c r="F619" t="s">
        <v>376</v>
      </c>
      <c r="G619" s="14">
        <v>46259.331284722197</v>
      </c>
      <c r="H619" t="s">
        <v>390</v>
      </c>
    </row>
    <row r="620" spans="1:8" ht="15" customHeight="1" x14ac:dyDescent="0.3">
      <c r="A620" t="s">
        <v>508</v>
      </c>
      <c r="B620" t="s">
        <v>509</v>
      </c>
      <c r="C620" t="s">
        <v>510</v>
      </c>
      <c r="D620" t="s">
        <v>439</v>
      </c>
      <c r="E620" t="s">
        <v>394</v>
      </c>
      <c r="F620" t="s">
        <v>395</v>
      </c>
      <c r="G620" s="14">
        <v>46259.324560185203</v>
      </c>
      <c r="H620" t="s">
        <v>390</v>
      </c>
    </row>
    <row r="621" spans="1:8" ht="15" customHeight="1" x14ac:dyDescent="0.3">
      <c r="A621" t="s">
        <v>499</v>
      </c>
      <c r="B621" t="s">
        <v>273</v>
      </c>
      <c r="C621" t="s">
        <v>500</v>
      </c>
      <c r="D621" t="s">
        <v>439</v>
      </c>
      <c r="E621" t="s">
        <v>501</v>
      </c>
      <c r="F621" t="s">
        <v>376</v>
      </c>
      <c r="G621" s="14">
        <v>46259.323981481502</v>
      </c>
      <c r="H621" t="s">
        <v>390</v>
      </c>
    </row>
    <row r="622" spans="1:8" ht="15" customHeight="1" x14ac:dyDescent="0.3">
      <c r="A622" t="s">
        <v>446</v>
      </c>
      <c r="B622" t="s">
        <v>447</v>
      </c>
      <c r="C622" t="s">
        <v>448</v>
      </c>
      <c r="D622" t="s">
        <v>439</v>
      </c>
      <c r="E622" t="s">
        <v>375</v>
      </c>
      <c r="F622" t="s">
        <v>376</v>
      </c>
      <c r="G622" s="14">
        <v>46259.316655092603</v>
      </c>
      <c r="H622" t="s">
        <v>390</v>
      </c>
    </row>
    <row r="623" spans="1:8" ht="15" customHeight="1" x14ac:dyDescent="0.3">
      <c r="A623" t="s">
        <v>452</v>
      </c>
      <c r="B623" t="s">
        <v>453</v>
      </c>
      <c r="C623" t="s">
        <v>454</v>
      </c>
      <c r="D623" t="s">
        <v>439</v>
      </c>
      <c r="E623" t="s">
        <v>375</v>
      </c>
      <c r="F623" t="s">
        <v>376</v>
      </c>
      <c r="G623" s="14">
        <v>46259.308414351901</v>
      </c>
      <c r="H623" t="s">
        <v>390</v>
      </c>
    </row>
    <row r="624" spans="1:8" ht="15" customHeight="1" x14ac:dyDescent="0.3">
      <c r="A624" t="s">
        <v>493</v>
      </c>
      <c r="B624" t="s">
        <v>494</v>
      </c>
      <c r="C624" t="s">
        <v>495</v>
      </c>
      <c r="D624" t="s">
        <v>439</v>
      </c>
      <c r="E624" t="s">
        <v>375</v>
      </c>
      <c r="F624" t="s">
        <v>376</v>
      </c>
      <c r="G624" s="14">
        <v>46258.934513888897</v>
      </c>
      <c r="H624" t="s">
        <v>390</v>
      </c>
    </row>
    <row r="625" spans="1:8" ht="15" customHeight="1" x14ac:dyDescent="0.3">
      <c r="A625" t="s">
        <v>443</v>
      </c>
      <c r="B625" t="s">
        <v>444</v>
      </c>
      <c r="C625" t="s">
        <v>445</v>
      </c>
      <c r="D625" t="s">
        <v>439</v>
      </c>
      <c r="E625" t="s">
        <v>375</v>
      </c>
      <c r="F625" t="s">
        <v>376</v>
      </c>
      <c r="G625" s="14">
        <v>46258.903425925899</v>
      </c>
      <c r="H625" t="s">
        <v>377</v>
      </c>
    </row>
    <row r="626" spans="1:8" ht="15" customHeight="1" x14ac:dyDescent="0.3">
      <c r="A626" t="s">
        <v>446</v>
      </c>
      <c r="B626" t="s">
        <v>447</v>
      </c>
      <c r="C626" t="s">
        <v>448</v>
      </c>
      <c r="D626" t="s">
        <v>439</v>
      </c>
      <c r="E626" t="s">
        <v>375</v>
      </c>
      <c r="F626" t="s">
        <v>376</v>
      </c>
      <c r="G626" s="14">
        <v>46258.875439814801</v>
      </c>
      <c r="H626" t="s">
        <v>377</v>
      </c>
    </row>
    <row r="627" spans="1:8" ht="15" customHeight="1" x14ac:dyDescent="0.3">
      <c r="A627" t="s">
        <v>458</v>
      </c>
      <c r="B627" t="s">
        <v>459</v>
      </c>
      <c r="C627" t="s">
        <v>460</v>
      </c>
      <c r="D627" t="s">
        <v>439</v>
      </c>
      <c r="E627" t="s">
        <v>394</v>
      </c>
      <c r="F627" t="s">
        <v>376</v>
      </c>
      <c r="G627" s="14">
        <v>46258.851689814801</v>
      </c>
      <c r="H627" t="s">
        <v>377</v>
      </c>
    </row>
    <row r="628" spans="1:8" ht="15" customHeight="1" x14ac:dyDescent="0.3">
      <c r="A628" t="s">
        <v>488</v>
      </c>
      <c r="B628" t="s">
        <v>489</v>
      </c>
      <c r="C628" t="s">
        <v>490</v>
      </c>
      <c r="D628" t="s">
        <v>439</v>
      </c>
      <c r="E628" t="s">
        <v>375</v>
      </c>
      <c r="F628" t="s">
        <v>435</v>
      </c>
      <c r="G628" s="14">
        <v>46258.846099536997</v>
      </c>
      <c r="H628" t="s">
        <v>390</v>
      </c>
    </row>
    <row r="629" spans="1:8" ht="15" customHeight="1" x14ac:dyDescent="0.3">
      <c r="A629" t="s">
        <v>464</v>
      </c>
      <c r="B629" t="s">
        <v>465</v>
      </c>
      <c r="C629" t="s">
        <v>466</v>
      </c>
      <c r="D629" t="s">
        <v>439</v>
      </c>
      <c r="E629" t="s">
        <v>375</v>
      </c>
      <c r="F629" t="s">
        <v>376</v>
      </c>
      <c r="G629" s="14">
        <v>46258.8386805556</v>
      </c>
      <c r="H629" t="s">
        <v>377</v>
      </c>
    </row>
    <row r="630" spans="1:8" ht="15" customHeight="1" x14ac:dyDescent="0.3">
      <c r="A630" t="s">
        <v>449</v>
      </c>
      <c r="B630" t="s">
        <v>450</v>
      </c>
      <c r="C630" t="s">
        <v>451</v>
      </c>
      <c r="D630" t="s">
        <v>439</v>
      </c>
      <c r="E630" t="s">
        <v>375</v>
      </c>
      <c r="F630" t="s">
        <v>376</v>
      </c>
      <c r="G630" s="14">
        <v>46258.837280092601</v>
      </c>
      <c r="H630" t="s">
        <v>377</v>
      </c>
    </row>
    <row r="631" spans="1:8" ht="15" customHeight="1" x14ac:dyDescent="0.3">
      <c r="A631" t="s">
        <v>452</v>
      </c>
      <c r="B631" t="s">
        <v>453</v>
      </c>
      <c r="C631" t="s">
        <v>454</v>
      </c>
      <c r="D631" t="s">
        <v>439</v>
      </c>
      <c r="E631" t="s">
        <v>375</v>
      </c>
      <c r="F631" t="s">
        <v>376</v>
      </c>
      <c r="G631" s="14">
        <v>46258.837164351899</v>
      </c>
      <c r="H631" t="s">
        <v>377</v>
      </c>
    </row>
    <row r="632" spans="1:8" ht="15" customHeight="1" x14ac:dyDescent="0.3">
      <c r="A632" t="s">
        <v>436</v>
      </c>
      <c r="B632" t="s">
        <v>437</v>
      </c>
      <c r="C632" t="s">
        <v>438</v>
      </c>
      <c r="D632" t="s">
        <v>439</v>
      </c>
      <c r="E632" t="s">
        <v>375</v>
      </c>
      <c r="F632" t="s">
        <v>376</v>
      </c>
      <c r="G632" s="14">
        <v>46258.836134259298</v>
      </c>
      <c r="H632" t="s">
        <v>390</v>
      </c>
    </row>
    <row r="633" spans="1:8" ht="15" customHeight="1" x14ac:dyDescent="0.3">
      <c r="A633" t="s">
        <v>505</v>
      </c>
      <c r="B633" t="s">
        <v>506</v>
      </c>
      <c r="C633" t="s">
        <v>507</v>
      </c>
      <c r="D633" t="s">
        <v>439</v>
      </c>
      <c r="E633" t="s">
        <v>478</v>
      </c>
      <c r="F633" t="s">
        <v>376</v>
      </c>
      <c r="G633" s="14">
        <v>46258.836064814801</v>
      </c>
      <c r="H633" t="s">
        <v>377</v>
      </c>
    </row>
    <row r="634" spans="1:8" ht="15" customHeight="1" x14ac:dyDescent="0.3">
      <c r="A634" t="s">
        <v>461</v>
      </c>
      <c r="B634" t="s">
        <v>462</v>
      </c>
      <c r="C634" t="s">
        <v>463</v>
      </c>
      <c r="D634" t="s">
        <v>439</v>
      </c>
      <c r="E634" t="s">
        <v>375</v>
      </c>
      <c r="F634" t="s">
        <v>376</v>
      </c>
      <c r="G634" s="14">
        <v>46258.836018518501</v>
      </c>
      <c r="H634" t="s">
        <v>377</v>
      </c>
    </row>
    <row r="635" spans="1:8" ht="15" customHeight="1" x14ac:dyDescent="0.3">
      <c r="A635" t="s">
        <v>502</v>
      </c>
      <c r="B635" t="s">
        <v>503</v>
      </c>
      <c r="C635" t="s">
        <v>504</v>
      </c>
      <c r="D635" t="s">
        <v>439</v>
      </c>
      <c r="E635" t="s">
        <v>375</v>
      </c>
      <c r="F635" t="s">
        <v>376</v>
      </c>
      <c r="G635" s="14">
        <v>46258.835902777799</v>
      </c>
      <c r="H635" t="s">
        <v>377</v>
      </c>
    </row>
    <row r="636" spans="1:8" ht="15" customHeight="1" x14ac:dyDescent="0.3">
      <c r="A636" t="s">
        <v>512</v>
      </c>
      <c r="B636" t="s">
        <v>513</v>
      </c>
      <c r="C636" t="s">
        <v>514</v>
      </c>
      <c r="D636" t="s">
        <v>439</v>
      </c>
      <c r="E636" t="s">
        <v>375</v>
      </c>
      <c r="F636" t="s">
        <v>376</v>
      </c>
      <c r="G636" s="14">
        <v>46258.8358912037</v>
      </c>
      <c r="H636" t="s">
        <v>377</v>
      </c>
    </row>
    <row r="637" spans="1:8" ht="15" customHeight="1" x14ac:dyDescent="0.3">
      <c r="A637" t="s">
        <v>470</v>
      </c>
      <c r="B637" t="s">
        <v>184</v>
      </c>
      <c r="C637" t="s">
        <v>471</v>
      </c>
      <c r="D637" t="s">
        <v>439</v>
      </c>
      <c r="E637" t="s">
        <v>375</v>
      </c>
      <c r="F637" t="s">
        <v>376</v>
      </c>
      <c r="G637" s="14">
        <v>46258.834652777798</v>
      </c>
      <c r="H637" t="s">
        <v>377</v>
      </c>
    </row>
    <row r="638" spans="1:8" ht="15" customHeight="1" x14ac:dyDescent="0.3">
      <c r="A638" t="s">
        <v>482</v>
      </c>
      <c r="B638" t="s">
        <v>483</v>
      </c>
      <c r="C638" t="s">
        <v>484</v>
      </c>
      <c r="D638" t="s">
        <v>439</v>
      </c>
      <c r="E638" t="s">
        <v>375</v>
      </c>
      <c r="F638" t="s">
        <v>376</v>
      </c>
      <c r="G638" s="14">
        <v>46258.834305555603</v>
      </c>
      <c r="H638" t="s">
        <v>390</v>
      </c>
    </row>
    <row r="639" spans="1:8" ht="15" customHeight="1" x14ac:dyDescent="0.3">
      <c r="A639" t="s">
        <v>479</v>
      </c>
      <c r="B639" t="s">
        <v>480</v>
      </c>
      <c r="C639" t="s">
        <v>481</v>
      </c>
      <c r="D639" t="s">
        <v>439</v>
      </c>
      <c r="E639" t="s">
        <v>375</v>
      </c>
      <c r="F639" t="s">
        <v>376</v>
      </c>
      <c r="G639" s="14">
        <v>46258.833993055603</v>
      </c>
      <c r="H639" t="s">
        <v>377</v>
      </c>
    </row>
    <row r="640" spans="1:8" ht="15" customHeight="1" x14ac:dyDescent="0.3">
      <c r="A640" t="s">
        <v>467</v>
      </c>
      <c r="B640" t="s">
        <v>468</v>
      </c>
      <c r="C640" t="s">
        <v>469</v>
      </c>
      <c r="D640" t="s">
        <v>439</v>
      </c>
      <c r="E640" t="s">
        <v>375</v>
      </c>
      <c r="F640" t="s">
        <v>376</v>
      </c>
      <c r="G640" s="14">
        <v>46258.833703703698</v>
      </c>
      <c r="H640" t="s">
        <v>377</v>
      </c>
    </row>
    <row r="641" spans="1:8" ht="15" customHeight="1" x14ac:dyDescent="0.3">
      <c r="A641" t="s">
        <v>496</v>
      </c>
      <c r="B641" t="s">
        <v>497</v>
      </c>
      <c r="C641" t="s">
        <v>498</v>
      </c>
      <c r="D641" t="s">
        <v>439</v>
      </c>
      <c r="E641" t="s">
        <v>394</v>
      </c>
      <c r="F641" t="s">
        <v>376</v>
      </c>
      <c r="G641" s="14">
        <v>46258.8289351852</v>
      </c>
      <c r="H641" t="s">
        <v>390</v>
      </c>
    </row>
    <row r="642" spans="1:8" ht="15" customHeight="1" x14ac:dyDescent="0.3">
      <c r="A642" t="s">
        <v>485</v>
      </c>
      <c r="B642" t="s">
        <v>486</v>
      </c>
      <c r="C642" t="s">
        <v>487</v>
      </c>
      <c r="D642" t="s">
        <v>439</v>
      </c>
      <c r="E642" t="s">
        <v>394</v>
      </c>
      <c r="F642" t="s">
        <v>376</v>
      </c>
      <c r="G642" s="14">
        <v>46258.824432870402</v>
      </c>
      <c r="H642" t="s">
        <v>377</v>
      </c>
    </row>
    <row r="643" spans="1:8" ht="15" customHeight="1" x14ac:dyDescent="0.3">
      <c r="A643" t="s">
        <v>491</v>
      </c>
      <c r="B643" t="s">
        <v>188</v>
      </c>
      <c r="C643" t="s">
        <v>492</v>
      </c>
      <c r="D643" t="s">
        <v>439</v>
      </c>
      <c r="E643" t="s">
        <v>375</v>
      </c>
      <c r="F643" t="s">
        <v>376</v>
      </c>
      <c r="G643" s="14">
        <v>46258.816331018497</v>
      </c>
      <c r="H643" t="s">
        <v>390</v>
      </c>
    </row>
    <row r="644" spans="1:8" ht="15" customHeight="1" x14ac:dyDescent="0.3">
      <c r="A644" t="s">
        <v>508</v>
      </c>
      <c r="B644" t="s">
        <v>509</v>
      </c>
      <c r="C644" t="s">
        <v>510</v>
      </c>
      <c r="D644" t="s">
        <v>439</v>
      </c>
      <c r="E644" t="s">
        <v>394</v>
      </c>
      <c r="F644" t="s">
        <v>395</v>
      </c>
      <c r="G644" s="14">
        <v>46258.754999999997</v>
      </c>
      <c r="H644" t="s">
        <v>377</v>
      </c>
    </row>
    <row r="645" spans="1:8" ht="15" customHeight="1" x14ac:dyDescent="0.3">
      <c r="A645" t="s">
        <v>493</v>
      </c>
      <c r="B645" t="s">
        <v>494</v>
      </c>
      <c r="C645" t="s">
        <v>495</v>
      </c>
      <c r="D645" t="s">
        <v>439</v>
      </c>
      <c r="E645" t="s">
        <v>375</v>
      </c>
      <c r="F645" t="s">
        <v>376</v>
      </c>
      <c r="G645" s="14">
        <v>46258.403402777803</v>
      </c>
      <c r="H645" t="s">
        <v>377</v>
      </c>
    </row>
    <row r="646" spans="1:8" ht="15" customHeight="1" x14ac:dyDescent="0.3">
      <c r="A646" t="s">
        <v>436</v>
      </c>
      <c r="B646" t="s">
        <v>437</v>
      </c>
      <c r="C646" t="s">
        <v>438</v>
      </c>
      <c r="D646" t="s">
        <v>439</v>
      </c>
      <c r="E646" t="s">
        <v>375</v>
      </c>
      <c r="F646" t="s">
        <v>376</v>
      </c>
      <c r="G646" s="14">
        <v>46258.364710648202</v>
      </c>
      <c r="H646" t="s">
        <v>390</v>
      </c>
    </row>
    <row r="647" spans="1:8" ht="15" customHeight="1" x14ac:dyDescent="0.3">
      <c r="A647" t="s">
        <v>499</v>
      </c>
      <c r="B647" t="s">
        <v>273</v>
      </c>
      <c r="C647" t="s">
        <v>500</v>
      </c>
      <c r="D647" t="s">
        <v>439</v>
      </c>
      <c r="E647" t="s">
        <v>501</v>
      </c>
      <c r="F647" t="s">
        <v>376</v>
      </c>
      <c r="G647" s="14">
        <v>46258.342789351896</v>
      </c>
      <c r="H647" t="s">
        <v>390</v>
      </c>
    </row>
    <row r="648" spans="1:8" ht="15" customHeight="1" x14ac:dyDescent="0.3">
      <c r="A648" t="s">
        <v>491</v>
      </c>
      <c r="B648" t="s">
        <v>188</v>
      </c>
      <c r="C648" t="s">
        <v>492</v>
      </c>
      <c r="D648" t="s">
        <v>439</v>
      </c>
      <c r="E648" t="s">
        <v>375</v>
      </c>
      <c r="F648" t="s">
        <v>376</v>
      </c>
      <c r="G648" s="14">
        <v>46258.337928240697</v>
      </c>
      <c r="H648" t="s">
        <v>377</v>
      </c>
    </row>
    <row r="649" spans="1:8" ht="15" customHeight="1" x14ac:dyDescent="0.3">
      <c r="A649" t="s">
        <v>458</v>
      </c>
      <c r="B649" t="s">
        <v>459</v>
      </c>
      <c r="C649" t="s">
        <v>460</v>
      </c>
      <c r="D649" t="s">
        <v>439</v>
      </c>
      <c r="E649" t="s">
        <v>394</v>
      </c>
      <c r="F649" t="s">
        <v>376</v>
      </c>
      <c r="G649" s="14">
        <v>46258.335729166698</v>
      </c>
      <c r="H649" t="s">
        <v>390</v>
      </c>
    </row>
    <row r="650" spans="1:8" ht="15" customHeight="1" x14ac:dyDescent="0.3">
      <c r="A650" t="s">
        <v>496</v>
      </c>
      <c r="B650" t="s">
        <v>497</v>
      </c>
      <c r="C650" t="s">
        <v>498</v>
      </c>
      <c r="D650" t="s">
        <v>439</v>
      </c>
      <c r="E650" t="s">
        <v>394</v>
      </c>
      <c r="F650" t="s">
        <v>376</v>
      </c>
      <c r="G650" s="14">
        <v>46258.335300925901</v>
      </c>
      <c r="H650" t="s">
        <v>377</v>
      </c>
    </row>
    <row r="651" spans="1:8" ht="15" customHeight="1" x14ac:dyDescent="0.3">
      <c r="A651" t="s">
        <v>467</v>
      </c>
      <c r="B651" t="s">
        <v>468</v>
      </c>
      <c r="C651" t="s">
        <v>469</v>
      </c>
      <c r="D651" t="s">
        <v>439</v>
      </c>
      <c r="E651" t="s">
        <v>375</v>
      </c>
      <c r="F651" t="s">
        <v>376</v>
      </c>
      <c r="G651" s="14">
        <v>46258.334988425901</v>
      </c>
      <c r="H651" t="s">
        <v>390</v>
      </c>
    </row>
    <row r="652" spans="1:8" ht="15" customHeight="1" x14ac:dyDescent="0.3">
      <c r="A652" t="s">
        <v>512</v>
      </c>
      <c r="B652" t="s">
        <v>513</v>
      </c>
      <c r="C652" t="s">
        <v>514</v>
      </c>
      <c r="D652" t="s">
        <v>439</v>
      </c>
      <c r="E652" t="s">
        <v>375</v>
      </c>
      <c r="F652" t="s">
        <v>376</v>
      </c>
      <c r="G652" s="14">
        <v>46258.334687499999</v>
      </c>
      <c r="H652" t="s">
        <v>390</v>
      </c>
    </row>
    <row r="653" spans="1:8" ht="15" customHeight="1" x14ac:dyDescent="0.3">
      <c r="A653" t="s">
        <v>449</v>
      </c>
      <c r="B653" t="s">
        <v>450</v>
      </c>
      <c r="C653" t="s">
        <v>451</v>
      </c>
      <c r="D653" t="s">
        <v>439</v>
      </c>
      <c r="E653" t="s">
        <v>375</v>
      </c>
      <c r="F653" t="s">
        <v>376</v>
      </c>
      <c r="G653" s="14">
        <v>46258.334525462997</v>
      </c>
      <c r="H653" t="s">
        <v>390</v>
      </c>
    </row>
    <row r="654" spans="1:8" ht="15" customHeight="1" x14ac:dyDescent="0.3">
      <c r="A654" t="s">
        <v>446</v>
      </c>
      <c r="B654" t="s">
        <v>447</v>
      </c>
      <c r="C654" t="s">
        <v>448</v>
      </c>
      <c r="D654" t="s">
        <v>439</v>
      </c>
      <c r="E654" t="s">
        <v>375</v>
      </c>
      <c r="F654" t="s">
        <v>376</v>
      </c>
      <c r="G654" s="14">
        <v>46258.3343171296</v>
      </c>
      <c r="H654" t="s">
        <v>390</v>
      </c>
    </row>
    <row r="655" spans="1:8" ht="15" customHeight="1" x14ac:dyDescent="0.3">
      <c r="A655" t="s">
        <v>482</v>
      </c>
      <c r="B655" t="s">
        <v>483</v>
      </c>
      <c r="C655" t="s">
        <v>484</v>
      </c>
      <c r="D655" t="s">
        <v>439</v>
      </c>
      <c r="E655" t="s">
        <v>375</v>
      </c>
      <c r="F655" t="s">
        <v>376</v>
      </c>
      <c r="G655" s="14">
        <v>46258.333993055603</v>
      </c>
      <c r="H655" t="s">
        <v>377</v>
      </c>
    </row>
    <row r="656" spans="1:8" ht="15" customHeight="1" x14ac:dyDescent="0.3">
      <c r="A656" t="s">
        <v>505</v>
      </c>
      <c r="B656" t="s">
        <v>506</v>
      </c>
      <c r="C656" t="s">
        <v>507</v>
      </c>
      <c r="D656" t="s">
        <v>439</v>
      </c>
      <c r="E656" t="s">
        <v>478</v>
      </c>
      <c r="F656" t="s">
        <v>376</v>
      </c>
      <c r="G656" s="14">
        <v>46258.333854166704</v>
      </c>
      <c r="H656" t="s">
        <v>390</v>
      </c>
    </row>
    <row r="657" spans="1:8" ht="15" customHeight="1" x14ac:dyDescent="0.3">
      <c r="A657" t="s">
        <v>479</v>
      </c>
      <c r="B657" t="s">
        <v>480</v>
      </c>
      <c r="C657" t="s">
        <v>481</v>
      </c>
      <c r="D657" t="s">
        <v>439</v>
      </c>
      <c r="E657" t="s">
        <v>375</v>
      </c>
      <c r="F657" t="s">
        <v>376</v>
      </c>
      <c r="G657" s="14">
        <v>46258.333622685197</v>
      </c>
      <c r="H657" t="s">
        <v>390</v>
      </c>
    </row>
    <row r="658" spans="1:8" ht="15" customHeight="1" x14ac:dyDescent="0.3">
      <c r="A658" t="s">
        <v>488</v>
      </c>
      <c r="B658" t="s">
        <v>489</v>
      </c>
      <c r="C658" t="s">
        <v>490</v>
      </c>
      <c r="D658" t="s">
        <v>439</v>
      </c>
      <c r="E658" t="s">
        <v>375</v>
      </c>
      <c r="F658" t="s">
        <v>376</v>
      </c>
      <c r="G658" s="14">
        <v>46258.332708333299</v>
      </c>
      <c r="H658" t="s">
        <v>377</v>
      </c>
    </row>
    <row r="659" spans="1:8" ht="15" customHeight="1" x14ac:dyDescent="0.3">
      <c r="A659" t="s">
        <v>479</v>
      </c>
      <c r="B659" t="s">
        <v>480</v>
      </c>
      <c r="C659" t="s">
        <v>481</v>
      </c>
      <c r="D659" t="s">
        <v>439</v>
      </c>
      <c r="E659" t="s">
        <v>375</v>
      </c>
      <c r="F659" t="s">
        <v>376</v>
      </c>
      <c r="G659" s="14">
        <v>46258.331354166701</v>
      </c>
      <c r="H659" t="s">
        <v>390</v>
      </c>
    </row>
    <row r="660" spans="1:8" ht="15" customHeight="1" x14ac:dyDescent="0.3">
      <c r="A660" t="s">
        <v>464</v>
      </c>
      <c r="B660" t="s">
        <v>465</v>
      </c>
      <c r="C660" t="s">
        <v>466</v>
      </c>
      <c r="D660" t="s">
        <v>439</v>
      </c>
      <c r="E660" t="s">
        <v>375</v>
      </c>
      <c r="F660" t="s">
        <v>376</v>
      </c>
      <c r="G660" s="14">
        <v>46258.329583333303</v>
      </c>
      <c r="H660" t="s">
        <v>390</v>
      </c>
    </row>
    <row r="661" spans="1:8" ht="15" customHeight="1" x14ac:dyDescent="0.3">
      <c r="A661" t="s">
        <v>452</v>
      </c>
      <c r="B661" t="s">
        <v>453</v>
      </c>
      <c r="C661" t="s">
        <v>454</v>
      </c>
      <c r="D661" t="s">
        <v>439</v>
      </c>
      <c r="E661" t="s">
        <v>375</v>
      </c>
      <c r="F661" t="s">
        <v>376</v>
      </c>
      <c r="G661" s="14">
        <v>46258.326168981497</v>
      </c>
      <c r="H661" t="s">
        <v>390</v>
      </c>
    </row>
    <row r="662" spans="1:8" ht="15" customHeight="1" x14ac:dyDescent="0.3">
      <c r="A662" t="s">
        <v>470</v>
      </c>
      <c r="B662" t="s">
        <v>184</v>
      </c>
      <c r="C662" t="s">
        <v>471</v>
      </c>
      <c r="D662" t="s">
        <v>439</v>
      </c>
      <c r="E662" t="s">
        <v>375</v>
      </c>
      <c r="F662" t="s">
        <v>376</v>
      </c>
      <c r="G662" s="14">
        <v>46258.324976851902</v>
      </c>
      <c r="H662" t="s">
        <v>390</v>
      </c>
    </row>
    <row r="663" spans="1:8" ht="15" customHeight="1" x14ac:dyDescent="0.3">
      <c r="A663" t="s">
        <v>508</v>
      </c>
      <c r="B663" t="s">
        <v>509</v>
      </c>
      <c r="C663" t="s">
        <v>510</v>
      </c>
      <c r="D663" t="s">
        <v>439</v>
      </c>
      <c r="E663" t="s">
        <v>394</v>
      </c>
      <c r="F663" t="s">
        <v>395</v>
      </c>
      <c r="G663" s="14">
        <v>46258.323182870401</v>
      </c>
      <c r="H663" t="s">
        <v>390</v>
      </c>
    </row>
    <row r="664" spans="1:8" ht="15" customHeight="1" x14ac:dyDescent="0.3">
      <c r="A664" t="s">
        <v>485</v>
      </c>
      <c r="B664" t="s">
        <v>486</v>
      </c>
      <c r="C664" t="s">
        <v>487</v>
      </c>
      <c r="D664" t="s">
        <v>439</v>
      </c>
      <c r="E664" t="s">
        <v>394</v>
      </c>
      <c r="F664" t="s">
        <v>376</v>
      </c>
      <c r="G664" s="14">
        <v>46258.321643518502</v>
      </c>
      <c r="H664" t="s">
        <v>390</v>
      </c>
    </row>
    <row r="665" spans="1:8" ht="15" customHeight="1" x14ac:dyDescent="0.3">
      <c r="A665" t="s">
        <v>461</v>
      </c>
      <c r="B665" t="s">
        <v>462</v>
      </c>
      <c r="C665" t="s">
        <v>463</v>
      </c>
      <c r="D665" t="s">
        <v>439</v>
      </c>
      <c r="E665" t="s">
        <v>375</v>
      </c>
      <c r="F665" t="s">
        <v>376</v>
      </c>
      <c r="G665" s="14">
        <v>46258.321180555598</v>
      </c>
      <c r="H665" t="s">
        <v>390</v>
      </c>
    </row>
    <row r="666" spans="1:8" ht="15" customHeight="1" x14ac:dyDescent="0.3">
      <c r="A666" t="s">
        <v>443</v>
      </c>
      <c r="B666" t="s">
        <v>444</v>
      </c>
      <c r="C666" t="s">
        <v>445</v>
      </c>
      <c r="D666" t="s">
        <v>439</v>
      </c>
      <c r="E666" t="s">
        <v>375</v>
      </c>
      <c r="F666" t="s">
        <v>376</v>
      </c>
      <c r="G666" s="14">
        <v>46258.318935185198</v>
      </c>
      <c r="H666" t="s">
        <v>390</v>
      </c>
    </row>
    <row r="667" spans="1:8" ht="15" customHeight="1" x14ac:dyDescent="0.3">
      <c r="A667" t="s">
        <v>479</v>
      </c>
      <c r="B667" t="s">
        <v>480</v>
      </c>
      <c r="C667" t="s">
        <v>481</v>
      </c>
      <c r="D667" t="s">
        <v>439</v>
      </c>
      <c r="E667" t="s">
        <v>375</v>
      </c>
      <c r="F667" t="s">
        <v>376</v>
      </c>
      <c r="G667" s="14">
        <v>46257.846631944398</v>
      </c>
      <c r="H667" t="s">
        <v>377</v>
      </c>
    </row>
    <row r="668" spans="1:8" ht="15" customHeight="1" x14ac:dyDescent="0.3">
      <c r="A668" t="s">
        <v>493</v>
      </c>
      <c r="B668" t="s">
        <v>494</v>
      </c>
      <c r="C668" t="s">
        <v>495</v>
      </c>
      <c r="D668" t="s">
        <v>439</v>
      </c>
      <c r="E668" t="s">
        <v>375</v>
      </c>
      <c r="F668" t="s">
        <v>376</v>
      </c>
      <c r="G668" s="14">
        <v>46257.846307870401</v>
      </c>
      <c r="H668" t="s">
        <v>390</v>
      </c>
    </row>
    <row r="669" spans="1:8" ht="15" customHeight="1" x14ac:dyDescent="0.3">
      <c r="A669" t="s">
        <v>488</v>
      </c>
      <c r="B669" t="s">
        <v>489</v>
      </c>
      <c r="C669" t="s">
        <v>490</v>
      </c>
      <c r="D669" t="s">
        <v>439</v>
      </c>
      <c r="E669" t="s">
        <v>375</v>
      </c>
      <c r="F669" t="s">
        <v>435</v>
      </c>
      <c r="G669" s="14">
        <v>46257.845833333296</v>
      </c>
      <c r="H669" t="s">
        <v>390</v>
      </c>
    </row>
    <row r="670" spans="1:8" ht="15" customHeight="1" x14ac:dyDescent="0.3">
      <c r="A670" t="s">
        <v>496</v>
      </c>
      <c r="B670" t="s">
        <v>497</v>
      </c>
      <c r="C670" t="s">
        <v>498</v>
      </c>
      <c r="D670" t="s">
        <v>439</v>
      </c>
      <c r="E670" t="s">
        <v>394</v>
      </c>
      <c r="F670" t="s">
        <v>376</v>
      </c>
      <c r="G670" s="14">
        <v>46257.843865740702</v>
      </c>
      <c r="H670" t="s">
        <v>390</v>
      </c>
    </row>
    <row r="671" spans="1:8" ht="15" customHeight="1" x14ac:dyDescent="0.3">
      <c r="A671" t="s">
        <v>436</v>
      </c>
      <c r="B671" t="s">
        <v>437</v>
      </c>
      <c r="C671" t="s">
        <v>438</v>
      </c>
      <c r="D671" t="s">
        <v>439</v>
      </c>
      <c r="E671" t="s">
        <v>375</v>
      </c>
      <c r="F671" t="s">
        <v>376</v>
      </c>
      <c r="G671" s="14">
        <v>46257.8434837963</v>
      </c>
      <c r="H671" t="s">
        <v>390</v>
      </c>
    </row>
    <row r="672" spans="1:8" ht="15" customHeight="1" x14ac:dyDescent="0.3">
      <c r="A672" t="s">
        <v>491</v>
      </c>
      <c r="B672" t="s">
        <v>188</v>
      </c>
      <c r="C672" t="s">
        <v>492</v>
      </c>
      <c r="D672" t="s">
        <v>439</v>
      </c>
      <c r="E672" t="s">
        <v>375</v>
      </c>
      <c r="F672" t="s">
        <v>376</v>
      </c>
      <c r="G672" s="14">
        <v>46257.839861111097</v>
      </c>
      <c r="H672" t="s">
        <v>390</v>
      </c>
    </row>
    <row r="673" spans="1:8" ht="15" customHeight="1" x14ac:dyDescent="0.3">
      <c r="A673" t="s">
        <v>505</v>
      </c>
      <c r="B673" t="s">
        <v>506</v>
      </c>
      <c r="C673" t="s">
        <v>507</v>
      </c>
      <c r="D673" t="s">
        <v>439</v>
      </c>
      <c r="E673" t="s">
        <v>478</v>
      </c>
      <c r="F673" t="s">
        <v>376</v>
      </c>
      <c r="G673" s="14">
        <v>46257.838657407403</v>
      </c>
      <c r="H673" t="s">
        <v>377</v>
      </c>
    </row>
    <row r="674" spans="1:8" ht="15" customHeight="1" x14ac:dyDescent="0.3">
      <c r="A674" t="s">
        <v>458</v>
      </c>
      <c r="B674" t="s">
        <v>459</v>
      </c>
      <c r="C674" t="s">
        <v>460</v>
      </c>
      <c r="D674" t="s">
        <v>439</v>
      </c>
      <c r="E674" t="s">
        <v>394</v>
      </c>
      <c r="F674" t="s">
        <v>376</v>
      </c>
      <c r="G674" s="14">
        <v>46257.834537037001</v>
      </c>
      <c r="H674" t="s">
        <v>377</v>
      </c>
    </row>
    <row r="675" spans="1:8" ht="15" customHeight="1" x14ac:dyDescent="0.3">
      <c r="A675" t="s">
        <v>449</v>
      </c>
      <c r="B675" t="s">
        <v>450</v>
      </c>
      <c r="C675" t="s">
        <v>451</v>
      </c>
      <c r="D675" t="s">
        <v>439</v>
      </c>
      <c r="E675" t="s">
        <v>375</v>
      </c>
      <c r="F675" t="s">
        <v>376</v>
      </c>
      <c r="G675" s="14">
        <v>46257.834108796298</v>
      </c>
      <c r="H675" t="s">
        <v>377</v>
      </c>
    </row>
    <row r="676" spans="1:8" ht="15" customHeight="1" x14ac:dyDescent="0.3">
      <c r="A676" t="s">
        <v>502</v>
      </c>
      <c r="B676" t="s">
        <v>503</v>
      </c>
      <c r="C676" t="s">
        <v>504</v>
      </c>
      <c r="D676" t="s">
        <v>439</v>
      </c>
      <c r="E676" t="s">
        <v>375</v>
      </c>
      <c r="F676" t="s">
        <v>376</v>
      </c>
      <c r="G676" s="14">
        <v>46257.833888888897</v>
      </c>
      <c r="H676" t="s">
        <v>377</v>
      </c>
    </row>
    <row r="677" spans="1:8" ht="15" customHeight="1" x14ac:dyDescent="0.3">
      <c r="A677" t="s">
        <v>443</v>
      </c>
      <c r="B677" t="s">
        <v>444</v>
      </c>
      <c r="C677" t="s">
        <v>445</v>
      </c>
      <c r="D677" t="s">
        <v>439</v>
      </c>
      <c r="E677" t="s">
        <v>375</v>
      </c>
      <c r="F677" t="s">
        <v>376</v>
      </c>
      <c r="G677" s="14">
        <v>46257.8338194444</v>
      </c>
      <c r="H677" t="s">
        <v>377</v>
      </c>
    </row>
    <row r="678" spans="1:8" ht="15" customHeight="1" x14ac:dyDescent="0.3">
      <c r="A678" t="s">
        <v>446</v>
      </c>
      <c r="B678" t="s">
        <v>447</v>
      </c>
      <c r="C678" t="s">
        <v>448</v>
      </c>
      <c r="D678" t="s">
        <v>439</v>
      </c>
      <c r="E678" t="s">
        <v>375</v>
      </c>
      <c r="F678" t="s">
        <v>376</v>
      </c>
      <c r="G678" s="14">
        <v>46257.833807870396</v>
      </c>
      <c r="H678" t="s">
        <v>377</v>
      </c>
    </row>
    <row r="679" spans="1:8" ht="15" customHeight="1" x14ac:dyDescent="0.3">
      <c r="A679" t="s">
        <v>467</v>
      </c>
      <c r="B679" t="s">
        <v>468</v>
      </c>
      <c r="C679" t="s">
        <v>469</v>
      </c>
      <c r="D679" t="s">
        <v>439</v>
      </c>
      <c r="E679" t="s">
        <v>375</v>
      </c>
      <c r="F679" t="s">
        <v>376</v>
      </c>
      <c r="G679" s="14">
        <v>46257.833784722199</v>
      </c>
      <c r="H679" t="s">
        <v>377</v>
      </c>
    </row>
    <row r="680" spans="1:8" ht="15" customHeight="1" x14ac:dyDescent="0.3">
      <c r="A680" t="s">
        <v>470</v>
      </c>
      <c r="B680" t="s">
        <v>184</v>
      </c>
      <c r="C680" t="s">
        <v>471</v>
      </c>
      <c r="D680" t="s">
        <v>439</v>
      </c>
      <c r="E680" t="s">
        <v>375</v>
      </c>
      <c r="F680" t="s">
        <v>376</v>
      </c>
      <c r="G680" s="14">
        <v>46257.833726851903</v>
      </c>
      <c r="H680" t="s">
        <v>377</v>
      </c>
    </row>
    <row r="681" spans="1:8" ht="15" customHeight="1" x14ac:dyDescent="0.3">
      <c r="A681" t="s">
        <v>482</v>
      </c>
      <c r="B681" t="s">
        <v>483</v>
      </c>
      <c r="C681" t="s">
        <v>484</v>
      </c>
      <c r="D681" t="s">
        <v>439</v>
      </c>
      <c r="E681" t="s">
        <v>375</v>
      </c>
      <c r="F681" t="s">
        <v>376</v>
      </c>
      <c r="G681" s="14">
        <v>46257.833726851903</v>
      </c>
      <c r="H681" t="s">
        <v>390</v>
      </c>
    </row>
    <row r="682" spans="1:8" ht="15" customHeight="1" x14ac:dyDescent="0.3">
      <c r="A682" t="s">
        <v>452</v>
      </c>
      <c r="B682" t="s">
        <v>453</v>
      </c>
      <c r="C682" t="s">
        <v>454</v>
      </c>
      <c r="D682" t="s">
        <v>439</v>
      </c>
      <c r="E682" t="s">
        <v>375</v>
      </c>
      <c r="F682" t="s">
        <v>376</v>
      </c>
      <c r="G682" s="14">
        <v>46257.833680555603</v>
      </c>
      <c r="H682" t="s">
        <v>377</v>
      </c>
    </row>
    <row r="683" spans="1:8" ht="15" customHeight="1" x14ac:dyDescent="0.3">
      <c r="A683" t="s">
        <v>512</v>
      </c>
      <c r="B683" t="s">
        <v>513</v>
      </c>
      <c r="C683" t="s">
        <v>514</v>
      </c>
      <c r="D683" t="s">
        <v>439</v>
      </c>
      <c r="E683" t="s">
        <v>375</v>
      </c>
      <c r="F683" t="s">
        <v>376</v>
      </c>
      <c r="G683" s="14">
        <v>46257.833668981497</v>
      </c>
      <c r="H683" t="s">
        <v>377</v>
      </c>
    </row>
    <row r="684" spans="1:8" ht="15" customHeight="1" x14ac:dyDescent="0.3">
      <c r="A684" t="s">
        <v>464</v>
      </c>
      <c r="B684" t="s">
        <v>465</v>
      </c>
      <c r="C684" t="s">
        <v>466</v>
      </c>
      <c r="D684" t="s">
        <v>439</v>
      </c>
      <c r="E684" t="s">
        <v>375</v>
      </c>
      <c r="F684" t="s">
        <v>376</v>
      </c>
      <c r="G684" s="14">
        <v>46257.828854166699</v>
      </c>
      <c r="H684" t="s">
        <v>377</v>
      </c>
    </row>
    <row r="685" spans="1:8" ht="15" customHeight="1" x14ac:dyDescent="0.3">
      <c r="A685" t="s">
        <v>464</v>
      </c>
      <c r="B685" t="s">
        <v>465</v>
      </c>
      <c r="C685" t="s">
        <v>466</v>
      </c>
      <c r="D685" t="s">
        <v>439</v>
      </c>
      <c r="E685" t="s">
        <v>375</v>
      </c>
      <c r="F685" t="s">
        <v>376</v>
      </c>
      <c r="G685" s="14">
        <v>46257.828773148198</v>
      </c>
      <c r="H685" t="s">
        <v>390</v>
      </c>
    </row>
    <row r="686" spans="1:8" ht="15" customHeight="1" x14ac:dyDescent="0.3">
      <c r="A686" t="s">
        <v>436</v>
      </c>
      <c r="B686" t="s">
        <v>437</v>
      </c>
      <c r="C686" t="s">
        <v>438</v>
      </c>
      <c r="D686" t="s">
        <v>439</v>
      </c>
      <c r="E686" t="s">
        <v>375</v>
      </c>
      <c r="F686" t="s">
        <v>376</v>
      </c>
      <c r="G686" s="14">
        <v>46257.365671296298</v>
      </c>
      <c r="H686" t="s">
        <v>377</v>
      </c>
    </row>
    <row r="687" spans="1:8" ht="15" customHeight="1" x14ac:dyDescent="0.3">
      <c r="A687" t="s">
        <v>446</v>
      </c>
      <c r="B687" t="s">
        <v>447</v>
      </c>
      <c r="C687" t="s">
        <v>448</v>
      </c>
      <c r="D687" t="s">
        <v>439</v>
      </c>
      <c r="E687" t="s">
        <v>375</v>
      </c>
      <c r="F687" t="s">
        <v>376</v>
      </c>
      <c r="G687" s="14">
        <v>46257.352662037003</v>
      </c>
      <c r="H687" t="s">
        <v>390</v>
      </c>
    </row>
    <row r="688" spans="1:8" ht="15" customHeight="1" x14ac:dyDescent="0.3">
      <c r="A688" t="s">
        <v>493</v>
      </c>
      <c r="B688" t="s">
        <v>494</v>
      </c>
      <c r="C688" t="s">
        <v>495</v>
      </c>
      <c r="D688" t="s">
        <v>439</v>
      </c>
      <c r="E688" t="s">
        <v>375</v>
      </c>
      <c r="F688" t="s">
        <v>376</v>
      </c>
      <c r="G688" s="14">
        <v>46257.346782407403</v>
      </c>
      <c r="H688" t="s">
        <v>377</v>
      </c>
    </row>
    <row r="689" spans="1:8" ht="15" customHeight="1" x14ac:dyDescent="0.3">
      <c r="A689" t="s">
        <v>499</v>
      </c>
      <c r="B689" t="s">
        <v>273</v>
      </c>
      <c r="C689" t="s">
        <v>500</v>
      </c>
      <c r="D689" t="s">
        <v>439</v>
      </c>
      <c r="E689" t="s">
        <v>501</v>
      </c>
      <c r="F689" t="s">
        <v>376</v>
      </c>
      <c r="G689" s="14">
        <v>46257.338645833297</v>
      </c>
      <c r="H689" t="s">
        <v>390</v>
      </c>
    </row>
    <row r="690" spans="1:8" ht="15" customHeight="1" x14ac:dyDescent="0.3">
      <c r="A690" t="s">
        <v>458</v>
      </c>
      <c r="B690" t="s">
        <v>459</v>
      </c>
      <c r="C690" t="s">
        <v>460</v>
      </c>
      <c r="D690" t="s">
        <v>439</v>
      </c>
      <c r="E690" t="s">
        <v>394</v>
      </c>
      <c r="F690" t="s">
        <v>376</v>
      </c>
      <c r="G690" s="14">
        <v>46257.337800925903</v>
      </c>
      <c r="H690" t="s">
        <v>390</v>
      </c>
    </row>
    <row r="691" spans="1:8" ht="15" customHeight="1" x14ac:dyDescent="0.3">
      <c r="A691" t="s">
        <v>449</v>
      </c>
      <c r="B691" t="s">
        <v>450</v>
      </c>
      <c r="C691" t="s">
        <v>451</v>
      </c>
      <c r="D691" t="s">
        <v>439</v>
      </c>
      <c r="E691" t="s">
        <v>375</v>
      </c>
      <c r="F691" t="s">
        <v>376</v>
      </c>
      <c r="G691" s="14">
        <v>46257.337488425903</v>
      </c>
      <c r="H691" t="s">
        <v>390</v>
      </c>
    </row>
    <row r="692" spans="1:8" ht="15" customHeight="1" x14ac:dyDescent="0.3">
      <c r="A692" t="s">
        <v>496</v>
      </c>
      <c r="B692" t="s">
        <v>497</v>
      </c>
      <c r="C692" t="s">
        <v>498</v>
      </c>
      <c r="D692" t="s">
        <v>439</v>
      </c>
      <c r="E692" t="s">
        <v>394</v>
      </c>
      <c r="F692" t="s">
        <v>376</v>
      </c>
      <c r="G692" s="14">
        <v>46257.336805555598</v>
      </c>
      <c r="H692" t="s">
        <v>377</v>
      </c>
    </row>
    <row r="693" spans="1:8" ht="15" customHeight="1" x14ac:dyDescent="0.3">
      <c r="A693" t="s">
        <v>464</v>
      </c>
      <c r="B693" t="s">
        <v>465</v>
      </c>
      <c r="C693" t="s">
        <v>466</v>
      </c>
      <c r="D693" t="s">
        <v>439</v>
      </c>
      <c r="E693" t="s">
        <v>375</v>
      </c>
      <c r="F693" t="s">
        <v>376</v>
      </c>
      <c r="G693" s="14">
        <v>46257.334618055596</v>
      </c>
      <c r="H693" t="s">
        <v>390</v>
      </c>
    </row>
    <row r="694" spans="1:8" ht="15" customHeight="1" x14ac:dyDescent="0.3">
      <c r="A694" t="s">
        <v>491</v>
      </c>
      <c r="B694" t="s">
        <v>188</v>
      </c>
      <c r="C694" t="s">
        <v>492</v>
      </c>
      <c r="D694" t="s">
        <v>439</v>
      </c>
      <c r="E694" t="s">
        <v>375</v>
      </c>
      <c r="F694" t="s">
        <v>376</v>
      </c>
      <c r="G694" s="14">
        <v>46257.334525462997</v>
      </c>
      <c r="H694" t="s">
        <v>377</v>
      </c>
    </row>
    <row r="695" spans="1:8" ht="15" customHeight="1" x14ac:dyDescent="0.3">
      <c r="A695" t="s">
        <v>491</v>
      </c>
      <c r="B695" t="s">
        <v>188</v>
      </c>
      <c r="C695" t="s">
        <v>492</v>
      </c>
      <c r="D695" t="s">
        <v>439</v>
      </c>
      <c r="E695" t="s">
        <v>375</v>
      </c>
      <c r="F695" t="s">
        <v>376</v>
      </c>
      <c r="G695" s="14">
        <v>46257.3343634259</v>
      </c>
      <c r="H695" t="s">
        <v>390</v>
      </c>
    </row>
    <row r="696" spans="1:8" ht="15" customHeight="1" x14ac:dyDescent="0.3">
      <c r="A696" t="s">
        <v>505</v>
      </c>
      <c r="B696" t="s">
        <v>506</v>
      </c>
      <c r="C696" t="s">
        <v>507</v>
      </c>
      <c r="D696" t="s">
        <v>439</v>
      </c>
      <c r="E696" t="s">
        <v>478</v>
      </c>
      <c r="F696" t="s">
        <v>376</v>
      </c>
      <c r="G696" s="14">
        <v>46257.334305555603</v>
      </c>
      <c r="H696" t="s">
        <v>390</v>
      </c>
    </row>
    <row r="697" spans="1:8" ht="15" customHeight="1" x14ac:dyDescent="0.3">
      <c r="A697" t="s">
        <v>502</v>
      </c>
      <c r="B697" t="s">
        <v>503</v>
      </c>
      <c r="C697" t="s">
        <v>504</v>
      </c>
      <c r="D697" t="s">
        <v>439</v>
      </c>
      <c r="E697" t="s">
        <v>375</v>
      </c>
      <c r="F697" t="s">
        <v>376</v>
      </c>
      <c r="G697" s="14">
        <v>46257.3340046296</v>
      </c>
      <c r="H697" t="s">
        <v>390</v>
      </c>
    </row>
    <row r="698" spans="1:8" ht="15" customHeight="1" x14ac:dyDescent="0.3">
      <c r="A698" t="s">
        <v>482</v>
      </c>
      <c r="B698" t="s">
        <v>483</v>
      </c>
      <c r="C698" t="s">
        <v>484</v>
      </c>
      <c r="D698" t="s">
        <v>439</v>
      </c>
      <c r="E698" t="s">
        <v>375</v>
      </c>
      <c r="F698" t="s">
        <v>376</v>
      </c>
      <c r="G698" s="14">
        <v>46257.333877314799</v>
      </c>
      <c r="H698" t="s">
        <v>377</v>
      </c>
    </row>
    <row r="699" spans="1:8" ht="15" customHeight="1" x14ac:dyDescent="0.3">
      <c r="A699" t="s">
        <v>488</v>
      </c>
      <c r="B699" t="s">
        <v>489</v>
      </c>
      <c r="C699" t="s">
        <v>490</v>
      </c>
      <c r="D699" t="s">
        <v>439</v>
      </c>
      <c r="E699" t="s">
        <v>375</v>
      </c>
      <c r="F699" t="s">
        <v>376</v>
      </c>
      <c r="G699" s="14">
        <v>46257.333854166704</v>
      </c>
      <c r="H699" t="s">
        <v>377</v>
      </c>
    </row>
    <row r="700" spans="1:8" ht="15" customHeight="1" x14ac:dyDescent="0.3">
      <c r="A700" t="s">
        <v>512</v>
      </c>
      <c r="B700" t="s">
        <v>513</v>
      </c>
      <c r="C700" t="s">
        <v>514</v>
      </c>
      <c r="D700" t="s">
        <v>439</v>
      </c>
      <c r="E700" t="s">
        <v>375</v>
      </c>
      <c r="F700" t="s">
        <v>376</v>
      </c>
      <c r="G700" s="14">
        <v>46257.333738425899</v>
      </c>
      <c r="H700" t="s">
        <v>390</v>
      </c>
    </row>
    <row r="701" spans="1:8" ht="15" customHeight="1" x14ac:dyDescent="0.3">
      <c r="A701" t="s">
        <v>467</v>
      </c>
      <c r="B701" t="s">
        <v>468</v>
      </c>
      <c r="C701" t="s">
        <v>469</v>
      </c>
      <c r="D701" t="s">
        <v>439</v>
      </c>
      <c r="E701" t="s">
        <v>375</v>
      </c>
      <c r="F701" t="s">
        <v>376</v>
      </c>
      <c r="G701" s="14">
        <v>46257.333726851903</v>
      </c>
      <c r="H701" t="s">
        <v>390</v>
      </c>
    </row>
    <row r="702" spans="1:8" ht="15" customHeight="1" x14ac:dyDescent="0.3">
      <c r="A702" t="s">
        <v>479</v>
      </c>
      <c r="B702" t="s">
        <v>480</v>
      </c>
      <c r="C702" t="s">
        <v>481</v>
      </c>
      <c r="D702" t="s">
        <v>439</v>
      </c>
      <c r="E702" t="s">
        <v>375</v>
      </c>
      <c r="F702" t="s">
        <v>376</v>
      </c>
      <c r="G702" s="14">
        <v>46257.333101851902</v>
      </c>
      <c r="H702" t="s">
        <v>390</v>
      </c>
    </row>
    <row r="703" spans="1:8" ht="15" customHeight="1" x14ac:dyDescent="0.3">
      <c r="A703" t="s">
        <v>452</v>
      </c>
      <c r="B703" t="s">
        <v>453</v>
      </c>
      <c r="C703" t="s">
        <v>454</v>
      </c>
      <c r="D703" t="s">
        <v>439</v>
      </c>
      <c r="E703" t="s">
        <v>375</v>
      </c>
      <c r="F703" t="s">
        <v>376</v>
      </c>
      <c r="G703" s="14">
        <v>46257.327291666697</v>
      </c>
      <c r="H703" t="s">
        <v>390</v>
      </c>
    </row>
    <row r="704" spans="1:8" ht="15" customHeight="1" x14ac:dyDescent="0.3">
      <c r="A704" t="s">
        <v>470</v>
      </c>
      <c r="B704" t="s">
        <v>184</v>
      </c>
      <c r="C704" t="s">
        <v>471</v>
      </c>
      <c r="D704" t="s">
        <v>439</v>
      </c>
      <c r="E704" t="s">
        <v>375</v>
      </c>
      <c r="F704" t="s">
        <v>376</v>
      </c>
      <c r="G704" s="14">
        <v>46257.323900463001</v>
      </c>
      <c r="H704" t="s">
        <v>390</v>
      </c>
    </row>
    <row r="705" spans="1:8" ht="15" customHeight="1" x14ac:dyDescent="0.3">
      <c r="A705" t="s">
        <v>485</v>
      </c>
      <c r="B705" t="s">
        <v>486</v>
      </c>
      <c r="C705" t="s">
        <v>487</v>
      </c>
      <c r="D705" t="s">
        <v>439</v>
      </c>
      <c r="E705" t="s">
        <v>394</v>
      </c>
      <c r="F705" t="s">
        <v>376</v>
      </c>
      <c r="G705" s="14">
        <v>46257.3067592593</v>
      </c>
      <c r="H705" t="s">
        <v>390</v>
      </c>
    </row>
    <row r="706" spans="1:8" ht="15" customHeight="1" x14ac:dyDescent="0.3">
      <c r="A706" t="s">
        <v>443</v>
      </c>
      <c r="B706" t="s">
        <v>444</v>
      </c>
      <c r="C706" t="s">
        <v>445</v>
      </c>
      <c r="D706" t="s">
        <v>439</v>
      </c>
      <c r="E706" t="s">
        <v>375</v>
      </c>
      <c r="F706" t="s">
        <v>376</v>
      </c>
      <c r="G706" s="14">
        <v>46256.862604166701</v>
      </c>
      <c r="H706" t="s">
        <v>377</v>
      </c>
    </row>
    <row r="707" spans="1:8" ht="15" customHeight="1" x14ac:dyDescent="0.3">
      <c r="A707" t="s">
        <v>458</v>
      </c>
      <c r="B707" t="s">
        <v>459</v>
      </c>
      <c r="C707" t="s">
        <v>460</v>
      </c>
      <c r="D707" t="s">
        <v>439</v>
      </c>
      <c r="E707" t="s">
        <v>394</v>
      </c>
      <c r="F707" t="s">
        <v>376</v>
      </c>
      <c r="G707" s="14">
        <v>46256.8506597222</v>
      </c>
      <c r="H707" t="s">
        <v>377</v>
      </c>
    </row>
    <row r="708" spans="1:8" ht="15" customHeight="1" x14ac:dyDescent="0.3">
      <c r="A708" t="s">
        <v>449</v>
      </c>
      <c r="B708" t="s">
        <v>450</v>
      </c>
      <c r="C708" t="s">
        <v>451</v>
      </c>
      <c r="D708" t="s">
        <v>439</v>
      </c>
      <c r="E708" t="s">
        <v>375</v>
      </c>
      <c r="F708" t="s">
        <v>376</v>
      </c>
      <c r="G708" s="14">
        <v>46256.845243055599</v>
      </c>
      <c r="H708" t="s">
        <v>377</v>
      </c>
    </row>
    <row r="709" spans="1:8" ht="15" customHeight="1" x14ac:dyDescent="0.3">
      <c r="A709" t="s">
        <v>499</v>
      </c>
      <c r="B709" t="s">
        <v>273</v>
      </c>
      <c r="C709" t="s">
        <v>500</v>
      </c>
      <c r="D709" t="s">
        <v>439</v>
      </c>
      <c r="E709" t="s">
        <v>501</v>
      </c>
      <c r="F709" t="s">
        <v>376</v>
      </c>
      <c r="G709" s="14">
        <v>46256.8433449074</v>
      </c>
      <c r="H709" t="s">
        <v>377</v>
      </c>
    </row>
    <row r="710" spans="1:8" ht="15" customHeight="1" x14ac:dyDescent="0.3">
      <c r="A710" t="s">
        <v>479</v>
      </c>
      <c r="B710" t="s">
        <v>480</v>
      </c>
      <c r="C710" t="s">
        <v>481</v>
      </c>
      <c r="D710" t="s">
        <v>439</v>
      </c>
      <c r="E710" t="s">
        <v>375</v>
      </c>
      <c r="F710" t="s">
        <v>376</v>
      </c>
      <c r="G710" s="14">
        <v>46256.840185185203</v>
      </c>
      <c r="H710" t="s">
        <v>377</v>
      </c>
    </row>
    <row r="711" spans="1:8" ht="15" customHeight="1" x14ac:dyDescent="0.3">
      <c r="A711" t="s">
        <v>491</v>
      </c>
      <c r="B711" t="s">
        <v>188</v>
      </c>
      <c r="C711" t="s">
        <v>492</v>
      </c>
      <c r="D711" t="s">
        <v>439</v>
      </c>
      <c r="E711" t="s">
        <v>375</v>
      </c>
      <c r="F711" t="s">
        <v>376</v>
      </c>
      <c r="G711" s="14">
        <v>46256.839942129598</v>
      </c>
      <c r="H711" t="s">
        <v>390</v>
      </c>
    </row>
    <row r="712" spans="1:8" ht="15" customHeight="1" x14ac:dyDescent="0.3">
      <c r="A712" t="s">
        <v>493</v>
      </c>
      <c r="B712" t="s">
        <v>494</v>
      </c>
      <c r="C712" t="s">
        <v>495</v>
      </c>
      <c r="D712" t="s">
        <v>439</v>
      </c>
      <c r="E712" t="s">
        <v>375</v>
      </c>
      <c r="F712" t="s">
        <v>376</v>
      </c>
      <c r="G712" s="14">
        <v>46256.837986111103</v>
      </c>
      <c r="H712" t="s">
        <v>390</v>
      </c>
    </row>
    <row r="713" spans="1:8" ht="15" customHeight="1" x14ac:dyDescent="0.3">
      <c r="A713" t="s">
        <v>470</v>
      </c>
      <c r="B713" t="s">
        <v>184</v>
      </c>
      <c r="C713" t="s">
        <v>471</v>
      </c>
      <c r="D713" t="s">
        <v>439</v>
      </c>
      <c r="E713" t="s">
        <v>375</v>
      </c>
      <c r="F713" t="s">
        <v>376</v>
      </c>
      <c r="G713" s="14">
        <v>46256.837962963</v>
      </c>
      <c r="H713" t="s">
        <v>377</v>
      </c>
    </row>
    <row r="714" spans="1:8" ht="15" customHeight="1" x14ac:dyDescent="0.3">
      <c r="A714" t="s">
        <v>512</v>
      </c>
      <c r="B714" t="s">
        <v>513</v>
      </c>
      <c r="C714" t="s">
        <v>514</v>
      </c>
      <c r="D714" t="s">
        <v>439</v>
      </c>
      <c r="E714" t="s">
        <v>375</v>
      </c>
      <c r="F714" t="s">
        <v>376</v>
      </c>
      <c r="G714" s="14">
        <v>46256.834976851896</v>
      </c>
      <c r="H714" t="s">
        <v>377</v>
      </c>
    </row>
    <row r="715" spans="1:8" ht="15" customHeight="1" x14ac:dyDescent="0.3">
      <c r="A715" t="s">
        <v>505</v>
      </c>
      <c r="B715" t="s">
        <v>506</v>
      </c>
      <c r="C715" t="s">
        <v>507</v>
      </c>
      <c r="D715" t="s">
        <v>439</v>
      </c>
      <c r="E715" t="s">
        <v>478</v>
      </c>
      <c r="F715" t="s">
        <v>376</v>
      </c>
      <c r="G715" s="14">
        <v>46256.834710648203</v>
      </c>
      <c r="H715" t="s">
        <v>377</v>
      </c>
    </row>
    <row r="716" spans="1:8" ht="15" customHeight="1" x14ac:dyDescent="0.3">
      <c r="A716" t="s">
        <v>502</v>
      </c>
      <c r="B716" t="s">
        <v>503</v>
      </c>
      <c r="C716" t="s">
        <v>504</v>
      </c>
      <c r="D716" t="s">
        <v>439</v>
      </c>
      <c r="E716" t="s">
        <v>375</v>
      </c>
      <c r="F716" t="s">
        <v>376</v>
      </c>
      <c r="G716" s="14">
        <v>46256.834525462997</v>
      </c>
      <c r="H716" t="s">
        <v>377</v>
      </c>
    </row>
    <row r="717" spans="1:8" ht="15" customHeight="1" x14ac:dyDescent="0.3">
      <c r="A717" t="s">
        <v>452</v>
      </c>
      <c r="B717" t="s">
        <v>453</v>
      </c>
      <c r="C717" t="s">
        <v>454</v>
      </c>
      <c r="D717" t="s">
        <v>439</v>
      </c>
      <c r="E717" t="s">
        <v>375</v>
      </c>
      <c r="F717" t="s">
        <v>376</v>
      </c>
      <c r="G717" s="14">
        <v>46256.834097222199</v>
      </c>
      <c r="H717" t="s">
        <v>377</v>
      </c>
    </row>
    <row r="718" spans="1:8" ht="15" customHeight="1" x14ac:dyDescent="0.3">
      <c r="A718" t="s">
        <v>446</v>
      </c>
      <c r="B718" t="s">
        <v>447</v>
      </c>
      <c r="C718" t="s">
        <v>448</v>
      </c>
      <c r="D718" t="s">
        <v>439</v>
      </c>
      <c r="E718" t="s">
        <v>375</v>
      </c>
      <c r="F718" t="s">
        <v>376</v>
      </c>
      <c r="G718" s="14">
        <v>46256.833761574097</v>
      </c>
      <c r="H718" t="s">
        <v>377</v>
      </c>
    </row>
    <row r="719" spans="1:8" ht="15" customHeight="1" x14ac:dyDescent="0.3">
      <c r="A719" t="s">
        <v>467</v>
      </c>
      <c r="B719" t="s">
        <v>468</v>
      </c>
      <c r="C719" t="s">
        <v>469</v>
      </c>
      <c r="D719" t="s">
        <v>439</v>
      </c>
      <c r="E719" t="s">
        <v>375</v>
      </c>
      <c r="F719" t="s">
        <v>376</v>
      </c>
      <c r="G719" s="14">
        <v>46256.833634259303</v>
      </c>
      <c r="H719" t="s">
        <v>377</v>
      </c>
    </row>
    <row r="720" spans="1:8" ht="15" customHeight="1" x14ac:dyDescent="0.3">
      <c r="A720" t="s">
        <v>436</v>
      </c>
      <c r="B720" t="s">
        <v>437</v>
      </c>
      <c r="C720" t="s">
        <v>438</v>
      </c>
      <c r="D720" t="s">
        <v>439</v>
      </c>
      <c r="E720" t="s">
        <v>375</v>
      </c>
      <c r="F720" t="s">
        <v>376</v>
      </c>
      <c r="G720" s="14">
        <v>46256.821701388901</v>
      </c>
      <c r="H720" t="s">
        <v>390</v>
      </c>
    </row>
    <row r="721" spans="1:8" ht="15" customHeight="1" x14ac:dyDescent="0.3">
      <c r="A721" t="s">
        <v>488</v>
      </c>
      <c r="B721" t="s">
        <v>489</v>
      </c>
      <c r="C721" t="s">
        <v>490</v>
      </c>
      <c r="D721" t="s">
        <v>439</v>
      </c>
      <c r="E721" t="s">
        <v>375</v>
      </c>
      <c r="F721" t="s">
        <v>376</v>
      </c>
      <c r="G721" s="14">
        <v>46256.820868055598</v>
      </c>
      <c r="H721" t="s">
        <v>390</v>
      </c>
    </row>
    <row r="722" spans="1:8" ht="15" customHeight="1" x14ac:dyDescent="0.3">
      <c r="A722" t="s">
        <v>491</v>
      </c>
      <c r="B722" t="s">
        <v>188</v>
      </c>
      <c r="C722" t="s">
        <v>492</v>
      </c>
      <c r="D722" t="s">
        <v>439</v>
      </c>
      <c r="E722" t="s">
        <v>375</v>
      </c>
      <c r="F722" t="s">
        <v>376</v>
      </c>
      <c r="G722" s="14">
        <v>46256.814004629603</v>
      </c>
      <c r="H722" t="s">
        <v>390</v>
      </c>
    </row>
    <row r="723" spans="1:8" ht="15" customHeight="1" x14ac:dyDescent="0.3">
      <c r="A723" t="s">
        <v>482</v>
      </c>
      <c r="B723" t="s">
        <v>483</v>
      </c>
      <c r="C723" t="s">
        <v>484</v>
      </c>
      <c r="D723" t="s">
        <v>439</v>
      </c>
      <c r="E723" t="s">
        <v>375</v>
      </c>
      <c r="F723" t="s">
        <v>376</v>
      </c>
      <c r="G723" s="14">
        <v>46256.813344907401</v>
      </c>
      <c r="H723" t="s">
        <v>390</v>
      </c>
    </row>
    <row r="724" spans="1:8" ht="15" customHeight="1" x14ac:dyDescent="0.3">
      <c r="A724" t="s">
        <v>496</v>
      </c>
      <c r="B724" t="s">
        <v>497</v>
      </c>
      <c r="C724" t="s">
        <v>498</v>
      </c>
      <c r="D724" t="s">
        <v>439</v>
      </c>
      <c r="E724" t="s">
        <v>394</v>
      </c>
      <c r="F724" t="s">
        <v>376</v>
      </c>
      <c r="G724" s="14">
        <v>46256.813298611101</v>
      </c>
      <c r="H724" t="s">
        <v>390</v>
      </c>
    </row>
    <row r="725" spans="1:8" ht="15" customHeight="1" x14ac:dyDescent="0.3">
      <c r="A725" t="s">
        <v>505</v>
      </c>
      <c r="B725" t="s">
        <v>506</v>
      </c>
      <c r="C725" t="s">
        <v>507</v>
      </c>
      <c r="D725" t="s">
        <v>439</v>
      </c>
      <c r="E725" t="s">
        <v>478</v>
      </c>
      <c r="F725" t="s">
        <v>376</v>
      </c>
      <c r="G725" s="14">
        <v>46256.7796296296</v>
      </c>
      <c r="H725" t="s">
        <v>390</v>
      </c>
    </row>
    <row r="726" spans="1:8" ht="15" customHeight="1" x14ac:dyDescent="0.3">
      <c r="A726" t="s">
        <v>508</v>
      </c>
      <c r="B726" t="s">
        <v>509</v>
      </c>
      <c r="C726" t="s">
        <v>510</v>
      </c>
      <c r="D726" t="s">
        <v>439</v>
      </c>
      <c r="E726" t="s">
        <v>394</v>
      </c>
      <c r="F726" t="s">
        <v>395</v>
      </c>
      <c r="G726" s="14">
        <v>46256.580405092602</v>
      </c>
      <c r="H726" t="s">
        <v>377</v>
      </c>
    </row>
    <row r="727" spans="1:8" ht="15" customHeight="1" x14ac:dyDescent="0.3">
      <c r="A727" t="s">
        <v>482</v>
      </c>
      <c r="B727" t="s">
        <v>483</v>
      </c>
      <c r="C727" t="s">
        <v>484</v>
      </c>
      <c r="D727" t="s">
        <v>439</v>
      </c>
      <c r="E727" t="s">
        <v>375</v>
      </c>
      <c r="F727" t="s">
        <v>376</v>
      </c>
      <c r="G727" s="14">
        <v>46256.4856828704</v>
      </c>
      <c r="H727" t="s">
        <v>377</v>
      </c>
    </row>
    <row r="728" spans="1:8" ht="15" customHeight="1" x14ac:dyDescent="0.3">
      <c r="A728" t="s">
        <v>485</v>
      </c>
      <c r="B728" t="s">
        <v>486</v>
      </c>
      <c r="C728" t="s">
        <v>487</v>
      </c>
      <c r="D728" t="s">
        <v>439</v>
      </c>
      <c r="E728" t="s">
        <v>394</v>
      </c>
      <c r="F728" t="s">
        <v>376</v>
      </c>
      <c r="G728" s="14">
        <v>46256.420590277798</v>
      </c>
      <c r="H728" t="s">
        <v>390</v>
      </c>
    </row>
    <row r="729" spans="1:8" ht="15" customHeight="1" x14ac:dyDescent="0.3">
      <c r="A729" t="s">
        <v>464</v>
      </c>
      <c r="B729" t="s">
        <v>465</v>
      </c>
      <c r="C729" t="s">
        <v>466</v>
      </c>
      <c r="D729" t="s">
        <v>439</v>
      </c>
      <c r="E729" t="s">
        <v>375</v>
      </c>
      <c r="F729" t="s">
        <v>376</v>
      </c>
      <c r="G729" s="14">
        <v>46256.400844907403</v>
      </c>
      <c r="H729" t="s">
        <v>390</v>
      </c>
    </row>
    <row r="730" spans="1:8" ht="15" customHeight="1" x14ac:dyDescent="0.3">
      <c r="A730" t="s">
        <v>493</v>
      </c>
      <c r="B730" t="s">
        <v>494</v>
      </c>
      <c r="C730" t="s">
        <v>495</v>
      </c>
      <c r="D730" t="s">
        <v>439</v>
      </c>
      <c r="E730" t="s">
        <v>375</v>
      </c>
      <c r="F730" t="s">
        <v>376</v>
      </c>
      <c r="G730" s="14">
        <v>46256.367974537003</v>
      </c>
      <c r="H730" t="s">
        <v>377</v>
      </c>
    </row>
    <row r="731" spans="1:8" ht="15" customHeight="1" x14ac:dyDescent="0.3">
      <c r="A731" t="s">
        <v>436</v>
      </c>
      <c r="B731" t="s">
        <v>437</v>
      </c>
      <c r="C731" t="s">
        <v>438</v>
      </c>
      <c r="D731" t="s">
        <v>439</v>
      </c>
      <c r="E731" t="s">
        <v>375</v>
      </c>
      <c r="F731" t="s">
        <v>376</v>
      </c>
      <c r="G731" s="14">
        <v>46256.3644444444</v>
      </c>
      <c r="H731" t="s">
        <v>377</v>
      </c>
    </row>
    <row r="732" spans="1:8" ht="15" customHeight="1" x14ac:dyDescent="0.3">
      <c r="A732" t="s">
        <v>446</v>
      </c>
      <c r="B732" t="s">
        <v>447</v>
      </c>
      <c r="C732" t="s">
        <v>448</v>
      </c>
      <c r="D732" t="s">
        <v>439</v>
      </c>
      <c r="E732" t="s">
        <v>375</v>
      </c>
      <c r="F732" t="s">
        <v>376</v>
      </c>
      <c r="G732" s="14">
        <v>46256.364282407398</v>
      </c>
      <c r="H732" t="s">
        <v>390</v>
      </c>
    </row>
    <row r="733" spans="1:8" ht="15" customHeight="1" x14ac:dyDescent="0.3">
      <c r="A733" t="s">
        <v>443</v>
      </c>
      <c r="B733" t="s">
        <v>444</v>
      </c>
      <c r="C733" t="s">
        <v>445</v>
      </c>
      <c r="D733" t="s">
        <v>439</v>
      </c>
      <c r="E733" t="s">
        <v>375</v>
      </c>
      <c r="F733" t="s">
        <v>376</v>
      </c>
      <c r="G733" s="14">
        <v>46256.362824074102</v>
      </c>
      <c r="H733" t="s">
        <v>390</v>
      </c>
    </row>
    <row r="734" spans="1:8" ht="15" customHeight="1" x14ac:dyDescent="0.3">
      <c r="A734" t="s">
        <v>499</v>
      </c>
      <c r="B734" t="s">
        <v>273</v>
      </c>
      <c r="C734" t="s">
        <v>500</v>
      </c>
      <c r="D734" t="s">
        <v>439</v>
      </c>
      <c r="E734" t="s">
        <v>501</v>
      </c>
      <c r="F734" t="s">
        <v>376</v>
      </c>
      <c r="G734" s="14">
        <v>46256.345543981501</v>
      </c>
      <c r="H734" t="s">
        <v>390</v>
      </c>
    </row>
    <row r="735" spans="1:8" ht="15" customHeight="1" x14ac:dyDescent="0.3">
      <c r="A735" t="s">
        <v>479</v>
      </c>
      <c r="B735" t="s">
        <v>480</v>
      </c>
      <c r="C735" t="s">
        <v>481</v>
      </c>
      <c r="D735" t="s">
        <v>439</v>
      </c>
      <c r="E735" t="s">
        <v>375</v>
      </c>
      <c r="F735" t="s">
        <v>376</v>
      </c>
      <c r="G735" s="14">
        <v>46256.337893518503</v>
      </c>
      <c r="H735" t="s">
        <v>390</v>
      </c>
    </row>
    <row r="736" spans="1:8" ht="15" customHeight="1" x14ac:dyDescent="0.3">
      <c r="A736" t="s">
        <v>502</v>
      </c>
      <c r="B736" t="s">
        <v>503</v>
      </c>
      <c r="C736" t="s">
        <v>504</v>
      </c>
      <c r="D736" t="s">
        <v>439</v>
      </c>
      <c r="E736" t="s">
        <v>375</v>
      </c>
      <c r="F736" t="s">
        <v>376</v>
      </c>
      <c r="G736" s="14">
        <v>46256.333784722199</v>
      </c>
      <c r="H736" t="s">
        <v>390</v>
      </c>
    </row>
    <row r="737" spans="1:8" ht="15" customHeight="1" x14ac:dyDescent="0.3">
      <c r="A737" t="s">
        <v>452</v>
      </c>
      <c r="B737" t="s">
        <v>453</v>
      </c>
      <c r="C737" t="s">
        <v>454</v>
      </c>
      <c r="D737" t="s">
        <v>439</v>
      </c>
      <c r="E737" t="s">
        <v>375</v>
      </c>
      <c r="F737" t="s">
        <v>376</v>
      </c>
      <c r="G737" s="14">
        <v>46256.3335532407</v>
      </c>
      <c r="H737" t="s">
        <v>390</v>
      </c>
    </row>
    <row r="738" spans="1:8" ht="15" customHeight="1" x14ac:dyDescent="0.3">
      <c r="A738" t="s">
        <v>467</v>
      </c>
      <c r="B738" t="s">
        <v>468</v>
      </c>
      <c r="C738" t="s">
        <v>469</v>
      </c>
      <c r="D738" t="s">
        <v>439</v>
      </c>
      <c r="E738" t="s">
        <v>375</v>
      </c>
      <c r="F738" t="s">
        <v>376</v>
      </c>
      <c r="G738" s="14">
        <v>46256.333541666703</v>
      </c>
      <c r="H738" t="s">
        <v>390</v>
      </c>
    </row>
    <row r="739" spans="1:8" ht="15" customHeight="1" x14ac:dyDescent="0.3">
      <c r="A739" t="s">
        <v>508</v>
      </c>
      <c r="B739" t="s">
        <v>509</v>
      </c>
      <c r="C739" t="s">
        <v>510</v>
      </c>
      <c r="D739" t="s">
        <v>439</v>
      </c>
      <c r="E739" t="s">
        <v>394</v>
      </c>
      <c r="F739" t="s">
        <v>395</v>
      </c>
      <c r="G739" s="14">
        <v>46256.331168981502</v>
      </c>
      <c r="H739" t="s">
        <v>390</v>
      </c>
    </row>
    <row r="740" spans="1:8" ht="15" customHeight="1" x14ac:dyDescent="0.3">
      <c r="A740" t="s">
        <v>496</v>
      </c>
      <c r="B740" t="s">
        <v>497</v>
      </c>
      <c r="C740" t="s">
        <v>498</v>
      </c>
      <c r="D740" t="s">
        <v>439</v>
      </c>
      <c r="E740" t="s">
        <v>394</v>
      </c>
      <c r="F740" t="s">
        <v>376</v>
      </c>
      <c r="G740" s="14">
        <v>46256.330381944397</v>
      </c>
      <c r="H740" t="s">
        <v>377</v>
      </c>
    </row>
    <row r="741" spans="1:8" ht="15" customHeight="1" x14ac:dyDescent="0.3">
      <c r="A741" t="s">
        <v>512</v>
      </c>
      <c r="B741" t="s">
        <v>513</v>
      </c>
      <c r="C741" t="s">
        <v>514</v>
      </c>
      <c r="D741" t="s">
        <v>439</v>
      </c>
      <c r="E741" t="s">
        <v>375</v>
      </c>
      <c r="F741" t="s">
        <v>376</v>
      </c>
      <c r="G741" s="14">
        <v>46256.330231481501</v>
      </c>
      <c r="H741" t="s">
        <v>390</v>
      </c>
    </row>
    <row r="742" spans="1:8" ht="15" customHeight="1" x14ac:dyDescent="0.3">
      <c r="A742" t="s">
        <v>449</v>
      </c>
      <c r="B742" t="s">
        <v>450</v>
      </c>
      <c r="C742" t="s">
        <v>451</v>
      </c>
      <c r="D742" t="s">
        <v>439</v>
      </c>
      <c r="E742" t="s">
        <v>375</v>
      </c>
      <c r="F742" t="s">
        <v>376</v>
      </c>
      <c r="G742" s="14">
        <v>46256.317187499997</v>
      </c>
      <c r="H742" t="s">
        <v>390</v>
      </c>
    </row>
    <row r="743" spans="1:8" ht="15" customHeight="1" x14ac:dyDescent="0.3">
      <c r="A743" t="s">
        <v>470</v>
      </c>
      <c r="B743" t="s">
        <v>184</v>
      </c>
      <c r="C743" t="s">
        <v>471</v>
      </c>
      <c r="D743" t="s">
        <v>439</v>
      </c>
      <c r="E743" t="s">
        <v>375</v>
      </c>
      <c r="F743" t="s">
        <v>376</v>
      </c>
      <c r="G743" s="14">
        <v>46256.312731481499</v>
      </c>
      <c r="H743" t="s">
        <v>390</v>
      </c>
    </row>
    <row r="744" spans="1:8" ht="15" customHeight="1" x14ac:dyDescent="0.3">
      <c r="A744" t="s">
        <v>458</v>
      </c>
      <c r="B744" t="s">
        <v>459</v>
      </c>
      <c r="C744" t="s">
        <v>460</v>
      </c>
      <c r="D744" t="s">
        <v>439</v>
      </c>
      <c r="E744" t="s">
        <v>394</v>
      </c>
      <c r="F744" t="s">
        <v>376</v>
      </c>
      <c r="G744" s="14">
        <v>46256.311469907399</v>
      </c>
      <c r="H744" t="s">
        <v>390</v>
      </c>
    </row>
    <row r="745" spans="1:8" ht="15" customHeight="1" x14ac:dyDescent="0.3">
      <c r="A745" t="s">
        <v>505</v>
      </c>
      <c r="B745" t="s">
        <v>506</v>
      </c>
      <c r="C745" t="s">
        <v>507</v>
      </c>
      <c r="D745" t="s">
        <v>439</v>
      </c>
      <c r="E745" t="s">
        <v>478</v>
      </c>
      <c r="F745" t="s">
        <v>376</v>
      </c>
      <c r="G745" s="14">
        <v>46256.045775462997</v>
      </c>
      <c r="H745" t="s">
        <v>377</v>
      </c>
    </row>
    <row r="746" spans="1:8" ht="15" customHeight="1" x14ac:dyDescent="0.3">
      <c r="A746" t="s">
        <v>458</v>
      </c>
      <c r="B746" t="s">
        <v>459</v>
      </c>
      <c r="C746" t="s">
        <v>460</v>
      </c>
      <c r="D746" t="s">
        <v>439</v>
      </c>
      <c r="E746" t="s">
        <v>394</v>
      </c>
      <c r="F746" t="s">
        <v>376</v>
      </c>
      <c r="G746" s="14">
        <v>46255.891643518502</v>
      </c>
      <c r="H746" t="s">
        <v>377</v>
      </c>
    </row>
    <row r="747" spans="1:8" ht="15" customHeight="1" x14ac:dyDescent="0.3">
      <c r="A747" t="s">
        <v>499</v>
      </c>
      <c r="B747" t="s">
        <v>273</v>
      </c>
      <c r="C747" t="s">
        <v>500</v>
      </c>
      <c r="D747" t="s">
        <v>439</v>
      </c>
      <c r="E747" t="s">
        <v>501</v>
      </c>
      <c r="F747" t="s">
        <v>376</v>
      </c>
      <c r="G747" s="14">
        <v>46255.8812847222</v>
      </c>
      <c r="H747" t="s">
        <v>377</v>
      </c>
    </row>
    <row r="748" spans="1:8" ht="15" customHeight="1" x14ac:dyDescent="0.3">
      <c r="A748" t="s">
        <v>449</v>
      </c>
      <c r="B748" t="s">
        <v>450</v>
      </c>
      <c r="C748" t="s">
        <v>451</v>
      </c>
      <c r="D748" t="s">
        <v>439</v>
      </c>
      <c r="E748" t="s">
        <v>375</v>
      </c>
      <c r="F748" t="s">
        <v>376</v>
      </c>
      <c r="G748" s="14">
        <v>46255.872800925899</v>
      </c>
      <c r="H748" t="s">
        <v>377</v>
      </c>
    </row>
    <row r="749" spans="1:8" ht="15" customHeight="1" x14ac:dyDescent="0.3">
      <c r="A749" t="s">
        <v>479</v>
      </c>
      <c r="B749" t="s">
        <v>480</v>
      </c>
      <c r="C749" t="s">
        <v>481</v>
      </c>
      <c r="D749" t="s">
        <v>439</v>
      </c>
      <c r="E749" t="s">
        <v>375</v>
      </c>
      <c r="F749" t="s">
        <v>376</v>
      </c>
      <c r="G749" s="14">
        <v>46255.853958333297</v>
      </c>
      <c r="H749" t="s">
        <v>377</v>
      </c>
    </row>
    <row r="750" spans="1:8" ht="15" customHeight="1" x14ac:dyDescent="0.3">
      <c r="A750" t="s">
        <v>464</v>
      </c>
      <c r="B750" t="s">
        <v>465</v>
      </c>
      <c r="C750" t="s">
        <v>466</v>
      </c>
      <c r="D750" t="s">
        <v>439</v>
      </c>
      <c r="E750" t="s">
        <v>375</v>
      </c>
      <c r="F750" t="s">
        <v>376</v>
      </c>
      <c r="G750" s="14">
        <v>46255.853611111103</v>
      </c>
      <c r="H750" t="s">
        <v>377</v>
      </c>
    </row>
    <row r="751" spans="1:8" ht="15" customHeight="1" x14ac:dyDescent="0.3">
      <c r="A751" t="s">
        <v>485</v>
      </c>
      <c r="B751" t="s">
        <v>486</v>
      </c>
      <c r="C751" t="s">
        <v>487</v>
      </c>
      <c r="D751" t="s">
        <v>439</v>
      </c>
      <c r="E751" t="s">
        <v>394</v>
      </c>
      <c r="F751" t="s">
        <v>376</v>
      </c>
      <c r="G751" s="14">
        <v>46255.852314814802</v>
      </c>
      <c r="H751" t="s">
        <v>377</v>
      </c>
    </row>
    <row r="752" spans="1:8" ht="15" customHeight="1" x14ac:dyDescent="0.3">
      <c r="A752" t="s">
        <v>502</v>
      </c>
      <c r="B752" t="s">
        <v>503</v>
      </c>
      <c r="C752" t="s">
        <v>504</v>
      </c>
      <c r="D752" t="s">
        <v>439</v>
      </c>
      <c r="E752" t="s">
        <v>375</v>
      </c>
      <c r="F752" t="s">
        <v>376</v>
      </c>
      <c r="G752" s="14">
        <v>46255.841307870403</v>
      </c>
      <c r="H752" t="s">
        <v>377</v>
      </c>
    </row>
    <row r="753" spans="1:8" ht="15" customHeight="1" x14ac:dyDescent="0.3">
      <c r="A753" t="s">
        <v>491</v>
      </c>
      <c r="B753" t="s">
        <v>188</v>
      </c>
      <c r="C753" t="s">
        <v>492</v>
      </c>
      <c r="D753" t="s">
        <v>439</v>
      </c>
      <c r="E753" t="s">
        <v>375</v>
      </c>
      <c r="F753" t="s">
        <v>376</v>
      </c>
      <c r="G753" s="14">
        <v>46255.836689814802</v>
      </c>
      <c r="H753" t="s">
        <v>390</v>
      </c>
    </row>
    <row r="754" spans="1:8" ht="15" customHeight="1" x14ac:dyDescent="0.3">
      <c r="A754" t="s">
        <v>512</v>
      </c>
      <c r="B754" t="s">
        <v>513</v>
      </c>
      <c r="C754" t="s">
        <v>514</v>
      </c>
      <c r="D754" t="s">
        <v>439</v>
      </c>
      <c r="E754" t="s">
        <v>375</v>
      </c>
      <c r="F754" t="s">
        <v>376</v>
      </c>
      <c r="G754" s="14">
        <v>46255.835902777799</v>
      </c>
      <c r="H754" t="s">
        <v>377</v>
      </c>
    </row>
    <row r="755" spans="1:8" ht="15" customHeight="1" x14ac:dyDescent="0.3">
      <c r="A755" t="s">
        <v>470</v>
      </c>
      <c r="B755" t="s">
        <v>184</v>
      </c>
      <c r="C755" t="s">
        <v>471</v>
      </c>
      <c r="D755" t="s">
        <v>439</v>
      </c>
      <c r="E755" t="s">
        <v>375</v>
      </c>
      <c r="F755" t="s">
        <v>376</v>
      </c>
      <c r="G755" s="14">
        <v>46255.834733796299</v>
      </c>
      <c r="H755" t="s">
        <v>377</v>
      </c>
    </row>
    <row r="756" spans="1:8" ht="15" customHeight="1" x14ac:dyDescent="0.3">
      <c r="A756" t="s">
        <v>467</v>
      </c>
      <c r="B756" t="s">
        <v>468</v>
      </c>
      <c r="C756" t="s">
        <v>469</v>
      </c>
      <c r="D756" t="s">
        <v>439</v>
      </c>
      <c r="E756" t="s">
        <v>375</v>
      </c>
      <c r="F756" t="s">
        <v>376</v>
      </c>
      <c r="G756" s="14">
        <v>46255.833981481497</v>
      </c>
      <c r="H756" t="s">
        <v>377</v>
      </c>
    </row>
    <row r="757" spans="1:8" ht="15" customHeight="1" x14ac:dyDescent="0.3">
      <c r="A757" t="s">
        <v>452</v>
      </c>
      <c r="B757" t="s">
        <v>453</v>
      </c>
      <c r="C757" t="s">
        <v>454</v>
      </c>
      <c r="D757" t="s">
        <v>439</v>
      </c>
      <c r="E757" t="s">
        <v>375</v>
      </c>
      <c r="F757" t="s">
        <v>376</v>
      </c>
      <c r="G757" s="14">
        <v>46255.833935185197</v>
      </c>
      <c r="H757" t="s">
        <v>377</v>
      </c>
    </row>
    <row r="758" spans="1:8" ht="15" customHeight="1" x14ac:dyDescent="0.3">
      <c r="A758" t="s">
        <v>446</v>
      </c>
      <c r="B758" t="s">
        <v>447</v>
      </c>
      <c r="C758" t="s">
        <v>448</v>
      </c>
      <c r="D758" t="s">
        <v>439</v>
      </c>
      <c r="E758" t="s">
        <v>375</v>
      </c>
      <c r="F758" t="s">
        <v>376</v>
      </c>
      <c r="G758" s="14">
        <v>46255.833888888897</v>
      </c>
      <c r="H758" t="s">
        <v>377</v>
      </c>
    </row>
    <row r="759" spans="1:8" ht="15" customHeight="1" x14ac:dyDescent="0.3">
      <c r="A759" t="s">
        <v>493</v>
      </c>
      <c r="B759" t="s">
        <v>494</v>
      </c>
      <c r="C759" t="s">
        <v>495</v>
      </c>
      <c r="D759" t="s">
        <v>439</v>
      </c>
      <c r="E759" t="s">
        <v>375</v>
      </c>
      <c r="F759" t="s">
        <v>376</v>
      </c>
      <c r="G759" s="14">
        <v>46255.833796296298</v>
      </c>
      <c r="H759" t="s">
        <v>390</v>
      </c>
    </row>
    <row r="760" spans="1:8" ht="15" customHeight="1" x14ac:dyDescent="0.3">
      <c r="A760" t="s">
        <v>443</v>
      </c>
      <c r="B760" t="s">
        <v>444</v>
      </c>
      <c r="C760" t="s">
        <v>445</v>
      </c>
      <c r="D760" t="s">
        <v>439</v>
      </c>
      <c r="E760" t="s">
        <v>375</v>
      </c>
      <c r="F760" t="s">
        <v>376</v>
      </c>
      <c r="G760" s="14">
        <v>46255.8265046296</v>
      </c>
      <c r="H760" t="s">
        <v>377</v>
      </c>
    </row>
    <row r="761" spans="1:8" ht="15" customHeight="1" x14ac:dyDescent="0.3">
      <c r="A761" t="s">
        <v>436</v>
      </c>
      <c r="B761" t="s">
        <v>437</v>
      </c>
      <c r="C761" t="s">
        <v>438</v>
      </c>
      <c r="D761" t="s">
        <v>439</v>
      </c>
      <c r="E761" t="s">
        <v>375</v>
      </c>
      <c r="F761" t="s">
        <v>376</v>
      </c>
      <c r="G761" s="14">
        <v>46255.791273148199</v>
      </c>
      <c r="H761" t="s">
        <v>390</v>
      </c>
    </row>
    <row r="762" spans="1:8" ht="15" customHeight="1" x14ac:dyDescent="0.3">
      <c r="A762" t="s">
        <v>493</v>
      </c>
      <c r="B762" t="s">
        <v>494</v>
      </c>
      <c r="C762" t="s">
        <v>495</v>
      </c>
      <c r="D762" t="s">
        <v>439</v>
      </c>
      <c r="E762" t="s">
        <v>375</v>
      </c>
      <c r="F762" t="s">
        <v>376</v>
      </c>
      <c r="G762" s="14">
        <v>46255.762199074103</v>
      </c>
      <c r="H762" t="s">
        <v>377</v>
      </c>
    </row>
    <row r="763" spans="1:8" ht="15" customHeight="1" x14ac:dyDescent="0.3">
      <c r="A763" t="s">
        <v>482</v>
      </c>
      <c r="B763" t="s">
        <v>483</v>
      </c>
      <c r="C763" t="s">
        <v>484</v>
      </c>
      <c r="D763" t="s">
        <v>439</v>
      </c>
      <c r="E763" t="s">
        <v>375</v>
      </c>
      <c r="F763" t="s">
        <v>376</v>
      </c>
      <c r="G763" s="14">
        <v>46255.753333333298</v>
      </c>
      <c r="H763" t="s">
        <v>390</v>
      </c>
    </row>
    <row r="764" spans="1:8" ht="15" customHeight="1" x14ac:dyDescent="0.3">
      <c r="A764" t="s">
        <v>496</v>
      </c>
      <c r="B764" t="s">
        <v>497</v>
      </c>
      <c r="C764" t="s">
        <v>498</v>
      </c>
      <c r="D764" t="s">
        <v>439</v>
      </c>
      <c r="E764" t="s">
        <v>394</v>
      </c>
      <c r="F764" t="s">
        <v>376</v>
      </c>
      <c r="G764" s="14">
        <v>46255.752812500003</v>
      </c>
      <c r="H764" t="s">
        <v>390</v>
      </c>
    </row>
    <row r="765" spans="1:8" ht="15" customHeight="1" x14ac:dyDescent="0.3">
      <c r="A765" t="s">
        <v>508</v>
      </c>
      <c r="B765" t="s">
        <v>509</v>
      </c>
      <c r="C765" t="s">
        <v>510</v>
      </c>
      <c r="D765" t="s">
        <v>439</v>
      </c>
      <c r="E765" t="s">
        <v>394</v>
      </c>
      <c r="F765" t="s">
        <v>395</v>
      </c>
      <c r="G765" s="14">
        <v>46255.703125</v>
      </c>
      <c r="H765" t="s">
        <v>377</v>
      </c>
    </row>
    <row r="766" spans="1:8" ht="15" customHeight="1" x14ac:dyDescent="0.3">
      <c r="A766" t="s">
        <v>496</v>
      </c>
      <c r="B766" t="s">
        <v>497</v>
      </c>
      <c r="C766" t="s">
        <v>498</v>
      </c>
      <c r="D766" t="s">
        <v>439</v>
      </c>
      <c r="E766" t="s">
        <v>394</v>
      </c>
      <c r="F766" t="s">
        <v>376</v>
      </c>
      <c r="G766" s="14">
        <v>46255.427361111098</v>
      </c>
      <c r="H766" t="s">
        <v>390</v>
      </c>
    </row>
    <row r="767" spans="1:8" ht="15" customHeight="1" x14ac:dyDescent="0.3">
      <c r="A767" t="s">
        <v>505</v>
      </c>
      <c r="B767" t="s">
        <v>506</v>
      </c>
      <c r="C767" t="s">
        <v>507</v>
      </c>
      <c r="D767" t="s">
        <v>439</v>
      </c>
      <c r="E767" t="s">
        <v>478</v>
      </c>
      <c r="F767" t="s">
        <v>376</v>
      </c>
      <c r="G767" s="14">
        <v>46255.426018518498</v>
      </c>
      <c r="H767" t="s">
        <v>390</v>
      </c>
    </row>
    <row r="768" spans="1:8" ht="15" customHeight="1" x14ac:dyDescent="0.3">
      <c r="A768" t="s">
        <v>436</v>
      </c>
      <c r="B768" t="s">
        <v>437</v>
      </c>
      <c r="C768" t="s">
        <v>438</v>
      </c>
      <c r="D768" t="s">
        <v>439</v>
      </c>
      <c r="E768" t="s">
        <v>375</v>
      </c>
      <c r="F768" t="s">
        <v>376</v>
      </c>
      <c r="G768" s="14">
        <v>46255.371736111098</v>
      </c>
      <c r="H768" t="s">
        <v>390</v>
      </c>
    </row>
    <row r="769" spans="1:8" ht="15" customHeight="1" x14ac:dyDescent="0.3">
      <c r="A769" t="s">
        <v>499</v>
      </c>
      <c r="B769" t="s">
        <v>273</v>
      </c>
      <c r="C769" t="s">
        <v>500</v>
      </c>
      <c r="D769" t="s">
        <v>439</v>
      </c>
      <c r="E769" t="s">
        <v>501</v>
      </c>
      <c r="F769" t="s">
        <v>376</v>
      </c>
      <c r="G769" s="14">
        <v>46255.348136574103</v>
      </c>
      <c r="H769" t="s">
        <v>390</v>
      </c>
    </row>
    <row r="770" spans="1:8" ht="15" customHeight="1" x14ac:dyDescent="0.3">
      <c r="A770" t="s">
        <v>499</v>
      </c>
      <c r="B770" t="s">
        <v>273</v>
      </c>
      <c r="C770" t="s">
        <v>500</v>
      </c>
      <c r="D770" t="s">
        <v>439</v>
      </c>
      <c r="E770" t="s">
        <v>501</v>
      </c>
      <c r="F770" t="s">
        <v>376</v>
      </c>
      <c r="G770" s="14">
        <v>46255.347754629598</v>
      </c>
      <c r="H770" t="s">
        <v>390</v>
      </c>
    </row>
    <row r="771" spans="1:8" ht="15" customHeight="1" x14ac:dyDescent="0.3">
      <c r="A771" t="s">
        <v>491</v>
      </c>
      <c r="B771" t="s">
        <v>188</v>
      </c>
      <c r="C771" t="s">
        <v>492</v>
      </c>
      <c r="D771" t="s">
        <v>439</v>
      </c>
      <c r="E771" t="s">
        <v>375</v>
      </c>
      <c r="F771" t="s">
        <v>376</v>
      </c>
      <c r="G771" s="14">
        <v>46255.338252314803</v>
      </c>
      <c r="H771" t="s">
        <v>377</v>
      </c>
    </row>
    <row r="772" spans="1:8" ht="15" customHeight="1" x14ac:dyDescent="0.3">
      <c r="A772" t="s">
        <v>491</v>
      </c>
      <c r="B772" t="s">
        <v>188</v>
      </c>
      <c r="C772" t="s">
        <v>492</v>
      </c>
      <c r="D772" t="s">
        <v>439</v>
      </c>
      <c r="E772" t="s">
        <v>375</v>
      </c>
      <c r="F772" t="s">
        <v>376</v>
      </c>
      <c r="G772" s="14">
        <v>46255.337766203702</v>
      </c>
      <c r="H772" t="s">
        <v>377</v>
      </c>
    </row>
    <row r="773" spans="1:8" ht="15" customHeight="1" x14ac:dyDescent="0.3">
      <c r="A773" t="s">
        <v>470</v>
      </c>
      <c r="B773" t="s">
        <v>184</v>
      </c>
      <c r="C773" t="s">
        <v>471</v>
      </c>
      <c r="D773" t="s">
        <v>439</v>
      </c>
      <c r="E773" t="s">
        <v>375</v>
      </c>
      <c r="F773" t="s">
        <v>376</v>
      </c>
      <c r="G773" s="14">
        <v>46255.3374189815</v>
      </c>
      <c r="H773" t="s">
        <v>390</v>
      </c>
    </row>
    <row r="774" spans="1:8" ht="15" customHeight="1" x14ac:dyDescent="0.3">
      <c r="A774" t="s">
        <v>491</v>
      </c>
      <c r="B774" t="s">
        <v>188</v>
      </c>
      <c r="C774" t="s">
        <v>492</v>
      </c>
      <c r="D774" t="s">
        <v>439</v>
      </c>
      <c r="E774" t="s">
        <v>375</v>
      </c>
      <c r="F774" t="s">
        <v>376</v>
      </c>
      <c r="G774" s="14">
        <v>46255.337256944498</v>
      </c>
      <c r="H774" t="s">
        <v>377</v>
      </c>
    </row>
    <row r="775" spans="1:8" ht="15" customHeight="1" x14ac:dyDescent="0.3">
      <c r="A775" t="s">
        <v>502</v>
      </c>
      <c r="B775" t="s">
        <v>503</v>
      </c>
      <c r="C775" t="s">
        <v>504</v>
      </c>
      <c r="D775" t="s">
        <v>439</v>
      </c>
      <c r="E775" t="s">
        <v>375</v>
      </c>
      <c r="F775" t="s">
        <v>376</v>
      </c>
      <c r="G775" s="14">
        <v>46255.334918981498</v>
      </c>
      <c r="H775" t="s">
        <v>390</v>
      </c>
    </row>
    <row r="776" spans="1:8" ht="15" customHeight="1" x14ac:dyDescent="0.3">
      <c r="A776" t="s">
        <v>467</v>
      </c>
      <c r="B776" t="s">
        <v>468</v>
      </c>
      <c r="C776" t="s">
        <v>469</v>
      </c>
      <c r="D776" t="s">
        <v>439</v>
      </c>
      <c r="E776" t="s">
        <v>375</v>
      </c>
      <c r="F776" t="s">
        <v>376</v>
      </c>
      <c r="G776" s="14">
        <v>46255.333749999998</v>
      </c>
      <c r="H776" t="s">
        <v>390</v>
      </c>
    </row>
    <row r="777" spans="1:8" ht="15" customHeight="1" x14ac:dyDescent="0.3">
      <c r="A777" t="s">
        <v>449</v>
      </c>
      <c r="B777" t="s">
        <v>450</v>
      </c>
      <c r="C777" t="s">
        <v>451</v>
      </c>
      <c r="D777" t="s">
        <v>439</v>
      </c>
      <c r="E777" t="s">
        <v>375</v>
      </c>
      <c r="F777" t="s">
        <v>376</v>
      </c>
      <c r="G777" s="14">
        <v>46255.332326388903</v>
      </c>
      <c r="H777" t="s">
        <v>390</v>
      </c>
    </row>
    <row r="778" spans="1:8" ht="15" customHeight="1" x14ac:dyDescent="0.3">
      <c r="A778" t="s">
        <v>464</v>
      </c>
      <c r="B778" t="s">
        <v>465</v>
      </c>
      <c r="C778" t="s">
        <v>466</v>
      </c>
      <c r="D778" t="s">
        <v>439</v>
      </c>
      <c r="E778" t="s">
        <v>375</v>
      </c>
      <c r="F778" t="s">
        <v>376</v>
      </c>
      <c r="G778" s="14">
        <v>46255.3300578704</v>
      </c>
      <c r="H778" t="s">
        <v>390</v>
      </c>
    </row>
    <row r="779" spans="1:8" ht="15" customHeight="1" x14ac:dyDescent="0.3">
      <c r="A779" t="s">
        <v>512</v>
      </c>
      <c r="B779" t="s">
        <v>513</v>
      </c>
      <c r="C779" t="s">
        <v>514</v>
      </c>
      <c r="D779" t="s">
        <v>439</v>
      </c>
      <c r="E779" t="s">
        <v>375</v>
      </c>
      <c r="F779" t="s">
        <v>376</v>
      </c>
      <c r="G779" s="14">
        <v>46255.328333333302</v>
      </c>
      <c r="H779" t="s">
        <v>390</v>
      </c>
    </row>
    <row r="780" spans="1:8" ht="15" customHeight="1" x14ac:dyDescent="0.3">
      <c r="A780" t="s">
        <v>508</v>
      </c>
      <c r="B780" t="s">
        <v>509</v>
      </c>
      <c r="C780" t="s">
        <v>510</v>
      </c>
      <c r="D780" t="s">
        <v>439</v>
      </c>
      <c r="E780" t="s">
        <v>394</v>
      </c>
      <c r="F780" t="s">
        <v>395</v>
      </c>
      <c r="G780" s="14">
        <v>46255.325138888897</v>
      </c>
      <c r="H780" t="s">
        <v>390</v>
      </c>
    </row>
    <row r="781" spans="1:8" ht="15" customHeight="1" x14ac:dyDescent="0.3">
      <c r="A781" t="s">
        <v>452</v>
      </c>
      <c r="B781" t="s">
        <v>453</v>
      </c>
      <c r="C781" t="s">
        <v>454</v>
      </c>
      <c r="D781" t="s">
        <v>439</v>
      </c>
      <c r="E781" t="s">
        <v>375</v>
      </c>
      <c r="F781" t="s">
        <v>376</v>
      </c>
      <c r="G781" s="14">
        <v>46255.317777777796</v>
      </c>
      <c r="H781" t="s">
        <v>390</v>
      </c>
    </row>
    <row r="782" spans="1:8" ht="15" customHeight="1" x14ac:dyDescent="0.3">
      <c r="A782" t="s">
        <v>446</v>
      </c>
      <c r="B782" t="s">
        <v>447</v>
      </c>
      <c r="C782" t="s">
        <v>448</v>
      </c>
      <c r="D782" t="s">
        <v>439</v>
      </c>
      <c r="E782" t="s">
        <v>375</v>
      </c>
      <c r="F782" t="s">
        <v>376</v>
      </c>
      <c r="G782" s="14">
        <v>46255.317754629599</v>
      </c>
      <c r="H782" t="s">
        <v>390</v>
      </c>
    </row>
    <row r="783" spans="1:8" ht="15" customHeight="1" x14ac:dyDescent="0.3">
      <c r="A783" t="s">
        <v>485</v>
      </c>
      <c r="B783" t="s">
        <v>486</v>
      </c>
      <c r="C783" t="s">
        <v>487</v>
      </c>
      <c r="D783" t="s">
        <v>439</v>
      </c>
      <c r="E783" t="s">
        <v>394</v>
      </c>
      <c r="F783" t="s">
        <v>376</v>
      </c>
      <c r="G783" s="14">
        <v>46255.317442129599</v>
      </c>
      <c r="H783" t="s">
        <v>390</v>
      </c>
    </row>
    <row r="784" spans="1:8" ht="15" customHeight="1" x14ac:dyDescent="0.3">
      <c r="A784" t="s">
        <v>485</v>
      </c>
      <c r="B784" t="s">
        <v>486</v>
      </c>
      <c r="C784" t="s">
        <v>487</v>
      </c>
      <c r="D784" t="s">
        <v>439</v>
      </c>
      <c r="E784" t="s">
        <v>394</v>
      </c>
      <c r="F784" t="s">
        <v>376</v>
      </c>
      <c r="G784" s="14">
        <v>46255.317280092597</v>
      </c>
      <c r="H784" t="s">
        <v>390</v>
      </c>
    </row>
    <row r="785" spans="1:8" ht="15" customHeight="1" x14ac:dyDescent="0.3">
      <c r="A785" t="s">
        <v>443</v>
      </c>
      <c r="B785" t="s">
        <v>444</v>
      </c>
      <c r="C785" t="s">
        <v>445</v>
      </c>
      <c r="D785" t="s">
        <v>439</v>
      </c>
      <c r="E785" t="s">
        <v>375</v>
      </c>
      <c r="F785" t="s">
        <v>376</v>
      </c>
      <c r="G785" s="14">
        <v>46255.317222222198</v>
      </c>
      <c r="H785" t="s">
        <v>390</v>
      </c>
    </row>
    <row r="786" spans="1:8" ht="15" customHeight="1" x14ac:dyDescent="0.3">
      <c r="A786" t="s">
        <v>479</v>
      </c>
      <c r="B786" t="s">
        <v>480</v>
      </c>
      <c r="C786" t="s">
        <v>481</v>
      </c>
      <c r="D786" t="s">
        <v>439</v>
      </c>
      <c r="E786" t="s">
        <v>375</v>
      </c>
      <c r="F786" t="s">
        <v>376</v>
      </c>
      <c r="G786" s="14">
        <v>46255.314560185201</v>
      </c>
      <c r="H786" t="s">
        <v>390</v>
      </c>
    </row>
    <row r="787" spans="1:8" ht="15" customHeight="1" x14ac:dyDescent="0.3">
      <c r="A787" t="s">
        <v>505</v>
      </c>
      <c r="B787" t="s">
        <v>506</v>
      </c>
      <c r="C787" t="s">
        <v>507</v>
      </c>
      <c r="D787" t="s">
        <v>439</v>
      </c>
      <c r="E787" t="s">
        <v>478</v>
      </c>
      <c r="F787" t="s">
        <v>376</v>
      </c>
      <c r="G787" s="14">
        <v>46254.852523148198</v>
      </c>
      <c r="H787" t="s">
        <v>377</v>
      </c>
    </row>
    <row r="788" spans="1:8" ht="15" customHeight="1" x14ac:dyDescent="0.3">
      <c r="A788" t="s">
        <v>449</v>
      </c>
      <c r="B788" t="s">
        <v>450</v>
      </c>
      <c r="C788" t="s">
        <v>451</v>
      </c>
      <c r="D788" t="s">
        <v>439</v>
      </c>
      <c r="E788" t="s">
        <v>375</v>
      </c>
      <c r="F788" t="s">
        <v>376</v>
      </c>
      <c r="G788" s="14">
        <v>46254.843159722201</v>
      </c>
      <c r="H788" t="s">
        <v>377</v>
      </c>
    </row>
    <row r="789" spans="1:8" ht="15" customHeight="1" x14ac:dyDescent="0.3">
      <c r="A789" t="s">
        <v>464</v>
      </c>
      <c r="B789" t="s">
        <v>465</v>
      </c>
      <c r="C789" t="s">
        <v>466</v>
      </c>
      <c r="D789" t="s">
        <v>439</v>
      </c>
      <c r="E789" t="s">
        <v>375</v>
      </c>
      <c r="F789" t="s">
        <v>376</v>
      </c>
      <c r="G789" s="14">
        <v>46254.8387731482</v>
      </c>
      <c r="H789" t="s">
        <v>377</v>
      </c>
    </row>
    <row r="790" spans="1:8" ht="15" customHeight="1" x14ac:dyDescent="0.3">
      <c r="A790" t="s">
        <v>461</v>
      </c>
      <c r="B790" t="s">
        <v>462</v>
      </c>
      <c r="C790" t="s">
        <v>463</v>
      </c>
      <c r="D790" t="s">
        <v>439</v>
      </c>
      <c r="E790" t="s">
        <v>375</v>
      </c>
      <c r="F790" t="s">
        <v>376</v>
      </c>
      <c r="G790" s="14">
        <v>46254.836921296301</v>
      </c>
      <c r="H790" t="s">
        <v>377</v>
      </c>
    </row>
    <row r="791" spans="1:8" ht="15" customHeight="1" x14ac:dyDescent="0.3">
      <c r="A791" t="s">
        <v>446</v>
      </c>
      <c r="B791" t="s">
        <v>447</v>
      </c>
      <c r="C791" t="s">
        <v>448</v>
      </c>
      <c r="D791" t="s">
        <v>439</v>
      </c>
      <c r="E791" t="s">
        <v>375</v>
      </c>
      <c r="F791" t="s">
        <v>376</v>
      </c>
      <c r="G791" s="14">
        <v>46254.836111111101</v>
      </c>
      <c r="H791" t="s">
        <v>377</v>
      </c>
    </row>
    <row r="792" spans="1:8" ht="15" customHeight="1" x14ac:dyDescent="0.3">
      <c r="A792" t="s">
        <v>502</v>
      </c>
      <c r="B792" t="s">
        <v>503</v>
      </c>
      <c r="C792" t="s">
        <v>504</v>
      </c>
      <c r="D792" t="s">
        <v>439</v>
      </c>
      <c r="E792" t="s">
        <v>375</v>
      </c>
      <c r="F792" t="s">
        <v>376</v>
      </c>
      <c r="G792" s="14">
        <v>46254.835833333302</v>
      </c>
      <c r="H792" t="s">
        <v>377</v>
      </c>
    </row>
    <row r="793" spans="1:8" ht="15" customHeight="1" x14ac:dyDescent="0.3">
      <c r="A793" t="s">
        <v>512</v>
      </c>
      <c r="B793" t="s">
        <v>513</v>
      </c>
      <c r="C793" t="s">
        <v>514</v>
      </c>
      <c r="D793" t="s">
        <v>439</v>
      </c>
      <c r="E793" t="s">
        <v>375</v>
      </c>
      <c r="F793" t="s">
        <v>376</v>
      </c>
      <c r="G793" s="14">
        <v>46254.835763888899</v>
      </c>
      <c r="H793" t="s">
        <v>377</v>
      </c>
    </row>
    <row r="794" spans="1:8" ht="15" customHeight="1" x14ac:dyDescent="0.3">
      <c r="A794" t="s">
        <v>499</v>
      </c>
      <c r="B794" t="s">
        <v>273</v>
      </c>
      <c r="C794" t="s">
        <v>500</v>
      </c>
      <c r="D794" t="s">
        <v>439</v>
      </c>
      <c r="E794" t="s">
        <v>501</v>
      </c>
      <c r="F794" t="s">
        <v>376</v>
      </c>
      <c r="G794" s="14">
        <v>46254.834953703699</v>
      </c>
      <c r="H794" t="s">
        <v>377</v>
      </c>
    </row>
    <row r="795" spans="1:8" ht="15" customHeight="1" x14ac:dyDescent="0.3">
      <c r="A795" t="s">
        <v>443</v>
      </c>
      <c r="B795" t="s">
        <v>444</v>
      </c>
      <c r="C795" t="s">
        <v>445</v>
      </c>
      <c r="D795" t="s">
        <v>439</v>
      </c>
      <c r="E795" t="s">
        <v>375</v>
      </c>
      <c r="F795" t="s">
        <v>376</v>
      </c>
      <c r="G795" s="14">
        <v>46254.834479166697</v>
      </c>
      <c r="H795" t="s">
        <v>377</v>
      </c>
    </row>
    <row r="796" spans="1:8" ht="15" customHeight="1" x14ac:dyDescent="0.3">
      <c r="A796" t="s">
        <v>452</v>
      </c>
      <c r="B796" t="s">
        <v>453</v>
      </c>
      <c r="C796" t="s">
        <v>454</v>
      </c>
      <c r="D796" t="s">
        <v>439</v>
      </c>
      <c r="E796" t="s">
        <v>375</v>
      </c>
      <c r="F796" t="s">
        <v>376</v>
      </c>
      <c r="G796" s="14">
        <v>46254.834236111099</v>
      </c>
      <c r="H796" t="s">
        <v>377</v>
      </c>
    </row>
    <row r="797" spans="1:8" ht="15" customHeight="1" x14ac:dyDescent="0.3">
      <c r="A797" t="s">
        <v>482</v>
      </c>
      <c r="B797" t="s">
        <v>483</v>
      </c>
      <c r="C797" t="s">
        <v>484</v>
      </c>
      <c r="D797" t="s">
        <v>439</v>
      </c>
      <c r="E797" t="s">
        <v>375</v>
      </c>
      <c r="F797" t="s">
        <v>376</v>
      </c>
      <c r="G797" s="14">
        <v>46254.8339583333</v>
      </c>
      <c r="H797" t="s">
        <v>377</v>
      </c>
    </row>
    <row r="798" spans="1:8" ht="15" customHeight="1" x14ac:dyDescent="0.3">
      <c r="A798" t="s">
        <v>467</v>
      </c>
      <c r="B798" t="s">
        <v>468</v>
      </c>
      <c r="C798" t="s">
        <v>469</v>
      </c>
      <c r="D798" t="s">
        <v>439</v>
      </c>
      <c r="E798" t="s">
        <v>375</v>
      </c>
      <c r="F798" t="s">
        <v>376</v>
      </c>
      <c r="G798" s="14">
        <v>46254.833564814799</v>
      </c>
      <c r="H798" t="s">
        <v>377</v>
      </c>
    </row>
    <row r="799" spans="1:8" ht="15" customHeight="1" x14ac:dyDescent="0.3">
      <c r="A799" t="s">
        <v>479</v>
      </c>
      <c r="B799" t="s">
        <v>480</v>
      </c>
      <c r="C799" t="s">
        <v>481</v>
      </c>
      <c r="D799" t="s">
        <v>439</v>
      </c>
      <c r="E799" t="s">
        <v>375</v>
      </c>
      <c r="F799" t="s">
        <v>376</v>
      </c>
      <c r="G799" s="14">
        <v>46254.826087963003</v>
      </c>
      <c r="H799" t="s">
        <v>377</v>
      </c>
    </row>
    <row r="800" spans="1:8" ht="15" customHeight="1" x14ac:dyDescent="0.3">
      <c r="A800" t="s">
        <v>491</v>
      </c>
      <c r="B800" t="s">
        <v>188</v>
      </c>
      <c r="C800" t="s">
        <v>492</v>
      </c>
      <c r="D800" t="s">
        <v>439</v>
      </c>
      <c r="E800" t="s">
        <v>375</v>
      </c>
      <c r="F800" t="s">
        <v>376</v>
      </c>
      <c r="G800" s="14">
        <v>46254.817118055602</v>
      </c>
      <c r="H800" t="s">
        <v>390</v>
      </c>
    </row>
    <row r="801" spans="1:8" ht="15" customHeight="1" x14ac:dyDescent="0.3">
      <c r="A801" t="s">
        <v>508</v>
      </c>
      <c r="B801" t="s">
        <v>509</v>
      </c>
      <c r="C801" t="s">
        <v>510</v>
      </c>
      <c r="D801" t="s">
        <v>439</v>
      </c>
      <c r="E801" t="s">
        <v>394</v>
      </c>
      <c r="F801" t="s">
        <v>395</v>
      </c>
      <c r="G801" s="14">
        <v>46254.749849537002</v>
      </c>
      <c r="H801" t="s">
        <v>377</v>
      </c>
    </row>
    <row r="802" spans="1:8" ht="15" customHeight="1" x14ac:dyDescent="0.3">
      <c r="A802" t="s">
        <v>436</v>
      </c>
      <c r="B802" t="s">
        <v>437</v>
      </c>
      <c r="C802" t="s">
        <v>438</v>
      </c>
      <c r="D802" t="s">
        <v>439</v>
      </c>
      <c r="E802" t="s">
        <v>375</v>
      </c>
      <c r="F802" t="s">
        <v>376</v>
      </c>
      <c r="G802" s="14">
        <v>46254.695474537002</v>
      </c>
      <c r="H802" t="s">
        <v>390</v>
      </c>
    </row>
    <row r="803" spans="1:8" ht="15" customHeight="1" x14ac:dyDescent="0.3">
      <c r="A803" t="s">
        <v>449</v>
      </c>
      <c r="B803" t="s">
        <v>450</v>
      </c>
      <c r="C803" t="s">
        <v>451</v>
      </c>
      <c r="D803" t="s">
        <v>439</v>
      </c>
      <c r="E803" t="s">
        <v>375</v>
      </c>
      <c r="F803" t="s">
        <v>376</v>
      </c>
      <c r="G803" s="14">
        <v>46254.487685185202</v>
      </c>
      <c r="H803" t="s">
        <v>390</v>
      </c>
    </row>
    <row r="804" spans="1:8" ht="15" customHeight="1" x14ac:dyDescent="0.3">
      <c r="A804" t="s">
        <v>452</v>
      </c>
      <c r="B804" t="s">
        <v>453</v>
      </c>
      <c r="C804" t="s">
        <v>454</v>
      </c>
      <c r="D804" t="s">
        <v>439</v>
      </c>
      <c r="E804" t="s">
        <v>375</v>
      </c>
      <c r="F804" t="s">
        <v>376</v>
      </c>
      <c r="G804" s="14">
        <v>46254.464733796303</v>
      </c>
      <c r="H804" t="s">
        <v>390</v>
      </c>
    </row>
    <row r="805" spans="1:8" ht="15" customHeight="1" x14ac:dyDescent="0.3">
      <c r="A805" t="s">
        <v>482</v>
      </c>
      <c r="B805" t="s">
        <v>483</v>
      </c>
      <c r="C805" t="s">
        <v>484</v>
      </c>
      <c r="D805" t="s">
        <v>439</v>
      </c>
      <c r="E805" t="s">
        <v>375</v>
      </c>
      <c r="F805" t="s">
        <v>376</v>
      </c>
      <c r="G805" s="14">
        <v>46254.361527777801</v>
      </c>
      <c r="H805" t="s">
        <v>390</v>
      </c>
    </row>
    <row r="806" spans="1:8" ht="15" customHeight="1" x14ac:dyDescent="0.3">
      <c r="A806" t="s">
        <v>505</v>
      </c>
      <c r="B806" t="s">
        <v>506</v>
      </c>
      <c r="C806" t="s">
        <v>507</v>
      </c>
      <c r="D806" t="s">
        <v>439</v>
      </c>
      <c r="E806" t="s">
        <v>478</v>
      </c>
      <c r="F806" t="s">
        <v>376</v>
      </c>
      <c r="G806" s="14">
        <v>46254.336863425902</v>
      </c>
      <c r="H806" t="s">
        <v>390</v>
      </c>
    </row>
    <row r="807" spans="1:8" ht="15" customHeight="1" x14ac:dyDescent="0.3">
      <c r="A807" t="s">
        <v>512</v>
      </c>
      <c r="B807" t="s">
        <v>513</v>
      </c>
      <c r="C807" t="s">
        <v>514</v>
      </c>
      <c r="D807" t="s">
        <v>439</v>
      </c>
      <c r="E807" t="s">
        <v>375</v>
      </c>
      <c r="F807" t="s">
        <v>376</v>
      </c>
      <c r="G807" s="14">
        <v>46254.3336921296</v>
      </c>
      <c r="H807" t="s">
        <v>390</v>
      </c>
    </row>
    <row r="808" spans="1:8" ht="15" customHeight="1" x14ac:dyDescent="0.3">
      <c r="A808" t="s">
        <v>508</v>
      </c>
      <c r="B808" t="s">
        <v>509</v>
      </c>
      <c r="C808" t="s">
        <v>510</v>
      </c>
      <c r="D808" t="s">
        <v>439</v>
      </c>
      <c r="E808" t="s">
        <v>394</v>
      </c>
      <c r="F808" t="s">
        <v>395</v>
      </c>
      <c r="G808" s="14">
        <v>46254.325601851902</v>
      </c>
      <c r="H808" t="s">
        <v>390</v>
      </c>
    </row>
    <row r="809" spans="1:8" ht="15" customHeight="1" x14ac:dyDescent="0.3">
      <c r="A809" t="s">
        <v>502</v>
      </c>
      <c r="B809" t="s">
        <v>503</v>
      </c>
      <c r="C809" t="s">
        <v>504</v>
      </c>
      <c r="D809" t="s">
        <v>439</v>
      </c>
      <c r="E809" t="s">
        <v>375</v>
      </c>
      <c r="F809" t="s">
        <v>376</v>
      </c>
      <c r="G809" s="14">
        <v>46254.322326388901</v>
      </c>
      <c r="H809" t="s">
        <v>390</v>
      </c>
    </row>
    <row r="810" spans="1:8" ht="15" customHeight="1" x14ac:dyDescent="0.3">
      <c r="A810" t="s">
        <v>461</v>
      </c>
      <c r="B810" t="s">
        <v>462</v>
      </c>
      <c r="C810" t="s">
        <v>463</v>
      </c>
      <c r="D810" t="s">
        <v>439</v>
      </c>
      <c r="E810" t="s">
        <v>375</v>
      </c>
      <c r="F810" t="s">
        <v>376</v>
      </c>
      <c r="G810" s="14">
        <v>46254.319108796299</v>
      </c>
      <c r="H810" t="s">
        <v>390</v>
      </c>
    </row>
    <row r="811" spans="1:8" ht="15" customHeight="1" x14ac:dyDescent="0.3">
      <c r="A811" t="s">
        <v>482</v>
      </c>
      <c r="B811" t="s">
        <v>483</v>
      </c>
      <c r="C811" t="s">
        <v>484</v>
      </c>
      <c r="D811" t="s">
        <v>439</v>
      </c>
      <c r="E811" t="s">
        <v>375</v>
      </c>
      <c r="F811" t="s">
        <v>376</v>
      </c>
      <c r="G811" s="14">
        <v>46254.300115740698</v>
      </c>
      <c r="H811" t="s">
        <v>377</v>
      </c>
    </row>
    <row r="812" spans="1:8" ht="15" customHeight="1" x14ac:dyDescent="0.3">
      <c r="A812" t="s">
        <v>505</v>
      </c>
      <c r="B812" t="s">
        <v>506</v>
      </c>
      <c r="C812" t="s">
        <v>507</v>
      </c>
      <c r="D812" t="s">
        <v>439</v>
      </c>
      <c r="E812" t="s">
        <v>478</v>
      </c>
      <c r="F812" t="s">
        <v>376</v>
      </c>
      <c r="G812" s="14">
        <v>46253.956261574102</v>
      </c>
      <c r="H812" t="s">
        <v>377</v>
      </c>
    </row>
    <row r="813" spans="1:8" ht="15" customHeight="1" x14ac:dyDescent="0.3">
      <c r="A813" t="s">
        <v>461</v>
      </c>
      <c r="B813" t="s">
        <v>462</v>
      </c>
      <c r="C813" t="s">
        <v>463</v>
      </c>
      <c r="D813" t="s">
        <v>439</v>
      </c>
      <c r="E813" t="s">
        <v>375</v>
      </c>
      <c r="F813" t="s">
        <v>376</v>
      </c>
      <c r="G813" s="14">
        <v>46253.849236111098</v>
      </c>
      <c r="H813" t="s">
        <v>377</v>
      </c>
    </row>
    <row r="814" spans="1:8" ht="15" customHeight="1" x14ac:dyDescent="0.3">
      <c r="A814" t="s">
        <v>502</v>
      </c>
      <c r="B814" t="s">
        <v>503</v>
      </c>
      <c r="C814" t="s">
        <v>504</v>
      </c>
      <c r="D814" t="s">
        <v>439</v>
      </c>
      <c r="E814" t="s">
        <v>375</v>
      </c>
      <c r="F814" t="s">
        <v>376</v>
      </c>
      <c r="G814" s="14">
        <v>46253.835752314801</v>
      </c>
      <c r="H814" t="s">
        <v>377</v>
      </c>
    </row>
    <row r="815" spans="1:8" ht="15" customHeight="1" x14ac:dyDescent="0.3">
      <c r="A815" t="s">
        <v>508</v>
      </c>
      <c r="B815" t="s">
        <v>509</v>
      </c>
      <c r="C815" t="s">
        <v>510</v>
      </c>
      <c r="D815" t="s">
        <v>439</v>
      </c>
      <c r="E815" t="s">
        <v>394</v>
      </c>
      <c r="F815" t="s">
        <v>395</v>
      </c>
      <c r="G815" s="14">
        <v>46253.752731481502</v>
      </c>
      <c r="H815" t="s">
        <v>377</v>
      </c>
    </row>
    <row r="816" spans="1:8" ht="15" customHeight="1" x14ac:dyDescent="0.3">
      <c r="A816" t="s">
        <v>505</v>
      </c>
      <c r="B816" t="s">
        <v>506</v>
      </c>
      <c r="C816" t="s">
        <v>507</v>
      </c>
      <c r="D816" t="s">
        <v>439</v>
      </c>
      <c r="E816" t="s">
        <v>478</v>
      </c>
      <c r="F816" t="s">
        <v>376</v>
      </c>
      <c r="G816" s="14">
        <v>46253.501967592601</v>
      </c>
      <c r="H816" t="s">
        <v>390</v>
      </c>
    </row>
    <row r="817" spans="1:8" ht="15" customHeight="1" x14ac:dyDescent="0.3">
      <c r="A817" t="s">
        <v>482</v>
      </c>
      <c r="B817" t="s">
        <v>483</v>
      </c>
      <c r="C817" t="s">
        <v>484</v>
      </c>
      <c r="D817" t="s">
        <v>439</v>
      </c>
      <c r="E817" t="s">
        <v>375</v>
      </c>
      <c r="F817" t="s">
        <v>376</v>
      </c>
      <c r="G817" s="14">
        <v>46253.409166666701</v>
      </c>
      <c r="H817" t="s">
        <v>390</v>
      </c>
    </row>
    <row r="818" spans="1:8" ht="15" customHeight="1" x14ac:dyDescent="0.3">
      <c r="A818" t="s">
        <v>502</v>
      </c>
      <c r="B818" t="s">
        <v>503</v>
      </c>
      <c r="C818" t="s">
        <v>504</v>
      </c>
      <c r="D818" t="s">
        <v>439</v>
      </c>
      <c r="E818" t="s">
        <v>375</v>
      </c>
      <c r="F818" t="s">
        <v>376</v>
      </c>
      <c r="G818" s="14">
        <v>46253.330277777801</v>
      </c>
      <c r="H818" t="s">
        <v>390</v>
      </c>
    </row>
    <row r="819" spans="1:8" ht="15" customHeight="1" x14ac:dyDescent="0.3">
      <c r="A819" t="s">
        <v>512</v>
      </c>
      <c r="B819" t="s">
        <v>513</v>
      </c>
      <c r="C819" t="s">
        <v>514</v>
      </c>
      <c r="D819" t="s">
        <v>439</v>
      </c>
      <c r="E819" t="s">
        <v>375</v>
      </c>
      <c r="F819" t="s">
        <v>376</v>
      </c>
      <c r="G819" s="14">
        <v>46253.330127314803</v>
      </c>
      <c r="H819" t="s">
        <v>390</v>
      </c>
    </row>
    <row r="820" spans="1:8" ht="15" customHeight="1" x14ac:dyDescent="0.3">
      <c r="A820" t="s">
        <v>461</v>
      </c>
      <c r="B820" t="s">
        <v>462</v>
      </c>
      <c r="C820" t="s">
        <v>463</v>
      </c>
      <c r="D820" t="s">
        <v>439</v>
      </c>
      <c r="E820" t="s">
        <v>375</v>
      </c>
      <c r="F820" t="s">
        <v>376</v>
      </c>
      <c r="G820" s="14">
        <v>46253.329305555599</v>
      </c>
      <c r="H820" t="s">
        <v>390</v>
      </c>
    </row>
    <row r="821" spans="1:8" ht="15" customHeight="1" x14ac:dyDescent="0.3">
      <c r="A821" t="s">
        <v>508</v>
      </c>
      <c r="B821" t="s">
        <v>509</v>
      </c>
      <c r="C821" t="s">
        <v>510</v>
      </c>
      <c r="D821" t="s">
        <v>439</v>
      </c>
      <c r="E821" t="s">
        <v>394</v>
      </c>
      <c r="F821" t="s">
        <v>395</v>
      </c>
      <c r="G821" s="14">
        <v>46253.324155092603</v>
      </c>
      <c r="H821" t="s">
        <v>390</v>
      </c>
    </row>
    <row r="822" spans="1:8" ht="15" customHeight="1" x14ac:dyDescent="0.3">
      <c r="A822" t="s">
        <v>515</v>
      </c>
      <c r="B822" t="s">
        <v>211</v>
      </c>
      <c r="C822" t="s">
        <v>516</v>
      </c>
      <c r="D822" t="s">
        <v>439</v>
      </c>
      <c r="E822" t="s">
        <v>375</v>
      </c>
      <c r="F822" t="s">
        <v>395</v>
      </c>
      <c r="G822" s="14">
        <v>46253.300069444398</v>
      </c>
      <c r="H822" t="s">
        <v>390</v>
      </c>
    </row>
    <row r="823" spans="1:8" ht="15" customHeight="1" x14ac:dyDescent="0.3">
      <c r="A823" t="s">
        <v>517</v>
      </c>
      <c r="B823" t="s">
        <v>197</v>
      </c>
      <c r="C823" t="s">
        <v>518</v>
      </c>
      <c r="D823" t="s">
        <v>439</v>
      </c>
      <c r="E823" t="s">
        <v>501</v>
      </c>
      <c r="F823" t="s">
        <v>376</v>
      </c>
      <c r="G823" s="14">
        <v>46252.946504629603</v>
      </c>
      <c r="H823" t="s">
        <v>377</v>
      </c>
    </row>
    <row r="824" spans="1:8" ht="15" customHeight="1" x14ac:dyDescent="0.3">
      <c r="A824" t="s">
        <v>519</v>
      </c>
      <c r="B824" t="s">
        <v>520</v>
      </c>
      <c r="C824" t="s">
        <v>521</v>
      </c>
      <c r="D824" t="s">
        <v>439</v>
      </c>
      <c r="E824" t="s">
        <v>375</v>
      </c>
      <c r="F824" t="s">
        <v>376</v>
      </c>
      <c r="G824" s="14">
        <v>46252.869016203702</v>
      </c>
      <c r="H824" t="s">
        <v>377</v>
      </c>
    </row>
    <row r="825" spans="1:8" ht="15" customHeight="1" x14ac:dyDescent="0.3">
      <c r="A825" t="s">
        <v>461</v>
      </c>
      <c r="B825" t="s">
        <v>462</v>
      </c>
      <c r="C825" t="s">
        <v>463</v>
      </c>
      <c r="D825" t="s">
        <v>439</v>
      </c>
      <c r="E825" t="s">
        <v>375</v>
      </c>
      <c r="F825" t="s">
        <v>376</v>
      </c>
      <c r="G825" s="14">
        <v>46252.854733796303</v>
      </c>
      <c r="H825" t="s">
        <v>377</v>
      </c>
    </row>
    <row r="826" spans="1:8" ht="15" customHeight="1" x14ac:dyDescent="0.3">
      <c r="A826" t="s">
        <v>522</v>
      </c>
      <c r="B826" t="s">
        <v>523</v>
      </c>
      <c r="C826" t="s">
        <v>524</v>
      </c>
      <c r="D826" t="s">
        <v>439</v>
      </c>
      <c r="E826" t="s">
        <v>394</v>
      </c>
      <c r="F826" t="s">
        <v>376</v>
      </c>
      <c r="G826" s="14">
        <v>46252.843854166698</v>
      </c>
      <c r="H826" t="s">
        <v>377</v>
      </c>
    </row>
    <row r="827" spans="1:8" ht="15" customHeight="1" x14ac:dyDescent="0.3">
      <c r="A827" t="s">
        <v>505</v>
      </c>
      <c r="B827" t="s">
        <v>506</v>
      </c>
      <c r="C827" t="s">
        <v>507</v>
      </c>
      <c r="D827" t="s">
        <v>439</v>
      </c>
      <c r="E827" t="s">
        <v>478</v>
      </c>
      <c r="F827" t="s">
        <v>376</v>
      </c>
      <c r="G827" s="14">
        <v>46252.842719907399</v>
      </c>
      <c r="H827" t="s">
        <v>377</v>
      </c>
    </row>
    <row r="828" spans="1:8" ht="15" customHeight="1" x14ac:dyDescent="0.3">
      <c r="A828" t="s">
        <v>512</v>
      </c>
      <c r="B828" t="s">
        <v>513</v>
      </c>
      <c r="C828" t="s">
        <v>514</v>
      </c>
      <c r="D828" t="s">
        <v>439</v>
      </c>
      <c r="E828" t="s">
        <v>375</v>
      </c>
      <c r="F828" t="s">
        <v>376</v>
      </c>
      <c r="G828" s="14">
        <v>46252.842037037</v>
      </c>
      <c r="H828" t="s">
        <v>377</v>
      </c>
    </row>
    <row r="829" spans="1:8" ht="15" customHeight="1" x14ac:dyDescent="0.3">
      <c r="A829" t="s">
        <v>502</v>
      </c>
      <c r="B829" t="s">
        <v>503</v>
      </c>
      <c r="C829" t="s">
        <v>504</v>
      </c>
      <c r="D829" t="s">
        <v>439</v>
      </c>
      <c r="E829" t="s">
        <v>375</v>
      </c>
      <c r="F829" t="s">
        <v>376</v>
      </c>
      <c r="G829" s="14">
        <v>46252.841516203698</v>
      </c>
      <c r="H829" t="s">
        <v>377</v>
      </c>
    </row>
    <row r="830" spans="1:8" ht="15" customHeight="1" x14ac:dyDescent="0.3">
      <c r="A830" t="s">
        <v>525</v>
      </c>
      <c r="B830" t="s">
        <v>526</v>
      </c>
      <c r="C830" t="s">
        <v>527</v>
      </c>
      <c r="D830" t="s">
        <v>439</v>
      </c>
      <c r="E830" t="s">
        <v>375</v>
      </c>
      <c r="F830" t="s">
        <v>376</v>
      </c>
      <c r="G830" s="14">
        <v>46252.366597222201</v>
      </c>
      <c r="H830" t="s">
        <v>377</v>
      </c>
    </row>
    <row r="831" spans="1:8" ht="15" customHeight="1" x14ac:dyDescent="0.3">
      <c r="A831" t="s">
        <v>522</v>
      </c>
      <c r="B831" t="s">
        <v>523</v>
      </c>
      <c r="C831" t="s">
        <v>524</v>
      </c>
      <c r="D831" t="s">
        <v>439</v>
      </c>
      <c r="E831" t="s">
        <v>394</v>
      </c>
      <c r="F831" t="s">
        <v>376</v>
      </c>
      <c r="G831" s="14">
        <v>46252.366365740701</v>
      </c>
      <c r="H831" t="s">
        <v>390</v>
      </c>
    </row>
    <row r="832" spans="1:8" ht="15" customHeight="1" x14ac:dyDescent="0.3">
      <c r="A832" t="s">
        <v>528</v>
      </c>
      <c r="B832" t="s">
        <v>529</v>
      </c>
      <c r="C832" t="s">
        <v>530</v>
      </c>
      <c r="D832" t="s">
        <v>439</v>
      </c>
      <c r="E832" t="s">
        <v>375</v>
      </c>
      <c r="F832" t="s">
        <v>376</v>
      </c>
      <c r="G832" s="14">
        <v>46252.366319444503</v>
      </c>
      <c r="H832" t="s">
        <v>377</v>
      </c>
    </row>
    <row r="833" spans="1:8" ht="15" customHeight="1" x14ac:dyDescent="0.3">
      <c r="A833" t="s">
        <v>517</v>
      </c>
      <c r="B833" t="s">
        <v>197</v>
      </c>
      <c r="C833" t="s">
        <v>518</v>
      </c>
      <c r="D833" t="s">
        <v>439</v>
      </c>
      <c r="E833" t="s">
        <v>501</v>
      </c>
      <c r="F833" t="s">
        <v>376</v>
      </c>
      <c r="G833" s="14">
        <v>46252.352361111101</v>
      </c>
      <c r="H833" t="s">
        <v>390</v>
      </c>
    </row>
    <row r="834" spans="1:8" ht="15" customHeight="1" x14ac:dyDescent="0.3">
      <c r="A834" t="s">
        <v>502</v>
      </c>
      <c r="B834" t="s">
        <v>503</v>
      </c>
      <c r="C834" t="s">
        <v>504</v>
      </c>
      <c r="D834" t="s">
        <v>439</v>
      </c>
      <c r="E834" t="s">
        <v>375</v>
      </c>
      <c r="F834" t="s">
        <v>376</v>
      </c>
      <c r="G834" s="14">
        <v>46252.330763888902</v>
      </c>
      <c r="H834" t="s">
        <v>390</v>
      </c>
    </row>
    <row r="835" spans="1:8" ht="15" customHeight="1" x14ac:dyDescent="0.3">
      <c r="A835" t="s">
        <v>512</v>
      </c>
      <c r="B835" t="s">
        <v>513</v>
      </c>
      <c r="C835" t="s">
        <v>514</v>
      </c>
      <c r="D835" t="s">
        <v>439</v>
      </c>
      <c r="E835" t="s">
        <v>375</v>
      </c>
      <c r="F835" t="s">
        <v>376</v>
      </c>
      <c r="G835" s="14">
        <v>46252.330671296302</v>
      </c>
      <c r="H835" t="s">
        <v>390</v>
      </c>
    </row>
    <row r="836" spans="1:8" ht="15" customHeight="1" x14ac:dyDescent="0.3">
      <c r="A836" t="s">
        <v>461</v>
      </c>
      <c r="B836" t="s">
        <v>462</v>
      </c>
      <c r="C836" t="s">
        <v>463</v>
      </c>
      <c r="D836" t="s">
        <v>439</v>
      </c>
      <c r="E836" t="s">
        <v>375</v>
      </c>
      <c r="F836" t="s">
        <v>376</v>
      </c>
      <c r="G836" s="14">
        <v>46252.326886574097</v>
      </c>
      <c r="H836" t="s">
        <v>390</v>
      </c>
    </row>
    <row r="837" spans="1:8" ht="15" customHeight="1" x14ac:dyDescent="0.3">
      <c r="A837" t="s">
        <v>531</v>
      </c>
      <c r="B837" t="s">
        <v>532</v>
      </c>
      <c r="C837" t="s">
        <v>533</v>
      </c>
      <c r="D837" t="s">
        <v>439</v>
      </c>
      <c r="E837" t="s">
        <v>394</v>
      </c>
      <c r="F837" t="s">
        <v>376</v>
      </c>
      <c r="G837" s="14">
        <v>46252.323715277802</v>
      </c>
      <c r="H837" t="s">
        <v>390</v>
      </c>
    </row>
    <row r="838" spans="1:8" ht="15" customHeight="1" x14ac:dyDescent="0.3">
      <c r="A838" t="s">
        <v>534</v>
      </c>
      <c r="B838" t="s">
        <v>535</v>
      </c>
      <c r="C838" t="s">
        <v>536</v>
      </c>
      <c r="D838" t="s">
        <v>439</v>
      </c>
      <c r="E838" t="s">
        <v>375</v>
      </c>
      <c r="F838" t="s">
        <v>376</v>
      </c>
      <c r="G838" s="14">
        <v>46252.323275463001</v>
      </c>
      <c r="H838" t="s">
        <v>390</v>
      </c>
    </row>
    <row r="839" spans="1:8" ht="15" customHeight="1" x14ac:dyDescent="0.3">
      <c r="A839" t="s">
        <v>519</v>
      </c>
      <c r="B839" t="s">
        <v>520</v>
      </c>
      <c r="C839" t="s">
        <v>521</v>
      </c>
      <c r="D839" t="s">
        <v>439</v>
      </c>
      <c r="E839" t="s">
        <v>375</v>
      </c>
      <c r="F839" t="s">
        <v>376</v>
      </c>
      <c r="G839" s="14">
        <v>46252.261585648201</v>
      </c>
      <c r="H839" t="s">
        <v>390</v>
      </c>
    </row>
    <row r="840" spans="1:8" ht="15" customHeight="1" x14ac:dyDescent="0.3">
      <c r="A840" t="s">
        <v>537</v>
      </c>
      <c r="B840" t="s">
        <v>538</v>
      </c>
      <c r="C840" t="s">
        <v>539</v>
      </c>
      <c r="D840" t="s">
        <v>439</v>
      </c>
      <c r="E840" t="s">
        <v>375</v>
      </c>
      <c r="F840" t="s">
        <v>376</v>
      </c>
      <c r="G840" s="14">
        <v>46251.865231481497</v>
      </c>
      <c r="H840" t="s">
        <v>390</v>
      </c>
    </row>
    <row r="841" spans="1:8" ht="15" customHeight="1" x14ac:dyDescent="0.3">
      <c r="A841" t="s">
        <v>534</v>
      </c>
      <c r="B841" t="s">
        <v>535</v>
      </c>
      <c r="C841" t="s">
        <v>536</v>
      </c>
      <c r="D841" t="s">
        <v>439</v>
      </c>
      <c r="E841" t="s">
        <v>375</v>
      </c>
      <c r="F841" t="s">
        <v>376</v>
      </c>
      <c r="G841" s="14">
        <v>46251.864687499998</v>
      </c>
      <c r="H841" t="s">
        <v>377</v>
      </c>
    </row>
    <row r="842" spans="1:8" ht="15" customHeight="1" x14ac:dyDescent="0.3">
      <c r="A842" t="s">
        <v>540</v>
      </c>
      <c r="B842" t="s">
        <v>541</v>
      </c>
      <c r="C842" t="s">
        <v>542</v>
      </c>
      <c r="D842" t="s">
        <v>439</v>
      </c>
      <c r="E842" t="s">
        <v>375</v>
      </c>
      <c r="F842" t="s">
        <v>376</v>
      </c>
      <c r="G842" s="14">
        <v>46251.841539351903</v>
      </c>
      <c r="H842" t="s">
        <v>377</v>
      </c>
    </row>
    <row r="843" spans="1:8" ht="15" customHeight="1" x14ac:dyDescent="0.3">
      <c r="A843" t="s">
        <v>543</v>
      </c>
      <c r="B843" t="s">
        <v>544</v>
      </c>
      <c r="C843" t="s">
        <v>545</v>
      </c>
      <c r="D843" t="s">
        <v>439</v>
      </c>
      <c r="E843" t="s">
        <v>375</v>
      </c>
      <c r="F843" t="s">
        <v>376</v>
      </c>
      <c r="G843" s="14">
        <v>46251.841412037</v>
      </c>
      <c r="H843" t="s">
        <v>377</v>
      </c>
    </row>
    <row r="844" spans="1:8" ht="15" customHeight="1" x14ac:dyDescent="0.3">
      <c r="A844" t="s">
        <v>543</v>
      </c>
      <c r="B844" t="s">
        <v>544</v>
      </c>
      <c r="C844" t="s">
        <v>545</v>
      </c>
      <c r="D844" t="s">
        <v>439</v>
      </c>
      <c r="E844" t="s">
        <v>375</v>
      </c>
      <c r="F844" t="s">
        <v>376</v>
      </c>
      <c r="G844" s="14">
        <v>46251.841238425899</v>
      </c>
      <c r="H844" t="s">
        <v>377</v>
      </c>
    </row>
    <row r="845" spans="1:8" ht="15" customHeight="1" x14ac:dyDescent="0.3">
      <c r="A845" t="s">
        <v>525</v>
      </c>
      <c r="B845" t="s">
        <v>526</v>
      </c>
      <c r="C845" t="s">
        <v>527</v>
      </c>
      <c r="D845" t="s">
        <v>439</v>
      </c>
      <c r="E845" t="s">
        <v>375</v>
      </c>
      <c r="F845" t="s">
        <v>376</v>
      </c>
      <c r="G845" s="14">
        <v>46251.841064814798</v>
      </c>
      <c r="H845" t="s">
        <v>390</v>
      </c>
    </row>
    <row r="846" spans="1:8" ht="15" customHeight="1" x14ac:dyDescent="0.3">
      <c r="A846" t="s">
        <v>517</v>
      </c>
      <c r="B846" t="s">
        <v>197</v>
      </c>
      <c r="C846" t="s">
        <v>518</v>
      </c>
      <c r="D846" t="s">
        <v>439</v>
      </c>
      <c r="E846" t="s">
        <v>501</v>
      </c>
      <c r="F846" t="s">
        <v>376</v>
      </c>
      <c r="G846" s="14">
        <v>46251.838125000002</v>
      </c>
      <c r="H846" t="s">
        <v>377</v>
      </c>
    </row>
    <row r="847" spans="1:8" ht="15" customHeight="1" x14ac:dyDescent="0.3">
      <c r="A847" t="s">
        <v>461</v>
      </c>
      <c r="B847" t="s">
        <v>462</v>
      </c>
      <c r="C847" t="s">
        <v>463</v>
      </c>
      <c r="D847" t="s">
        <v>439</v>
      </c>
      <c r="E847" t="s">
        <v>375</v>
      </c>
      <c r="F847" t="s">
        <v>376</v>
      </c>
      <c r="G847" s="14">
        <v>46251.836319444497</v>
      </c>
      <c r="H847" t="s">
        <v>377</v>
      </c>
    </row>
    <row r="848" spans="1:8" ht="15" customHeight="1" x14ac:dyDescent="0.3">
      <c r="A848" t="s">
        <v>512</v>
      </c>
      <c r="B848" t="s">
        <v>513</v>
      </c>
      <c r="C848" t="s">
        <v>514</v>
      </c>
      <c r="D848" t="s">
        <v>439</v>
      </c>
      <c r="E848" t="s">
        <v>375</v>
      </c>
      <c r="F848" t="s">
        <v>376</v>
      </c>
      <c r="G848" s="14">
        <v>46251.835914351897</v>
      </c>
      <c r="H848" t="s">
        <v>377</v>
      </c>
    </row>
    <row r="849" spans="1:8" ht="15" customHeight="1" x14ac:dyDescent="0.3">
      <c r="A849" t="s">
        <v>519</v>
      </c>
      <c r="B849" t="s">
        <v>520</v>
      </c>
      <c r="C849" t="s">
        <v>521</v>
      </c>
      <c r="D849" t="s">
        <v>439</v>
      </c>
      <c r="E849" t="s">
        <v>375</v>
      </c>
      <c r="F849" t="s">
        <v>376</v>
      </c>
      <c r="G849" s="14">
        <v>46251.834791666697</v>
      </c>
      <c r="H849" t="s">
        <v>377</v>
      </c>
    </row>
    <row r="850" spans="1:8" ht="15" customHeight="1" x14ac:dyDescent="0.3">
      <c r="A850" t="s">
        <v>546</v>
      </c>
      <c r="B850" t="s">
        <v>547</v>
      </c>
      <c r="C850" t="s">
        <v>548</v>
      </c>
      <c r="D850" t="s">
        <v>439</v>
      </c>
      <c r="E850" t="s">
        <v>375</v>
      </c>
      <c r="F850" t="s">
        <v>376</v>
      </c>
      <c r="G850" s="14">
        <v>46251.833993055603</v>
      </c>
      <c r="H850" t="s">
        <v>377</v>
      </c>
    </row>
    <row r="851" spans="1:8" ht="15" customHeight="1" x14ac:dyDescent="0.3">
      <c r="A851" t="s">
        <v>522</v>
      </c>
      <c r="B851" t="s">
        <v>523</v>
      </c>
      <c r="C851" t="s">
        <v>524</v>
      </c>
      <c r="D851" t="s">
        <v>439</v>
      </c>
      <c r="E851" t="s">
        <v>394</v>
      </c>
      <c r="F851" t="s">
        <v>376</v>
      </c>
      <c r="G851" s="14">
        <v>46251.833773148202</v>
      </c>
      <c r="H851" t="s">
        <v>377</v>
      </c>
    </row>
    <row r="852" spans="1:8" ht="15" customHeight="1" x14ac:dyDescent="0.3">
      <c r="A852" t="s">
        <v>505</v>
      </c>
      <c r="B852" t="s">
        <v>506</v>
      </c>
      <c r="C852" t="s">
        <v>507</v>
      </c>
      <c r="D852" t="s">
        <v>439</v>
      </c>
      <c r="E852" t="s">
        <v>478</v>
      </c>
      <c r="F852" t="s">
        <v>376</v>
      </c>
      <c r="G852" s="14">
        <v>46251.833761574097</v>
      </c>
      <c r="H852" t="s">
        <v>377</v>
      </c>
    </row>
    <row r="853" spans="1:8" ht="15" customHeight="1" x14ac:dyDescent="0.3">
      <c r="A853" t="s">
        <v>502</v>
      </c>
      <c r="B853" t="s">
        <v>503</v>
      </c>
      <c r="C853" t="s">
        <v>504</v>
      </c>
      <c r="D853" t="s">
        <v>439</v>
      </c>
      <c r="E853" t="s">
        <v>375</v>
      </c>
      <c r="F853" t="s">
        <v>376</v>
      </c>
      <c r="G853" s="14">
        <v>46251.833680555603</v>
      </c>
      <c r="H853" t="s">
        <v>377</v>
      </c>
    </row>
    <row r="854" spans="1:8" ht="15" customHeight="1" x14ac:dyDescent="0.3">
      <c r="A854" t="s">
        <v>517</v>
      </c>
      <c r="B854" t="s">
        <v>197</v>
      </c>
      <c r="C854" t="s">
        <v>518</v>
      </c>
      <c r="D854" t="s">
        <v>439</v>
      </c>
      <c r="E854" t="s">
        <v>501</v>
      </c>
      <c r="F854" t="s">
        <v>376</v>
      </c>
      <c r="G854" s="14">
        <v>46251.400520833296</v>
      </c>
      <c r="H854" t="s">
        <v>390</v>
      </c>
    </row>
    <row r="855" spans="1:8" ht="15" customHeight="1" x14ac:dyDescent="0.3">
      <c r="A855" t="s">
        <v>549</v>
      </c>
      <c r="B855" t="s">
        <v>550</v>
      </c>
      <c r="C855" t="s">
        <v>551</v>
      </c>
      <c r="D855" t="s">
        <v>439</v>
      </c>
      <c r="E855" t="s">
        <v>375</v>
      </c>
      <c r="F855" t="s">
        <v>376</v>
      </c>
      <c r="G855" s="14">
        <v>46251.3352199074</v>
      </c>
      <c r="H855" t="s">
        <v>377</v>
      </c>
    </row>
    <row r="856" spans="1:8" ht="15" customHeight="1" x14ac:dyDescent="0.3">
      <c r="A856" t="s">
        <v>537</v>
      </c>
      <c r="B856" t="s">
        <v>538</v>
      </c>
      <c r="C856" t="s">
        <v>539</v>
      </c>
      <c r="D856" t="s">
        <v>439</v>
      </c>
      <c r="E856" t="s">
        <v>375</v>
      </c>
      <c r="F856" t="s">
        <v>376</v>
      </c>
      <c r="G856" s="14">
        <v>46251.334965277798</v>
      </c>
      <c r="H856" t="s">
        <v>377</v>
      </c>
    </row>
    <row r="857" spans="1:8" ht="15" customHeight="1" x14ac:dyDescent="0.3">
      <c r="A857" t="s">
        <v>528</v>
      </c>
      <c r="B857" t="s">
        <v>529</v>
      </c>
      <c r="C857" t="s">
        <v>530</v>
      </c>
      <c r="D857" t="s">
        <v>439</v>
      </c>
      <c r="E857" t="s">
        <v>375</v>
      </c>
      <c r="F857" t="s">
        <v>376</v>
      </c>
      <c r="G857" s="14">
        <v>46251.334421296298</v>
      </c>
      <c r="H857" t="s">
        <v>377</v>
      </c>
    </row>
    <row r="858" spans="1:8" ht="15" customHeight="1" x14ac:dyDescent="0.3">
      <c r="A858" t="s">
        <v>525</v>
      </c>
      <c r="B858" t="s">
        <v>526</v>
      </c>
      <c r="C858" t="s">
        <v>527</v>
      </c>
      <c r="D858" t="s">
        <v>439</v>
      </c>
      <c r="E858" t="s">
        <v>375</v>
      </c>
      <c r="F858" t="s">
        <v>376</v>
      </c>
      <c r="G858" s="14">
        <v>46251.334097222199</v>
      </c>
      <c r="H858" t="s">
        <v>377</v>
      </c>
    </row>
    <row r="859" spans="1:8" ht="15" customHeight="1" x14ac:dyDescent="0.3">
      <c r="A859" t="s">
        <v>505</v>
      </c>
      <c r="B859" t="s">
        <v>506</v>
      </c>
      <c r="C859" t="s">
        <v>507</v>
      </c>
      <c r="D859" t="s">
        <v>439</v>
      </c>
      <c r="E859" t="s">
        <v>478</v>
      </c>
      <c r="F859" t="s">
        <v>376</v>
      </c>
      <c r="G859" s="14">
        <v>46251.3340046296</v>
      </c>
      <c r="H859" t="s">
        <v>390</v>
      </c>
    </row>
    <row r="860" spans="1:8" ht="15" customHeight="1" x14ac:dyDescent="0.3">
      <c r="A860" t="s">
        <v>546</v>
      </c>
      <c r="B860" t="s">
        <v>547</v>
      </c>
      <c r="C860" t="s">
        <v>548</v>
      </c>
      <c r="D860" t="s">
        <v>439</v>
      </c>
      <c r="E860" t="s">
        <v>375</v>
      </c>
      <c r="F860" t="s">
        <v>376</v>
      </c>
      <c r="G860" s="14">
        <v>46251.331979166702</v>
      </c>
      <c r="H860" t="s">
        <v>390</v>
      </c>
    </row>
    <row r="861" spans="1:8" ht="15" customHeight="1" x14ac:dyDescent="0.3">
      <c r="A861" t="s">
        <v>522</v>
      </c>
      <c r="B861" t="s">
        <v>523</v>
      </c>
      <c r="C861" t="s">
        <v>524</v>
      </c>
      <c r="D861" t="s">
        <v>439</v>
      </c>
      <c r="E861" t="s">
        <v>394</v>
      </c>
      <c r="F861" t="s">
        <v>376</v>
      </c>
      <c r="G861" s="14">
        <v>46251.331493055601</v>
      </c>
      <c r="H861" t="s">
        <v>390</v>
      </c>
    </row>
    <row r="862" spans="1:8" ht="15" customHeight="1" x14ac:dyDescent="0.3">
      <c r="A862" t="s">
        <v>502</v>
      </c>
      <c r="B862" t="s">
        <v>503</v>
      </c>
      <c r="C862" t="s">
        <v>504</v>
      </c>
      <c r="D862" t="s">
        <v>439</v>
      </c>
      <c r="E862" t="s">
        <v>375</v>
      </c>
      <c r="F862" t="s">
        <v>376</v>
      </c>
      <c r="G862" s="14">
        <v>46251.330891203703</v>
      </c>
      <c r="H862" t="s">
        <v>390</v>
      </c>
    </row>
    <row r="863" spans="1:8" ht="15" customHeight="1" x14ac:dyDescent="0.3">
      <c r="A863" t="s">
        <v>540</v>
      </c>
      <c r="B863" t="s">
        <v>541</v>
      </c>
      <c r="C863" t="s">
        <v>542</v>
      </c>
      <c r="D863" t="s">
        <v>439</v>
      </c>
      <c r="E863" t="s">
        <v>375</v>
      </c>
      <c r="F863" t="s">
        <v>376</v>
      </c>
      <c r="G863" s="14">
        <v>46251.329155092601</v>
      </c>
      <c r="H863" t="s">
        <v>390</v>
      </c>
    </row>
    <row r="864" spans="1:8" ht="15" customHeight="1" x14ac:dyDescent="0.3">
      <c r="A864" t="s">
        <v>531</v>
      </c>
      <c r="B864" t="s">
        <v>532</v>
      </c>
      <c r="C864" t="s">
        <v>533</v>
      </c>
      <c r="D864" t="s">
        <v>439</v>
      </c>
      <c r="E864" t="s">
        <v>394</v>
      </c>
      <c r="F864" t="s">
        <v>376</v>
      </c>
      <c r="G864" s="14">
        <v>46251.328240740702</v>
      </c>
      <c r="H864" t="s">
        <v>390</v>
      </c>
    </row>
    <row r="865" spans="1:8" ht="15" customHeight="1" x14ac:dyDescent="0.3">
      <c r="A865" t="s">
        <v>534</v>
      </c>
      <c r="B865" t="s">
        <v>535</v>
      </c>
      <c r="C865" t="s">
        <v>536</v>
      </c>
      <c r="D865" t="s">
        <v>439</v>
      </c>
      <c r="E865" t="s">
        <v>375</v>
      </c>
      <c r="F865" t="s">
        <v>376</v>
      </c>
      <c r="G865" s="14">
        <v>46251.327997685199</v>
      </c>
      <c r="H865" t="s">
        <v>390</v>
      </c>
    </row>
    <row r="866" spans="1:8" ht="15" customHeight="1" x14ac:dyDescent="0.3">
      <c r="A866" t="s">
        <v>461</v>
      </c>
      <c r="B866" t="s">
        <v>462</v>
      </c>
      <c r="C866" t="s">
        <v>463</v>
      </c>
      <c r="D866" t="s">
        <v>439</v>
      </c>
      <c r="E866" t="s">
        <v>375</v>
      </c>
      <c r="F866" t="s">
        <v>376</v>
      </c>
      <c r="G866" s="14">
        <v>46251.3270023148</v>
      </c>
      <c r="H866" t="s">
        <v>390</v>
      </c>
    </row>
    <row r="867" spans="1:8" ht="15" customHeight="1" x14ac:dyDescent="0.3">
      <c r="A867" t="s">
        <v>512</v>
      </c>
      <c r="B867" t="s">
        <v>513</v>
      </c>
      <c r="C867" t="s">
        <v>514</v>
      </c>
      <c r="D867" t="s">
        <v>439</v>
      </c>
      <c r="E867" t="s">
        <v>375</v>
      </c>
      <c r="F867" t="s">
        <v>376</v>
      </c>
      <c r="G867" s="14">
        <v>46251.326898148203</v>
      </c>
      <c r="H867" t="s">
        <v>390</v>
      </c>
    </row>
    <row r="868" spans="1:8" ht="15" customHeight="1" x14ac:dyDescent="0.3">
      <c r="A868" t="s">
        <v>519</v>
      </c>
      <c r="B868" t="s">
        <v>520</v>
      </c>
      <c r="C868" t="s">
        <v>521</v>
      </c>
      <c r="D868" t="s">
        <v>439</v>
      </c>
      <c r="E868" t="s">
        <v>375</v>
      </c>
      <c r="F868" t="s">
        <v>376</v>
      </c>
      <c r="G868" s="14">
        <v>46251.3061689815</v>
      </c>
      <c r="H868" t="s">
        <v>390</v>
      </c>
    </row>
    <row r="869" spans="1:8" ht="15" customHeight="1" x14ac:dyDescent="0.3">
      <c r="A869" t="s">
        <v>461</v>
      </c>
      <c r="B869" t="s">
        <v>462</v>
      </c>
      <c r="C869" t="s">
        <v>463</v>
      </c>
      <c r="D869" t="s">
        <v>439</v>
      </c>
      <c r="E869" t="s">
        <v>375</v>
      </c>
      <c r="F869" t="s">
        <v>376</v>
      </c>
      <c r="G869" s="14">
        <v>46250.9518171296</v>
      </c>
      <c r="H869" t="s">
        <v>377</v>
      </c>
    </row>
    <row r="870" spans="1:8" ht="15" customHeight="1" x14ac:dyDescent="0.3">
      <c r="A870" t="s">
        <v>517</v>
      </c>
      <c r="B870" t="s">
        <v>197</v>
      </c>
      <c r="C870" t="s">
        <v>518</v>
      </c>
      <c r="D870" t="s">
        <v>439</v>
      </c>
      <c r="E870" t="s">
        <v>501</v>
      </c>
      <c r="F870" t="s">
        <v>376</v>
      </c>
      <c r="G870" s="14">
        <v>46250.884016203701</v>
      </c>
      <c r="H870" t="s">
        <v>377</v>
      </c>
    </row>
    <row r="871" spans="1:8" ht="15" customHeight="1" x14ac:dyDescent="0.3">
      <c r="A871" t="s">
        <v>546</v>
      </c>
      <c r="B871" t="s">
        <v>547</v>
      </c>
      <c r="C871" t="s">
        <v>548</v>
      </c>
      <c r="D871" t="s">
        <v>439</v>
      </c>
      <c r="E871" t="s">
        <v>375</v>
      </c>
      <c r="F871" t="s">
        <v>376</v>
      </c>
      <c r="G871" s="14">
        <v>46250.8688541667</v>
      </c>
      <c r="H871" t="s">
        <v>377</v>
      </c>
    </row>
    <row r="872" spans="1:8" ht="15" customHeight="1" x14ac:dyDescent="0.3">
      <c r="A872" t="s">
        <v>519</v>
      </c>
      <c r="B872" t="s">
        <v>520</v>
      </c>
      <c r="C872" t="s">
        <v>521</v>
      </c>
      <c r="D872" t="s">
        <v>439</v>
      </c>
      <c r="E872" t="s">
        <v>375</v>
      </c>
      <c r="F872" t="s">
        <v>376</v>
      </c>
      <c r="G872" s="14">
        <v>46250.866932870398</v>
      </c>
      <c r="H872" t="s">
        <v>377</v>
      </c>
    </row>
    <row r="873" spans="1:8" ht="15" customHeight="1" x14ac:dyDescent="0.3">
      <c r="A873" t="s">
        <v>505</v>
      </c>
      <c r="B873" t="s">
        <v>506</v>
      </c>
      <c r="C873" t="s">
        <v>507</v>
      </c>
      <c r="D873" t="s">
        <v>439</v>
      </c>
      <c r="E873" t="s">
        <v>478</v>
      </c>
      <c r="F873" t="s">
        <v>376</v>
      </c>
      <c r="G873" s="14">
        <v>46250.853796296302</v>
      </c>
      <c r="H873" t="s">
        <v>377</v>
      </c>
    </row>
    <row r="874" spans="1:8" ht="15" customHeight="1" x14ac:dyDescent="0.3">
      <c r="A874" t="s">
        <v>534</v>
      </c>
      <c r="B874" t="s">
        <v>535</v>
      </c>
      <c r="C874" t="s">
        <v>536</v>
      </c>
      <c r="D874" t="s">
        <v>439</v>
      </c>
      <c r="E874" t="s">
        <v>375</v>
      </c>
      <c r="F874" t="s">
        <v>376</v>
      </c>
      <c r="G874" s="14">
        <v>46250.849606481497</v>
      </c>
      <c r="H874" t="s">
        <v>377</v>
      </c>
    </row>
    <row r="875" spans="1:8" ht="15" customHeight="1" x14ac:dyDescent="0.3">
      <c r="A875" t="s">
        <v>549</v>
      </c>
      <c r="B875" t="s">
        <v>550</v>
      </c>
      <c r="C875" t="s">
        <v>551</v>
      </c>
      <c r="D875" t="s">
        <v>439</v>
      </c>
      <c r="E875" t="s">
        <v>375</v>
      </c>
      <c r="F875" t="s">
        <v>376</v>
      </c>
      <c r="G875" s="14">
        <v>46250.842928240701</v>
      </c>
      <c r="H875" t="s">
        <v>390</v>
      </c>
    </row>
    <row r="876" spans="1:8" ht="15" customHeight="1" x14ac:dyDescent="0.3">
      <c r="A876" t="s">
        <v>537</v>
      </c>
      <c r="B876" t="s">
        <v>538</v>
      </c>
      <c r="C876" t="s">
        <v>539</v>
      </c>
      <c r="D876" t="s">
        <v>439</v>
      </c>
      <c r="E876" t="s">
        <v>375</v>
      </c>
      <c r="F876" t="s">
        <v>376</v>
      </c>
      <c r="G876" s="14">
        <v>46250.842604166697</v>
      </c>
      <c r="H876" t="s">
        <v>390</v>
      </c>
    </row>
    <row r="877" spans="1:8" ht="15" customHeight="1" x14ac:dyDescent="0.3">
      <c r="A877" t="s">
        <v>528</v>
      </c>
      <c r="B877" t="s">
        <v>529</v>
      </c>
      <c r="C877" t="s">
        <v>530</v>
      </c>
      <c r="D877" t="s">
        <v>439</v>
      </c>
      <c r="E877" t="s">
        <v>375</v>
      </c>
      <c r="F877" t="s">
        <v>376</v>
      </c>
      <c r="G877" s="14">
        <v>46250.8425810185</v>
      </c>
      <c r="H877" t="s">
        <v>390</v>
      </c>
    </row>
    <row r="878" spans="1:8" ht="15" customHeight="1" x14ac:dyDescent="0.3">
      <c r="A878" t="s">
        <v>525</v>
      </c>
      <c r="B878" t="s">
        <v>526</v>
      </c>
      <c r="C878" t="s">
        <v>527</v>
      </c>
      <c r="D878" t="s">
        <v>439</v>
      </c>
      <c r="E878" t="s">
        <v>375</v>
      </c>
      <c r="F878" t="s">
        <v>376</v>
      </c>
      <c r="G878" s="14">
        <v>46250.8384143519</v>
      </c>
      <c r="H878" t="s">
        <v>390</v>
      </c>
    </row>
    <row r="879" spans="1:8" ht="15" customHeight="1" x14ac:dyDescent="0.3">
      <c r="A879" t="s">
        <v>522</v>
      </c>
      <c r="B879" t="s">
        <v>523</v>
      </c>
      <c r="C879" t="s">
        <v>524</v>
      </c>
      <c r="D879" t="s">
        <v>439</v>
      </c>
      <c r="E879" t="s">
        <v>394</v>
      </c>
      <c r="F879" t="s">
        <v>376</v>
      </c>
      <c r="G879" s="14">
        <v>46250.838043981501</v>
      </c>
      <c r="H879" t="s">
        <v>377</v>
      </c>
    </row>
    <row r="880" spans="1:8" ht="15" customHeight="1" x14ac:dyDescent="0.3">
      <c r="A880" t="s">
        <v>502</v>
      </c>
      <c r="B880" t="s">
        <v>503</v>
      </c>
      <c r="C880" t="s">
        <v>504</v>
      </c>
      <c r="D880" t="s">
        <v>439</v>
      </c>
      <c r="E880" t="s">
        <v>375</v>
      </c>
      <c r="F880" t="s">
        <v>376</v>
      </c>
      <c r="G880" s="14">
        <v>46250.836192129602</v>
      </c>
      <c r="H880" t="s">
        <v>377</v>
      </c>
    </row>
    <row r="881" spans="1:8" ht="15" customHeight="1" x14ac:dyDescent="0.3">
      <c r="A881" t="s">
        <v>512</v>
      </c>
      <c r="B881" t="s">
        <v>513</v>
      </c>
      <c r="C881" t="s">
        <v>514</v>
      </c>
      <c r="D881" t="s">
        <v>439</v>
      </c>
      <c r="E881" t="s">
        <v>375</v>
      </c>
      <c r="F881" t="s">
        <v>376</v>
      </c>
      <c r="G881" s="14">
        <v>46250.835833333302</v>
      </c>
      <c r="H881" t="s">
        <v>377</v>
      </c>
    </row>
    <row r="882" spans="1:8" ht="15" customHeight="1" x14ac:dyDescent="0.3">
      <c r="A882" t="s">
        <v>540</v>
      </c>
      <c r="B882" t="s">
        <v>541</v>
      </c>
      <c r="C882" t="s">
        <v>542</v>
      </c>
      <c r="D882" t="s">
        <v>439</v>
      </c>
      <c r="E882" t="s">
        <v>375</v>
      </c>
      <c r="F882" t="s">
        <v>376</v>
      </c>
      <c r="G882" s="14">
        <v>46250.831678240698</v>
      </c>
      <c r="H882" t="s">
        <v>377</v>
      </c>
    </row>
    <row r="883" spans="1:8" ht="15" customHeight="1" x14ac:dyDescent="0.3">
      <c r="A883" t="s">
        <v>540</v>
      </c>
      <c r="B883" t="s">
        <v>541</v>
      </c>
      <c r="C883" t="s">
        <v>542</v>
      </c>
      <c r="D883" t="s">
        <v>439</v>
      </c>
      <c r="E883" t="s">
        <v>375</v>
      </c>
      <c r="F883" t="s">
        <v>376</v>
      </c>
      <c r="G883" s="14">
        <v>46250.721840277802</v>
      </c>
      <c r="H883" t="s">
        <v>390</v>
      </c>
    </row>
    <row r="884" spans="1:8" ht="15" customHeight="1" x14ac:dyDescent="0.3">
      <c r="A884" t="s">
        <v>534</v>
      </c>
      <c r="B884" t="s">
        <v>535</v>
      </c>
      <c r="C884" t="s">
        <v>536</v>
      </c>
      <c r="D884" t="s">
        <v>439</v>
      </c>
      <c r="E884" t="s">
        <v>375</v>
      </c>
      <c r="F884" t="s">
        <v>376</v>
      </c>
      <c r="G884" s="14">
        <v>46250.720856481501</v>
      </c>
      <c r="H884" t="s">
        <v>390</v>
      </c>
    </row>
    <row r="885" spans="1:8" ht="15" customHeight="1" x14ac:dyDescent="0.3">
      <c r="A885" t="s">
        <v>517</v>
      </c>
      <c r="B885" t="s">
        <v>197</v>
      </c>
      <c r="C885" t="s">
        <v>518</v>
      </c>
      <c r="D885" t="s">
        <v>439</v>
      </c>
      <c r="E885" t="s">
        <v>501</v>
      </c>
      <c r="F885" t="s">
        <v>376</v>
      </c>
      <c r="G885" s="14">
        <v>46250.683287036998</v>
      </c>
      <c r="H885" t="s">
        <v>390</v>
      </c>
    </row>
    <row r="886" spans="1:8" ht="15" customHeight="1" x14ac:dyDescent="0.3">
      <c r="A886" t="s">
        <v>505</v>
      </c>
      <c r="B886" t="s">
        <v>506</v>
      </c>
      <c r="C886" t="s">
        <v>507</v>
      </c>
      <c r="D886" t="s">
        <v>439</v>
      </c>
      <c r="E886" t="s">
        <v>478</v>
      </c>
      <c r="F886" t="s">
        <v>376</v>
      </c>
      <c r="G886" s="14">
        <v>46250.355300925898</v>
      </c>
      <c r="H886" t="s">
        <v>390</v>
      </c>
    </row>
    <row r="887" spans="1:8" ht="15" customHeight="1" x14ac:dyDescent="0.3">
      <c r="A887" t="s">
        <v>502</v>
      </c>
      <c r="B887" t="s">
        <v>503</v>
      </c>
      <c r="C887" t="s">
        <v>504</v>
      </c>
      <c r="D887" t="s">
        <v>439</v>
      </c>
      <c r="E887" t="s">
        <v>375</v>
      </c>
      <c r="F887" t="s">
        <v>376</v>
      </c>
      <c r="G887" s="14">
        <v>46250.336099537002</v>
      </c>
      <c r="H887" t="s">
        <v>390</v>
      </c>
    </row>
    <row r="888" spans="1:8" ht="15" customHeight="1" x14ac:dyDescent="0.3">
      <c r="A888" t="s">
        <v>502</v>
      </c>
      <c r="B888" t="s">
        <v>503</v>
      </c>
      <c r="C888" t="s">
        <v>504</v>
      </c>
      <c r="D888" t="s">
        <v>439</v>
      </c>
      <c r="E888" t="s">
        <v>375</v>
      </c>
      <c r="F888" t="s">
        <v>376</v>
      </c>
      <c r="G888" s="14">
        <v>46250.335972222201</v>
      </c>
      <c r="H888" t="s">
        <v>390</v>
      </c>
    </row>
    <row r="889" spans="1:8" ht="15" customHeight="1" x14ac:dyDescent="0.3">
      <c r="A889" t="s">
        <v>461</v>
      </c>
      <c r="B889" t="s">
        <v>462</v>
      </c>
      <c r="C889" t="s">
        <v>463</v>
      </c>
      <c r="D889" t="s">
        <v>439</v>
      </c>
      <c r="E889" t="s">
        <v>375</v>
      </c>
      <c r="F889" t="s">
        <v>376</v>
      </c>
      <c r="G889" s="14">
        <v>46250.330266203702</v>
      </c>
      <c r="H889" t="s">
        <v>390</v>
      </c>
    </row>
    <row r="890" spans="1:8" ht="15" customHeight="1" x14ac:dyDescent="0.3">
      <c r="A890" t="s">
        <v>512</v>
      </c>
      <c r="B890" t="s">
        <v>513</v>
      </c>
      <c r="C890" t="s">
        <v>514</v>
      </c>
      <c r="D890" t="s">
        <v>439</v>
      </c>
      <c r="E890" t="s">
        <v>375</v>
      </c>
      <c r="F890" t="s">
        <v>376</v>
      </c>
      <c r="G890" s="14">
        <v>46250.330208333296</v>
      </c>
      <c r="H890" t="s">
        <v>390</v>
      </c>
    </row>
    <row r="891" spans="1:8" ht="15" customHeight="1" x14ac:dyDescent="0.3">
      <c r="A891" t="s">
        <v>522</v>
      </c>
      <c r="B891" t="s">
        <v>523</v>
      </c>
      <c r="C891" t="s">
        <v>524</v>
      </c>
      <c r="D891" t="s">
        <v>439</v>
      </c>
      <c r="E891" t="s">
        <v>394</v>
      </c>
      <c r="F891" t="s">
        <v>376</v>
      </c>
      <c r="G891" s="14">
        <v>46250.329317129603</v>
      </c>
      <c r="H891" t="s">
        <v>390</v>
      </c>
    </row>
    <row r="892" spans="1:8" ht="15" customHeight="1" x14ac:dyDescent="0.3">
      <c r="A892" t="s">
        <v>519</v>
      </c>
      <c r="B892" t="s">
        <v>520</v>
      </c>
      <c r="C892" t="s">
        <v>521</v>
      </c>
      <c r="D892" t="s">
        <v>439</v>
      </c>
      <c r="E892" t="s">
        <v>375</v>
      </c>
      <c r="F892" t="s">
        <v>376</v>
      </c>
      <c r="G892" s="14">
        <v>46250.327187499999</v>
      </c>
      <c r="H892" t="s">
        <v>390</v>
      </c>
    </row>
    <row r="893" spans="1:8" ht="15" customHeight="1" x14ac:dyDescent="0.3">
      <c r="A893" t="s">
        <v>505</v>
      </c>
      <c r="B893" t="s">
        <v>506</v>
      </c>
      <c r="C893" t="s">
        <v>507</v>
      </c>
      <c r="D893" t="s">
        <v>439</v>
      </c>
      <c r="E893" t="s">
        <v>478</v>
      </c>
      <c r="F893" t="s">
        <v>376</v>
      </c>
      <c r="G893" s="14">
        <v>46250.072962963</v>
      </c>
      <c r="H893" t="s">
        <v>377</v>
      </c>
    </row>
    <row r="894" spans="1:8" ht="15" customHeight="1" x14ac:dyDescent="0.3">
      <c r="A894" t="s">
        <v>522</v>
      </c>
      <c r="B894" t="s">
        <v>523</v>
      </c>
      <c r="C894" t="s">
        <v>524</v>
      </c>
      <c r="D894" t="s">
        <v>439</v>
      </c>
      <c r="E894" t="s">
        <v>394</v>
      </c>
      <c r="F894" t="s">
        <v>376</v>
      </c>
      <c r="G894" s="14">
        <v>46249.868217592601</v>
      </c>
      <c r="H894" t="s">
        <v>377</v>
      </c>
    </row>
    <row r="895" spans="1:8" ht="15" customHeight="1" x14ac:dyDescent="0.3">
      <c r="A895" t="s">
        <v>461</v>
      </c>
      <c r="B895" t="s">
        <v>462</v>
      </c>
      <c r="C895" t="s">
        <v>463</v>
      </c>
      <c r="D895" t="s">
        <v>439</v>
      </c>
      <c r="E895" t="s">
        <v>375</v>
      </c>
      <c r="F895" t="s">
        <v>376</v>
      </c>
      <c r="G895" s="14">
        <v>46249.858263888898</v>
      </c>
      <c r="H895" t="s">
        <v>377</v>
      </c>
    </row>
    <row r="896" spans="1:8" ht="15" customHeight="1" x14ac:dyDescent="0.3">
      <c r="A896" t="s">
        <v>512</v>
      </c>
      <c r="B896" t="s">
        <v>513</v>
      </c>
      <c r="C896" t="s">
        <v>514</v>
      </c>
      <c r="D896" t="s">
        <v>439</v>
      </c>
      <c r="E896" t="s">
        <v>375</v>
      </c>
      <c r="F896" t="s">
        <v>376</v>
      </c>
      <c r="G896" s="14">
        <v>46249.8582060185</v>
      </c>
      <c r="H896" t="s">
        <v>377</v>
      </c>
    </row>
    <row r="897" spans="1:8" ht="15" customHeight="1" x14ac:dyDescent="0.3">
      <c r="A897" t="s">
        <v>502</v>
      </c>
      <c r="B897" t="s">
        <v>503</v>
      </c>
      <c r="C897" t="s">
        <v>504</v>
      </c>
      <c r="D897" t="s">
        <v>439</v>
      </c>
      <c r="E897" t="s">
        <v>375</v>
      </c>
      <c r="F897" t="s">
        <v>376</v>
      </c>
      <c r="G897" s="14">
        <v>46249.858171296299</v>
      </c>
      <c r="H897" t="s">
        <v>377</v>
      </c>
    </row>
    <row r="898" spans="1:8" ht="15" customHeight="1" x14ac:dyDescent="0.3">
      <c r="A898" t="s">
        <v>519</v>
      </c>
      <c r="B898" t="s">
        <v>520</v>
      </c>
      <c r="C898" t="s">
        <v>521</v>
      </c>
      <c r="D898" t="s">
        <v>439</v>
      </c>
      <c r="E898" t="s">
        <v>375</v>
      </c>
      <c r="F898" t="s">
        <v>376</v>
      </c>
      <c r="G898" s="14">
        <v>46249.843807870398</v>
      </c>
      <c r="H898" t="s">
        <v>377</v>
      </c>
    </row>
    <row r="899" spans="1:8" ht="15" customHeight="1" x14ac:dyDescent="0.3">
      <c r="A899" t="s">
        <v>505</v>
      </c>
      <c r="B899" t="s">
        <v>506</v>
      </c>
      <c r="C899" t="s">
        <v>507</v>
      </c>
      <c r="D899" t="s">
        <v>439</v>
      </c>
      <c r="E899" t="s">
        <v>478</v>
      </c>
      <c r="F899" t="s">
        <v>376</v>
      </c>
      <c r="G899" s="14">
        <v>46249.623217592598</v>
      </c>
      <c r="H899" t="s">
        <v>390</v>
      </c>
    </row>
    <row r="900" spans="1:8" ht="15" customHeight="1" x14ac:dyDescent="0.3">
      <c r="A900" t="s">
        <v>528</v>
      </c>
      <c r="B900" t="s">
        <v>529</v>
      </c>
      <c r="C900" t="s">
        <v>530</v>
      </c>
      <c r="D900" t="s">
        <v>439</v>
      </c>
      <c r="E900" t="s">
        <v>375</v>
      </c>
      <c r="F900" t="s">
        <v>376</v>
      </c>
      <c r="G900" s="14">
        <v>46249.581111111103</v>
      </c>
      <c r="H900" t="s">
        <v>377</v>
      </c>
    </row>
    <row r="901" spans="1:8" ht="15" customHeight="1" x14ac:dyDescent="0.3">
      <c r="A901" t="s">
        <v>502</v>
      </c>
      <c r="B901" t="s">
        <v>503</v>
      </c>
      <c r="C901" t="s">
        <v>504</v>
      </c>
      <c r="D901" t="s">
        <v>439</v>
      </c>
      <c r="E901" t="s">
        <v>375</v>
      </c>
      <c r="F901" t="s">
        <v>376</v>
      </c>
      <c r="G901" s="14">
        <v>46249.330347222203</v>
      </c>
      <c r="H901" t="s">
        <v>390</v>
      </c>
    </row>
    <row r="902" spans="1:8" ht="15" customHeight="1" x14ac:dyDescent="0.3">
      <c r="A902" t="s">
        <v>512</v>
      </c>
      <c r="B902" t="s">
        <v>513</v>
      </c>
      <c r="C902" t="s">
        <v>514</v>
      </c>
      <c r="D902" t="s">
        <v>439</v>
      </c>
      <c r="E902" t="s">
        <v>375</v>
      </c>
      <c r="F902" t="s">
        <v>376</v>
      </c>
      <c r="G902" s="14">
        <v>46249.330300925903</v>
      </c>
      <c r="H902" t="s">
        <v>390</v>
      </c>
    </row>
    <row r="903" spans="1:8" ht="15" customHeight="1" x14ac:dyDescent="0.3">
      <c r="A903" t="s">
        <v>522</v>
      </c>
      <c r="B903" t="s">
        <v>523</v>
      </c>
      <c r="C903" t="s">
        <v>524</v>
      </c>
      <c r="D903" t="s">
        <v>439</v>
      </c>
      <c r="E903" t="s">
        <v>394</v>
      </c>
      <c r="F903" t="s">
        <v>376</v>
      </c>
      <c r="G903" s="14">
        <v>46249.3258333333</v>
      </c>
      <c r="H903" t="s">
        <v>390</v>
      </c>
    </row>
    <row r="904" spans="1:8" ht="15" customHeight="1" x14ac:dyDescent="0.3">
      <c r="A904" t="s">
        <v>461</v>
      </c>
      <c r="B904" t="s">
        <v>462</v>
      </c>
      <c r="C904" t="s">
        <v>463</v>
      </c>
      <c r="D904" t="s">
        <v>439</v>
      </c>
      <c r="E904" t="s">
        <v>375</v>
      </c>
      <c r="F904" t="s">
        <v>376</v>
      </c>
      <c r="G904" s="14">
        <v>46249.323726851901</v>
      </c>
      <c r="H904" t="s">
        <v>390</v>
      </c>
    </row>
    <row r="905" spans="1:8" ht="15" customHeight="1" x14ac:dyDescent="0.3">
      <c r="A905" t="s">
        <v>519</v>
      </c>
      <c r="B905" t="s">
        <v>520</v>
      </c>
      <c r="C905" t="s">
        <v>521</v>
      </c>
      <c r="D905" t="s">
        <v>439</v>
      </c>
      <c r="E905" t="s">
        <v>375</v>
      </c>
      <c r="F905" t="s">
        <v>376</v>
      </c>
      <c r="G905" s="14">
        <v>46249.3127662037</v>
      </c>
      <c r="H905" t="s">
        <v>390</v>
      </c>
    </row>
    <row r="906" spans="1:8" ht="15" customHeight="1" x14ac:dyDescent="0.3">
      <c r="A906" t="s">
        <v>519</v>
      </c>
      <c r="B906" t="s">
        <v>520</v>
      </c>
      <c r="C906" t="s">
        <v>521</v>
      </c>
      <c r="D906" t="s">
        <v>439</v>
      </c>
      <c r="E906" t="s">
        <v>375</v>
      </c>
      <c r="F906" t="s">
        <v>376</v>
      </c>
      <c r="G906" s="14">
        <v>46248.853275463</v>
      </c>
      <c r="H906" t="s">
        <v>377</v>
      </c>
    </row>
    <row r="907" spans="1:8" ht="15" customHeight="1" x14ac:dyDescent="0.3">
      <c r="A907" t="s">
        <v>505</v>
      </c>
      <c r="B907" t="s">
        <v>506</v>
      </c>
      <c r="C907" t="s">
        <v>507</v>
      </c>
      <c r="D907" t="s">
        <v>439</v>
      </c>
      <c r="E907" t="s">
        <v>478</v>
      </c>
      <c r="F907" t="s">
        <v>376</v>
      </c>
      <c r="G907" s="14">
        <v>46248.836111111101</v>
      </c>
      <c r="H907" t="s">
        <v>377</v>
      </c>
    </row>
    <row r="908" spans="1:8" ht="15" customHeight="1" x14ac:dyDescent="0.3">
      <c r="A908" t="s">
        <v>502</v>
      </c>
      <c r="B908" t="s">
        <v>503</v>
      </c>
      <c r="C908" t="s">
        <v>504</v>
      </c>
      <c r="D908" t="s">
        <v>439</v>
      </c>
      <c r="E908" t="s">
        <v>375</v>
      </c>
      <c r="F908" t="s">
        <v>376</v>
      </c>
      <c r="G908" s="14">
        <v>46248.835914351897</v>
      </c>
      <c r="H908" t="s">
        <v>377</v>
      </c>
    </row>
    <row r="909" spans="1:8" ht="15" customHeight="1" x14ac:dyDescent="0.3">
      <c r="A909" t="s">
        <v>522</v>
      </c>
      <c r="B909" t="s">
        <v>523</v>
      </c>
      <c r="C909" t="s">
        <v>524</v>
      </c>
      <c r="D909" t="s">
        <v>439</v>
      </c>
      <c r="E909" t="s">
        <v>394</v>
      </c>
      <c r="F909" t="s">
        <v>376</v>
      </c>
      <c r="G909" s="14">
        <v>46248.834247685198</v>
      </c>
      <c r="H909" t="s">
        <v>377</v>
      </c>
    </row>
    <row r="910" spans="1:8" ht="15" customHeight="1" x14ac:dyDescent="0.3">
      <c r="A910" t="s">
        <v>512</v>
      </c>
      <c r="B910" t="s">
        <v>513</v>
      </c>
      <c r="C910" t="s">
        <v>514</v>
      </c>
      <c r="D910" t="s">
        <v>439</v>
      </c>
      <c r="E910" t="s">
        <v>375</v>
      </c>
      <c r="F910" t="s">
        <v>376</v>
      </c>
      <c r="G910" s="14">
        <v>46248.834062499998</v>
      </c>
      <c r="H910" t="s">
        <v>377</v>
      </c>
    </row>
    <row r="911" spans="1:8" ht="15" customHeight="1" x14ac:dyDescent="0.3">
      <c r="A911" t="s">
        <v>461</v>
      </c>
      <c r="B911" t="s">
        <v>462</v>
      </c>
      <c r="C911" t="s">
        <v>463</v>
      </c>
      <c r="D911" t="s">
        <v>439</v>
      </c>
      <c r="E911" t="s">
        <v>375</v>
      </c>
      <c r="F911" t="s">
        <v>376</v>
      </c>
      <c r="G911" s="14">
        <v>46248.598634259302</v>
      </c>
      <c r="H911" t="s">
        <v>377</v>
      </c>
    </row>
    <row r="912" spans="1:8" ht="15" customHeight="1" x14ac:dyDescent="0.3">
      <c r="A912" t="s">
        <v>461</v>
      </c>
      <c r="B912" t="s">
        <v>462</v>
      </c>
      <c r="C912" t="s">
        <v>463</v>
      </c>
      <c r="D912" t="s">
        <v>439</v>
      </c>
      <c r="E912" t="s">
        <v>375</v>
      </c>
      <c r="F912" t="s">
        <v>376</v>
      </c>
      <c r="G912" s="14">
        <v>46248.598576388897</v>
      </c>
      <c r="H912" t="s">
        <v>390</v>
      </c>
    </row>
    <row r="913" spans="1:8" ht="15" customHeight="1" x14ac:dyDescent="0.3">
      <c r="A913" t="s">
        <v>461</v>
      </c>
      <c r="B913" t="s">
        <v>462</v>
      </c>
      <c r="C913" t="s">
        <v>463</v>
      </c>
      <c r="D913" t="s">
        <v>439</v>
      </c>
      <c r="E913" t="s">
        <v>375</v>
      </c>
      <c r="F913" t="s">
        <v>376</v>
      </c>
      <c r="G913" s="14">
        <v>46248.598472222198</v>
      </c>
      <c r="H913" t="s">
        <v>377</v>
      </c>
    </row>
    <row r="914" spans="1:8" ht="15" customHeight="1" x14ac:dyDescent="0.3">
      <c r="A914" t="s">
        <v>461</v>
      </c>
      <c r="B914" t="s">
        <v>462</v>
      </c>
      <c r="C914" t="s">
        <v>463</v>
      </c>
      <c r="D914" t="s">
        <v>439</v>
      </c>
      <c r="E914" t="s">
        <v>375</v>
      </c>
      <c r="F914" t="s">
        <v>376</v>
      </c>
      <c r="G914" s="14">
        <v>46248.598298611098</v>
      </c>
      <c r="H914" t="s">
        <v>390</v>
      </c>
    </row>
    <row r="915" spans="1:8" ht="15" customHeight="1" x14ac:dyDescent="0.3">
      <c r="A915" t="s">
        <v>505</v>
      </c>
      <c r="B915" t="s">
        <v>506</v>
      </c>
      <c r="C915" t="s">
        <v>507</v>
      </c>
      <c r="D915" t="s">
        <v>439</v>
      </c>
      <c r="E915" t="s">
        <v>478</v>
      </c>
      <c r="F915" t="s">
        <v>376</v>
      </c>
      <c r="G915" s="14">
        <v>46248.360023148198</v>
      </c>
      <c r="H915" t="s">
        <v>390</v>
      </c>
    </row>
    <row r="916" spans="1:8" ht="15" customHeight="1" x14ac:dyDescent="0.3">
      <c r="A916" t="s">
        <v>522</v>
      </c>
      <c r="B916" t="s">
        <v>523</v>
      </c>
      <c r="C916" t="s">
        <v>524</v>
      </c>
      <c r="D916" t="s">
        <v>439</v>
      </c>
      <c r="E916" t="s">
        <v>394</v>
      </c>
      <c r="F916" t="s">
        <v>376</v>
      </c>
      <c r="G916" s="14">
        <v>46248.336689814802</v>
      </c>
      <c r="H916" t="s">
        <v>390</v>
      </c>
    </row>
    <row r="917" spans="1:8" ht="15" customHeight="1" x14ac:dyDescent="0.3">
      <c r="A917" t="s">
        <v>502</v>
      </c>
      <c r="B917" t="s">
        <v>503</v>
      </c>
      <c r="C917" t="s">
        <v>504</v>
      </c>
      <c r="D917" t="s">
        <v>439</v>
      </c>
      <c r="E917" t="s">
        <v>375</v>
      </c>
      <c r="F917" t="s">
        <v>376</v>
      </c>
      <c r="G917" s="14">
        <v>46248.3338194444</v>
      </c>
      <c r="H917" t="s">
        <v>390</v>
      </c>
    </row>
    <row r="918" spans="1:8" ht="15" customHeight="1" x14ac:dyDescent="0.3">
      <c r="A918" t="s">
        <v>512</v>
      </c>
      <c r="B918" t="s">
        <v>513</v>
      </c>
      <c r="C918" t="s">
        <v>514</v>
      </c>
      <c r="D918" t="s">
        <v>439</v>
      </c>
      <c r="E918" t="s">
        <v>375</v>
      </c>
      <c r="F918" t="s">
        <v>376</v>
      </c>
      <c r="G918" s="14">
        <v>46248.330439814803</v>
      </c>
      <c r="H918" t="s">
        <v>390</v>
      </c>
    </row>
    <row r="919" spans="1:8" ht="15" customHeight="1" x14ac:dyDescent="0.3">
      <c r="A919" t="s">
        <v>519</v>
      </c>
      <c r="B919" t="s">
        <v>520</v>
      </c>
      <c r="C919" t="s">
        <v>521</v>
      </c>
      <c r="D919" t="s">
        <v>439</v>
      </c>
      <c r="E919" t="s">
        <v>375</v>
      </c>
      <c r="F919" t="s">
        <v>376</v>
      </c>
      <c r="G919" s="14">
        <v>46248.307303240697</v>
      </c>
      <c r="H919" t="s">
        <v>390</v>
      </c>
    </row>
    <row r="920" spans="1:8" ht="15" customHeight="1" x14ac:dyDescent="0.3">
      <c r="A920" t="s">
        <v>519</v>
      </c>
      <c r="B920" t="s">
        <v>520</v>
      </c>
      <c r="C920" t="s">
        <v>521</v>
      </c>
      <c r="D920" t="s">
        <v>439</v>
      </c>
      <c r="E920" t="s">
        <v>375</v>
      </c>
      <c r="F920" t="s">
        <v>376</v>
      </c>
      <c r="G920" s="14">
        <v>46247.894942129598</v>
      </c>
      <c r="H920" t="s">
        <v>377</v>
      </c>
    </row>
    <row r="921" spans="1:8" ht="15" customHeight="1" x14ac:dyDescent="0.3">
      <c r="A921" t="s">
        <v>522</v>
      </c>
      <c r="B921" t="s">
        <v>523</v>
      </c>
      <c r="C921" t="s">
        <v>524</v>
      </c>
      <c r="D921" t="s">
        <v>439</v>
      </c>
      <c r="E921" t="s">
        <v>394</v>
      </c>
      <c r="F921" t="s">
        <v>376</v>
      </c>
      <c r="G921" s="14">
        <v>46247.872106481504</v>
      </c>
      <c r="H921" t="s">
        <v>377</v>
      </c>
    </row>
    <row r="922" spans="1:8" ht="15" customHeight="1" x14ac:dyDescent="0.3">
      <c r="A922" t="s">
        <v>461</v>
      </c>
      <c r="B922" t="s">
        <v>462</v>
      </c>
      <c r="C922" t="s">
        <v>463</v>
      </c>
      <c r="D922" t="s">
        <v>439</v>
      </c>
      <c r="E922" t="s">
        <v>375</v>
      </c>
      <c r="F922" t="s">
        <v>376</v>
      </c>
      <c r="G922" s="14">
        <v>46247.8367013889</v>
      </c>
      <c r="H922" t="s">
        <v>377</v>
      </c>
    </row>
    <row r="923" spans="1:8" ht="15" customHeight="1" x14ac:dyDescent="0.3">
      <c r="A923" t="s">
        <v>502</v>
      </c>
      <c r="B923" t="s">
        <v>503</v>
      </c>
      <c r="C923" t="s">
        <v>504</v>
      </c>
      <c r="D923" t="s">
        <v>439</v>
      </c>
      <c r="E923" t="s">
        <v>375</v>
      </c>
      <c r="F923" t="s">
        <v>376</v>
      </c>
      <c r="G923" s="14">
        <v>46247.834108796298</v>
      </c>
      <c r="H923" t="s">
        <v>377</v>
      </c>
    </row>
    <row r="924" spans="1:8" ht="15" customHeight="1" x14ac:dyDescent="0.3">
      <c r="A924" t="s">
        <v>512</v>
      </c>
      <c r="B924" t="s">
        <v>513</v>
      </c>
      <c r="C924" t="s">
        <v>514</v>
      </c>
      <c r="D924" t="s">
        <v>439</v>
      </c>
      <c r="E924" t="s">
        <v>375</v>
      </c>
      <c r="F924" t="s">
        <v>376</v>
      </c>
      <c r="G924" s="14">
        <v>46247.834108796298</v>
      </c>
      <c r="H924" t="s">
        <v>377</v>
      </c>
    </row>
    <row r="925" spans="1:8" ht="15" customHeight="1" x14ac:dyDescent="0.3">
      <c r="A925" t="s">
        <v>512</v>
      </c>
      <c r="B925" t="s">
        <v>513</v>
      </c>
      <c r="C925" t="s">
        <v>514</v>
      </c>
      <c r="D925" t="s">
        <v>439</v>
      </c>
      <c r="E925" t="s">
        <v>375</v>
      </c>
      <c r="F925" t="s">
        <v>552</v>
      </c>
      <c r="G925" s="14">
        <v>46247.833333333299</v>
      </c>
      <c r="H925" t="s">
        <v>377</v>
      </c>
    </row>
    <row r="926" spans="1:8" ht="15" customHeight="1" x14ac:dyDescent="0.3">
      <c r="A926" t="s">
        <v>461</v>
      </c>
      <c r="B926" t="s">
        <v>462</v>
      </c>
      <c r="C926" t="s">
        <v>463</v>
      </c>
      <c r="D926" t="s">
        <v>439</v>
      </c>
      <c r="E926" t="s">
        <v>375</v>
      </c>
      <c r="F926" t="s">
        <v>552</v>
      </c>
      <c r="G926" s="14">
        <v>46247.833333333299</v>
      </c>
      <c r="H926" t="s">
        <v>377</v>
      </c>
    </row>
    <row r="927" spans="1:8" ht="15" customHeight="1" x14ac:dyDescent="0.3">
      <c r="A927" t="s">
        <v>522</v>
      </c>
      <c r="B927" t="s">
        <v>523</v>
      </c>
      <c r="C927" t="s">
        <v>524</v>
      </c>
      <c r="D927" t="s">
        <v>439</v>
      </c>
      <c r="E927" t="s">
        <v>394</v>
      </c>
      <c r="F927" t="s">
        <v>376</v>
      </c>
      <c r="G927" s="14">
        <v>46247.380173611098</v>
      </c>
      <c r="H927" t="s">
        <v>390</v>
      </c>
    </row>
    <row r="928" spans="1:8" ht="15" customHeight="1" x14ac:dyDescent="0.3">
      <c r="A928" t="s">
        <v>461</v>
      </c>
      <c r="B928" t="s">
        <v>462</v>
      </c>
      <c r="C928" t="s">
        <v>463</v>
      </c>
      <c r="D928" t="s">
        <v>439</v>
      </c>
      <c r="E928" t="s">
        <v>375</v>
      </c>
      <c r="F928" t="s">
        <v>552</v>
      </c>
      <c r="G928" s="14">
        <v>46247.333333333299</v>
      </c>
      <c r="H928" t="s">
        <v>390</v>
      </c>
    </row>
    <row r="929" spans="1:8" ht="15" customHeight="1" x14ac:dyDescent="0.3">
      <c r="A929" t="s">
        <v>519</v>
      </c>
      <c r="B929" t="s">
        <v>520</v>
      </c>
      <c r="C929" t="s">
        <v>521</v>
      </c>
      <c r="D929" t="s">
        <v>439</v>
      </c>
      <c r="E929" t="s">
        <v>375</v>
      </c>
      <c r="F929" t="s">
        <v>376</v>
      </c>
      <c r="G929" s="14">
        <v>46247.318229166704</v>
      </c>
      <c r="H929" t="s">
        <v>390</v>
      </c>
    </row>
    <row r="930" spans="1:8" ht="15" customHeight="1" x14ac:dyDescent="0.3">
      <c r="A930" t="s">
        <v>519</v>
      </c>
      <c r="B930" t="s">
        <v>520</v>
      </c>
      <c r="C930" t="s">
        <v>521</v>
      </c>
      <c r="D930" t="s">
        <v>439</v>
      </c>
      <c r="E930" t="s">
        <v>375</v>
      </c>
      <c r="F930" t="s">
        <v>376</v>
      </c>
      <c r="G930" s="14">
        <v>46247.313425925902</v>
      </c>
      <c r="H930" t="s">
        <v>390</v>
      </c>
    </row>
    <row r="931" spans="1:8" ht="15" customHeight="1" x14ac:dyDescent="0.3">
      <c r="A931" t="s">
        <v>519</v>
      </c>
      <c r="B931" t="s">
        <v>520</v>
      </c>
      <c r="C931" t="s">
        <v>521</v>
      </c>
      <c r="D931" t="s">
        <v>439</v>
      </c>
      <c r="E931" t="s">
        <v>375</v>
      </c>
      <c r="F931" t="s">
        <v>376</v>
      </c>
      <c r="G931" s="14">
        <v>46246.879247685203</v>
      </c>
      <c r="H931" t="s">
        <v>377</v>
      </c>
    </row>
    <row r="932" spans="1:8" ht="15" customHeight="1" x14ac:dyDescent="0.3">
      <c r="A932" t="s">
        <v>461</v>
      </c>
      <c r="B932" t="s">
        <v>462</v>
      </c>
      <c r="C932" t="s">
        <v>463</v>
      </c>
      <c r="D932" t="s">
        <v>439</v>
      </c>
      <c r="E932" t="s">
        <v>375</v>
      </c>
      <c r="F932" t="s">
        <v>376</v>
      </c>
      <c r="G932" s="14">
        <v>46246.872083333299</v>
      </c>
      <c r="H932" t="s">
        <v>377</v>
      </c>
    </row>
    <row r="933" spans="1:8" ht="15" customHeight="1" x14ac:dyDescent="0.3">
      <c r="A933" t="s">
        <v>461</v>
      </c>
      <c r="B933" t="s">
        <v>462</v>
      </c>
      <c r="C933" t="s">
        <v>463</v>
      </c>
      <c r="D933" t="s">
        <v>439</v>
      </c>
      <c r="E933" t="s">
        <v>375</v>
      </c>
      <c r="F933" t="s">
        <v>552</v>
      </c>
      <c r="G933" s="14">
        <v>46246.833333333299</v>
      </c>
      <c r="H933" t="s">
        <v>377</v>
      </c>
    </row>
    <row r="934" spans="1:8" ht="15" customHeight="1" x14ac:dyDescent="0.3">
      <c r="A934" t="s">
        <v>475</v>
      </c>
      <c r="B934" t="s">
        <v>476</v>
      </c>
      <c r="C934" t="s">
        <v>477</v>
      </c>
      <c r="D934" t="s">
        <v>439</v>
      </c>
      <c r="E934" t="s">
        <v>478</v>
      </c>
      <c r="F934" t="s">
        <v>395</v>
      </c>
      <c r="G934" s="14">
        <v>46246.378703703696</v>
      </c>
      <c r="H934" t="s">
        <v>390</v>
      </c>
    </row>
    <row r="935" spans="1:8" ht="15" customHeight="1" x14ac:dyDescent="0.3">
      <c r="A935" t="s">
        <v>522</v>
      </c>
      <c r="B935" t="s">
        <v>523</v>
      </c>
      <c r="C935" t="s">
        <v>524</v>
      </c>
      <c r="D935" t="s">
        <v>439</v>
      </c>
      <c r="E935" t="s">
        <v>394</v>
      </c>
      <c r="F935" t="s">
        <v>376</v>
      </c>
      <c r="G935" s="14">
        <v>46246.337500000001</v>
      </c>
      <c r="H935" t="s">
        <v>390</v>
      </c>
    </row>
    <row r="936" spans="1:8" ht="15" customHeight="1" x14ac:dyDescent="0.3">
      <c r="A936" t="s">
        <v>461</v>
      </c>
      <c r="B936" t="s">
        <v>462</v>
      </c>
      <c r="C936" t="s">
        <v>463</v>
      </c>
      <c r="D936" t="s">
        <v>439</v>
      </c>
      <c r="E936" t="s">
        <v>375</v>
      </c>
      <c r="F936" t="s">
        <v>552</v>
      </c>
      <c r="G936" s="14">
        <v>46246.333333333299</v>
      </c>
      <c r="H936" t="s">
        <v>390</v>
      </c>
    </row>
    <row r="937" spans="1:8" ht="15" customHeight="1" x14ac:dyDescent="0.3">
      <c r="A937" t="s">
        <v>519</v>
      </c>
      <c r="B937" t="s">
        <v>520</v>
      </c>
      <c r="C937" t="s">
        <v>521</v>
      </c>
      <c r="D937" t="s">
        <v>439</v>
      </c>
      <c r="E937" t="s">
        <v>375</v>
      </c>
      <c r="F937" t="s">
        <v>376</v>
      </c>
      <c r="G937" s="14">
        <v>46246.323229166701</v>
      </c>
      <c r="H937" t="s">
        <v>390</v>
      </c>
    </row>
    <row r="938" spans="1:8" ht="15" customHeight="1" x14ac:dyDescent="0.3">
      <c r="A938" t="s">
        <v>455</v>
      </c>
      <c r="B938" t="s">
        <v>456</v>
      </c>
      <c r="C938" t="s">
        <v>457</v>
      </c>
      <c r="D938" t="s">
        <v>439</v>
      </c>
      <c r="E938" t="s">
        <v>375</v>
      </c>
      <c r="F938" t="s">
        <v>376</v>
      </c>
      <c r="G938" s="14">
        <v>46245.864606481497</v>
      </c>
      <c r="H938" t="s">
        <v>377</v>
      </c>
    </row>
    <row r="939" spans="1:8" ht="15" customHeight="1" x14ac:dyDescent="0.3">
      <c r="A939" t="s">
        <v>461</v>
      </c>
      <c r="B939" t="s">
        <v>462</v>
      </c>
      <c r="C939" t="s">
        <v>463</v>
      </c>
      <c r="D939" t="s">
        <v>439</v>
      </c>
      <c r="E939" t="s">
        <v>375</v>
      </c>
      <c r="F939" t="s">
        <v>552</v>
      </c>
      <c r="G939" s="14">
        <v>46245.833333333299</v>
      </c>
      <c r="H939" t="s">
        <v>377</v>
      </c>
    </row>
    <row r="940" spans="1:8" ht="15" customHeight="1" x14ac:dyDescent="0.3">
      <c r="A940" t="s">
        <v>519</v>
      </c>
      <c r="B940" t="s">
        <v>520</v>
      </c>
      <c r="C940" t="s">
        <v>521</v>
      </c>
      <c r="D940" t="s">
        <v>439</v>
      </c>
      <c r="E940" t="s">
        <v>375</v>
      </c>
      <c r="F940" t="s">
        <v>376</v>
      </c>
      <c r="G940" s="14">
        <v>46245.816145833298</v>
      </c>
      <c r="H940" t="s">
        <v>377</v>
      </c>
    </row>
    <row r="941" spans="1:8" ht="15" customHeight="1" x14ac:dyDescent="0.3">
      <c r="A941" t="s">
        <v>472</v>
      </c>
      <c r="B941" t="s">
        <v>473</v>
      </c>
      <c r="C941" t="s">
        <v>474</v>
      </c>
      <c r="D941" t="s">
        <v>439</v>
      </c>
      <c r="E941" t="s">
        <v>23</v>
      </c>
      <c r="F941" t="s">
        <v>376</v>
      </c>
      <c r="G941" s="14">
        <v>46245.374722222201</v>
      </c>
      <c r="H941" t="s">
        <v>390</v>
      </c>
    </row>
    <row r="942" spans="1:8" ht="15" customHeight="1" x14ac:dyDescent="0.3">
      <c r="A942" t="s">
        <v>475</v>
      </c>
      <c r="B942" t="s">
        <v>476</v>
      </c>
      <c r="C942" t="s">
        <v>477</v>
      </c>
      <c r="D942" t="s">
        <v>439</v>
      </c>
      <c r="E942" t="s">
        <v>478</v>
      </c>
      <c r="F942" t="s">
        <v>376</v>
      </c>
      <c r="G942" s="14">
        <v>46245.337858796302</v>
      </c>
      <c r="H942" t="s">
        <v>390</v>
      </c>
    </row>
    <row r="943" spans="1:8" ht="15" customHeight="1" x14ac:dyDescent="0.3">
      <c r="A943" t="s">
        <v>522</v>
      </c>
      <c r="B943" t="s">
        <v>523</v>
      </c>
      <c r="C943" t="s">
        <v>524</v>
      </c>
      <c r="D943" t="s">
        <v>439</v>
      </c>
      <c r="E943" t="s">
        <v>394</v>
      </c>
      <c r="F943" t="s">
        <v>376</v>
      </c>
      <c r="G943" s="14">
        <v>46245.334340277797</v>
      </c>
      <c r="H943" t="s">
        <v>390</v>
      </c>
    </row>
    <row r="944" spans="1:8" ht="15" customHeight="1" x14ac:dyDescent="0.3">
      <c r="A944" t="s">
        <v>461</v>
      </c>
      <c r="B944" t="s">
        <v>462</v>
      </c>
      <c r="C944" t="s">
        <v>463</v>
      </c>
      <c r="D944" t="s">
        <v>439</v>
      </c>
      <c r="E944" t="s">
        <v>375</v>
      </c>
      <c r="F944" t="s">
        <v>552</v>
      </c>
      <c r="G944" s="14">
        <v>46245.333333333299</v>
      </c>
      <c r="H944" t="s">
        <v>390</v>
      </c>
    </row>
    <row r="945" spans="1:8" ht="15" customHeight="1" x14ac:dyDescent="0.3">
      <c r="A945" t="s">
        <v>519</v>
      </c>
      <c r="B945" t="s">
        <v>520</v>
      </c>
      <c r="C945" t="s">
        <v>521</v>
      </c>
      <c r="D945" t="s">
        <v>439</v>
      </c>
      <c r="E945" t="s">
        <v>375</v>
      </c>
      <c r="F945" t="s">
        <v>376</v>
      </c>
      <c r="G945" s="14">
        <v>46245.308472222197</v>
      </c>
      <c r="H945" t="s">
        <v>390</v>
      </c>
    </row>
    <row r="946" spans="1:8" ht="15" customHeight="1" x14ac:dyDescent="0.3">
      <c r="A946" t="s">
        <v>519</v>
      </c>
      <c r="B946" t="s">
        <v>520</v>
      </c>
      <c r="C946" t="s">
        <v>521</v>
      </c>
      <c r="D946" t="s">
        <v>439</v>
      </c>
      <c r="E946" t="s">
        <v>375</v>
      </c>
      <c r="F946" t="s">
        <v>376</v>
      </c>
      <c r="G946" s="14">
        <v>46245.307986111096</v>
      </c>
      <c r="H946" t="s">
        <v>390</v>
      </c>
    </row>
    <row r="947" spans="1:8" ht="15" customHeight="1" x14ac:dyDescent="0.3">
      <c r="A947" t="s">
        <v>519</v>
      </c>
      <c r="B947" t="s">
        <v>520</v>
      </c>
      <c r="C947" t="s">
        <v>521</v>
      </c>
      <c r="D947" t="s">
        <v>439</v>
      </c>
      <c r="E947" t="s">
        <v>375</v>
      </c>
      <c r="F947" t="s">
        <v>376</v>
      </c>
      <c r="G947" s="14">
        <v>46244.901388888902</v>
      </c>
      <c r="H947" t="s">
        <v>377</v>
      </c>
    </row>
    <row r="948" spans="1:8" ht="15" customHeight="1" x14ac:dyDescent="0.3">
      <c r="A948" t="s">
        <v>475</v>
      </c>
      <c r="B948" t="s">
        <v>476</v>
      </c>
      <c r="C948" t="s">
        <v>477</v>
      </c>
      <c r="D948" t="s">
        <v>439</v>
      </c>
      <c r="E948" t="s">
        <v>478</v>
      </c>
      <c r="F948" t="s">
        <v>376</v>
      </c>
      <c r="G948" s="14">
        <v>46244.848344907397</v>
      </c>
      <c r="H948" t="s">
        <v>377</v>
      </c>
    </row>
    <row r="949" spans="1:8" ht="15" customHeight="1" x14ac:dyDescent="0.3">
      <c r="A949" t="s">
        <v>525</v>
      </c>
      <c r="B949" t="s">
        <v>526</v>
      </c>
      <c r="C949" t="s">
        <v>527</v>
      </c>
      <c r="D949" t="s">
        <v>439</v>
      </c>
      <c r="E949" t="s">
        <v>375</v>
      </c>
      <c r="F949" t="s">
        <v>435</v>
      </c>
      <c r="G949" s="14">
        <v>46244.844236111101</v>
      </c>
      <c r="H949" t="s">
        <v>390</v>
      </c>
    </row>
    <row r="950" spans="1:8" ht="15" customHeight="1" x14ac:dyDescent="0.3">
      <c r="A950" t="s">
        <v>522</v>
      </c>
      <c r="B950" t="s">
        <v>523</v>
      </c>
      <c r="C950" t="s">
        <v>524</v>
      </c>
      <c r="D950" t="s">
        <v>439</v>
      </c>
      <c r="E950" t="s">
        <v>394</v>
      </c>
      <c r="F950" t="s">
        <v>376</v>
      </c>
      <c r="G950" s="14">
        <v>46244.833946759303</v>
      </c>
      <c r="H950" t="s">
        <v>377</v>
      </c>
    </row>
    <row r="951" spans="1:8" ht="15" customHeight="1" x14ac:dyDescent="0.3">
      <c r="A951" t="s">
        <v>461</v>
      </c>
      <c r="B951" t="s">
        <v>462</v>
      </c>
      <c r="C951" t="s">
        <v>463</v>
      </c>
      <c r="D951" t="s">
        <v>439</v>
      </c>
      <c r="E951" t="s">
        <v>375</v>
      </c>
      <c r="F951" t="s">
        <v>552</v>
      </c>
      <c r="G951" s="14">
        <v>46244.833333333299</v>
      </c>
      <c r="H951" t="s">
        <v>377</v>
      </c>
    </row>
    <row r="952" spans="1:8" ht="15" customHeight="1" x14ac:dyDescent="0.3">
      <c r="A952" t="s">
        <v>537</v>
      </c>
      <c r="B952" t="s">
        <v>538</v>
      </c>
      <c r="C952" t="s">
        <v>539</v>
      </c>
      <c r="D952" t="s">
        <v>439</v>
      </c>
      <c r="E952" t="s">
        <v>375</v>
      </c>
      <c r="F952" t="s">
        <v>435</v>
      </c>
      <c r="G952" s="14">
        <v>46244.832372685203</v>
      </c>
      <c r="H952" t="s">
        <v>390</v>
      </c>
    </row>
    <row r="953" spans="1:8" ht="15" customHeight="1" x14ac:dyDescent="0.3">
      <c r="A953" t="s">
        <v>540</v>
      </c>
      <c r="B953" t="s">
        <v>541</v>
      </c>
      <c r="C953" t="s">
        <v>542</v>
      </c>
      <c r="D953" t="s">
        <v>439</v>
      </c>
      <c r="E953" t="s">
        <v>375</v>
      </c>
      <c r="F953" t="s">
        <v>435</v>
      </c>
      <c r="G953" s="14">
        <v>46244.832280092603</v>
      </c>
      <c r="H953" t="s">
        <v>377</v>
      </c>
    </row>
    <row r="954" spans="1:8" ht="15" customHeight="1" x14ac:dyDescent="0.3">
      <c r="A954" t="s">
        <v>549</v>
      </c>
      <c r="B954" t="s">
        <v>550</v>
      </c>
      <c r="C954" t="s">
        <v>551</v>
      </c>
      <c r="D954" t="s">
        <v>439</v>
      </c>
      <c r="E954" t="s">
        <v>375</v>
      </c>
      <c r="F954" t="s">
        <v>435</v>
      </c>
      <c r="G954" s="14">
        <v>46244.830405092602</v>
      </c>
      <c r="H954" t="s">
        <v>390</v>
      </c>
    </row>
    <row r="955" spans="1:8" ht="15" customHeight="1" x14ac:dyDescent="0.3">
      <c r="A955" t="s">
        <v>534</v>
      </c>
      <c r="B955" t="s">
        <v>535</v>
      </c>
      <c r="C955" t="s">
        <v>536</v>
      </c>
      <c r="D955" t="s">
        <v>439</v>
      </c>
      <c r="E955" t="s">
        <v>375</v>
      </c>
      <c r="F955" t="s">
        <v>435</v>
      </c>
      <c r="G955" s="14">
        <v>46244.830300925903</v>
      </c>
      <c r="H955" t="s">
        <v>377</v>
      </c>
    </row>
    <row r="956" spans="1:8" ht="15" customHeight="1" x14ac:dyDescent="0.3">
      <c r="A956" t="s">
        <v>528</v>
      </c>
      <c r="B956" t="s">
        <v>529</v>
      </c>
      <c r="C956" t="s">
        <v>530</v>
      </c>
      <c r="D956" t="s">
        <v>439</v>
      </c>
      <c r="E956" t="s">
        <v>375</v>
      </c>
      <c r="F956" t="s">
        <v>435</v>
      </c>
      <c r="G956" s="14">
        <v>46244.819317129601</v>
      </c>
      <c r="H956" t="s">
        <v>390</v>
      </c>
    </row>
    <row r="957" spans="1:8" ht="15" customHeight="1" x14ac:dyDescent="0.3">
      <c r="A957" t="s">
        <v>472</v>
      </c>
      <c r="B957" t="s">
        <v>473</v>
      </c>
      <c r="C957" t="s">
        <v>474</v>
      </c>
      <c r="D957" t="s">
        <v>439</v>
      </c>
      <c r="E957" t="s">
        <v>23</v>
      </c>
      <c r="F957" t="s">
        <v>376</v>
      </c>
      <c r="G957" s="14">
        <v>46244.8123611111</v>
      </c>
      <c r="H957" t="s">
        <v>377</v>
      </c>
    </row>
    <row r="958" spans="1:8" ht="15" customHeight="1" x14ac:dyDescent="0.3">
      <c r="A958" t="s">
        <v>455</v>
      </c>
      <c r="B958" t="s">
        <v>456</v>
      </c>
      <c r="C958" t="s">
        <v>457</v>
      </c>
      <c r="D958" t="s">
        <v>439</v>
      </c>
      <c r="E958" t="s">
        <v>375</v>
      </c>
      <c r="F958" t="s">
        <v>376</v>
      </c>
      <c r="G958" s="14">
        <v>46244.783263888901</v>
      </c>
      <c r="H958" t="s">
        <v>377</v>
      </c>
    </row>
    <row r="959" spans="1:8" ht="15" customHeight="1" x14ac:dyDescent="0.3">
      <c r="A959" t="s">
        <v>472</v>
      </c>
      <c r="B959" t="s">
        <v>473</v>
      </c>
      <c r="C959" t="s">
        <v>474</v>
      </c>
      <c r="D959" t="s">
        <v>439</v>
      </c>
      <c r="E959" t="s">
        <v>23</v>
      </c>
      <c r="F959" t="s">
        <v>376</v>
      </c>
      <c r="G959" s="14">
        <v>46244.452476851897</v>
      </c>
      <c r="H959" t="s">
        <v>390</v>
      </c>
    </row>
    <row r="960" spans="1:8" ht="15" customHeight="1" x14ac:dyDescent="0.3">
      <c r="A960" t="s">
        <v>522</v>
      </c>
      <c r="B960" t="s">
        <v>523</v>
      </c>
      <c r="C960" t="s">
        <v>524</v>
      </c>
      <c r="D960" t="s">
        <v>439</v>
      </c>
      <c r="E960" t="s">
        <v>394</v>
      </c>
      <c r="F960" t="s">
        <v>435</v>
      </c>
      <c r="G960" s="14">
        <v>46244.417511574102</v>
      </c>
      <c r="H960" t="s">
        <v>390</v>
      </c>
    </row>
    <row r="961" spans="1:8" ht="15" customHeight="1" x14ac:dyDescent="0.3">
      <c r="A961" t="s">
        <v>531</v>
      </c>
      <c r="B961" t="s">
        <v>532</v>
      </c>
      <c r="C961" t="s">
        <v>533</v>
      </c>
      <c r="D961" t="s">
        <v>439</v>
      </c>
      <c r="E961" t="s">
        <v>394</v>
      </c>
      <c r="F961" t="s">
        <v>435</v>
      </c>
      <c r="G961" s="14">
        <v>46244.411712963003</v>
      </c>
      <c r="H961" t="s">
        <v>390</v>
      </c>
    </row>
    <row r="962" spans="1:8" ht="15" customHeight="1" x14ac:dyDescent="0.3">
      <c r="A962" t="s">
        <v>549</v>
      </c>
      <c r="B962" t="s">
        <v>550</v>
      </c>
      <c r="C962" t="s">
        <v>551</v>
      </c>
      <c r="D962" t="s">
        <v>439</v>
      </c>
      <c r="E962" t="s">
        <v>375</v>
      </c>
      <c r="F962" t="s">
        <v>435</v>
      </c>
      <c r="G962" s="14">
        <v>46244.354560185202</v>
      </c>
      <c r="H962" t="s">
        <v>377</v>
      </c>
    </row>
    <row r="963" spans="1:8" ht="15" customHeight="1" x14ac:dyDescent="0.3">
      <c r="A963" t="s">
        <v>528</v>
      </c>
      <c r="B963" t="s">
        <v>529</v>
      </c>
      <c r="C963" t="s">
        <v>530</v>
      </c>
      <c r="D963" t="s">
        <v>439</v>
      </c>
      <c r="E963" t="s">
        <v>375</v>
      </c>
      <c r="F963" t="s">
        <v>435</v>
      </c>
      <c r="G963" s="14">
        <v>46244.3542592593</v>
      </c>
      <c r="H963" t="s">
        <v>377</v>
      </c>
    </row>
    <row r="964" spans="1:8" ht="15" customHeight="1" x14ac:dyDescent="0.3">
      <c r="A964" t="s">
        <v>455</v>
      </c>
      <c r="B964" t="s">
        <v>456</v>
      </c>
      <c r="C964" t="s">
        <v>457</v>
      </c>
      <c r="D964" t="s">
        <v>439</v>
      </c>
      <c r="E964" t="s">
        <v>375</v>
      </c>
      <c r="F964" t="s">
        <v>376</v>
      </c>
      <c r="G964" s="14">
        <v>46244.352928240703</v>
      </c>
      <c r="H964" t="s">
        <v>390</v>
      </c>
    </row>
    <row r="965" spans="1:8" ht="15" customHeight="1" x14ac:dyDescent="0.3">
      <c r="A965" t="s">
        <v>475</v>
      </c>
      <c r="B965" t="s">
        <v>476</v>
      </c>
      <c r="C965" t="s">
        <v>477</v>
      </c>
      <c r="D965" t="s">
        <v>439</v>
      </c>
      <c r="E965" t="s">
        <v>478</v>
      </c>
      <c r="F965" t="s">
        <v>376</v>
      </c>
      <c r="G965" s="14">
        <v>46244.3438888889</v>
      </c>
      <c r="H965" t="s">
        <v>390</v>
      </c>
    </row>
    <row r="966" spans="1:8" ht="15" customHeight="1" x14ac:dyDescent="0.3">
      <c r="A966" t="s">
        <v>508</v>
      </c>
      <c r="B966" t="s">
        <v>509</v>
      </c>
      <c r="C966" t="s">
        <v>510</v>
      </c>
      <c r="D966" t="s">
        <v>439</v>
      </c>
      <c r="E966" t="s">
        <v>394</v>
      </c>
      <c r="F966" t="s">
        <v>395</v>
      </c>
      <c r="G966" s="14">
        <v>46244.342881944503</v>
      </c>
      <c r="H966" t="s">
        <v>390</v>
      </c>
    </row>
    <row r="967" spans="1:8" ht="15" customHeight="1" x14ac:dyDescent="0.3">
      <c r="A967" t="s">
        <v>537</v>
      </c>
      <c r="B967" t="s">
        <v>538</v>
      </c>
      <c r="C967" t="s">
        <v>539</v>
      </c>
      <c r="D967" t="s">
        <v>439</v>
      </c>
      <c r="E967" t="s">
        <v>375</v>
      </c>
      <c r="F967" t="s">
        <v>435</v>
      </c>
      <c r="G967" s="14">
        <v>46244.337395833303</v>
      </c>
      <c r="H967" t="s">
        <v>377</v>
      </c>
    </row>
    <row r="968" spans="1:8" ht="15" customHeight="1" x14ac:dyDescent="0.3">
      <c r="A968" t="s">
        <v>461</v>
      </c>
      <c r="B968" t="s">
        <v>462</v>
      </c>
      <c r="C968" t="s">
        <v>463</v>
      </c>
      <c r="D968" t="s">
        <v>439</v>
      </c>
      <c r="E968" t="s">
        <v>375</v>
      </c>
      <c r="F968" t="s">
        <v>552</v>
      </c>
      <c r="G968" s="14">
        <v>46244.333333333299</v>
      </c>
      <c r="H968" t="s">
        <v>390</v>
      </c>
    </row>
    <row r="969" spans="1:8" ht="15" customHeight="1" x14ac:dyDescent="0.3">
      <c r="A969" t="s">
        <v>452</v>
      </c>
      <c r="B969" t="s">
        <v>453</v>
      </c>
      <c r="C969" t="s">
        <v>454</v>
      </c>
      <c r="D969" t="s">
        <v>439</v>
      </c>
      <c r="E969" t="s">
        <v>375</v>
      </c>
      <c r="F969" t="s">
        <v>553</v>
      </c>
      <c r="G969" s="14">
        <v>46244.322719907403</v>
      </c>
      <c r="H969" t="s">
        <v>390</v>
      </c>
    </row>
    <row r="970" spans="1:8" ht="15" customHeight="1" x14ac:dyDescent="0.3">
      <c r="A970" t="s">
        <v>534</v>
      </c>
      <c r="B970" t="s">
        <v>535</v>
      </c>
      <c r="C970" t="s">
        <v>536</v>
      </c>
      <c r="D970" t="s">
        <v>439</v>
      </c>
      <c r="E970" t="s">
        <v>375</v>
      </c>
      <c r="F970" t="s">
        <v>435</v>
      </c>
      <c r="G970" s="14">
        <v>46244.320092592599</v>
      </c>
      <c r="H970" t="s">
        <v>390</v>
      </c>
    </row>
    <row r="971" spans="1:8" ht="15" customHeight="1" x14ac:dyDescent="0.3">
      <c r="A971" t="s">
        <v>540</v>
      </c>
      <c r="B971" t="s">
        <v>541</v>
      </c>
      <c r="C971" t="s">
        <v>542</v>
      </c>
      <c r="D971" t="s">
        <v>439</v>
      </c>
      <c r="E971" t="s">
        <v>375</v>
      </c>
      <c r="F971" t="s">
        <v>435</v>
      </c>
      <c r="G971" s="14">
        <v>46244.3198611111</v>
      </c>
      <c r="H971" t="s">
        <v>390</v>
      </c>
    </row>
    <row r="972" spans="1:8" ht="15" customHeight="1" x14ac:dyDescent="0.3">
      <c r="A972" t="s">
        <v>488</v>
      </c>
      <c r="B972" t="s">
        <v>489</v>
      </c>
      <c r="C972" t="s">
        <v>490</v>
      </c>
      <c r="D972" t="s">
        <v>439</v>
      </c>
      <c r="E972" t="s">
        <v>375</v>
      </c>
      <c r="F972" t="s">
        <v>435</v>
      </c>
      <c r="G972" s="14">
        <v>46244.319571759297</v>
      </c>
      <c r="H972" t="s">
        <v>390</v>
      </c>
    </row>
    <row r="973" spans="1:8" ht="15" customHeight="1" x14ac:dyDescent="0.3">
      <c r="A973" t="s">
        <v>519</v>
      </c>
      <c r="B973" t="s">
        <v>520</v>
      </c>
      <c r="C973" t="s">
        <v>521</v>
      </c>
      <c r="D973" t="s">
        <v>439</v>
      </c>
      <c r="E973" t="s">
        <v>375</v>
      </c>
      <c r="F973" t="s">
        <v>376</v>
      </c>
      <c r="G973" s="14">
        <v>46244.283912036997</v>
      </c>
      <c r="H973" t="s">
        <v>390</v>
      </c>
    </row>
    <row r="974" spans="1:8" ht="15" customHeight="1" x14ac:dyDescent="0.3">
      <c r="A974" t="s">
        <v>472</v>
      </c>
      <c r="B974" t="s">
        <v>473</v>
      </c>
      <c r="C974" t="s">
        <v>474</v>
      </c>
      <c r="D974" t="s">
        <v>439</v>
      </c>
      <c r="E974" t="s">
        <v>23</v>
      </c>
      <c r="F974" t="s">
        <v>376</v>
      </c>
      <c r="G974" s="14">
        <v>46243.856608796297</v>
      </c>
      <c r="H974" t="s">
        <v>377</v>
      </c>
    </row>
    <row r="975" spans="1:8" ht="15" customHeight="1" x14ac:dyDescent="0.3">
      <c r="A975" t="s">
        <v>455</v>
      </c>
      <c r="B975" t="s">
        <v>456</v>
      </c>
      <c r="C975" t="s">
        <v>457</v>
      </c>
      <c r="D975" t="s">
        <v>439</v>
      </c>
      <c r="E975" t="s">
        <v>375</v>
      </c>
      <c r="F975" t="s">
        <v>376</v>
      </c>
      <c r="G975" s="14">
        <v>46243.856550925899</v>
      </c>
      <c r="H975" t="s">
        <v>377</v>
      </c>
    </row>
    <row r="976" spans="1:8" ht="15" customHeight="1" x14ac:dyDescent="0.3">
      <c r="A976" t="s">
        <v>455</v>
      </c>
      <c r="B976" t="s">
        <v>456</v>
      </c>
      <c r="C976" t="s">
        <v>457</v>
      </c>
      <c r="D976" t="s">
        <v>439</v>
      </c>
      <c r="E976" t="s">
        <v>375</v>
      </c>
      <c r="F976" t="s">
        <v>376</v>
      </c>
      <c r="G976" s="14">
        <v>46243.856273148202</v>
      </c>
      <c r="H976" t="s">
        <v>390</v>
      </c>
    </row>
    <row r="977" spans="1:8" ht="15" customHeight="1" x14ac:dyDescent="0.3">
      <c r="A977" t="s">
        <v>537</v>
      </c>
      <c r="B977" t="s">
        <v>538</v>
      </c>
      <c r="C977" t="s">
        <v>539</v>
      </c>
      <c r="D977" t="s">
        <v>439</v>
      </c>
      <c r="E977" t="s">
        <v>375</v>
      </c>
      <c r="F977" t="s">
        <v>435</v>
      </c>
      <c r="G977" s="14">
        <v>46243.843900462998</v>
      </c>
      <c r="H977" t="s">
        <v>390</v>
      </c>
    </row>
    <row r="978" spans="1:8" ht="15" customHeight="1" x14ac:dyDescent="0.3">
      <c r="A978" t="s">
        <v>475</v>
      </c>
      <c r="B978" t="s">
        <v>476</v>
      </c>
      <c r="C978" t="s">
        <v>477</v>
      </c>
      <c r="D978" t="s">
        <v>439</v>
      </c>
      <c r="E978" t="s">
        <v>478</v>
      </c>
      <c r="F978" t="s">
        <v>376</v>
      </c>
      <c r="G978" s="14">
        <v>46243.840590277803</v>
      </c>
      <c r="H978" t="s">
        <v>377</v>
      </c>
    </row>
    <row r="979" spans="1:8" ht="15" customHeight="1" x14ac:dyDescent="0.3">
      <c r="A979" t="s">
        <v>525</v>
      </c>
      <c r="B979" t="s">
        <v>526</v>
      </c>
      <c r="C979" t="s">
        <v>527</v>
      </c>
      <c r="D979" t="s">
        <v>439</v>
      </c>
      <c r="E979" t="s">
        <v>375</v>
      </c>
      <c r="F979" t="s">
        <v>435</v>
      </c>
      <c r="G979" s="14">
        <v>46243.839768518497</v>
      </c>
      <c r="H979" t="s">
        <v>390</v>
      </c>
    </row>
    <row r="980" spans="1:8" ht="15" customHeight="1" x14ac:dyDescent="0.3">
      <c r="A980" t="s">
        <v>528</v>
      </c>
      <c r="B980" t="s">
        <v>529</v>
      </c>
      <c r="C980" t="s">
        <v>530</v>
      </c>
      <c r="D980" t="s">
        <v>439</v>
      </c>
      <c r="E980" t="s">
        <v>375</v>
      </c>
      <c r="F980" t="s">
        <v>435</v>
      </c>
      <c r="G980" s="14">
        <v>46243.839641203696</v>
      </c>
      <c r="H980" t="s">
        <v>390</v>
      </c>
    </row>
    <row r="981" spans="1:8" ht="15" customHeight="1" x14ac:dyDescent="0.3">
      <c r="A981" t="s">
        <v>540</v>
      </c>
      <c r="B981" t="s">
        <v>541</v>
      </c>
      <c r="C981" t="s">
        <v>542</v>
      </c>
      <c r="D981" t="s">
        <v>439</v>
      </c>
      <c r="E981" t="s">
        <v>375</v>
      </c>
      <c r="F981" t="s">
        <v>435</v>
      </c>
      <c r="G981" s="14">
        <v>46243.8383217593</v>
      </c>
      <c r="H981" t="s">
        <v>377</v>
      </c>
    </row>
    <row r="982" spans="1:8" ht="15" customHeight="1" x14ac:dyDescent="0.3">
      <c r="A982" t="s">
        <v>522</v>
      </c>
      <c r="B982" t="s">
        <v>523</v>
      </c>
      <c r="C982" t="s">
        <v>524</v>
      </c>
      <c r="D982" t="s">
        <v>439</v>
      </c>
      <c r="E982" t="s">
        <v>394</v>
      </c>
      <c r="F982" t="s">
        <v>435</v>
      </c>
      <c r="G982" s="14">
        <v>46243.834548611099</v>
      </c>
      <c r="H982" t="s">
        <v>377</v>
      </c>
    </row>
    <row r="983" spans="1:8" ht="15" customHeight="1" x14ac:dyDescent="0.3">
      <c r="A983" t="s">
        <v>488</v>
      </c>
      <c r="B983" t="s">
        <v>489</v>
      </c>
      <c r="C983" t="s">
        <v>490</v>
      </c>
      <c r="D983" t="s">
        <v>439</v>
      </c>
      <c r="E983" t="s">
        <v>375</v>
      </c>
      <c r="F983" t="s">
        <v>435</v>
      </c>
      <c r="G983" s="14">
        <v>46243.834444444401</v>
      </c>
      <c r="H983" t="s">
        <v>377</v>
      </c>
    </row>
    <row r="984" spans="1:8" ht="15" customHeight="1" x14ac:dyDescent="0.3">
      <c r="A984" t="s">
        <v>546</v>
      </c>
      <c r="B984" t="s">
        <v>547</v>
      </c>
      <c r="C984" t="s">
        <v>548</v>
      </c>
      <c r="D984" t="s">
        <v>439</v>
      </c>
      <c r="E984" t="s">
        <v>375</v>
      </c>
      <c r="F984" t="s">
        <v>435</v>
      </c>
      <c r="G984" s="14">
        <v>46243.833842592598</v>
      </c>
      <c r="H984" t="s">
        <v>377</v>
      </c>
    </row>
    <row r="985" spans="1:8" ht="15" customHeight="1" x14ac:dyDescent="0.3">
      <c r="A985" t="s">
        <v>534</v>
      </c>
      <c r="B985" t="s">
        <v>535</v>
      </c>
      <c r="C985" t="s">
        <v>536</v>
      </c>
      <c r="D985" t="s">
        <v>439</v>
      </c>
      <c r="E985" t="s">
        <v>375</v>
      </c>
      <c r="F985" t="s">
        <v>435</v>
      </c>
      <c r="G985" s="14">
        <v>46243.833368055602</v>
      </c>
      <c r="H985" t="s">
        <v>390</v>
      </c>
    </row>
    <row r="986" spans="1:8" ht="15" customHeight="1" x14ac:dyDescent="0.3">
      <c r="A986" t="s">
        <v>519</v>
      </c>
      <c r="B986" t="s">
        <v>520</v>
      </c>
      <c r="C986" t="s">
        <v>521</v>
      </c>
      <c r="D986" t="s">
        <v>439</v>
      </c>
      <c r="E986" t="s">
        <v>375</v>
      </c>
      <c r="F986" t="s">
        <v>376</v>
      </c>
      <c r="G986" s="14">
        <v>46243.812708333302</v>
      </c>
      <c r="H986" t="s">
        <v>390</v>
      </c>
    </row>
    <row r="987" spans="1:8" ht="15" customHeight="1" x14ac:dyDescent="0.3">
      <c r="A987" t="s">
        <v>475</v>
      </c>
      <c r="B987" t="s">
        <v>476</v>
      </c>
      <c r="C987" t="s">
        <v>477</v>
      </c>
      <c r="D987" t="s">
        <v>439</v>
      </c>
      <c r="E987" t="s">
        <v>478</v>
      </c>
      <c r="F987" t="s">
        <v>376</v>
      </c>
      <c r="G987" s="14">
        <v>46243.359884259298</v>
      </c>
      <c r="H987" t="s">
        <v>390</v>
      </c>
    </row>
    <row r="988" spans="1:8" ht="15" customHeight="1" x14ac:dyDescent="0.3">
      <c r="A988" t="s">
        <v>540</v>
      </c>
      <c r="B988" t="s">
        <v>541</v>
      </c>
      <c r="C988" t="s">
        <v>542</v>
      </c>
      <c r="D988" t="s">
        <v>439</v>
      </c>
      <c r="E988" t="s">
        <v>375</v>
      </c>
      <c r="F988" t="s">
        <v>435</v>
      </c>
      <c r="G988" s="14">
        <v>46243.341041666703</v>
      </c>
      <c r="H988" t="s">
        <v>390</v>
      </c>
    </row>
    <row r="989" spans="1:8" ht="15" customHeight="1" x14ac:dyDescent="0.3">
      <c r="A989" t="s">
        <v>455</v>
      </c>
      <c r="B989" t="s">
        <v>456</v>
      </c>
      <c r="C989" t="s">
        <v>457</v>
      </c>
      <c r="D989" t="s">
        <v>439</v>
      </c>
      <c r="E989" t="s">
        <v>375</v>
      </c>
      <c r="F989" t="s">
        <v>376</v>
      </c>
      <c r="G989" s="14">
        <v>46243.334467592598</v>
      </c>
      <c r="H989" t="s">
        <v>390</v>
      </c>
    </row>
    <row r="990" spans="1:8" ht="15" customHeight="1" x14ac:dyDescent="0.3">
      <c r="A990" t="s">
        <v>537</v>
      </c>
      <c r="B990" t="s">
        <v>538</v>
      </c>
      <c r="C990" t="s">
        <v>539</v>
      </c>
      <c r="D990" t="s">
        <v>439</v>
      </c>
      <c r="E990" t="s">
        <v>375</v>
      </c>
      <c r="F990" t="s">
        <v>435</v>
      </c>
      <c r="G990" s="14">
        <v>46243.332349536999</v>
      </c>
      <c r="H990" t="s">
        <v>377</v>
      </c>
    </row>
    <row r="991" spans="1:8" ht="15" customHeight="1" x14ac:dyDescent="0.3">
      <c r="A991" t="s">
        <v>488</v>
      </c>
      <c r="B991" t="s">
        <v>489</v>
      </c>
      <c r="C991" t="s">
        <v>490</v>
      </c>
      <c r="D991" t="s">
        <v>439</v>
      </c>
      <c r="E991" t="s">
        <v>375</v>
      </c>
      <c r="F991" t="s">
        <v>435</v>
      </c>
      <c r="G991" s="14">
        <v>46243.331435185202</v>
      </c>
      <c r="H991" t="s">
        <v>390</v>
      </c>
    </row>
    <row r="992" spans="1:8" ht="15" customHeight="1" x14ac:dyDescent="0.3">
      <c r="A992" t="s">
        <v>549</v>
      </c>
      <c r="B992" t="s">
        <v>550</v>
      </c>
      <c r="C992" t="s">
        <v>551</v>
      </c>
      <c r="D992" t="s">
        <v>439</v>
      </c>
      <c r="E992" t="s">
        <v>375</v>
      </c>
      <c r="F992" t="s">
        <v>435</v>
      </c>
      <c r="G992" s="14">
        <v>46243.331053240698</v>
      </c>
      <c r="H992" t="s">
        <v>377</v>
      </c>
    </row>
    <row r="993" spans="1:8" ht="15" customHeight="1" x14ac:dyDescent="0.3">
      <c r="A993" t="s">
        <v>440</v>
      </c>
      <c r="B993" t="s">
        <v>441</v>
      </c>
      <c r="C993" t="s">
        <v>442</v>
      </c>
      <c r="D993" t="s">
        <v>439</v>
      </c>
      <c r="E993" t="s">
        <v>375</v>
      </c>
      <c r="F993" t="s">
        <v>435</v>
      </c>
      <c r="G993" s="14">
        <v>46243.330659722204</v>
      </c>
      <c r="H993" t="s">
        <v>390</v>
      </c>
    </row>
    <row r="994" spans="1:8" ht="15" customHeight="1" x14ac:dyDescent="0.3">
      <c r="A994" t="s">
        <v>528</v>
      </c>
      <c r="B994" t="s">
        <v>529</v>
      </c>
      <c r="C994" t="s">
        <v>530</v>
      </c>
      <c r="D994" t="s">
        <v>439</v>
      </c>
      <c r="E994" t="s">
        <v>375</v>
      </c>
      <c r="F994" t="s">
        <v>435</v>
      </c>
      <c r="G994" s="14">
        <v>46243.330543981501</v>
      </c>
      <c r="H994" t="s">
        <v>377</v>
      </c>
    </row>
    <row r="995" spans="1:8" ht="15" customHeight="1" x14ac:dyDescent="0.3">
      <c r="A995" t="s">
        <v>534</v>
      </c>
      <c r="B995" t="s">
        <v>535</v>
      </c>
      <c r="C995" t="s">
        <v>536</v>
      </c>
      <c r="D995" t="s">
        <v>439</v>
      </c>
      <c r="E995" t="s">
        <v>375</v>
      </c>
      <c r="F995" t="s">
        <v>435</v>
      </c>
      <c r="G995" s="14">
        <v>46243.326319444401</v>
      </c>
      <c r="H995" t="s">
        <v>390</v>
      </c>
    </row>
    <row r="996" spans="1:8" ht="15" customHeight="1" x14ac:dyDescent="0.3">
      <c r="A996" t="s">
        <v>488</v>
      </c>
      <c r="B996" t="s">
        <v>489</v>
      </c>
      <c r="C996" t="s">
        <v>490</v>
      </c>
      <c r="D996" t="s">
        <v>439</v>
      </c>
      <c r="E996" t="s">
        <v>375</v>
      </c>
      <c r="F996" t="s">
        <v>435</v>
      </c>
      <c r="G996" s="14">
        <v>46243.323553240698</v>
      </c>
      <c r="H996" t="s">
        <v>390</v>
      </c>
    </row>
    <row r="997" spans="1:8" ht="15" customHeight="1" x14ac:dyDescent="0.3">
      <c r="A997" t="s">
        <v>546</v>
      </c>
      <c r="B997" t="s">
        <v>547</v>
      </c>
      <c r="C997" t="s">
        <v>548</v>
      </c>
      <c r="D997" t="s">
        <v>439</v>
      </c>
      <c r="E997" t="s">
        <v>375</v>
      </c>
      <c r="F997" t="s">
        <v>435</v>
      </c>
      <c r="G997" s="14">
        <v>46243.323032407403</v>
      </c>
      <c r="H997" t="s">
        <v>390</v>
      </c>
    </row>
    <row r="998" spans="1:8" ht="15" customHeight="1" x14ac:dyDescent="0.3">
      <c r="A998" t="s">
        <v>522</v>
      </c>
      <c r="B998" t="s">
        <v>523</v>
      </c>
      <c r="C998" t="s">
        <v>524</v>
      </c>
      <c r="D998" t="s">
        <v>439</v>
      </c>
      <c r="E998" t="s">
        <v>394</v>
      </c>
      <c r="F998" t="s">
        <v>435</v>
      </c>
      <c r="G998" s="14">
        <v>46243.322916666701</v>
      </c>
      <c r="H998" t="s">
        <v>390</v>
      </c>
    </row>
    <row r="999" spans="1:8" ht="15" customHeight="1" x14ac:dyDescent="0.3">
      <c r="A999" t="s">
        <v>472</v>
      </c>
      <c r="B999" t="s">
        <v>473</v>
      </c>
      <c r="C999" t="s">
        <v>474</v>
      </c>
      <c r="D999" t="s">
        <v>439</v>
      </c>
      <c r="E999" t="s">
        <v>23</v>
      </c>
      <c r="F999" t="s">
        <v>376</v>
      </c>
      <c r="G999" s="14">
        <v>46243.322638888902</v>
      </c>
      <c r="H999" t="s">
        <v>390</v>
      </c>
    </row>
    <row r="1000" spans="1:8" ht="15" customHeight="1" x14ac:dyDescent="0.3">
      <c r="A1000" t="s">
        <v>515</v>
      </c>
      <c r="B1000" t="s">
        <v>211</v>
      </c>
      <c r="C1000" t="s">
        <v>516</v>
      </c>
      <c r="D1000" t="s">
        <v>439</v>
      </c>
      <c r="E1000" t="s">
        <v>375</v>
      </c>
      <c r="F1000" t="s">
        <v>553</v>
      </c>
      <c r="G1000" s="14">
        <v>46243.317824074104</v>
      </c>
      <c r="H1000" t="s">
        <v>390</v>
      </c>
    </row>
    <row r="1001" spans="1:8" ht="15" customHeight="1" x14ac:dyDescent="0.3">
      <c r="A1001" t="s">
        <v>472</v>
      </c>
      <c r="B1001" t="s">
        <v>473</v>
      </c>
      <c r="C1001" t="s">
        <v>474</v>
      </c>
      <c r="D1001" t="s">
        <v>439</v>
      </c>
      <c r="E1001" t="s">
        <v>23</v>
      </c>
      <c r="F1001" t="s">
        <v>376</v>
      </c>
      <c r="G1001" s="14">
        <v>46242.911064814798</v>
      </c>
      <c r="H1001" t="s">
        <v>377</v>
      </c>
    </row>
    <row r="1002" spans="1:8" ht="15" customHeight="1" x14ac:dyDescent="0.3">
      <c r="A1002" t="s">
        <v>475</v>
      </c>
      <c r="B1002" t="s">
        <v>476</v>
      </c>
      <c r="C1002" t="s">
        <v>477</v>
      </c>
      <c r="D1002" t="s">
        <v>439</v>
      </c>
      <c r="E1002" t="s">
        <v>478</v>
      </c>
      <c r="F1002" t="s">
        <v>435</v>
      </c>
      <c r="G1002" s="14">
        <v>46242.833993055603</v>
      </c>
      <c r="H1002" t="s">
        <v>377</v>
      </c>
    </row>
    <row r="1003" spans="1:8" ht="15" customHeight="1" x14ac:dyDescent="0.3">
      <c r="A1003" t="s">
        <v>540</v>
      </c>
      <c r="B1003" t="s">
        <v>541</v>
      </c>
      <c r="C1003" t="s">
        <v>542</v>
      </c>
      <c r="D1003" t="s">
        <v>439</v>
      </c>
      <c r="E1003" t="s">
        <v>375</v>
      </c>
      <c r="F1003" t="s">
        <v>435</v>
      </c>
      <c r="G1003" s="14">
        <v>46242.833599537</v>
      </c>
      <c r="H1003" t="s">
        <v>377</v>
      </c>
    </row>
    <row r="1004" spans="1:8" ht="15" customHeight="1" x14ac:dyDescent="0.3">
      <c r="A1004" t="s">
        <v>534</v>
      </c>
      <c r="B1004" t="s">
        <v>535</v>
      </c>
      <c r="C1004" t="s">
        <v>536</v>
      </c>
      <c r="D1004" t="s">
        <v>439</v>
      </c>
      <c r="E1004" t="s">
        <v>375</v>
      </c>
      <c r="F1004" t="s">
        <v>435</v>
      </c>
      <c r="G1004" s="14">
        <v>46242.832025463002</v>
      </c>
      <c r="H1004" t="s">
        <v>377</v>
      </c>
    </row>
    <row r="1005" spans="1:8" ht="15" customHeight="1" x14ac:dyDescent="0.3">
      <c r="A1005" t="s">
        <v>549</v>
      </c>
      <c r="B1005" t="s">
        <v>550</v>
      </c>
      <c r="C1005" t="s">
        <v>551</v>
      </c>
      <c r="D1005" t="s">
        <v>439</v>
      </c>
      <c r="E1005" t="s">
        <v>375</v>
      </c>
      <c r="F1005" t="s">
        <v>435</v>
      </c>
      <c r="G1005" s="14">
        <v>46242.828240740702</v>
      </c>
      <c r="H1005" t="s">
        <v>390</v>
      </c>
    </row>
    <row r="1006" spans="1:8" ht="15" customHeight="1" x14ac:dyDescent="0.3">
      <c r="A1006" t="s">
        <v>528</v>
      </c>
      <c r="B1006" t="s">
        <v>529</v>
      </c>
      <c r="C1006" t="s">
        <v>530</v>
      </c>
      <c r="D1006" t="s">
        <v>439</v>
      </c>
      <c r="E1006" t="s">
        <v>375</v>
      </c>
      <c r="F1006" t="s">
        <v>435</v>
      </c>
      <c r="G1006" s="14">
        <v>46242.8280787037</v>
      </c>
      <c r="H1006" t="s">
        <v>390</v>
      </c>
    </row>
    <row r="1007" spans="1:8" ht="15" customHeight="1" x14ac:dyDescent="0.3">
      <c r="A1007" t="s">
        <v>537</v>
      </c>
      <c r="B1007" t="s">
        <v>538</v>
      </c>
      <c r="C1007" t="s">
        <v>539</v>
      </c>
      <c r="D1007" t="s">
        <v>439</v>
      </c>
      <c r="E1007" t="s">
        <v>375</v>
      </c>
      <c r="F1007" t="s">
        <v>435</v>
      </c>
      <c r="G1007" s="14">
        <v>46242.827638888899</v>
      </c>
      <c r="H1007" t="s">
        <v>390</v>
      </c>
    </row>
    <row r="1008" spans="1:8" ht="15" customHeight="1" x14ac:dyDescent="0.3">
      <c r="A1008" t="s">
        <v>488</v>
      </c>
      <c r="B1008" t="s">
        <v>489</v>
      </c>
      <c r="C1008" t="s">
        <v>490</v>
      </c>
      <c r="D1008" t="s">
        <v>439</v>
      </c>
      <c r="E1008" t="s">
        <v>375</v>
      </c>
      <c r="F1008" t="s">
        <v>435</v>
      </c>
      <c r="G1008" s="14">
        <v>46242.825162036999</v>
      </c>
      <c r="H1008" t="s">
        <v>377</v>
      </c>
    </row>
    <row r="1009" spans="1:8" ht="15" customHeight="1" x14ac:dyDescent="0.3">
      <c r="A1009" t="s">
        <v>472</v>
      </c>
      <c r="B1009" t="s">
        <v>473</v>
      </c>
      <c r="C1009" t="s">
        <v>474</v>
      </c>
      <c r="D1009" t="s">
        <v>439</v>
      </c>
      <c r="E1009" t="s">
        <v>23</v>
      </c>
      <c r="F1009" t="s">
        <v>376</v>
      </c>
      <c r="G1009" s="14">
        <v>46242.702303240701</v>
      </c>
      <c r="H1009" t="s">
        <v>390</v>
      </c>
    </row>
    <row r="1010" spans="1:8" ht="15" customHeight="1" x14ac:dyDescent="0.3">
      <c r="A1010" t="s">
        <v>537</v>
      </c>
      <c r="B1010" t="s">
        <v>538</v>
      </c>
      <c r="C1010" t="s">
        <v>539</v>
      </c>
      <c r="D1010" t="s">
        <v>439</v>
      </c>
      <c r="E1010" t="s">
        <v>375</v>
      </c>
      <c r="F1010" t="s">
        <v>435</v>
      </c>
      <c r="G1010" s="14">
        <v>46242.333900463003</v>
      </c>
      <c r="H1010" t="s">
        <v>377</v>
      </c>
    </row>
    <row r="1011" spans="1:8" ht="15" customHeight="1" x14ac:dyDescent="0.3">
      <c r="A1011" t="s">
        <v>528</v>
      </c>
      <c r="B1011" t="s">
        <v>529</v>
      </c>
      <c r="C1011" t="s">
        <v>530</v>
      </c>
      <c r="D1011" t="s">
        <v>439</v>
      </c>
      <c r="E1011" t="s">
        <v>375</v>
      </c>
      <c r="F1011" t="s">
        <v>435</v>
      </c>
      <c r="G1011" s="14">
        <v>46242.332812499997</v>
      </c>
      <c r="H1011" t="s">
        <v>377</v>
      </c>
    </row>
    <row r="1012" spans="1:8" ht="15" customHeight="1" x14ac:dyDescent="0.3">
      <c r="A1012" t="s">
        <v>531</v>
      </c>
      <c r="B1012" t="s">
        <v>532</v>
      </c>
      <c r="C1012" t="s">
        <v>533</v>
      </c>
      <c r="D1012" t="s">
        <v>439</v>
      </c>
      <c r="E1012" t="s">
        <v>394</v>
      </c>
      <c r="F1012" t="s">
        <v>435</v>
      </c>
      <c r="G1012" s="14">
        <v>46242.331446759301</v>
      </c>
      <c r="H1012" t="s">
        <v>390</v>
      </c>
    </row>
    <row r="1013" spans="1:8" ht="15" customHeight="1" x14ac:dyDescent="0.3">
      <c r="A1013" t="s">
        <v>475</v>
      </c>
      <c r="B1013" t="s">
        <v>476</v>
      </c>
      <c r="C1013" t="s">
        <v>477</v>
      </c>
      <c r="D1013" t="s">
        <v>439</v>
      </c>
      <c r="E1013" t="s">
        <v>478</v>
      </c>
      <c r="F1013" t="s">
        <v>435</v>
      </c>
      <c r="G1013" s="14">
        <v>46242.326122685197</v>
      </c>
      <c r="H1013" t="s">
        <v>390</v>
      </c>
    </row>
    <row r="1014" spans="1:8" ht="15" customHeight="1" x14ac:dyDescent="0.3">
      <c r="A1014" t="s">
        <v>534</v>
      </c>
      <c r="B1014" t="s">
        <v>535</v>
      </c>
      <c r="C1014" t="s">
        <v>536</v>
      </c>
      <c r="D1014" t="s">
        <v>439</v>
      </c>
      <c r="E1014" t="s">
        <v>375</v>
      </c>
      <c r="F1014" t="s">
        <v>435</v>
      </c>
      <c r="G1014" s="14">
        <v>46242.325173611098</v>
      </c>
      <c r="H1014" t="s">
        <v>390</v>
      </c>
    </row>
    <row r="1015" spans="1:8" ht="15" customHeight="1" x14ac:dyDescent="0.3">
      <c r="A1015" t="s">
        <v>540</v>
      </c>
      <c r="B1015" t="s">
        <v>541</v>
      </c>
      <c r="C1015" t="s">
        <v>542</v>
      </c>
      <c r="D1015" t="s">
        <v>439</v>
      </c>
      <c r="E1015" t="s">
        <v>375</v>
      </c>
      <c r="F1015" t="s">
        <v>435</v>
      </c>
      <c r="G1015" s="14">
        <v>46242.324976851902</v>
      </c>
      <c r="H1015" t="s">
        <v>390</v>
      </c>
    </row>
    <row r="1016" spans="1:8" ht="15" customHeight="1" x14ac:dyDescent="0.3">
      <c r="A1016" t="s">
        <v>546</v>
      </c>
      <c r="B1016" t="s">
        <v>547</v>
      </c>
      <c r="C1016" t="s">
        <v>548</v>
      </c>
      <c r="D1016" t="s">
        <v>439</v>
      </c>
      <c r="E1016" t="s">
        <v>375</v>
      </c>
      <c r="F1016" t="s">
        <v>435</v>
      </c>
      <c r="G1016" s="14">
        <v>46242.324756944399</v>
      </c>
      <c r="H1016" t="s">
        <v>377</v>
      </c>
    </row>
    <row r="1017" spans="1:8" ht="15" customHeight="1" x14ac:dyDescent="0.3">
      <c r="A1017" t="s">
        <v>488</v>
      </c>
      <c r="B1017" t="s">
        <v>489</v>
      </c>
      <c r="C1017" t="s">
        <v>490</v>
      </c>
      <c r="D1017" t="s">
        <v>439</v>
      </c>
      <c r="E1017" t="s">
        <v>375</v>
      </c>
      <c r="F1017" t="s">
        <v>435</v>
      </c>
      <c r="G1017" s="14">
        <v>46242.323587963001</v>
      </c>
      <c r="H1017" t="s">
        <v>390</v>
      </c>
    </row>
    <row r="1018" spans="1:8" ht="15" customHeight="1" x14ac:dyDescent="0.3">
      <c r="A1018" t="s">
        <v>522</v>
      </c>
      <c r="B1018" t="s">
        <v>523</v>
      </c>
      <c r="C1018" t="s">
        <v>524</v>
      </c>
      <c r="D1018" t="s">
        <v>439</v>
      </c>
      <c r="E1018" t="s">
        <v>394</v>
      </c>
      <c r="F1018" t="s">
        <v>435</v>
      </c>
      <c r="G1018" s="14">
        <v>46242.323425925897</v>
      </c>
      <c r="H1018" t="s">
        <v>390</v>
      </c>
    </row>
    <row r="1019" spans="1:8" ht="15" customHeight="1" x14ac:dyDescent="0.3">
      <c r="A1019" t="s">
        <v>440</v>
      </c>
      <c r="B1019" t="s">
        <v>441</v>
      </c>
      <c r="C1019" t="s">
        <v>442</v>
      </c>
      <c r="D1019" t="s">
        <v>439</v>
      </c>
      <c r="E1019" t="s">
        <v>375</v>
      </c>
      <c r="F1019" t="s">
        <v>435</v>
      </c>
      <c r="G1019" s="14">
        <v>46242.322256944499</v>
      </c>
      <c r="H1019" t="s">
        <v>390</v>
      </c>
    </row>
    <row r="1020" spans="1:8" ht="15" customHeight="1" x14ac:dyDescent="0.3">
      <c r="A1020" t="s">
        <v>455</v>
      </c>
      <c r="B1020" t="s">
        <v>456</v>
      </c>
      <c r="C1020" t="s">
        <v>457</v>
      </c>
      <c r="D1020" t="s">
        <v>439</v>
      </c>
      <c r="E1020" t="s">
        <v>375</v>
      </c>
      <c r="F1020" t="s">
        <v>376</v>
      </c>
      <c r="G1020" s="14">
        <v>46242.302928240701</v>
      </c>
      <c r="H1020" t="s">
        <v>390</v>
      </c>
    </row>
    <row r="1021" spans="1:8" ht="15" customHeight="1" x14ac:dyDescent="0.3">
      <c r="A1021" t="s">
        <v>446</v>
      </c>
      <c r="B1021" t="s">
        <v>447</v>
      </c>
      <c r="C1021" t="s">
        <v>448</v>
      </c>
      <c r="D1021" t="s">
        <v>439</v>
      </c>
      <c r="E1021" t="s">
        <v>375</v>
      </c>
      <c r="F1021" t="s">
        <v>435</v>
      </c>
      <c r="G1021" s="14">
        <v>46241.864999999998</v>
      </c>
      <c r="H1021" t="s">
        <v>390</v>
      </c>
    </row>
    <row r="1022" spans="1:8" ht="15" customHeight="1" x14ac:dyDescent="0.3">
      <c r="A1022" t="s">
        <v>440</v>
      </c>
      <c r="B1022" t="s">
        <v>441</v>
      </c>
      <c r="C1022" t="s">
        <v>442</v>
      </c>
      <c r="D1022" t="s">
        <v>439</v>
      </c>
      <c r="E1022" t="s">
        <v>375</v>
      </c>
      <c r="F1022" t="s">
        <v>435</v>
      </c>
      <c r="G1022" s="14">
        <v>46241.840277777803</v>
      </c>
      <c r="H1022" t="s">
        <v>377</v>
      </c>
    </row>
    <row r="1023" spans="1:8" ht="15" customHeight="1" x14ac:dyDescent="0.3">
      <c r="A1023" t="s">
        <v>455</v>
      </c>
      <c r="B1023" t="s">
        <v>456</v>
      </c>
      <c r="C1023" t="s">
        <v>457</v>
      </c>
      <c r="D1023" t="s">
        <v>439</v>
      </c>
      <c r="E1023" t="s">
        <v>375</v>
      </c>
      <c r="F1023" t="s">
        <v>376</v>
      </c>
      <c r="G1023" s="14">
        <v>46241.836574074099</v>
      </c>
      <c r="H1023" t="s">
        <v>377</v>
      </c>
    </row>
    <row r="1024" spans="1:8" ht="15" customHeight="1" x14ac:dyDescent="0.3">
      <c r="A1024" t="s">
        <v>540</v>
      </c>
      <c r="B1024" t="s">
        <v>541</v>
      </c>
      <c r="C1024" t="s">
        <v>542</v>
      </c>
      <c r="D1024" t="s">
        <v>439</v>
      </c>
      <c r="E1024" t="s">
        <v>375</v>
      </c>
      <c r="F1024" t="s">
        <v>435</v>
      </c>
      <c r="G1024" s="14">
        <v>46241.83625</v>
      </c>
      <c r="H1024" t="s">
        <v>377</v>
      </c>
    </row>
    <row r="1025" spans="1:8" ht="15" customHeight="1" x14ac:dyDescent="0.3">
      <c r="A1025" t="s">
        <v>534</v>
      </c>
      <c r="B1025" t="s">
        <v>535</v>
      </c>
      <c r="C1025" t="s">
        <v>536</v>
      </c>
      <c r="D1025" t="s">
        <v>439</v>
      </c>
      <c r="E1025" t="s">
        <v>375</v>
      </c>
      <c r="F1025" t="s">
        <v>435</v>
      </c>
      <c r="G1025" s="14">
        <v>46241.836168981499</v>
      </c>
      <c r="H1025" t="s">
        <v>377</v>
      </c>
    </row>
    <row r="1026" spans="1:8" ht="15" customHeight="1" x14ac:dyDescent="0.3">
      <c r="A1026" t="s">
        <v>531</v>
      </c>
      <c r="B1026" t="s">
        <v>532</v>
      </c>
      <c r="C1026" t="s">
        <v>533</v>
      </c>
      <c r="D1026" t="s">
        <v>439</v>
      </c>
      <c r="E1026" t="s">
        <v>394</v>
      </c>
      <c r="F1026" t="s">
        <v>435</v>
      </c>
      <c r="G1026" s="14">
        <v>46241.8360300926</v>
      </c>
      <c r="H1026" t="s">
        <v>377</v>
      </c>
    </row>
    <row r="1027" spans="1:8" ht="15" customHeight="1" x14ac:dyDescent="0.3">
      <c r="A1027" t="s">
        <v>475</v>
      </c>
      <c r="B1027" t="s">
        <v>476</v>
      </c>
      <c r="C1027" t="s">
        <v>477</v>
      </c>
      <c r="D1027" t="s">
        <v>439</v>
      </c>
      <c r="E1027" t="s">
        <v>478</v>
      </c>
      <c r="F1027" t="s">
        <v>435</v>
      </c>
      <c r="G1027" s="14">
        <v>46241.835821759298</v>
      </c>
      <c r="H1027" t="s">
        <v>377</v>
      </c>
    </row>
    <row r="1028" spans="1:8" ht="15" customHeight="1" x14ac:dyDescent="0.3">
      <c r="A1028" t="s">
        <v>522</v>
      </c>
      <c r="B1028" t="s">
        <v>523</v>
      </c>
      <c r="C1028" t="s">
        <v>524</v>
      </c>
      <c r="D1028" t="s">
        <v>439</v>
      </c>
      <c r="E1028" t="s">
        <v>394</v>
      </c>
      <c r="F1028" t="s">
        <v>435</v>
      </c>
      <c r="G1028" s="14">
        <v>46241.835590277798</v>
      </c>
      <c r="H1028" t="s">
        <v>377</v>
      </c>
    </row>
    <row r="1029" spans="1:8" ht="15" customHeight="1" x14ac:dyDescent="0.3">
      <c r="A1029" t="s">
        <v>488</v>
      </c>
      <c r="B1029" t="s">
        <v>489</v>
      </c>
      <c r="C1029" t="s">
        <v>490</v>
      </c>
      <c r="D1029" t="s">
        <v>439</v>
      </c>
      <c r="E1029" t="s">
        <v>375</v>
      </c>
      <c r="F1029" t="s">
        <v>435</v>
      </c>
      <c r="G1029" s="14">
        <v>46241.835451388899</v>
      </c>
      <c r="H1029" t="s">
        <v>377</v>
      </c>
    </row>
    <row r="1030" spans="1:8" ht="15" customHeight="1" x14ac:dyDescent="0.3">
      <c r="A1030" t="s">
        <v>528</v>
      </c>
      <c r="B1030" t="s">
        <v>529</v>
      </c>
      <c r="C1030" t="s">
        <v>530</v>
      </c>
      <c r="D1030" t="s">
        <v>439</v>
      </c>
      <c r="E1030" t="s">
        <v>375</v>
      </c>
      <c r="F1030" t="s">
        <v>435</v>
      </c>
      <c r="G1030" s="14">
        <v>46241.830902777801</v>
      </c>
      <c r="H1030" t="s">
        <v>390</v>
      </c>
    </row>
    <row r="1031" spans="1:8" ht="15" customHeight="1" x14ac:dyDescent="0.3">
      <c r="A1031" t="s">
        <v>537</v>
      </c>
      <c r="B1031" t="s">
        <v>538</v>
      </c>
      <c r="C1031" t="s">
        <v>539</v>
      </c>
      <c r="D1031" t="s">
        <v>439</v>
      </c>
      <c r="E1031" t="s">
        <v>375</v>
      </c>
      <c r="F1031" t="s">
        <v>435</v>
      </c>
      <c r="G1031" s="14">
        <v>46241.830706018503</v>
      </c>
      <c r="H1031" t="s">
        <v>390</v>
      </c>
    </row>
    <row r="1032" spans="1:8" ht="15" customHeight="1" x14ac:dyDescent="0.3">
      <c r="A1032" t="s">
        <v>537</v>
      </c>
      <c r="B1032" t="s">
        <v>538</v>
      </c>
      <c r="C1032" t="s">
        <v>539</v>
      </c>
      <c r="D1032" t="s">
        <v>439</v>
      </c>
      <c r="E1032" t="s">
        <v>375</v>
      </c>
      <c r="F1032" t="s">
        <v>435</v>
      </c>
      <c r="G1032" s="14">
        <v>46241.327372685198</v>
      </c>
      <c r="H1032" t="s">
        <v>377</v>
      </c>
    </row>
    <row r="1033" spans="1:8" ht="15" customHeight="1" x14ac:dyDescent="0.3">
      <c r="A1033" t="s">
        <v>540</v>
      </c>
      <c r="B1033" t="s">
        <v>541</v>
      </c>
      <c r="C1033" t="s">
        <v>542</v>
      </c>
      <c r="D1033" t="s">
        <v>439</v>
      </c>
      <c r="E1033" t="s">
        <v>375</v>
      </c>
      <c r="F1033" t="s">
        <v>435</v>
      </c>
      <c r="G1033" s="14">
        <v>46241.324745370403</v>
      </c>
      <c r="H1033" t="s">
        <v>390</v>
      </c>
    </row>
    <row r="1034" spans="1:8" ht="15" customHeight="1" x14ac:dyDescent="0.3">
      <c r="A1034" t="s">
        <v>534</v>
      </c>
      <c r="B1034" t="s">
        <v>535</v>
      </c>
      <c r="C1034" t="s">
        <v>536</v>
      </c>
      <c r="D1034" t="s">
        <v>439</v>
      </c>
      <c r="E1034" t="s">
        <v>375</v>
      </c>
      <c r="F1034" t="s">
        <v>435</v>
      </c>
      <c r="G1034" s="14">
        <v>46241.324398148201</v>
      </c>
      <c r="H1034" t="s">
        <v>390</v>
      </c>
    </row>
    <row r="1035" spans="1:8" ht="15" customHeight="1" x14ac:dyDescent="0.3">
      <c r="A1035" t="s">
        <v>515</v>
      </c>
      <c r="B1035" t="s">
        <v>211</v>
      </c>
      <c r="C1035" t="s">
        <v>516</v>
      </c>
      <c r="D1035" t="s">
        <v>439</v>
      </c>
      <c r="E1035" t="s">
        <v>375</v>
      </c>
      <c r="F1035" t="s">
        <v>553</v>
      </c>
      <c r="G1035" s="14">
        <v>46241.323587963001</v>
      </c>
      <c r="H1035" t="s">
        <v>390</v>
      </c>
    </row>
    <row r="1036" spans="1:8" ht="15" customHeight="1" x14ac:dyDescent="0.3">
      <c r="A1036" t="s">
        <v>475</v>
      </c>
      <c r="B1036" t="s">
        <v>476</v>
      </c>
      <c r="C1036" t="s">
        <v>477</v>
      </c>
      <c r="D1036" t="s">
        <v>439</v>
      </c>
      <c r="E1036" t="s">
        <v>478</v>
      </c>
      <c r="F1036" t="s">
        <v>435</v>
      </c>
      <c r="G1036" s="14">
        <v>46241.322395833296</v>
      </c>
      <c r="H1036" t="s">
        <v>390</v>
      </c>
    </row>
    <row r="1037" spans="1:8" ht="15" customHeight="1" x14ac:dyDescent="0.3">
      <c r="A1037" t="s">
        <v>488</v>
      </c>
      <c r="B1037" t="s">
        <v>489</v>
      </c>
      <c r="C1037" t="s">
        <v>490</v>
      </c>
      <c r="D1037" t="s">
        <v>439</v>
      </c>
      <c r="E1037" t="s">
        <v>375</v>
      </c>
      <c r="F1037" t="s">
        <v>435</v>
      </c>
      <c r="G1037" s="14">
        <v>46241.321944444499</v>
      </c>
      <c r="H1037" t="s">
        <v>390</v>
      </c>
    </row>
    <row r="1038" spans="1:8" ht="15" customHeight="1" x14ac:dyDescent="0.3">
      <c r="A1038" t="s">
        <v>531</v>
      </c>
      <c r="B1038" t="s">
        <v>532</v>
      </c>
      <c r="C1038" t="s">
        <v>533</v>
      </c>
      <c r="D1038" t="s">
        <v>439</v>
      </c>
      <c r="E1038" t="s">
        <v>394</v>
      </c>
      <c r="F1038" t="s">
        <v>435</v>
      </c>
      <c r="G1038" s="14">
        <v>46241.3218402778</v>
      </c>
      <c r="H1038" t="s">
        <v>390</v>
      </c>
    </row>
    <row r="1039" spans="1:8" ht="15" customHeight="1" x14ac:dyDescent="0.3">
      <c r="A1039" t="s">
        <v>522</v>
      </c>
      <c r="B1039" t="s">
        <v>523</v>
      </c>
      <c r="C1039" t="s">
        <v>524</v>
      </c>
      <c r="D1039" t="s">
        <v>439</v>
      </c>
      <c r="E1039" t="s">
        <v>394</v>
      </c>
      <c r="F1039" t="s">
        <v>435</v>
      </c>
      <c r="G1039" s="14">
        <v>46241.321365740703</v>
      </c>
      <c r="H1039" t="s">
        <v>390</v>
      </c>
    </row>
    <row r="1040" spans="1:8" ht="15" customHeight="1" x14ac:dyDescent="0.3">
      <c r="A1040" t="s">
        <v>455</v>
      </c>
      <c r="B1040" t="s">
        <v>456</v>
      </c>
      <c r="C1040" t="s">
        <v>457</v>
      </c>
      <c r="D1040" t="s">
        <v>439</v>
      </c>
      <c r="E1040" t="s">
        <v>375</v>
      </c>
      <c r="F1040" t="s">
        <v>435</v>
      </c>
      <c r="G1040" s="14">
        <v>46241.320324074099</v>
      </c>
      <c r="H1040" t="s">
        <v>390</v>
      </c>
    </row>
    <row r="1041" spans="1:8" ht="15" customHeight="1" x14ac:dyDescent="0.3">
      <c r="A1041" t="s">
        <v>440</v>
      </c>
      <c r="B1041" t="s">
        <v>441</v>
      </c>
      <c r="C1041" t="s">
        <v>442</v>
      </c>
      <c r="D1041" t="s">
        <v>439</v>
      </c>
      <c r="E1041" t="s">
        <v>375</v>
      </c>
      <c r="F1041" t="s">
        <v>435</v>
      </c>
      <c r="G1041" s="14">
        <v>46241.319085648203</v>
      </c>
      <c r="H1041" t="s">
        <v>390</v>
      </c>
    </row>
    <row r="1042" spans="1:8" ht="15" customHeight="1" x14ac:dyDescent="0.3">
      <c r="A1042" t="s">
        <v>531</v>
      </c>
      <c r="B1042" t="s">
        <v>532</v>
      </c>
      <c r="C1042" t="s">
        <v>533</v>
      </c>
      <c r="D1042" t="s">
        <v>439</v>
      </c>
      <c r="E1042" t="s">
        <v>394</v>
      </c>
      <c r="F1042" t="s">
        <v>435</v>
      </c>
      <c r="G1042" s="14">
        <v>46240.845254629603</v>
      </c>
      <c r="H1042" t="s">
        <v>377</v>
      </c>
    </row>
    <row r="1043" spans="1:8" ht="15" customHeight="1" x14ac:dyDescent="0.3">
      <c r="A1043" t="s">
        <v>475</v>
      </c>
      <c r="B1043" t="s">
        <v>476</v>
      </c>
      <c r="C1043" t="s">
        <v>477</v>
      </c>
      <c r="D1043" t="s">
        <v>439</v>
      </c>
      <c r="E1043" t="s">
        <v>478</v>
      </c>
      <c r="F1043" t="s">
        <v>435</v>
      </c>
      <c r="G1043" s="14">
        <v>46240.841377314799</v>
      </c>
      <c r="H1043" t="s">
        <v>377</v>
      </c>
    </row>
    <row r="1044" spans="1:8" ht="15" customHeight="1" x14ac:dyDescent="0.3">
      <c r="A1044" t="s">
        <v>525</v>
      </c>
      <c r="B1044" t="s">
        <v>526</v>
      </c>
      <c r="C1044" t="s">
        <v>527</v>
      </c>
      <c r="D1044" t="s">
        <v>439</v>
      </c>
      <c r="E1044" t="s">
        <v>375</v>
      </c>
      <c r="F1044" t="s">
        <v>435</v>
      </c>
      <c r="G1044" s="14">
        <v>46240.841192129599</v>
      </c>
      <c r="H1044" t="s">
        <v>390</v>
      </c>
    </row>
    <row r="1045" spans="1:8" ht="15" customHeight="1" x14ac:dyDescent="0.3">
      <c r="A1045" t="s">
        <v>440</v>
      </c>
      <c r="B1045" t="s">
        <v>441</v>
      </c>
      <c r="C1045" t="s">
        <v>442</v>
      </c>
      <c r="D1045" t="s">
        <v>439</v>
      </c>
      <c r="E1045" t="s">
        <v>375</v>
      </c>
      <c r="F1045" t="s">
        <v>435</v>
      </c>
      <c r="G1045" s="14">
        <v>46240.841018518498</v>
      </c>
      <c r="H1045" t="s">
        <v>377</v>
      </c>
    </row>
    <row r="1046" spans="1:8" ht="15" customHeight="1" x14ac:dyDescent="0.3">
      <c r="A1046" t="s">
        <v>534</v>
      </c>
      <c r="B1046" t="s">
        <v>535</v>
      </c>
      <c r="C1046" t="s">
        <v>536</v>
      </c>
      <c r="D1046" t="s">
        <v>439</v>
      </c>
      <c r="E1046" t="s">
        <v>375</v>
      </c>
      <c r="F1046" t="s">
        <v>435</v>
      </c>
      <c r="G1046" s="14">
        <v>46240.840127314797</v>
      </c>
      <c r="H1046" t="s">
        <v>377</v>
      </c>
    </row>
    <row r="1047" spans="1:8" ht="15" customHeight="1" x14ac:dyDescent="0.3">
      <c r="A1047" t="s">
        <v>540</v>
      </c>
      <c r="B1047" t="s">
        <v>541</v>
      </c>
      <c r="C1047" t="s">
        <v>542</v>
      </c>
      <c r="D1047" t="s">
        <v>439</v>
      </c>
      <c r="E1047" t="s">
        <v>375</v>
      </c>
      <c r="F1047" t="s">
        <v>435</v>
      </c>
      <c r="G1047" s="14">
        <v>46240.839861111097</v>
      </c>
      <c r="H1047" t="s">
        <v>377</v>
      </c>
    </row>
    <row r="1048" spans="1:8" ht="15" customHeight="1" x14ac:dyDescent="0.3">
      <c r="A1048" t="s">
        <v>537</v>
      </c>
      <c r="B1048" t="s">
        <v>538</v>
      </c>
      <c r="C1048" t="s">
        <v>539</v>
      </c>
      <c r="D1048" t="s">
        <v>439</v>
      </c>
      <c r="E1048" t="s">
        <v>375</v>
      </c>
      <c r="F1048" t="s">
        <v>435</v>
      </c>
      <c r="G1048" s="14">
        <v>46240.839131944398</v>
      </c>
      <c r="H1048" t="s">
        <v>390</v>
      </c>
    </row>
    <row r="1049" spans="1:8" ht="15" customHeight="1" x14ac:dyDescent="0.3">
      <c r="A1049" t="s">
        <v>446</v>
      </c>
      <c r="B1049" t="s">
        <v>447</v>
      </c>
      <c r="C1049" t="s">
        <v>448</v>
      </c>
      <c r="D1049" t="s">
        <v>439</v>
      </c>
      <c r="E1049" t="s">
        <v>375</v>
      </c>
      <c r="F1049" t="s">
        <v>435</v>
      </c>
      <c r="G1049" s="14">
        <v>46240.838148148199</v>
      </c>
      <c r="H1049" t="s">
        <v>390</v>
      </c>
    </row>
    <row r="1050" spans="1:8" ht="15" customHeight="1" x14ac:dyDescent="0.3">
      <c r="A1050" t="s">
        <v>488</v>
      </c>
      <c r="B1050" t="s">
        <v>489</v>
      </c>
      <c r="C1050" t="s">
        <v>490</v>
      </c>
      <c r="D1050" t="s">
        <v>439</v>
      </c>
      <c r="E1050" t="s">
        <v>375</v>
      </c>
      <c r="F1050" t="s">
        <v>435</v>
      </c>
      <c r="G1050" s="14">
        <v>46240.837962963</v>
      </c>
      <c r="H1050" t="s">
        <v>377</v>
      </c>
    </row>
    <row r="1051" spans="1:8" ht="15" customHeight="1" x14ac:dyDescent="0.3">
      <c r="A1051" t="s">
        <v>455</v>
      </c>
      <c r="B1051" t="s">
        <v>456</v>
      </c>
      <c r="C1051" t="s">
        <v>457</v>
      </c>
      <c r="D1051" t="s">
        <v>439</v>
      </c>
      <c r="E1051" t="s">
        <v>375</v>
      </c>
      <c r="F1051" t="s">
        <v>376</v>
      </c>
      <c r="G1051" s="14">
        <v>46240.833796296298</v>
      </c>
      <c r="H1051" t="s">
        <v>377</v>
      </c>
    </row>
    <row r="1052" spans="1:8" ht="15" customHeight="1" x14ac:dyDescent="0.3">
      <c r="A1052" t="s">
        <v>461</v>
      </c>
      <c r="B1052" t="s">
        <v>462</v>
      </c>
      <c r="C1052" t="s">
        <v>463</v>
      </c>
      <c r="D1052" t="s">
        <v>439</v>
      </c>
      <c r="E1052" t="s">
        <v>375</v>
      </c>
      <c r="F1052" t="s">
        <v>552</v>
      </c>
      <c r="G1052" s="14">
        <v>46240.833333333299</v>
      </c>
      <c r="H1052" t="s">
        <v>377</v>
      </c>
    </row>
    <row r="1053" spans="1:8" ht="15" customHeight="1" x14ac:dyDescent="0.3">
      <c r="A1053" t="s">
        <v>522</v>
      </c>
      <c r="B1053" t="s">
        <v>523</v>
      </c>
      <c r="C1053" t="s">
        <v>524</v>
      </c>
      <c r="D1053" t="s">
        <v>439</v>
      </c>
      <c r="E1053" t="s">
        <v>394</v>
      </c>
      <c r="F1053" t="s">
        <v>435</v>
      </c>
      <c r="G1053" s="14">
        <v>46240.7527893519</v>
      </c>
      <c r="H1053" t="s">
        <v>377</v>
      </c>
    </row>
    <row r="1054" spans="1:8" ht="15" customHeight="1" x14ac:dyDescent="0.3">
      <c r="A1054" t="s">
        <v>461</v>
      </c>
      <c r="B1054" t="s">
        <v>462</v>
      </c>
      <c r="C1054" t="s">
        <v>463</v>
      </c>
      <c r="D1054" t="s">
        <v>439</v>
      </c>
      <c r="E1054" t="s">
        <v>375</v>
      </c>
      <c r="F1054" t="s">
        <v>552</v>
      </c>
      <c r="G1054" s="14">
        <v>46240.333333333299</v>
      </c>
      <c r="H1054" t="s">
        <v>390</v>
      </c>
    </row>
    <row r="1055" spans="1:8" ht="15" customHeight="1" x14ac:dyDescent="0.3">
      <c r="A1055" t="s">
        <v>537</v>
      </c>
      <c r="B1055" t="s">
        <v>538</v>
      </c>
      <c r="C1055" t="s">
        <v>539</v>
      </c>
      <c r="D1055" t="s">
        <v>439</v>
      </c>
      <c r="E1055" t="s">
        <v>375</v>
      </c>
      <c r="F1055" t="s">
        <v>435</v>
      </c>
      <c r="G1055" s="14">
        <v>46240.329513888901</v>
      </c>
      <c r="H1055" t="s">
        <v>377</v>
      </c>
    </row>
    <row r="1056" spans="1:8" ht="15" customHeight="1" x14ac:dyDescent="0.3">
      <c r="A1056" t="s">
        <v>455</v>
      </c>
      <c r="B1056" t="s">
        <v>456</v>
      </c>
      <c r="C1056" t="s">
        <v>457</v>
      </c>
      <c r="D1056" t="s">
        <v>439</v>
      </c>
      <c r="E1056" t="s">
        <v>375</v>
      </c>
      <c r="F1056" t="s">
        <v>435</v>
      </c>
      <c r="G1056" s="14">
        <v>46240.3279861111</v>
      </c>
      <c r="H1056" t="s">
        <v>390</v>
      </c>
    </row>
    <row r="1057" spans="1:8" ht="15" customHeight="1" x14ac:dyDescent="0.3">
      <c r="A1057" t="s">
        <v>534</v>
      </c>
      <c r="B1057" t="s">
        <v>535</v>
      </c>
      <c r="C1057" t="s">
        <v>536</v>
      </c>
      <c r="D1057" t="s">
        <v>439</v>
      </c>
      <c r="E1057" t="s">
        <v>375</v>
      </c>
      <c r="F1057" t="s">
        <v>435</v>
      </c>
      <c r="G1057" s="14">
        <v>46240.325486111098</v>
      </c>
      <c r="H1057" t="s">
        <v>390</v>
      </c>
    </row>
    <row r="1058" spans="1:8" ht="15" customHeight="1" x14ac:dyDescent="0.3">
      <c r="A1058" t="s">
        <v>488</v>
      </c>
      <c r="B1058" t="s">
        <v>489</v>
      </c>
      <c r="C1058" t="s">
        <v>490</v>
      </c>
      <c r="D1058" t="s">
        <v>439</v>
      </c>
      <c r="E1058" t="s">
        <v>375</v>
      </c>
      <c r="F1058" t="s">
        <v>435</v>
      </c>
      <c r="G1058" s="14">
        <v>46240.324363425898</v>
      </c>
      <c r="H1058" t="s">
        <v>390</v>
      </c>
    </row>
    <row r="1059" spans="1:8" ht="15" customHeight="1" x14ac:dyDescent="0.3">
      <c r="A1059" t="s">
        <v>440</v>
      </c>
      <c r="B1059" t="s">
        <v>441</v>
      </c>
      <c r="C1059" t="s">
        <v>442</v>
      </c>
      <c r="D1059" t="s">
        <v>439</v>
      </c>
      <c r="E1059" t="s">
        <v>375</v>
      </c>
      <c r="F1059" t="s">
        <v>435</v>
      </c>
      <c r="G1059" s="14">
        <v>46240.324270833298</v>
      </c>
      <c r="H1059" t="s">
        <v>390</v>
      </c>
    </row>
    <row r="1060" spans="1:8" ht="15" customHeight="1" x14ac:dyDescent="0.3">
      <c r="A1060" t="s">
        <v>522</v>
      </c>
      <c r="B1060" t="s">
        <v>523</v>
      </c>
      <c r="C1060" t="s">
        <v>524</v>
      </c>
      <c r="D1060" t="s">
        <v>439</v>
      </c>
      <c r="E1060" t="s">
        <v>394</v>
      </c>
      <c r="F1060" t="s">
        <v>435</v>
      </c>
      <c r="G1060" s="14">
        <v>46240.323680555601</v>
      </c>
      <c r="H1060" t="s">
        <v>390</v>
      </c>
    </row>
    <row r="1061" spans="1:8" ht="15" customHeight="1" x14ac:dyDescent="0.3">
      <c r="A1061" t="s">
        <v>475</v>
      </c>
      <c r="B1061" t="s">
        <v>476</v>
      </c>
      <c r="C1061" t="s">
        <v>477</v>
      </c>
      <c r="D1061" t="s">
        <v>439</v>
      </c>
      <c r="E1061" t="s">
        <v>478</v>
      </c>
      <c r="F1061" t="s">
        <v>435</v>
      </c>
      <c r="G1061" s="14">
        <v>46240.322754629597</v>
      </c>
      <c r="H1061" t="s">
        <v>390</v>
      </c>
    </row>
    <row r="1062" spans="1:8" ht="15" customHeight="1" x14ac:dyDescent="0.3">
      <c r="A1062" t="s">
        <v>531</v>
      </c>
      <c r="B1062" t="s">
        <v>532</v>
      </c>
      <c r="C1062" t="s">
        <v>533</v>
      </c>
      <c r="D1062" t="s">
        <v>439</v>
      </c>
      <c r="E1062" t="s">
        <v>394</v>
      </c>
      <c r="F1062" t="s">
        <v>435</v>
      </c>
      <c r="G1062" s="14">
        <v>46240.321770833303</v>
      </c>
      <c r="H1062" t="s">
        <v>390</v>
      </c>
    </row>
    <row r="1063" spans="1:8" ht="15" customHeight="1" x14ac:dyDescent="0.3">
      <c r="A1063" t="s">
        <v>525</v>
      </c>
      <c r="B1063" t="s">
        <v>526</v>
      </c>
      <c r="C1063" t="s">
        <v>527</v>
      </c>
      <c r="D1063" t="s">
        <v>439</v>
      </c>
      <c r="E1063" t="s">
        <v>375</v>
      </c>
      <c r="F1063" t="s">
        <v>435</v>
      </c>
      <c r="G1063" s="14">
        <v>46239.892962963</v>
      </c>
      <c r="H1063" t="s">
        <v>390</v>
      </c>
    </row>
    <row r="1064" spans="1:8" ht="15" customHeight="1" x14ac:dyDescent="0.3">
      <c r="A1064" t="s">
        <v>446</v>
      </c>
      <c r="B1064" t="s">
        <v>447</v>
      </c>
      <c r="C1064" t="s">
        <v>448</v>
      </c>
      <c r="D1064" t="s">
        <v>439</v>
      </c>
      <c r="E1064" t="s">
        <v>375</v>
      </c>
      <c r="F1064" t="s">
        <v>435</v>
      </c>
      <c r="G1064" s="14">
        <v>46239.838923611103</v>
      </c>
      <c r="H1064" t="s">
        <v>390</v>
      </c>
    </row>
    <row r="1065" spans="1:8" ht="15" customHeight="1" x14ac:dyDescent="0.3">
      <c r="A1065" t="s">
        <v>440</v>
      </c>
      <c r="B1065" t="s">
        <v>441</v>
      </c>
      <c r="C1065" t="s">
        <v>442</v>
      </c>
      <c r="D1065" t="s">
        <v>439</v>
      </c>
      <c r="E1065" t="s">
        <v>375</v>
      </c>
      <c r="F1065" t="s">
        <v>435</v>
      </c>
      <c r="G1065" s="14">
        <v>46239.838078703702</v>
      </c>
      <c r="H1065" t="s">
        <v>377</v>
      </c>
    </row>
    <row r="1066" spans="1:8" ht="15" customHeight="1" x14ac:dyDescent="0.3">
      <c r="A1066" t="s">
        <v>531</v>
      </c>
      <c r="B1066" t="s">
        <v>532</v>
      </c>
      <c r="C1066" t="s">
        <v>533</v>
      </c>
      <c r="D1066" t="s">
        <v>439</v>
      </c>
      <c r="E1066" t="s">
        <v>394</v>
      </c>
      <c r="F1066" t="s">
        <v>435</v>
      </c>
      <c r="G1066" s="14">
        <v>46239.837500000001</v>
      </c>
      <c r="H1066" t="s">
        <v>377</v>
      </c>
    </row>
    <row r="1067" spans="1:8" ht="15" customHeight="1" x14ac:dyDescent="0.3">
      <c r="A1067" t="s">
        <v>540</v>
      </c>
      <c r="B1067" t="s">
        <v>541</v>
      </c>
      <c r="C1067" t="s">
        <v>542</v>
      </c>
      <c r="D1067" t="s">
        <v>439</v>
      </c>
      <c r="E1067" t="s">
        <v>375</v>
      </c>
      <c r="F1067" t="s">
        <v>435</v>
      </c>
      <c r="G1067" s="14">
        <v>46239.837395833303</v>
      </c>
      <c r="H1067" t="s">
        <v>377</v>
      </c>
    </row>
    <row r="1068" spans="1:8" ht="15" customHeight="1" x14ac:dyDescent="0.3">
      <c r="A1068" t="s">
        <v>534</v>
      </c>
      <c r="B1068" t="s">
        <v>535</v>
      </c>
      <c r="C1068" t="s">
        <v>536</v>
      </c>
      <c r="D1068" t="s">
        <v>439</v>
      </c>
      <c r="E1068" t="s">
        <v>375</v>
      </c>
      <c r="F1068" t="s">
        <v>435</v>
      </c>
      <c r="G1068" s="14">
        <v>46239.836099537002</v>
      </c>
      <c r="H1068" t="s">
        <v>377</v>
      </c>
    </row>
    <row r="1069" spans="1:8" ht="15" customHeight="1" x14ac:dyDescent="0.3">
      <c r="A1069" t="s">
        <v>537</v>
      </c>
      <c r="B1069" t="s">
        <v>538</v>
      </c>
      <c r="C1069" t="s">
        <v>539</v>
      </c>
      <c r="D1069" t="s">
        <v>439</v>
      </c>
      <c r="E1069" t="s">
        <v>375</v>
      </c>
      <c r="F1069" t="s">
        <v>435</v>
      </c>
      <c r="G1069" s="14">
        <v>46239.835879629602</v>
      </c>
      <c r="H1069" t="s">
        <v>390</v>
      </c>
    </row>
    <row r="1070" spans="1:8" ht="15" customHeight="1" x14ac:dyDescent="0.3">
      <c r="A1070" t="s">
        <v>488</v>
      </c>
      <c r="B1070" t="s">
        <v>489</v>
      </c>
      <c r="C1070" t="s">
        <v>490</v>
      </c>
      <c r="D1070" t="s">
        <v>439</v>
      </c>
      <c r="E1070" t="s">
        <v>375</v>
      </c>
      <c r="F1070" t="s">
        <v>435</v>
      </c>
      <c r="G1070" s="14">
        <v>46239.835729166698</v>
      </c>
      <c r="H1070" t="s">
        <v>377</v>
      </c>
    </row>
    <row r="1071" spans="1:8" ht="15" customHeight="1" x14ac:dyDescent="0.3">
      <c r="A1071" t="s">
        <v>461</v>
      </c>
      <c r="B1071" t="s">
        <v>462</v>
      </c>
      <c r="C1071" t="s">
        <v>463</v>
      </c>
      <c r="D1071" t="s">
        <v>439</v>
      </c>
      <c r="E1071" t="s">
        <v>375</v>
      </c>
      <c r="F1071" t="s">
        <v>552</v>
      </c>
      <c r="G1071" s="14">
        <v>46239.833333333299</v>
      </c>
      <c r="H1071" t="s">
        <v>377</v>
      </c>
    </row>
    <row r="1072" spans="1:8" ht="15" customHeight="1" x14ac:dyDescent="0.3">
      <c r="A1072" t="s">
        <v>455</v>
      </c>
      <c r="B1072" t="s">
        <v>456</v>
      </c>
      <c r="C1072" t="s">
        <v>457</v>
      </c>
      <c r="D1072" t="s">
        <v>439</v>
      </c>
      <c r="E1072" t="s">
        <v>375</v>
      </c>
      <c r="F1072" t="s">
        <v>376</v>
      </c>
      <c r="G1072" s="14">
        <v>46239.796099537001</v>
      </c>
      <c r="H1072" t="s">
        <v>377</v>
      </c>
    </row>
    <row r="1073" spans="1:8" ht="15" customHeight="1" x14ac:dyDescent="0.3">
      <c r="A1073" t="s">
        <v>522</v>
      </c>
      <c r="B1073" t="s">
        <v>523</v>
      </c>
      <c r="C1073" t="s">
        <v>524</v>
      </c>
      <c r="D1073" t="s">
        <v>439</v>
      </c>
      <c r="E1073" t="s">
        <v>394</v>
      </c>
      <c r="F1073" t="s">
        <v>435</v>
      </c>
      <c r="G1073" s="14">
        <v>46239.761087963001</v>
      </c>
      <c r="H1073" t="s">
        <v>377</v>
      </c>
    </row>
    <row r="1074" spans="1:8" ht="15" customHeight="1" x14ac:dyDescent="0.3">
      <c r="A1074" t="s">
        <v>475</v>
      </c>
      <c r="B1074" t="s">
        <v>476</v>
      </c>
      <c r="C1074" t="s">
        <v>477</v>
      </c>
      <c r="D1074" t="s">
        <v>439</v>
      </c>
      <c r="E1074" t="s">
        <v>478</v>
      </c>
      <c r="F1074" t="s">
        <v>435</v>
      </c>
      <c r="G1074" s="14">
        <v>46239.759583333303</v>
      </c>
      <c r="H1074" t="s">
        <v>377</v>
      </c>
    </row>
    <row r="1075" spans="1:8" ht="15" customHeight="1" x14ac:dyDescent="0.3">
      <c r="A1075" t="s">
        <v>546</v>
      </c>
      <c r="B1075" t="s">
        <v>547</v>
      </c>
      <c r="C1075" t="s">
        <v>548</v>
      </c>
      <c r="D1075" t="s">
        <v>439</v>
      </c>
      <c r="E1075" t="s">
        <v>375</v>
      </c>
      <c r="F1075" t="s">
        <v>435</v>
      </c>
      <c r="G1075" s="14">
        <v>46239.3350810185</v>
      </c>
      <c r="H1075" t="s">
        <v>390</v>
      </c>
    </row>
    <row r="1076" spans="1:8" ht="15" customHeight="1" x14ac:dyDescent="0.3">
      <c r="A1076" t="s">
        <v>440</v>
      </c>
      <c r="B1076" t="s">
        <v>441</v>
      </c>
      <c r="C1076" t="s">
        <v>442</v>
      </c>
      <c r="D1076" t="s">
        <v>439</v>
      </c>
      <c r="E1076" t="s">
        <v>375</v>
      </c>
      <c r="F1076" t="s">
        <v>435</v>
      </c>
      <c r="G1076" s="14">
        <v>46239.334895833301</v>
      </c>
      <c r="H1076" t="s">
        <v>390</v>
      </c>
    </row>
    <row r="1077" spans="1:8" ht="15" customHeight="1" x14ac:dyDescent="0.3">
      <c r="A1077" t="s">
        <v>461</v>
      </c>
      <c r="B1077" t="s">
        <v>462</v>
      </c>
      <c r="C1077" t="s">
        <v>463</v>
      </c>
      <c r="D1077" t="s">
        <v>439</v>
      </c>
      <c r="E1077" t="s">
        <v>375</v>
      </c>
      <c r="F1077" t="s">
        <v>552</v>
      </c>
      <c r="G1077" s="14">
        <v>46239.333333333299</v>
      </c>
      <c r="H1077" t="s">
        <v>390</v>
      </c>
    </row>
    <row r="1078" spans="1:8" ht="15" customHeight="1" x14ac:dyDescent="0.3">
      <c r="A1078" t="s">
        <v>455</v>
      </c>
      <c r="B1078" t="s">
        <v>456</v>
      </c>
      <c r="C1078" t="s">
        <v>457</v>
      </c>
      <c r="D1078" t="s">
        <v>439</v>
      </c>
      <c r="E1078" t="s">
        <v>375</v>
      </c>
      <c r="F1078" t="s">
        <v>435</v>
      </c>
      <c r="G1078" s="14">
        <v>46239.331006944398</v>
      </c>
      <c r="H1078" t="s">
        <v>390</v>
      </c>
    </row>
    <row r="1079" spans="1:8" ht="15" customHeight="1" x14ac:dyDescent="0.3">
      <c r="A1079" t="s">
        <v>522</v>
      </c>
      <c r="B1079" t="s">
        <v>523</v>
      </c>
      <c r="C1079" t="s">
        <v>524</v>
      </c>
      <c r="D1079" t="s">
        <v>439</v>
      </c>
      <c r="E1079" t="s">
        <v>394</v>
      </c>
      <c r="F1079" t="s">
        <v>435</v>
      </c>
      <c r="G1079" s="14">
        <v>46239.328425925902</v>
      </c>
      <c r="H1079" t="s">
        <v>390</v>
      </c>
    </row>
    <row r="1080" spans="1:8" ht="15" customHeight="1" x14ac:dyDescent="0.3">
      <c r="A1080" t="s">
        <v>488</v>
      </c>
      <c r="B1080" t="s">
        <v>489</v>
      </c>
      <c r="C1080" t="s">
        <v>490</v>
      </c>
      <c r="D1080" t="s">
        <v>439</v>
      </c>
      <c r="E1080" t="s">
        <v>375</v>
      </c>
      <c r="F1080" t="s">
        <v>435</v>
      </c>
      <c r="G1080" s="14">
        <v>46239.328287037002</v>
      </c>
      <c r="H1080" t="s">
        <v>390</v>
      </c>
    </row>
    <row r="1081" spans="1:8" ht="15" customHeight="1" x14ac:dyDescent="0.3">
      <c r="A1081" t="s">
        <v>531</v>
      </c>
      <c r="B1081" t="s">
        <v>532</v>
      </c>
      <c r="C1081" t="s">
        <v>533</v>
      </c>
      <c r="D1081" t="s">
        <v>439</v>
      </c>
      <c r="E1081" t="s">
        <v>394</v>
      </c>
      <c r="F1081" t="s">
        <v>435</v>
      </c>
      <c r="G1081" s="14">
        <v>46239.328020833302</v>
      </c>
      <c r="H1081" t="s">
        <v>390</v>
      </c>
    </row>
    <row r="1082" spans="1:8" ht="15" customHeight="1" x14ac:dyDescent="0.3">
      <c r="A1082" t="s">
        <v>540</v>
      </c>
      <c r="B1082" t="s">
        <v>541</v>
      </c>
      <c r="C1082" t="s">
        <v>542</v>
      </c>
      <c r="D1082" t="s">
        <v>439</v>
      </c>
      <c r="E1082" t="s">
        <v>375</v>
      </c>
      <c r="F1082" t="s">
        <v>435</v>
      </c>
      <c r="G1082" s="14">
        <v>46239.327847222201</v>
      </c>
      <c r="H1082" t="s">
        <v>390</v>
      </c>
    </row>
    <row r="1083" spans="1:8" ht="15" customHeight="1" x14ac:dyDescent="0.3">
      <c r="A1083" t="s">
        <v>475</v>
      </c>
      <c r="B1083" t="s">
        <v>476</v>
      </c>
      <c r="C1083" t="s">
        <v>477</v>
      </c>
      <c r="D1083" t="s">
        <v>439</v>
      </c>
      <c r="E1083" t="s">
        <v>478</v>
      </c>
      <c r="F1083" t="s">
        <v>435</v>
      </c>
      <c r="G1083" s="14">
        <v>46239.3276736111</v>
      </c>
      <c r="H1083" t="s">
        <v>390</v>
      </c>
    </row>
    <row r="1084" spans="1:8" ht="15" customHeight="1" x14ac:dyDescent="0.3">
      <c r="A1084" t="s">
        <v>534</v>
      </c>
      <c r="B1084" t="s">
        <v>535</v>
      </c>
      <c r="C1084" t="s">
        <v>536</v>
      </c>
      <c r="D1084" t="s">
        <v>439</v>
      </c>
      <c r="E1084" t="s">
        <v>375</v>
      </c>
      <c r="F1084" t="s">
        <v>435</v>
      </c>
      <c r="G1084" s="14">
        <v>46239.327557870398</v>
      </c>
      <c r="H1084" t="s">
        <v>390</v>
      </c>
    </row>
    <row r="1085" spans="1:8" ht="15" customHeight="1" x14ac:dyDescent="0.3">
      <c r="A1085" t="s">
        <v>515</v>
      </c>
      <c r="B1085" t="s">
        <v>211</v>
      </c>
      <c r="C1085" t="s">
        <v>516</v>
      </c>
      <c r="D1085" t="s">
        <v>439</v>
      </c>
      <c r="E1085" t="s">
        <v>375</v>
      </c>
      <c r="F1085" t="s">
        <v>553</v>
      </c>
      <c r="G1085" s="14">
        <v>46239.3225578704</v>
      </c>
      <c r="H1085" t="s">
        <v>390</v>
      </c>
    </row>
    <row r="1086" spans="1:8" ht="15" customHeight="1" x14ac:dyDescent="0.3">
      <c r="A1086" t="s">
        <v>515</v>
      </c>
      <c r="B1086" t="s">
        <v>211</v>
      </c>
      <c r="C1086" t="s">
        <v>516</v>
      </c>
      <c r="D1086" t="s">
        <v>439</v>
      </c>
      <c r="E1086" t="s">
        <v>375</v>
      </c>
      <c r="F1086" t="s">
        <v>553</v>
      </c>
      <c r="G1086" s="14">
        <v>46239.312025462998</v>
      </c>
      <c r="H1086" t="s">
        <v>377</v>
      </c>
    </row>
    <row r="1087" spans="1:8" ht="15" customHeight="1" x14ac:dyDescent="0.3">
      <c r="A1087" t="s">
        <v>475</v>
      </c>
      <c r="B1087" t="s">
        <v>476</v>
      </c>
      <c r="C1087" t="s">
        <v>477</v>
      </c>
      <c r="D1087" t="s">
        <v>439</v>
      </c>
      <c r="E1087" t="s">
        <v>478</v>
      </c>
      <c r="F1087" t="s">
        <v>435</v>
      </c>
      <c r="G1087" s="14">
        <v>46238.840324074103</v>
      </c>
      <c r="H1087" t="s">
        <v>377</v>
      </c>
    </row>
    <row r="1088" spans="1:8" ht="15" customHeight="1" x14ac:dyDescent="0.3">
      <c r="A1088" t="s">
        <v>455</v>
      </c>
      <c r="B1088" t="s">
        <v>456</v>
      </c>
      <c r="C1088" t="s">
        <v>457</v>
      </c>
      <c r="D1088" t="s">
        <v>439</v>
      </c>
      <c r="E1088" t="s">
        <v>375</v>
      </c>
      <c r="F1088" t="s">
        <v>435</v>
      </c>
      <c r="G1088" s="14">
        <v>46238.839016203703</v>
      </c>
      <c r="H1088" t="s">
        <v>377</v>
      </c>
    </row>
    <row r="1089" spans="1:8" ht="15" customHeight="1" x14ac:dyDescent="0.3">
      <c r="A1089" t="s">
        <v>461</v>
      </c>
      <c r="B1089" t="s">
        <v>462</v>
      </c>
      <c r="C1089" t="s">
        <v>463</v>
      </c>
      <c r="D1089" t="s">
        <v>439</v>
      </c>
      <c r="E1089" t="s">
        <v>375</v>
      </c>
      <c r="F1089" t="s">
        <v>552</v>
      </c>
      <c r="G1089" s="14">
        <v>46238.833333333299</v>
      </c>
      <c r="H1089" t="s">
        <v>377</v>
      </c>
    </row>
    <row r="1090" spans="1:8" ht="15" customHeight="1" x14ac:dyDescent="0.3">
      <c r="A1090" t="s">
        <v>515</v>
      </c>
      <c r="B1090" t="s">
        <v>211</v>
      </c>
      <c r="C1090" t="s">
        <v>516</v>
      </c>
      <c r="D1090" t="s">
        <v>439</v>
      </c>
      <c r="E1090" t="s">
        <v>375</v>
      </c>
      <c r="F1090" t="s">
        <v>553</v>
      </c>
      <c r="G1090" s="14">
        <v>46238.819317129601</v>
      </c>
      <c r="H1090" t="s">
        <v>390</v>
      </c>
    </row>
    <row r="1091" spans="1:8" ht="15" customHeight="1" x14ac:dyDescent="0.3">
      <c r="A1091" t="s">
        <v>508</v>
      </c>
      <c r="B1091" t="s">
        <v>509</v>
      </c>
      <c r="C1091" t="s">
        <v>510</v>
      </c>
      <c r="D1091" t="s">
        <v>439</v>
      </c>
      <c r="E1091" t="s">
        <v>394</v>
      </c>
      <c r="F1091" t="s">
        <v>553</v>
      </c>
      <c r="G1091" s="14">
        <v>46238.813634259299</v>
      </c>
      <c r="H1091" t="s">
        <v>377</v>
      </c>
    </row>
    <row r="1092" spans="1:8" ht="15" customHeight="1" x14ac:dyDescent="0.3">
      <c r="A1092" t="s">
        <v>458</v>
      </c>
      <c r="B1092" t="s">
        <v>459</v>
      </c>
      <c r="C1092" t="s">
        <v>460</v>
      </c>
      <c r="D1092" t="s">
        <v>439</v>
      </c>
      <c r="E1092" t="s">
        <v>394</v>
      </c>
      <c r="F1092" t="s">
        <v>435</v>
      </c>
      <c r="G1092" s="14">
        <v>46238.666400463</v>
      </c>
      <c r="H1092" t="s">
        <v>377</v>
      </c>
    </row>
    <row r="1093" spans="1:8" ht="15" customHeight="1" x14ac:dyDescent="0.3">
      <c r="A1093" t="s">
        <v>461</v>
      </c>
      <c r="B1093" t="s">
        <v>462</v>
      </c>
      <c r="C1093" t="s">
        <v>463</v>
      </c>
      <c r="D1093" t="s">
        <v>439</v>
      </c>
      <c r="E1093" t="s">
        <v>375</v>
      </c>
      <c r="F1093" t="s">
        <v>552</v>
      </c>
      <c r="G1093" s="14">
        <v>46238.333333333299</v>
      </c>
      <c r="H1093" t="s">
        <v>390</v>
      </c>
    </row>
    <row r="1094" spans="1:8" ht="15" customHeight="1" x14ac:dyDescent="0.3">
      <c r="A1094" t="s">
        <v>488</v>
      </c>
      <c r="B1094" t="s">
        <v>489</v>
      </c>
      <c r="C1094" t="s">
        <v>490</v>
      </c>
      <c r="D1094" t="s">
        <v>439</v>
      </c>
      <c r="E1094" t="s">
        <v>375</v>
      </c>
      <c r="F1094" t="s">
        <v>435</v>
      </c>
      <c r="G1094" s="14">
        <v>46238.328634259298</v>
      </c>
      <c r="H1094" t="s">
        <v>390</v>
      </c>
    </row>
    <row r="1095" spans="1:8" ht="15" customHeight="1" x14ac:dyDescent="0.3">
      <c r="A1095" t="s">
        <v>508</v>
      </c>
      <c r="B1095" t="s">
        <v>509</v>
      </c>
      <c r="C1095" t="s">
        <v>510</v>
      </c>
      <c r="D1095" t="s">
        <v>439</v>
      </c>
      <c r="E1095" t="s">
        <v>394</v>
      </c>
      <c r="F1095" t="s">
        <v>553</v>
      </c>
      <c r="G1095" s="14">
        <v>46238.327245370398</v>
      </c>
      <c r="H1095" t="s">
        <v>390</v>
      </c>
    </row>
    <row r="1096" spans="1:8" ht="15" customHeight="1" x14ac:dyDescent="0.3">
      <c r="A1096" t="s">
        <v>475</v>
      </c>
      <c r="B1096" t="s">
        <v>476</v>
      </c>
      <c r="C1096" t="s">
        <v>477</v>
      </c>
      <c r="D1096" t="s">
        <v>439</v>
      </c>
      <c r="E1096" t="s">
        <v>478</v>
      </c>
      <c r="F1096" t="s">
        <v>435</v>
      </c>
      <c r="G1096" s="14">
        <v>46238.325254629599</v>
      </c>
      <c r="H1096" t="s">
        <v>390</v>
      </c>
    </row>
    <row r="1097" spans="1:8" ht="15" customHeight="1" x14ac:dyDescent="0.3">
      <c r="A1097" t="s">
        <v>515</v>
      </c>
      <c r="B1097" t="s">
        <v>211</v>
      </c>
      <c r="C1097" t="s">
        <v>516</v>
      </c>
      <c r="D1097" t="s">
        <v>439</v>
      </c>
      <c r="E1097" t="s">
        <v>375</v>
      </c>
      <c r="F1097" t="s">
        <v>553</v>
      </c>
      <c r="G1097" s="14">
        <v>46238.324687499997</v>
      </c>
      <c r="H1097" t="s">
        <v>377</v>
      </c>
    </row>
    <row r="1098" spans="1:8" ht="15" customHeight="1" x14ac:dyDescent="0.3">
      <c r="A1098" t="s">
        <v>455</v>
      </c>
      <c r="B1098" t="s">
        <v>456</v>
      </c>
      <c r="C1098" t="s">
        <v>457</v>
      </c>
      <c r="D1098" t="s">
        <v>439</v>
      </c>
      <c r="E1098" t="s">
        <v>375</v>
      </c>
      <c r="F1098" t="s">
        <v>435</v>
      </c>
      <c r="G1098" s="14">
        <v>46238.324456018498</v>
      </c>
      <c r="H1098" t="s">
        <v>390</v>
      </c>
    </row>
    <row r="1099" spans="1:8" ht="15" customHeight="1" x14ac:dyDescent="0.3">
      <c r="A1099" t="s">
        <v>467</v>
      </c>
      <c r="B1099" t="s">
        <v>468</v>
      </c>
      <c r="C1099" t="s">
        <v>469</v>
      </c>
      <c r="D1099" t="s">
        <v>439</v>
      </c>
      <c r="E1099" t="s">
        <v>375</v>
      </c>
      <c r="F1099" t="s">
        <v>435</v>
      </c>
      <c r="G1099" s="14">
        <v>46238.323587963001</v>
      </c>
      <c r="H1099" t="s">
        <v>390</v>
      </c>
    </row>
    <row r="1100" spans="1:8" ht="15" customHeight="1" x14ac:dyDescent="0.3">
      <c r="A1100" t="s">
        <v>458</v>
      </c>
      <c r="B1100" t="s">
        <v>459</v>
      </c>
      <c r="C1100" t="s">
        <v>460</v>
      </c>
      <c r="D1100" t="s">
        <v>439</v>
      </c>
      <c r="E1100" t="s">
        <v>394</v>
      </c>
      <c r="F1100" t="s">
        <v>435</v>
      </c>
      <c r="G1100" s="14">
        <v>46238.323495370401</v>
      </c>
      <c r="H1100" t="s">
        <v>390</v>
      </c>
    </row>
    <row r="1101" spans="1:8" ht="15" customHeight="1" x14ac:dyDescent="0.3">
      <c r="A1101" t="s">
        <v>493</v>
      </c>
      <c r="B1101" t="s">
        <v>494</v>
      </c>
      <c r="C1101" t="s">
        <v>495</v>
      </c>
      <c r="D1101" t="s">
        <v>439</v>
      </c>
      <c r="E1101" t="s">
        <v>375</v>
      </c>
      <c r="F1101" t="s">
        <v>435</v>
      </c>
      <c r="G1101" s="14">
        <v>46238.3234143519</v>
      </c>
      <c r="H1101" t="s">
        <v>390</v>
      </c>
    </row>
    <row r="1102" spans="1:8" ht="15" customHeight="1" x14ac:dyDescent="0.3">
      <c r="A1102" t="s">
        <v>436</v>
      </c>
      <c r="B1102" t="s">
        <v>437</v>
      </c>
      <c r="C1102" t="s">
        <v>438</v>
      </c>
      <c r="D1102" t="s">
        <v>439</v>
      </c>
      <c r="E1102" t="s">
        <v>375</v>
      </c>
      <c r="F1102" t="s">
        <v>435</v>
      </c>
      <c r="G1102" s="14">
        <v>46238.3183796296</v>
      </c>
      <c r="H1102" t="s">
        <v>390</v>
      </c>
    </row>
    <row r="1103" spans="1:8" ht="15" customHeight="1" x14ac:dyDescent="0.3">
      <c r="A1103" t="s">
        <v>491</v>
      </c>
      <c r="B1103" t="s">
        <v>188</v>
      </c>
      <c r="C1103" t="s">
        <v>492</v>
      </c>
      <c r="D1103" t="s">
        <v>439</v>
      </c>
      <c r="E1103" t="s">
        <v>375</v>
      </c>
      <c r="F1103" t="s">
        <v>435</v>
      </c>
      <c r="G1103" s="14">
        <v>46238.310335648202</v>
      </c>
      <c r="H1103" t="s">
        <v>390</v>
      </c>
    </row>
    <row r="1104" spans="1:8" ht="15" customHeight="1" x14ac:dyDescent="0.3">
      <c r="A1104" t="s">
        <v>461</v>
      </c>
      <c r="B1104" t="s">
        <v>462</v>
      </c>
      <c r="C1104" t="s">
        <v>463</v>
      </c>
      <c r="D1104" t="s">
        <v>439</v>
      </c>
      <c r="E1104" t="s">
        <v>375</v>
      </c>
      <c r="F1104" t="s">
        <v>552</v>
      </c>
      <c r="G1104" s="14">
        <v>46237.833333333299</v>
      </c>
      <c r="H1104" t="s">
        <v>377</v>
      </c>
    </row>
    <row r="1105" spans="1:8" ht="15" customHeight="1" x14ac:dyDescent="0.3">
      <c r="A1105" t="s">
        <v>488</v>
      </c>
      <c r="B1105" t="s">
        <v>489</v>
      </c>
      <c r="C1105" t="s">
        <v>490</v>
      </c>
      <c r="D1105" t="s">
        <v>439</v>
      </c>
      <c r="E1105" t="s">
        <v>375</v>
      </c>
      <c r="F1105" t="s">
        <v>435</v>
      </c>
      <c r="G1105" s="14">
        <v>46237.824745370403</v>
      </c>
      <c r="H1105" t="s">
        <v>377</v>
      </c>
    </row>
    <row r="1106" spans="1:8" ht="15" customHeight="1" x14ac:dyDescent="0.3">
      <c r="A1106" t="s">
        <v>458</v>
      </c>
      <c r="B1106" t="s">
        <v>459</v>
      </c>
      <c r="C1106" t="s">
        <v>460</v>
      </c>
      <c r="D1106" t="s">
        <v>439</v>
      </c>
      <c r="E1106" t="s">
        <v>394</v>
      </c>
      <c r="F1106" t="s">
        <v>435</v>
      </c>
      <c r="G1106" s="14">
        <v>46237.824537036999</v>
      </c>
      <c r="H1106" t="s">
        <v>377</v>
      </c>
    </row>
    <row r="1107" spans="1:8" ht="15" customHeight="1" x14ac:dyDescent="0.3">
      <c r="A1107" t="s">
        <v>508</v>
      </c>
      <c r="B1107" t="s">
        <v>509</v>
      </c>
      <c r="C1107" t="s">
        <v>510</v>
      </c>
      <c r="D1107" t="s">
        <v>439</v>
      </c>
      <c r="E1107" t="s">
        <v>394</v>
      </c>
      <c r="F1107" t="s">
        <v>553</v>
      </c>
      <c r="G1107" s="14">
        <v>46237.820150462998</v>
      </c>
      <c r="H1107" t="s">
        <v>377</v>
      </c>
    </row>
    <row r="1108" spans="1:8" ht="15" customHeight="1" x14ac:dyDescent="0.3">
      <c r="A1108" t="s">
        <v>515</v>
      </c>
      <c r="B1108" t="s">
        <v>211</v>
      </c>
      <c r="C1108" t="s">
        <v>516</v>
      </c>
      <c r="D1108" t="s">
        <v>439</v>
      </c>
      <c r="E1108" t="s">
        <v>375</v>
      </c>
      <c r="F1108" t="s">
        <v>553</v>
      </c>
      <c r="G1108" s="14">
        <v>46237.818402777797</v>
      </c>
      <c r="H1108" t="s">
        <v>390</v>
      </c>
    </row>
    <row r="1109" spans="1:8" ht="15" customHeight="1" x14ac:dyDescent="0.3">
      <c r="A1109" t="s">
        <v>455</v>
      </c>
      <c r="B1109" t="s">
        <v>456</v>
      </c>
      <c r="C1109" t="s">
        <v>457</v>
      </c>
      <c r="D1109" t="s">
        <v>439</v>
      </c>
      <c r="E1109" t="s">
        <v>375</v>
      </c>
      <c r="F1109" t="s">
        <v>435</v>
      </c>
      <c r="G1109" s="14">
        <v>46237.758275462998</v>
      </c>
      <c r="H1109" t="s">
        <v>377</v>
      </c>
    </row>
    <row r="1110" spans="1:8" ht="15" customHeight="1" x14ac:dyDescent="0.3">
      <c r="A1110" t="s">
        <v>461</v>
      </c>
      <c r="B1110" t="s">
        <v>462</v>
      </c>
      <c r="C1110" t="s">
        <v>463</v>
      </c>
      <c r="D1110" t="s">
        <v>439</v>
      </c>
      <c r="E1110" t="s">
        <v>375</v>
      </c>
      <c r="F1110" t="s">
        <v>552</v>
      </c>
      <c r="G1110" s="14">
        <v>46237.333333333299</v>
      </c>
      <c r="H1110" t="s">
        <v>390</v>
      </c>
    </row>
    <row r="1111" spans="1:8" ht="15" customHeight="1" x14ac:dyDescent="0.3">
      <c r="A1111" t="s">
        <v>475</v>
      </c>
      <c r="B1111" t="s">
        <v>476</v>
      </c>
      <c r="C1111" t="s">
        <v>477</v>
      </c>
      <c r="D1111" t="s">
        <v>439</v>
      </c>
      <c r="E1111" t="s">
        <v>478</v>
      </c>
      <c r="F1111" t="s">
        <v>435</v>
      </c>
      <c r="G1111" s="14">
        <v>46237.330034722203</v>
      </c>
      <c r="H1111" t="s">
        <v>390</v>
      </c>
    </row>
    <row r="1112" spans="1:8" ht="15" customHeight="1" x14ac:dyDescent="0.3">
      <c r="A1112" t="s">
        <v>458</v>
      </c>
      <c r="B1112" t="s">
        <v>459</v>
      </c>
      <c r="C1112" t="s">
        <v>460</v>
      </c>
      <c r="D1112" t="s">
        <v>439</v>
      </c>
      <c r="E1112" t="s">
        <v>394</v>
      </c>
      <c r="F1112" t="s">
        <v>435</v>
      </c>
      <c r="G1112" s="14">
        <v>46237.3284375</v>
      </c>
      <c r="H1112" t="s">
        <v>390</v>
      </c>
    </row>
    <row r="1113" spans="1:8" ht="15" customHeight="1" x14ac:dyDescent="0.3">
      <c r="A1113" t="s">
        <v>488</v>
      </c>
      <c r="B1113" t="s">
        <v>489</v>
      </c>
      <c r="C1113" t="s">
        <v>490</v>
      </c>
      <c r="D1113" t="s">
        <v>439</v>
      </c>
      <c r="E1113" t="s">
        <v>375</v>
      </c>
      <c r="F1113" t="s">
        <v>435</v>
      </c>
      <c r="G1113" s="14">
        <v>46237.328356481499</v>
      </c>
      <c r="H1113" t="s">
        <v>390</v>
      </c>
    </row>
    <row r="1114" spans="1:8" ht="15" customHeight="1" x14ac:dyDescent="0.3">
      <c r="A1114" t="s">
        <v>455</v>
      </c>
      <c r="B1114" t="s">
        <v>456</v>
      </c>
      <c r="C1114" t="s">
        <v>457</v>
      </c>
      <c r="D1114" t="s">
        <v>439</v>
      </c>
      <c r="E1114" t="s">
        <v>375</v>
      </c>
      <c r="F1114" t="s">
        <v>435</v>
      </c>
      <c r="G1114" s="14">
        <v>46237.3282175926</v>
      </c>
      <c r="H1114" t="s">
        <v>390</v>
      </c>
    </row>
    <row r="1115" spans="1:8" ht="15" customHeight="1" x14ac:dyDescent="0.3">
      <c r="A1115" t="s">
        <v>491</v>
      </c>
      <c r="B1115" t="s">
        <v>188</v>
      </c>
      <c r="C1115" t="s">
        <v>492</v>
      </c>
      <c r="D1115" t="s">
        <v>439</v>
      </c>
      <c r="E1115" t="s">
        <v>375</v>
      </c>
      <c r="F1115" t="s">
        <v>435</v>
      </c>
      <c r="G1115" s="14">
        <v>46237.322847222204</v>
      </c>
      <c r="H1115" t="s">
        <v>390</v>
      </c>
    </row>
    <row r="1116" spans="1:8" ht="15" customHeight="1" x14ac:dyDescent="0.3">
      <c r="A1116" t="s">
        <v>436</v>
      </c>
      <c r="B1116" t="s">
        <v>437</v>
      </c>
      <c r="C1116" t="s">
        <v>438</v>
      </c>
      <c r="D1116" t="s">
        <v>439</v>
      </c>
      <c r="E1116" t="s">
        <v>375</v>
      </c>
      <c r="F1116" t="s">
        <v>435</v>
      </c>
      <c r="G1116" s="14">
        <v>46237.322731481501</v>
      </c>
      <c r="H1116" t="s">
        <v>390</v>
      </c>
    </row>
    <row r="1117" spans="1:8" ht="15" customHeight="1" x14ac:dyDescent="0.3">
      <c r="A1117" t="s">
        <v>515</v>
      </c>
      <c r="B1117" t="s">
        <v>211</v>
      </c>
      <c r="C1117" t="s">
        <v>516</v>
      </c>
      <c r="D1117" t="s">
        <v>439</v>
      </c>
      <c r="E1117" t="s">
        <v>375</v>
      </c>
      <c r="F1117" t="s">
        <v>553</v>
      </c>
      <c r="G1117" s="14">
        <v>46237.3132175926</v>
      </c>
      <c r="H1117" t="s">
        <v>377</v>
      </c>
    </row>
    <row r="1118" spans="1:8" ht="15" customHeight="1" x14ac:dyDescent="0.3">
      <c r="A1118" t="s">
        <v>508</v>
      </c>
      <c r="B1118" t="s">
        <v>509</v>
      </c>
      <c r="C1118" t="s">
        <v>510</v>
      </c>
      <c r="D1118" t="s">
        <v>439</v>
      </c>
      <c r="E1118" t="s">
        <v>394</v>
      </c>
      <c r="F1118" t="s">
        <v>553</v>
      </c>
      <c r="G1118" s="14">
        <v>46237.311874999999</v>
      </c>
      <c r="H1118" t="s">
        <v>390</v>
      </c>
    </row>
    <row r="1119" spans="1:8" ht="15" customHeight="1" x14ac:dyDescent="0.3">
      <c r="A1119" t="s">
        <v>488</v>
      </c>
      <c r="B1119" t="s">
        <v>489</v>
      </c>
      <c r="C1119" t="s">
        <v>490</v>
      </c>
      <c r="D1119" t="s">
        <v>439</v>
      </c>
      <c r="E1119" t="s">
        <v>375</v>
      </c>
      <c r="F1119" t="s">
        <v>435</v>
      </c>
      <c r="G1119" s="14">
        <v>46236.840682870403</v>
      </c>
      <c r="H1119" t="s">
        <v>377</v>
      </c>
    </row>
    <row r="1120" spans="1:8" ht="15" customHeight="1" x14ac:dyDescent="0.3">
      <c r="A1120" t="s">
        <v>475</v>
      </c>
      <c r="B1120" t="s">
        <v>476</v>
      </c>
      <c r="C1120" t="s">
        <v>477</v>
      </c>
      <c r="D1120" t="s">
        <v>439</v>
      </c>
      <c r="E1120" t="s">
        <v>478</v>
      </c>
      <c r="F1120" t="s">
        <v>435</v>
      </c>
      <c r="G1120" s="14">
        <v>46236.836307870399</v>
      </c>
      <c r="H1120" t="s">
        <v>377</v>
      </c>
    </row>
    <row r="1121" spans="1:8" ht="15" customHeight="1" x14ac:dyDescent="0.3">
      <c r="A1121" t="s">
        <v>508</v>
      </c>
      <c r="B1121" t="s">
        <v>509</v>
      </c>
      <c r="C1121" t="s">
        <v>510</v>
      </c>
      <c r="D1121" t="s">
        <v>439</v>
      </c>
      <c r="E1121" t="s">
        <v>394</v>
      </c>
      <c r="F1121" t="s">
        <v>553</v>
      </c>
      <c r="G1121" s="14">
        <v>46236.815532407403</v>
      </c>
      <c r="H1121" t="s">
        <v>377</v>
      </c>
    </row>
    <row r="1122" spans="1:8" ht="15" customHeight="1" x14ac:dyDescent="0.3">
      <c r="A1122" t="s">
        <v>515</v>
      </c>
      <c r="B1122" t="s">
        <v>211</v>
      </c>
      <c r="C1122" t="s">
        <v>516</v>
      </c>
      <c r="D1122" t="s">
        <v>439</v>
      </c>
      <c r="E1122" t="s">
        <v>375</v>
      </c>
      <c r="F1122" t="s">
        <v>553</v>
      </c>
      <c r="G1122" s="14">
        <v>46236.813657407401</v>
      </c>
      <c r="H1122" t="s">
        <v>390</v>
      </c>
    </row>
    <row r="1123" spans="1:8" ht="15" customHeight="1" x14ac:dyDescent="0.3">
      <c r="A1123" t="s">
        <v>455</v>
      </c>
      <c r="B1123" t="s">
        <v>456</v>
      </c>
      <c r="C1123" t="s">
        <v>457</v>
      </c>
      <c r="D1123" t="s">
        <v>439</v>
      </c>
      <c r="E1123" t="s">
        <v>375</v>
      </c>
      <c r="F1123" t="s">
        <v>376</v>
      </c>
      <c r="G1123" s="14">
        <v>46236.787731481498</v>
      </c>
      <c r="H1123" t="s">
        <v>390</v>
      </c>
    </row>
    <row r="1124" spans="1:8" ht="15" customHeight="1" x14ac:dyDescent="0.3">
      <c r="A1124" t="s">
        <v>475</v>
      </c>
      <c r="B1124" t="s">
        <v>476</v>
      </c>
      <c r="C1124" t="s">
        <v>477</v>
      </c>
      <c r="D1124" t="s">
        <v>439</v>
      </c>
      <c r="E1124" t="s">
        <v>478</v>
      </c>
      <c r="F1124" t="s">
        <v>435</v>
      </c>
      <c r="G1124" s="14">
        <v>46236.418715277803</v>
      </c>
      <c r="H1124" t="s">
        <v>390</v>
      </c>
    </row>
    <row r="1125" spans="1:8" ht="15" customHeight="1" x14ac:dyDescent="0.3">
      <c r="A1125" t="s">
        <v>458</v>
      </c>
      <c r="B1125" t="s">
        <v>459</v>
      </c>
      <c r="C1125" t="s">
        <v>460</v>
      </c>
      <c r="D1125" t="s">
        <v>439</v>
      </c>
      <c r="E1125" t="s">
        <v>394</v>
      </c>
      <c r="F1125" t="s">
        <v>435</v>
      </c>
      <c r="G1125" s="14">
        <v>46236.3668287037</v>
      </c>
      <c r="H1125" t="s">
        <v>390</v>
      </c>
    </row>
    <row r="1126" spans="1:8" ht="15" customHeight="1" x14ac:dyDescent="0.3">
      <c r="A1126" t="s">
        <v>436</v>
      </c>
      <c r="B1126" t="s">
        <v>437</v>
      </c>
      <c r="C1126" t="s">
        <v>438</v>
      </c>
      <c r="D1126" t="s">
        <v>439</v>
      </c>
      <c r="E1126" t="s">
        <v>375</v>
      </c>
      <c r="F1126" t="s">
        <v>435</v>
      </c>
      <c r="G1126" s="14">
        <v>46236.3254282407</v>
      </c>
      <c r="H1126" t="s">
        <v>390</v>
      </c>
    </row>
    <row r="1127" spans="1:8" ht="15" customHeight="1" x14ac:dyDescent="0.3">
      <c r="A1127" t="s">
        <v>493</v>
      </c>
      <c r="B1127" t="s">
        <v>494</v>
      </c>
      <c r="C1127" t="s">
        <v>495</v>
      </c>
      <c r="D1127" t="s">
        <v>439</v>
      </c>
      <c r="E1127" t="s">
        <v>375</v>
      </c>
      <c r="F1127" t="s">
        <v>435</v>
      </c>
      <c r="G1127" s="14">
        <v>46236.325173611098</v>
      </c>
      <c r="H1127" t="s">
        <v>390</v>
      </c>
    </row>
    <row r="1128" spans="1:8" ht="15" customHeight="1" x14ac:dyDescent="0.3">
      <c r="A1128" t="s">
        <v>491</v>
      </c>
      <c r="B1128" t="s">
        <v>188</v>
      </c>
      <c r="C1128" t="s">
        <v>492</v>
      </c>
      <c r="D1128" t="s">
        <v>439</v>
      </c>
      <c r="E1128" t="s">
        <v>375</v>
      </c>
      <c r="F1128" t="s">
        <v>435</v>
      </c>
      <c r="G1128" s="14">
        <v>46236.325057870403</v>
      </c>
      <c r="H1128" t="s">
        <v>390</v>
      </c>
    </row>
    <row r="1129" spans="1:8" ht="15" customHeight="1" x14ac:dyDescent="0.3">
      <c r="A1129" t="s">
        <v>467</v>
      </c>
      <c r="B1129" t="s">
        <v>468</v>
      </c>
      <c r="C1129" t="s">
        <v>469</v>
      </c>
      <c r="D1129" t="s">
        <v>439</v>
      </c>
      <c r="E1129" t="s">
        <v>375</v>
      </c>
      <c r="F1129" t="s">
        <v>435</v>
      </c>
      <c r="G1129" s="14">
        <v>46236.324976851902</v>
      </c>
      <c r="H1129" t="s">
        <v>390</v>
      </c>
    </row>
    <row r="1130" spans="1:8" ht="15" customHeight="1" x14ac:dyDescent="0.3">
      <c r="A1130" t="s">
        <v>508</v>
      </c>
      <c r="B1130" t="s">
        <v>509</v>
      </c>
      <c r="C1130" t="s">
        <v>510</v>
      </c>
      <c r="D1130" t="s">
        <v>439</v>
      </c>
      <c r="E1130" t="s">
        <v>394</v>
      </c>
      <c r="F1130" t="s">
        <v>553</v>
      </c>
      <c r="G1130" s="14">
        <v>46236.312199074098</v>
      </c>
      <c r="H1130" t="s">
        <v>390</v>
      </c>
    </row>
    <row r="1131" spans="1:8" ht="15" customHeight="1" x14ac:dyDescent="0.3">
      <c r="A1131" t="s">
        <v>515</v>
      </c>
      <c r="B1131" t="s">
        <v>211</v>
      </c>
      <c r="C1131" t="s">
        <v>516</v>
      </c>
      <c r="D1131" t="s">
        <v>439</v>
      </c>
      <c r="E1131" t="s">
        <v>375</v>
      </c>
      <c r="F1131" t="s">
        <v>553</v>
      </c>
      <c r="G1131" s="14">
        <v>46236.310185185197</v>
      </c>
      <c r="H1131" t="s">
        <v>377</v>
      </c>
    </row>
    <row r="1132" spans="1:8" ht="15" customHeight="1" x14ac:dyDescent="0.3">
      <c r="A1132" t="s">
        <v>493</v>
      </c>
      <c r="B1132" t="s">
        <v>494</v>
      </c>
      <c r="C1132" t="s">
        <v>495</v>
      </c>
      <c r="D1132" t="s">
        <v>439</v>
      </c>
      <c r="E1132" t="s">
        <v>375</v>
      </c>
      <c r="F1132" t="s">
        <v>435</v>
      </c>
      <c r="G1132" s="14">
        <v>46235.845405092601</v>
      </c>
      <c r="H1132" t="s">
        <v>377</v>
      </c>
    </row>
    <row r="1133" spans="1:8" ht="15" customHeight="1" x14ac:dyDescent="0.3">
      <c r="A1133" t="s">
        <v>482</v>
      </c>
      <c r="B1133" t="s">
        <v>483</v>
      </c>
      <c r="C1133" t="s">
        <v>484</v>
      </c>
      <c r="D1133" t="s">
        <v>439</v>
      </c>
      <c r="E1133" t="s">
        <v>375</v>
      </c>
      <c r="F1133" t="s">
        <v>552</v>
      </c>
      <c r="G1133" s="14">
        <v>46235.833333333299</v>
      </c>
      <c r="H1133" t="s">
        <v>377</v>
      </c>
    </row>
    <row r="1134" spans="1:8" ht="15" customHeight="1" x14ac:dyDescent="0.3">
      <c r="A1134" t="s">
        <v>488</v>
      </c>
      <c r="B1134" t="s">
        <v>489</v>
      </c>
      <c r="C1134" t="s">
        <v>490</v>
      </c>
      <c r="D1134" t="s">
        <v>439</v>
      </c>
      <c r="E1134" t="s">
        <v>375</v>
      </c>
      <c r="F1134" t="s">
        <v>435</v>
      </c>
      <c r="G1134" s="14">
        <v>46235.827106481498</v>
      </c>
      <c r="H1134" t="s">
        <v>377</v>
      </c>
    </row>
    <row r="1135" spans="1:8" ht="15" customHeight="1" x14ac:dyDescent="0.3">
      <c r="A1135" t="s">
        <v>508</v>
      </c>
      <c r="B1135" t="s">
        <v>509</v>
      </c>
      <c r="C1135" t="s">
        <v>510</v>
      </c>
      <c r="D1135" t="s">
        <v>439</v>
      </c>
      <c r="E1135" t="s">
        <v>394</v>
      </c>
      <c r="F1135" t="s">
        <v>553</v>
      </c>
      <c r="G1135" s="14">
        <v>46235.822905092602</v>
      </c>
      <c r="H1135" t="s">
        <v>377</v>
      </c>
    </row>
    <row r="1136" spans="1:8" ht="15" customHeight="1" x14ac:dyDescent="0.3">
      <c r="A1136" t="s">
        <v>515</v>
      </c>
      <c r="B1136" t="s">
        <v>211</v>
      </c>
      <c r="C1136" t="s">
        <v>516</v>
      </c>
      <c r="D1136" t="s">
        <v>439</v>
      </c>
      <c r="E1136" t="s">
        <v>375</v>
      </c>
      <c r="F1136" t="s">
        <v>553</v>
      </c>
      <c r="G1136" s="14">
        <v>46235.8143865741</v>
      </c>
      <c r="H1136" t="s">
        <v>390</v>
      </c>
    </row>
    <row r="1137" spans="1:8" ht="15" customHeight="1" x14ac:dyDescent="0.3">
      <c r="A1137" t="s">
        <v>458</v>
      </c>
      <c r="B1137" t="s">
        <v>459</v>
      </c>
      <c r="C1137" t="s">
        <v>460</v>
      </c>
      <c r="D1137" t="s">
        <v>439</v>
      </c>
      <c r="E1137" t="s">
        <v>394</v>
      </c>
      <c r="F1137" t="s">
        <v>435</v>
      </c>
      <c r="G1137" s="14">
        <v>46235.343854166698</v>
      </c>
      <c r="H1137" t="s">
        <v>390</v>
      </c>
    </row>
    <row r="1138" spans="1:8" ht="15" customHeight="1" x14ac:dyDescent="0.3">
      <c r="A1138" t="s">
        <v>455</v>
      </c>
      <c r="B1138" t="s">
        <v>456</v>
      </c>
      <c r="C1138" t="s">
        <v>457</v>
      </c>
      <c r="D1138" t="s">
        <v>439</v>
      </c>
      <c r="E1138" t="s">
        <v>375</v>
      </c>
      <c r="F1138" t="s">
        <v>435</v>
      </c>
      <c r="G1138" s="14">
        <v>46235.338425925896</v>
      </c>
      <c r="H1138" t="s">
        <v>390</v>
      </c>
    </row>
    <row r="1139" spans="1:8" ht="15" customHeight="1" x14ac:dyDescent="0.3">
      <c r="A1139" t="s">
        <v>475</v>
      </c>
      <c r="B1139" t="s">
        <v>476</v>
      </c>
      <c r="C1139" t="s">
        <v>477</v>
      </c>
      <c r="D1139" t="s">
        <v>439</v>
      </c>
      <c r="E1139" t="s">
        <v>478</v>
      </c>
      <c r="F1139" t="s">
        <v>435</v>
      </c>
      <c r="G1139" s="14">
        <v>46235.336574074099</v>
      </c>
      <c r="H1139" t="s">
        <v>390</v>
      </c>
    </row>
    <row r="1140" spans="1:8" ht="15" customHeight="1" x14ac:dyDescent="0.3">
      <c r="A1140" t="s">
        <v>452</v>
      </c>
      <c r="B1140" t="s">
        <v>453</v>
      </c>
      <c r="C1140" t="s">
        <v>454</v>
      </c>
      <c r="D1140" t="s">
        <v>439</v>
      </c>
      <c r="E1140" t="s">
        <v>375</v>
      </c>
      <c r="F1140" t="s">
        <v>552</v>
      </c>
      <c r="G1140" s="14">
        <v>46235.333333333299</v>
      </c>
      <c r="H1140" t="s">
        <v>377</v>
      </c>
    </row>
    <row r="1141" spans="1:8" ht="15" customHeight="1" x14ac:dyDescent="0.3">
      <c r="A1141" t="s">
        <v>449</v>
      </c>
      <c r="B1141" t="s">
        <v>450</v>
      </c>
      <c r="C1141" t="s">
        <v>451</v>
      </c>
      <c r="D1141" t="s">
        <v>439</v>
      </c>
      <c r="E1141" t="s">
        <v>375</v>
      </c>
      <c r="F1141" t="s">
        <v>552</v>
      </c>
      <c r="G1141" s="14">
        <v>46235.333333333299</v>
      </c>
      <c r="H1141" t="s">
        <v>377</v>
      </c>
    </row>
    <row r="1142" spans="1:8" ht="15" customHeight="1" x14ac:dyDescent="0.3">
      <c r="A1142" t="s">
        <v>446</v>
      </c>
      <c r="B1142" t="s">
        <v>447</v>
      </c>
      <c r="C1142" t="s">
        <v>448</v>
      </c>
      <c r="D1142" t="s">
        <v>439</v>
      </c>
      <c r="E1142" t="s">
        <v>375</v>
      </c>
      <c r="F1142" t="s">
        <v>552</v>
      </c>
      <c r="G1142" s="14">
        <v>46235.333333333299</v>
      </c>
      <c r="H1142" t="s">
        <v>377</v>
      </c>
    </row>
    <row r="1143" spans="1:8" ht="15" customHeight="1" x14ac:dyDescent="0.3">
      <c r="A1143" t="s">
        <v>464</v>
      </c>
      <c r="B1143" t="s">
        <v>465</v>
      </c>
      <c r="C1143" t="s">
        <v>466</v>
      </c>
      <c r="D1143" t="s">
        <v>439</v>
      </c>
      <c r="E1143" t="s">
        <v>375</v>
      </c>
      <c r="F1143" t="s">
        <v>552</v>
      </c>
      <c r="G1143" s="14">
        <v>46235.333333333299</v>
      </c>
      <c r="H1143" t="s">
        <v>377</v>
      </c>
    </row>
    <row r="1144" spans="1:8" ht="15" customHeight="1" x14ac:dyDescent="0.3">
      <c r="A1144" t="s">
        <v>470</v>
      </c>
      <c r="B1144" t="s">
        <v>184</v>
      </c>
      <c r="C1144" t="s">
        <v>471</v>
      </c>
      <c r="D1144" t="s">
        <v>439</v>
      </c>
      <c r="E1144" t="s">
        <v>375</v>
      </c>
      <c r="F1144" t="s">
        <v>552</v>
      </c>
      <c r="G1144" s="14">
        <v>46235.333333333299</v>
      </c>
      <c r="H1144" t="s">
        <v>377</v>
      </c>
    </row>
    <row r="1145" spans="1:8" ht="15" customHeight="1" x14ac:dyDescent="0.3">
      <c r="A1145" t="s">
        <v>467</v>
      </c>
      <c r="B1145" t="s">
        <v>468</v>
      </c>
      <c r="C1145" t="s">
        <v>469</v>
      </c>
      <c r="D1145" t="s">
        <v>439</v>
      </c>
      <c r="E1145" t="s">
        <v>375</v>
      </c>
      <c r="F1145" t="s">
        <v>435</v>
      </c>
      <c r="G1145" s="14">
        <v>46235.329976851899</v>
      </c>
      <c r="H1145" t="s">
        <v>390</v>
      </c>
    </row>
    <row r="1146" spans="1:8" ht="15" customHeight="1" x14ac:dyDescent="0.3">
      <c r="A1146" t="s">
        <v>436</v>
      </c>
      <c r="B1146" t="s">
        <v>437</v>
      </c>
      <c r="C1146" t="s">
        <v>438</v>
      </c>
      <c r="D1146" t="s">
        <v>439</v>
      </c>
      <c r="E1146" t="s">
        <v>375</v>
      </c>
      <c r="F1146" t="s">
        <v>435</v>
      </c>
      <c r="G1146" s="14">
        <v>46235.328703703701</v>
      </c>
      <c r="H1146" t="s">
        <v>390</v>
      </c>
    </row>
    <row r="1147" spans="1:8" ht="15" customHeight="1" x14ac:dyDescent="0.3">
      <c r="A1147" t="s">
        <v>482</v>
      </c>
      <c r="B1147" t="s">
        <v>483</v>
      </c>
      <c r="C1147" t="s">
        <v>484</v>
      </c>
      <c r="D1147" t="s">
        <v>439</v>
      </c>
      <c r="E1147" t="s">
        <v>375</v>
      </c>
      <c r="F1147" t="s">
        <v>435</v>
      </c>
      <c r="G1147" s="14">
        <v>46235.327962962998</v>
      </c>
      <c r="H1147" t="s">
        <v>390</v>
      </c>
    </row>
    <row r="1148" spans="1:8" ht="15" customHeight="1" x14ac:dyDescent="0.3">
      <c r="A1148" t="s">
        <v>493</v>
      </c>
      <c r="B1148" t="s">
        <v>494</v>
      </c>
      <c r="C1148" t="s">
        <v>495</v>
      </c>
      <c r="D1148" t="s">
        <v>439</v>
      </c>
      <c r="E1148" t="s">
        <v>375</v>
      </c>
      <c r="F1148" t="s">
        <v>435</v>
      </c>
      <c r="G1148" s="14">
        <v>46235.327546296299</v>
      </c>
      <c r="H1148" t="s">
        <v>390</v>
      </c>
    </row>
    <row r="1149" spans="1:8" ht="15" customHeight="1" x14ac:dyDescent="0.3">
      <c r="A1149" t="s">
        <v>488</v>
      </c>
      <c r="B1149" t="s">
        <v>489</v>
      </c>
      <c r="C1149" t="s">
        <v>490</v>
      </c>
      <c r="D1149" t="s">
        <v>439</v>
      </c>
      <c r="E1149" t="s">
        <v>375</v>
      </c>
      <c r="F1149" t="s">
        <v>435</v>
      </c>
      <c r="G1149" s="14">
        <v>46235.327337962997</v>
      </c>
      <c r="H1149" t="s">
        <v>390</v>
      </c>
    </row>
    <row r="1150" spans="1:8" ht="15" customHeight="1" x14ac:dyDescent="0.3">
      <c r="A1150" t="s">
        <v>508</v>
      </c>
      <c r="B1150" t="s">
        <v>509</v>
      </c>
      <c r="C1150" t="s">
        <v>510</v>
      </c>
      <c r="D1150" t="s">
        <v>439</v>
      </c>
      <c r="E1150" t="s">
        <v>394</v>
      </c>
      <c r="F1150" t="s">
        <v>553</v>
      </c>
      <c r="G1150" s="14">
        <v>46235.326203703698</v>
      </c>
      <c r="H1150" t="s">
        <v>390</v>
      </c>
    </row>
    <row r="1151" spans="1:8" ht="15" customHeight="1" x14ac:dyDescent="0.3">
      <c r="A1151" t="s">
        <v>446</v>
      </c>
      <c r="B1151" t="s">
        <v>447</v>
      </c>
      <c r="C1151" t="s">
        <v>448</v>
      </c>
      <c r="D1151" t="s">
        <v>439</v>
      </c>
      <c r="E1151" t="s">
        <v>375</v>
      </c>
      <c r="F1151" t="s">
        <v>435</v>
      </c>
      <c r="G1151" s="14">
        <v>46235.321307870399</v>
      </c>
      <c r="H1151" t="s">
        <v>377</v>
      </c>
    </row>
    <row r="1152" spans="1:8" ht="15" customHeight="1" x14ac:dyDescent="0.3">
      <c r="A1152" t="s">
        <v>491</v>
      </c>
      <c r="B1152" t="s">
        <v>188</v>
      </c>
      <c r="C1152" t="s">
        <v>492</v>
      </c>
      <c r="D1152" t="s">
        <v>439</v>
      </c>
      <c r="E1152" t="s">
        <v>375</v>
      </c>
      <c r="F1152" t="s">
        <v>435</v>
      </c>
      <c r="G1152" s="14">
        <v>46235.3198148148</v>
      </c>
      <c r="H1152" t="s">
        <v>390</v>
      </c>
    </row>
    <row r="1153" spans="1:8" ht="15" customHeight="1" x14ac:dyDescent="0.3">
      <c r="A1153" t="s">
        <v>515</v>
      </c>
      <c r="B1153" t="s">
        <v>211</v>
      </c>
      <c r="C1153" t="s">
        <v>516</v>
      </c>
      <c r="D1153" t="s">
        <v>439</v>
      </c>
      <c r="E1153" t="s">
        <v>375</v>
      </c>
      <c r="F1153" t="s">
        <v>553</v>
      </c>
      <c r="G1153" s="14">
        <v>46235.312615740702</v>
      </c>
      <c r="H1153" t="s">
        <v>377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04"/>
  <sheetViews>
    <sheetView showGridLines="0" topLeftCell="A139" zoomScaleNormal="100" workbookViewId="0">
      <selection activeCell="I153" sqref="I153"/>
    </sheetView>
  </sheetViews>
  <sheetFormatPr baseColWidth="10" defaultColWidth="8.6640625" defaultRowHeight="14.4" x14ac:dyDescent="0.3"/>
  <cols>
    <col min="2" max="3" width="16" customWidth="1"/>
    <col min="5" max="5" width="18" customWidth="1"/>
    <col min="6" max="6" width="14" customWidth="1"/>
    <col min="7" max="7" width="18" customWidth="1"/>
    <col min="8" max="8" width="26" customWidth="1"/>
    <col min="9" max="9" width="30" customWidth="1"/>
  </cols>
  <sheetData>
    <row r="1" spans="1:9" ht="15" customHeight="1" x14ac:dyDescent="0.3">
      <c r="A1" s="1"/>
      <c r="E1" s="23" t="s">
        <v>631</v>
      </c>
      <c r="F1" s="23"/>
      <c r="G1" s="23"/>
      <c r="H1" s="23"/>
      <c r="I1" s="23"/>
    </row>
    <row r="2" spans="1:9" ht="27.75" customHeight="1" x14ac:dyDescent="0.3">
      <c r="E2" s="24"/>
      <c r="F2" s="24"/>
      <c r="G2" s="24"/>
      <c r="H2" s="24"/>
      <c r="I2" s="24"/>
    </row>
    <row r="4" spans="1:9" ht="15" customHeight="1" x14ac:dyDescent="0.3">
      <c r="B4" s="15" t="s">
        <v>554</v>
      </c>
      <c r="C4" s="15" t="s">
        <v>555</v>
      </c>
      <c r="E4" s="16" t="s">
        <v>556</v>
      </c>
      <c r="F4" s="16" t="s">
        <v>367</v>
      </c>
      <c r="G4" s="16" t="s">
        <v>366</v>
      </c>
      <c r="H4" s="16" t="s">
        <v>557</v>
      </c>
      <c r="I4" s="16" t="s">
        <v>558</v>
      </c>
    </row>
    <row r="5" spans="1:9" ht="15" customHeight="1" x14ac:dyDescent="0.3">
      <c r="B5" s="17">
        <f>IF('Marcación Workera'!G5="","",INT('Marcación Workera'!G5))</f>
        <v>46265</v>
      </c>
      <c r="C5" s="18" t="str">
        <f>IF('Marcación Workera'!B5="","",UPPER(SUBSTITUTE('Marcación Workera'!B5,".","")))</f>
        <v>14313865-8</v>
      </c>
      <c r="E5" s="19" t="s">
        <v>559</v>
      </c>
      <c r="F5" s="19" t="s">
        <v>560</v>
      </c>
      <c r="G5" s="19" t="s">
        <v>561</v>
      </c>
      <c r="H5" s="19" t="s">
        <v>562</v>
      </c>
      <c r="I5" s="19" t="s">
        <v>17</v>
      </c>
    </row>
    <row r="6" spans="1:9" ht="15" customHeight="1" x14ac:dyDescent="0.3">
      <c r="B6" s="17">
        <f>IF('Marcación Workera'!G6="","",INT('Marcación Workera'!G6))</f>
        <v>46265</v>
      </c>
      <c r="C6" s="18" t="str">
        <f>IF('Marcación Workera'!B6="","",UPPER(SUBSTITUTE('Marcación Workera'!B6,".","")))</f>
        <v>14128763-K</v>
      </c>
      <c r="E6" s="19" t="s">
        <v>559</v>
      </c>
      <c r="F6" s="19" t="s">
        <v>563</v>
      </c>
      <c r="G6" s="19" t="s">
        <v>564</v>
      </c>
      <c r="H6" s="19" t="s">
        <v>562</v>
      </c>
      <c r="I6" s="19" t="s">
        <v>17</v>
      </c>
    </row>
    <row r="7" spans="1:9" ht="15" customHeight="1" x14ac:dyDescent="0.3">
      <c r="B7" s="17">
        <f>IF('Marcación Workera'!G7="","",INT('Marcación Workera'!G7))</f>
        <v>46265</v>
      </c>
      <c r="C7" s="18" t="str">
        <f>IF('Marcación Workera'!B7="","",UPPER(SUBSTITUTE('Marcación Workera'!B7,".","")))</f>
        <v>14099614-9</v>
      </c>
      <c r="E7" s="19" t="s">
        <v>473</v>
      </c>
      <c r="F7" s="19" t="s">
        <v>560</v>
      </c>
      <c r="G7" s="19" t="s">
        <v>561</v>
      </c>
      <c r="H7" s="19" t="s">
        <v>562</v>
      </c>
      <c r="I7" s="19" t="s">
        <v>22</v>
      </c>
    </row>
    <row r="8" spans="1:9" ht="15" customHeight="1" x14ac:dyDescent="0.3">
      <c r="B8" s="17">
        <f>IF('Marcación Workera'!G8="","",INT('Marcación Workera'!G8))</f>
        <v>46265</v>
      </c>
      <c r="C8" s="18" t="str">
        <f>IF('Marcación Workera'!B8="","",UPPER(SUBSTITUTE('Marcación Workera'!B8,".","")))</f>
        <v>11345634-5</v>
      </c>
      <c r="E8" s="19" t="s">
        <v>473</v>
      </c>
      <c r="F8" s="19" t="s">
        <v>563</v>
      </c>
      <c r="G8" s="19" t="s">
        <v>564</v>
      </c>
      <c r="H8" s="19" t="s">
        <v>562</v>
      </c>
      <c r="I8" s="19" t="s">
        <v>22</v>
      </c>
    </row>
    <row r="9" spans="1:9" ht="15" customHeight="1" x14ac:dyDescent="0.3">
      <c r="B9" s="17">
        <f>IF('Marcación Workera'!G9="","",INT('Marcación Workera'!G9))</f>
        <v>46265</v>
      </c>
      <c r="C9" s="18" t="str">
        <f>IF('Marcación Workera'!B9="","",UPPER(SUBSTITUTE('Marcación Workera'!B9,".","")))</f>
        <v>17643890-8</v>
      </c>
      <c r="E9" s="19" t="s">
        <v>456</v>
      </c>
      <c r="F9" s="19" t="s">
        <v>563</v>
      </c>
      <c r="G9" s="19" t="s">
        <v>564</v>
      </c>
      <c r="H9" s="19" t="s">
        <v>562</v>
      </c>
      <c r="I9" s="19" t="s">
        <v>24</v>
      </c>
    </row>
    <row r="10" spans="1:9" ht="15" customHeight="1" x14ac:dyDescent="0.3">
      <c r="B10" s="17">
        <f>IF('Marcación Workera'!G10="","",INT('Marcación Workera'!G10))</f>
        <v>46265</v>
      </c>
      <c r="C10" s="18" t="str">
        <f>IF('Marcación Workera'!B10="","",UPPER(SUBSTITUTE('Marcación Workera'!B10,".","")))</f>
        <v>12447356-K</v>
      </c>
      <c r="E10" s="19" t="s">
        <v>437</v>
      </c>
      <c r="F10" s="19" t="s">
        <v>563</v>
      </c>
      <c r="G10" s="20">
        <v>46235.833333333336</v>
      </c>
      <c r="H10" s="19" t="s">
        <v>562</v>
      </c>
      <c r="I10" s="19" t="s">
        <v>28</v>
      </c>
    </row>
    <row r="11" spans="1:9" ht="15" customHeight="1" x14ac:dyDescent="0.3">
      <c r="B11" s="17">
        <f>IF('Marcación Workera'!G11="","",INT('Marcación Workera'!G11))</f>
        <v>46265</v>
      </c>
      <c r="C11" s="18" t="str">
        <f>IF('Marcación Workera'!B11="","",UPPER(SUBSTITUTE('Marcación Workera'!B11,".","")))</f>
        <v>17643890-8</v>
      </c>
      <c r="E11" s="19" t="s">
        <v>188</v>
      </c>
      <c r="F11" s="19" t="s">
        <v>563</v>
      </c>
      <c r="G11" s="19" t="s">
        <v>564</v>
      </c>
      <c r="H11" s="19" t="s">
        <v>562</v>
      </c>
      <c r="I11" s="19" t="s">
        <v>30</v>
      </c>
    </row>
    <row r="12" spans="1:9" ht="15" customHeight="1" x14ac:dyDescent="0.3">
      <c r="B12" s="17">
        <f>IF('Marcación Workera'!G12="","",INT('Marcación Workera'!G12))</f>
        <v>46265</v>
      </c>
      <c r="C12" s="18" t="str">
        <f>IF('Marcación Workera'!B12="","",UPPER(SUBSTITUTE('Marcación Workera'!B12,".","")))</f>
        <v>14313865-8</v>
      </c>
      <c r="E12" s="19" t="s">
        <v>459</v>
      </c>
      <c r="F12" s="19" t="s">
        <v>563</v>
      </c>
      <c r="G12" s="19" t="s">
        <v>564</v>
      </c>
      <c r="H12" s="19" t="s">
        <v>562</v>
      </c>
      <c r="I12" s="19" t="s">
        <v>31</v>
      </c>
    </row>
    <row r="13" spans="1:9" ht="15" customHeight="1" x14ac:dyDescent="0.3">
      <c r="B13" s="17">
        <f>IF('Marcación Workera'!G13="","",INT('Marcación Workera'!G13))</f>
        <v>46265</v>
      </c>
      <c r="C13" s="18" t="str">
        <f>IF('Marcación Workera'!B13="","",UPPER(SUBSTITUTE('Marcación Workera'!B13,".","")))</f>
        <v>14128763-K</v>
      </c>
      <c r="E13" s="19" t="s">
        <v>476</v>
      </c>
      <c r="F13" s="19" t="s">
        <v>563</v>
      </c>
      <c r="G13" s="19" t="s">
        <v>564</v>
      </c>
      <c r="H13" s="19" t="s">
        <v>562</v>
      </c>
      <c r="I13" s="19" t="s">
        <v>33</v>
      </c>
    </row>
    <row r="14" spans="1:9" ht="15" customHeight="1" x14ac:dyDescent="0.3">
      <c r="B14" s="17">
        <f>IF('Marcación Workera'!G14="","",INT('Marcación Workera'!G14))</f>
        <v>46265</v>
      </c>
      <c r="C14" s="18" t="str">
        <f>IF('Marcación Workera'!B14="","",UPPER(SUBSTITUTE('Marcación Workera'!B14,".","")))</f>
        <v>19753292-0</v>
      </c>
      <c r="E14" s="19" t="s">
        <v>480</v>
      </c>
      <c r="F14" s="19" t="s">
        <v>560</v>
      </c>
      <c r="G14" s="19" t="s">
        <v>561</v>
      </c>
      <c r="H14" s="19" t="s">
        <v>562</v>
      </c>
      <c r="I14" s="19" t="s">
        <v>35</v>
      </c>
    </row>
    <row r="15" spans="1:9" ht="15" customHeight="1" x14ac:dyDescent="0.3">
      <c r="B15" s="17">
        <f>IF('Marcación Workera'!G15="","",INT('Marcación Workera'!G15))</f>
        <v>46265</v>
      </c>
      <c r="C15" s="18" t="str">
        <f>IF('Marcación Workera'!B15="","",UPPER(SUBSTITUTE('Marcación Workera'!B15,".","")))</f>
        <v>15572472-2</v>
      </c>
      <c r="E15" s="19" t="s">
        <v>480</v>
      </c>
      <c r="F15" s="19" t="s">
        <v>563</v>
      </c>
      <c r="G15" s="19" t="s">
        <v>564</v>
      </c>
      <c r="H15" s="19" t="s">
        <v>562</v>
      </c>
      <c r="I15" s="19" t="s">
        <v>35</v>
      </c>
    </row>
    <row r="16" spans="1:9" ht="15" customHeight="1" x14ac:dyDescent="0.3">
      <c r="B16" s="17">
        <f>IF('Marcación Workera'!G16="","",INT('Marcación Workera'!G16))</f>
        <v>46265</v>
      </c>
      <c r="C16" s="18" t="str">
        <f>IF('Marcación Workera'!B16="","",UPPER(SUBSTITUTE('Marcación Workera'!B16,".","")))</f>
        <v>14099614-9</v>
      </c>
      <c r="E16" s="19" t="s">
        <v>497</v>
      </c>
      <c r="F16" s="19" t="s">
        <v>560</v>
      </c>
      <c r="G16" s="19" t="s">
        <v>561</v>
      </c>
      <c r="H16" s="19" t="s">
        <v>562</v>
      </c>
      <c r="I16" s="19" t="s">
        <v>37</v>
      </c>
    </row>
    <row r="17" spans="2:9" ht="15" customHeight="1" x14ac:dyDescent="0.3">
      <c r="B17" s="17">
        <f>IF('Marcación Workera'!G17="","",INT('Marcación Workera'!G17))</f>
        <v>46265</v>
      </c>
      <c r="C17" s="18" t="str">
        <f>IF('Marcación Workera'!B17="","",UPPER(SUBSTITUTE('Marcación Workera'!B17,".","")))</f>
        <v>11345634-5</v>
      </c>
      <c r="E17" s="19" t="s">
        <v>497</v>
      </c>
      <c r="F17" s="19" t="s">
        <v>563</v>
      </c>
      <c r="G17" s="19" t="s">
        <v>564</v>
      </c>
      <c r="H17" s="19" t="s">
        <v>562</v>
      </c>
      <c r="I17" s="19" t="s">
        <v>37</v>
      </c>
    </row>
    <row r="18" spans="2:9" ht="15" customHeight="1" x14ac:dyDescent="0.3">
      <c r="B18" s="17">
        <f>IF('Marcación Workera'!G18="","",INT('Marcación Workera'!G18))</f>
        <v>46265</v>
      </c>
      <c r="C18" s="18" t="str">
        <f>IF('Marcación Workera'!B18="","",UPPER(SUBSTITUTE('Marcación Workera'!B18,".","")))</f>
        <v>12447356-K</v>
      </c>
      <c r="E18" s="19" t="s">
        <v>155</v>
      </c>
      <c r="F18" s="19" t="s">
        <v>560</v>
      </c>
      <c r="G18" s="19" t="s">
        <v>561</v>
      </c>
      <c r="H18" s="19" t="s">
        <v>562</v>
      </c>
      <c r="I18" s="19" t="s">
        <v>42</v>
      </c>
    </row>
    <row r="19" spans="2:9" ht="15" customHeight="1" x14ac:dyDescent="0.3">
      <c r="B19" s="17">
        <f>IF('Marcación Workera'!G19="","",INT('Marcación Workera'!G19))</f>
        <v>46264</v>
      </c>
      <c r="C19" s="18" t="str">
        <f>IF('Marcación Workera'!B19="","",UPPER(SUBSTITUTE('Marcación Workera'!B19,".","")))</f>
        <v>15572472-2</v>
      </c>
      <c r="E19" s="19" t="s">
        <v>155</v>
      </c>
      <c r="F19" s="19" t="s">
        <v>563</v>
      </c>
      <c r="G19" s="19" t="s">
        <v>564</v>
      </c>
      <c r="H19" s="19" t="s">
        <v>562</v>
      </c>
      <c r="I19" s="19" t="s">
        <v>42</v>
      </c>
    </row>
    <row r="20" spans="2:9" ht="15" customHeight="1" x14ac:dyDescent="0.3">
      <c r="B20" s="17">
        <f>IF('Marcación Workera'!G20="","",INT('Marcación Workera'!G20))</f>
        <v>46264</v>
      </c>
      <c r="C20" s="18" t="str">
        <f>IF('Marcación Workera'!B20="","",UPPER(SUBSTITUTE('Marcación Workera'!B20,".","")))</f>
        <v>17643890-8</v>
      </c>
      <c r="E20" s="19" t="s">
        <v>444</v>
      </c>
      <c r="F20" s="19" t="s">
        <v>560</v>
      </c>
      <c r="G20" s="19" t="s">
        <v>561</v>
      </c>
      <c r="H20" s="19" t="s">
        <v>562</v>
      </c>
      <c r="I20" s="19" t="s">
        <v>44</v>
      </c>
    </row>
    <row r="21" spans="2:9" ht="15" customHeight="1" x14ac:dyDescent="0.3">
      <c r="B21" s="17">
        <f>IF('Marcación Workera'!G21="","",INT('Marcación Workera'!G21))</f>
        <v>46264</v>
      </c>
      <c r="C21" s="18" t="str">
        <f>IF('Marcación Workera'!B21="","",UPPER(SUBSTITUTE('Marcación Workera'!B21,".","")))</f>
        <v>11345634-5</v>
      </c>
      <c r="E21" s="19" t="s">
        <v>444</v>
      </c>
      <c r="F21" s="19" t="s">
        <v>563</v>
      </c>
      <c r="G21" s="19" t="s">
        <v>564</v>
      </c>
      <c r="H21" s="19" t="s">
        <v>562</v>
      </c>
      <c r="I21" s="19" t="s">
        <v>44</v>
      </c>
    </row>
    <row r="22" spans="2:9" ht="15" customHeight="1" x14ac:dyDescent="0.3">
      <c r="B22" s="17">
        <f>IF('Marcación Workera'!G22="","",INT('Marcación Workera'!G22))</f>
        <v>46264</v>
      </c>
      <c r="C22" s="18" t="str">
        <f>IF('Marcación Workera'!B22="","",UPPER(SUBSTITUTE('Marcación Workera'!B22,".","")))</f>
        <v>14128763-K</v>
      </c>
      <c r="E22" s="19" t="s">
        <v>565</v>
      </c>
      <c r="F22" s="19" t="s">
        <v>560</v>
      </c>
      <c r="G22" s="19" t="s">
        <v>561</v>
      </c>
      <c r="H22" s="19" t="s">
        <v>562</v>
      </c>
      <c r="I22" s="19" t="s">
        <v>46</v>
      </c>
    </row>
    <row r="23" spans="2:9" ht="15" customHeight="1" x14ac:dyDescent="0.3">
      <c r="B23" s="17">
        <f>IF('Marcación Workera'!G23="","",INT('Marcación Workera'!G23))</f>
        <v>46264</v>
      </c>
      <c r="C23" s="18" t="str">
        <f>IF('Marcación Workera'!B23="","",UPPER(SUBSTITUTE('Marcación Workera'!B23,".","")))</f>
        <v>14313865-8</v>
      </c>
      <c r="E23" s="19" t="s">
        <v>565</v>
      </c>
      <c r="F23" s="19" t="s">
        <v>563</v>
      </c>
      <c r="G23" s="19" t="s">
        <v>564</v>
      </c>
      <c r="H23" s="19" t="s">
        <v>562</v>
      </c>
      <c r="I23" s="19" t="s">
        <v>46</v>
      </c>
    </row>
    <row r="24" spans="2:9" ht="15" customHeight="1" x14ac:dyDescent="0.3">
      <c r="B24" s="17">
        <f>IF('Marcación Workera'!G24="","",INT('Marcación Workera'!G24))</f>
        <v>46264</v>
      </c>
      <c r="C24" s="18" t="str">
        <f>IF('Marcación Workera'!B24="","",UPPER(SUBSTITUTE('Marcación Workera'!B24,".","")))</f>
        <v>14099614-9</v>
      </c>
      <c r="E24" s="19" t="s">
        <v>468</v>
      </c>
      <c r="F24" s="19" t="s">
        <v>563</v>
      </c>
      <c r="G24" s="19" t="s">
        <v>564</v>
      </c>
      <c r="H24" s="19" t="s">
        <v>562</v>
      </c>
      <c r="I24" s="19" t="s">
        <v>49</v>
      </c>
    </row>
    <row r="25" spans="2:9" ht="15" customHeight="1" x14ac:dyDescent="0.3">
      <c r="B25" s="17">
        <f>IF('Marcación Workera'!G25="","",INT('Marcación Workera'!G25))</f>
        <v>46264</v>
      </c>
      <c r="C25" s="18" t="str">
        <f>IF('Marcación Workera'!B25="","",UPPER(SUBSTITUTE('Marcación Workera'!B25,".","")))</f>
        <v>14313865-8</v>
      </c>
      <c r="E25" s="19" t="s">
        <v>184</v>
      </c>
      <c r="F25" s="19" t="s">
        <v>560</v>
      </c>
      <c r="G25" s="19" t="s">
        <v>564</v>
      </c>
      <c r="H25" s="19" t="s">
        <v>562</v>
      </c>
      <c r="I25" s="19" t="s">
        <v>51</v>
      </c>
    </row>
    <row r="26" spans="2:9" ht="15" customHeight="1" x14ac:dyDescent="0.3">
      <c r="B26" s="17">
        <f>IF('Marcación Workera'!G26="","",INT('Marcación Workera'!G26))</f>
        <v>46264</v>
      </c>
      <c r="C26" s="18" t="str">
        <f>IF('Marcación Workera'!B26="","",UPPER(SUBSTITUTE('Marcación Workera'!B26,".","")))</f>
        <v>14099614-9</v>
      </c>
      <c r="E26" s="19" t="s">
        <v>465</v>
      </c>
      <c r="F26" s="19" t="s">
        <v>560</v>
      </c>
      <c r="G26" s="19" t="s">
        <v>564</v>
      </c>
      <c r="H26" s="19" t="s">
        <v>562</v>
      </c>
      <c r="I26" s="19" t="s">
        <v>53</v>
      </c>
    </row>
    <row r="27" spans="2:9" ht="15" customHeight="1" x14ac:dyDescent="0.3">
      <c r="B27" s="17">
        <f>IF('Marcación Workera'!G27="","",INT('Marcación Workera'!G27))</f>
        <v>46264</v>
      </c>
      <c r="C27" s="18" t="str">
        <f>IF('Marcación Workera'!B27="","",UPPER(SUBSTITUTE('Marcación Workera'!B27,".","")))</f>
        <v>15572472-2</v>
      </c>
      <c r="E27" s="19" t="s">
        <v>453</v>
      </c>
      <c r="F27" s="19" t="s">
        <v>560</v>
      </c>
      <c r="G27" s="19" t="s">
        <v>564</v>
      </c>
      <c r="H27" s="19" t="s">
        <v>562</v>
      </c>
      <c r="I27" s="19" t="s">
        <v>54</v>
      </c>
    </row>
    <row r="28" spans="2:9" ht="15" customHeight="1" x14ac:dyDescent="0.3">
      <c r="B28" s="17">
        <f>IF('Marcación Workera'!G28="","",INT('Marcación Workera'!G28))</f>
        <v>46264</v>
      </c>
      <c r="C28" s="18" t="str">
        <f>IF('Marcación Workera'!B28="","",UPPER(SUBSTITUTE('Marcación Workera'!B28,".","")))</f>
        <v>11345634-5</v>
      </c>
      <c r="E28" s="19" t="s">
        <v>450</v>
      </c>
      <c r="F28" s="19" t="s">
        <v>560</v>
      </c>
      <c r="G28" s="19" t="s">
        <v>564</v>
      </c>
      <c r="H28" s="19" t="s">
        <v>562</v>
      </c>
      <c r="I28" s="19" t="s">
        <v>55</v>
      </c>
    </row>
    <row r="29" spans="2:9" ht="15" customHeight="1" x14ac:dyDescent="0.3">
      <c r="B29" s="17">
        <f>IF('Marcación Workera'!G29="","",INT('Marcación Workera'!G29))</f>
        <v>46264</v>
      </c>
      <c r="C29" s="18" t="str">
        <f>IF('Marcación Workera'!B29="","",UPPER(SUBSTITUTE('Marcación Workera'!B29,".","")))</f>
        <v>14128763-K</v>
      </c>
      <c r="E29" s="19" t="s">
        <v>447</v>
      </c>
      <c r="F29" s="19" t="s">
        <v>560</v>
      </c>
      <c r="G29" s="19" t="s">
        <v>564</v>
      </c>
      <c r="H29" s="19" t="s">
        <v>562</v>
      </c>
      <c r="I29" s="19" t="s">
        <v>56</v>
      </c>
    </row>
    <row r="30" spans="2:9" ht="15" customHeight="1" x14ac:dyDescent="0.3">
      <c r="B30" s="17">
        <f>IF('Marcación Workera'!G30="","",INT('Marcación Workera'!G30))</f>
        <v>46264</v>
      </c>
      <c r="C30" s="18" t="str">
        <f>IF('Marcación Workera'!B30="","",UPPER(SUBSTITUTE('Marcación Workera'!B30,".","")))</f>
        <v>19753292-0</v>
      </c>
      <c r="E30" s="19" t="s">
        <v>486</v>
      </c>
      <c r="F30" s="19" t="s">
        <v>560</v>
      </c>
      <c r="G30" s="19" t="s">
        <v>564</v>
      </c>
      <c r="H30" s="19" t="s">
        <v>562</v>
      </c>
      <c r="I30" s="19" t="s">
        <v>58</v>
      </c>
    </row>
    <row r="31" spans="2:9" ht="15" customHeight="1" x14ac:dyDescent="0.3">
      <c r="B31" s="17">
        <f>IF('Marcación Workera'!G31="","",INT('Marcación Workera'!G31))</f>
        <v>46263</v>
      </c>
      <c r="C31" s="18" t="str">
        <f>IF('Marcación Workera'!B31="","",UPPER(SUBSTITUTE('Marcación Workera'!B31,".","")))</f>
        <v>11345634-5</v>
      </c>
      <c r="E31" s="19" t="s">
        <v>486</v>
      </c>
      <c r="F31" s="19" t="s">
        <v>563</v>
      </c>
      <c r="G31" s="19" t="s">
        <v>561</v>
      </c>
      <c r="H31" s="19" t="s">
        <v>562</v>
      </c>
      <c r="I31" s="19" t="s">
        <v>58</v>
      </c>
    </row>
    <row r="32" spans="2:9" ht="15" customHeight="1" x14ac:dyDescent="0.3">
      <c r="B32" s="17">
        <f>IF('Marcación Workera'!G32="","",INT('Marcación Workera'!G32))</f>
        <v>46263</v>
      </c>
      <c r="C32" s="18" t="str">
        <f>IF('Marcación Workera'!B32="","",UPPER(SUBSTITUTE('Marcación Workera'!B32,".","")))</f>
        <v>14128763-K</v>
      </c>
      <c r="E32" s="19" t="s">
        <v>150</v>
      </c>
      <c r="F32" s="19" t="s">
        <v>560</v>
      </c>
      <c r="G32" s="19" t="s">
        <v>564</v>
      </c>
      <c r="H32" s="19" t="s">
        <v>562</v>
      </c>
      <c r="I32" s="19" t="s">
        <v>60</v>
      </c>
    </row>
    <row r="33" spans="2:9" ht="15" customHeight="1" x14ac:dyDescent="0.3">
      <c r="B33" s="17">
        <f>IF('Marcación Workera'!G33="","",INT('Marcación Workera'!G33))</f>
        <v>46263</v>
      </c>
      <c r="C33" s="18" t="str">
        <f>IF('Marcación Workera'!B33="","",UPPER(SUBSTITUTE('Marcación Workera'!B33,".","")))</f>
        <v>14099614-9</v>
      </c>
      <c r="E33" s="19" t="s">
        <v>150</v>
      </c>
      <c r="F33" s="19" t="s">
        <v>563</v>
      </c>
      <c r="G33" s="19" t="s">
        <v>561</v>
      </c>
      <c r="H33" s="19" t="s">
        <v>562</v>
      </c>
      <c r="I33" s="19" t="s">
        <v>60</v>
      </c>
    </row>
    <row r="34" spans="2:9" ht="15" customHeight="1" x14ac:dyDescent="0.3">
      <c r="B34" s="17">
        <f>IF('Marcación Workera'!G34="","",INT('Marcación Workera'!G34))</f>
        <v>46263</v>
      </c>
      <c r="C34" s="18" t="str">
        <f>IF('Marcación Workera'!B34="","",UPPER(SUBSTITUTE('Marcación Workera'!B34,".","")))</f>
        <v>17643890-8</v>
      </c>
      <c r="E34" s="19" t="s">
        <v>559</v>
      </c>
      <c r="F34" s="19" t="s">
        <v>560</v>
      </c>
      <c r="G34" s="19" t="s">
        <v>566</v>
      </c>
      <c r="H34" s="19" t="s">
        <v>562</v>
      </c>
      <c r="I34" s="19" t="s">
        <v>17</v>
      </c>
    </row>
    <row r="35" spans="2:9" ht="15" customHeight="1" x14ac:dyDescent="0.3">
      <c r="B35" s="17">
        <f>IF('Marcación Workera'!G35="","",INT('Marcación Workera'!G35))</f>
        <v>46263</v>
      </c>
      <c r="C35" s="18" t="str">
        <f>IF('Marcación Workera'!B35="","",UPPER(SUBSTITUTE('Marcación Workera'!B35,".","")))</f>
        <v>14099614-9</v>
      </c>
      <c r="E35" s="19" t="s">
        <v>559</v>
      </c>
      <c r="F35" s="19" t="s">
        <v>563</v>
      </c>
      <c r="G35" s="19" t="s">
        <v>567</v>
      </c>
      <c r="H35" s="19" t="s">
        <v>562</v>
      </c>
      <c r="I35" s="19" t="s">
        <v>17</v>
      </c>
    </row>
    <row r="36" spans="2:9" ht="15" customHeight="1" x14ac:dyDescent="0.3">
      <c r="B36" s="17">
        <f>IF('Marcación Workera'!G36="","",INT('Marcación Workera'!G36))</f>
        <v>46263</v>
      </c>
      <c r="C36" s="18" t="str">
        <f>IF('Marcación Workera'!B36="","",UPPER(SUBSTITUTE('Marcación Workera'!B36,".","")))</f>
        <v>19753292-0</v>
      </c>
      <c r="E36" s="19" t="s">
        <v>473</v>
      </c>
      <c r="F36" s="19" t="s">
        <v>560</v>
      </c>
      <c r="G36" s="19" t="s">
        <v>566</v>
      </c>
      <c r="H36" s="19" t="s">
        <v>562</v>
      </c>
      <c r="I36" s="19" t="s">
        <v>22</v>
      </c>
    </row>
    <row r="37" spans="2:9" ht="15" customHeight="1" x14ac:dyDescent="0.3">
      <c r="B37" s="17">
        <f>IF('Marcación Workera'!G37="","",INT('Marcación Workera'!G37))</f>
        <v>46262</v>
      </c>
      <c r="C37" s="18" t="str">
        <f>IF('Marcación Workera'!B37="","",UPPER(SUBSTITUTE('Marcación Workera'!B37,".","")))</f>
        <v>14128763-K</v>
      </c>
      <c r="E37" s="19" t="s">
        <v>473</v>
      </c>
      <c r="F37" s="19" t="s">
        <v>563</v>
      </c>
      <c r="G37" s="19" t="s">
        <v>567</v>
      </c>
      <c r="H37" s="19" t="s">
        <v>562</v>
      </c>
      <c r="I37" s="19" t="s">
        <v>22</v>
      </c>
    </row>
    <row r="38" spans="2:9" ht="15" customHeight="1" x14ac:dyDescent="0.3">
      <c r="B38" s="17">
        <f>IF('Marcación Workera'!G38="","",INT('Marcación Workera'!G38))</f>
        <v>46262</v>
      </c>
      <c r="C38" s="18" t="str">
        <f>IF('Marcación Workera'!B38="","",UPPER(SUBSTITUTE('Marcación Workera'!B38,".","")))</f>
        <v>11345634-5</v>
      </c>
      <c r="E38" s="19" t="s">
        <v>456</v>
      </c>
      <c r="F38" s="19" t="s">
        <v>563</v>
      </c>
      <c r="G38" s="19" t="s">
        <v>567</v>
      </c>
      <c r="H38" s="19" t="s">
        <v>562</v>
      </c>
      <c r="I38" s="19" t="s">
        <v>24</v>
      </c>
    </row>
    <row r="39" spans="2:9" ht="15" customHeight="1" x14ac:dyDescent="0.3">
      <c r="B39" s="17">
        <f>IF('Marcación Workera'!G39="","",INT('Marcación Workera'!G39))</f>
        <v>46262</v>
      </c>
      <c r="C39" s="18" t="str">
        <f>IF('Marcación Workera'!B39="","",UPPER(SUBSTITUTE('Marcación Workera'!B39,".","")))</f>
        <v>14099614-9</v>
      </c>
      <c r="E39" s="19" t="s">
        <v>494</v>
      </c>
      <c r="F39" s="19" t="s">
        <v>563</v>
      </c>
      <c r="G39" s="19" t="s">
        <v>567</v>
      </c>
      <c r="H39" s="19" t="s">
        <v>562</v>
      </c>
      <c r="I39" s="19" t="s">
        <v>26</v>
      </c>
    </row>
    <row r="40" spans="2:9" ht="15" customHeight="1" x14ac:dyDescent="0.3">
      <c r="B40" s="17">
        <f>IF('Marcación Workera'!G40="","",INT('Marcación Workera'!G40))</f>
        <v>46262</v>
      </c>
      <c r="C40" s="18" t="str">
        <f>IF('Marcación Workera'!B40="","",UPPER(SUBSTITUTE('Marcación Workera'!B40,".","")))</f>
        <v>12447356-K</v>
      </c>
      <c r="E40" s="19" t="s">
        <v>437</v>
      </c>
      <c r="F40" s="19" t="s">
        <v>563</v>
      </c>
      <c r="G40" s="19" t="s">
        <v>567</v>
      </c>
      <c r="H40" s="19" t="s">
        <v>562</v>
      </c>
      <c r="I40" s="19" t="s">
        <v>28</v>
      </c>
    </row>
    <row r="41" spans="2:9" ht="15" customHeight="1" x14ac:dyDescent="0.3">
      <c r="B41" s="17">
        <f>IF('Marcación Workera'!G41="","",INT('Marcación Workera'!G41))</f>
        <v>46262</v>
      </c>
      <c r="C41" s="18" t="str">
        <f>IF('Marcación Workera'!B41="","",UPPER(SUBSTITUTE('Marcación Workera'!B41,".","")))</f>
        <v>19753292-0</v>
      </c>
      <c r="E41" s="19" t="s">
        <v>188</v>
      </c>
      <c r="F41" s="19" t="s">
        <v>563</v>
      </c>
      <c r="G41" s="19" t="s">
        <v>567</v>
      </c>
      <c r="H41" s="19" t="s">
        <v>562</v>
      </c>
      <c r="I41" s="19" t="s">
        <v>30</v>
      </c>
    </row>
    <row r="42" spans="2:9" ht="15" customHeight="1" x14ac:dyDescent="0.3">
      <c r="B42" s="17">
        <f>IF('Marcación Workera'!G42="","",INT('Marcación Workera'!G42))</f>
        <v>46262</v>
      </c>
      <c r="C42" s="18" t="str">
        <f>IF('Marcación Workera'!B42="","",UPPER(SUBSTITUTE('Marcación Workera'!B42,".","")))</f>
        <v>14099614-9</v>
      </c>
      <c r="E42" s="19" t="s">
        <v>459</v>
      </c>
      <c r="F42" s="19" t="s">
        <v>563</v>
      </c>
      <c r="G42" s="19" t="s">
        <v>567</v>
      </c>
      <c r="H42" s="19" t="s">
        <v>562</v>
      </c>
      <c r="I42" s="19" t="s">
        <v>31</v>
      </c>
    </row>
    <row r="43" spans="2:9" ht="15" customHeight="1" x14ac:dyDescent="0.3">
      <c r="B43" s="17">
        <f>IF('Marcación Workera'!G43="","",INT('Marcación Workera'!G43))</f>
        <v>46262</v>
      </c>
      <c r="C43" s="18" t="str">
        <f>IF('Marcación Workera'!B43="","",UPPER(SUBSTITUTE('Marcación Workera'!B43,".","")))</f>
        <v>15572472-2</v>
      </c>
      <c r="E43" s="19" t="s">
        <v>480</v>
      </c>
      <c r="F43" s="19" t="s">
        <v>560</v>
      </c>
      <c r="G43" s="19" t="s">
        <v>566</v>
      </c>
      <c r="H43" s="19" t="s">
        <v>562</v>
      </c>
      <c r="I43" s="19" t="s">
        <v>35</v>
      </c>
    </row>
    <row r="44" spans="2:9" ht="15" customHeight="1" x14ac:dyDescent="0.3">
      <c r="B44" s="17">
        <f>IF('Marcación Workera'!G44="","",INT('Marcación Workera'!G44))</f>
        <v>46262</v>
      </c>
      <c r="C44" s="18" t="str">
        <f>IF('Marcación Workera'!B44="","",UPPER(SUBSTITUTE('Marcación Workera'!B44,".","")))</f>
        <v>12447356-K</v>
      </c>
      <c r="E44" s="19" t="s">
        <v>480</v>
      </c>
      <c r="F44" s="19" t="s">
        <v>563</v>
      </c>
      <c r="G44" s="19" t="s">
        <v>567</v>
      </c>
      <c r="H44" s="19" t="s">
        <v>562</v>
      </c>
      <c r="I44" s="19" t="s">
        <v>35</v>
      </c>
    </row>
    <row r="45" spans="2:9" ht="15" customHeight="1" x14ac:dyDescent="0.3">
      <c r="B45" s="17">
        <f>IF('Marcación Workera'!G45="","",INT('Marcación Workera'!G45))</f>
        <v>46262</v>
      </c>
      <c r="C45" s="18" t="str">
        <f>IF('Marcación Workera'!B45="","",UPPER(SUBSTITUTE('Marcación Workera'!B45,".","")))</f>
        <v>11345634-5</v>
      </c>
      <c r="E45" s="19" t="s">
        <v>497</v>
      </c>
      <c r="F45" s="19" t="s">
        <v>560</v>
      </c>
      <c r="G45" s="19" t="s">
        <v>566</v>
      </c>
      <c r="H45" s="19" t="s">
        <v>562</v>
      </c>
      <c r="I45" s="19" t="s">
        <v>37</v>
      </c>
    </row>
    <row r="46" spans="2:9" ht="15" customHeight="1" x14ac:dyDescent="0.3">
      <c r="B46" s="17">
        <f>IF('Marcación Workera'!G46="","",INT('Marcación Workera'!G46))</f>
        <v>46262</v>
      </c>
      <c r="C46" s="18" t="str">
        <f>IF('Marcación Workera'!B46="","",UPPER(SUBSTITUTE('Marcación Workera'!B46,".","")))</f>
        <v>14128763-K</v>
      </c>
      <c r="E46" s="19" t="s">
        <v>497</v>
      </c>
      <c r="F46" s="19" t="s">
        <v>563</v>
      </c>
      <c r="G46" s="19" t="s">
        <v>567</v>
      </c>
      <c r="H46" s="19" t="s">
        <v>562</v>
      </c>
      <c r="I46" s="19" t="s">
        <v>37</v>
      </c>
    </row>
    <row r="47" spans="2:9" ht="15" customHeight="1" x14ac:dyDescent="0.3">
      <c r="B47" s="17">
        <f>IF('Marcación Workera'!G47="","",INT('Marcación Workera'!G47))</f>
        <v>46261</v>
      </c>
      <c r="C47" s="18" t="str">
        <f>IF('Marcación Workera'!B47="","",UPPER(SUBSTITUTE('Marcación Workera'!B47,".","")))</f>
        <v>15572472-2</v>
      </c>
      <c r="E47" s="19" t="s">
        <v>483</v>
      </c>
      <c r="F47" s="19" t="s">
        <v>560</v>
      </c>
      <c r="G47" s="19" t="s">
        <v>566</v>
      </c>
      <c r="H47" s="19" t="s">
        <v>562</v>
      </c>
      <c r="I47" s="19" t="s">
        <v>39</v>
      </c>
    </row>
    <row r="48" spans="2:9" ht="15" customHeight="1" x14ac:dyDescent="0.3">
      <c r="B48" s="17">
        <f>IF('Marcación Workera'!G48="","",INT('Marcación Workera'!G48))</f>
        <v>46261</v>
      </c>
      <c r="C48" s="18" t="str">
        <f>IF('Marcación Workera'!B48="","",UPPER(SUBSTITUTE('Marcación Workera'!B48,".","")))</f>
        <v>11345634-5</v>
      </c>
      <c r="E48" s="19" t="s">
        <v>483</v>
      </c>
      <c r="F48" s="19" t="s">
        <v>563</v>
      </c>
      <c r="G48" s="19" t="s">
        <v>567</v>
      </c>
      <c r="H48" s="19" t="s">
        <v>562</v>
      </c>
      <c r="I48" s="19" t="s">
        <v>39</v>
      </c>
    </row>
    <row r="49" spans="2:9" ht="15" customHeight="1" x14ac:dyDescent="0.3">
      <c r="B49" s="17">
        <f>IF('Marcación Workera'!G49="","",INT('Marcación Workera'!G49))</f>
        <v>46261</v>
      </c>
      <c r="C49" s="18" t="str">
        <f>IF('Marcación Workera'!B49="","",UPPER(SUBSTITUTE('Marcación Workera'!B49,".","")))</f>
        <v>14128763-K</v>
      </c>
      <c r="E49" s="19" t="s">
        <v>489</v>
      </c>
      <c r="F49" s="19" t="s">
        <v>560</v>
      </c>
      <c r="G49" s="19" t="s">
        <v>566</v>
      </c>
      <c r="H49" s="19" t="s">
        <v>562</v>
      </c>
      <c r="I49" s="19" t="s">
        <v>40</v>
      </c>
    </row>
    <row r="50" spans="2:9" ht="15" customHeight="1" x14ac:dyDescent="0.3">
      <c r="B50" s="17">
        <f>IF('Marcación Workera'!G50="","",INT('Marcación Workera'!G50))</f>
        <v>46261</v>
      </c>
      <c r="C50" s="18" t="str">
        <f>IF('Marcación Workera'!B50="","",UPPER(SUBSTITUTE('Marcación Workera'!B50,".","")))</f>
        <v>14099614-9</v>
      </c>
      <c r="E50" s="19" t="s">
        <v>155</v>
      </c>
      <c r="F50" s="19" t="s">
        <v>560</v>
      </c>
      <c r="G50" s="19" t="s">
        <v>566</v>
      </c>
      <c r="H50" s="19" t="s">
        <v>562</v>
      </c>
      <c r="I50" s="19" t="s">
        <v>42</v>
      </c>
    </row>
    <row r="51" spans="2:9" ht="15" customHeight="1" x14ac:dyDescent="0.3">
      <c r="B51" s="17">
        <f>IF('Marcación Workera'!G51="","",INT('Marcación Workera'!G51))</f>
        <v>46261</v>
      </c>
      <c r="C51" s="18" t="str">
        <f>IF('Marcación Workera'!B51="","",UPPER(SUBSTITUTE('Marcación Workera'!B51,".","")))</f>
        <v>19753292-0</v>
      </c>
      <c r="E51" s="19" t="s">
        <v>155</v>
      </c>
      <c r="F51" s="19" t="s">
        <v>563</v>
      </c>
      <c r="G51" s="19" t="s">
        <v>567</v>
      </c>
      <c r="H51" s="19" t="s">
        <v>562</v>
      </c>
      <c r="I51" s="19" t="s">
        <v>42</v>
      </c>
    </row>
    <row r="52" spans="2:9" ht="15" customHeight="1" x14ac:dyDescent="0.3">
      <c r="B52" s="17">
        <f>IF('Marcación Workera'!G52="","",INT('Marcación Workera'!G52))</f>
        <v>46261</v>
      </c>
      <c r="C52" s="18" t="str">
        <f>IF('Marcación Workera'!B52="","",UPPER(SUBSTITUTE('Marcación Workera'!B52,".","")))</f>
        <v>12447356-K</v>
      </c>
      <c r="E52" s="19" t="s">
        <v>444</v>
      </c>
      <c r="F52" s="19" t="s">
        <v>560</v>
      </c>
      <c r="G52" s="19" t="s">
        <v>566</v>
      </c>
      <c r="H52" s="19" t="s">
        <v>562</v>
      </c>
      <c r="I52" s="19" t="s">
        <v>44</v>
      </c>
    </row>
    <row r="53" spans="2:9" ht="15" customHeight="1" x14ac:dyDescent="0.3">
      <c r="B53" s="17">
        <f>IF('Marcación Workera'!G53="","",INT('Marcación Workera'!G53))</f>
        <v>46261</v>
      </c>
      <c r="C53" s="18" t="str">
        <f>IF('Marcación Workera'!B53="","",UPPER(SUBSTITUTE('Marcación Workera'!B53,".","")))</f>
        <v>17643890-8</v>
      </c>
      <c r="E53" s="19" t="s">
        <v>444</v>
      </c>
      <c r="F53" s="19" t="s">
        <v>563</v>
      </c>
      <c r="G53" s="19" t="s">
        <v>567</v>
      </c>
      <c r="H53" s="19" t="s">
        <v>562</v>
      </c>
      <c r="I53" s="19" t="s">
        <v>44</v>
      </c>
    </row>
    <row r="54" spans="2:9" ht="15" customHeight="1" x14ac:dyDescent="0.3">
      <c r="B54" s="17">
        <f>IF('Marcación Workera'!G54="","",INT('Marcación Workera'!G54))</f>
        <v>46261</v>
      </c>
      <c r="C54" s="18" t="str">
        <f>IF('Marcación Workera'!B54="","",UPPER(SUBSTITUTE('Marcación Workera'!B54,".","")))</f>
        <v>14099614-9</v>
      </c>
      <c r="E54" s="19" t="s">
        <v>565</v>
      </c>
      <c r="F54" s="19" t="s">
        <v>560</v>
      </c>
      <c r="G54" s="19" t="s">
        <v>566</v>
      </c>
      <c r="H54" s="19" t="s">
        <v>562</v>
      </c>
      <c r="I54" s="19" t="s">
        <v>46</v>
      </c>
    </row>
    <row r="55" spans="2:9" ht="15" customHeight="1" x14ac:dyDescent="0.3">
      <c r="B55" s="17">
        <f>IF('Marcación Workera'!G55="","",INT('Marcación Workera'!G55))</f>
        <v>46261</v>
      </c>
      <c r="C55" s="18" t="str">
        <f>IF('Marcación Workera'!B55="","",UPPER(SUBSTITUTE('Marcación Workera'!B55,".","")))</f>
        <v>15000375-K</v>
      </c>
      <c r="E55" s="19" t="s">
        <v>565</v>
      </c>
      <c r="F55" s="19" t="s">
        <v>563</v>
      </c>
      <c r="G55" s="19" t="s">
        <v>567</v>
      </c>
      <c r="H55" s="19" t="s">
        <v>562</v>
      </c>
      <c r="I55" s="19" t="s">
        <v>46</v>
      </c>
    </row>
    <row r="56" spans="2:9" ht="15" customHeight="1" x14ac:dyDescent="0.3">
      <c r="B56" s="17">
        <f>IF('Marcación Workera'!G56="","",INT('Marcación Workera'!G56))</f>
        <v>46261</v>
      </c>
      <c r="C56" s="18" t="str">
        <f>IF('Marcación Workera'!B56="","",UPPER(SUBSTITUTE('Marcación Workera'!B56,".","")))</f>
        <v>13329197-0</v>
      </c>
      <c r="E56" s="19" t="s">
        <v>468</v>
      </c>
      <c r="F56" s="19" t="s">
        <v>563</v>
      </c>
      <c r="G56" s="19" t="s">
        <v>567</v>
      </c>
      <c r="H56" s="19" t="s">
        <v>562</v>
      </c>
      <c r="I56" s="19" t="s">
        <v>49</v>
      </c>
    </row>
    <row r="57" spans="2:9" ht="15" customHeight="1" x14ac:dyDescent="0.3">
      <c r="B57" s="17">
        <f>IF('Marcación Workera'!G57="","",INT('Marcación Workera'!G57))</f>
        <v>46261</v>
      </c>
      <c r="C57" s="18" t="str">
        <f>IF('Marcación Workera'!B57="","",UPPER(SUBSTITUTE('Marcación Workera'!B57,".","")))</f>
        <v>15572472-2</v>
      </c>
      <c r="E57" s="19" t="s">
        <v>184</v>
      </c>
      <c r="F57" s="19" t="s">
        <v>560</v>
      </c>
      <c r="G57" s="19" t="s">
        <v>567</v>
      </c>
      <c r="H57" s="19" t="s">
        <v>562</v>
      </c>
      <c r="I57" s="19" t="s">
        <v>51</v>
      </c>
    </row>
    <row r="58" spans="2:9" ht="15" customHeight="1" x14ac:dyDescent="0.3">
      <c r="B58" s="17">
        <f>IF('Marcación Workera'!G58="","",INT('Marcación Workera'!G58))</f>
        <v>46261</v>
      </c>
      <c r="C58" s="18" t="str">
        <f>IF('Marcación Workera'!B58="","",UPPER(SUBSTITUTE('Marcación Workera'!B58,".","")))</f>
        <v>12447356-K</v>
      </c>
      <c r="E58" s="19" t="s">
        <v>184</v>
      </c>
      <c r="F58" s="19" t="s">
        <v>563</v>
      </c>
      <c r="G58" s="19" t="s">
        <v>566</v>
      </c>
      <c r="H58" s="19" t="s">
        <v>562</v>
      </c>
      <c r="I58" s="19" t="s">
        <v>51</v>
      </c>
    </row>
    <row r="59" spans="2:9" ht="15" customHeight="1" x14ac:dyDescent="0.3">
      <c r="B59" s="17">
        <f>IF('Marcación Workera'!G59="","",INT('Marcación Workera'!G59))</f>
        <v>46261</v>
      </c>
      <c r="C59" s="18" t="str">
        <f>IF('Marcación Workera'!B59="","",UPPER(SUBSTITUTE('Marcación Workera'!B59,".","")))</f>
        <v>11345634-5</v>
      </c>
      <c r="E59" s="19" t="s">
        <v>465</v>
      </c>
      <c r="F59" s="19" t="s">
        <v>560</v>
      </c>
      <c r="G59" s="19" t="s">
        <v>567</v>
      </c>
      <c r="H59" s="19" t="s">
        <v>562</v>
      </c>
      <c r="I59" s="19" t="s">
        <v>53</v>
      </c>
    </row>
    <row r="60" spans="2:9" ht="15" customHeight="1" x14ac:dyDescent="0.3">
      <c r="B60" s="17">
        <f>IF('Marcación Workera'!G60="","",INT('Marcación Workera'!G60))</f>
        <v>46261</v>
      </c>
      <c r="C60" s="18" t="str">
        <f>IF('Marcación Workera'!B60="","",UPPER(SUBSTITUTE('Marcación Workera'!B60,".","")))</f>
        <v>14128763-K</v>
      </c>
      <c r="E60" s="19" t="s">
        <v>465</v>
      </c>
      <c r="F60" s="19" t="s">
        <v>563</v>
      </c>
      <c r="G60" s="19" t="s">
        <v>566</v>
      </c>
      <c r="H60" s="19" t="s">
        <v>562</v>
      </c>
      <c r="I60" s="19" t="s">
        <v>53</v>
      </c>
    </row>
    <row r="61" spans="2:9" ht="15" customHeight="1" x14ac:dyDescent="0.3">
      <c r="B61" s="17">
        <f>IF('Marcación Workera'!G61="","",INT('Marcación Workera'!G61))</f>
        <v>46260</v>
      </c>
      <c r="C61" s="18" t="str">
        <f>IF('Marcación Workera'!B61="","",UPPER(SUBSTITUTE('Marcación Workera'!B61,".","")))</f>
        <v>14099614-9</v>
      </c>
      <c r="E61" s="19" t="s">
        <v>453</v>
      </c>
      <c r="F61" s="19" t="s">
        <v>560</v>
      </c>
      <c r="G61" s="19" t="s">
        <v>567</v>
      </c>
      <c r="H61" s="19" t="s">
        <v>562</v>
      </c>
      <c r="I61" s="19" t="s">
        <v>54</v>
      </c>
    </row>
    <row r="62" spans="2:9" ht="15" customHeight="1" x14ac:dyDescent="0.3">
      <c r="B62" s="17">
        <f>IF('Marcación Workera'!G62="","",INT('Marcación Workera'!G62))</f>
        <v>46260</v>
      </c>
      <c r="C62" s="18" t="str">
        <f>IF('Marcación Workera'!B62="","",UPPER(SUBSTITUTE('Marcación Workera'!B62,".","")))</f>
        <v>14128763-K</v>
      </c>
      <c r="E62" s="19" t="s">
        <v>453</v>
      </c>
      <c r="F62" s="19" t="s">
        <v>563</v>
      </c>
      <c r="G62" s="19" t="s">
        <v>566</v>
      </c>
      <c r="H62" s="19" t="s">
        <v>562</v>
      </c>
      <c r="I62" s="19" t="s">
        <v>54</v>
      </c>
    </row>
    <row r="63" spans="2:9" ht="15" customHeight="1" x14ac:dyDescent="0.3">
      <c r="B63" s="17">
        <f>IF('Marcación Workera'!G63="","",INT('Marcación Workera'!G63))</f>
        <v>46260</v>
      </c>
      <c r="C63" s="18" t="str">
        <f>IF('Marcación Workera'!B63="","",UPPER(SUBSTITUTE('Marcación Workera'!B63,".","")))</f>
        <v>11345634-5</v>
      </c>
      <c r="E63" s="19" t="s">
        <v>450</v>
      </c>
      <c r="F63" s="19" t="s">
        <v>560</v>
      </c>
      <c r="G63" s="19" t="s">
        <v>567</v>
      </c>
      <c r="H63" s="19" t="s">
        <v>562</v>
      </c>
      <c r="I63" s="19" t="s">
        <v>55</v>
      </c>
    </row>
    <row r="64" spans="2:9" ht="15" customHeight="1" x14ac:dyDescent="0.3">
      <c r="B64" s="17">
        <f>IF('Marcación Workera'!G64="","",INT('Marcación Workera'!G64))</f>
        <v>46260</v>
      </c>
      <c r="C64" s="18" t="str">
        <f>IF('Marcación Workera'!B64="","",UPPER(SUBSTITUTE('Marcación Workera'!B64,".","")))</f>
        <v>12447356-K</v>
      </c>
      <c r="E64" s="19" t="s">
        <v>450</v>
      </c>
      <c r="F64" s="19" t="s">
        <v>563</v>
      </c>
      <c r="G64" s="19" t="s">
        <v>566</v>
      </c>
      <c r="H64" s="19" t="s">
        <v>562</v>
      </c>
      <c r="I64" s="19" t="s">
        <v>55</v>
      </c>
    </row>
    <row r="65" spans="2:9" ht="15" customHeight="1" x14ac:dyDescent="0.3">
      <c r="B65" s="17">
        <f>IF('Marcación Workera'!G65="","",INT('Marcación Workera'!G65))</f>
        <v>46260</v>
      </c>
      <c r="C65" s="18" t="str">
        <f>IF('Marcación Workera'!B65="","",UPPER(SUBSTITUTE('Marcación Workera'!B65,".","")))</f>
        <v>14099614-9</v>
      </c>
      <c r="E65" s="19" t="s">
        <v>447</v>
      </c>
      <c r="F65" s="19" t="s">
        <v>560</v>
      </c>
      <c r="G65" s="19" t="s">
        <v>567</v>
      </c>
      <c r="H65" s="19" t="s">
        <v>562</v>
      </c>
      <c r="I65" s="19" t="s">
        <v>56</v>
      </c>
    </row>
    <row r="66" spans="2:9" ht="15" customHeight="1" x14ac:dyDescent="0.3">
      <c r="B66" s="17">
        <f>IF('Marcación Workera'!G66="","",INT('Marcación Workera'!G66))</f>
        <v>46260</v>
      </c>
      <c r="C66" s="18" t="str">
        <f>IF('Marcación Workera'!B66="","",UPPER(SUBSTITUTE('Marcación Workera'!B66,".","")))</f>
        <v>17643890-8</v>
      </c>
      <c r="E66" s="19" t="s">
        <v>447</v>
      </c>
      <c r="F66" s="19" t="s">
        <v>563</v>
      </c>
      <c r="G66" s="19" t="s">
        <v>566</v>
      </c>
      <c r="H66" s="19" t="s">
        <v>562</v>
      </c>
      <c r="I66" s="19" t="s">
        <v>56</v>
      </c>
    </row>
    <row r="67" spans="2:9" ht="15" customHeight="1" x14ac:dyDescent="0.3">
      <c r="B67" s="17">
        <f>IF('Marcación Workera'!G67="","",INT('Marcación Workera'!G67))</f>
        <v>46260</v>
      </c>
      <c r="C67" s="18" t="str">
        <f>IF('Marcación Workera'!B67="","",UPPER(SUBSTITUTE('Marcación Workera'!B67,".","")))</f>
        <v>15572472-2</v>
      </c>
      <c r="E67" s="19" t="s">
        <v>486</v>
      </c>
      <c r="F67" s="19" t="s">
        <v>560</v>
      </c>
      <c r="G67" s="19" t="s">
        <v>567</v>
      </c>
      <c r="H67" s="19" t="s">
        <v>562</v>
      </c>
      <c r="I67" s="19" t="s">
        <v>58</v>
      </c>
    </row>
    <row r="68" spans="2:9" ht="15" customHeight="1" x14ac:dyDescent="0.3">
      <c r="B68" s="17">
        <f>IF('Marcación Workera'!G68="","",INT('Marcación Workera'!G68))</f>
        <v>46260</v>
      </c>
      <c r="C68" s="18" t="str">
        <f>IF('Marcación Workera'!B68="","",UPPER(SUBSTITUTE('Marcación Workera'!B68,".","")))</f>
        <v>12447356-K</v>
      </c>
      <c r="E68" s="19" t="s">
        <v>486</v>
      </c>
      <c r="F68" s="19" t="s">
        <v>563</v>
      </c>
      <c r="G68" s="19" t="s">
        <v>566</v>
      </c>
      <c r="H68" s="19" t="s">
        <v>562</v>
      </c>
      <c r="I68" s="19" t="s">
        <v>58</v>
      </c>
    </row>
    <row r="69" spans="2:9" ht="15" customHeight="1" x14ac:dyDescent="0.3">
      <c r="B69" s="17">
        <f>IF('Marcación Workera'!G69="","",INT('Marcación Workera'!G69))</f>
        <v>46260</v>
      </c>
      <c r="C69" s="18" t="str">
        <f>IF('Marcación Workera'!B69="","",UPPER(SUBSTITUTE('Marcación Workera'!B69,".","")))</f>
        <v>11345634-5</v>
      </c>
      <c r="E69" s="19" t="s">
        <v>150</v>
      </c>
      <c r="F69" s="19" t="s">
        <v>560</v>
      </c>
      <c r="G69" s="19" t="s">
        <v>567</v>
      </c>
      <c r="H69" s="19" t="s">
        <v>562</v>
      </c>
      <c r="I69" s="19" t="s">
        <v>60</v>
      </c>
    </row>
    <row r="70" spans="2:9" ht="15" customHeight="1" x14ac:dyDescent="0.3">
      <c r="B70" s="17">
        <f>IF('Marcación Workera'!G70="","",INT('Marcación Workera'!G70))</f>
        <v>46260</v>
      </c>
      <c r="C70" s="18" t="str">
        <f>IF('Marcación Workera'!B70="","",UPPER(SUBSTITUTE('Marcación Workera'!B70,".","")))</f>
        <v>13329197-0</v>
      </c>
      <c r="E70" s="19" t="s">
        <v>150</v>
      </c>
      <c r="F70" s="19" t="s">
        <v>563</v>
      </c>
      <c r="G70" s="19" t="s">
        <v>566</v>
      </c>
      <c r="H70" s="19" t="s">
        <v>562</v>
      </c>
      <c r="I70" s="19" t="s">
        <v>60</v>
      </c>
    </row>
    <row r="71" spans="2:9" ht="15" customHeight="1" x14ac:dyDescent="0.3">
      <c r="B71" s="17">
        <f>IF('Marcación Workera'!G71="","",INT('Marcación Workera'!G71))</f>
        <v>46260</v>
      </c>
      <c r="C71" s="18" t="str">
        <f>IF('Marcación Workera'!B71="","",UPPER(SUBSTITUTE('Marcación Workera'!B71,".","")))</f>
        <v>15000375-K</v>
      </c>
      <c r="E71" s="19" t="s">
        <v>559</v>
      </c>
      <c r="F71" s="19" t="s">
        <v>560</v>
      </c>
      <c r="G71" s="19" t="s">
        <v>568</v>
      </c>
      <c r="H71" s="19" t="s">
        <v>562</v>
      </c>
      <c r="I71" s="19" t="s">
        <v>17</v>
      </c>
    </row>
    <row r="72" spans="2:9" ht="15" customHeight="1" x14ac:dyDescent="0.3">
      <c r="B72" s="17">
        <f>IF('Marcación Workera'!G72="","",INT('Marcación Workera'!G72))</f>
        <v>46260</v>
      </c>
      <c r="C72" s="18" t="str">
        <f>IF('Marcación Workera'!B72="","",UPPER(SUBSTITUTE('Marcación Workera'!B72,".","")))</f>
        <v>14128763-K</v>
      </c>
      <c r="E72" s="19" t="s">
        <v>559</v>
      </c>
      <c r="F72" s="19" t="s">
        <v>563</v>
      </c>
      <c r="G72" s="19" t="s">
        <v>569</v>
      </c>
      <c r="H72" s="19" t="s">
        <v>562</v>
      </c>
      <c r="I72" s="19" t="s">
        <v>17</v>
      </c>
    </row>
    <row r="73" spans="2:9" ht="15" customHeight="1" x14ac:dyDescent="0.3">
      <c r="B73" s="17">
        <f>IF('Marcación Workera'!G73="","",INT('Marcación Workera'!G73))</f>
        <v>46259</v>
      </c>
      <c r="C73" s="18" t="str">
        <f>IF('Marcación Workera'!B73="","",UPPER(SUBSTITUTE('Marcación Workera'!B73,".","")))</f>
        <v>15572472-2</v>
      </c>
      <c r="E73" s="19" t="s">
        <v>473</v>
      </c>
      <c r="F73" s="19" t="s">
        <v>560</v>
      </c>
      <c r="G73" s="19" t="s">
        <v>568</v>
      </c>
      <c r="H73" s="19" t="s">
        <v>562</v>
      </c>
      <c r="I73" s="19" t="s">
        <v>22</v>
      </c>
    </row>
    <row r="74" spans="2:9" ht="15" customHeight="1" x14ac:dyDescent="0.3">
      <c r="B74" s="17">
        <f>IF('Marcación Workera'!G74="","",INT('Marcación Workera'!G74))</f>
        <v>46259</v>
      </c>
      <c r="C74" s="18" t="str">
        <f>IF('Marcación Workera'!B74="","",UPPER(SUBSTITUTE('Marcación Workera'!B74,".","")))</f>
        <v>18141318-2</v>
      </c>
      <c r="E74" s="19" t="s">
        <v>473</v>
      </c>
      <c r="F74" s="19" t="s">
        <v>563</v>
      </c>
      <c r="G74" s="19" t="s">
        <v>569</v>
      </c>
      <c r="H74" s="19" t="s">
        <v>562</v>
      </c>
      <c r="I74" s="19" t="s">
        <v>22</v>
      </c>
    </row>
    <row r="75" spans="2:9" ht="15" customHeight="1" x14ac:dyDescent="0.3">
      <c r="B75" s="17">
        <f>IF('Marcación Workera'!G75="","",INT('Marcación Workera'!G75))</f>
        <v>46259</v>
      </c>
      <c r="C75" s="18" t="str">
        <f>IF('Marcación Workera'!B75="","",UPPER(SUBSTITUTE('Marcación Workera'!B75,".","")))</f>
        <v>17643890-8</v>
      </c>
      <c r="E75" s="19" t="s">
        <v>494</v>
      </c>
      <c r="F75" s="19" t="s">
        <v>560</v>
      </c>
      <c r="G75" s="19" t="s">
        <v>568</v>
      </c>
      <c r="H75" s="19" t="s">
        <v>562</v>
      </c>
      <c r="I75" s="19" t="s">
        <v>26</v>
      </c>
    </row>
    <row r="76" spans="2:9" ht="15" customHeight="1" x14ac:dyDescent="0.3">
      <c r="B76" s="17">
        <f>IF('Marcación Workera'!G76="","",INT('Marcación Workera'!G76))</f>
        <v>46259</v>
      </c>
      <c r="C76" s="18" t="str">
        <f>IF('Marcación Workera'!B76="","",UPPER(SUBSTITUTE('Marcación Workera'!B76,".","")))</f>
        <v>15000375-K</v>
      </c>
      <c r="E76" s="19" t="s">
        <v>494</v>
      </c>
      <c r="F76" s="19" t="s">
        <v>563</v>
      </c>
      <c r="G76" s="19" t="s">
        <v>569</v>
      </c>
      <c r="H76" s="19" t="s">
        <v>562</v>
      </c>
      <c r="I76" s="19" t="s">
        <v>26</v>
      </c>
    </row>
    <row r="77" spans="2:9" ht="15" customHeight="1" x14ac:dyDescent="0.3">
      <c r="B77" s="17">
        <f>IF('Marcación Workera'!G77="","",INT('Marcación Workera'!G77))</f>
        <v>46259</v>
      </c>
      <c r="C77" s="18" t="str">
        <f>IF('Marcación Workera'!B77="","",UPPER(SUBSTITUTE('Marcación Workera'!B77,".","")))</f>
        <v>13329197-0</v>
      </c>
      <c r="E77" s="19" t="s">
        <v>437</v>
      </c>
      <c r="F77" s="19" t="s">
        <v>563</v>
      </c>
      <c r="G77" s="19" t="s">
        <v>569</v>
      </c>
      <c r="H77" s="19" t="s">
        <v>562</v>
      </c>
      <c r="I77" s="19" t="s">
        <v>28</v>
      </c>
    </row>
    <row r="78" spans="2:9" ht="15" customHeight="1" x14ac:dyDescent="0.3">
      <c r="B78" s="17">
        <f>IF('Marcación Workera'!G78="","",INT('Marcación Workera'!G78))</f>
        <v>46259</v>
      </c>
      <c r="C78" s="18" t="str">
        <f>IF('Marcación Workera'!B78="","",UPPER(SUBSTITUTE('Marcación Workera'!B78,".","")))</f>
        <v>11345634-5</v>
      </c>
      <c r="E78" s="19" t="s">
        <v>188</v>
      </c>
      <c r="F78" s="19" t="s">
        <v>563</v>
      </c>
      <c r="G78" s="19" t="s">
        <v>569</v>
      </c>
      <c r="H78" s="19" t="s">
        <v>562</v>
      </c>
      <c r="I78" s="19" t="s">
        <v>30</v>
      </c>
    </row>
    <row r="79" spans="2:9" ht="15" customHeight="1" x14ac:dyDescent="0.3">
      <c r="B79" s="17">
        <f>IF('Marcación Workera'!G79="","",INT('Marcación Workera'!G79))</f>
        <v>46259</v>
      </c>
      <c r="C79" s="18" t="str">
        <f>IF('Marcación Workera'!B79="","",UPPER(SUBSTITUTE('Marcación Workera'!B79,".","")))</f>
        <v>14128763-K</v>
      </c>
      <c r="E79" s="19" t="s">
        <v>476</v>
      </c>
      <c r="F79" s="19" t="s">
        <v>563</v>
      </c>
      <c r="G79" s="19" t="s">
        <v>569</v>
      </c>
      <c r="H79" s="19" t="s">
        <v>562</v>
      </c>
      <c r="I79" s="19" t="s">
        <v>33</v>
      </c>
    </row>
    <row r="80" spans="2:9" ht="15" customHeight="1" x14ac:dyDescent="0.3">
      <c r="B80" s="17">
        <f>IF('Marcación Workera'!G80="","",INT('Marcación Workera'!G80))</f>
        <v>46259</v>
      </c>
      <c r="C80" s="18" t="str">
        <f>IF('Marcación Workera'!B80="","",UPPER(SUBSTITUTE('Marcación Workera'!B80,".","")))</f>
        <v>12447356-K</v>
      </c>
      <c r="E80" s="19" t="s">
        <v>480</v>
      </c>
      <c r="F80" s="19" t="s">
        <v>560</v>
      </c>
      <c r="G80" s="19" t="s">
        <v>568</v>
      </c>
      <c r="H80" s="19" t="s">
        <v>562</v>
      </c>
      <c r="I80" s="19" t="s">
        <v>35</v>
      </c>
    </row>
    <row r="81" spans="2:9" ht="15" customHeight="1" x14ac:dyDescent="0.3">
      <c r="B81" s="17">
        <f>IF('Marcación Workera'!G81="","",INT('Marcación Workera'!G81))</f>
        <v>46259</v>
      </c>
      <c r="C81" s="18" t="str">
        <f>IF('Marcación Workera'!B81="","",UPPER(SUBSTITUTE('Marcación Workera'!B81,".","")))</f>
        <v>15000375-K</v>
      </c>
      <c r="E81" s="19" t="s">
        <v>480</v>
      </c>
      <c r="F81" s="19" t="s">
        <v>563</v>
      </c>
      <c r="G81" s="19" t="s">
        <v>569</v>
      </c>
      <c r="H81" s="19" t="s">
        <v>562</v>
      </c>
      <c r="I81" s="19" t="s">
        <v>35</v>
      </c>
    </row>
    <row r="82" spans="2:9" ht="15" customHeight="1" x14ac:dyDescent="0.3">
      <c r="B82" s="17">
        <f>IF('Marcación Workera'!G82="","",INT('Marcación Workera'!G82))</f>
        <v>46259</v>
      </c>
      <c r="C82" s="18" t="str">
        <f>IF('Marcación Workera'!B82="","",UPPER(SUBSTITUTE('Marcación Workera'!B82,".","")))</f>
        <v>15572472-2</v>
      </c>
      <c r="E82" s="19" t="s">
        <v>497</v>
      </c>
      <c r="F82" s="19" t="s">
        <v>560</v>
      </c>
      <c r="G82" s="19" t="s">
        <v>568</v>
      </c>
      <c r="H82" s="19" t="s">
        <v>562</v>
      </c>
      <c r="I82" s="19" t="s">
        <v>37</v>
      </c>
    </row>
    <row r="83" spans="2:9" ht="15" customHeight="1" x14ac:dyDescent="0.3">
      <c r="B83" s="17">
        <f>IF('Marcación Workera'!G83="","",INT('Marcación Workera'!G83))</f>
        <v>46259</v>
      </c>
      <c r="C83" s="18" t="str">
        <f>IF('Marcación Workera'!B83="","",UPPER(SUBSTITUTE('Marcación Workera'!B83,".","")))</f>
        <v>13329197-0</v>
      </c>
      <c r="E83" s="19" t="s">
        <v>497</v>
      </c>
      <c r="F83" s="19" t="s">
        <v>563</v>
      </c>
      <c r="G83" s="19" t="s">
        <v>569</v>
      </c>
      <c r="H83" s="19" t="s">
        <v>562</v>
      </c>
      <c r="I83" s="19" t="s">
        <v>37</v>
      </c>
    </row>
    <row r="84" spans="2:9" ht="15" customHeight="1" x14ac:dyDescent="0.3">
      <c r="B84" s="17">
        <f>IF('Marcación Workera'!G84="","",INT('Marcación Workera'!G84))</f>
        <v>46259</v>
      </c>
      <c r="C84" s="18" t="str">
        <f>IF('Marcación Workera'!B84="","",UPPER(SUBSTITUTE('Marcación Workera'!B84,".","")))</f>
        <v>11345634-5</v>
      </c>
      <c r="E84" s="19" t="s">
        <v>483</v>
      </c>
      <c r="F84" s="19" t="s">
        <v>560</v>
      </c>
      <c r="G84" s="19" t="s">
        <v>568</v>
      </c>
      <c r="H84" s="19" t="s">
        <v>562</v>
      </c>
      <c r="I84" s="19" t="s">
        <v>39</v>
      </c>
    </row>
    <row r="85" spans="2:9" ht="15" customHeight="1" x14ac:dyDescent="0.3">
      <c r="B85" s="17">
        <f>IF('Marcación Workera'!G85="","",INT('Marcación Workera'!G85))</f>
        <v>46259</v>
      </c>
      <c r="C85" s="18" t="str">
        <f>IF('Marcación Workera'!B85="","",UPPER(SUBSTITUTE('Marcación Workera'!B85,".","")))</f>
        <v>17643890-8</v>
      </c>
      <c r="E85" s="19" t="s">
        <v>483</v>
      </c>
      <c r="F85" s="19" t="s">
        <v>563</v>
      </c>
      <c r="G85" s="19" t="s">
        <v>569</v>
      </c>
      <c r="H85" s="19" t="s">
        <v>562</v>
      </c>
      <c r="I85" s="19" t="s">
        <v>39</v>
      </c>
    </row>
    <row r="86" spans="2:9" ht="15" customHeight="1" x14ac:dyDescent="0.3">
      <c r="B86" s="17">
        <f>IF('Marcación Workera'!G86="","",INT('Marcación Workera'!G86))</f>
        <v>46259</v>
      </c>
      <c r="C86" s="18" t="str">
        <f>IF('Marcación Workera'!B86="","",UPPER(SUBSTITUTE('Marcación Workera'!B86,".","")))</f>
        <v>12447356-K</v>
      </c>
      <c r="E86" s="19" t="s">
        <v>155</v>
      </c>
      <c r="F86" s="19" t="s">
        <v>560</v>
      </c>
      <c r="G86" s="19" t="s">
        <v>568</v>
      </c>
      <c r="H86" s="19" t="s">
        <v>562</v>
      </c>
      <c r="I86" s="19" t="s">
        <v>42</v>
      </c>
    </row>
    <row r="87" spans="2:9" ht="15" customHeight="1" x14ac:dyDescent="0.3">
      <c r="B87" s="17">
        <f>IF('Marcación Workera'!G87="","",INT('Marcación Workera'!G87))</f>
        <v>46259</v>
      </c>
      <c r="C87" s="18" t="str">
        <f>IF('Marcación Workera'!B87="","",UPPER(SUBSTITUTE('Marcación Workera'!B87,".","")))</f>
        <v>14128763-K</v>
      </c>
      <c r="E87" s="19" t="s">
        <v>155</v>
      </c>
      <c r="F87" s="19" t="s">
        <v>563</v>
      </c>
      <c r="G87" s="19" t="s">
        <v>569</v>
      </c>
      <c r="H87" s="19" t="s">
        <v>562</v>
      </c>
      <c r="I87" s="19" t="s">
        <v>42</v>
      </c>
    </row>
    <row r="88" spans="2:9" ht="15" customHeight="1" x14ac:dyDescent="0.3">
      <c r="B88" s="17">
        <f>IF('Marcación Workera'!G88="","",INT('Marcación Workera'!G88))</f>
        <v>46259</v>
      </c>
      <c r="C88" s="18" t="str">
        <f>IF('Marcación Workera'!B88="","",UPPER(SUBSTITUTE('Marcación Workera'!B88,".","")))</f>
        <v>18141318-2</v>
      </c>
      <c r="E88" s="19" t="s">
        <v>444</v>
      </c>
      <c r="F88" s="19" t="s">
        <v>560</v>
      </c>
      <c r="G88" s="19" t="s">
        <v>568</v>
      </c>
      <c r="H88" s="19" t="s">
        <v>562</v>
      </c>
      <c r="I88" s="19" t="s">
        <v>44</v>
      </c>
    </row>
    <row r="89" spans="2:9" ht="15" customHeight="1" x14ac:dyDescent="0.3">
      <c r="B89" s="17">
        <f>IF('Marcación Workera'!G89="","",INT('Marcación Workera'!G89))</f>
        <v>46258</v>
      </c>
      <c r="C89" s="18" t="str">
        <f>IF('Marcación Workera'!B89="","",UPPER(SUBSTITUTE('Marcación Workera'!B89,".","")))</f>
        <v>11345634-5</v>
      </c>
      <c r="E89" s="19" t="s">
        <v>444</v>
      </c>
      <c r="F89" s="19" t="s">
        <v>563</v>
      </c>
      <c r="G89" s="19" t="s">
        <v>569</v>
      </c>
      <c r="H89" s="19" t="s">
        <v>562</v>
      </c>
      <c r="I89" s="19" t="s">
        <v>44</v>
      </c>
    </row>
    <row r="90" spans="2:9" ht="15" customHeight="1" x14ac:dyDescent="0.3">
      <c r="B90" s="17">
        <f>IF('Marcación Workera'!G90="","",INT('Marcación Workera'!G90))</f>
        <v>46258</v>
      </c>
      <c r="C90" s="18" t="str">
        <f>IF('Marcación Workera'!B90="","",UPPER(SUBSTITUTE('Marcación Workera'!B90,".","")))</f>
        <v>15572472-2</v>
      </c>
      <c r="E90" s="19" t="s">
        <v>565</v>
      </c>
      <c r="F90" s="19" t="s">
        <v>560</v>
      </c>
      <c r="G90" s="19" t="s">
        <v>568</v>
      </c>
      <c r="H90" s="19" t="s">
        <v>562</v>
      </c>
      <c r="I90" s="19" t="s">
        <v>46</v>
      </c>
    </row>
    <row r="91" spans="2:9" ht="15" customHeight="1" x14ac:dyDescent="0.3">
      <c r="B91" s="17">
        <f>IF('Marcación Workera'!G91="","",INT('Marcación Workera'!G91))</f>
        <v>46258</v>
      </c>
      <c r="C91" s="18" t="str">
        <f>IF('Marcación Workera'!B91="","",UPPER(SUBSTITUTE('Marcación Workera'!B91,".","")))</f>
        <v>15000375-K</v>
      </c>
      <c r="E91" s="19" t="s">
        <v>565</v>
      </c>
      <c r="F91" s="19" t="s">
        <v>563</v>
      </c>
      <c r="G91" s="19" t="s">
        <v>569</v>
      </c>
      <c r="H91" s="19" t="s">
        <v>562</v>
      </c>
      <c r="I91" s="19" t="s">
        <v>46</v>
      </c>
    </row>
    <row r="92" spans="2:9" ht="15" customHeight="1" x14ac:dyDescent="0.3">
      <c r="B92" s="17">
        <f>IF('Marcación Workera'!G92="","",INT('Marcación Workera'!G92))</f>
        <v>46258</v>
      </c>
      <c r="C92" s="18" t="str">
        <f>IF('Marcación Workera'!B92="","",UPPER(SUBSTITUTE('Marcación Workera'!B92,".","")))</f>
        <v>13329197-0</v>
      </c>
      <c r="E92" s="19" t="s">
        <v>468</v>
      </c>
      <c r="F92" s="19" t="s">
        <v>560</v>
      </c>
      <c r="G92" s="19" t="s">
        <v>568</v>
      </c>
      <c r="H92" s="19" t="s">
        <v>562</v>
      </c>
      <c r="I92" s="19" t="s">
        <v>49</v>
      </c>
    </row>
    <row r="93" spans="2:9" ht="15" customHeight="1" x14ac:dyDescent="0.3">
      <c r="B93" s="17">
        <f>IF('Marcación Workera'!G93="","",INT('Marcación Workera'!G93))</f>
        <v>46258</v>
      </c>
      <c r="C93" s="18" t="str">
        <f>IF('Marcación Workera'!B93="","",UPPER(SUBSTITUTE('Marcación Workera'!B93,".","")))</f>
        <v>18141318-2</v>
      </c>
      <c r="E93" s="19" t="s">
        <v>468</v>
      </c>
      <c r="F93" s="19" t="s">
        <v>563</v>
      </c>
      <c r="G93" s="19" t="s">
        <v>569</v>
      </c>
      <c r="H93" s="19" t="s">
        <v>562</v>
      </c>
      <c r="I93" s="19" t="s">
        <v>49</v>
      </c>
    </row>
    <row r="94" spans="2:9" ht="15" customHeight="1" x14ac:dyDescent="0.3">
      <c r="B94" s="17">
        <f>IF('Marcación Workera'!G94="","",INT('Marcación Workera'!G94))</f>
        <v>46258</v>
      </c>
      <c r="C94" s="18" t="str">
        <f>IF('Marcación Workera'!B94="","",UPPER(SUBSTITUTE('Marcación Workera'!B94,".","")))</f>
        <v>14128763-K</v>
      </c>
      <c r="E94" s="19" t="s">
        <v>184</v>
      </c>
      <c r="F94" s="19" t="s">
        <v>560</v>
      </c>
      <c r="G94" s="19" t="s">
        <v>569</v>
      </c>
      <c r="H94" s="19" t="s">
        <v>562</v>
      </c>
      <c r="I94" s="19" t="s">
        <v>51</v>
      </c>
    </row>
    <row r="95" spans="2:9" ht="15" customHeight="1" x14ac:dyDescent="0.3">
      <c r="B95" s="17">
        <f>IF('Marcación Workera'!G95="","",INT('Marcación Workera'!G95))</f>
        <v>46258</v>
      </c>
      <c r="C95" s="18" t="str">
        <f>IF('Marcación Workera'!B95="","",UPPER(SUBSTITUTE('Marcación Workera'!B95,".","")))</f>
        <v>12447356-K</v>
      </c>
      <c r="E95" s="19" t="s">
        <v>184</v>
      </c>
      <c r="F95" s="19" t="s">
        <v>563</v>
      </c>
      <c r="G95" s="19" t="s">
        <v>568</v>
      </c>
      <c r="H95" s="19" t="s">
        <v>562</v>
      </c>
      <c r="I95" s="19" t="s">
        <v>51</v>
      </c>
    </row>
    <row r="96" spans="2:9" ht="15" customHeight="1" x14ac:dyDescent="0.3">
      <c r="B96" s="17">
        <f>IF('Marcación Workera'!G96="","",INT('Marcación Workera'!G96))</f>
        <v>46258</v>
      </c>
      <c r="C96" s="18" t="str">
        <f>IF('Marcación Workera'!B96="","",UPPER(SUBSTITUTE('Marcación Workera'!B96,".","")))</f>
        <v>15572472-2</v>
      </c>
      <c r="E96" s="19" t="s">
        <v>465</v>
      </c>
      <c r="F96" s="19" t="s">
        <v>560</v>
      </c>
      <c r="G96" s="19" t="s">
        <v>569</v>
      </c>
      <c r="H96" s="19" t="s">
        <v>562</v>
      </c>
      <c r="I96" s="19" t="s">
        <v>53</v>
      </c>
    </row>
    <row r="97" spans="2:9" ht="15" customHeight="1" x14ac:dyDescent="0.3">
      <c r="B97" s="17">
        <f>IF('Marcación Workera'!G97="","",INT('Marcación Workera'!G97))</f>
        <v>46258</v>
      </c>
      <c r="C97" s="18" t="str">
        <f>IF('Marcación Workera'!B97="","",UPPER(SUBSTITUTE('Marcación Workera'!B97,".","")))</f>
        <v>18141318-2</v>
      </c>
      <c r="E97" s="19" t="s">
        <v>465</v>
      </c>
      <c r="F97" s="19" t="s">
        <v>563</v>
      </c>
      <c r="G97" s="19" t="s">
        <v>568</v>
      </c>
      <c r="H97" s="19" t="s">
        <v>562</v>
      </c>
      <c r="I97" s="19" t="s">
        <v>53</v>
      </c>
    </row>
    <row r="98" spans="2:9" ht="15" customHeight="1" x14ac:dyDescent="0.3">
      <c r="B98" s="17">
        <f>IF('Marcación Workera'!G98="","",INT('Marcación Workera'!G98))</f>
        <v>46258</v>
      </c>
      <c r="C98" s="18" t="str">
        <f>IF('Marcación Workera'!B98="","",UPPER(SUBSTITUTE('Marcación Workera'!B98,".","")))</f>
        <v>15000375-K</v>
      </c>
      <c r="E98" s="19" t="s">
        <v>453</v>
      </c>
      <c r="F98" s="19" t="s">
        <v>560</v>
      </c>
      <c r="G98" s="19" t="s">
        <v>569</v>
      </c>
      <c r="H98" s="19" t="s">
        <v>562</v>
      </c>
      <c r="I98" s="19" t="s">
        <v>54</v>
      </c>
    </row>
    <row r="99" spans="2:9" ht="15" customHeight="1" x14ac:dyDescent="0.3">
      <c r="B99" s="17">
        <f>IF('Marcación Workera'!G99="","",INT('Marcación Workera'!G99))</f>
        <v>46258</v>
      </c>
      <c r="C99" s="18" t="str">
        <f>IF('Marcación Workera'!B99="","",UPPER(SUBSTITUTE('Marcación Workera'!B99,".","")))</f>
        <v>13329197-0</v>
      </c>
      <c r="E99" s="19" t="s">
        <v>453</v>
      </c>
      <c r="F99" s="19" t="s">
        <v>563</v>
      </c>
      <c r="G99" s="19" t="s">
        <v>568</v>
      </c>
      <c r="H99" s="19" t="s">
        <v>562</v>
      </c>
      <c r="I99" s="19" t="s">
        <v>54</v>
      </c>
    </row>
    <row r="100" spans="2:9" ht="15" customHeight="1" x14ac:dyDescent="0.3">
      <c r="B100" s="17">
        <f>IF('Marcación Workera'!G100="","",INT('Marcación Workera'!G100))</f>
        <v>46258</v>
      </c>
      <c r="C100" s="18" t="str">
        <f>IF('Marcación Workera'!B100="","",UPPER(SUBSTITUTE('Marcación Workera'!B100,".","")))</f>
        <v>11345634-5</v>
      </c>
      <c r="E100" s="19" t="s">
        <v>450</v>
      </c>
      <c r="F100" s="19" t="s">
        <v>560</v>
      </c>
      <c r="G100" s="19" t="s">
        <v>569</v>
      </c>
      <c r="H100" s="19" t="s">
        <v>562</v>
      </c>
      <c r="I100" s="19" t="s">
        <v>55</v>
      </c>
    </row>
    <row r="101" spans="2:9" ht="15" customHeight="1" x14ac:dyDescent="0.3">
      <c r="B101" s="17">
        <f>IF('Marcación Workera'!G101="","",INT('Marcación Workera'!G101))</f>
        <v>46258</v>
      </c>
      <c r="C101" s="18" t="str">
        <f>IF('Marcación Workera'!B101="","",UPPER(SUBSTITUTE('Marcación Workera'!B101,".","")))</f>
        <v>17643890-8</v>
      </c>
      <c r="E101" s="19" t="s">
        <v>450</v>
      </c>
      <c r="F101" s="19" t="s">
        <v>563</v>
      </c>
      <c r="G101" s="19" t="s">
        <v>568</v>
      </c>
      <c r="H101" s="19" t="s">
        <v>562</v>
      </c>
      <c r="I101" s="19" t="s">
        <v>55</v>
      </c>
    </row>
    <row r="102" spans="2:9" ht="15" customHeight="1" x14ac:dyDescent="0.3">
      <c r="B102" s="17">
        <f>IF('Marcación Workera'!G102="","",INT('Marcación Workera'!G102))</f>
        <v>46258</v>
      </c>
      <c r="C102" s="18" t="str">
        <f>IF('Marcación Workera'!B102="","",UPPER(SUBSTITUTE('Marcación Workera'!B102,".","")))</f>
        <v>12447356-K</v>
      </c>
      <c r="E102" s="19" t="s">
        <v>447</v>
      </c>
      <c r="F102" s="19" t="s">
        <v>560</v>
      </c>
      <c r="G102" s="19" t="s">
        <v>569</v>
      </c>
      <c r="H102" s="19" t="s">
        <v>562</v>
      </c>
      <c r="I102" s="19" t="s">
        <v>56</v>
      </c>
    </row>
    <row r="103" spans="2:9" ht="15" customHeight="1" x14ac:dyDescent="0.3">
      <c r="B103" s="17">
        <f>IF('Marcación Workera'!G103="","",INT('Marcación Workera'!G103))</f>
        <v>46258</v>
      </c>
      <c r="C103" s="18" t="str">
        <f>IF('Marcación Workera'!B103="","",UPPER(SUBSTITUTE('Marcación Workera'!B103,".","")))</f>
        <v>14128763-K</v>
      </c>
      <c r="E103" s="19" t="s">
        <v>447</v>
      </c>
      <c r="F103" s="19" t="s">
        <v>563</v>
      </c>
      <c r="G103" s="19" t="s">
        <v>568</v>
      </c>
      <c r="H103" s="19" t="s">
        <v>562</v>
      </c>
      <c r="I103" s="19" t="s">
        <v>56</v>
      </c>
    </row>
    <row r="104" spans="2:9" ht="15" customHeight="1" x14ac:dyDescent="0.3">
      <c r="B104" s="17">
        <f>IF('Marcación Workera'!G104="","",INT('Marcación Workera'!G104))</f>
        <v>46257</v>
      </c>
      <c r="C104" s="18" t="str">
        <f>IF('Marcación Workera'!B104="","",UPPER(SUBSTITUTE('Marcación Workera'!B104,".","")))</f>
        <v>15000375-K</v>
      </c>
      <c r="E104" s="19" t="s">
        <v>486</v>
      </c>
      <c r="F104" s="19" t="s">
        <v>560</v>
      </c>
      <c r="G104" s="19" t="s">
        <v>569</v>
      </c>
      <c r="H104" s="19" t="s">
        <v>562</v>
      </c>
      <c r="I104" s="19" t="s">
        <v>58</v>
      </c>
    </row>
    <row r="105" spans="2:9" ht="15" customHeight="1" x14ac:dyDescent="0.3">
      <c r="B105" s="17">
        <f>IF('Marcación Workera'!G105="","",INT('Marcación Workera'!G105))</f>
        <v>46257</v>
      </c>
      <c r="C105" s="18" t="str">
        <f>IF('Marcación Workera'!B105="","",UPPER(SUBSTITUTE('Marcación Workera'!B105,".","")))</f>
        <v>11345634-5</v>
      </c>
      <c r="E105" s="19" t="s">
        <v>486</v>
      </c>
      <c r="F105" s="19" t="s">
        <v>563</v>
      </c>
      <c r="G105" s="19" t="s">
        <v>568</v>
      </c>
      <c r="H105" s="19" t="s">
        <v>562</v>
      </c>
      <c r="I105" s="19" t="s">
        <v>58</v>
      </c>
    </row>
    <row r="106" spans="2:9" ht="15" customHeight="1" x14ac:dyDescent="0.3">
      <c r="B106" s="17">
        <f>IF('Marcación Workera'!G106="","",INT('Marcación Workera'!G106))</f>
        <v>46257</v>
      </c>
      <c r="C106" s="18" t="str">
        <f>IF('Marcación Workera'!B106="","",UPPER(SUBSTITUTE('Marcación Workera'!B106,".","")))</f>
        <v>18141318-2</v>
      </c>
      <c r="E106" s="19" t="s">
        <v>150</v>
      </c>
      <c r="F106" s="19" t="s">
        <v>560</v>
      </c>
      <c r="G106" s="19" t="s">
        <v>569</v>
      </c>
      <c r="H106" s="19" t="s">
        <v>562</v>
      </c>
      <c r="I106" s="19" t="s">
        <v>60</v>
      </c>
    </row>
    <row r="107" spans="2:9" ht="15" customHeight="1" x14ac:dyDescent="0.3">
      <c r="B107" s="17">
        <f>IF('Marcación Workera'!G107="","",INT('Marcación Workera'!G107))</f>
        <v>46257</v>
      </c>
      <c r="C107" s="18" t="str">
        <f>IF('Marcación Workera'!B107="","",UPPER(SUBSTITUTE('Marcación Workera'!B107,".","")))</f>
        <v>14128763-K</v>
      </c>
      <c r="E107" s="19" t="s">
        <v>150</v>
      </c>
      <c r="F107" s="19" t="s">
        <v>563</v>
      </c>
      <c r="G107" s="19" t="s">
        <v>568</v>
      </c>
      <c r="H107" s="19" t="s">
        <v>562</v>
      </c>
      <c r="I107" s="19" t="s">
        <v>60</v>
      </c>
    </row>
    <row r="108" spans="2:9" ht="15" customHeight="1" x14ac:dyDescent="0.3">
      <c r="B108" s="17">
        <f>IF('Marcación Workera'!G108="","",INT('Marcación Workera'!G108))</f>
        <v>46257</v>
      </c>
      <c r="C108" s="18" t="str">
        <f>IF('Marcación Workera'!B108="","",UPPER(SUBSTITUTE('Marcación Workera'!B108,".","")))</f>
        <v>17643890-8</v>
      </c>
      <c r="E108" s="19" t="s">
        <v>559</v>
      </c>
      <c r="F108" s="19" t="s">
        <v>560</v>
      </c>
      <c r="G108" s="19" t="s">
        <v>570</v>
      </c>
      <c r="H108" s="19" t="s">
        <v>562</v>
      </c>
      <c r="I108" s="19" t="s">
        <v>17</v>
      </c>
    </row>
    <row r="109" spans="2:9" ht="15" customHeight="1" x14ac:dyDescent="0.3">
      <c r="B109" s="17">
        <f>IF('Marcación Workera'!G109="","",INT('Marcación Workera'!G109))</f>
        <v>46257</v>
      </c>
      <c r="C109" s="18" t="str">
        <f>IF('Marcación Workera'!B109="","",UPPER(SUBSTITUTE('Marcación Workera'!B109,".","")))</f>
        <v>15572472-2</v>
      </c>
      <c r="E109" s="19" t="s">
        <v>559</v>
      </c>
      <c r="F109" s="19" t="s">
        <v>563</v>
      </c>
      <c r="G109" s="19" t="s">
        <v>571</v>
      </c>
      <c r="H109" s="19" t="s">
        <v>562</v>
      </c>
      <c r="I109" s="19" t="s">
        <v>17</v>
      </c>
    </row>
    <row r="110" spans="2:9" ht="15" customHeight="1" x14ac:dyDescent="0.3">
      <c r="B110" s="17">
        <f>IF('Marcación Workera'!G110="","",INT('Marcación Workera'!G110))</f>
        <v>46257</v>
      </c>
      <c r="C110" s="18" t="str">
        <f>IF('Marcación Workera'!B110="","",UPPER(SUBSTITUTE('Marcación Workera'!B110,".","")))</f>
        <v>15000375-K</v>
      </c>
      <c r="E110" s="19" t="s">
        <v>473</v>
      </c>
      <c r="F110" s="19" t="s">
        <v>560</v>
      </c>
      <c r="G110" s="19" t="s">
        <v>570</v>
      </c>
      <c r="H110" s="19" t="s">
        <v>562</v>
      </c>
      <c r="I110" s="19" t="s">
        <v>22</v>
      </c>
    </row>
    <row r="111" spans="2:9" ht="15" customHeight="1" x14ac:dyDescent="0.3">
      <c r="B111" s="17">
        <f>IF('Marcación Workera'!G111="","",INT('Marcación Workera'!G111))</f>
        <v>46257</v>
      </c>
      <c r="C111" s="18" t="str">
        <f>IF('Marcación Workera'!B111="","",UPPER(SUBSTITUTE('Marcación Workera'!B111,".","")))</f>
        <v>13329197-0</v>
      </c>
      <c r="E111" s="19" t="s">
        <v>473</v>
      </c>
      <c r="F111" s="19" t="s">
        <v>563</v>
      </c>
      <c r="G111" s="19" t="s">
        <v>571</v>
      </c>
      <c r="H111" s="19" t="s">
        <v>562</v>
      </c>
      <c r="I111" s="19" t="s">
        <v>22</v>
      </c>
    </row>
    <row r="112" spans="2:9" ht="15" customHeight="1" x14ac:dyDescent="0.3">
      <c r="B112" s="17">
        <f>IF('Marcación Workera'!G112="","",INT('Marcación Workera'!G112))</f>
        <v>46257</v>
      </c>
      <c r="C112" s="18" t="str">
        <f>IF('Marcación Workera'!B112="","",UPPER(SUBSTITUTE('Marcación Workera'!B112,".","")))</f>
        <v>11345634-5</v>
      </c>
      <c r="E112" s="19" t="s">
        <v>494</v>
      </c>
      <c r="F112" s="19" t="s">
        <v>563</v>
      </c>
      <c r="G112" s="19" t="s">
        <v>571</v>
      </c>
      <c r="H112" s="19" t="s">
        <v>562</v>
      </c>
      <c r="I112" s="19" t="s">
        <v>26</v>
      </c>
    </row>
    <row r="113" spans="2:9" ht="15" customHeight="1" x14ac:dyDescent="0.3">
      <c r="B113" s="17">
        <f>IF('Marcación Workera'!G113="","",INT('Marcación Workera'!G113))</f>
        <v>46257</v>
      </c>
      <c r="C113" s="18" t="str">
        <f>IF('Marcación Workera'!B113="","",UPPER(SUBSTITUTE('Marcación Workera'!B113,".","")))</f>
        <v>14128763-K</v>
      </c>
      <c r="E113" s="19" t="s">
        <v>437</v>
      </c>
      <c r="F113" s="19" t="s">
        <v>563</v>
      </c>
      <c r="G113" s="19" t="s">
        <v>571</v>
      </c>
      <c r="H113" s="19" t="s">
        <v>562</v>
      </c>
      <c r="I113" s="19" t="s">
        <v>28</v>
      </c>
    </row>
    <row r="114" spans="2:9" ht="15" customHeight="1" x14ac:dyDescent="0.3">
      <c r="B114" s="17">
        <f>IF('Marcación Workera'!G114="","",INT('Marcación Workera'!G114))</f>
        <v>46256</v>
      </c>
      <c r="C114" s="18" t="str">
        <f>IF('Marcación Workera'!B114="","",UPPER(SUBSTITUTE('Marcación Workera'!B114,".","")))</f>
        <v>18141318-2</v>
      </c>
      <c r="E114" s="19" t="s">
        <v>188</v>
      </c>
      <c r="F114" s="19" t="s">
        <v>563</v>
      </c>
      <c r="G114" s="19" t="s">
        <v>571</v>
      </c>
      <c r="H114" s="19" t="s">
        <v>562</v>
      </c>
      <c r="I114" s="19" t="s">
        <v>30</v>
      </c>
    </row>
    <row r="115" spans="2:9" ht="15" customHeight="1" x14ac:dyDescent="0.3">
      <c r="B115" s="17">
        <f>IF('Marcación Workera'!G115="","",INT('Marcación Workera'!G115))</f>
        <v>46256</v>
      </c>
      <c r="C115" s="18" t="str">
        <f>IF('Marcación Workera'!B115="","",UPPER(SUBSTITUTE('Marcación Workera'!B115,".","")))</f>
        <v>14128763-K</v>
      </c>
      <c r="E115" s="19" t="s">
        <v>480</v>
      </c>
      <c r="F115" s="19" t="s">
        <v>560</v>
      </c>
      <c r="G115" s="19" t="s">
        <v>570</v>
      </c>
      <c r="H115" s="19" t="s">
        <v>562</v>
      </c>
      <c r="I115" s="19" t="s">
        <v>35</v>
      </c>
    </row>
    <row r="116" spans="2:9" ht="15" customHeight="1" x14ac:dyDescent="0.3">
      <c r="B116" s="17">
        <f>IF('Marcación Workera'!G116="","",INT('Marcación Workera'!G116))</f>
        <v>46256</v>
      </c>
      <c r="C116" s="18" t="str">
        <f>IF('Marcación Workera'!B116="","",UPPER(SUBSTITUTE('Marcación Workera'!B116,".","")))</f>
        <v>17643890-8</v>
      </c>
      <c r="E116" s="19" t="s">
        <v>480</v>
      </c>
      <c r="F116" s="19" t="s">
        <v>563</v>
      </c>
      <c r="G116" s="19" t="s">
        <v>571</v>
      </c>
      <c r="H116" s="19" t="s">
        <v>562</v>
      </c>
      <c r="I116" s="19" t="s">
        <v>35</v>
      </c>
    </row>
    <row r="117" spans="2:9" ht="15" customHeight="1" x14ac:dyDescent="0.3">
      <c r="B117" s="17">
        <f>IF('Marcación Workera'!G117="","",INT('Marcación Workera'!G117))</f>
        <v>46256</v>
      </c>
      <c r="C117" s="18" t="str">
        <f>IF('Marcación Workera'!B117="","",UPPER(SUBSTITUTE('Marcación Workera'!B117,".","")))</f>
        <v>15572472-2</v>
      </c>
      <c r="E117" s="19" t="s">
        <v>497</v>
      </c>
      <c r="F117" s="19" t="s">
        <v>560</v>
      </c>
      <c r="G117" s="19" t="s">
        <v>570</v>
      </c>
      <c r="H117" s="19" t="s">
        <v>562</v>
      </c>
      <c r="I117" s="19" t="s">
        <v>37</v>
      </c>
    </row>
    <row r="118" spans="2:9" ht="15" customHeight="1" x14ac:dyDescent="0.3">
      <c r="B118" s="17">
        <f>IF('Marcación Workera'!G118="","",INT('Marcación Workera'!G118))</f>
        <v>46256</v>
      </c>
      <c r="C118" s="18" t="str">
        <f>IF('Marcación Workera'!B118="","",UPPER(SUBSTITUTE('Marcación Workera'!B118,".","")))</f>
        <v>17643890-8</v>
      </c>
      <c r="E118" s="19" t="s">
        <v>497</v>
      </c>
      <c r="F118" s="19" t="s">
        <v>563</v>
      </c>
      <c r="G118" s="19" t="s">
        <v>571</v>
      </c>
      <c r="H118" s="19" t="s">
        <v>562</v>
      </c>
      <c r="I118" s="19" t="s">
        <v>37</v>
      </c>
    </row>
    <row r="119" spans="2:9" ht="15" customHeight="1" x14ac:dyDescent="0.3">
      <c r="B119" s="17">
        <f>IF('Marcación Workera'!G119="","",INT('Marcación Workera'!G119))</f>
        <v>46256</v>
      </c>
      <c r="C119" s="18" t="str">
        <f>IF('Marcación Workera'!B119="","",UPPER(SUBSTITUTE('Marcación Workera'!B119,".","")))</f>
        <v>15572472-2</v>
      </c>
      <c r="E119" s="19" t="s">
        <v>483</v>
      </c>
      <c r="F119" s="19" t="s">
        <v>560</v>
      </c>
      <c r="G119" s="19" t="s">
        <v>570</v>
      </c>
      <c r="H119" s="19" t="s">
        <v>562</v>
      </c>
      <c r="I119" s="19" t="s">
        <v>39</v>
      </c>
    </row>
    <row r="120" spans="2:9" ht="15" customHeight="1" x14ac:dyDescent="0.3">
      <c r="B120" s="17">
        <f>IF('Marcación Workera'!G120="","",INT('Marcación Workera'!G120))</f>
        <v>46256</v>
      </c>
      <c r="C120" s="18" t="str">
        <f>IF('Marcación Workera'!B120="","",UPPER(SUBSTITUTE('Marcación Workera'!B120,".","")))</f>
        <v>18141318-2</v>
      </c>
      <c r="E120" s="19" t="s">
        <v>483</v>
      </c>
      <c r="F120" s="19" t="s">
        <v>563</v>
      </c>
      <c r="G120" s="19" t="s">
        <v>571</v>
      </c>
      <c r="H120" s="19" t="s">
        <v>562</v>
      </c>
      <c r="I120" s="19" t="s">
        <v>39</v>
      </c>
    </row>
    <row r="121" spans="2:9" ht="15" customHeight="1" x14ac:dyDescent="0.3">
      <c r="B121" s="17">
        <f>IF('Marcación Workera'!G121="","",INT('Marcación Workera'!G121))</f>
        <v>46256</v>
      </c>
      <c r="C121" s="18" t="str">
        <f>IF('Marcación Workera'!B121="","",UPPER(SUBSTITUTE('Marcación Workera'!B121,".","")))</f>
        <v>15000375-K</v>
      </c>
      <c r="E121" s="19" t="s">
        <v>489</v>
      </c>
      <c r="F121" s="19" t="s">
        <v>563</v>
      </c>
      <c r="G121" s="19" t="s">
        <v>571</v>
      </c>
      <c r="H121" s="19" t="s">
        <v>562</v>
      </c>
      <c r="I121" s="19" t="s">
        <v>40</v>
      </c>
    </row>
    <row r="122" spans="2:9" ht="15" customHeight="1" x14ac:dyDescent="0.3">
      <c r="B122" s="17">
        <f>IF('Marcación Workera'!G122="","",INT('Marcación Workera'!G122))</f>
        <v>46256</v>
      </c>
      <c r="C122" s="18" t="str">
        <f>IF('Marcación Workera'!B122="","",UPPER(SUBSTITUTE('Marcación Workera'!B122,".","")))</f>
        <v>14128763-K</v>
      </c>
      <c r="E122" s="19" t="s">
        <v>155</v>
      </c>
      <c r="F122" s="19" t="s">
        <v>560</v>
      </c>
      <c r="G122" s="19" t="s">
        <v>570</v>
      </c>
      <c r="H122" s="19" t="s">
        <v>562</v>
      </c>
      <c r="I122" s="19" t="s">
        <v>42</v>
      </c>
    </row>
    <row r="123" spans="2:9" ht="15" customHeight="1" x14ac:dyDescent="0.3">
      <c r="B123" s="17">
        <f>IF('Marcación Workera'!G123="","",INT('Marcación Workera'!G123))</f>
        <v>46255</v>
      </c>
      <c r="C123" s="18" t="str">
        <f>IF('Marcación Workera'!B123="","",UPPER(SUBSTITUTE('Marcación Workera'!B123,".","")))</f>
        <v>15000375-K</v>
      </c>
      <c r="E123" s="19" t="s">
        <v>155</v>
      </c>
      <c r="F123" s="19" t="s">
        <v>563</v>
      </c>
      <c r="G123" s="19" t="s">
        <v>571</v>
      </c>
      <c r="H123" s="19" t="s">
        <v>562</v>
      </c>
      <c r="I123" s="19" t="s">
        <v>42</v>
      </c>
    </row>
    <row r="124" spans="2:9" ht="15" customHeight="1" x14ac:dyDescent="0.3">
      <c r="B124" s="17">
        <f>IF('Marcación Workera'!G124="","",INT('Marcación Workera'!G124))</f>
        <v>46255</v>
      </c>
      <c r="C124" s="18" t="str">
        <f>IF('Marcación Workera'!B124="","",UPPER(SUBSTITUTE('Marcación Workera'!B124,".","")))</f>
        <v>18141318-2</v>
      </c>
      <c r="E124" s="19" t="s">
        <v>444</v>
      </c>
      <c r="F124" s="19" t="s">
        <v>560</v>
      </c>
      <c r="G124" s="19" t="s">
        <v>570</v>
      </c>
      <c r="H124" s="19" t="s">
        <v>562</v>
      </c>
      <c r="I124" s="19" t="s">
        <v>44</v>
      </c>
    </row>
    <row r="125" spans="2:9" ht="15" customHeight="1" x14ac:dyDescent="0.3">
      <c r="B125" s="17">
        <f>IF('Marcación Workera'!G125="","",INT('Marcación Workera'!G125))</f>
        <v>46255</v>
      </c>
      <c r="C125" s="18" t="str">
        <f>IF('Marcación Workera'!B125="","",UPPER(SUBSTITUTE('Marcación Workera'!B125,".","")))</f>
        <v>17643890-8</v>
      </c>
      <c r="E125" s="19" t="s">
        <v>444</v>
      </c>
      <c r="F125" s="19" t="s">
        <v>563</v>
      </c>
      <c r="G125" s="19" t="s">
        <v>571</v>
      </c>
      <c r="H125" s="19" t="s">
        <v>562</v>
      </c>
      <c r="I125" s="19" t="s">
        <v>44</v>
      </c>
    </row>
    <row r="126" spans="2:9" ht="15" customHeight="1" x14ac:dyDescent="0.3">
      <c r="B126" s="17">
        <f>IF('Marcación Workera'!G126="","",INT('Marcación Workera'!G126))</f>
        <v>46255</v>
      </c>
      <c r="C126" s="18" t="str">
        <f>IF('Marcación Workera'!B126="","",UPPER(SUBSTITUTE('Marcación Workera'!B126,".","")))</f>
        <v>14128763-K</v>
      </c>
      <c r="E126" s="19" t="s">
        <v>565</v>
      </c>
      <c r="F126" s="19" t="s">
        <v>560</v>
      </c>
      <c r="G126" s="19" t="s">
        <v>570</v>
      </c>
      <c r="H126" s="19" t="s">
        <v>562</v>
      </c>
      <c r="I126" s="19" t="s">
        <v>46</v>
      </c>
    </row>
    <row r="127" spans="2:9" ht="15" customHeight="1" x14ac:dyDescent="0.3">
      <c r="B127" s="17">
        <f>IF('Marcación Workera'!G127="","",INT('Marcación Workera'!G127))</f>
        <v>46255</v>
      </c>
      <c r="C127" s="18" t="str">
        <f>IF('Marcación Workera'!B127="","",UPPER(SUBSTITUTE('Marcación Workera'!B127,".","")))</f>
        <v>15572472-2</v>
      </c>
      <c r="E127" s="19" t="s">
        <v>565</v>
      </c>
      <c r="F127" s="19" t="s">
        <v>563</v>
      </c>
      <c r="G127" s="19" t="s">
        <v>571</v>
      </c>
      <c r="H127" s="19" t="s">
        <v>562</v>
      </c>
      <c r="I127" s="19" t="s">
        <v>46</v>
      </c>
    </row>
    <row r="128" spans="2:9" ht="15" customHeight="1" x14ac:dyDescent="0.3">
      <c r="B128" s="17">
        <f>IF('Marcación Workera'!G128="","",INT('Marcación Workera'!G128))</f>
        <v>46255</v>
      </c>
      <c r="C128" s="18" t="str">
        <f>IF('Marcación Workera'!B128="","",UPPER(SUBSTITUTE('Marcación Workera'!B128,".","")))</f>
        <v>12447356-K</v>
      </c>
      <c r="E128" s="19" t="s">
        <v>468</v>
      </c>
      <c r="F128" s="19" t="s">
        <v>563</v>
      </c>
      <c r="G128" s="19" t="s">
        <v>571</v>
      </c>
      <c r="H128" s="19" t="s">
        <v>562</v>
      </c>
      <c r="I128" s="19" t="s">
        <v>49</v>
      </c>
    </row>
    <row r="129" spans="2:9" ht="15" customHeight="1" x14ac:dyDescent="0.3">
      <c r="B129" s="17">
        <f>IF('Marcación Workera'!G129="","",INT('Marcación Workera'!G129))</f>
        <v>46255</v>
      </c>
      <c r="C129" s="18" t="str">
        <f>IF('Marcación Workera'!B129="","",UPPER(SUBSTITUTE('Marcación Workera'!B129,".","")))</f>
        <v>13329197-0</v>
      </c>
      <c r="E129" s="19" t="s">
        <v>184</v>
      </c>
      <c r="F129" s="19" t="s">
        <v>560</v>
      </c>
      <c r="G129" s="19" t="s">
        <v>571</v>
      </c>
      <c r="H129" s="19" t="s">
        <v>562</v>
      </c>
      <c r="I129" s="19" t="s">
        <v>51</v>
      </c>
    </row>
    <row r="130" spans="2:9" ht="15" customHeight="1" x14ac:dyDescent="0.3">
      <c r="B130" s="17">
        <f>IF('Marcación Workera'!G130="","",INT('Marcación Workera'!G130))</f>
        <v>46255</v>
      </c>
      <c r="C130" s="18" t="str">
        <f>IF('Marcación Workera'!B130="","",UPPER(SUBSTITUTE('Marcación Workera'!B130,".","")))</f>
        <v>18141318-2</v>
      </c>
      <c r="E130" s="19" t="s">
        <v>184</v>
      </c>
      <c r="F130" s="19" t="s">
        <v>563</v>
      </c>
      <c r="G130" s="19" t="s">
        <v>570</v>
      </c>
      <c r="H130" s="19" t="s">
        <v>562</v>
      </c>
      <c r="I130" s="19" t="s">
        <v>51</v>
      </c>
    </row>
    <row r="131" spans="2:9" ht="15" customHeight="1" x14ac:dyDescent="0.3">
      <c r="B131" s="17">
        <f>IF('Marcación Workera'!G131="","",INT('Marcación Workera'!G131))</f>
        <v>46255</v>
      </c>
      <c r="C131" s="18" t="str">
        <f>IF('Marcación Workera'!B131="","",UPPER(SUBSTITUTE('Marcación Workera'!B131,".","")))</f>
        <v>17643890-8</v>
      </c>
      <c r="E131" s="19" t="s">
        <v>465</v>
      </c>
      <c r="F131" s="19" t="s">
        <v>560</v>
      </c>
      <c r="G131" s="19" t="s">
        <v>571</v>
      </c>
      <c r="H131" s="19" t="s">
        <v>562</v>
      </c>
      <c r="I131" s="19" t="s">
        <v>53</v>
      </c>
    </row>
    <row r="132" spans="2:9" ht="15" customHeight="1" x14ac:dyDescent="0.3">
      <c r="B132" s="17">
        <f>IF('Marcación Workera'!G132="","",INT('Marcación Workera'!G132))</f>
        <v>46255</v>
      </c>
      <c r="C132" s="18" t="str">
        <f>IF('Marcación Workera'!B132="","",UPPER(SUBSTITUTE('Marcación Workera'!B132,".","")))</f>
        <v>15572472-2</v>
      </c>
      <c r="E132" s="19" t="s">
        <v>465</v>
      </c>
      <c r="F132" s="19" t="s">
        <v>563</v>
      </c>
      <c r="G132" s="19" t="s">
        <v>570</v>
      </c>
      <c r="H132" s="19" t="s">
        <v>562</v>
      </c>
      <c r="I132" s="19" t="s">
        <v>53</v>
      </c>
    </row>
    <row r="133" spans="2:9" ht="15" customHeight="1" x14ac:dyDescent="0.3">
      <c r="B133" s="17">
        <f>IF('Marcación Workera'!G133="","",INT('Marcación Workera'!G133))</f>
        <v>46255</v>
      </c>
      <c r="C133" s="18" t="str">
        <f>IF('Marcación Workera'!B133="","",UPPER(SUBSTITUTE('Marcación Workera'!B133,".","")))</f>
        <v>15000375-K</v>
      </c>
      <c r="E133" s="19" t="s">
        <v>453</v>
      </c>
      <c r="F133" s="19" t="s">
        <v>560</v>
      </c>
      <c r="G133" s="19" t="s">
        <v>571</v>
      </c>
      <c r="H133" s="19" t="s">
        <v>562</v>
      </c>
      <c r="I133" s="19" t="s">
        <v>54</v>
      </c>
    </row>
    <row r="134" spans="2:9" ht="15" customHeight="1" x14ac:dyDescent="0.3">
      <c r="B134" s="17">
        <f>IF('Marcación Workera'!G134="","",INT('Marcación Workera'!G134))</f>
        <v>46255</v>
      </c>
      <c r="C134" s="18" t="str">
        <f>IF('Marcación Workera'!B134="","",UPPER(SUBSTITUTE('Marcación Workera'!B134,".","")))</f>
        <v>14128763-K</v>
      </c>
      <c r="E134" s="19" t="s">
        <v>453</v>
      </c>
      <c r="F134" s="19" t="s">
        <v>563</v>
      </c>
      <c r="G134" s="19" t="s">
        <v>570</v>
      </c>
      <c r="H134" s="19" t="s">
        <v>562</v>
      </c>
      <c r="I134" s="19" t="s">
        <v>54</v>
      </c>
    </row>
    <row r="135" spans="2:9" ht="15" customHeight="1" x14ac:dyDescent="0.3">
      <c r="B135" s="17">
        <f>IF('Marcación Workera'!G135="","",INT('Marcación Workera'!G135))</f>
        <v>46255</v>
      </c>
      <c r="C135" s="18" t="str">
        <f>IF('Marcación Workera'!B135="","",UPPER(SUBSTITUTE('Marcación Workera'!B135,".","")))</f>
        <v>12447356-K</v>
      </c>
      <c r="E135" s="19" t="s">
        <v>450</v>
      </c>
      <c r="F135" s="19" t="s">
        <v>560</v>
      </c>
      <c r="G135" s="19" t="s">
        <v>571</v>
      </c>
      <c r="H135" s="19" t="s">
        <v>562</v>
      </c>
      <c r="I135" s="19" t="s">
        <v>55</v>
      </c>
    </row>
    <row r="136" spans="2:9" ht="15" customHeight="1" x14ac:dyDescent="0.3">
      <c r="B136" s="17">
        <f>IF('Marcación Workera'!G136="","",INT('Marcación Workera'!G136))</f>
        <v>46254</v>
      </c>
      <c r="C136" s="18" t="str">
        <f>IF('Marcación Workera'!B136="","",UPPER(SUBSTITUTE('Marcación Workera'!B136,".","")))</f>
        <v>15000375-K</v>
      </c>
      <c r="E136" s="19" t="s">
        <v>450</v>
      </c>
      <c r="F136" s="19" t="s">
        <v>563</v>
      </c>
      <c r="G136" s="19" t="s">
        <v>570</v>
      </c>
      <c r="H136" s="19" t="s">
        <v>562</v>
      </c>
      <c r="I136" s="19" t="s">
        <v>55</v>
      </c>
    </row>
    <row r="137" spans="2:9" ht="15" customHeight="1" x14ac:dyDescent="0.3">
      <c r="B137" s="17">
        <f>IF('Marcación Workera'!G137="","",INT('Marcación Workera'!G137))</f>
        <v>46254</v>
      </c>
      <c r="C137" s="18" t="str">
        <f>IF('Marcación Workera'!B137="","",UPPER(SUBSTITUTE('Marcación Workera'!B137,".","")))</f>
        <v>15000375-K</v>
      </c>
      <c r="E137" s="19" t="s">
        <v>447</v>
      </c>
      <c r="F137" s="19" t="s">
        <v>560</v>
      </c>
      <c r="G137" s="19" t="s">
        <v>571</v>
      </c>
      <c r="H137" s="19" t="s">
        <v>562</v>
      </c>
      <c r="I137" s="19" t="s">
        <v>56</v>
      </c>
    </row>
    <row r="138" spans="2:9" ht="15" customHeight="1" x14ac:dyDescent="0.3">
      <c r="B138" s="17">
        <f>IF('Marcación Workera'!G138="","",INT('Marcación Workera'!G138))</f>
        <v>46254</v>
      </c>
      <c r="C138" s="18" t="str">
        <f>IF('Marcación Workera'!B138="","",UPPER(SUBSTITUTE('Marcación Workera'!B138,".","")))</f>
        <v>13329197-0</v>
      </c>
      <c r="E138" s="19" t="s">
        <v>447</v>
      </c>
      <c r="F138" s="19" t="s">
        <v>563</v>
      </c>
      <c r="G138" s="19" t="s">
        <v>570</v>
      </c>
      <c r="H138" s="19" t="s">
        <v>562</v>
      </c>
      <c r="I138" s="19" t="s">
        <v>56</v>
      </c>
    </row>
    <row r="139" spans="2:9" ht="15" customHeight="1" x14ac:dyDescent="0.3">
      <c r="B139" s="17">
        <f>IF('Marcación Workera'!G139="","",INT('Marcación Workera'!G139))</f>
        <v>46254</v>
      </c>
      <c r="C139" s="18" t="str">
        <f>IF('Marcación Workera'!B139="","",UPPER(SUBSTITUTE('Marcación Workera'!B139,".","")))</f>
        <v>18141318-2</v>
      </c>
      <c r="E139" s="19" t="s">
        <v>486</v>
      </c>
      <c r="F139" s="19" t="s">
        <v>560</v>
      </c>
      <c r="G139" s="19" t="s">
        <v>571</v>
      </c>
      <c r="H139" s="19" t="s">
        <v>562</v>
      </c>
      <c r="I139" s="19" t="s">
        <v>58</v>
      </c>
    </row>
    <row r="140" spans="2:9" ht="15" customHeight="1" x14ac:dyDescent="0.3">
      <c r="B140" s="17">
        <f>IF('Marcación Workera'!G140="","",INT('Marcación Workera'!G140))</f>
        <v>46254</v>
      </c>
      <c r="C140" s="18" t="str">
        <f>IF('Marcación Workera'!B140="","",UPPER(SUBSTITUTE('Marcación Workera'!B140,".","")))</f>
        <v>14128763-K</v>
      </c>
      <c r="E140" s="19" t="s">
        <v>486</v>
      </c>
      <c r="F140" s="19" t="s">
        <v>563</v>
      </c>
      <c r="G140" s="19" t="s">
        <v>570</v>
      </c>
      <c r="H140" s="19" t="s">
        <v>562</v>
      </c>
      <c r="I140" s="19" t="s">
        <v>58</v>
      </c>
    </row>
    <row r="141" spans="2:9" ht="15" customHeight="1" x14ac:dyDescent="0.3">
      <c r="B141" s="17">
        <f>IF('Marcación Workera'!G141="","",INT('Marcación Workera'!G141))</f>
        <v>46254</v>
      </c>
      <c r="C141" s="18" t="str">
        <f>IF('Marcación Workera'!B141="","",UPPER(SUBSTITUTE('Marcación Workera'!B141,".","")))</f>
        <v>17643890-8</v>
      </c>
      <c r="E141" s="19" t="s">
        <v>150</v>
      </c>
      <c r="F141" s="19" t="s">
        <v>560</v>
      </c>
      <c r="G141" s="19" t="s">
        <v>571</v>
      </c>
      <c r="H141" s="19" t="s">
        <v>562</v>
      </c>
      <c r="I141" s="19" t="s">
        <v>60</v>
      </c>
    </row>
    <row r="142" spans="2:9" ht="15" customHeight="1" x14ac:dyDescent="0.3">
      <c r="B142" s="17">
        <f>IF('Marcación Workera'!G142="","",INT('Marcación Workera'!G142))</f>
        <v>46254</v>
      </c>
      <c r="C142" s="18" t="str">
        <f>IF('Marcación Workera'!B142="","",UPPER(SUBSTITUTE('Marcación Workera'!B142,".","")))</f>
        <v>12447356-K</v>
      </c>
      <c r="E142" s="19" t="s">
        <v>150</v>
      </c>
      <c r="F142" s="19" t="s">
        <v>563</v>
      </c>
      <c r="G142" s="19" t="s">
        <v>570</v>
      </c>
      <c r="H142" s="19" t="s">
        <v>562</v>
      </c>
      <c r="I142" s="19" t="s">
        <v>60</v>
      </c>
    </row>
    <row r="143" spans="2:9" ht="15" customHeight="1" x14ac:dyDescent="0.3">
      <c r="B143" s="17">
        <f>IF('Marcación Workera'!G143="","",INT('Marcación Workera'!G143))</f>
        <v>46254</v>
      </c>
      <c r="C143" s="18" t="str">
        <f>IF('Marcación Workera'!B143="","",UPPER(SUBSTITUTE('Marcación Workera'!B143,".","")))</f>
        <v>18141318-2</v>
      </c>
      <c r="E143" s="19" t="s">
        <v>559</v>
      </c>
      <c r="F143" s="19" t="s">
        <v>560</v>
      </c>
      <c r="G143" s="19" t="s">
        <v>572</v>
      </c>
      <c r="H143" s="19" t="s">
        <v>562</v>
      </c>
      <c r="I143" s="19" t="s">
        <v>17</v>
      </c>
    </row>
    <row r="144" spans="2:9" ht="15" customHeight="1" x14ac:dyDescent="0.3">
      <c r="B144" s="17">
        <f>IF('Marcación Workera'!G144="","",INT('Marcación Workera'!G144))</f>
        <v>46254</v>
      </c>
      <c r="C144" s="18" t="str">
        <f>IF('Marcación Workera'!B144="","",UPPER(SUBSTITUTE('Marcación Workera'!B144,".","")))</f>
        <v>14128763-K</v>
      </c>
      <c r="E144" s="19" t="s">
        <v>559</v>
      </c>
      <c r="F144" s="19" t="s">
        <v>563</v>
      </c>
      <c r="G144" s="19" t="s">
        <v>573</v>
      </c>
      <c r="H144" s="19" t="s">
        <v>562</v>
      </c>
      <c r="I144" s="19" t="s">
        <v>17</v>
      </c>
    </row>
    <row r="145" spans="2:9" ht="15" customHeight="1" x14ac:dyDescent="0.3">
      <c r="B145" s="17">
        <f>IF('Marcación Workera'!G145="","",INT('Marcación Workera'!G145))</f>
        <v>46254</v>
      </c>
      <c r="C145" s="18" t="str">
        <f>IF('Marcación Workera'!B145="","",UPPER(SUBSTITUTE('Marcación Workera'!B145,".","")))</f>
        <v>12447356-K</v>
      </c>
      <c r="E145" s="19" t="s">
        <v>473</v>
      </c>
      <c r="F145" s="19" t="s">
        <v>560</v>
      </c>
      <c r="G145" s="19" t="s">
        <v>572</v>
      </c>
      <c r="H145" s="19" t="s">
        <v>562</v>
      </c>
      <c r="I145" s="19" t="s">
        <v>22</v>
      </c>
    </row>
    <row r="146" spans="2:9" ht="15" customHeight="1" x14ac:dyDescent="0.3">
      <c r="B146" s="17">
        <f>IF('Marcación Workera'!G146="","",INT('Marcación Workera'!G146))</f>
        <v>46253</v>
      </c>
      <c r="C146" s="18" t="str">
        <f>IF('Marcación Workera'!B146="","",UPPER(SUBSTITUTE('Marcación Workera'!B146,".","")))</f>
        <v>12447356-K</v>
      </c>
      <c r="E146" s="19" t="s">
        <v>473</v>
      </c>
      <c r="F146" s="19" t="s">
        <v>563</v>
      </c>
      <c r="G146" s="19" t="s">
        <v>573</v>
      </c>
      <c r="H146" s="19" t="s">
        <v>562</v>
      </c>
      <c r="I146" s="19" t="s">
        <v>22</v>
      </c>
    </row>
    <row r="147" spans="2:9" ht="15" customHeight="1" x14ac:dyDescent="0.3">
      <c r="B147" s="17">
        <f>IF('Marcación Workera'!G147="","",INT('Marcación Workera'!G147))</f>
        <v>46253</v>
      </c>
      <c r="C147" s="18" t="str">
        <f>IF('Marcación Workera'!B147="","",UPPER(SUBSTITUTE('Marcación Workera'!B147,".","")))</f>
        <v>12447356-K</v>
      </c>
      <c r="E147" s="19" t="s">
        <v>544</v>
      </c>
      <c r="F147" s="19" t="s">
        <v>560</v>
      </c>
      <c r="G147" s="19" t="s">
        <v>572</v>
      </c>
      <c r="H147" s="19" t="s">
        <v>562</v>
      </c>
      <c r="I147" s="19" t="s">
        <v>73</v>
      </c>
    </row>
    <row r="148" spans="2:9" ht="15" customHeight="1" x14ac:dyDescent="0.3">
      <c r="B148" s="17">
        <f>IF('Marcación Workera'!G148="","",INT('Marcación Workera'!G148))</f>
        <v>46252</v>
      </c>
      <c r="C148" s="18" t="str">
        <f>IF('Marcación Workera'!B148="","",UPPER(SUBSTITUTE('Marcación Workera'!B148,".","")))</f>
        <v>13044962-K</v>
      </c>
      <c r="E148" s="19" t="s">
        <v>544</v>
      </c>
      <c r="F148" s="19" t="s">
        <v>563</v>
      </c>
      <c r="G148" s="19" t="s">
        <v>573</v>
      </c>
      <c r="H148" s="19" t="s">
        <v>562</v>
      </c>
      <c r="I148" s="19" t="s">
        <v>73</v>
      </c>
    </row>
    <row r="149" spans="2:9" ht="15" customHeight="1" x14ac:dyDescent="0.3">
      <c r="B149" s="17">
        <f>IF('Marcación Workera'!G149="","",INT('Marcación Workera'!G149))</f>
        <v>46252</v>
      </c>
      <c r="C149" s="18" t="str">
        <f>IF('Marcación Workera'!B149="","",UPPER(SUBSTITUTE('Marcación Workera'!B149,".","")))</f>
        <v>10362133-K</v>
      </c>
      <c r="E149" s="19" t="s">
        <v>547</v>
      </c>
      <c r="F149" s="19" t="s">
        <v>563</v>
      </c>
      <c r="G149" s="19" t="s">
        <v>573</v>
      </c>
      <c r="H149" s="19" t="s">
        <v>562</v>
      </c>
      <c r="I149" s="19" t="s">
        <v>75</v>
      </c>
    </row>
    <row r="150" spans="2:9" ht="15" customHeight="1" x14ac:dyDescent="0.3">
      <c r="B150" s="17">
        <f>IF('Marcación Workera'!G150="","",INT('Marcación Workera'!G150))</f>
        <v>46252</v>
      </c>
      <c r="C150" s="18" t="str">
        <f>IF('Marcación Workera'!B150="","",UPPER(SUBSTITUTE('Marcación Workera'!B150,".","")))</f>
        <v>12447356-K</v>
      </c>
      <c r="E150" s="19" t="s">
        <v>199</v>
      </c>
      <c r="F150" s="19" t="s">
        <v>560</v>
      </c>
      <c r="G150" s="19" t="s">
        <v>572</v>
      </c>
      <c r="H150" s="19" t="s">
        <v>562</v>
      </c>
      <c r="I150" s="19" t="s">
        <v>76</v>
      </c>
    </row>
    <row r="151" spans="2:9" ht="15" customHeight="1" x14ac:dyDescent="0.3">
      <c r="B151" s="17">
        <f>IF('Marcación Workera'!G151="","",INT('Marcación Workera'!G151))</f>
        <v>46252</v>
      </c>
      <c r="C151" s="18" t="str">
        <f>IF('Marcación Workera'!B151="","",UPPER(SUBSTITUTE('Marcación Workera'!B151,".","")))</f>
        <v>12447356-K</v>
      </c>
      <c r="E151" s="19" t="s">
        <v>199</v>
      </c>
      <c r="F151" s="19" t="s">
        <v>563</v>
      </c>
      <c r="G151" s="19" t="s">
        <v>573</v>
      </c>
      <c r="H151" s="19" t="s">
        <v>562</v>
      </c>
      <c r="I151" s="19" t="s">
        <v>76</v>
      </c>
    </row>
    <row r="152" spans="2:9" ht="15" customHeight="1" x14ac:dyDescent="0.3">
      <c r="B152" s="17">
        <f>IF('Marcación Workera'!G152="","",INT('Marcación Workera'!G152))</f>
        <v>46252</v>
      </c>
      <c r="C152" s="18" t="str">
        <f>IF('Marcación Workera'!B152="","",UPPER(SUBSTITUTE('Marcación Workera'!B152,".","")))</f>
        <v>13049877-9</v>
      </c>
      <c r="E152" s="19" t="s">
        <v>155</v>
      </c>
      <c r="F152" s="19" t="s">
        <v>560</v>
      </c>
      <c r="G152" s="19" t="s">
        <v>572</v>
      </c>
      <c r="H152" s="19" t="s">
        <v>562</v>
      </c>
      <c r="I152" s="19" t="s">
        <v>42</v>
      </c>
    </row>
    <row r="153" spans="2:9" ht="15" customHeight="1" x14ac:dyDescent="0.3">
      <c r="B153" s="17">
        <f>IF('Marcación Workera'!G153="","",INT('Marcación Workera'!G153))</f>
        <v>46252</v>
      </c>
      <c r="C153" s="18" t="str">
        <f>IF('Marcación Workera'!B153="","",UPPER(SUBSTITUTE('Marcación Workera'!B153,".","")))</f>
        <v>20921611-6</v>
      </c>
      <c r="E153" s="19" t="s">
        <v>155</v>
      </c>
      <c r="F153" s="19" t="s">
        <v>563</v>
      </c>
      <c r="G153" s="19" t="s">
        <v>573</v>
      </c>
      <c r="H153" s="19" t="s">
        <v>562</v>
      </c>
      <c r="I153" s="19" t="s">
        <v>42</v>
      </c>
    </row>
    <row r="154" spans="2:9" ht="15" customHeight="1" x14ac:dyDescent="0.3">
      <c r="B154" s="17">
        <f>IF('Marcación Workera'!G154="","",INT('Marcación Workera'!G154))</f>
        <v>46252</v>
      </c>
      <c r="C154" s="18" t="str">
        <f>IF('Marcación Workera'!B154="","",UPPER(SUBSTITUTE('Marcación Workera'!B154,".","")))</f>
        <v>21028758-2</v>
      </c>
      <c r="E154" s="19" t="s">
        <v>565</v>
      </c>
      <c r="F154" s="19" t="s">
        <v>560</v>
      </c>
      <c r="G154" s="19" t="s">
        <v>572</v>
      </c>
      <c r="H154" s="19" t="s">
        <v>562</v>
      </c>
      <c r="I154" s="19" t="s">
        <v>46</v>
      </c>
    </row>
    <row r="155" spans="2:9" ht="15" customHeight="1" x14ac:dyDescent="0.3">
      <c r="B155" s="17">
        <f>IF('Marcación Workera'!G155="","",INT('Marcación Workera'!G155))</f>
        <v>46252</v>
      </c>
      <c r="C155" s="18" t="str">
        <f>IF('Marcación Workera'!B155="","",UPPER(SUBSTITUTE('Marcación Workera'!B155,".","")))</f>
        <v>20921611-6</v>
      </c>
      <c r="E155" s="19" t="s">
        <v>565</v>
      </c>
      <c r="F155" s="19" t="s">
        <v>563</v>
      </c>
      <c r="G155" s="19" t="s">
        <v>573</v>
      </c>
      <c r="H155" s="19" t="s">
        <v>562</v>
      </c>
      <c r="I155" s="19" t="s">
        <v>46</v>
      </c>
    </row>
    <row r="156" spans="2:9" ht="15" customHeight="1" x14ac:dyDescent="0.3">
      <c r="B156" s="17">
        <f>IF('Marcación Workera'!G156="","",INT('Marcación Workera'!G156))</f>
        <v>46252</v>
      </c>
      <c r="C156" s="18" t="str">
        <f>IF('Marcación Workera'!B156="","",UPPER(SUBSTITUTE('Marcación Workera'!B156,".","")))</f>
        <v>19322282-K</v>
      </c>
      <c r="E156" s="19" t="s">
        <v>538</v>
      </c>
      <c r="F156" s="19" t="s">
        <v>563</v>
      </c>
      <c r="G156" s="19" t="s">
        <v>572</v>
      </c>
      <c r="H156" s="19" t="s">
        <v>562</v>
      </c>
      <c r="I156" s="19" t="s">
        <v>78</v>
      </c>
    </row>
    <row r="157" spans="2:9" ht="15" customHeight="1" x14ac:dyDescent="0.3">
      <c r="B157" s="17">
        <f>IF('Marcación Workera'!G157="","",INT('Marcación Workera'!G157))</f>
        <v>46252</v>
      </c>
      <c r="C157" s="18" t="str">
        <f>IF('Marcación Workera'!B157="","",UPPER(SUBSTITUTE('Marcación Workera'!B157,".","")))</f>
        <v>20921611-6</v>
      </c>
      <c r="E157" s="19" t="s">
        <v>550</v>
      </c>
      <c r="F157" s="19" t="s">
        <v>560</v>
      </c>
      <c r="G157" s="19" t="s">
        <v>573</v>
      </c>
      <c r="H157" s="19" t="s">
        <v>562</v>
      </c>
      <c r="I157" s="19" t="s">
        <v>80</v>
      </c>
    </row>
    <row r="158" spans="2:9" ht="15" customHeight="1" x14ac:dyDescent="0.3">
      <c r="B158" s="17">
        <f>IF('Marcación Workera'!G158="","",INT('Marcación Workera'!G158))</f>
        <v>46252</v>
      </c>
      <c r="C158" s="18" t="str">
        <f>IF('Marcación Workera'!B158="","",UPPER(SUBSTITUTE('Marcación Workera'!B158,".","")))</f>
        <v>10362133-K</v>
      </c>
      <c r="E158" s="19" t="s">
        <v>550</v>
      </c>
      <c r="F158" s="19" t="s">
        <v>563</v>
      </c>
      <c r="G158" s="19" t="s">
        <v>572</v>
      </c>
      <c r="H158" s="19" t="s">
        <v>562</v>
      </c>
      <c r="I158" s="19" t="s">
        <v>80</v>
      </c>
    </row>
    <row r="159" spans="2:9" ht="15" customHeight="1" x14ac:dyDescent="0.3">
      <c r="B159" s="17">
        <f>IF('Marcación Workera'!G159="","",INT('Marcación Workera'!G159))</f>
        <v>46251</v>
      </c>
      <c r="C159" s="18" t="str">
        <f>IF('Marcación Workera'!B159="","",UPPER(SUBSTITUTE('Marcación Workera'!B159,".","")))</f>
        <v>13044962-K</v>
      </c>
      <c r="E159" s="19" t="s">
        <v>424</v>
      </c>
      <c r="F159" s="19" t="s">
        <v>563</v>
      </c>
      <c r="G159" s="19" t="s">
        <v>572</v>
      </c>
      <c r="H159" s="19" t="s">
        <v>562</v>
      </c>
      <c r="I159" s="19" t="s">
        <v>81</v>
      </c>
    </row>
    <row r="160" spans="2:9" ht="15" customHeight="1" x14ac:dyDescent="0.3">
      <c r="B160" s="17">
        <f>IF('Marcación Workera'!G160="","",INT('Marcación Workera'!G160))</f>
        <v>46251</v>
      </c>
      <c r="C160" s="18" t="str">
        <f>IF('Marcación Workera'!B160="","",UPPER(SUBSTITUTE('Marcación Workera'!B160,".","")))</f>
        <v>11726306-1</v>
      </c>
      <c r="E160" s="19" t="s">
        <v>574</v>
      </c>
      <c r="F160" s="19" t="s">
        <v>560</v>
      </c>
      <c r="G160" s="19" t="s">
        <v>573</v>
      </c>
      <c r="H160" s="19" t="s">
        <v>562</v>
      </c>
      <c r="I160" s="19" t="s">
        <v>82</v>
      </c>
    </row>
    <row r="161" spans="2:9" ht="15" customHeight="1" x14ac:dyDescent="0.3">
      <c r="B161" s="17">
        <f>IF('Marcación Workera'!G161="","",INT('Marcación Workera'!G161))</f>
        <v>46251</v>
      </c>
      <c r="C161" s="18" t="str">
        <f>IF('Marcación Workera'!B161="","",UPPER(SUBSTITUTE('Marcación Workera'!B161,".","")))</f>
        <v>10508202-9</v>
      </c>
      <c r="E161" s="19" t="s">
        <v>574</v>
      </c>
      <c r="F161" s="19" t="s">
        <v>563</v>
      </c>
      <c r="G161" s="19" t="s">
        <v>572</v>
      </c>
      <c r="H161" s="19" t="s">
        <v>562</v>
      </c>
      <c r="I161" s="19" t="s">
        <v>82</v>
      </c>
    </row>
    <row r="162" spans="2:9" ht="15" customHeight="1" x14ac:dyDescent="0.3">
      <c r="B162" s="17">
        <f>IF('Marcación Workera'!G162="","",INT('Marcación Workera'!G162))</f>
        <v>46251</v>
      </c>
      <c r="C162" s="18" t="str">
        <f>IF('Marcación Workera'!B162="","",UPPER(SUBSTITUTE('Marcación Workera'!B162,".","")))</f>
        <v>13049877-9</v>
      </c>
      <c r="E162" s="19" t="s">
        <v>575</v>
      </c>
      <c r="F162" s="19" t="s">
        <v>560</v>
      </c>
      <c r="G162" s="19" t="s">
        <v>573</v>
      </c>
      <c r="H162" s="19" t="s">
        <v>562</v>
      </c>
      <c r="I162" s="19" t="s">
        <v>83</v>
      </c>
    </row>
    <row r="163" spans="2:9" ht="15" customHeight="1" x14ac:dyDescent="0.3">
      <c r="B163" s="17">
        <f>IF('Marcación Workera'!G163="","",INT('Marcación Workera'!G163))</f>
        <v>46251</v>
      </c>
      <c r="C163" s="18" t="str">
        <f>IF('Marcación Workera'!B163="","",UPPER(SUBSTITUTE('Marcación Workera'!B163,".","")))</f>
        <v>21028758-2</v>
      </c>
      <c r="E163" s="19" t="s">
        <v>575</v>
      </c>
      <c r="F163" s="19" t="s">
        <v>563</v>
      </c>
      <c r="G163" s="19" t="s">
        <v>572</v>
      </c>
      <c r="H163" s="19" t="s">
        <v>562</v>
      </c>
      <c r="I163" s="19" t="s">
        <v>83</v>
      </c>
    </row>
    <row r="164" spans="2:9" ht="15" customHeight="1" x14ac:dyDescent="0.3">
      <c r="B164" s="17">
        <f>IF('Marcación Workera'!G164="","",INT('Marcación Workera'!G164))</f>
        <v>46251</v>
      </c>
      <c r="C164" s="18" t="str">
        <f>IF('Marcación Workera'!B164="","",UPPER(SUBSTITUTE('Marcación Workera'!B164,".","")))</f>
        <v>20921611-6</v>
      </c>
      <c r="E164" s="19" t="s">
        <v>447</v>
      </c>
      <c r="F164" s="19" t="s">
        <v>563</v>
      </c>
      <c r="G164" s="19" t="s">
        <v>572</v>
      </c>
      <c r="H164" s="19" t="s">
        <v>562</v>
      </c>
      <c r="I164" s="19" t="s">
        <v>56</v>
      </c>
    </row>
    <row r="165" spans="2:9" ht="15" customHeight="1" x14ac:dyDescent="0.3">
      <c r="B165" s="17">
        <f>IF('Marcación Workera'!G165="","",INT('Marcación Workera'!G165))</f>
        <v>46251</v>
      </c>
      <c r="C165" s="18" t="str">
        <f>IF('Marcación Workera'!B165="","",UPPER(SUBSTITUTE('Marcación Workera'!B165,".","")))</f>
        <v>10362133-K</v>
      </c>
      <c r="E165" s="19" t="s">
        <v>150</v>
      </c>
      <c r="F165" s="19" t="s">
        <v>560</v>
      </c>
      <c r="G165" s="19" t="s">
        <v>573</v>
      </c>
      <c r="H165" s="19" t="s">
        <v>562</v>
      </c>
      <c r="I165" s="19" t="s">
        <v>60</v>
      </c>
    </row>
    <row r="166" spans="2:9" ht="15" customHeight="1" x14ac:dyDescent="0.3">
      <c r="B166" s="17">
        <f>IF('Marcación Workera'!G166="","",INT('Marcación Workera'!G166))</f>
        <v>46251</v>
      </c>
      <c r="C166" s="18" t="str">
        <f>IF('Marcación Workera'!B166="","",UPPER(SUBSTITUTE('Marcación Workera'!B166,".","")))</f>
        <v>13049877-9</v>
      </c>
      <c r="E166" s="19" t="s">
        <v>150</v>
      </c>
      <c r="F166" s="19" t="s">
        <v>563</v>
      </c>
      <c r="G166" s="19" t="s">
        <v>572</v>
      </c>
      <c r="H166" s="19" t="s">
        <v>562</v>
      </c>
      <c r="I166" s="19" t="s">
        <v>60</v>
      </c>
    </row>
    <row r="167" spans="2:9" ht="15" customHeight="1" x14ac:dyDescent="0.3">
      <c r="B167" s="17">
        <f>IF('Marcación Workera'!G167="","",INT('Marcación Workera'!G167))</f>
        <v>46251</v>
      </c>
      <c r="C167" s="18" t="str">
        <f>IF('Marcación Workera'!B167="","",UPPER(SUBSTITUTE('Marcación Workera'!B167,".","")))</f>
        <v>10362133-K</v>
      </c>
      <c r="E167" s="19" t="s">
        <v>559</v>
      </c>
      <c r="F167" s="19" t="s">
        <v>560</v>
      </c>
      <c r="G167" s="19" t="s">
        <v>576</v>
      </c>
      <c r="H167" s="19" t="s">
        <v>562</v>
      </c>
      <c r="I167" s="19" t="s">
        <v>17</v>
      </c>
    </row>
    <row r="168" spans="2:9" ht="15" customHeight="1" x14ac:dyDescent="0.3">
      <c r="B168" s="17">
        <f>IF('Marcación Workera'!G168="","",INT('Marcación Workera'!G168))</f>
        <v>46251</v>
      </c>
      <c r="C168" s="18" t="str">
        <f>IF('Marcación Workera'!B168="","",UPPER(SUBSTITUTE('Marcación Workera'!B168,".","")))</f>
        <v>21028758-2</v>
      </c>
      <c r="E168" s="19" t="s">
        <v>559</v>
      </c>
      <c r="F168" s="19" t="s">
        <v>563</v>
      </c>
      <c r="G168" s="19" t="s">
        <v>577</v>
      </c>
      <c r="H168" s="19" t="s">
        <v>562</v>
      </c>
      <c r="I168" s="19" t="s">
        <v>17</v>
      </c>
    </row>
    <row r="169" spans="2:9" ht="15" customHeight="1" x14ac:dyDescent="0.3">
      <c r="B169" s="17">
        <f>IF('Marcación Workera'!G169="","",INT('Marcación Workera'!G169))</f>
        <v>46251</v>
      </c>
      <c r="C169" s="18" t="str">
        <f>IF('Marcación Workera'!B169="","",UPPER(SUBSTITUTE('Marcación Workera'!B169,".","")))</f>
        <v>10508202-9</v>
      </c>
      <c r="E169" s="19" t="s">
        <v>473</v>
      </c>
      <c r="F169" s="19" t="s">
        <v>560</v>
      </c>
      <c r="G169" s="19" t="s">
        <v>576</v>
      </c>
      <c r="H169" s="19" t="s">
        <v>562</v>
      </c>
      <c r="I169" s="19" t="s">
        <v>22</v>
      </c>
    </row>
    <row r="170" spans="2:9" ht="15" customHeight="1" x14ac:dyDescent="0.3">
      <c r="B170" s="17">
        <f>IF('Marcación Workera'!G170="","",INT('Marcación Workera'!G170))</f>
        <v>46251</v>
      </c>
      <c r="C170" s="18" t="str">
        <f>IF('Marcación Workera'!B170="","",UPPER(SUBSTITUTE('Marcación Workera'!B170,".","")))</f>
        <v>19322282-K</v>
      </c>
      <c r="E170" s="19" t="s">
        <v>473</v>
      </c>
      <c r="F170" s="19" t="s">
        <v>563</v>
      </c>
      <c r="G170" s="19" t="s">
        <v>577</v>
      </c>
      <c r="H170" s="19" t="s">
        <v>562</v>
      </c>
      <c r="I170" s="19" t="s">
        <v>22</v>
      </c>
    </row>
    <row r="171" spans="2:9" ht="15" customHeight="1" x14ac:dyDescent="0.3">
      <c r="B171" s="17">
        <f>IF('Marcación Workera'!G171="","",INT('Marcación Workera'!G171))</f>
        <v>46251</v>
      </c>
      <c r="C171" s="18" t="str">
        <f>IF('Marcación Workera'!B171="","",UPPER(SUBSTITUTE('Marcación Workera'!B171,".","")))</f>
        <v>13044962-K</v>
      </c>
      <c r="E171" s="19" t="s">
        <v>541</v>
      </c>
      <c r="F171" s="19" t="s">
        <v>560</v>
      </c>
      <c r="G171" s="19" t="s">
        <v>576</v>
      </c>
      <c r="H171" s="19" t="s">
        <v>562</v>
      </c>
      <c r="I171" s="19" t="s">
        <v>71</v>
      </c>
    </row>
    <row r="172" spans="2:9" ht="15" customHeight="1" x14ac:dyDescent="0.3">
      <c r="B172" s="17">
        <f>IF('Marcación Workera'!G172="","",INT('Marcación Workera'!G172))</f>
        <v>46251</v>
      </c>
      <c r="C172" s="18" t="str">
        <f>IF('Marcación Workera'!B172="","",UPPER(SUBSTITUTE('Marcación Workera'!B172,".","")))</f>
        <v>20921611-6</v>
      </c>
      <c r="E172" s="19" t="s">
        <v>544</v>
      </c>
      <c r="F172" s="19" t="s">
        <v>560</v>
      </c>
      <c r="G172" s="19" t="s">
        <v>576</v>
      </c>
      <c r="H172" s="19" t="s">
        <v>562</v>
      </c>
      <c r="I172" s="19" t="s">
        <v>73</v>
      </c>
    </row>
    <row r="173" spans="2:9" ht="15" customHeight="1" x14ac:dyDescent="0.3">
      <c r="B173" s="17">
        <f>IF('Marcación Workera'!G173="","",INT('Marcación Workera'!G173))</f>
        <v>46251</v>
      </c>
      <c r="C173" s="18" t="str">
        <f>IF('Marcación Workera'!B173="","",UPPER(SUBSTITUTE('Marcación Workera'!B173,".","")))</f>
        <v>20921611-6</v>
      </c>
      <c r="E173" s="19" t="s">
        <v>544</v>
      </c>
      <c r="F173" s="19" t="s">
        <v>563</v>
      </c>
      <c r="G173" s="19" t="s">
        <v>577</v>
      </c>
      <c r="H173" s="19" t="s">
        <v>562</v>
      </c>
      <c r="I173" s="19" t="s">
        <v>73</v>
      </c>
    </row>
    <row r="174" spans="2:9" ht="15" customHeight="1" x14ac:dyDescent="0.3">
      <c r="B174" s="17">
        <f>IF('Marcación Workera'!G174="","",INT('Marcación Workera'!G174))</f>
        <v>46251</v>
      </c>
      <c r="C174" s="18" t="str">
        <f>IF('Marcación Workera'!B174="","",UPPER(SUBSTITUTE('Marcación Workera'!B174,".","")))</f>
        <v>12447356-K</v>
      </c>
      <c r="E174" s="19" t="s">
        <v>547</v>
      </c>
      <c r="F174" s="19" t="s">
        <v>560</v>
      </c>
      <c r="G174" s="19" t="s">
        <v>576</v>
      </c>
      <c r="H174" s="19" t="s">
        <v>562</v>
      </c>
      <c r="I174" s="19" t="s">
        <v>75</v>
      </c>
    </row>
    <row r="175" spans="2:9" ht="15" customHeight="1" x14ac:dyDescent="0.3">
      <c r="B175" s="17">
        <f>IF('Marcación Workera'!G175="","",INT('Marcación Workera'!G175))</f>
        <v>46251</v>
      </c>
      <c r="C175" s="18" t="str">
        <f>IF('Marcación Workera'!B175="","",UPPER(SUBSTITUTE('Marcación Workera'!B175,".","")))</f>
        <v>11726306-1</v>
      </c>
      <c r="E175" s="19" t="s">
        <v>547</v>
      </c>
      <c r="F175" s="19" t="s">
        <v>563</v>
      </c>
      <c r="G175" s="19" t="s">
        <v>577</v>
      </c>
      <c r="H175" s="19" t="s">
        <v>562</v>
      </c>
      <c r="I175" s="19" t="s">
        <v>75</v>
      </c>
    </row>
    <row r="176" spans="2:9" ht="15" customHeight="1" x14ac:dyDescent="0.3">
      <c r="B176" s="17">
        <f>IF('Marcación Workera'!G176="","",INT('Marcación Workera'!G176))</f>
        <v>46250</v>
      </c>
      <c r="C176" s="18" t="str">
        <f>IF('Marcación Workera'!B176="","",UPPER(SUBSTITUTE('Marcación Workera'!B176,".","")))</f>
        <v>21028758-2</v>
      </c>
      <c r="E176" s="19" t="s">
        <v>199</v>
      </c>
      <c r="F176" s="19" t="s">
        <v>560</v>
      </c>
      <c r="G176" s="19" t="s">
        <v>576</v>
      </c>
      <c r="H176" s="19" t="s">
        <v>562</v>
      </c>
      <c r="I176" s="19" t="s">
        <v>76</v>
      </c>
    </row>
    <row r="177" spans="2:9" ht="15" customHeight="1" x14ac:dyDescent="0.3">
      <c r="B177" s="17">
        <f>IF('Marcación Workera'!G177="","",INT('Marcación Workera'!G177))</f>
        <v>46250</v>
      </c>
      <c r="C177" s="18" t="str">
        <f>IF('Marcación Workera'!B177="","",UPPER(SUBSTITUTE('Marcación Workera'!B177,".","")))</f>
        <v>13049877-9</v>
      </c>
      <c r="E177" s="19" t="s">
        <v>199</v>
      </c>
      <c r="F177" s="19" t="s">
        <v>563</v>
      </c>
      <c r="G177" s="19" t="s">
        <v>577</v>
      </c>
      <c r="H177" s="19" t="s">
        <v>562</v>
      </c>
      <c r="I177" s="19" t="s">
        <v>76</v>
      </c>
    </row>
    <row r="178" spans="2:9" ht="15" customHeight="1" x14ac:dyDescent="0.3">
      <c r="B178" s="17">
        <f>IF('Marcación Workera'!G178="","",INT('Marcación Workera'!G178))</f>
        <v>46250</v>
      </c>
      <c r="C178" s="18" t="str">
        <f>IF('Marcación Workera'!B178="","",UPPER(SUBSTITUTE('Marcación Workera'!B178,".","")))</f>
        <v>10508202-9</v>
      </c>
      <c r="E178" s="19" t="s">
        <v>565</v>
      </c>
      <c r="F178" s="19" t="s">
        <v>560</v>
      </c>
      <c r="G178" s="19" t="s">
        <v>576</v>
      </c>
      <c r="H178" s="19" t="s">
        <v>562</v>
      </c>
      <c r="I178" s="19" t="s">
        <v>46</v>
      </c>
    </row>
    <row r="179" spans="2:9" ht="15" customHeight="1" x14ac:dyDescent="0.3">
      <c r="B179" s="17">
        <f>IF('Marcación Workera'!G179="","",INT('Marcación Workera'!G179))</f>
        <v>46250</v>
      </c>
      <c r="C179" s="18" t="str">
        <f>IF('Marcación Workera'!B179="","",UPPER(SUBSTITUTE('Marcación Workera'!B179,".","")))</f>
        <v>11726306-1</v>
      </c>
      <c r="E179" s="19" t="s">
        <v>565</v>
      </c>
      <c r="F179" s="19" t="s">
        <v>563</v>
      </c>
      <c r="G179" s="19" t="s">
        <v>577</v>
      </c>
      <c r="H179" s="19" t="s">
        <v>562</v>
      </c>
      <c r="I179" s="19" t="s">
        <v>46</v>
      </c>
    </row>
    <row r="180" spans="2:9" ht="15" customHeight="1" x14ac:dyDescent="0.3">
      <c r="B180" s="17">
        <f>IF('Marcación Workera'!G180="","",INT('Marcación Workera'!G180))</f>
        <v>46250</v>
      </c>
      <c r="C180" s="18" t="str">
        <f>IF('Marcación Workera'!B180="","",UPPER(SUBSTITUTE('Marcación Workera'!B180,".","")))</f>
        <v>10508202-9</v>
      </c>
      <c r="E180" s="19" t="s">
        <v>550</v>
      </c>
      <c r="F180" s="19" t="s">
        <v>560</v>
      </c>
      <c r="G180" s="19" t="s">
        <v>577</v>
      </c>
      <c r="H180" s="19" t="s">
        <v>562</v>
      </c>
      <c r="I180" s="19" t="s">
        <v>80</v>
      </c>
    </row>
    <row r="181" spans="2:9" ht="15" customHeight="1" x14ac:dyDescent="0.3">
      <c r="B181" s="17">
        <f>IF('Marcación Workera'!G181="","",INT('Marcación Workera'!G181))</f>
        <v>46250</v>
      </c>
      <c r="C181" s="18" t="str">
        <f>IF('Marcación Workera'!B181="","",UPPER(SUBSTITUTE('Marcación Workera'!B181,".","")))</f>
        <v>10362133-K</v>
      </c>
      <c r="E181" s="19" t="s">
        <v>550</v>
      </c>
      <c r="F181" s="19" t="s">
        <v>563</v>
      </c>
      <c r="G181" s="19" t="s">
        <v>576</v>
      </c>
      <c r="H181" s="19" t="s">
        <v>562</v>
      </c>
      <c r="I181" s="19" t="s">
        <v>80</v>
      </c>
    </row>
    <row r="182" spans="2:9" ht="15" customHeight="1" x14ac:dyDescent="0.3">
      <c r="B182" s="17">
        <f>IF('Marcación Workera'!G182="","",INT('Marcación Workera'!G182))</f>
        <v>46250</v>
      </c>
      <c r="C182" s="18" t="str">
        <f>IF('Marcación Workera'!B182="","",UPPER(SUBSTITUTE('Marcación Workera'!B182,".","")))</f>
        <v>13044962-K</v>
      </c>
      <c r="E182" s="19" t="s">
        <v>574</v>
      </c>
      <c r="F182" s="19" t="s">
        <v>560</v>
      </c>
      <c r="G182" s="19" t="s">
        <v>577</v>
      </c>
      <c r="H182" s="19" t="s">
        <v>562</v>
      </c>
      <c r="I182" s="19" t="s">
        <v>82</v>
      </c>
    </row>
    <row r="183" spans="2:9" ht="15" customHeight="1" x14ac:dyDescent="0.3">
      <c r="B183" s="17">
        <f>IF('Marcación Workera'!G183="","",INT('Marcación Workera'!G183))</f>
        <v>46250</v>
      </c>
      <c r="C183" s="18" t="str">
        <f>IF('Marcación Workera'!B183="","",UPPER(SUBSTITUTE('Marcación Workera'!B183,".","")))</f>
        <v>20921611-6</v>
      </c>
      <c r="E183" s="19" t="s">
        <v>574</v>
      </c>
      <c r="F183" s="19" t="s">
        <v>563</v>
      </c>
      <c r="G183" s="19" t="s">
        <v>576</v>
      </c>
      <c r="H183" s="19" t="s">
        <v>562</v>
      </c>
      <c r="I183" s="19" t="s">
        <v>82</v>
      </c>
    </row>
    <row r="184" spans="2:9" ht="15" customHeight="1" x14ac:dyDescent="0.3">
      <c r="B184" s="17">
        <f>IF('Marcación Workera'!G184="","",INT('Marcación Workera'!G184))</f>
        <v>46250</v>
      </c>
      <c r="C184" s="18" t="str">
        <f>IF('Marcación Workera'!B184="","",UPPER(SUBSTITUTE('Marcación Workera'!B184,".","")))</f>
        <v>20921611-6</v>
      </c>
      <c r="E184" s="19" t="s">
        <v>575</v>
      </c>
      <c r="F184" s="19" t="s">
        <v>560</v>
      </c>
      <c r="G184" s="19" t="s">
        <v>577</v>
      </c>
      <c r="H184" s="19" t="s">
        <v>562</v>
      </c>
      <c r="I184" s="19" t="s">
        <v>83</v>
      </c>
    </row>
    <row r="185" spans="2:9" ht="15" customHeight="1" x14ac:dyDescent="0.3">
      <c r="B185" s="17">
        <f>IF('Marcación Workera'!G185="","",INT('Marcación Workera'!G185))</f>
        <v>46250</v>
      </c>
      <c r="C185" s="18" t="str">
        <f>IF('Marcación Workera'!B185="","",UPPER(SUBSTITUTE('Marcación Workera'!B185,".","")))</f>
        <v>19322282-K</v>
      </c>
      <c r="E185" s="19" t="s">
        <v>575</v>
      </c>
      <c r="F185" s="19" t="s">
        <v>563</v>
      </c>
      <c r="G185" s="19" t="s">
        <v>576</v>
      </c>
      <c r="H185" s="19" t="s">
        <v>562</v>
      </c>
      <c r="I185" s="19" t="s">
        <v>83</v>
      </c>
    </row>
    <row r="186" spans="2:9" ht="15" customHeight="1" x14ac:dyDescent="0.3">
      <c r="B186" s="17">
        <f>IF('Marcación Workera'!G186="","",INT('Marcación Workera'!G186))</f>
        <v>46250</v>
      </c>
      <c r="C186" s="18" t="str">
        <f>IF('Marcación Workera'!B186="","",UPPER(SUBSTITUTE('Marcación Workera'!B186,".","")))</f>
        <v>11726306-1</v>
      </c>
      <c r="E186" s="19" t="s">
        <v>447</v>
      </c>
      <c r="F186" s="19" t="s">
        <v>563</v>
      </c>
      <c r="G186" s="19" t="s">
        <v>576</v>
      </c>
      <c r="H186" s="19" t="s">
        <v>562</v>
      </c>
      <c r="I186" s="19" t="s">
        <v>56</v>
      </c>
    </row>
    <row r="187" spans="2:9" ht="15" customHeight="1" x14ac:dyDescent="0.3">
      <c r="B187" s="17">
        <f>IF('Marcación Workera'!G187="","",INT('Marcación Workera'!G187))</f>
        <v>46250</v>
      </c>
      <c r="C187" s="18" t="str">
        <f>IF('Marcación Workera'!B187="","",UPPER(SUBSTITUTE('Marcación Workera'!B187,".","")))</f>
        <v>19322282-K</v>
      </c>
      <c r="E187" s="19" t="s">
        <v>150</v>
      </c>
      <c r="F187" s="19" t="s">
        <v>560</v>
      </c>
      <c r="G187" s="19" t="s">
        <v>577</v>
      </c>
      <c r="H187" s="19" t="s">
        <v>562</v>
      </c>
      <c r="I187" s="19" t="s">
        <v>60</v>
      </c>
    </row>
    <row r="188" spans="2:9" ht="15" customHeight="1" x14ac:dyDescent="0.3">
      <c r="B188" s="17">
        <f>IF('Marcación Workera'!G188="","",INT('Marcación Workera'!G188))</f>
        <v>46250</v>
      </c>
      <c r="C188" s="18" t="str">
        <f>IF('Marcación Workera'!B188="","",UPPER(SUBSTITUTE('Marcación Workera'!B188,".","")))</f>
        <v>21028758-2</v>
      </c>
      <c r="E188" s="19" t="s">
        <v>150</v>
      </c>
      <c r="F188" s="19" t="s">
        <v>563</v>
      </c>
      <c r="G188" s="19" t="s">
        <v>576</v>
      </c>
      <c r="H188" s="19" t="s">
        <v>562</v>
      </c>
      <c r="I188" s="19" t="s">
        <v>60</v>
      </c>
    </row>
    <row r="189" spans="2:9" ht="15" customHeight="1" x14ac:dyDescent="0.3">
      <c r="B189" s="17">
        <f>IF('Marcación Workera'!G189="","",INT('Marcación Workera'!G189))</f>
        <v>46250</v>
      </c>
      <c r="C189" s="18" t="str">
        <f>IF('Marcación Workera'!B189="","",UPPER(SUBSTITUTE('Marcación Workera'!B189,".","")))</f>
        <v>13049877-9</v>
      </c>
      <c r="E189" s="19" t="s">
        <v>559</v>
      </c>
      <c r="F189" s="19" t="s">
        <v>560</v>
      </c>
      <c r="G189" s="19" t="s">
        <v>578</v>
      </c>
      <c r="H189" s="19" t="s">
        <v>562</v>
      </c>
      <c r="I189" s="19" t="s">
        <v>17</v>
      </c>
    </row>
    <row r="190" spans="2:9" ht="15" customHeight="1" x14ac:dyDescent="0.3">
      <c r="B190" s="17">
        <f>IF('Marcación Workera'!G190="","",INT('Marcación Workera'!G190))</f>
        <v>46250</v>
      </c>
      <c r="C190" s="18" t="str">
        <f>IF('Marcación Workera'!B190="","",UPPER(SUBSTITUTE('Marcación Workera'!B190,".","")))</f>
        <v>10508202-9</v>
      </c>
      <c r="E190" s="19" t="s">
        <v>559</v>
      </c>
      <c r="F190" s="19" t="s">
        <v>563</v>
      </c>
      <c r="G190" s="19" t="s">
        <v>579</v>
      </c>
      <c r="H190" s="19" t="s">
        <v>562</v>
      </c>
      <c r="I190" s="19" t="s">
        <v>17</v>
      </c>
    </row>
    <row r="191" spans="2:9" ht="15" customHeight="1" x14ac:dyDescent="0.3">
      <c r="B191" s="17">
        <f>IF('Marcación Workera'!G191="","",INT('Marcación Workera'!G191))</f>
        <v>46250</v>
      </c>
      <c r="C191" s="18" t="str">
        <f>IF('Marcación Workera'!B191="","",UPPER(SUBSTITUTE('Marcación Workera'!B191,".","")))</f>
        <v>13044962-K</v>
      </c>
      <c r="E191" s="19" t="s">
        <v>473</v>
      </c>
      <c r="F191" s="19" t="s">
        <v>560</v>
      </c>
      <c r="G191" s="19" t="s">
        <v>578</v>
      </c>
      <c r="H191" s="19" t="s">
        <v>562</v>
      </c>
      <c r="I191" s="19" t="s">
        <v>22</v>
      </c>
    </row>
    <row r="192" spans="2:9" ht="15" customHeight="1" x14ac:dyDescent="0.3">
      <c r="B192" s="17">
        <f>IF('Marcación Workera'!G192="","",INT('Marcación Workera'!G192))</f>
        <v>46250</v>
      </c>
      <c r="C192" s="18" t="str">
        <f>IF('Marcación Workera'!B192="","",UPPER(SUBSTITUTE('Marcación Workera'!B192,".","")))</f>
        <v>13044962-K</v>
      </c>
      <c r="E192" s="19" t="s">
        <v>473</v>
      </c>
      <c r="F192" s="19" t="s">
        <v>563</v>
      </c>
      <c r="G192" s="19" t="s">
        <v>579</v>
      </c>
      <c r="H192" s="19" t="s">
        <v>562</v>
      </c>
      <c r="I192" s="19" t="s">
        <v>22</v>
      </c>
    </row>
    <row r="193" spans="2:9" ht="15" customHeight="1" x14ac:dyDescent="0.3">
      <c r="B193" s="17">
        <f>IF('Marcación Workera'!G193="","",INT('Marcación Workera'!G193))</f>
        <v>46250</v>
      </c>
      <c r="C193" s="18" t="str">
        <f>IF('Marcación Workera'!B193="","",UPPER(SUBSTITUTE('Marcación Workera'!B193,".","")))</f>
        <v>20921611-6</v>
      </c>
      <c r="E193" s="19" t="s">
        <v>544</v>
      </c>
      <c r="F193" s="19" t="s">
        <v>560</v>
      </c>
      <c r="G193" s="19" t="s">
        <v>578</v>
      </c>
      <c r="H193" s="19" t="s">
        <v>562</v>
      </c>
      <c r="I193" s="19" t="s">
        <v>73</v>
      </c>
    </row>
    <row r="194" spans="2:9" ht="15" customHeight="1" x14ac:dyDescent="0.3">
      <c r="B194" s="17">
        <f>IF('Marcación Workera'!G194="","",INT('Marcación Workera'!G194))</f>
        <v>46250</v>
      </c>
      <c r="C194" s="18" t="str">
        <f>IF('Marcación Workera'!B194="","",UPPER(SUBSTITUTE('Marcación Workera'!B194,".","")))</f>
        <v>10362133-K</v>
      </c>
      <c r="E194" s="19" t="s">
        <v>544</v>
      </c>
      <c r="F194" s="19" t="s">
        <v>563</v>
      </c>
      <c r="G194" s="19" t="s">
        <v>579</v>
      </c>
      <c r="H194" s="19" t="s">
        <v>562</v>
      </c>
      <c r="I194" s="19" t="s">
        <v>73</v>
      </c>
    </row>
    <row r="195" spans="2:9" ht="15" customHeight="1" x14ac:dyDescent="0.3">
      <c r="B195" s="17">
        <f>IF('Marcación Workera'!G195="","",INT('Marcación Workera'!G195))</f>
        <v>46250</v>
      </c>
      <c r="C195" s="18" t="str">
        <f>IF('Marcación Workera'!B195="","",UPPER(SUBSTITUTE('Marcación Workera'!B195,".","")))</f>
        <v>20921611-6</v>
      </c>
      <c r="E195" s="19" t="s">
        <v>547</v>
      </c>
      <c r="F195" s="19" t="s">
        <v>560</v>
      </c>
      <c r="G195" s="19" t="s">
        <v>578</v>
      </c>
      <c r="H195" s="19" t="s">
        <v>562</v>
      </c>
      <c r="I195" s="19" t="s">
        <v>75</v>
      </c>
    </row>
    <row r="196" spans="2:9" ht="15" customHeight="1" x14ac:dyDescent="0.3">
      <c r="B196" s="17">
        <f>IF('Marcación Workera'!G196="","",INT('Marcación Workera'!G196))</f>
        <v>46250</v>
      </c>
      <c r="C196" s="18" t="str">
        <f>IF('Marcación Workera'!B196="","",UPPER(SUBSTITUTE('Marcación Workera'!B196,".","")))</f>
        <v>10508202-9</v>
      </c>
      <c r="E196" s="19" t="s">
        <v>547</v>
      </c>
      <c r="F196" s="19" t="s">
        <v>563</v>
      </c>
      <c r="G196" s="19" t="s">
        <v>579</v>
      </c>
      <c r="H196" s="19" t="s">
        <v>562</v>
      </c>
      <c r="I196" s="19" t="s">
        <v>75</v>
      </c>
    </row>
    <row r="197" spans="2:9" ht="15" customHeight="1" x14ac:dyDescent="0.3">
      <c r="B197" s="17">
        <f>IF('Marcación Workera'!G197="","",INT('Marcación Workera'!G197))</f>
        <v>46249</v>
      </c>
      <c r="C197" s="18" t="str">
        <f>IF('Marcación Workera'!B197="","",UPPER(SUBSTITUTE('Marcación Workera'!B197,".","")))</f>
        <v>13044962-K</v>
      </c>
      <c r="E197" s="19" t="s">
        <v>199</v>
      </c>
      <c r="F197" s="19" t="s">
        <v>560</v>
      </c>
      <c r="G197" s="19" t="s">
        <v>578</v>
      </c>
      <c r="H197" s="19" t="s">
        <v>562</v>
      </c>
      <c r="I197" s="19" t="s">
        <v>76</v>
      </c>
    </row>
    <row r="198" spans="2:9" ht="15" customHeight="1" x14ac:dyDescent="0.3">
      <c r="B198" s="17">
        <f>IF('Marcación Workera'!G198="","",INT('Marcación Workera'!G198))</f>
        <v>46249</v>
      </c>
      <c r="C198" s="18" t="str">
        <f>IF('Marcación Workera'!B198="","",UPPER(SUBSTITUTE('Marcación Workera'!B198,".","")))</f>
        <v>11726306-1</v>
      </c>
      <c r="E198" s="19" t="s">
        <v>199</v>
      </c>
      <c r="F198" s="19" t="s">
        <v>563</v>
      </c>
      <c r="G198" s="19" t="s">
        <v>579</v>
      </c>
      <c r="H198" s="19" t="s">
        <v>562</v>
      </c>
      <c r="I198" s="19" t="s">
        <v>76</v>
      </c>
    </row>
    <row r="199" spans="2:9" ht="15" customHeight="1" x14ac:dyDescent="0.3">
      <c r="B199" s="17">
        <f>IF('Marcación Workera'!G199="","",INT('Marcación Workera'!G199))</f>
        <v>46249</v>
      </c>
      <c r="C199" s="18" t="str">
        <f>IF('Marcación Workera'!B199="","",UPPER(SUBSTITUTE('Marcación Workera'!B199,".","")))</f>
        <v>10362133-K</v>
      </c>
      <c r="E199" s="19" t="s">
        <v>565</v>
      </c>
      <c r="F199" s="19" t="s">
        <v>560</v>
      </c>
      <c r="G199" s="19" t="s">
        <v>578</v>
      </c>
      <c r="H199" s="19" t="s">
        <v>562</v>
      </c>
      <c r="I199" s="19" t="s">
        <v>46</v>
      </c>
    </row>
    <row r="200" spans="2:9" ht="15" customHeight="1" x14ac:dyDescent="0.3">
      <c r="B200" s="17">
        <f>IF('Marcación Workera'!G200="","",INT('Marcación Workera'!G200))</f>
        <v>46249</v>
      </c>
      <c r="C200" s="18" t="str">
        <f>IF('Marcación Workera'!B200="","",UPPER(SUBSTITUTE('Marcación Workera'!B200,".","")))</f>
        <v>10362133-K</v>
      </c>
      <c r="E200" s="19" t="s">
        <v>565</v>
      </c>
      <c r="F200" s="19" t="s">
        <v>563</v>
      </c>
      <c r="G200" s="19" t="s">
        <v>579</v>
      </c>
      <c r="H200" s="19" t="s">
        <v>562</v>
      </c>
      <c r="I200" s="19" t="s">
        <v>46</v>
      </c>
    </row>
    <row r="201" spans="2:9" ht="15" customHeight="1" x14ac:dyDescent="0.3">
      <c r="B201" s="17">
        <f>IF('Marcación Workera'!G201="","",INT('Marcación Workera'!G201))</f>
        <v>46249</v>
      </c>
      <c r="C201" s="18" t="str">
        <f>IF('Marcación Workera'!B201="","",UPPER(SUBSTITUTE('Marcación Workera'!B201,".","")))</f>
        <v>19322282-K</v>
      </c>
      <c r="E201" s="19" t="s">
        <v>550</v>
      </c>
      <c r="F201" s="19" t="s">
        <v>560</v>
      </c>
      <c r="G201" s="19" t="s">
        <v>579</v>
      </c>
      <c r="H201" s="19" t="s">
        <v>562</v>
      </c>
      <c r="I201" s="19" t="s">
        <v>80</v>
      </c>
    </row>
    <row r="202" spans="2:9" ht="15" customHeight="1" x14ac:dyDescent="0.3">
      <c r="B202" s="17">
        <f>IF('Marcación Workera'!G202="","",INT('Marcación Workera'!G202))</f>
        <v>46249</v>
      </c>
      <c r="C202" s="18" t="str">
        <f>IF('Marcación Workera'!B202="","",UPPER(SUBSTITUTE('Marcación Workera'!B202,".","")))</f>
        <v>13049877-9</v>
      </c>
      <c r="E202" s="19" t="s">
        <v>550</v>
      </c>
      <c r="F202" s="19" t="s">
        <v>563</v>
      </c>
      <c r="G202" s="19" t="s">
        <v>578</v>
      </c>
      <c r="H202" s="19" t="s">
        <v>562</v>
      </c>
      <c r="I202" s="19" t="s">
        <v>80</v>
      </c>
    </row>
    <row r="203" spans="2:9" ht="15" customHeight="1" x14ac:dyDescent="0.3">
      <c r="B203" s="17">
        <f>IF('Marcación Workera'!G203="","",INT('Marcación Workera'!G203))</f>
        <v>46249</v>
      </c>
      <c r="C203" s="18" t="str">
        <f>IF('Marcación Workera'!B203="","",UPPER(SUBSTITUTE('Marcación Workera'!B203,".","")))</f>
        <v>13044962-K</v>
      </c>
      <c r="E203" s="19" t="s">
        <v>424</v>
      </c>
      <c r="F203" s="19" t="s">
        <v>560</v>
      </c>
      <c r="G203" s="19" t="s">
        <v>579</v>
      </c>
      <c r="H203" s="19" t="s">
        <v>562</v>
      </c>
      <c r="I203" s="19" t="s">
        <v>81</v>
      </c>
    </row>
    <row r="204" spans="2:9" ht="15" customHeight="1" x14ac:dyDescent="0.3">
      <c r="B204" s="17">
        <f>IF('Marcación Workera'!G204="","",INT('Marcación Workera'!G204))</f>
        <v>46249</v>
      </c>
      <c r="C204" s="18" t="str">
        <f>IF('Marcación Workera'!B204="","",UPPER(SUBSTITUTE('Marcación Workera'!B204,".","")))</f>
        <v>10508202-9</v>
      </c>
      <c r="E204" s="19" t="s">
        <v>529</v>
      </c>
      <c r="F204" s="19" t="s">
        <v>563</v>
      </c>
      <c r="G204" s="19" t="s">
        <v>578</v>
      </c>
      <c r="H204" s="19" t="s">
        <v>562</v>
      </c>
      <c r="I204" s="19" t="s">
        <v>85</v>
      </c>
    </row>
    <row r="205" spans="2:9" ht="15" customHeight="1" x14ac:dyDescent="0.3">
      <c r="B205" s="17">
        <f>IF('Marcación Workera'!G205="","",INT('Marcación Workera'!G205))</f>
        <v>46249</v>
      </c>
      <c r="C205" s="18" t="str">
        <f>IF('Marcación Workera'!B205="","",UPPER(SUBSTITUTE('Marcación Workera'!B205,".","")))</f>
        <v>20921611-6</v>
      </c>
      <c r="E205" s="19" t="s">
        <v>574</v>
      </c>
      <c r="F205" s="19" t="s">
        <v>560</v>
      </c>
      <c r="G205" s="19" t="s">
        <v>579</v>
      </c>
      <c r="H205" s="19" t="s">
        <v>562</v>
      </c>
      <c r="I205" s="19" t="s">
        <v>82</v>
      </c>
    </row>
    <row r="206" spans="2:9" ht="15" customHeight="1" x14ac:dyDescent="0.3">
      <c r="B206" s="17">
        <f>IF('Marcación Workera'!G206="","",INT('Marcación Workera'!G206))</f>
        <v>46249</v>
      </c>
      <c r="C206" s="18" t="str">
        <f>IF('Marcación Workera'!B206="","",UPPER(SUBSTITUTE('Marcación Workera'!B206,".","")))</f>
        <v>21028758-2</v>
      </c>
      <c r="E206" s="19" t="s">
        <v>574</v>
      </c>
      <c r="F206" s="19" t="s">
        <v>563</v>
      </c>
      <c r="G206" s="19" t="s">
        <v>578</v>
      </c>
      <c r="H206" s="19" t="s">
        <v>562</v>
      </c>
      <c r="I206" s="19" t="s">
        <v>82</v>
      </c>
    </row>
    <row r="207" spans="2:9" ht="15" customHeight="1" x14ac:dyDescent="0.3">
      <c r="B207" s="17">
        <f>IF('Marcación Workera'!G207="","",INT('Marcación Workera'!G207))</f>
        <v>46249</v>
      </c>
      <c r="C207" s="18" t="str">
        <f>IF('Marcación Workera'!B207="","",UPPER(SUBSTITUTE('Marcación Workera'!B207,".","")))</f>
        <v>19322282-K</v>
      </c>
      <c r="E207" s="19" t="s">
        <v>575</v>
      </c>
      <c r="F207" s="19" t="s">
        <v>560</v>
      </c>
      <c r="G207" s="19" t="s">
        <v>579</v>
      </c>
      <c r="H207" s="19" t="s">
        <v>562</v>
      </c>
      <c r="I207" s="19" t="s">
        <v>83</v>
      </c>
    </row>
    <row r="208" spans="2:9" ht="15" customHeight="1" x14ac:dyDescent="0.3">
      <c r="B208" s="17">
        <f>IF('Marcación Workera'!G208="","",INT('Marcación Workera'!G208))</f>
        <v>46249</v>
      </c>
      <c r="C208" s="18" t="str">
        <f>IF('Marcación Workera'!B208="","",UPPER(SUBSTITUTE('Marcación Workera'!B208,".","")))</f>
        <v>10362133-K</v>
      </c>
      <c r="E208" s="19" t="s">
        <v>575</v>
      </c>
      <c r="F208" s="19" t="s">
        <v>563</v>
      </c>
      <c r="G208" s="19" t="s">
        <v>578</v>
      </c>
      <c r="H208" s="19" t="s">
        <v>562</v>
      </c>
      <c r="I208" s="19" t="s">
        <v>83</v>
      </c>
    </row>
    <row r="209" spans="2:9" ht="15" customHeight="1" x14ac:dyDescent="0.3">
      <c r="B209" s="17">
        <f>IF('Marcación Workera'!G209="","",INT('Marcación Workera'!G209))</f>
        <v>46249</v>
      </c>
      <c r="C209" s="18" t="str">
        <f>IF('Marcación Workera'!B209="","",UPPER(SUBSTITUTE('Marcación Workera'!B209,".","")))</f>
        <v>11726306-1</v>
      </c>
      <c r="E209" s="19" t="s">
        <v>447</v>
      </c>
      <c r="F209" s="19" t="s">
        <v>563</v>
      </c>
      <c r="G209" s="19" t="s">
        <v>578</v>
      </c>
      <c r="H209" s="19" t="s">
        <v>562</v>
      </c>
      <c r="I209" s="19" t="s">
        <v>56</v>
      </c>
    </row>
    <row r="210" spans="2:9" ht="15" customHeight="1" x14ac:dyDescent="0.3">
      <c r="B210" s="17">
        <f>IF('Marcación Workera'!G210="","",INT('Marcación Workera'!G210))</f>
        <v>46249</v>
      </c>
      <c r="C210" s="18" t="str">
        <f>IF('Marcación Workera'!B210="","",UPPER(SUBSTITUTE('Marcación Workera'!B210,".","")))</f>
        <v>13049877-9</v>
      </c>
      <c r="E210" s="19" t="s">
        <v>150</v>
      </c>
      <c r="F210" s="19" t="s">
        <v>560</v>
      </c>
      <c r="G210" s="19" t="s">
        <v>579</v>
      </c>
      <c r="H210" s="19" t="s">
        <v>562</v>
      </c>
      <c r="I210" s="19" t="s">
        <v>60</v>
      </c>
    </row>
    <row r="211" spans="2:9" ht="15" customHeight="1" x14ac:dyDescent="0.3">
      <c r="B211" s="17">
        <f>IF('Marcación Workera'!G211="","",INT('Marcación Workera'!G211))</f>
        <v>46248</v>
      </c>
      <c r="C211" s="18" t="str">
        <f>IF('Marcación Workera'!B211="","",UPPER(SUBSTITUTE('Marcación Workera'!B211,".","")))</f>
        <v>21028758-2</v>
      </c>
      <c r="E211" s="19" t="s">
        <v>150</v>
      </c>
      <c r="F211" s="19" t="s">
        <v>563</v>
      </c>
      <c r="G211" s="19" t="s">
        <v>578</v>
      </c>
      <c r="H211" s="19" t="s">
        <v>562</v>
      </c>
      <c r="I211" s="19" t="s">
        <v>60</v>
      </c>
    </row>
    <row r="212" spans="2:9" ht="15" customHeight="1" x14ac:dyDescent="0.3">
      <c r="B212" s="17">
        <f>IF('Marcación Workera'!G212="","",INT('Marcación Workera'!G212))</f>
        <v>46248</v>
      </c>
      <c r="C212" s="18" t="str">
        <f>IF('Marcación Workera'!B212="","",UPPER(SUBSTITUTE('Marcación Workera'!B212,".","")))</f>
        <v>11726306-1</v>
      </c>
      <c r="E212" s="19" t="s">
        <v>559</v>
      </c>
      <c r="F212" s="19" t="s">
        <v>560</v>
      </c>
      <c r="G212" s="19" t="s">
        <v>580</v>
      </c>
      <c r="H212" s="19" t="s">
        <v>562</v>
      </c>
      <c r="I212" s="19" t="s">
        <v>17</v>
      </c>
    </row>
    <row r="213" spans="2:9" ht="15" customHeight="1" x14ac:dyDescent="0.3">
      <c r="B213" s="17">
        <f>IF('Marcación Workera'!G213="","",INT('Marcación Workera'!G213))</f>
        <v>46248</v>
      </c>
      <c r="C213" s="18" t="str">
        <f>IF('Marcación Workera'!B213="","",UPPER(SUBSTITUTE('Marcación Workera'!B213,".","")))</f>
        <v>13049877-9</v>
      </c>
      <c r="E213" s="19" t="s">
        <v>559</v>
      </c>
      <c r="F213" s="19" t="s">
        <v>563</v>
      </c>
      <c r="G213" s="19" t="s">
        <v>581</v>
      </c>
      <c r="H213" s="19" t="s">
        <v>562</v>
      </c>
      <c r="I213" s="19" t="s">
        <v>17</v>
      </c>
    </row>
    <row r="214" spans="2:9" ht="15" customHeight="1" x14ac:dyDescent="0.3">
      <c r="B214" s="17">
        <f>IF('Marcación Workera'!G214="","",INT('Marcación Workera'!G214))</f>
        <v>46248</v>
      </c>
      <c r="C214" s="18" t="str">
        <f>IF('Marcación Workera'!B214="","",UPPER(SUBSTITUTE('Marcación Workera'!B214,".","")))</f>
        <v>13044962-K</v>
      </c>
      <c r="E214" s="19" t="s">
        <v>456</v>
      </c>
      <c r="F214" s="19" t="s">
        <v>563</v>
      </c>
      <c r="G214" s="19" t="s">
        <v>581</v>
      </c>
      <c r="H214" s="19" t="s">
        <v>562</v>
      </c>
      <c r="I214" s="19" t="s">
        <v>24</v>
      </c>
    </row>
    <row r="215" spans="2:9" ht="15" customHeight="1" x14ac:dyDescent="0.3">
      <c r="B215" s="17">
        <f>IF('Marcación Workera'!G215="","",INT('Marcación Workera'!G215))</f>
        <v>46248</v>
      </c>
      <c r="C215" s="18" t="str">
        <f>IF('Marcación Workera'!B215="","",UPPER(SUBSTITUTE('Marcación Workera'!B215,".","")))</f>
        <v>10362133-K</v>
      </c>
      <c r="E215" s="19" t="s">
        <v>155</v>
      </c>
      <c r="F215" s="19" t="s">
        <v>560</v>
      </c>
      <c r="G215" s="19" t="s">
        <v>580</v>
      </c>
      <c r="H215" s="19" t="s">
        <v>562</v>
      </c>
      <c r="I215" s="19" t="s">
        <v>42</v>
      </c>
    </row>
    <row r="216" spans="2:9" ht="15" customHeight="1" x14ac:dyDescent="0.3">
      <c r="B216" s="17">
        <f>IF('Marcación Workera'!G216="","",INT('Marcación Workera'!G216))</f>
        <v>46248</v>
      </c>
      <c r="C216" s="18" t="str">
        <f>IF('Marcación Workera'!B216="","",UPPER(SUBSTITUTE('Marcación Workera'!B216,".","")))</f>
        <v>12447356-K</v>
      </c>
      <c r="E216" s="19" t="s">
        <v>155</v>
      </c>
      <c r="F216" s="19" t="s">
        <v>563</v>
      </c>
      <c r="G216" s="19" t="s">
        <v>581</v>
      </c>
      <c r="H216" s="19" t="s">
        <v>562</v>
      </c>
      <c r="I216" s="19" t="s">
        <v>42</v>
      </c>
    </row>
    <row r="217" spans="2:9" ht="15" customHeight="1" x14ac:dyDescent="0.3">
      <c r="B217" s="17">
        <f>IF('Marcación Workera'!G217="","",INT('Marcación Workera'!G217))</f>
        <v>46248</v>
      </c>
      <c r="C217" s="18" t="str">
        <f>IF('Marcación Workera'!B217="","",UPPER(SUBSTITUTE('Marcación Workera'!B217,".","")))</f>
        <v>19322282-K</v>
      </c>
      <c r="E217" s="19" t="s">
        <v>441</v>
      </c>
      <c r="F217" s="19" t="s">
        <v>563</v>
      </c>
      <c r="G217" s="19" t="s">
        <v>581</v>
      </c>
      <c r="H217" s="19" t="s">
        <v>562</v>
      </c>
      <c r="I217" s="19" t="s">
        <v>70</v>
      </c>
    </row>
    <row r="218" spans="2:9" ht="15" customHeight="1" x14ac:dyDescent="0.3">
      <c r="B218" s="17">
        <f>IF('Marcación Workera'!G218="","",INT('Marcación Workera'!G218))</f>
        <v>46248</v>
      </c>
      <c r="C218" s="18" t="str">
        <f>IF('Marcación Workera'!B218="","",UPPER(SUBSTITUTE('Marcación Workera'!B218,".","")))</f>
        <v>20921611-6</v>
      </c>
      <c r="E218" s="19" t="s">
        <v>544</v>
      </c>
      <c r="F218" s="19" t="s">
        <v>560</v>
      </c>
      <c r="G218" s="19" t="s">
        <v>580</v>
      </c>
      <c r="H218" s="19" t="s">
        <v>562</v>
      </c>
      <c r="I218" s="19" t="s">
        <v>73</v>
      </c>
    </row>
    <row r="219" spans="2:9" ht="15" customHeight="1" x14ac:dyDescent="0.3">
      <c r="B219" s="17">
        <f>IF('Marcación Workera'!G219="","",INT('Marcación Workera'!G219))</f>
        <v>46248</v>
      </c>
      <c r="C219" s="18" t="str">
        <f>IF('Marcación Workera'!B219="","",UPPER(SUBSTITUTE('Marcación Workera'!B219,".","")))</f>
        <v>10508202-9</v>
      </c>
      <c r="E219" s="19" t="s">
        <v>544</v>
      </c>
      <c r="F219" s="19" t="s">
        <v>563</v>
      </c>
      <c r="G219" s="19" t="s">
        <v>581</v>
      </c>
      <c r="H219" s="19" t="s">
        <v>562</v>
      </c>
      <c r="I219" s="19" t="s">
        <v>73</v>
      </c>
    </row>
    <row r="220" spans="2:9" ht="15" customHeight="1" x14ac:dyDescent="0.3">
      <c r="B220" s="17">
        <f>IF('Marcación Workera'!G220="","",INT('Marcación Workera'!G220))</f>
        <v>46248</v>
      </c>
      <c r="C220" s="18" t="str">
        <f>IF('Marcación Workera'!B220="","",UPPER(SUBSTITUTE('Marcación Workera'!B220,".","")))</f>
        <v>10362133-K</v>
      </c>
      <c r="E220" s="19" t="s">
        <v>523</v>
      </c>
      <c r="F220" s="19" t="s">
        <v>563</v>
      </c>
      <c r="G220" s="19" t="s">
        <v>581</v>
      </c>
      <c r="H220" s="19" t="s">
        <v>562</v>
      </c>
      <c r="I220" s="19" t="s">
        <v>74</v>
      </c>
    </row>
    <row r="221" spans="2:9" ht="15" customHeight="1" x14ac:dyDescent="0.3">
      <c r="B221" s="17">
        <f>IF('Marcación Workera'!G221="","",INT('Marcación Workera'!G221))</f>
        <v>46248</v>
      </c>
      <c r="C221" s="18" t="str">
        <f>IF('Marcación Workera'!B221="","",UPPER(SUBSTITUTE('Marcación Workera'!B221,".","")))</f>
        <v>13044962-K</v>
      </c>
      <c r="E221" s="19" t="s">
        <v>547</v>
      </c>
      <c r="F221" s="19" t="s">
        <v>560</v>
      </c>
      <c r="G221" s="19" t="s">
        <v>580</v>
      </c>
      <c r="H221" s="19" t="s">
        <v>562</v>
      </c>
      <c r="I221" s="19" t="s">
        <v>75</v>
      </c>
    </row>
    <row r="222" spans="2:9" ht="15" customHeight="1" x14ac:dyDescent="0.3">
      <c r="B222" s="17">
        <f>IF('Marcación Workera'!G222="","",INT('Marcación Workera'!G222))</f>
        <v>46248</v>
      </c>
      <c r="C222" s="18" t="str">
        <f>IF('Marcación Workera'!B222="","",UPPER(SUBSTITUTE('Marcación Workera'!B222,".","")))</f>
        <v>13049877-9</v>
      </c>
      <c r="E222" s="19" t="s">
        <v>199</v>
      </c>
      <c r="F222" s="19" t="s">
        <v>560</v>
      </c>
      <c r="G222" s="19" t="s">
        <v>580</v>
      </c>
      <c r="H222" s="19" t="s">
        <v>562</v>
      </c>
      <c r="I222" s="19" t="s">
        <v>76</v>
      </c>
    </row>
    <row r="223" spans="2:9" ht="15" customHeight="1" x14ac:dyDescent="0.3">
      <c r="B223" s="17">
        <f>IF('Marcación Workera'!G223="","",INT('Marcación Workera'!G223))</f>
        <v>46248</v>
      </c>
      <c r="C223" s="18" t="str">
        <f>IF('Marcación Workera'!B223="","",UPPER(SUBSTITUTE('Marcación Workera'!B223,".","")))</f>
        <v>12447356-K</v>
      </c>
      <c r="E223" s="19" t="s">
        <v>199</v>
      </c>
      <c r="F223" s="19" t="s">
        <v>563</v>
      </c>
      <c r="G223" s="19" t="s">
        <v>581</v>
      </c>
      <c r="H223" s="19" t="s">
        <v>562</v>
      </c>
      <c r="I223" s="19" t="s">
        <v>76</v>
      </c>
    </row>
    <row r="224" spans="2:9" ht="15" customHeight="1" x14ac:dyDescent="0.3">
      <c r="B224" s="17">
        <f>IF('Marcación Workera'!G224="","",INT('Marcación Workera'!G224))</f>
        <v>46248</v>
      </c>
      <c r="C224" s="18" t="str">
        <f>IF('Marcación Workera'!B224="","",UPPER(SUBSTITUTE('Marcación Workera'!B224,".","")))</f>
        <v>21028758-2</v>
      </c>
      <c r="E224" s="19" t="s">
        <v>532</v>
      </c>
      <c r="F224" s="19" t="s">
        <v>563</v>
      </c>
      <c r="G224" s="19" t="s">
        <v>581</v>
      </c>
      <c r="H224" s="19" t="s">
        <v>562</v>
      </c>
      <c r="I224" s="19" t="s">
        <v>77</v>
      </c>
    </row>
    <row r="225" spans="2:9" ht="15" customHeight="1" x14ac:dyDescent="0.3">
      <c r="B225" s="17">
        <f>IF('Marcación Workera'!G225="","",INT('Marcación Workera'!G225))</f>
        <v>46248</v>
      </c>
      <c r="C225" s="18" t="str">
        <f>IF('Marcación Workera'!B225="","",UPPER(SUBSTITUTE('Marcación Workera'!B225,".","")))</f>
        <v>11726306-1</v>
      </c>
      <c r="E225" s="19" t="s">
        <v>565</v>
      </c>
      <c r="F225" s="19" t="s">
        <v>560</v>
      </c>
      <c r="G225" s="19" t="s">
        <v>580</v>
      </c>
      <c r="H225" s="19" t="s">
        <v>562</v>
      </c>
      <c r="I225" s="19" t="s">
        <v>86</v>
      </c>
    </row>
    <row r="226" spans="2:9" ht="15" customHeight="1" x14ac:dyDescent="0.3">
      <c r="B226" s="17">
        <f>IF('Marcación Workera'!G226="","",INT('Marcación Workera'!G226))</f>
        <v>46247</v>
      </c>
      <c r="C226" s="18" t="str">
        <f>IF('Marcación Workera'!B226="","",UPPER(SUBSTITUTE('Marcación Workera'!B226,".","")))</f>
        <v>19322282-K</v>
      </c>
      <c r="E226" s="19" t="s">
        <v>565</v>
      </c>
      <c r="F226" s="19" t="s">
        <v>563</v>
      </c>
      <c r="G226" s="19" t="s">
        <v>581</v>
      </c>
      <c r="H226" s="19" t="s">
        <v>562</v>
      </c>
      <c r="I226" s="19" t="s">
        <v>86</v>
      </c>
    </row>
    <row r="227" spans="2:9" ht="15" customHeight="1" x14ac:dyDescent="0.3">
      <c r="B227" s="17">
        <f>IF('Marcación Workera'!G227="","",INT('Marcación Workera'!G227))</f>
        <v>46247</v>
      </c>
      <c r="C227" s="18" t="str">
        <f>IF('Marcación Workera'!B227="","",UPPER(SUBSTITUTE('Marcación Workera'!B227,".","")))</f>
        <v>21028758-2</v>
      </c>
      <c r="E227" s="19" t="s">
        <v>550</v>
      </c>
      <c r="F227" s="19" t="s">
        <v>563</v>
      </c>
      <c r="G227" s="19" t="s">
        <v>580</v>
      </c>
      <c r="H227" s="19" t="s">
        <v>562</v>
      </c>
      <c r="I227" s="19" t="s">
        <v>80</v>
      </c>
    </row>
    <row r="228" spans="2:9" ht="15" customHeight="1" x14ac:dyDescent="0.3">
      <c r="B228" s="17">
        <f>IF('Marcación Workera'!G228="","",INT('Marcación Workera'!G228))</f>
        <v>46247</v>
      </c>
      <c r="C228" s="18" t="str">
        <f>IF('Marcación Workera'!B228="","",UPPER(SUBSTITUTE('Marcación Workera'!B228,".","")))</f>
        <v>11726306-1</v>
      </c>
      <c r="E228" s="19" t="s">
        <v>424</v>
      </c>
      <c r="F228" s="19" t="s">
        <v>560</v>
      </c>
      <c r="G228" s="19" t="s">
        <v>581</v>
      </c>
      <c r="H228" s="19" t="s">
        <v>562</v>
      </c>
      <c r="I228" s="19" t="s">
        <v>81</v>
      </c>
    </row>
    <row r="229" spans="2:9" ht="15" customHeight="1" x14ac:dyDescent="0.3">
      <c r="B229" s="17">
        <f>IF('Marcación Workera'!G229="","",INT('Marcación Workera'!G229))</f>
        <v>46247</v>
      </c>
      <c r="C229" s="18" t="str">
        <f>IF('Marcación Workera'!B229="","",UPPER(SUBSTITUTE('Marcación Workera'!B229,".","")))</f>
        <v>10508202-9</v>
      </c>
      <c r="E229" s="19" t="s">
        <v>574</v>
      </c>
      <c r="F229" s="19" t="s">
        <v>560</v>
      </c>
      <c r="G229" s="19" t="s">
        <v>581</v>
      </c>
      <c r="H229" s="19" t="s">
        <v>562</v>
      </c>
      <c r="I229" s="19" t="s">
        <v>82</v>
      </c>
    </row>
    <row r="230" spans="2:9" ht="15" customHeight="1" x14ac:dyDescent="0.3">
      <c r="B230" s="17">
        <f>IF('Marcación Workera'!G230="","",INT('Marcación Workera'!G230))</f>
        <v>46247</v>
      </c>
      <c r="C230" s="18" t="str">
        <f>IF('Marcación Workera'!B230="","",UPPER(SUBSTITUTE('Marcación Workera'!B230,".","")))</f>
        <v>13044962-K</v>
      </c>
      <c r="E230" s="19" t="s">
        <v>574</v>
      </c>
      <c r="F230" s="19" t="s">
        <v>563</v>
      </c>
      <c r="G230" s="19" t="s">
        <v>580</v>
      </c>
      <c r="H230" s="19" t="s">
        <v>562</v>
      </c>
      <c r="I230" s="19" t="s">
        <v>82</v>
      </c>
    </row>
    <row r="231" spans="2:9" ht="15" customHeight="1" x14ac:dyDescent="0.3">
      <c r="B231" s="17">
        <f>IF('Marcación Workera'!G231="","",INT('Marcación Workera'!G231))</f>
        <v>46247</v>
      </c>
      <c r="C231" s="18" t="str">
        <f>IF('Marcación Workera'!B231="","",UPPER(SUBSTITUTE('Marcación Workera'!B231,".","")))</f>
        <v>20921611-6</v>
      </c>
      <c r="E231" s="19" t="s">
        <v>575</v>
      </c>
      <c r="F231" s="19" t="s">
        <v>560</v>
      </c>
      <c r="G231" s="19" t="s">
        <v>581</v>
      </c>
      <c r="H231" s="19" t="s">
        <v>562</v>
      </c>
      <c r="I231" s="19" t="s">
        <v>83</v>
      </c>
    </row>
    <row r="232" spans="2:9" ht="15" customHeight="1" x14ac:dyDescent="0.3">
      <c r="B232" s="17">
        <f>IF('Marcación Workera'!G232="","",INT('Marcación Workera'!G232))</f>
        <v>46247</v>
      </c>
      <c r="C232" s="18" t="str">
        <f>IF('Marcación Workera'!B232="","",UPPER(SUBSTITUTE('Marcación Workera'!B232,".","")))</f>
        <v>13044962-K</v>
      </c>
      <c r="E232" s="19" t="s">
        <v>575</v>
      </c>
      <c r="F232" s="19" t="s">
        <v>563</v>
      </c>
      <c r="G232" s="19" t="s">
        <v>580</v>
      </c>
      <c r="H232" s="19" t="s">
        <v>562</v>
      </c>
      <c r="I232" s="19" t="s">
        <v>83</v>
      </c>
    </row>
    <row r="233" spans="2:9" ht="15" customHeight="1" x14ac:dyDescent="0.3">
      <c r="B233" s="17">
        <f>IF('Marcación Workera'!G233="","",INT('Marcación Workera'!G233))</f>
        <v>46247</v>
      </c>
      <c r="C233" s="18" t="str">
        <f>IF('Marcación Workera'!B233="","",UPPER(SUBSTITUTE('Marcación Workera'!B233,".","")))</f>
        <v>13049877-9</v>
      </c>
      <c r="E233" s="19" t="s">
        <v>150</v>
      </c>
      <c r="F233" s="19" t="s">
        <v>560</v>
      </c>
      <c r="G233" s="19" t="s">
        <v>581</v>
      </c>
      <c r="H233" s="19" t="s">
        <v>562</v>
      </c>
      <c r="I233" s="19" t="s">
        <v>88</v>
      </c>
    </row>
    <row r="234" spans="2:9" ht="15" customHeight="1" x14ac:dyDescent="0.3">
      <c r="B234" s="17">
        <f>IF('Marcación Workera'!G234="","",INT('Marcación Workera'!G234))</f>
        <v>46247</v>
      </c>
      <c r="C234" s="18" t="str">
        <f>IF('Marcación Workera'!B234="","",UPPER(SUBSTITUTE('Marcación Workera'!B234,".","")))</f>
        <v>10362133-K</v>
      </c>
      <c r="E234" s="19" t="s">
        <v>150</v>
      </c>
      <c r="F234" s="19" t="s">
        <v>563</v>
      </c>
      <c r="G234" s="19" t="s">
        <v>580</v>
      </c>
      <c r="H234" s="19" t="s">
        <v>562</v>
      </c>
      <c r="I234" s="19" t="s">
        <v>88</v>
      </c>
    </row>
    <row r="235" spans="2:9" ht="15" customHeight="1" x14ac:dyDescent="0.3">
      <c r="B235" s="17">
        <f>IF('Marcación Workera'!G235="","",INT('Marcación Workera'!G235))</f>
        <v>46247</v>
      </c>
      <c r="C235" s="18" t="str">
        <f>IF('Marcación Workera'!B235="","",UPPER(SUBSTITUTE('Marcación Workera'!B235,".","")))</f>
        <v>12447356-K</v>
      </c>
      <c r="E235" s="19" t="s">
        <v>559</v>
      </c>
      <c r="F235" s="19" t="s">
        <v>560</v>
      </c>
      <c r="G235" s="19" t="s">
        <v>582</v>
      </c>
      <c r="H235" s="19" t="s">
        <v>562</v>
      </c>
      <c r="I235" s="19" t="s">
        <v>17</v>
      </c>
    </row>
    <row r="236" spans="2:9" ht="15" customHeight="1" x14ac:dyDescent="0.3">
      <c r="B236" s="17">
        <f>IF('Marcación Workera'!G236="","",INT('Marcación Workera'!G236))</f>
        <v>46247</v>
      </c>
      <c r="C236" s="18" t="str">
        <f>IF('Marcación Workera'!B236="","",UPPER(SUBSTITUTE('Marcación Workera'!B236,".","")))</f>
        <v>11726306-1</v>
      </c>
      <c r="E236" s="19" t="s">
        <v>559</v>
      </c>
      <c r="F236" s="19" t="s">
        <v>563</v>
      </c>
      <c r="G236" s="19" t="s">
        <v>583</v>
      </c>
      <c r="H236" s="19" t="s">
        <v>562</v>
      </c>
      <c r="I236" s="19" t="s">
        <v>17</v>
      </c>
    </row>
    <row r="237" spans="2:9" ht="15" customHeight="1" x14ac:dyDescent="0.3">
      <c r="B237" s="17">
        <f>IF('Marcación Workera'!G237="","",INT('Marcación Workera'!G237))</f>
        <v>46247</v>
      </c>
      <c r="C237" s="18" t="str">
        <f>IF('Marcación Workera'!B237="","",UPPER(SUBSTITUTE('Marcación Workera'!B237,".","")))</f>
        <v>13049877-9</v>
      </c>
      <c r="E237" s="19" t="s">
        <v>155</v>
      </c>
      <c r="F237" s="19" t="s">
        <v>560</v>
      </c>
      <c r="G237" s="19" t="s">
        <v>582</v>
      </c>
      <c r="H237" s="19" t="s">
        <v>562</v>
      </c>
      <c r="I237" s="19" t="s">
        <v>42</v>
      </c>
    </row>
    <row r="238" spans="2:9" ht="15" customHeight="1" x14ac:dyDescent="0.3">
      <c r="B238" s="17">
        <f>IF('Marcación Workera'!G238="","",INT('Marcación Workera'!G238))</f>
        <v>46247</v>
      </c>
      <c r="C238" s="18" t="str">
        <f>IF('Marcación Workera'!B238="","",UPPER(SUBSTITUTE('Marcación Workera'!B238,".","")))</f>
        <v>21028758-2</v>
      </c>
      <c r="E238" s="19" t="s">
        <v>155</v>
      </c>
      <c r="F238" s="19" t="s">
        <v>563</v>
      </c>
      <c r="G238" s="19" t="s">
        <v>583</v>
      </c>
      <c r="H238" s="19" t="s">
        <v>562</v>
      </c>
      <c r="I238" s="19" t="s">
        <v>42</v>
      </c>
    </row>
    <row r="239" spans="2:9" ht="15" customHeight="1" x14ac:dyDescent="0.3">
      <c r="B239" s="17">
        <f>IF('Marcación Workera'!G239="","",INT('Marcación Workera'!G239))</f>
        <v>46247</v>
      </c>
      <c r="C239" s="18" t="str">
        <f>IF('Marcación Workera'!B239="","",UPPER(SUBSTITUTE('Marcación Workera'!B239,".","")))</f>
        <v>10508202-9</v>
      </c>
      <c r="E239" s="19" t="s">
        <v>462</v>
      </c>
      <c r="F239" s="19" t="s">
        <v>560</v>
      </c>
      <c r="G239" s="19" t="s">
        <v>582</v>
      </c>
      <c r="H239" s="19" t="s">
        <v>562</v>
      </c>
      <c r="I239" s="19" t="s">
        <v>64</v>
      </c>
    </row>
    <row r="240" spans="2:9" ht="15" customHeight="1" x14ac:dyDescent="0.3">
      <c r="B240" s="17">
        <f>IF('Marcación Workera'!G240="","",INT('Marcación Workera'!G240))</f>
        <v>46247</v>
      </c>
      <c r="C240" s="18" t="str">
        <f>IF('Marcación Workera'!B240="","",UPPER(SUBSTITUTE('Marcación Workera'!B240,".","")))</f>
        <v>13044962-K</v>
      </c>
      <c r="E240" s="19" t="s">
        <v>462</v>
      </c>
      <c r="F240" s="19" t="s">
        <v>563</v>
      </c>
      <c r="G240" s="19" t="s">
        <v>583</v>
      </c>
      <c r="H240" s="19" t="s">
        <v>562</v>
      </c>
      <c r="I240" s="19" t="s">
        <v>64</v>
      </c>
    </row>
    <row r="241" spans="2:9" ht="15" customHeight="1" x14ac:dyDescent="0.3">
      <c r="B241" s="17">
        <f>IF('Marcación Workera'!G241="","",INT('Marcación Workera'!G241))</f>
        <v>46247</v>
      </c>
      <c r="C241" s="18" t="str">
        <f>IF('Marcación Workera'!B241="","",UPPER(SUBSTITUTE('Marcación Workera'!B241,".","")))</f>
        <v>13044962-K</v>
      </c>
      <c r="E241" s="19" t="s">
        <v>535</v>
      </c>
      <c r="F241" s="19" t="s">
        <v>563</v>
      </c>
      <c r="G241" s="19" t="s">
        <v>583</v>
      </c>
      <c r="H241" s="19" t="s">
        <v>562</v>
      </c>
      <c r="I241" s="19" t="s">
        <v>72</v>
      </c>
    </row>
    <row r="242" spans="2:9" ht="15" customHeight="1" x14ac:dyDescent="0.3">
      <c r="B242" s="17">
        <f>IF('Marcación Workera'!G242="","",INT('Marcación Workera'!G242))</f>
        <v>46247</v>
      </c>
      <c r="C242" s="18" t="str">
        <f>IF('Marcación Workera'!B242="","",UPPER(SUBSTITUTE('Marcación Workera'!B242,".","")))</f>
        <v>19322282-K</v>
      </c>
      <c r="E242" s="19" t="s">
        <v>544</v>
      </c>
      <c r="F242" s="19" t="s">
        <v>560</v>
      </c>
      <c r="G242" s="19" t="s">
        <v>582</v>
      </c>
      <c r="H242" s="19" t="s">
        <v>562</v>
      </c>
      <c r="I242" s="19" t="s">
        <v>73</v>
      </c>
    </row>
    <row r="243" spans="2:9" ht="15" customHeight="1" x14ac:dyDescent="0.3">
      <c r="B243" s="17">
        <f>IF('Marcación Workera'!G243="","",INT('Marcación Workera'!G243))</f>
        <v>46247</v>
      </c>
      <c r="C243" s="18" t="str">
        <f>IF('Marcación Workera'!B243="","",UPPER(SUBSTITUTE('Marcación Workera'!B243,".","")))</f>
        <v>12447356-K</v>
      </c>
      <c r="E243" s="19" t="s">
        <v>544</v>
      </c>
      <c r="F243" s="19" t="s">
        <v>563</v>
      </c>
      <c r="G243" s="19" t="s">
        <v>583</v>
      </c>
      <c r="H243" s="19" t="s">
        <v>562</v>
      </c>
      <c r="I243" s="19" t="s">
        <v>73</v>
      </c>
    </row>
    <row r="244" spans="2:9" ht="15" customHeight="1" x14ac:dyDescent="0.3">
      <c r="B244" s="17">
        <f>IF('Marcación Workera'!G244="","",INT('Marcación Workera'!G244))</f>
        <v>46247</v>
      </c>
      <c r="C244" s="18" t="str">
        <f>IF('Marcación Workera'!B244="","",UPPER(SUBSTITUTE('Marcación Workera'!B244,".","")))</f>
        <v>10362133-K</v>
      </c>
      <c r="E244" s="19" t="s">
        <v>199</v>
      </c>
      <c r="F244" s="19" t="s">
        <v>560</v>
      </c>
      <c r="G244" s="19" t="s">
        <v>582</v>
      </c>
      <c r="H244" s="19" t="s">
        <v>562</v>
      </c>
      <c r="I244" s="19" t="s">
        <v>76</v>
      </c>
    </row>
    <row r="245" spans="2:9" ht="15" customHeight="1" x14ac:dyDescent="0.3">
      <c r="B245" s="17">
        <f>IF('Marcación Workera'!G245="","",INT('Marcación Workera'!G245))</f>
        <v>46246</v>
      </c>
      <c r="C245" s="18" t="str">
        <f>IF('Marcación Workera'!B245="","",UPPER(SUBSTITUTE('Marcación Workera'!B245,".","")))</f>
        <v>19322282-K</v>
      </c>
      <c r="E245" s="19" t="s">
        <v>199</v>
      </c>
      <c r="F245" s="19" t="s">
        <v>563</v>
      </c>
      <c r="G245" s="19" t="s">
        <v>583</v>
      </c>
      <c r="H245" s="19" t="s">
        <v>562</v>
      </c>
      <c r="I245" s="19" t="s">
        <v>76</v>
      </c>
    </row>
    <row r="246" spans="2:9" ht="15" customHeight="1" x14ac:dyDescent="0.3">
      <c r="B246" s="17">
        <f>IF('Marcación Workera'!G246="","",INT('Marcación Workera'!G246))</f>
        <v>46246</v>
      </c>
      <c r="C246" s="18" t="str">
        <f>IF('Marcación Workera'!B246="","",UPPER(SUBSTITUTE('Marcación Workera'!B246,".","")))</f>
        <v>11726306-1</v>
      </c>
      <c r="E246" s="19" t="s">
        <v>532</v>
      </c>
      <c r="F246" s="19" t="s">
        <v>560</v>
      </c>
      <c r="G246" s="19" t="s">
        <v>582</v>
      </c>
      <c r="H246" s="19" t="s">
        <v>562</v>
      </c>
      <c r="I246" s="19" t="s">
        <v>77</v>
      </c>
    </row>
    <row r="247" spans="2:9" ht="15" customHeight="1" x14ac:dyDescent="0.3">
      <c r="B247" s="17">
        <f>IF('Marcación Workera'!G247="","",INT('Marcación Workera'!G247))</f>
        <v>46246</v>
      </c>
      <c r="C247" s="18" t="str">
        <f>IF('Marcación Workera'!B247="","",UPPER(SUBSTITUTE('Marcación Workera'!B247,".","")))</f>
        <v>21028758-2</v>
      </c>
      <c r="E247" s="19" t="s">
        <v>532</v>
      </c>
      <c r="F247" s="19" t="s">
        <v>563</v>
      </c>
      <c r="G247" s="19" t="s">
        <v>583</v>
      </c>
      <c r="H247" s="19" t="s">
        <v>562</v>
      </c>
      <c r="I247" s="19" t="s">
        <v>77</v>
      </c>
    </row>
    <row r="248" spans="2:9" ht="15" customHeight="1" x14ac:dyDescent="0.3">
      <c r="B248" s="17">
        <f>IF('Marcación Workera'!G248="","",INT('Marcación Workera'!G248))</f>
        <v>46246</v>
      </c>
      <c r="C248" s="18" t="str">
        <f>IF('Marcación Workera'!B248="","",UPPER(SUBSTITUTE('Marcación Workera'!B248,".","")))</f>
        <v>10362133-K</v>
      </c>
      <c r="E248" s="19" t="s">
        <v>584</v>
      </c>
      <c r="F248" s="19" t="s">
        <v>560</v>
      </c>
      <c r="G248" s="19" t="s">
        <v>582</v>
      </c>
      <c r="H248" s="19" t="s">
        <v>562</v>
      </c>
      <c r="I248" s="19" t="s">
        <v>89</v>
      </c>
    </row>
    <row r="249" spans="2:9" ht="15" customHeight="1" x14ac:dyDescent="0.3">
      <c r="B249" s="17">
        <f>IF('Marcación Workera'!G249="","",INT('Marcación Workera'!G249))</f>
        <v>46246</v>
      </c>
      <c r="C249" s="18" t="str">
        <f>IF('Marcación Workera'!B249="","",UPPER(SUBSTITUTE('Marcación Workera'!B249,".","")))</f>
        <v>10508202-9</v>
      </c>
      <c r="E249" s="19" t="s">
        <v>584</v>
      </c>
      <c r="F249" s="19" t="s">
        <v>563</v>
      </c>
      <c r="G249" s="19" t="s">
        <v>583</v>
      </c>
      <c r="H249" s="19" t="s">
        <v>562</v>
      </c>
      <c r="I249" s="19" t="s">
        <v>89</v>
      </c>
    </row>
    <row r="250" spans="2:9" ht="15" customHeight="1" x14ac:dyDescent="0.3">
      <c r="B250" s="17">
        <f>IF('Marcación Workera'!G250="","",INT('Marcación Workera'!G250))</f>
        <v>46246</v>
      </c>
      <c r="C250" s="18" t="str">
        <f>IF('Marcación Workera'!B250="","",UPPER(SUBSTITUTE('Marcación Workera'!B250,".","")))</f>
        <v>20921611-6</v>
      </c>
      <c r="E250" s="19" t="s">
        <v>550</v>
      </c>
      <c r="F250" s="19" t="s">
        <v>560</v>
      </c>
      <c r="G250" s="19" t="s">
        <v>583</v>
      </c>
      <c r="H250" s="19" t="s">
        <v>562</v>
      </c>
      <c r="I250" s="19" t="s">
        <v>80</v>
      </c>
    </row>
    <row r="251" spans="2:9" ht="15" customHeight="1" x14ac:dyDescent="0.3">
      <c r="B251" s="17">
        <f>IF('Marcación Workera'!G251="","",INT('Marcación Workera'!G251))</f>
        <v>46246</v>
      </c>
      <c r="C251" s="18" t="str">
        <f>IF('Marcación Workera'!B251="","",UPPER(SUBSTITUTE('Marcación Workera'!B251,".","")))</f>
        <v>13049877-9</v>
      </c>
      <c r="E251" s="19" t="s">
        <v>574</v>
      </c>
      <c r="F251" s="19" t="s">
        <v>560</v>
      </c>
      <c r="G251" s="19" t="s">
        <v>583</v>
      </c>
      <c r="H251" s="19" t="s">
        <v>562</v>
      </c>
      <c r="I251" s="19" t="s">
        <v>82</v>
      </c>
    </row>
    <row r="252" spans="2:9" ht="15" customHeight="1" x14ac:dyDescent="0.3">
      <c r="B252" s="17">
        <f>IF('Marcación Workera'!G252="","",INT('Marcación Workera'!G252))</f>
        <v>46246</v>
      </c>
      <c r="C252" s="18" t="str">
        <f>IF('Marcación Workera'!B252="","",UPPER(SUBSTITUTE('Marcación Workera'!B252,".","")))</f>
        <v>13044962-K</v>
      </c>
      <c r="E252" s="19" t="s">
        <v>574</v>
      </c>
      <c r="F252" s="19" t="s">
        <v>563</v>
      </c>
      <c r="G252" s="19" t="s">
        <v>582</v>
      </c>
      <c r="H252" s="19" t="s">
        <v>562</v>
      </c>
      <c r="I252" s="19" t="s">
        <v>82</v>
      </c>
    </row>
    <row r="253" spans="2:9" ht="15" customHeight="1" x14ac:dyDescent="0.3">
      <c r="B253" s="17">
        <f>IF('Marcación Workera'!G253="","",INT('Marcación Workera'!G253))</f>
        <v>46246</v>
      </c>
      <c r="C253" s="18" t="str">
        <f>IF('Marcación Workera'!B253="","",UPPER(SUBSTITUTE('Marcación Workera'!B253,".","")))</f>
        <v>20921611-6</v>
      </c>
      <c r="E253" s="19" t="s">
        <v>575</v>
      </c>
      <c r="F253" s="19" t="s">
        <v>560</v>
      </c>
      <c r="G253" s="19" t="s">
        <v>583</v>
      </c>
      <c r="H253" s="19" t="s">
        <v>562</v>
      </c>
      <c r="I253" s="19" t="s">
        <v>83</v>
      </c>
    </row>
    <row r="254" spans="2:9" ht="15" customHeight="1" x14ac:dyDescent="0.3">
      <c r="B254" s="17">
        <f>IF('Marcación Workera'!G254="","",INT('Marcación Workera'!G254))</f>
        <v>46246</v>
      </c>
      <c r="C254" s="18" t="str">
        <f>IF('Marcación Workera'!B254="","",UPPER(SUBSTITUTE('Marcación Workera'!B254,".","")))</f>
        <v>12447356-K</v>
      </c>
      <c r="E254" s="19" t="s">
        <v>575</v>
      </c>
      <c r="F254" s="19" t="s">
        <v>563</v>
      </c>
      <c r="G254" s="19" t="s">
        <v>582</v>
      </c>
      <c r="H254" s="19" t="s">
        <v>562</v>
      </c>
      <c r="I254" s="19" t="s">
        <v>83</v>
      </c>
    </row>
    <row r="255" spans="2:9" ht="15" customHeight="1" x14ac:dyDescent="0.3">
      <c r="B255" s="17">
        <f>IF('Marcación Workera'!G255="","",INT('Marcación Workera'!G255))</f>
        <v>46246</v>
      </c>
      <c r="C255" s="18" t="str">
        <f>IF('Marcación Workera'!B255="","",UPPER(SUBSTITUTE('Marcación Workera'!B255,".","")))</f>
        <v>13044962-K</v>
      </c>
      <c r="E255" s="19" t="s">
        <v>201</v>
      </c>
      <c r="F255" s="19" t="s">
        <v>560</v>
      </c>
      <c r="G255" s="19" t="s">
        <v>583</v>
      </c>
      <c r="H255" s="19" t="s">
        <v>562</v>
      </c>
      <c r="I255" s="19" t="s">
        <v>90</v>
      </c>
    </row>
    <row r="256" spans="2:9" ht="15" customHeight="1" x14ac:dyDescent="0.3">
      <c r="B256" s="17">
        <f>IF('Marcación Workera'!G256="","",INT('Marcación Workera'!G256))</f>
        <v>46246</v>
      </c>
      <c r="C256" s="18" t="str">
        <f>IF('Marcación Workera'!B256="","",UPPER(SUBSTITUTE('Marcación Workera'!B256,".","")))</f>
        <v>10362133-K</v>
      </c>
      <c r="E256" s="19" t="s">
        <v>201</v>
      </c>
      <c r="F256" s="19" t="s">
        <v>563</v>
      </c>
      <c r="G256" s="19" t="s">
        <v>582</v>
      </c>
      <c r="H256" s="19" t="s">
        <v>562</v>
      </c>
      <c r="I256" s="19" t="s">
        <v>90</v>
      </c>
    </row>
    <row r="257" spans="2:9" ht="15" customHeight="1" x14ac:dyDescent="0.3">
      <c r="B257" s="17">
        <f>IF('Marcación Workera'!G257="","",INT('Marcación Workera'!G257))</f>
        <v>46246</v>
      </c>
      <c r="C257" s="18" t="str">
        <f>IF('Marcación Workera'!B257="","",UPPER(SUBSTITUTE('Marcación Workera'!B257,".","")))</f>
        <v>13049877-9</v>
      </c>
      <c r="E257" s="19" t="s">
        <v>585</v>
      </c>
      <c r="F257" s="19" t="s">
        <v>560</v>
      </c>
      <c r="G257" s="19" t="s">
        <v>583</v>
      </c>
      <c r="H257" s="19" t="s">
        <v>562</v>
      </c>
      <c r="I257" s="19" t="s">
        <v>92</v>
      </c>
    </row>
    <row r="258" spans="2:9" ht="15" customHeight="1" x14ac:dyDescent="0.3">
      <c r="B258" s="17">
        <f>IF('Marcación Workera'!G258="","",INT('Marcación Workera'!G258))</f>
        <v>46246</v>
      </c>
      <c r="C258" s="18" t="str">
        <f>IF('Marcación Workera'!B258="","",UPPER(SUBSTITUTE('Marcación Workera'!B258,".","")))</f>
        <v>11726306-1</v>
      </c>
      <c r="E258" s="19" t="s">
        <v>585</v>
      </c>
      <c r="F258" s="19" t="s">
        <v>563</v>
      </c>
      <c r="G258" s="19" t="s">
        <v>582</v>
      </c>
      <c r="H258" s="19" t="s">
        <v>562</v>
      </c>
      <c r="I258" s="19" t="s">
        <v>92</v>
      </c>
    </row>
    <row r="259" spans="2:9" ht="15" customHeight="1" x14ac:dyDescent="0.3">
      <c r="B259" s="17">
        <f>IF('Marcación Workera'!G259="","",INT('Marcación Workera'!G259))</f>
        <v>46246</v>
      </c>
      <c r="C259" s="18" t="str">
        <f>IF('Marcación Workera'!B259="","",UPPER(SUBSTITUTE('Marcación Workera'!B259,".","")))</f>
        <v>10508202-9</v>
      </c>
      <c r="E259" s="19" t="s">
        <v>559</v>
      </c>
      <c r="F259" s="19" t="s">
        <v>560</v>
      </c>
      <c r="G259" s="19" t="s">
        <v>586</v>
      </c>
      <c r="H259" s="19" t="s">
        <v>562</v>
      </c>
      <c r="I259" s="19" t="s">
        <v>17</v>
      </c>
    </row>
    <row r="260" spans="2:9" ht="15" customHeight="1" x14ac:dyDescent="0.3">
      <c r="B260" s="17">
        <f>IF('Marcación Workera'!G260="","",INT('Marcación Workera'!G260))</f>
        <v>46245</v>
      </c>
      <c r="C260" s="18" t="str">
        <f>IF('Marcación Workera'!B260="","",UPPER(SUBSTITUTE('Marcación Workera'!B260,".","")))</f>
        <v>20921611-6</v>
      </c>
      <c r="E260" s="19" t="s">
        <v>559</v>
      </c>
      <c r="F260" s="19" t="s">
        <v>563</v>
      </c>
      <c r="G260" s="19" t="s">
        <v>587</v>
      </c>
      <c r="H260" s="19" t="s">
        <v>562</v>
      </c>
      <c r="I260" s="19" t="s">
        <v>17</v>
      </c>
    </row>
    <row r="261" spans="2:9" ht="15" customHeight="1" x14ac:dyDescent="0.3">
      <c r="B261" s="17">
        <f>IF('Marcación Workera'!G261="","",INT('Marcación Workera'!G261))</f>
        <v>46245</v>
      </c>
      <c r="C261" s="18" t="str">
        <f>IF('Marcación Workera'!B261="","",UPPER(SUBSTITUTE('Marcación Workera'!B261,".","")))</f>
        <v>10508202-9</v>
      </c>
      <c r="E261" s="19" t="s">
        <v>155</v>
      </c>
      <c r="F261" s="19" t="s">
        <v>560</v>
      </c>
      <c r="G261" s="19" t="s">
        <v>586</v>
      </c>
      <c r="H261" s="19" t="s">
        <v>562</v>
      </c>
      <c r="I261" s="19" t="s">
        <v>42</v>
      </c>
    </row>
    <row r="262" spans="2:9" ht="15" customHeight="1" x14ac:dyDescent="0.3">
      <c r="B262" s="17">
        <f>IF('Marcación Workera'!G262="","",INT('Marcación Workera'!G262))</f>
        <v>46245</v>
      </c>
      <c r="C262" s="18" t="str">
        <f>IF('Marcación Workera'!B262="","",UPPER(SUBSTITUTE('Marcación Workera'!B262,".","")))</f>
        <v>11726306-1</v>
      </c>
      <c r="E262" s="19" t="s">
        <v>155</v>
      </c>
      <c r="F262" s="19" t="s">
        <v>563</v>
      </c>
      <c r="G262" s="19" t="s">
        <v>587</v>
      </c>
      <c r="H262" s="19" t="s">
        <v>562</v>
      </c>
      <c r="I262" s="19" t="s">
        <v>42</v>
      </c>
    </row>
    <row r="263" spans="2:9" ht="15" customHeight="1" x14ac:dyDescent="0.3">
      <c r="B263" s="17">
        <f>IF('Marcación Workera'!G263="","",INT('Marcación Workera'!G263))</f>
        <v>46245</v>
      </c>
      <c r="C263" s="18" t="str">
        <f>IF('Marcación Workera'!B263="","",UPPER(SUBSTITUTE('Marcación Workera'!B263,".","")))</f>
        <v>13044962-K</v>
      </c>
      <c r="E263" s="19" t="s">
        <v>544</v>
      </c>
      <c r="F263" s="19" t="s">
        <v>560</v>
      </c>
      <c r="G263" s="19" t="s">
        <v>586</v>
      </c>
      <c r="H263" s="19" t="s">
        <v>562</v>
      </c>
      <c r="I263" s="19" t="s">
        <v>73</v>
      </c>
    </row>
    <row r="264" spans="2:9" ht="15" customHeight="1" x14ac:dyDescent="0.3">
      <c r="B264" s="17">
        <f>IF('Marcación Workera'!G264="","",INT('Marcación Workera'!G264))</f>
        <v>46245</v>
      </c>
      <c r="C264" s="18" t="str">
        <f>IF('Marcación Workera'!B264="","",UPPER(SUBSTITUTE('Marcación Workera'!B264,".","")))</f>
        <v>13049877-9</v>
      </c>
      <c r="E264" s="19" t="s">
        <v>544</v>
      </c>
      <c r="F264" s="19" t="s">
        <v>563</v>
      </c>
      <c r="G264" s="19" t="s">
        <v>587</v>
      </c>
      <c r="H264" s="19" t="s">
        <v>562</v>
      </c>
      <c r="I264" s="19" t="s">
        <v>73</v>
      </c>
    </row>
    <row r="265" spans="2:9" ht="15" customHeight="1" x14ac:dyDescent="0.3">
      <c r="B265" s="17">
        <f>IF('Marcación Workera'!G265="","",INT('Marcación Workera'!G265))</f>
        <v>46245</v>
      </c>
      <c r="C265" s="18" t="str">
        <f>IF('Marcación Workera'!B265="","",UPPER(SUBSTITUTE('Marcación Workera'!B265,".","")))</f>
        <v>10362133-K</v>
      </c>
      <c r="E265" s="19" t="s">
        <v>547</v>
      </c>
      <c r="F265" s="19" t="s">
        <v>560</v>
      </c>
      <c r="G265" s="19" t="s">
        <v>586</v>
      </c>
      <c r="H265" s="19" t="s">
        <v>562</v>
      </c>
      <c r="I265" s="19" t="s">
        <v>75</v>
      </c>
    </row>
    <row r="266" spans="2:9" ht="15" customHeight="1" x14ac:dyDescent="0.3">
      <c r="B266" s="17">
        <f>IF('Marcación Workera'!G266="","",INT('Marcación Workera'!G266))</f>
        <v>46245</v>
      </c>
      <c r="C266" s="18" t="str">
        <f>IF('Marcación Workera'!B266="","",UPPER(SUBSTITUTE('Marcación Workera'!B266,".","")))</f>
        <v>12447356-K</v>
      </c>
      <c r="E266" s="19" t="s">
        <v>547</v>
      </c>
      <c r="F266" s="19" t="s">
        <v>563</v>
      </c>
      <c r="G266" s="19" t="s">
        <v>587</v>
      </c>
      <c r="H266" s="19" t="s">
        <v>562</v>
      </c>
      <c r="I266" s="19" t="s">
        <v>75</v>
      </c>
    </row>
    <row r="267" spans="2:9" ht="15" customHeight="1" x14ac:dyDescent="0.3">
      <c r="B267" s="17">
        <f>IF('Marcación Workera'!G267="","",INT('Marcación Workera'!G267))</f>
        <v>46245</v>
      </c>
      <c r="C267" s="18" t="str">
        <f>IF('Marcación Workera'!B267="","",UPPER(SUBSTITUTE('Marcación Workera'!B267,".","")))</f>
        <v>21028758-2</v>
      </c>
      <c r="E267" s="19" t="s">
        <v>199</v>
      </c>
      <c r="F267" s="19" t="s">
        <v>560</v>
      </c>
      <c r="G267" s="19" t="s">
        <v>586</v>
      </c>
      <c r="H267" s="19" t="s">
        <v>562</v>
      </c>
      <c r="I267" s="19" t="s">
        <v>76</v>
      </c>
    </row>
    <row r="268" spans="2:9" ht="15" customHeight="1" x14ac:dyDescent="0.3">
      <c r="B268" s="17">
        <f>IF('Marcación Workera'!G268="","",INT('Marcación Workera'!G268))</f>
        <v>46245</v>
      </c>
      <c r="C268" s="18" t="str">
        <f>IF('Marcación Workera'!B268="","",UPPER(SUBSTITUTE('Marcación Workera'!B268,".","")))</f>
        <v>11726306-1</v>
      </c>
      <c r="E268" s="19" t="s">
        <v>199</v>
      </c>
      <c r="F268" s="19" t="s">
        <v>563</v>
      </c>
      <c r="G268" s="19" t="s">
        <v>587</v>
      </c>
      <c r="H268" s="19" t="s">
        <v>562</v>
      </c>
      <c r="I268" s="19" t="s">
        <v>76</v>
      </c>
    </row>
    <row r="269" spans="2:9" ht="15" customHeight="1" x14ac:dyDescent="0.3">
      <c r="B269" s="17">
        <f>IF('Marcación Workera'!G269="","",INT('Marcación Workera'!G269))</f>
        <v>46245</v>
      </c>
      <c r="C269" s="18" t="str">
        <f>IF('Marcación Workera'!B269="","",UPPER(SUBSTITUTE('Marcación Workera'!B269,".","")))</f>
        <v>13044962-K</v>
      </c>
      <c r="E269" s="19" t="s">
        <v>532</v>
      </c>
      <c r="F269" s="19" t="s">
        <v>563</v>
      </c>
      <c r="G269" s="19" t="s">
        <v>587</v>
      </c>
      <c r="H269" s="19" t="s">
        <v>562</v>
      </c>
      <c r="I269" s="19" t="s">
        <v>77</v>
      </c>
    </row>
    <row r="270" spans="2:9" ht="15" customHeight="1" x14ac:dyDescent="0.3">
      <c r="B270" s="17">
        <f>IF('Marcación Workera'!G270="","",INT('Marcación Workera'!G270))</f>
        <v>46245</v>
      </c>
      <c r="C270" s="18" t="str">
        <f>IF('Marcación Workera'!B270="","",UPPER(SUBSTITUTE('Marcación Workera'!B270,".","")))</f>
        <v>10508202-9</v>
      </c>
      <c r="E270" s="19" t="s">
        <v>489</v>
      </c>
      <c r="F270" s="19" t="s">
        <v>563</v>
      </c>
      <c r="G270" s="19" t="s">
        <v>587</v>
      </c>
      <c r="H270" s="19" t="s">
        <v>562</v>
      </c>
      <c r="I270" s="19" t="s">
        <v>40</v>
      </c>
    </row>
    <row r="271" spans="2:9" ht="15" customHeight="1" x14ac:dyDescent="0.3">
      <c r="B271" s="17">
        <f>IF('Marcación Workera'!G271="","",INT('Marcación Workera'!G271))</f>
        <v>46245</v>
      </c>
      <c r="C271" s="18" t="str">
        <f>IF('Marcación Workera'!B271="","",UPPER(SUBSTITUTE('Marcación Workera'!B271,".","")))</f>
        <v>19322282-K</v>
      </c>
      <c r="E271" s="19" t="s">
        <v>584</v>
      </c>
      <c r="F271" s="19" t="s">
        <v>560</v>
      </c>
      <c r="G271" s="19" t="s">
        <v>586</v>
      </c>
      <c r="H271" s="19" t="s">
        <v>562</v>
      </c>
      <c r="I271" s="19" t="s">
        <v>89</v>
      </c>
    </row>
    <row r="272" spans="2:9" ht="15" customHeight="1" x14ac:dyDescent="0.3">
      <c r="B272" s="17">
        <f>IF('Marcación Workera'!G272="","",INT('Marcación Workera'!G272))</f>
        <v>46245</v>
      </c>
      <c r="C272" s="18" t="str">
        <f>IF('Marcación Workera'!B272="","",UPPER(SUBSTITUTE('Marcación Workera'!B272,".","")))</f>
        <v>13049877-9</v>
      </c>
      <c r="E272" s="19" t="s">
        <v>584</v>
      </c>
      <c r="F272" s="19" t="s">
        <v>563</v>
      </c>
      <c r="G272" s="19" t="s">
        <v>587</v>
      </c>
      <c r="H272" s="19" t="s">
        <v>562</v>
      </c>
      <c r="I272" s="19" t="s">
        <v>89</v>
      </c>
    </row>
    <row r="273" spans="2:9" ht="15" customHeight="1" x14ac:dyDescent="0.3">
      <c r="B273" s="17">
        <f>IF('Marcación Workera'!G273="","",INT('Marcación Workera'!G273))</f>
        <v>46245</v>
      </c>
      <c r="C273" s="18" t="str">
        <f>IF('Marcación Workera'!B273="","",UPPER(SUBSTITUTE('Marcación Workera'!B273,".","")))</f>
        <v>12447356-K</v>
      </c>
      <c r="E273" s="19" t="s">
        <v>574</v>
      </c>
      <c r="F273" s="19" t="s">
        <v>560</v>
      </c>
      <c r="G273" s="19" t="s">
        <v>587</v>
      </c>
      <c r="H273" s="19" t="s">
        <v>562</v>
      </c>
      <c r="I273" s="19" t="s">
        <v>82</v>
      </c>
    </row>
    <row r="274" spans="2:9" ht="15" customHeight="1" x14ac:dyDescent="0.3">
      <c r="B274" s="17">
        <f>IF('Marcación Workera'!G274="","",INT('Marcación Workera'!G274))</f>
        <v>46245</v>
      </c>
      <c r="C274" s="18" t="str">
        <f>IF('Marcación Workera'!B274="","",UPPER(SUBSTITUTE('Marcación Workera'!B274,".","")))</f>
        <v>10362133-K</v>
      </c>
      <c r="E274" s="19" t="s">
        <v>574</v>
      </c>
      <c r="F274" s="19" t="s">
        <v>563</v>
      </c>
      <c r="G274" s="19" t="s">
        <v>586</v>
      </c>
      <c r="H274" s="19" t="s">
        <v>562</v>
      </c>
      <c r="I274" s="19" t="s">
        <v>82</v>
      </c>
    </row>
    <row r="275" spans="2:9" ht="15" customHeight="1" x14ac:dyDescent="0.3">
      <c r="B275" s="17">
        <f>IF('Marcación Workera'!G275="","",INT('Marcación Workera'!G275))</f>
        <v>46245</v>
      </c>
      <c r="C275" s="18" t="str">
        <f>IF('Marcación Workera'!B275="","",UPPER(SUBSTITUTE('Marcación Workera'!B275,".","")))</f>
        <v>20921611-6</v>
      </c>
      <c r="E275" s="19" t="s">
        <v>575</v>
      </c>
      <c r="F275" s="19" t="s">
        <v>560</v>
      </c>
      <c r="G275" s="19" t="s">
        <v>587</v>
      </c>
      <c r="H275" s="19" t="s">
        <v>562</v>
      </c>
      <c r="I275" s="19" t="s">
        <v>83</v>
      </c>
    </row>
    <row r="276" spans="2:9" ht="15" customHeight="1" x14ac:dyDescent="0.3">
      <c r="B276" s="17">
        <f>IF('Marcación Workera'!G276="","",INT('Marcación Workera'!G276))</f>
        <v>46244</v>
      </c>
      <c r="C276" s="18" t="str">
        <f>IF('Marcación Workera'!B276="","",UPPER(SUBSTITUTE('Marcación Workera'!B276,".","")))</f>
        <v>19322282-K</v>
      </c>
      <c r="E276" s="19" t="s">
        <v>575</v>
      </c>
      <c r="F276" s="19" t="s">
        <v>563</v>
      </c>
      <c r="G276" s="19" t="s">
        <v>586</v>
      </c>
      <c r="H276" s="19" t="s">
        <v>562</v>
      </c>
      <c r="I276" s="19" t="s">
        <v>83</v>
      </c>
    </row>
    <row r="277" spans="2:9" ht="15" customHeight="1" x14ac:dyDescent="0.3">
      <c r="B277" s="17">
        <f>IF('Marcación Workera'!G277="","",INT('Marcación Workera'!G277))</f>
        <v>46244</v>
      </c>
      <c r="C277" s="18" t="str">
        <f>IF('Marcación Workera'!B277="","",UPPER(SUBSTITUTE('Marcación Workera'!B277,".","")))</f>
        <v>19322282-K</v>
      </c>
      <c r="E277" s="19" t="s">
        <v>201</v>
      </c>
      <c r="F277" s="19" t="s">
        <v>560</v>
      </c>
      <c r="G277" s="19" t="s">
        <v>587</v>
      </c>
      <c r="H277" s="19" t="s">
        <v>562</v>
      </c>
      <c r="I277" s="19" t="s">
        <v>90</v>
      </c>
    </row>
    <row r="278" spans="2:9" ht="15" customHeight="1" x14ac:dyDescent="0.3">
      <c r="B278" s="17">
        <f>IF('Marcación Workera'!G278="","",INT('Marcación Workera'!G278))</f>
        <v>46244</v>
      </c>
      <c r="C278" s="18" t="str">
        <f>IF('Marcación Workera'!B278="","",UPPER(SUBSTITUTE('Marcación Workera'!B278,".","")))</f>
        <v>11726306-1</v>
      </c>
      <c r="E278" s="19" t="s">
        <v>201</v>
      </c>
      <c r="F278" s="19" t="s">
        <v>563</v>
      </c>
      <c r="G278" s="19" t="s">
        <v>586</v>
      </c>
      <c r="H278" s="19" t="s">
        <v>562</v>
      </c>
      <c r="I278" s="19" t="s">
        <v>90</v>
      </c>
    </row>
    <row r="279" spans="2:9" ht="15" customHeight="1" x14ac:dyDescent="0.3">
      <c r="B279" s="17">
        <f>IF('Marcación Workera'!G279="","",INT('Marcación Workera'!G279))</f>
        <v>46244</v>
      </c>
      <c r="C279" s="18" t="str">
        <f>IF('Marcación Workera'!B279="","",UPPER(SUBSTITUTE('Marcación Workera'!B279,".","")))</f>
        <v>10362133-K</v>
      </c>
      <c r="E279" s="19" t="s">
        <v>585</v>
      </c>
      <c r="F279" s="19" t="s">
        <v>560</v>
      </c>
      <c r="G279" s="19" t="s">
        <v>587</v>
      </c>
      <c r="H279" s="19" t="s">
        <v>562</v>
      </c>
      <c r="I279" s="19" t="s">
        <v>92</v>
      </c>
    </row>
    <row r="280" spans="2:9" ht="15" customHeight="1" x14ac:dyDescent="0.3">
      <c r="B280" s="17">
        <f>IF('Marcación Workera'!G280="","",INT('Marcación Workera'!G280))</f>
        <v>46244</v>
      </c>
      <c r="C280" s="18" t="str">
        <f>IF('Marcación Workera'!B280="","",UPPER(SUBSTITUTE('Marcación Workera'!B280,".","")))</f>
        <v>14099614-9</v>
      </c>
      <c r="E280" s="19" t="s">
        <v>585</v>
      </c>
      <c r="F280" s="19" t="s">
        <v>563</v>
      </c>
      <c r="G280" s="19" t="s">
        <v>586</v>
      </c>
      <c r="H280" s="19" t="s">
        <v>562</v>
      </c>
      <c r="I280" s="19" t="s">
        <v>92</v>
      </c>
    </row>
    <row r="281" spans="2:9" ht="15" customHeight="1" x14ac:dyDescent="0.3">
      <c r="B281" s="17">
        <f>IF('Marcación Workera'!G281="","",INT('Marcación Workera'!G281))</f>
        <v>46244</v>
      </c>
      <c r="C281" s="18" t="str">
        <f>IF('Marcación Workera'!B281="","",UPPER(SUBSTITUTE('Marcación Workera'!B281,".","")))</f>
        <v>13044962-K</v>
      </c>
      <c r="E281" s="19" t="s">
        <v>559</v>
      </c>
      <c r="F281" s="19" t="s">
        <v>560</v>
      </c>
      <c r="G281" s="19" t="s">
        <v>588</v>
      </c>
      <c r="H281" s="19" t="s">
        <v>562</v>
      </c>
      <c r="I281" s="19" t="s">
        <v>17</v>
      </c>
    </row>
    <row r="282" spans="2:9" ht="15" customHeight="1" x14ac:dyDescent="0.3">
      <c r="B282" s="17">
        <f>IF('Marcación Workera'!G282="","",INT('Marcación Workera'!G282))</f>
        <v>46244</v>
      </c>
      <c r="C282" s="18" t="str">
        <f>IF('Marcación Workera'!B282="","",UPPER(SUBSTITUTE('Marcación Workera'!B282,".","")))</f>
        <v>20921611-6</v>
      </c>
      <c r="E282" s="19" t="s">
        <v>559</v>
      </c>
      <c r="F282" s="19" t="s">
        <v>563</v>
      </c>
      <c r="G282" s="19" t="s">
        <v>589</v>
      </c>
      <c r="H282" s="19" t="s">
        <v>562</v>
      </c>
      <c r="I282" s="19" t="s">
        <v>17</v>
      </c>
    </row>
    <row r="283" spans="2:9" ht="15" customHeight="1" x14ac:dyDescent="0.3">
      <c r="B283" s="17">
        <f>IF('Marcación Workera'!G283="","",INT('Marcación Workera'!G283))</f>
        <v>46244</v>
      </c>
      <c r="C283" s="18" t="str">
        <f>IF('Marcación Workera'!B283="","",UPPER(SUBSTITUTE('Marcación Workera'!B283,".","")))</f>
        <v>10508202-9</v>
      </c>
      <c r="E283" s="19" t="s">
        <v>473</v>
      </c>
      <c r="F283" s="19" t="s">
        <v>563</v>
      </c>
      <c r="G283" s="19" t="s">
        <v>589</v>
      </c>
      <c r="H283" s="19" t="s">
        <v>562</v>
      </c>
      <c r="I283" s="19" t="s">
        <v>22</v>
      </c>
    </row>
    <row r="284" spans="2:9" ht="15" customHeight="1" x14ac:dyDescent="0.3">
      <c r="B284" s="17">
        <f>IF('Marcación Workera'!G284="","",INT('Marcación Workera'!G284))</f>
        <v>46244</v>
      </c>
      <c r="C284" s="18" t="str">
        <f>IF('Marcación Workera'!B284="","",UPPER(SUBSTITUTE('Marcación Workera'!B284,".","")))</f>
        <v>12447356-K</v>
      </c>
      <c r="E284" s="19" t="s">
        <v>456</v>
      </c>
      <c r="F284" s="19" t="s">
        <v>560</v>
      </c>
      <c r="G284" s="19" t="s">
        <v>588</v>
      </c>
      <c r="H284" s="19" t="s">
        <v>562</v>
      </c>
      <c r="I284" s="19" t="s">
        <v>24</v>
      </c>
    </row>
    <row r="285" spans="2:9" ht="15" customHeight="1" x14ac:dyDescent="0.3">
      <c r="B285" s="17">
        <f>IF('Marcación Workera'!G285="","",INT('Marcación Workera'!G285))</f>
        <v>46244</v>
      </c>
      <c r="C285" s="18" t="str">
        <f>IF('Marcación Workera'!B285="","",UPPER(SUBSTITUTE('Marcación Workera'!B285,".","")))</f>
        <v>10362133-K</v>
      </c>
      <c r="E285" s="19" t="s">
        <v>476</v>
      </c>
      <c r="F285" s="19" t="s">
        <v>563</v>
      </c>
      <c r="G285" s="19" t="s">
        <v>589</v>
      </c>
      <c r="H285" s="19" t="s">
        <v>562</v>
      </c>
      <c r="I285" s="19" t="s">
        <v>33</v>
      </c>
    </row>
    <row r="286" spans="2:9" ht="15" customHeight="1" x14ac:dyDescent="0.3">
      <c r="B286" s="17">
        <f>IF('Marcación Workera'!G286="","",INT('Marcación Workera'!G286))</f>
        <v>46244</v>
      </c>
      <c r="C286" s="18" t="str">
        <f>IF('Marcación Workera'!B286="","",UPPER(SUBSTITUTE('Marcación Workera'!B286,".","")))</f>
        <v>15000375-K</v>
      </c>
      <c r="E286" s="19" t="s">
        <v>155</v>
      </c>
      <c r="F286" s="19" t="s">
        <v>560</v>
      </c>
      <c r="G286" s="19" t="s">
        <v>588</v>
      </c>
      <c r="H286" s="19" t="s">
        <v>562</v>
      </c>
      <c r="I286" s="19" t="s">
        <v>42</v>
      </c>
    </row>
    <row r="287" spans="2:9" ht="15" customHeight="1" x14ac:dyDescent="0.3">
      <c r="B287" s="17">
        <f>IF('Marcación Workera'!G287="","",INT('Marcación Workera'!G287))</f>
        <v>46244</v>
      </c>
      <c r="C287" s="18" t="str">
        <f>IF('Marcación Workera'!B287="","",UPPER(SUBSTITUTE('Marcación Workera'!B287,".","")))</f>
        <v>11726306-1</v>
      </c>
      <c r="E287" s="19" t="s">
        <v>155</v>
      </c>
      <c r="F287" s="19" t="s">
        <v>563</v>
      </c>
      <c r="G287" s="19" t="s">
        <v>589</v>
      </c>
      <c r="H287" s="19" t="s">
        <v>562</v>
      </c>
      <c r="I287" s="19" t="s">
        <v>42</v>
      </c>
    </row>
    <row r="288" spans="2:9" ht="15" customHeight="1" x14ac:dyDescent="0.3">
      <c r="B288" s="17">
        <f>IF('Marcación Workera'!G288="","",INT('Marcación Workera'!G288))</f>
        <v>46244</v>
      </c>
      <c r="C288" s="18" t="str">
        <f>IF('Marcación Workera'!B288="","",UPPER(SUBSTITUTE('Marcación Workera'!B288,".","")))</f>
        <v>21028758-2</v>
      </c>
      <c r="E288" s="19" t="s">
        <v>541</v>
      </c>
      <c r="F288" s="19" t="s">
        <v>560</v>
      </c>
      <c r="G288" s="19" t="s">
        <v>588</v>
      </c>
      <c r="H288" s="19" t="s">
        <v>562</v>
      </c>
      <c r="I288" s="19" t="s">
        <v>71</v>
      </c>
    </row>
    <row r="289" spans="2:9" ht="15" customHeight="1" x14ac:dyDescent="0.3">
      <c r="B289" s="17">
        <f>IF('Marcación Workera'!G289="","",INT('Marcación Workera'!G289))</f>
        <v>46244</v>
      </c>
      <c r="C289" s="18" t="str">
        <f>IF('Marcación Workera'!B289="","",UPPER(SUBSTITUTE('Marcación Workera'!B289,".","")))</f>
        <v>19322282-K</v>
      </c>
      <c r="E289" s="19" t="s">
        <v>541</v>
      </c>
      <c r="F289" s="19" t="s">
        <v>563</v>
      </c>
      <c r="G289" s="19" t="s">
        <v>589</v>
      </c>
      <c r="H289" s="19" t="s">
        <v>562</v>
      </c>
      <c r="I289" s="19" t="s">
        <v>71</v>
      </c>
    </row>
    <row r="290" spans="2:9" ht="15" customHeight="1" x14ac:dyDescent="0.3">
      <c r="B290" s="17">
        <f>IF('Marcación Workera'!G290="","",INT('Marcación Workera'!G290))</f>
        <v>46244</v>
      </c>
      <c r="C290" s="18" t="str">
        <f>IF('Marcación Workera'!B290="","",UPPER(SUBSTITUTE('Marcación Workera'!B290,".","")))</f>
        <v>13044962-K</v>
      </c>
      <c r="E290" s="19" t="s">
        <v>535</v>
      </c>
      <c r="F290" s="19" t="s">
        <v>560</v>
      </c>
      <c r="G290" s="19" t="s">
        <v>588</v>
      </c>
      <c r="H290" s="19" t="s">
        <v>562</v>
      </c>
      <c r="I290" s="19" t="s">
        <v>72</v>
      </c>
    </row>
    <row r="291" spans="2:9" ht="15" customHeight="1" x14ac:dyDescent="0.3">
      <c r="B291" s="17">
        <f>IF('Marcación Workera'!G291="","",INT('Marcación Workera'!G291))</f>
        <v>46244</v>
      </c>
      <c r="C291" s="18" t="str">
        <f>IF('Marcación Workera'!B291="","",UPPER(SUBSTITUTE('Marcación Workera'!B291,".","")))</f>
        <v>12447356-K</v>
      </c>
      <c r="E291" s="19" t="s">
        <v>535</v>
      </c>
      <c r="F291" s="19" t="s">
        <v>563</v>
      </c>
      <c r="G291" s="19" t="s">
        <v>589</v>
      </c>
      <c r="H291" s="19" t="s">
        <v>562</v>
      </c>
      <c r="I291" s="19" t="s">
        <v>72</v>
      </c>
    </row>
    <row r="292" spans="2:9" ht="15" customHeight="1" x14ac:dyDescent="0.3">
      <c r="B292" s="17">
        <f>IF('Marcación Workera'!G292="","",INT('Marcación Workera'!G292))</f>
        <v>46244</v>
      </c>
      <c r="C292" s="18" t="str">
        <f>IF('Marcación Workera'!B292="","",UPPER(SUBSTITUTE('Marcación Workera'!B292,".","")))</f>
        <v>10508202-9</v>
      </c>
      <c r="E292" s="19" t="s">
        <v>544</v>
      </c>
      <c r="F292" s="19" t="s">
        <v>560</v>
      </c>
      <c r="G292" s="19" t="s">
        <v>588</v>
      </c>
      <c r="H292" s="19" t="s">
        <v>562</v>
      </c>
      <c r="I292" s="19" t="s">
        <v>73</v>
      </c>
    </row>
    <row r="293" spans="2:9" ht="15" customHeight="1" x14ac:dyDescent="0.3">
      <c r="B293" s="17">
        <f>IF('Marcación Workera'!G293="","",INT('Marcación Workera'!G293))</f>
        <v>46244</v>
      </c>
      <c r="C293" s="18" t="str">
        <f>IF('Marcación Workera'!B293="","",UPPER(SUBSTITUTE('Marcación Workera'!B293,".","")))</f>
        <v>13049877-9</v>
      </c>
      <c r="E293" s="19" t="s">
        <v>544</v>
      </c>
      <c r="F293" s="19" t="s">
        <v>563</v>
      </c>
      <c r="G293" s="19" t="s">
        <v>589</v>
      </c>
      <c r="H293" s="19" t="s">
        <v>562</v>
      </c>
      <c r="I293" s="19" t="s">
        <v>73</v>
      </c>
    </row>
    <row r="294" spans="2:9" ht="15" customHeight="1" x14ac:dyDescent="0.3">
      <c r="B294" s="17">
        <f>IF('Marcación Workera'!G294="","",INT('Marcación Workera'!G294))</f>
        <v>46244</v>
      </c>
      <c r="C294" s="18" t="str">
        <f>IF('Marcación Workera'!B294="","",UPPER(SUBSTITUTE('Marcación Workera'!B294,".","")))</f>
        <v>14099614-9</v>
      </c>
      <c r="E294" s="19" t="s">
        <v>523</v>
      </c>
      <c r="F294" s="19" t="s">
        <v>563</v>
      </c>
      <c r="G294" s="19" t="s">
        <v>589</v>
      </c>
      <c r="H294" s="19" t="s">
        <v>562</v>
      </c>
      <c r="I294" s="19" t="s">
        <v>74</v>
      </c>
    </row>
    <row r="295" spans="2:9" ht="15" customHeight="1" x14ac:dyDescent="0.3">
      <c r="B295" s="17">
        <f>IF('Marcación Workera'!G295="","",INT('Marcación Workera'!G295))</f>
        <v>46244</v>
      </c>
      <c r="C295" s="18" t="str">
        <f>IF('Marcación Workera'!B295="","",UPPER(SUBSTITUTE('Marcación Workera'!B295,".","")))</f>
        <v>20921611-6</v>
      </c>
      <c r="E295" s="19" t="s">
        <v>547</v>
      </c>
      <c r="F295" s="19" t="s">
        <v>560</v>
      </c>
      <c r="G295" s="19" t="s">
        <v>588</v>
      </c>
      <c r="H295" s="19" t="s">
        <v>562</v>
      </c>
      <c r="I295" s="19" t="s">
        <v>75</v>
      </c>
    </row>
    <row r="296" spans="2:9" ht="15" customHeight="1" x14ac:dyDescent="0.3">
      <c r="B296" s="17">
        <f>IF('Marcación Workera'!G296="","",INT('Marcación Workera'!G296))</f>
        <v>46243</v>
      </c>
      <c r="C296" s="18" t="str">
        <f>IF('Marcación Workera'!B296="","",UPPER(SUBSTITUTE('Marcación Workera'!B296,".","")))</f>
        <v>10362133-K</v>
      </c>
      <c r="E296" s="19" t="s">
        <v>547</v>
      </c>
      <c r="F296" s="19" t="s">
        <v>563</v>
      </c>
      <c r="G296" s="19" t="s">
        <v>589</v>
      </c>
      <c r="H296" s="19" t="s">
        <v>562</v>
      </c>
      <c r="I296" s="19" t="s">
        <v>75</v>
      </c>
    </row>
    <row r="297" spans="2:9" ht="15" customHeight="1" x14ac:dyDescent="0.3">
      <c r="B297" s="17">
        <f>IF('Marcación Workera'!G297="","",INT('Marcación Workera'!G297))</f>
        <v>46243</v>
      </c>
      <c r="C297" s="18" t="str">
        <f>IF('Marcación Workera'!B297="","",UPPER(SUBSTITUTE('Marcación Workera'!B297,".","")))</f>
        <v>20921611-6</v>
      </c>
      <c r="E297" s="19" t="s">
        <v>199</v>
      </c>
      <c r="F297" s="19" t="s">
        <v>560</v>
      </c>
      <c r="G297" s="19" t="s">
        <v>588</v>
      </c>
      <c r="H297" s="19" t="s">
        <v>562</v>
      </c>
      <c r="I297" s="19" t="s">
        <v>76</v>
      </c>
    </row>
    <row r="298" spans="2:9" ht="15" customHeight="1" x14ac:dyDescent="0.3">
      <c r="B298" s="17">
        <f>IF('Marcación Workera'!G298="","",INT('Marcación Workera'!G298))</f>
        <v>46243</v>
      </c>
      <c r="C298" s="18" t="str">
        <f>IF('Marcación Workera'!B298="","",UPPER(SUBSTITUTE('Marcación Workera'!B298,".","")))</f>
        <v>14099614-9</v>
      </c>
      <c r="E298" s="19" t="s">
        <v>199</v>
      </c>
      <c r="F298" s="19" t="s">
        <v>563</v>
      </c>
      <c r="G298" s="19" t="s">
        <v>589</v>
      </c>
      <c r="H298" s="19" t="s">
        <v>562</v>
      </c>
      <c r="I298" s="19" t="s">
        <v>76</v>
      </c>
    </row>
    <row r="299" spans="2:9" ht="15" customHeight="1" x14ac:dyDescent="0.3">
      <c r="B299" s="17">
        <f>IF('Marcación Workera'!G299="","",INT('Marcación Workera'!G299))</f>
        <v>46243</v>
      </c>
      <c r="C299" s="18" t="str">
        <f>IF('Marcación Workera'!B299="","",UPPER(SUBSTITUTE('Marcación Workera'!B299,".","")))</f>
        <v>13044962-K</v>
      </c>
      <c r="E299" s="19" t="s">
        <v>532</v>
      </c>
      <c r="F299" s="19" t="s">
        <v>560</v>
      </c>
      <c r="G299" s="19" t="s">
        <v>588</v>
      </c>
      <c r="H299" s="19" t="s">
        <v>562</v>
      </c>
      <c r="I299" s="19" t="s">
        <v>77</v>
      </c>
    </row>
    <row r="300" spans="2:9" ht="15" customHeight="1" x14ac:dyDescent="0.3">
      <c r="B300" s="17">
        <f>IF('Marcación Workera'!G300="","",INT('Marcación Workera'!G300))</f>
        <v>46243</v>
      </c>
      <c r="C300" s="18" t="str">
        <f>IF('Marcación Workera'!B300="","",UPPER(SUBSTITUTE('Marcación Workera'!B300,".","")))</f>
        <v>11726306-1</v>
      </c>
      <c r="E300" s="19" t="s">
        <v>532</v>
      </c>
      <c r="F300" s="19" t="s">
        <v>563</v>
      </c>
      <c r="G300" s="19" t="s">
        <v>589</v>
      </c>
      <c r="H300" s="19" t="s">
        <v>562</v>
      </c>
      <c r="I300" s="19" t="s">
        <v>77</v>
      </c>
    </row>
    <row r="301" spans="2:9" ht="15" customHeight="1" x14ac:dyDescent="0.3">
      <c r="B301" s="17">
        <f>IF('Marcación Workera'!G301="","",INT('Marcación Workera'!G301))</f>
        <v>46243</v>
      </c>
      <c r="C301" s="18" t="str">
        <f>IF('Marcación Workera'!B301="","",UPPER(SUBSTITUTE('Marcación Workera'!B301,".","")))</f>
        <v>13049877-9</v>
      </c>
      <c r="E301" s="19" t="s">
        <v>489</v>
      </c>
      <c r="F301" s="19" t="s">
        <v>560</v>
      </c>
      <c r="G301" s="19" t="s">
        <v>588</v>
      </c>
      <c r="H301" s="19" t="s">
        <v>562</v>
      </c>
      <c r="I301" s="19" t="s">
        <v>40</v>
      </c>
    </row>
    <row r="302" spans="2:9" ht="15" customHeight="1" x14ac:dyDescent="0.3">
      <c r="B302" s="17">
        <f>IF('Marcación Workera'!G302="","",INT('Marcación Workera'!G302))</f>
        <v>46243</v>
      </c>
      <c r="C302" s="18" t="str">
        <f>IF('Marcación Workera'!B302="","",UPPER(SUBSTITUTE('Marcación Workera'!B302,".","")))</f>
        <v>19322282-K</v>
      </c>
      <c r="E302" s="19" t="s">
        <v>489</v>
      </c>
      <c r="F302" s="19" t="s">
        <v>563</v>
      </c>
      <c r="G302" s="19" t="s">
        <v>589</v>
      </c>
      <c r="H302" s="19" t="s">
        <v>562</v>
      </c>
      <c r="I302" s="19" t="s">
        <v>40</v>
      </c>
    </row>
    <row r="303" spans="2:9" ht="15" customHeight="1" x14ac:dyDescent="0.3">
      <c r="B303" s="17">
        <f>IF('Marcación Workera'!G303="","",INT('Marcación Workera'!G303))</f>
        <v>46243</v>
      </c>
      <c r="C303" s="18" t="str">
        <f>IF('Marcación Workera'!B303="","",UPPER(SUBSTITUTE('Marcación Workera'!B303,".","")))</f>
        <v>10508202-9</v>
      </c>
      <c r="E303" s="19" t="s">
        <v>584</v>
      </c>
      <c r="F303" s="19" t="s">
        <v>560</v>
      </c>
      <c r="G303" s="19" t="s">
        <v>588</v>
      </c>
      <c r="H303" s="19" t="s">
        <v>562</v>
      </c>
      <c r="I303" s="19" t="s">
        <v>89</v>
      </c>
    </row>
    <row r="304" spans="2:9" ht="15" customHeight="1" x14ac:dyDescent="0.3">
      <c r="B304" s="17">
        <f>IF('Marcación Workera'!G304="","",INT('Marcación Workera'!G304))</f>
        <v>46243</v>
      </c>
      <c r="C304" s="18" t="str">
        <f>IF('Marcación Workera'!B304="","",UPPER(SUBSTITUTE('Marcación Workera'!B304,".","")))</f>
        <v>11726306-1</v>
      </c>
      <c r="E304" s="19" t="s">
        <v>584</v>
      </c>
      <c r="F304" s="19" t="s">
        <v>563</v>
      </c>
      <c r="G304" s="19" t="s">
        <v>589</v>
      </c>
      <c r="H304" s="19" t="s">
        <v>562</v>
      </c>
      <c r="I304" s="19" t="s">
        <v>89</v>
      </c>
    </row>
    <row r="305" spans="2:9" ht="15" customHeight="1" x14ac:dyDescent="0.3">
      <c r="B305" s="17">
        <f>IF('Marcación Workera'!G305="","",INT('Marcación Workera'!G305))</f>
        <v>46243</v>
      </c>
      <c r="C305" s="18" t="str">
        <f>IF('Marcación Workera'!B305="","",UPPER(SUBSTITUTE('Marcación Workera'!B305,".","")))</f>
        <v>21028758-2</v>
      </c>
      <c r="E305" s="19" t="s">
        <v>538</v>
      </c>
      <c r="F305" s="19" t="s">
        <v>560</v>
      </c>
      <c r="G305" s="19" t="s">
        <v>589</v>
      </c>
      <c r="H305" s="19" t="s">
        <v>562</v>
      </c>
      <c r="I305" s="19" t="s">
        <v>78</v>
      </c>
    </row>
    <row r="306" spans="2:9" ht="15" customHeight="1" x14ac:dyDescent="0.3">
      <c r="B306" s="17">
        <f>IF('Marcación Workera'!G306="","",INT('Marcación Workera'!G306))</f>
        <v>46243</v>
      </c>
      <c r="C306" s="18" t="str">
        <f>IF('Marcación Workera'!B306="","",UPPER(SUBSTITUTE('Marcación Workera'!B306,".","")))</f>
        <v>14099614-9</v>
      </c>
      <c r="E306" s="19" t="s">
        <v>538</v>
      </c>
      <c r="F306" s="19" t="s">
        <v>563</v>
      </c>
      <c r="G306" s="19" t="s">
        <v>588</v>
      </c>
      <c r="H306" s="19" t="s">
        <v>562</v>
      </c>
      <c r="I306" s="19" t="s">
        <v>78</v>
      </c>
    </row>
    <row r="307" spans="2:9" ht="15" customHeight="1" x14ac:dyDescent="0.3">
      <c r="B307" s="17">
        <f>IF('Marcación Workera'!G307="","",INT('Marcación Workera'!G307))</f>
        <v>46243</v>
      </c>
      <c r="C307" s="18" t="str">
        <f>IF('Marcación Workera'!B307="","",UPPER(SUBSTITUTE('Marcación Workera'!B307,".","")))</f>
        <v>14099614-9</v>
      </c>
      <c r="E307" s="19" t="s">
        <v>550</v>
      </c>
      <c r="F307" s="19" t="s">
        <v>560</v>
      </c>
      <c r="G307" s="19" t="s">
        <v>589</v>
      </c>
      <c r="H307" s="19" t="s">
        <v>562</v>
      </c>
      <c r="I307" s="19" t="s">
        <v>80</v>
      </c>
    </row>
    <row r="308" spans="2:9" ht="15" customHeight="1" x14ac:dyDescent="0.3">
      <c r="B308" s="17">
        <f>IF('Marcación Workera'!G308="","",INT('Marcación Workera'!G308))</f>
        <v>46243</v>
      </c>
      <c r="C308" s="18" t="str">
        <f>IF('Marcación Workera'!B308="","",UPPER(SUBSTITUTE('Marcación Workera'!B308,".","")))</f>
        <v>13044962-K</v>
      </c>
      <c r="E308" s="19" t="s">
        <v>550</v>
      </c>
      <c r="F308" s="19" t="s">
        <v>563</v>
      </c>
      <c r="G308" s="19" t="s">
        <v>588</v>
      </c>
      <c r="H308" s="19" t="s">
        <v>562</v>
      </c>
      <c r="I308" s="19" t="s">
        <v>80</v>
      </c>
    </row>
    <row r="309" spans="2:9" ht="15" customHeight="1" x14ac:dyDescent="0.3">
      <c r="B309" s="17">
        <f>IF('Marcación Workera'!G309="","",INT('Marcación Workera'!G309))</f>
        <v>46243</v>
      </c>
      <c r="C309" s="18" t="str">
        <f>IF('Marcación Workera'!B309="","",UPPER(SUBSTITUTE('Marcación Workera'!B309,".","")))</f>
        <v>10508202-9</v>
      </c>
      <c r="E309" s="19" t="s">
        <v>529</v>
      </c>
      <c r="F309" s="19" t="s">
        <v>560</v>
      </c>
      <c r="G309" s="19" t="s">
        <v>589</v>
      </c>
      <c r="H309" s="19" t="s">
        <v>562</v>
      </c>
      <c r="I309" s="19" t="s">
        <v>85</v>
      </c>
    </row>
    <row r="310" spans="2:9" ht="15" customHeight="1" x14ac:dyDescent="0.3">
      <c r="B310" s="17">
        <f>IF('Marcación Workera'!G310="","",INT('Marcación Workera'!G310))</f>
        <v>46243</v>
      </c>
      <c r="C310" s="18" t="str">
        <f>IF('Marcación Workera'!B310="","",UPPER(SUBSTITUTE('Marcación Workera'!B310,".","")))</f>
        <v>10362133-K</v>
      </c>
      <c r="E310" s="19" t="s">
        <v>529</v>
      </c>
      <c r="F310" s="19" t="s">
        <v>563</v>
      </c>
      <c r="G310" s="19" t="s">
        <v>588</v>
      </c>
      <c r="H310" s="19" t="s">
        <v>562</v>
      </c>
      <c r="I310" s="19" t="s">
        <v>85</v>
      </c>
    </row>
    <row r="311" spans="2:9" ht="15" customHeight="1" x14ac:dyDescent="0.3">
      <c r="B311" s="17">
        <f>IF('Marcación Workera'!G311="","",INT('Marcación Workera'!G311))</f>
        <v>46243</v>
      </c>
      <c r="C311" s="18" t="str">
        <f>IF('Marcación Workera'!B311="","",UPPER(SUBSTITUTE('Marcación Workera'!B311,".","")))</f>
        <v>10362133-K</v>
      </c>
      <c r="E311" s="19" t="s">
        <v>574</v>
      </c>
      <c r="F311" s="19" t="s">
        <v>560</v>
      </c>
      <c r="G311" s="19" t="s">
        <v>589</v>
      </c>
      <c r="H311" s="19" t="s">
        <v>562</v>
      </c>
      <c r="I311" s="19" t="s">
        <v>82</v>
      </c>
    </row>
    <row r="312" spans="2:9" ht="15" customHeight="1" x14ac:dyDescent="0.3">
      <c r="B312" s="17">
        <f>IF('Marcación Workera'!G312="","",INT('Marcación Workera'!G312))</f>
        <v>46243</v>
      </c>
      <c r="C312" s="18" t="str">
        <f>IF('Marcación Workera'!B312="","",UPPER(SUBSTITUTE('Marcación Workera'!B312,".","")))</f>
        <v>20921611-6</v>
      </c>
      <c r="E312" s="19" t="s">
        <v>574</v>
      </c>
      <c r="F312" s="19" t="s">
        <v>563</v>
      </c>
      <c r="G312" s="19" t="s">
        <v>588</v>
      </c>
      <c r="H312" s="19" t="s">
        <v>562</v>
      </c>
      <c r="I312" s="19" t="s">
        <v>82</v>
      </c>
    </row>
    <row r="313" spans="2:9" ht="15" customHeight="1" x14ac:dyDescent="0.3">
      <c r="B313" s="17">
        <f>IF('Marcación Workera'!G313="","",INT('Marcación Workera'!G313))</f>
        <v>46242</v>
      </c>
      <c r="C313" s="18" t="str">
        <f>IF('Marcación Workera'!B313="","",UPPER(SUBSTITUTE('Marcación Workera'!B313,".","")))</f>
        <v>14099614-9</v>
      </c>
      <c r="E313" s="19" t="s">
        <v>575</v>
      </c>
      <c r="F313" s="19" t="s">
        <v>560</v>
      </c>
      <c r="G313" s="19" t="s">
        <v>589</v>
      </c>
      <c r="H313" s="19" t="s">
        <v>562</v>
      </c>
      <c r="I313" s="19" t="s">
        <v>83</v>
      </c>
    </row>
    <row r="314" spans="2:9" ht="15" customHeight="1" x14ac:dyDescent="0.3">
      <c r="B314" s="17">
        <f>IF('Marcación Workera'!G314="","",INT('Marcación Workera'!G314))</f>
        <v>46242</v>
      </c>
      <c r="C314" s="18" t="str">
        <f>IF('Marcación Workera'!B314="","",UPPER(SUBSTITUTE('Marcación Workera'!B314,".","")))</f>
        <v>21028758-2</v>
      </c>
      <c r="E314" s="19" t="s">
        <v>575</v>
      </c>
      <c r="F314" s="19" t="s">
        <v>563</v>
      </c>
      <c r="G314" s="19" t="s">
        <v>588</v>
      </c>
      <c r="H314" s="19" t="s">
        <v>562</v>
      </c>
      <c r="I314" s="19" t="s">
        <v>83</v>
      </c>
    </row>
    <row r="315" spans="2:9" ht="15" customHeight="1" x14ac:dyDescent="0.3">
      <c r="B315" s="17">
        <f>IF('Marcación Workera'!G315="","",INT('Marcación Workera'!G315))</f>
        <v>46242</v>
      </c>
      <c r="C315" s="18" t="str">
        <f>IF('Marcación Workera'!B315="","",UPPER(SUBSTITUTE('Marcación Workera'!B315,".","")))</f>
        <v>19322282-K</v>
      </c>
      <c r="E315" s="19" t="s">
        <v>201</v>
      </c>
      <c r="F315" s="19" t="s">
        <v>560</v>
      </c>
      <c r="G315" s="19" t="s">
        <v>589</v>
      </c>
      <c r="H315" s="19" t="s">
        <v>562</v>
      </c>
      <c r="I315" s="19" t="s">
        <v>90</v>
      </c>
    </row>
    <row r="316" spans="2:9" ht="15" customHeight="1" x14ac:dyDescent="0.3">
      <c r="B316" s="17">
        <f>IF('Marcación Workera'!G316="","",INT('Marcación Workera'!G316))</f>
        <v>46242</v>
      </c>
      <c r="C316" s="18" t="str">
        <f>IF('Marcación Workera'!B316="","",UPPER(SUBSTITUTE('Marcación Workera'!B316,".","")))</f>
        <v>10508202-9</v>
      </c>
      <c r="E316" s="19" t="s">
        <v>201</v>
      </c>
      <c r="F316" s="19" t="s">
        <v>563</v>
      </c>
      <c r="G316" s="19" t="s">
        <v>588</v>
      </c>
      <c r="H316" s="19" t="s">
        <v>562</v>
      </c>
      <c r="I316" s="19" t="s">
        <v>90</v>
      </c>
    </row>
    <row r="317" spans="2:9" ht="15" customHeight="1" x14ac:dyDescent="0.3">
      <c r="B317" s="17">
        <f>IF('Marcación Workera'!G317="","",INT('Marcación Workera'!G317))</f>
        <v>46242</v>
      </c>
      <c r="C317" s="18" t="str">
        <f>IF('Marcación Workera'!B317="","",UPPER(SUBSTITUTE('Marcación Workera'!B317,".","")))</f>
        <v>13044962-K</v>
      </c>
      <c r="E317" s="19" t="s">
        <v>585</v>
      </c>
      <c r="F317" s="19" t="s">
        <v>560</v>
      </c>
      <c r="G317" s="19" t="s">
        <v>589</v>
      </c>
      <c r="H317" s="19" t="s">
        <v>562</v>
      </c>
      <c r="I317" s="19" t="s">
        <v>92</v>
      </c>
    </row>
    <row r="318" spans="2:9" ht="15" customHeight="1" x14ac:dyDescent="0.3">
      <c r="B318" s="17">
        <f>IF('Marcación Workera'!G318="","",INT('Marcación Workera'!G318))</f>
        <v>46242</v>
      </c>
      <c r="C318" s="18" t="str">
        <f>IF('Marcación Workera'!B318="","",UPPER(SUBSTITUTE('Marcación Workera'!B318,".","")))</f>
        <v>20921611-6</v>
      </c>
      <c r="E318" s="19" t="s">
        <v>585</v>
      </c>
      <c r="F318" s="19" t="s">
        <v>563</v>
      </c>
      <c r="G318" s="19" t="s">
        <v>588</v>
      </c>
      <c r="H318" s="19" t="s">
        <v>562</v>
      </c>
      <c r="I318" s="19" t="s">
        <v>92</v>
      </c>
    </row>
    <row r="319" spans="2:9" ht="15" customHeight="1" x14ac:dyDescent="0.3">
      <c r="B319" s="17">
        <f>IF('Marcación Workera'!G319="","",INT('Marcación Workera'!G319))</f>
        <v>46242</v>
      </c>
      <c r="C319" s="18" t="str">
        <f>IF('Marcación Workera'!B319="","",UPPER(SUBSTITUTE('Marcación Workera'!B319,".","")))</f>
        <v>11726306-1</v>
      </c>
      <c r="E319" s="19" t="s">
        <v>503</v>
      </c>
      <c r="F319" s="19" t="s">
        <v>560</v>
      </c>
      <c r="G319" s="19" t="s">
        <v>590</v>
      </c>
      <c r="H319" s="19" t="s">
        <v>562</v>
      </c>
      <c r="I319" s="19" t="s">
        <v>96</v>
      </c>
    </row>
    <row r="320" spans="2:9" ht="15" customHeight="1" x14ac:dyDescent="0.3">
      <c r="B320" s="17">
        <f>IF('Marcación Workera'!G320="","",INT('Marcación Workera'!G320))</f>
        <v>46242</v>
      </c>
      <c r="C320" s="18" t="str">
        <f>IF('Marcación Workera'!B320="","",UPPER(SUBSTITUTE('Marcación Workera'!B320,".","")))</f>
        <v>10362133-K</v>
      </c>
      <c r="E320" s="19" t="s">
        <v>503</v>
      </c>
      <c r="F320" s="19" t="s">
        <v>563</v>
      </c>
      <c r="G320" s="19" t="s">
        <v>591</v>
      </c>
      <c r="H320" s="19" t="s">
        <v>562</v>
      </c>
      <c r="I320" s="19" t="s">
        <v>96</v>
      </c>
    </row>
    <row r="321" spans="2:9" ht="15" customHeight="1" x14ac:dyDescent="0.3">
      <c r="B321" s="17">
        <f>IF('Marcación Workera'!G321="","",INT('Marcación Workera'!G321))</f>
        <v>46241</v>
      </c>
      <c r="C321" s="18" t="str">
        <f>IF('Marcación Workera'!B321="","",UPPER(SUBSTITUTE('Marcación Workera'!B321,".","")))</f>
        <v>12447356-K</v>
      </c>
      <c r="E321" s="19" t="s">
        <v>592</v>
      </c>
      <c r="F321" s="19" t="s">
        <v>560</v>
      </c>
      <c r="G321" s="19" t="s">
        <v>590</v>
      </c>
      <c r="H321" s="19" t="s">
        <v>562</v>
      </c>
      <c r="I321" s="19" t="s">
        <v>97</v>
      </c>
    </row>
    <row r="322" spans="2:9" ht="15" customHeight="1" x14ac:dyDescent="0.3">
      <c r="B322" s="17">
        <f>IF('Marcación Workera'!G322="","",INT('Marcación Workera'!G322))</f>
        <v>46241</v>
      </c>
      <c r="C322" s="18" t="str">
        <f>IF('Marcación Workera'!B322="","",UPPER(SUBSTITUTE('Marcación Workera'!B322,".","")))</f>
        <v>21028758-2</v>
      </c>
      <c r="E322" s="19" t="s">
        <v>592</v>
      </c>
      <c r="F322" s="19" t="s">
        <v>563</v>
      </c>
      <c r="G322" s="19" t="s">
        <v>591</v>
      </c>
      <c r="H322" s="19" t="s">
        <v>562</v>
      </c>
      <c r="I322" s="19" t="s">
        <v>97</v>
      </c>
    </row>
    <row r="323" spans="2:9" ht="15" customHeight="1" x14ac:dyDescent="0.3">
      <c r="B323" s="17">
        <f>IF('Marcación Workera'!G323="","",INT('Marcación Workera'!G323))</f>
        <v>46241</v>
      </c>
      <c r="C323" s="18" t="str">
        <f>IF('Marcación Workera'!B323="","",UPPER(SUBSTITUTE('Marcación Workera'!B323,".","")))</f>
        <v>12447356-K</v>
      </c>
      <c r="E323" s="19" t="s">
        <v>513</v>
      </c>
      <c r="F323" s="19" t="s">
        <v>560</v>
      </c>
      <c r="G323" s="19" t="s">
        <v>590</v>
      </c>
      <c r="H323" s="19" t="s">
        <v>562</v>
      </c>
      <c r="I323" s="19" t="s">
        <v>98</v>
      </c>
    </row>
    <row r="324" spans="2:9" ht="15" customHeight="1" x14ac:dyDescent="0.3">
      <c r="B324" s="17">
        <f>IF('Marcación Workera'!G324="","",INT('Marcación Workera'!G324))</f>
        <v>46240</v>
      </c>
      <c r="C324" s="18" t="str">
        <f>IF('Marcación Workera'!B324="","",UPPER(SUBSTITUTE('Marcación Workera'!B324,".","")))</f>
        <v>21028758-2</v>
      </c>
      <c r="E324" s="19" t="s">
        <v>513</v>
      </c>
      <c r="F324" s="19" t="s">
        <v>563</v>
      </c>
      <c r="G324" s="19" t="s">
        <v>591</v>
      </c>
      <c r="H324" s="19" t="s">
        <v>562</v>
      </c>
      <c r="I324" s="19" t="s">
        <v>98</v>
      </c>
    </row>
    <row r="325" spans="2:9" ht="15" customHeight="1" x14ac:dyDescent="0.3">
      <c r="B325" s="17">
        <f>IF('Marcación Workera'!G325="","",INT('Marcación Workera'!G325))</f>
        <v>46240</v>
      </c>
      <c r="C325" s="18" t="str">
        <f>IF('Marcación Workera'!B325="","",UPPER(SUBSTITUTE('Marcación Workera'!B325,".","")))</f>
        <v>12447356-K</v>
      </c>
      <c r="E325" s="19" t="s">
        <v>506</v>
      </c>
      <c r="F325" s="19" t="s">
        <v>560</v>
      </c>
      <c r="G325" s="19" t="s">
        <v>590</v>
      </c>
      <c r="H325" s="19" t="s">
        <v>562</v>
      </c>
      <c r="I325" s="19" t="s">
        <v>99</v>
      </c>
    </row>
    <row r="326" spans="2:9" ht="15" customHeight="1" x14ac:dyDescent="0.3">
      <c r="B326" s="17">
        <f>IF('Marcación Workera'!G326="","",INT('Marcación Workera'!G326))</f>
        <v>46240</v>
      </c>
      <c r="C326" s="18" t="str">
        <f>IF('Marcación Workera'!B326="","",UPPER(SUBSTITUTE('Marcación Workera'!B326,".","")))</f>
        <v>21028758-2</v>
      </c>
      <c r="E326" s="19" t="s">
        <v>506</v>
      </c>
      <c r="F326" s="19" t="s">
        <v>563</v>
      </c>
      <c r="G326" s="19" t="s">
        <v>591</v>
      </c>
      <c r="H326" s="19" t="s">
        <v>562</v>
      </c>
      <c r="I326" s="19" t="s">
        <v>99</v>
      </c>
    </row>
    <row r="327" spans="2:9" ht="15" customHeight="1" x14ac:dyDescent="0.3">
      <c r="B327" s="17">
        <f>IF('Marcación Workera'!G327="","",INT('Marcación Workera'!G327))</f>
        <v>46240</v>
      </c>
      <c r="C327" s="18" t="str">
        <f>IF('Marcación Workera'!B327="","",UPPER(SUBSTITUTE('Marcación Workera'!B327,".","")))</f>
        <v>12447356-K</v>
      </c>
      <c r="E327" s="19" t="s">
        <v>155</v>
      </c>
      <c r="F327" s="19" t="s">
        <v>560</v>
      </c>
      <c r="G327" s="19" t="s">
        <v>590</v>
      </c>
      <c r="H327" s="19" t="s">
        <v>562</v>
      </c>
      <c r="I327" s="19" t="s">
        <v>42</v>
      </c>
    </row>
    <row r="328" spans="2:9" ht="15" customHeight="1" x14ac:dyDescent="0.3">
      <c r="B328" s="17">
        <f>IF('Marcación Workera'!G328="","",INT('Marcación Workera'!G328))</f>
        <v>46239</v>
      </c>
      <c r="C328" s="18" t="str">
        <f>IF('Marcación Workera'!B328="","",UPPER(SUBSTITUTE('Marcación Workera'!B328,".","")))</f>
        <v>21028758-2</v>
      </c>
      <c r="E328" s="19" t="s">
        <v>155</v>
      </c>
      <c r="F328" s="19" t="s">
        <v>563</v>
      </c>
      <c r="G328" s="19" t="s">
        <v>591</v>
      </c>
      <c r="H328" s="19" t="s">
        <v>562</v>
      </c>
      <c r="I328" s="19" t="s">
        <v>42</v>
      </c>
    </row>
    <row r="329" spans="2:9" ht="15" customHeight="1" x14ac:dyDescent="0.3">
      <c r="B329" s="17">
        <f>IF('Marcación Workera'!G329="","",INT('Marcación Workera'!G329))</f>
        <v>46239</v>
      </c>
      <c r="C329" s="18" t="str">
        <f>IF('Marcación Workera'!B329="","",UPPER(SUBSTITUTE('Marcación Workera'!B329,".","")))</f>
        <v>12447356-K</v>
      </c>
      <c r="E329" s="19" t="s">
        <v>541</v>
      </c>
      <c r="F329" s="19" t="s">
        <v>560</v>
      </c>
      <c r="G329" s="19" t="s">
        <v>590</v>
      </c>
      <c r="H329" s="19" t="s">
        <v>562</v>
      </c>
      <c r="I329" s="19" t="s">
        <v>71</v>
      </c>
    </row>
    <row r="330" spans="2:9" ht="15" customHeight="1" x14ac:dyDescent="0.3">
      <c r="B330" s="17">
        <f>IF('Marcación Workera'!G330="","",INT('Marcación Workera'!G330))</f>
        <v>46239</v>
      </c>
      <c r="C330" s="18" t="str">
        <f>IF('Marcación Workera'!B330="","",UPPER(SUBSTITUTE('Marcación Workera'!B330,".","")))</f>
        <v>12447356-K</v>
      </c>
      <c r="E330" s="19" t="s">
        <v>541</v>
      </c>
      <c r="F330" s="19" t="s">
        <v>563</v>
      </c>
      <c r="G330" s="19" t="s">
        <v>591</v>
      </c>
      <c r="H330" s="19" t="s">
        <v>562</v>
      </c>
      <c r="I330" s="19" t="s">
        <v>71</v>
      </c>
    </row>
    <row r="331" spans="2:9" ht="15" customHeight="1" x14ac:dyDescent="0.3">
      <c r="B331" s="17">
        <f>IF('Marcación Workera'!G331="","",INT('Marcación Workera'!G331))</f>
        <v>46238</v>
      </c>
      <c r="C331" s="18" t="str">
        <f>IF('Marcación Workera'!B331="","",UPPER(SUBSTITUTE('Marcación Workera'!B331,".","")))</f>
        <v>12447356-K</v>
      </c>
      <c r="E331" s="19" t="s">
        <v>535</v>
      </c>
      <c r="F331" s="19" t="s">
        <v>560</v>
      </c>
      <c r="G331" s="19" t="s">
        <v>590</v>
      </c>
      <c r="H331" s="19" t="s">
        <v>562</v>
      </c>
      <c r="I331" s="19" t="s">
        <v>72</v>
      </c>
    </row>
    <row r="332" spans="2:9" ht="15" customHeight="1" x14ac:dyDescent="0.3">
      <c r="B332" s="17">
        <f>IF('Marcación Workera'!G332="","",INT('Marcación Workera'!G332))</f>
        <v>46238</v>
      </c>
      <c r="C332" s="18" t="str">
        <f>IF('Marcación Workera'!B332="","",UPPER(SUBSTITUTE('Marcación Workera'!B332,".","")))</f>
        <v>12447356-K</v>
      </c>
      <c r="E332" s="19" t="s">
        <v>535</v>
      </c>
      <c r="F332" s="19" t="s">
        <v>563</v>
      </c>
      <c r="G332" s="19" t="s">
        <v>591</v>
      </c>
      <c r="H332" s="19" t="s">
        <v>562</v>
      </c>
      <c r="I332" s="19" t="s">
        <v>72</v>
      </c>
    </row>
    <row r="333" spans="2:9" ht="15" customHeight="1" x14ac:dyDescent="0.3">
      <c r="B333" s="17">
        <f>IF('Marcación Workera'!G333="","",INT('Marcación Workera'!G333))</f>
        <v>46237</v>
      </c>
      <c r="C333" s="18" t="str">
        <f>IF('Marcación Workera'!B333="","",UPPER(SUBSTITUTE('Marcación Workera'!B333,".","")))</f>
        <v>12447356-K</v>
      </c>
      <c r="E333" s="19" t="s">
        <v>544</v>
      </c>
      <c r="F333" s="19" t="s">
        <v>560</v>
      </c>
      <c r="G333" s="19" t="s">
        <v>590</v>
      </c>
      <c r="H333" s="19" t="s">
        <v>562</v>
      </c>
      <c r="I333" s="19" t="s">
        <v>73</v>
      </c>
    </row>
    <row r="334" spans="2:9" ht="15" customHeight="1" x14ac:dyDescent="0.3">
      <c r="B334" s="17">
        <f>IF('Marcación Workera'!G334="","",INT('Marcación Workera'!G334))</f>
        <v>46237</v>
      </c>
      <c r="C334" s="18" t="str">
        <f>IF('Marcación Workera'!B334="","",UPPER(SUBSTITUTE('Marcación Workera'!B334,".","")))</f>
        <v>12447356-K</v>
      </c>
      <c r="E334" s="19" t="s">
        <v>544</v>
      </c>
      <c r="F334" s="19" t="s">
        <v>563</v>
      </c>
      <c r="G334" s="19" t="s">
        <v>591</v>
      </c>
      <c r="H334" s="19" t="s">
        <v>562</v>
      </c>
      <c r="I334" s="19" t="s">
        <v>73</v>
      </c>
    </row>
    <row r="335" spans="2:9" ht="15" customHeight="1" x14ac:dyDescent="0.3">
      <c r="B335" s="17">
        <f>IF('Marcación Workera'!G335="","",INT('Marcación Workera'!G335))</f>
        <v>46265</v>
      </c>
      <c r="C335" s="18" t="str">
        <f>IF('Marcación Workera'!B335="","",UPPER(SUBSTITUTE('Marcación Workera'!B335,".","")))</f>
        <v>18889617-0</v>
      </c>
      <c r="E335" s="19" t="s">
        <v>523</v>
      </c>
      <c r="F335" s="19" t="s">
        <v>563</v>
      </c>
      <c r="G335" s="19" t="s">
        <v>591</v>
      </c>
      <c r="H335" s="19" t="s">
        <v>562</v>
      </c>
      <c r="I335" s="19" t="s">
        <v>74</v>
      </c>
    </row>
    <row r="336" spans="2:9" ht="15" customHeight="1" x14ac:dyDescent="0.3">
      <c r="B336" s="17">
        <f>IF('Marcación Workera'!G336="","",INT('Marcación Workera'!G336))</f>
        <v>46265</v>
      </c>
      <c r="C336" s="18" t="str">
        <f>IF('Marcación Workera'!B336="","",UPPER(SUBSTITUTE('Marcación Workera'!B336,".","")))</f>
        <v>14413231-9</v>
      </c>
      <c r="E336" s="19" t="s">
        <v>547</v>
      </c>
      <c r="F336" s="19" t="s">
        <v>560</v>
      </c>
      <c r="G336" s="19" t="s">
        <v>590</v>
      </c>
      <c r="H336" s="19" t="s">
        <v>562</v>
      </c>
      <c r="I336" s="19" t="s">
        <v>75</v>
      </c>
    </row>
    <row r="337" spans="2:9" ht="15" customHeight="1" x14ac:dyDescent="0.3">
      <c r="B337" s="17">
        <f>IF('Marcación Workera'!G337="","",INT('Marcación Workera'!G337))</f>
        <v>46265</v>
      </c>
      <c r="C337" s="18" t="str">
        <f>IF('Marcación Workera'!B337="","",UPPER(SUBSTITUTE('Marcación Workera'!B337,".","")))</f>
        <v>17626968-5</v>
      </c>
      <c r="E337" s="19" t="s">
        <v>547</v>
      </c>
      <c r="F337" s="19" t="s">
        <v>563</v>
      </c>
      <c r="G337" s="19" t="s">
        <v>591</v>
      </c>
      <c r="H337" s="19" t="s">
        <v>562</v>
      </c>
      <c r="I337" s="19" t="s">
        <v>75</v>
      </c>
    </row>
    <row r="338" spans="2:9" ht="15" customHeight="1" x14ac:dyDescent="0.3">
      <c r="B338" s="17">
        <f>IF('Marcación Workera'!G338="","",INT('Marcación Workera'!G338))</f>
        <v>46265</v>
      </c>
      <c r="C338" s="18" t="str">
        <f>IF('Marcación Workera'!B338="","",UPPER(SUBSTITUTE('Marcación Workera'!B338,".","")))</f>
        <v>15831074-0</v>
      </c>
      <c r="E338" s="19" t="s">
        <v>199</v>
      </c>
      <c r="F338" s="19" t="s">
        <v>560</v>
      </c>
      <c r="G338" s="19" t="s">
        <v>590</v>
      </c>
      <c r="H338" s="19" t="s">
        <v>562</v>
      </c>
      <c r="I338" s="19" t="s">
        <v>76</v>
      </c>
    </row>
    <row r="339" spans="2:9" ht="15" customHeight="1" x14ac:dyDescent="0.3">
      <c r="B339" s="17">
        <f>IF('Marcación Workera'!G339="","",INT('Marcación Workera'!G339))</f>
        <v>46265</v>
      </c>
      <c r="C339" s="18" t="str">
        <f>IF('Marcación Workera'!B339="","",UPPER(SUBSTITUTE('Marcación Workera'!B339,".","")))</f>
        <v>17643998-K</v>
      </c>
      <c r="E339" s="19" t="s">
        <v>199</v>
      </c>
      <c r="F339" s="19" t="s">
        <v>563</v>
      </c>
      <c r="G339" s="19" t="s">
        <v>591</v>
      </c>
      <c r="H339" s="19" t="s">
        <v>562</v>
      </c>
      <c r="I339" s="19" t="s">
        <v>76</v>
      </c>
    </row>
    <row r="340" spans="2:9" ht="15" customHeight="1" x14ac:dyDescent="0.3">
      <c r="B340" s="17">
        <f>IF('Marcación Workera'!G340="","",INT('Marcación Workera'!G340))</f>
        <v>46265</v>
      </c>
      <c r="C340" s="18" t="str">
        <f>IF('Marcación Workera'!B340="","",UPPER(SUBSTITUTE('Marcación Workera'!B340,".","")))</f>
        <v>20718093-9</v>
      </c>
      <c r="E340" s="19" t="s">
        <v>532</v>
      </c>
      <c r="F340" s="19" t="s">
        <v>560</v>
      </c>
      <c r="G340" s="19" t="s">
        <v>590</v>
      </c>
      <c r="H340" s="19" t="s">
        <v>562</v>
      </c>
      <c r="I340" s="19" t="s">
        <v>77</v>
      </c>
    </row>
    <row r="341" spans="2:9" ht="15" customHeight="1" x14ac:dyDescent="0.3">
      <c r="B341" s="17">
        <f>IF('Marcación Workera'!G341="","",INT('Marcación Workera'!G341))</f>
        <v>46265</v>
      </c>
      <c r="C341" s="18" t="str">
        <f>IF('Marcación Workera'!B341="","",UPPER(SUBSTITUTE('Marcación Workera'!B341,".","")))</f>
        <v>21516063-7</v>
      </c>
      <c r="E341" s="19" t="s">
        <v>532</v>
      </c>
      <c r="F341" s="19" t="s">
        <v>563</v>
      </c>
      <c r="G341" s="19" t="s">
        <v>591</v>
      </c>
      <c r="H341" s="19" t="s">
        <v>562</v>
      </c>
      <c r="I341" s="19" t="s">
        <v>77</v>
      </c>
    </row>
    <row r="342" spans="2:9" ht="15" customHeight="1" x14ac:dyDescent="0.3">
      <c r="B342" s="17">
        <f>IF('Marcación Workera'!G342="","",INT('Marcación Workera'!G342))</f>
        <v>46265</v>
      </c>
      <c r="C342" s="18" t="str">
        <f>IF('Marcación Workera'!B342="","",UPPER(SUBSTITUTE('Marcación Workera'!B342,".","")))</f>
        <v>11508866-1</v>
      </c>
      <c r="E342" s="19" t="s">
        <v>584</v>
      </c>
      <c r="F342" s="19" t="s">
        <v>560</v>
      </c>
      <c r="G342" s="19" t="s">
        <v>590</v>
      </c>
      <c r="H342" s="19" t="s">
        <v>562</v>
      </c>
      <c r="I342" s="19" t="s">
        <v>89</v>
      </c>
    </row>
    <row r="343" spans="2:9" ht="15" customHeight="1" x14ac:dyDescent="0.3">
      <c r="B343" s="17">
        <f>IF('Marcación Workera'!G343="","",INT('Marcación Workera'!G343))</f>
        <v>46265</v>
      </c>
      <c r="C343" s="18" t="str">
        <f>IF('Marcación Workera'!B343="","",UPPER(SUBSTITUTE('Marcación Workera'!B343,".","")))</f>
        <v>15593625-8</v>
      </c>
      <c r="E343" s="19" t="s">
        <v>584</v>
      </c>
      <c r="F343" s="19" t="s">
        <v>563</v>
      </c>
      <c r="G343" s="19" t="s">
        <v>591</v>
      </c>
      <c r="H343" s="19" t="s">
        <v>562</v>
      </c>
      <c r="I343" s="19" t="s">
        <v>89</v>
      </c>
    </row>
    <row r="344" spans="2:9" ht="15" customHeight="1" x14ac:dyDescent="0.3">
      <c r="B344" s="17">
        <f>IF('Marcación Workera'!G344="","",INT('Marcación Workera'!G344))</f>
        <v>46265</v>
      </c>
      <c r="C344" s="18" t="str">
        <f>IF('Marcación Workera'!B344="","",UPPER(SUBSTITUTE('Marcación Workera'!B344,".","")))</f>
        <v>16188552-5</v>
      </c>
      <c r="E344" s="19" t="s">
        <v>538</v>
      </c>
      <c r="F344" s="19" t="s">
        <v>560</v>
      </c>
      <c r="G344" s="19" t="s">
        <v>591</v>
      </c>
      <c r="H344" s="19" t="s">
        <v>562</v>
      </c>
      <c r="I344" s="19" t="s">
        <v>78</v>
      </c>
    </row>
    <row r="345" spans="2:9" ht="15" customHeight="1" x14ac:dyDescent="0.3">
      <c r="B345" s="17">
        <f>IF('Marcación Workera'!G345="","",INT('Marcación Workera'!G345))</f>
        <v>46265</v>
      </c>
      <c r="C345" s="18" t="str">
        <f>IF('Marcación Workera'!B345="","",UPPER(SUBSTITUTE('Marcación Workera'!B345,".","")))</f>
        <v>19949787-1</v>
      </c>
      <c r="E345" s="19" t="s">
        <v>538</v>
      </c>
      <c r="F345" s="19" t="s">
        <v>563</v>
      </c>
      <c r="G345" s="19" t="s">
        <v>590</v>
      </c>
      <c r="H345" s="19" t="s">
        <v>562</v>
      </c>
      <c r="I345" s="19" t="s">
        <v>78</v>
      </c>
    </row>
    <row r="346" spans="2:9" ht="15" customHeight="1" x14ac:dyDescent="0.3">
      <c r="B346" s="17">
        <f>IF('Marcación Workera'!G346="","",INT('Marcación Workera'!G346))</f>
        <v>46265</v>
      </c>
      <c r="C346" s="18" t="str">
        <f>IF('Marcación Workera'!B346="","",UPPER(SUBSTITUTE('Marcación Workera'!B346,".","")))</f>
        <v>15814058-6</v>
      </c>
      <c r="E346" s="19" t="s">
        <v>550</v>
      </c>
      <c r="F346" s="19" t="s">
        <v>560</v>
      </c>
      <c r="G346" s="19" t="s">
        <v>591</v>
      </c>
      <c r="H346" s="19" t="s">
        <v>562</v>
      </c>
      <c r="I346" s="19" t="s">
        <v>80</v>
      </c>
    </row>
    <row r="347" spans="2:9" ht="15" customHeight="1" x14ac:dyDescent="0.3">
      <c r="B347" s="17">
        <f>IF('Marcación Workera'!G347="","",INT('Marcación Workera'!G347))</f>
        <v>46265</v>
      </c>
      <c r="C347" s="18" t="str">
        <f>IF('Marcación Workera'!B347="","",UPPER(SUBSTITUTE('Marcación Workera'!B347,".","")))</f>
        <v>18352777-0</v>
      </c>
      <c r="E347" s="19" t="s">
        <v>550</v>
      </c>
      <c r="F347" s="19" t="s">
        <v>563</v>
      </c>
      <c r="G347" s="19" t="s">
        <v>590</v>
      </c>
      <c r="H347" s="19" t="s">
        <v>562</v>
      </c>
      <c r="I347" s="19" t="s">
        <v>80</v>
      </c>
    </row>
    <row r="348" spans="2:9" ht="15" customHeight="1" x14ac:dyDescent="0.3">
      <c r="B348" s="17">
        <f>IF('Marcación Workera'!G348="","",INT('Marcación Workera'!G348))</f>
        <v>46265</v>
      </c>
      <c r="C348" s="18" t="str">
        <f>IF('Marcación Workera'!B348="","",UPPER(SUBSTITUTE('Marcación Workera'!B348,".","")))</f>
        <v>13855440-6</v>
      </c>
      <c r="E348" s="19" t="s">
        <v>529</v>
      </c>
      <c r="F348" s="19" t="s">
        <v>560</v>
      </c>
      <c r="G348" s="19" t="s">
        <v>591</v>
      </c>
      <c r="H348" s="19" t="s">
        <v>562</v>
      </c>
      <c r="I348" s="19" t="s">
        <v>85</v>
      </c>
    </row>
    <row r="349" spans="2:9" ht="15" customHeight="1" x14ac:dyDescent="0.3">
      <c r="B349" s="17">
        <f>IF('Marcación Workera'!G349="","",INT('Marcación Workera'!G349))</f>
        <v>46265</v>
      </c>
      <c r="C349" s="18" t="str">
        <f>IF('Marcación Workera'!B349="","",UPPER(SUBSTITUTE('Marcación Workera'!B349,".","")))</f>
        <v>12814487-0</v>
      </c>
      <c r="E349" s="19" t="s">
        <v>529</v>
      </c>
      <c r="F349" s="19" t="s">
        <v>563</v>
      </c>
      <c r="G349" s="19" t="s">
        <v>590</v>
      </c>
      <c r="H349" s="19" t="s">
        <v>562</v>
      </c>
      <c r="I349" s="19" t="s">
        <v>85</v>
      </c>
    </row>
    <row r="350" spans="2:9" ht="15" customHeight="1" x14ac:dyDescent="0.3">
      <c r="B350" s="17">
        <f>IF('Marcación Workera'!G350="","",INT('Marcación Workera'!G350))</f>
        <v>46265</v>
      </c>
      <c r="C350" s="18" t="str">
        <f>IF('Marcación Workera'!B350="","",UPPER(SUBSTITUTE('Marcación Workera'!B350,".","")))</f>
        <v>17805184-9</v>
      </c>
      <c r="E350" s="19" t="s">
        <v>574</v>
      </c>
      <c r="F350" s="19" t="s">
        <v>560</v>
      </c>
      <c r="G350" s="19" t="s">
        <v>591</v>
      </c>
      <c r="H350" s="19" t="s">
        <v>562</v>
      </c>
      <c r="I350" s="19" t="s">
        <v>82</v>
      </c>
    </row>
    <row r="351" spans="2:9" ht="15" customHeight="1" x14ac:dyDescent="0.3">
      <c r="B351" s="17">
        <f>IF('Marcación Workera'!G351="","",INT('Marcación Workera'!G351))</f>
        <v>46265</v>
      </c>
      <c r="C351" s="18" t="str">
        <f>IF('Marcación Workera'!B351="","",UPPER(SUBSTITUTE('Marcación Workera'!B351,".","")))</f>
        <v>14594999-8</v>
      </c>
      <c r="E351" s="19" t="s">
        <v>574</v>
      </c>
      <c r="F351" s="19" t="s">
        <v>563</v>
      </c>
      <c r="G351" s="19" t="s">
        <v>590</v>
      </c>
      <c r="H351" s="19" t="s">
        <v>562</v>
      </c>
      <c r="I351" s="19" t="s">
        <v>82</v>
      </c>
    </row>
    <row r="352" spans="2:9" ht="15" customHeight="1" x14ac:dyDescent="0.3">
      <c r="B352" s="17">
        <f>IF('Marcación Workera'!G352="","",INT('Marcación Workera'!G352))</f>
        <v>46265</v>
      </c>
      <c r="C352" s="18" t="str">
        <f>IF('Marcación Workera'!B352="","",UPPER(SUBSTITUTE('Marcación Workera'!B352,".","")))</f>
        <v>23868099-9</v>
      </c>
      <c r="E352" s="19" t="s">
        <v>575</v>
      </c>
      <c r="F352" s="19" t="s">
        <v>560</v>
      </c>
      <c r="G352" s="19" t="s">
        <v>591</v>
      </c>
      <c r="H352" s="19" t="s">
        <v>562</v>
      </c>
      <c r="I352" s="19" t="s">
        <v>83</v>
      </c>
    </row>
    <row r="353" spans="2:9" ht="15" customHeight="1" x14ac:dyDescent="0.3">
      <c r="B353" s="17">
        <f>IF('Marcación Workera'!G353="","",INT('Marcación Workera'!G353))</f>
        <v>46265</v>
      </c>
      <c r="C353" s="18" t="str">
        <f>IF('Marcación Workera'!B353="","",UPPER(SUBSTITUTE('Marcación Workera'!B353,".","")))</f>
        <v>16706064-1</v>
      </c>
      <c r="E353" s="19" t="s">
        <v>575</v>
      </c>
      <c r="F353" s="19" t="s">
        <v>563</v>
      </c>
      <c r="G353" s="19" t="s">
        <v>590</v>
      </c>
      <c r="H353" s="19" t="s">
        <v>562</v>
      </c>
      <c r="I353" s="19" t="s">
        <v>83</v>
      </c>
    </row>
    <row r="354" spans="2:9" ht="15" customHeight="1" x14ac:dyDescent="0.3">
      <c r="B354" s="17">
        <f>IF('Marcación Workera'!G354="","",INT('Marcación Workera'!G354))</f>
        <v>46265</v>
      </c>
      <c r="C354" s="18" t="str">
        <f>IF('Marcación Workera'!B354="","",UPPER(SUBSTITUTE('Marcación Workera'!B354,".","")))</f>
        <v>16706064-1</v>
      </c>
      <c r="E354" s="19" t="s">
        <v>201</v>
      </c>
      <c r="F354" s="19" t="s">
        <v>560</v>
      </c>
      <c r="G354" s="19" t="s">
        <v>591</v>
      </c>
      <c r="H354" s="19" t="s">
        <v>562</v>
      </c>
      <c r="I354" s="19" t="s">
        <v>90</v>
      </c>
    </row>
    <row r="355" spans="2:9" ht="15" customHeight="1" x14ac:dyDescent="0.3">
      <c r="B355" s="17">
        <f>IF('Marcación Workera'!G355="","",INT('Marcación Workera'!G355))</f>
        <v>46265</v>
      </c>
      <c r="C355" s="18" t="str">
        <f>IF('Marcación Workera'!B355="","",UPPER(SUBSTITUTE('Marcación Workera'!B355,".","")))</f>
        <v>14043656-9</v>
      </c>
      <c r="E355" s="19" t="s">
        <v>201</v>
      </c>
      <c r="F355" s="19" t="s">
        <v>563</v>
      </c>
      <c r="G355" s="19" t="s">
        <v>590</v>
      </c>
      <c r="H355" s="19" t="s">
        <v>562</v>
      </c>
      <c r="I355" s="19" t="s">
        <v>90</v>
      </c>
    </row>
    <row r="356" spans="2:9" ht="15" customHeight="1" x14ac:dyDescent="0.3">
      <c r="B356" s="17">
        <f>IF('Marcación Workera'!G356="","",INT('Marcación Workera'!G356))</f>
        <v>46265</v>
      </c>
      <c r="C356" s="18" t="str">
        <f>IF('Marcación Workera'!B356="","",UPPER(SUBSTITUTE('Marcación Workera'!B356,".","")))</f>
        <v>18889617-0</v>
      </c>
      <c r="E356" s="19" t="s">
        <v>585</v>
      </c>
      <c r="F356" s="19" t="s">
        <v>560</v>
      </c>
      <c r="G356" s="19" t="s">
        <v>591</v>
      </c>
      <c r="H356" s="19" t="s">
        <v>562</v>
      </c>
      <c r="I356" s="19" t="s">
        <v>92</v>
      </c>
    </row>
    <row r="357" spans="2:9" ht="15" customHeight="1" x14ac:dyDescent="0.3">
      <c r="B357" s="17">
        <f>IF('Marcación Workera'!G357="","",INT('Marcación Workera'!G357))</f>
        <v>46265</v>
      </c>
      <c r="C357" s="18" t="str">
        <f>IF('Marcación Workera'!B357="","",UPPER(SUBSTITUTE('Marcación Workera'!B357,".","")))</f>
        <v>18889617-0</v>
      </c>
      <c r="E357" s="19" t="s">
        <v>585</v>
      </c>
      <c r="F357" s="19" t="s">
        <v>563</v>
      </c>
      <c r="G357" s="19" t="s">
        <v>590</v>
      </c>
      <c r="H357" s="19" t="s">
        <v>562</v>
      </c>
      <c r="I357" s="19" t="s">
        <v>92</v>
      </c>
    </row>
    <row r="358" spans="2:9" ht="15" customHeight="1" x14ac:dyDescent="0.3">
      <c r="B358" s="17">
        <f>IF('Marcación Workera'!G358="","",INT('Marcación Workera'!G358))</f>
        <v>46265</v>
      </c>
      <c r="C358" s="18" t="str">
        <f>IF('Marcación Workera'!B358="","",UPPER(SUBSTITUTE('Marcación Workera'!B358,".","")))</f>
        <v>16706064-1</v>
      </c>
      <c r="E358" s="19" t="s">
        <v>503</v>
      </c>
      <c r="F358" s="19" t="s">
        <v>560</v>
      </c>
      <c r="G358" s="19" t="s">
        <v>593</v>
      </c>
      <c r="H358" s="19" t="s">
        <v>562</v>
      </c>
      <c r="I358" s="19" t="s">
        <v>96</v>
      </c>
    </row>
    <row r="359" spans="2:9" ht="15" customHeight="1" x14ac:dyDescent="0.3">
      <c r="B359" s="17">
        <f>IF('Marcación Workera'!G359="","",INT('Marcación Workera'!G359))</f>
        <v>46265</v>
      </c>
      <c r="C359" s="18" t="str">
        <f>IF('Marcación Workera'!B359="","",UPPER(SUBSTITUTE('Marcación Workera'!B359,".","")))</f>
        <v>17626968-5</v>
      </c>
      <c r="E359" s="19" t="s">
        <v>592</v>
      </c>
      <c r="F359" s="19" t="s">
        <v>560</v>
      </c>
      <c r="G359" s="19" t="s">
        <v>593</v>
      </c>
      <c r="H359" s="19" t="s">
        <v>562</v>
      </c>
      <c r="I359" s="19" t="s">
        <v>97</v>
      </c>
    </row>
    <row r="360" spans="2:9" ht="15" customHeight="1" x14ac:dyDescent="0.3">
      <c r="B360" s="17">
        <f>IF('Marcación Workera'!G360="","",INT('Marcación Workera'!G360))</f>
        <v>46265</v>
      </c>
      <c r="C360" s="18" t="str">
        <f>IF('Marcación Workera'!B360="","",UPPER(SUBSTITUTE('Marcación Workera'!B360,".","")))</f>
        <v>14043656-9</v>
      </c>
      <c r="E360" s="19" t="s">
        <v>592</v>
      </c>
      <c r="F360" s="19" t="s">
        <v>563</v>
      </c>
      <c r="G360" s="19" t="s">
        <v>594</v>
      </c>
      <c r="H360" s="19" t="s">
        <v>562</v>
      </c>
      <c r="I360" s="19" t="s">
        <v>97</v>
      </c>
    </row>
    <row r="361" spans="2:9" ht="15" customHeight="1" x14ac:dyDescent="0.3">
      <c r="B361" s="17">
        <f>IF('Marcación Workera'!G361="","",INT('Marcación Workera'!G361))</f>
        <v>46265</v>
      </c>
      <c r="C361" s="18" t="str">
        <f>IF('Marcación Workera'!B361="","",UPPER(SUBSTITUTE('Marcación Workera'!B361,".","")))</f>
        <v>21254681-K</v>
      </c>
      <c r="E361" s="19" t="s">
        <v>513</v>
      </c>
      <c r="F361" s="19" t="s">
        <v>560</v>
      </c>
      <c r="G361" s="19" t="s">
        <v>593</v>
      </c>
      <c r="H361" s="19" t="s">
        <v>562</v>
      </c>
      <c r="I361" s="19" t="s">
        <v>98</v>
      </c>
    </row>
    <row r="362" spans="2:9" ht="15" customHeight="1" x14ac:dyDescent="0.3">
      <c r="B362" s="17">
        <f>IF('Marcación Workera'!G362="","",INT('Marcación Workera'!G362))</f>
        <v>46265</v>
      </c>
      <c r="C362" s="18" t="str">
        <f>IF('Marcación Workera'!B362="","",UPPER(SUBSTITUTE('Marcación Workera'!B362,".","")))</f>
        <v>21254681-K</v>
      </c>
      <c r="E362" s="19" t="s">
        <v>506</v>
      </c>
      <c r="F362" s="19" t="s">
        <v>560</v>
      </c>
      <c r="G362" s="19" t="s">
        <v>593</v>
      </c>
      <c r="H362" s="19" t="s">
        <v>562</v>
      </c>
      <c r="I362" s="19" t="s">
        <v>99</v>
      </c>
    </row>
    <row r="363" spans="2:9" ht="15" customHeight="1" x14ac:dyDescent="0.3">
      <c r="B363" s="17">
        <f>IF('Marcación Workera'!G363="","",INT('Marcación Workera'!G363))</f>
        <v>46265</v>
      </c>
      <c r="C363" s="18" t="str">
        <f>IF('Marcación Workera'!B363="","",UPPER(SUBSTITUTE('Marcación Workera'!B363,".","")))</f>
        <v>17643998-K</v>
      </c>
      <c r="E363" s="19" t="s">
        <v>506</v>
      </c>
      <c r="F363" s="19" t="s">
        <v>563</v>
      </c>
      <c r="G363" s="19" t="s">
        <v>594</v>
      </c>
      <c r="H363" s="19" t="s">
        <v>562</v>
      </c>
      <c r="I363" s="19" t="s">
        <v>99</v>
      </c>
    </row>
    <row r="364" spans="2:9" ht="15" customHeight="1" x14ac:dyDescent="0.3">
      <c r="B364" s="17">
        <f>IF('Marcación Workera'!G364="","",INT('Marcación Workera'!G364))</f>
        <v>46265</v>
      </c>
      <c r="C364" s="18" t="str">
        <f>IF('Marcación Workera'!B364="","",UPPER(SUBSTITUTE('Marcación Workera'!B364,".","")))</f>
        <v>19949787-1</v>
      </c>
      <c r="E364" s="19" t="s">
        <v>155</v>
      </c>
      <c r="F364" s="19" t="s">
        <v>560</v>
      </c>
      <c r="G364" s="19" t="s">
        <v>593</v>
      </c>
      <c r="H364" s="19" t="s">
        <v>562</v>
      </c>
      <c r="I364" s="19" t="s">
        <v>42</v>
      </c>
    </row>
    <row r="365" spans="2:9" ht="15" customHeight="1" x14ac:dyDescent="0.3">
      <c r="B365" s="17">
        <f>IF('Marcación Workera'!G365="","",INT('Marcación Workera'!G365))</f>
        <v>46265</v>
      </c>
      <c r="C365" s="18" t="str">
        <f>IF('Marcación Workera'!B365="","",UPPER(SUBSTITUTE('Marcación Workera'!B365,".","")))</f>
        <v>14594999-8</v>
      </c>
      <c r="E365" s="19" t="s">
        <v>155</v>
      </c>
      <c r="F365" s="19" t="s">
        <v>563</v>
      </c>
      <c r="G365" s="19" t="s">
        <v>594</v>
      </c>
      <c r="H365" s="19" t="s">
        <v>562</v>
      </c>
      <c r="I365" s="19" t="s">
        <v>42</v>
      </c>
    </row>
    <row r="366" spans="2:9" ht="15" customHeight="1" x14ac:dyDescent="0.3">
      <c r="B366" s="17">
        <f>IF('Marcación Workera'!G366="","",INT('Marcación Workera'!G366))</f>
        <v>46265</v>
      </c>
      <c r="C366" s="18" t="str">
        <f>IF('Marcación Workera'!B366="","",UPPER(SUBSTITUTE('Marcación Workera'!B366,".","")))</f>
        <v>21516063-7</v>
      </c>
      <c r="E366" s="19" t="s">
        <v>541</v>
      </c>
      <c r="F366" s="19" t="s">
        <v>560</v>
      </c>
      <c r="G366" s="19" t="s">
        <v>593</v>
      </c>
      <c r="H366" s="19" t="s">
        <v>562</v>
      </c>
      <c r="I366" s="19" t="s">
        <v>71</v>
      </c>
    </row>
    <row r="367" spans="2:9" ht="15" customHeight="1" x14ac:dyDescent="0.3">
      <c r="B367" s="17">
        <f>IF('Marcación Workera'!G367="","",INT('Marcación Workera'!G367))</f>
        <v>46265</v>
      </c>
      <c r="C367" s="18" t="str">
        <f>IF('Marcación Workera'!B367="","",UPPER(SUBSTITUTE('Marcación Workera'!B367,".","")))</f>
        <v>23868099-9</v>
      </c>
      <c r="E367" s="19" t="s">
        <v>541</v>
      </c>
      <c r="F367" s="19" t="s">
        <v>563</v>
      </c>
      <c r="G367" s="19" t="s">
        <v>594</v>
      </c>
      <c r="H367" s="19" t="s">
        <v>562</v>
      </c>
      <c r="I367" s="19" t="s">
        <v>71</v>
      </c>
    </row>
    <row r="368" spans="2:9" ht="15" customHeight="1" x14ac:dyDescent="0.3">
      <c r="B368" s="17">
        <f>IF('Marcación Workera'!G368="","",INT('Marcación Workera'!G368))</f>
        <v>46265</v>
      </c>
      <c r="C368" s="18" t="str">
        <f>IF('Marcación Workera'!B368="","",UPPER(SUBSTITUTE('Marcación Workera'!B368,".","")))</f>
        <v>17805184-9</v>
      </c>
      <c r="E368" s="19" t="s">
        <v>535</v>
      </c>
      <c r="F368" s="19" t="s">
        <v>560</v>
      </c>
      <c r="G368" s="19" t="s">
        <v>593</v>
      </c>
      <c r="H368" s="19" t="s">
        <v>562</v>
      </c>
      <c r="I368" s="19" t="s">
        <v>72</v>
      </c>
    </row>
    <row r="369" spans="2:9" ht="15" customHeight="1" x14ac:dyDescent="0.3">
      <c r="B369" s="17">
        <f>IF('Marcación Workera'!G369="","",INT('Marcación Workera'!G369))</f>
        <v>46265</v>
      </c>
      <c r="C369" s="18" t="str">
        <f>IF('Marcación Workera'!B369="","",UPPER(SUBSTITUTE('Marcación Workera'!B369,".","")))</f>
        <v>14413231-9</v>
      </c>
      <c r="E369" s="19" t="s">
        <v>535</v>
      </c>
      <c r="F369" s="19" t="s">
        <v>563</v>
      </c>
      <c r="G369" s="19" t="s">
        <v>594</v>
      </c>
      <c r="H369" s="19" t="s">
        <v>562</v>
      </c>
      <c r="I369" s="19" t="s">
        <v>72</v>
      </c>
    </row>
    <row r="370" spans="2:9" ht="15" customHeight="1" x14ac:dyDescent="0.3">
      <c r="B370" s="17">
        <f>IF('Marcación Workera'!G370="","",INT('Marcación Workera'!G370))</f>
        <v>46265</v>
      </c>
      <c r="C370" s="18" t="str">
        <f>IF('Marcación Workera'!B370="","",UPPER(SUBSTITUTE('Marcación Workera'!B370,".","")))</f>
        <v>16188552-5</v>
      </c>
      <c r="E370" s="19" t="s">
        <v>544</v>
      </c>
      <c r="F370" s="19" t="s">
        <v>560</v>
      </c>
      <c r="G370" s="19" t="s">
        <v>593</v>
      </c>
      <c r="H370" s="19" t="s">
        <v>562</v>
      </c>
      <c r="I370" s="19" t="s">
        <v>73</v>
      </c>
    </row>
    <row r="371" spans="2:9" ht="15" customHeight="1" x14ac:dyDescent="0.3">
      <c r="B371" s="17">
        <f>IF('Marcación Workera'!G371="","",INT('Marcación Workera'!G371))</f>
        <v>46265</v>
      </c>
      <c r="C371" s="18" t="str">
        <f>IF('Marcación Workera'!B371="","",UPPER(SUBSTITUTE('Marcación Workera'!B371,".","")))</f>
        <v>11508866-1</v>
      </c>
      <c r="E371" s="19" t="s">
        <v>544</v>
      </c>
      <c r="F371" s="19" t="s">
        <v>563</v>
      </c>
      <c r="G371" s="19" t="s">
        <v>594</v>
      </c>
      <c r="H371" s="19" t="s">
        <v>562</v>
      </c>
      <c r="I371" s="19" t="s">
        <v>73</v>
      </c>
    </row>
    <row r="372" spans="2:9" ht="15" customHeight="1" x14ac:dyDescent="0.3">
      <c r="B372" s="17">
        <f>IF('Marcación Workera'!G372="","",INT('Marcación Workera'!G372))</f>
        <v>46265</v>
      </c>
      <c r="C372" s="18" t="str">
        <f>IF('Marcación Workera'!B372="","",UPPER(SUBSTITUTE('Marcación Workera'!B372,".","")))</f>
        <v>13855440-6</v>
      </c>
      <c r="E372" s="19" t="s">
        <v>547</v>
      </c>
      <c r="F372" s="19" t="s">
        <v>560</v>
      </c>
      <c r="G372" s="19" t="s">
        <v>593</v>
      </c>
      <c r="H372" s="19" t="s">
        <v>562</v>
      </c>
      <c r="I372" s="19" t="s">
        <v>75</v>
      </c>
    </row>
    <row r="373" spans="2:9" ht="15" customHeight="1" x14ac:dyDescent="0.3">
      <c r="B373" s="17">
        <f>IF('Marcación Workera'!G373="","",INT('Marcación Workera'!G373))</f>
        <v>46265</v>
      </c>
      <c r="C373" s="18" t="str">
        <f>IF('Marcación Workera'!B373="","",UPPER(SUBSTITUTE('Marcación Workera'!B373,".","")))</f>
        <v>15814058-6</v>
      </c>
      <c r="E373" s="19" t="s">
        <v>547</v>
      </c>
      <c r="F373" s="19" t="s">
        <v>563</v>
      </c>
      <c r="G373" s="19" t="s">
        <v>594</v>
      </c>
      <c r="H373" s="19" t="s">
        <v>562</v>
      </c>
      <c r="I373" s="19" t="s">
        <v>75</v>
      </c>
    </row>
    <row r="374" spans="2:9" ht="15" customHeight="1" x14ac:dyDescent="0.3">
      <c r="B374" s="17">
        <f>IF('Marcación Workera'!G374="","",INT('Marcación Workera'!G374))</f>
        <v>46265</v>
      </c>
      <c r="C374" s="18" t="str">
        <f>IF('Marcación Workera'!B374="","",UPPER(SUBSTITUTE('Marcación Workera'!B374,".","")))</f>
        <v>18352777-0</v>
      </c>
      <c r="E374" s="19" t="s">
        <v>199</v>
      </c>
      <c r="F374" s="19" t="s">
        <v>560</v>
      </c>
      <c r="G374" s="19" t="s">
        <v>593</v>
      </c>
      <c r="H374" s="19" t="s">
        <v>562</v>
      </c>
      <c r="I374" s="19" t="s">
        <v>76</v>
      </c>
    </row>
    <row r="375" spans="2:9" ht="15" customHeight="1" x14ac:dyDescent="0.3">
      <c r="B375" s="17">
        <f>IF('Marcación Workera'!G375="","",INT('Marcación Workera'!G375))</f>
        <v>46265</v>
      </c>
      <c r="C375" s="18" t="str">
        <f>IF('Marcación Workera'!B375="","",UPPER(SUBSTITUTE('Marcación Workera'!B375,".","")))</f>
        <v>12814487-0</v>
      </c>
      <c r="E375" s="19" t="s">
        <v>199</v>
      </c>
      <c r="F375" s="19" t="s">
        <v>563</v>
      </c>
      <c r="G375" s="19" t="s">
        <v>594</v>
      </c>
      <c r="H375" s="19" t="s">
        <v>562</v>
      </c>
      <c r="I375" s="19" t="s">
        <v>76</v>
      </c>
    </row>
    <row r="376" spans="2:9" ht="15" customHeight="1" x14ac:dyDescent="0.3">
      <c r="B376" s="17">
        <f>IF('Marcación Workera'!G376="","",INT('Marcación Workera'!G376))</f>
        <v>46265</v>
      </c>
      <c r="C376" s="18" t="str">
        <f>IF('Marcación Workera'!B376="","",UPPER(SUBSTITUTE('Marcación Workera'!B376,".","")))</f>
        <v>15593625-8</v>
      </c>
      <c r="E376" s="19" t="s">
        <v>532</v>
      </c>
      <c r="F376" s="19" t="s">
        <v>560</v>
      </c>
      <c r="G376" s="19" t="s">
        <v>593</v>
      </c>
      <c r="H376" s="19" t="s">
        <v>562</v>
      </c>
      <c r="I376" s="19" t="s">
        <v>77</v>
      </c>
    </row>
    <row r="377" spans="2:9" ht="15" customHeight="1" x14ac:dyDescent="0.3">
      <c r="B377" s="17">
        <f>IF('Marcación Workera'!G377="","",INT('Marcación Workera'!G377))</f>
        <v>46265</v>
      </c>
      <c r="C377" s="18" t="str">
        <f>IF('Marcación Workera'!B377="","",UPPER(SUBSTITUTE('Marcación Workera'!B377,".","")))</f>
        <v>14615536-7</v>
      </c>
      <c r="E377" s="19" t="s">
        <v>532</v>
      </c>
      <c r="F377" s="19" t="s">
        <v>563</v>
      </c>
      <c r="G377" s="19" t="s">
        <v>594</v>
      </c>
      <c r="H377" s="19" t="s">
        <v>562</v>
      </c>
      <c r="I377" s="19" t="s">
        <v>77</v>
      </c>
    </row>
    <row r="378" spans="2:9" ht="15" customHeight="1" x14ac:dyDescent="0.3">
      <c r="B378" s="17">
        <f>IF('Marcación Workera'!G378="","",INT('Marcación Workera'!G378))</f>
        <v>46265</v>
      </c>
      <c r="C378" s="18" t="str">
        <f>IF('Marcación Workera'!B378="","",UPPER(SUBSTITUTE('Marcación Workera'!B378,".","")))</f>
        <v>15831074-0</v>
      </c>
      <c r="E378" s="19" t="s">
        <v>584</v>
      </c>
      <c r="F378" s="19" t="s">
        <v>560</v>
      </c>
      <c r="G378" s="19" t="s">
        <v>593</v>
      </c>
      <c r="H378" s="19" t="s">
        <v>562</v>
      </c>
      <c r="I378" s="19" t="s">
        <v>89</v>
      </c>
    </row>
    <row r="379" spans="2:9" ht="15" customHeight="1" x14ac:dyDescent="0.3">
      <c r="B379" s="17">
        <f>IF('Marcación Workera'!G379="","",INT('Marcación Workera'!G379))</f>
        <v>46265</v>
      </c>
      <c r="C379" s="18" t="str">
        <f>IF('Marcación Workera'!B379="","",UPPER(SUBSTITUTE('Marcación Workera'!B379,".","")))</f>
        <v>20718093-9</v>
      </c>
      <c r="E379" s="19" t="s">
        <v>584</v>
      </c>
      <c r="F379" s="19" t="s">
        <v>563</v>
      </c>
      <c r="G379" s="19" t="s">
        <v>594</v>
      </c>
      <c r="H379" s="19" t="s">
        <v>562</v>
      </c>
      <c r="I379" s="19" t="s">
        <v>89</v>
      </c>
    </row>
    <row r="380" spans="2:9" ht="15" customHeight="1" x14ac:dyDescent="0.3">
      <c r="B380" s="17">
        <f>IF('Marcación Workera'!G380="","",INT('Marcación Workera'!G380))</f>
        <v>46264</v>
      </c>
      <c r="C380" s="18" t="str">
        <f>IF('Marcación Workera'!B380="","",UPPER(SUBSTITUTE('Marcación Workera'!B380,".","")))</f>
        <v>18352777-0</v>
      </c>
      <c r="E380" s="19" t="s">
        <v>538</v>
      </c>
      <c r="F380" s="19" t="s">
        <v>560</v>
      </c>
      <c r="G380" s="19" t="s">
        <v>594</v>
      </c>
      <c r="H380" s="19" t="s">
        <v>562</v>
      </c>
      <c r="I380" s="19" t="s">
        <v>78</v>
      </c>
    </row>
    <row r="381" spans="2:9" ht="15" customHeight="1" x14ac:dyDescent="0.3">
      <c r="B381" s="17">
        <f>IF('Marcación Workera'!G381="","",INT('Marcación Workera'!G381))</f>
        <v>46264</v>
      </c>
      <c r="C381" s="18" t="str">
        <f>IF('Marcación Workera'!B381="","",UPPER(SUBSTITUTE('Marcación Workera'!B381,".","")))</f>
        <v>18352777-0</v>
      </c>
      <c r="E381" s="19" t="s">
        <v>538</v>
      </c>
      <c r="F381" s="19" t="s">
        <v>563</v>
      </c>
      <c r="G381" s="19" t="s">
        <v>593</v>
      </c>
      <c r="H381" s="19" t="s">
        <v>562</v>
      </c>
      <c r="I381" s="19" t="s">
        <v>78</v>
      </c>
    </row>
    <row r="382" spans="2:9" ht="15" customHeight="1" x14ac:dyDescent="0.3">
      <c r="B382" s="17">
        <f>IF('Marcación Workera'!G382="","",INT('Marcación Workera'!G382))</f>
        <v>46264</v>
      </c>
      <c r="C382" s="18" t="str">
        <f>IF('Marcación Workera'!B382="","",UPPER(SUBSTITUTE('Marcación Workera'!B382,".","")))</f>
        <v>14413231-9</v>
      </c>
      <c r="E382" s="19" t="s">
        <v>550</v>
      </c>
      <c r="F382" s="19" t="s">
        <v>560</v>
      </c>
      <c r="G382" s="19" t="s">
        <v>594</v>
      </c>
      <c r="H382" s="19" t="s">
        <v>562</v>
      </c>
      <c r="I382" s="19" t="s">
        <v>80</v>
      </c>
    </row>
    <row r="383" spans="2:9" ht="15" customHeight="1" x14ac:dyDescent="0.3">
      <c r="B383" s="17">
        <f>IF('Marcación Workera'!G383="","",INT('Marcación Workera'!G383))</f>
        <v>46264</v>
      </c>
      <c r="C383" s="18" t="str">
        <f>IF('Marcación Workera'!B383="","",UPPER(SUBSTITUTE('Marcación Workera'!B383,".","")))</f>
        <v>14413231-9</v>
      </c>
      <c r="E383" s="19" t="s">
        <v>550</v>
      </c>
      <c r="F383" s="19" t="s">
        <v>563</v>
      </c>
      <c r="G383" s="19" t="s">
        <v>593</v>
      </c>
      <c r="H383" s="19" t="s">
        <v>562</v>
      </c>
      <c r="I383" s="19" t="s">
        <v>80</v>
      </c>
    </row>
    <row r="384" spans="2:9" ht="15" customHeight="1" x14ac:dyDescent="0.3">
      <c r="B384" s="17">
        <f>IF('Marcación Workera'!G384="","",INT('Marcación Workera'!G384))</f>
        <v>46264</v>
      </c>
      <c r="C384" s="18" t="str">
        <f>IF('Marcación Workera'!B384="","",UPPER(SUBSTITUTE('Marcación Workera'!B384,".","")))</f>
        <v>18889617-0</v>
      </c>
      <c r="E384" s="19" t="s">
        <v>529</v>
      </c>
      <c r="F384" s="19" t="s">
        <v>560</v>
      </c>
      <c r="G384" s="19" t="s">
        <v>594</v>
      </c>
      <c r="H384" s="19" t="s">
        <v>562</v>
      </c>
      <c r="I384" s="19" t="s">
        <v>85</v>
      </c>
    </row>
    <row r="385" spans="2:9" ht="15" customHeight="1" x14ac:dyDescent="0.3">
      <c r="B385" s="17">
        <f>IF('Marcación Workera'!G385="","",INT('Marcación Workera'!G385))</f>
        <v>46264</v>
      </c>
      <c r="C385" s="18" t="str">
        <f>IF('Marcación Workera'!B385="","",UPPER(SUBSTITUTE('Marcación Workera'!B385,".","")))</f>
        <v>14594999-8</v>
      </c>
      <c r="E385" s="19" t="s">
        <v>529</v>
      </c>
      <c r="F385" s="19" t="s">
        <v>563</v>
      </c>
      <c r="G385" s="19" t="s">
        <v>593</v>
      </c>
      <c r="H385" s="19" t="s">
        <v>562</v>
      </c>
      <c r="I385" s="19" t="s">
        <v>85</v>
      </c>
    </row>
    <row r="386" spans="2:9" ht="15" customHeight="1" x14ac:dyDescent="0.3">
      <c r="B386" s="17">
        <f>IF('Marcación Workera'!G386="","",INT('Marcación Workera'!G386))</f>
        <v>46264</v>
      </c>
      <c r="C386" s="18" t="str">
        <f>IF('Marcación Workera'!B386="","",UPPER(SUBSTITUTE('Marcación Workera'!B386,".","")))</f>
        <v>17805184-9</v>
      </c>
      <c r="E386" s="19" t="s">
        <v>574</v>
      </c>
      <c r="F386" s="19" t="s">
        <v>560</v>
      </c>
      <c r="G386" s="19" t="s">
        <v>594</v>
      </c>
      <c r="H386" s="19" t="s">
        <v>562</v>
      </c>
      <c r="I386" s="19" t="s">
        <v>82</v>
      </c>
    </row>
    <row r="387" spans="2:9" ht="15" customHeight="1" x14ac:dyDescent="0.3">
      <c r="B387" s="17">
        <f>IF('Marcación Workera'!G387="","",INT('Marcación Workera'!G387))</f>
        <v>46264</v>
      </c>
      <c r="C387" s="18" t="str">
        <f>IF('Marcación Workera'!B387="","",UPPER(SUBSTITUTE('Marcación Workera'!B387,".","")))</f>
        <v>15814058-6</v>
      </c>
      <c r="E387" s="19" t="s">
        <v>574</v>
      </c>
      <c r="F387" s="19" t="s">
        <v>563</v>
      </c>
      <c r="G387" s="19" t="s">
        <v>593</v>
      </c>
      <c r="H387" s="19" t="s">
        <v>562</v>
      </c>
      <c r="I387" s="19" t="s">
        <v>82</v>
      </c>
    </row>
    <row r="388" spans="2:9" ht="15" customHeight="1" x14ac:dyDescent="0.3">
      <c r="B388" s="17">
        <f>IF('Marcación Workera'!G388="","",INT('Marcación Workera'!G388))</f>
        <v>46264</v>
      </c>
      <c r="C388" s="18" t="str">
        <f>IF('Marcación Workera'!B388="","",UPPER(SUBSTITUTE('Marcación Workera'!B388,".","")))</f>
        <v>13855440-6</v>
      </c>
      <c r="E388" s="19" t="s">
        <v>575</v>
      </c>
      <c r="F388" s="19" t="s">
        <v>560</v>
      </c>
      <c r="G388" s="19" t="s">
        <v>594</v>
      </c>
      <c r="H388" s="19" t="s">
        <v>562</v>
      </c>
      <c r="I388" s="19" t="s">
        <v>83</v>
      </c>
    </row>
    <row r="389" spans="2:9" ht="15" customHeight="1" x14ac:dyDescent="0.3">
      <c r="B389" s="17">
        <f>IF('Marcación Workera'!G389="","",INT('Marcación Workera'!G389))</f>
        <v>46264</v>
      </c>
      <c r="C389" s="18" t="str">
        <f>IF('Marcación Workera'!B389="","",UPPER(SUBSTITUTE('Marcación Workera'!B389,".","")))</f>
        <v>13855440-6</v>
      </c>
      <c r="E389" s="19" t="s">
        <v>575</v>
      </c>
      <c r="F389" s="19" t="s">
        <v>563</v>
      </c>
      <c r="G389" s="19" t="s">
        <v>593</v>
      </c>
      <c r="H389" s="19" t="s">
        <v>562</v>
      </c>
      <c r="I389" s="19" t="s">
        <v>83</v>
      </c>
    </row>
    <row r="390" spans="2:9" ht="15" customHeight="1" x14ac:dyDescent="0.3">
      <c r="B390" s="17">
        <f>IF('Marcación Workera'!G390="","",INT('Marcación Workera'!G390))</f>
        <v>46264</v>
      </c>
      <c r="C390" s="18" t="str">
        <f>IF('Marcación Workera'!B390="","",UPPER(SUBSTITUTE('Marcación Workera'!B390,".","")))</f>
        <v>15831074-0</v>
      </c>
      <c r="E390" s="19" t="s">
        <v>201</v>
      </c>
      <c r="F390" s="19" t="s">
        <v>560</v>
      </c>
      <c r="G390" s="19" t="s">
        <v>594</v>
      </c>
      <c r="H390" s="19" t="s">
        <v>562</v>
      </c>
      <c r="I390" s="19" t="s">
        <v>90</v>
      </c>
    </row>
    <row r="391" spans="2:9" ht="15" customHeight="1" x14ac:dyDescent="0.3">
      <c r="B391" s="17">
        <f>IF('Marcación Workera'!G391="","",INT('Marcación Workera'!G391))</f>
        <v>46264</v>
      </c>
      <c r="C391" s="18" t="str">
        <f>IF('Marcación Workera'!B391="","",UPPER(SUBSTITUTE('Marcación Workera'!B391,".","")))</f>
        <v>19949787-1</v>
      </c>
      <c r="E391" s="19" t="s">
        <v>201</v>
      </c>
      <c r="F391" s="19" t="s">
        <v>563</v>
      </c>
      <c r="G391" s="19" t="s">
        <v>593</v>
      </c>
      <c r="H391" s="19" t="s">
        <v>562</v>
      </c>
      <c r="I391" s="19" t="s">
        <v>90</v>
      </c>
    </row>
    <row r="392" spans="2:9" ht="15" customHeight="1" x14ac:dyDescent="0.3">
      <c r="B392" s="17">
        <f>IF('Marcación Workera'!G392="","",INT('Marcación Workera'!G392))</f>
        <v>46264</v>
      </c>
      <c r="C392" s="18" t="str">
        <f>IF('Marcación Workera'!B392="","",UPPER(SUBSTITUTE('Marcación Workera'!B392,".","")))</f>
        <v>21516063-7</v>
      </c>
      <c r="E392" s="19" t="s">
        <v>585</v>
      </c>
      <c r="F392" s="19" t="s">
        <v>560</v>
      </c>
      <c r="G392" s="19" t="s">
        <v>594</v>
      </c>
      <c r="H392" s="19" t="s">
        <v>562</v>
      </c>
      <c r="I392" s="19" t="s">
        <v>92</v>
      </c>
    </row>
    <row r="393" spans="2:9" ht="15" customHeight="1" x14ac:dyDescent="0.3">
      <c r="B393" s="17">
        <f>IF('Marcación Workera'!G393="","",INT('Marcación Workera'!G393))</f>
        <v>46264</v>
      </c>
      <c r="C393" s="18" t="str">
        <f>IF('Marcación Workera'!B393="","",UPPER(SUBSTITUTE('Marcación Workera'!B393,".","")))</f>
        <v>16706064-1</v>
      </c>
      <c r="E393" s="19" t="s">
        <v>585</v>
      </c>
      <c r="F393" s="19" t="s">
        <v>563</v>
      </c>
      <c r="G393" s="19" t="s">
        <v>593</v>
      </c>
      <c r="H393" s="19" t="s">
        <v>562</v>
      </c>
      <c r="I393" s="19" t="s">
        <v>92</v>
      </c>
    </row>
    <row r="394" spans="2:9" ht="15" customHeight="1" x14ac:dyDescent="0.3">
      <c r="B394" s="17">
        <f>IF('Marcación Workera'!G394="","",INT('Marcación Workera'!G394))</f>
        <v>46264</v>
      </c>
      <c r="C394" s="18" t="str">
        <f>IF('Marcación Workera'!B394="","",UPPER(SUBSTITUTE('Marcación Workera'!B394,".","")))</f>
        <v>21254681-K</v>
      </c>
      <c r="E394" s="19" t="s">
        <v>592</v>
      </c>
      <c r="F394" s="19" t="s">
        <v>560</v>
      </c>
      <c r="G394" s="19" t="s">
        <v>595</v>
      </c>
      <c r="H394" s="19" t="s">
        <v>562</v>
      </c>
      <c r="I394" s="19" t="s">
        <v>97</v>
      </c>
    </row>
    <row r="395" spans="2:9" ht="15" customHeight="1" x14ac:dyDescent="0.3">
      <c r="B395" s="17">
        <f>IF('Marcación Workera'!G395="","",INT('Marcación Workera'!G395))</f>
        <v>46264</v>
      </c>
      <c r="C395" s="18" t="str">
        <f>IF('Marcación Workera'!B395="","",UPPER(SUBSTITUTE('Marcación Workera'!B395,".","")))</f>
        <v>17643998-K</v>
      </c>
      <c r="E395" s="19" t="s">
        <v>592</v>
      </c>
      <c r="F395" s="19" t="s">
        <v>563</v>
      </c>
      <c r="G395" s="19" t="s">
        <v>596</v>
      </c>
      <c r="H395" s="19" t="s">
        <v>562</v>
      </c>
      <c r="I395" s="19" t="s">
        <v>97</v>
      </c>
    </row>
    <row r="396" spans="2:9" ht="15" customHeight="1" x14ac:dyDescent="0.3">
      <c r="B396" s="17">
        <f>IF('Marcación Workera'!G396="","",INT('Marcación Workera'!G396))</f>
        <v>46264</v>
      </c>
      <c r="C396" s="18" t="str">
        <f>IF('Marcación Workera'!B396="","",UPPER(SUBSTITUTE('Marcación Workera'!B396,".","")))</f>
        <v>16188552-5</v>
      </c>
      <c r="E396" s="19" t="s">
        <v>197</v>
      </c>
      <c r="F396" s="19" t="s">
        <v>560</v>
      </c>
      <c r="G396" s="19" t="s">
        <v>595</v>
      </c>
      <c r="H396" s="19" t="s">
        <v>562</v>
      </c>
      <c r="I396" s="19" t="s">
        <v>100</v>
      </c>
    </row>
    <row r="397" spans="2:9" ht="15" customHeight="1" x14ac:dyDescent="0.3">
      <c r="B397" s="17">
        <f>IF('Marcación Workera'!G397="","",INT('Marcación Workera'!G397))</f>
        <v>46264</v>
      </c>
      <c r="C397" s="18" t="str">
        <f>IF('Marcación Workera'!B397="","",UPPER(SUBSTITUTE('Marcación Workera'!B397,".","")))</f>
        <v>23868099-9</v>
      </c>
      <c r="E397" s="19" t="s">
        <v>197</v>
      </c>
      <c r="F397" s="19" t="s">
        <v>563</v>
      </c>
      <c r="G397" s="19" t="s">
        <v>596</v>
      </c>
      <c r="H397" s="19" t="s">
        <v>562</v>
      </c>
      <c r="I397" s="19" t="s">
        <v>100</v>
      </c>
    </row>
    <row r="398" spans="2:9" ht="15" customHeight="1" x14ac:dyDescent="0.3">
      <c r="B398" s="17">
        <f>IF('Marcación Workera'!G398="","",INT('Marcación Workera'!G398))</f>
        <v>46264</v>
      </c>
      <c r="C398" s="18" t="str">
        <f>IF('Marcación Workera'!B398="","",UPPER(SUBSTITUTE('Marcación Workera'!B398,".","")))</f>
        <v>17626968-5</v>
      </c>
      <c r="E398" s="19" t="s">
        <v>541</v>
      </c>
      <c r="F398" s="19" t="s">
        <v>560</v>
      </c>
      <c r="G398" s="19" t="s">
        <v>595</v>
      </c>
      <c r="H398" s="19" t="s">
        <v>562</v>
      </c>
      <c r="I398" s="19" t="s">
        <v>71</v>
      </c>
    </row>
    <row r="399" spans="2:9" ht="15" customHeight="1" x14ac:dyDescent="0.3">
      <c r="B399" s="17">
        <f>IF('Marcación Workera'!G399="","",INT('Marcación Workera'!G399))</f>
        <v>46264</v>
      </c>
      <c r="C399" s="18" t="str">
        <f>IF('Marcación Workera'!B399="","",UPPER(SUBSTITUTE('Marcación Workera'!B399,".","")))</f>
        <v>20718093-9</v>
      </c>
      <c r="E399" s="19" t="s">
        <v>541</v>
      </c>
      <c r="F399" s="19" t="s">
        <v>563</v>
      </c>
      <c r="G399" s="19" t="s">
        <v>596</v>
      </c>
      <c r="H399" s="19" t="s">
        <v>562</v>
      </c>
      <c r="I399" s="19" t="s">
        <v>71</v>
      </c>
    </row>
    <row r="400" spans="2:9" ht="15" customHeight="1" x14ac:dyDescent="0.3">
      <c r="B400" s="17">
        <f>IF('Marcación Workera'!G400="","",INT('Marcación Workera'!G400))</f>
        <v>46264</v>
      </c>
      <c r="C400" s="18" t="str">
        <f>IF('Marcación Workera'!B400="","",UPPER(SUBSTITUTE('Marcación Workera'!B400,".","")))</f>
        <v>12814487-0</v>
      </c>
      <c r="E400" s="19" t="s">
        <v>535</v>
      </c>
      <c r="F400" s="19" t="s">
        <v>560</v>
      </c>
      <c r="G400" s="19" t="s">
        <v>595</v>
      </c>
      <c r="H400" s="19" t="s">
        <v>562</v>
      </c>
      <c r="I400" s="19" t="s">
        <v>72</v>
      </c>
    </row>
    <row r="401" spans="2:9" ht="15" customHeight="1" x14ac:dyDescent="0.3">
      <c r="B401" s="17">
        <f>IF('Marcación Workera'!G401="","",INT('Marcación Workera'!G401))</f>
        <v>46264</v>
      </c>
      <c r="C401" s="18" t="str">
        <f>IF('Marcación Workera'!B401="","",UPPER(SUBSTITUTE('Marcación Workera'!B401,".","")))</f>
        <v>14043656-9</v>
      </c>
      <c r="E401" s="19" t="s">
        <v>535</v>
      </c>
      <c r="F401" s="19" t="s">
        <v>563</v>
      </c>
      <c r="G401" s="19" t="s">
        <v>596</v>
      </c>
      <c r="H401" s="19" t="s">
        <v>562</v>
      </c>
      <c r="I401" s="19" t="s">
        <v>72</v>
      </c>
    </row>
    <row r="402" spans="2:9" ht="15" customHeight="1" x14ac:dyDescent="0.3">
      <c r="B402" s="17">
        <f>IF('Marcación Workera'!G402="","",INT('Marcación Workera'!G402))</f>
        <v>46264</v>
      </c>
      <c r="C402" s="18" t="str">
        <f>IF('Marcación Workera'!B402="","",UPPER(SUBSTITUTE('Marcación Workera'!B402,".","")))</f>
        <v>16706064-1</v>
      </c>
      <c r="E402" s="19" t="s">
        <v>544</v>
      </c>
      <c r="F402" s="19" t="s">
        <v>560</v>
      </c>
      <c r="G402" s="19" t="s">
        <v>595</v>
      </c>
      <c r="H402" s="19" t="s">
        <v>562</v>
      </c>
      <c r="I402" s="19" t="s">
        <v>73</v>
      </c>
    </row>
    <row r="403" spans="2:9" ht="15" customHeight="1" x14ac:dyDescent="0.3">
      <c r="B403" s="17">
        <f>IF('Marcación Workera'!G403="","",INT('Marcación Workera'!G403))</f>
        <v>46264</v>
      </c>
      <c r="C403" s="18" t="str">
        <f>IF('Marcación Workera'!B403="","",UPPER(SUBSTITUTE('Marcación Workera'!B403,".","")))</f>
        <v>21254681-K</v>
      </c>
      <c r="E403" s="19" t="s">
        <v>544</v>
      </c>
      <c r="F403" s="19" t="s">
        <v>563</v>
      </c>
      <c r="G403" s="19" t="s">
        <v>596</v>
      </c>
      <c r="H403" s="19" t="s">
        <v>562</v>
      </c>
      <c r="I403" s="19" t="s">
        <v>73</v>
      </c>
    </row>
    <row r="404" spans="2:9" ht="15" customHeight="1" x14ac:dyDescent="0.3">
      <c r="B404" s="17">
        <f>IF('Marcación Workera'!G404="","",INT('Marcación Workera'!G404))</f>
        <v>46264</v>
      </c>
      <c r="C404" s="18" t="str">
        <f>IF('Marcación Workera'!B404="","",UPPER(SUBSTITUTE('Marcación Workera'!B404,".","")))</f>
        <v>17805184-9</v>
      </c>
      <c r="E404" s="19" t="s">
        <v>547</v>
      </c>
      <c r="F404" s="19" t="s">
        <v>560</v>
      </c>
      <c r="G404" s="19" t="s">
        <v>595</v>
      </c>
      <c r="H404" s="19" t="s">
        <v>562</v>
      </c>
      <c r="I404" s="19" t="s">
        <v>75</v>
      </c>
    </row>
    <row r="405" spans="2:9" ht="15" customHeight="1" x14ac:dyDescent="0.3">
      <c r="B405" s="17">
        <f>IF('Marcación Workera'!G405="","",INT('Marcación Workera'!G405))</f>
        <v>46264</v>
      </c>
      <c r="C405" s="18" t="str">
        <f>IF('Marcación Workera'!B405="","",UPPER(SUBSTITUTE('Marcación Workera'!B405,".","")))</f>
        <v>11508866-1</v>
      </c>
      <c r="E405" s="19" t="s">
        <v>547</v>
      </c>
      <c r="F405" s="19" t="s">
        <v>563</v>
      </c>
      <c r="G405" s="19" t="s">
        <v>596</v>
      </c>
      <c r="H405" s="19" t="s">
        <v>562</v>
      </c>
      <c r="I405" s="19" t="s">
        <v>75</v>
      </c>
    </row>
    <row r="406" spans="2:9" ht="15" customHeight="1" x14ac:dyDescent="0.3">
      <c r="B406" s="17">
        <f>IF('Marcación Workera'!G406="","",INT('Marcación Workera'!G406))</f>
        <v>46264</v>
      </c>
      <c r="C406" s="18" t="str">
        <f>IF('Marcación Workera'!B406="","",UPPER(SUBSTITUTE('Marcación Workera'!B406,".","")))</f>
        <v>17643998-K</v>
      </c>
      <c r="E406" s="19" t="s">
        <v>199</v>
      </c>
      <c r="F406" s="19" t="s">
        <v>560</v>
      </c>
      <c r="G406" s="19" t="s">
        <v>595</v>
      </c>
      <c r="H406" s="19" t="s">
        <v>562</v>
      </c>
      <c r="I406" s="19" t="s">
        <v>76</v>
      </c>
    </row>
    <row r="407" spans="2:9" ht="15" customHeight="1" x14ac:dyDescent="0.3">
      <c r="B407" s="17">
        <f>IF('Marcación Workera'!G407="","",INT('Marcación Workera'!G407))</f>
        <v>46264</v>
      </c>
      <c r="C407" s="18" t="str">
        <f>IF('Marcación Workera'!B407="","",UPPER(SUBSTITUTE('Marcación Workera'!B407,".","")))</f>
        <v>17643998-K</v>
      </c>
      <c r="E407" s="19" t="s">
        <v>199</v>
      </c>
      <c r="F407" s="19" t="s">
        <v>563</v>
      </c>
      <c r="G407" s="19" t="s">
        <v>596</v>
      </c>
      <c r="H407" s="19" t="s">
        <v>562</v>
      </c>
      <c r="I407" s="19" t="s">
        <v>76</v>
      </c>
    </row>
    <row r="408" spans="2:9" ht="15" customHeight="1" x14ac:dyDescent="0.3">
      <c r="B408" s="17">
        <f>IF('Marcación Workera'!G408="","",INT('Marcación Workera'!G408))</f>
        <v>46264</v>
      </c>
      <c r="C408" s="18" t="str">
        <f>IF('Marcación Workera'!B408="","",UPPER(SUBSTITUTE('Marcación Workera'!B408,".","")))</f>
        <v>19949787-1</v>
      </c>
      <c r="E408" s="19" t="s">
        <v>532</v>
      </c>
      <c r="F408" s="19" t="s">
        <v>560</v>
      </c>
      <c r="G408" s="19" t="s">
        <v>595</v>
      </c>
      <c r="H408" s="19" t="s">
        <v>562</v>
      </c>
      <c r="I408" s="19" t="s">
        <v>77</v>
      </c>
    </row>
    <row r="409" spans="2:9" ht="15" customHeight="1" x14ac:dyDescent="0.3">
      <c r="B409" s="17">
        <f>IF('Marcación Workera'!G409="","",INT('Marcación Workera'!G409))</f>
        <v>46264</v>
      </c>
      <c r="C409" s="18" t="str">
        <f>IF('Marcación Workera'!B409="","",UPPER(SUBSTITUTE('Marcación Workera'!B409,".","")))</f>
        <v>14413231-9</v>
      </c>
      <c r="E409" s="19" t="s">
        <v>532</v>
      </c>
      <c r="F409" s="19" t="s">
        <v>563</v>
      </c>
      <c r="G409" s="19" t="s">
        <v>596</v>
      </c>
      <c r="H409" s="19" t="s">
        <v>562</v>
      </c>
      <c r="I409" s="19" t="s">
        <v>77</v>
      </c>
    </row>
    <row r="410" spans="2:9" ht="15" customHeight="1" x14ac:dyDescent="0.3">
      <c r="B410" s="17">
        <f>IF('Marcación Workera'!G410="","",INT('Marcación Workera'!G410))</f>
        <v>46264</v>
      </c>
      <c r="C410" s="18" t="str">
        <f>IF('Marcación Workera'!B410="","",UPPER(SUBSTITUTE('Marcación Workera'!B410,".","")))</f>
        <v>16188552-5</v>
      </c>
      <c r="E410" s="19" t="s">
        <v>584</v>
      </c>
      <c r="F410" s="19" t="s">
        <v>560</v>
      </c>
      <c r="G410" s="19" t="s">
        <v>595</v>
      </c>
      <c r="H410" s="19" t="s">
        <v>562</v>
      </c>
      <c r="I410" s="19" t="s">
        <v>89</v>
      </c>
    </row>
    <row r="411" spans="2:9" ht="15" customHeight="1" x14ac:dyDescent="0.3">
      <c r="B411" s="17">
        <f>IF('Marcación Workera'!G411="","",INT('Marcación Workera'!G411))</f>
        <v>46264</v>
      </c>
      <c r="C411" s="18" t="str">
        <f>IF('Marcación Workera'!B411="","",UPPER(SUBSTITUTE('Marcación Workera'!B411,".","")))</f>
        <v>12814487-0</v>
      </c>
      <c r="E411" s="19" t="s">
        <v>584</v>
      </c>
      <c r="F411" s="19" t="s">
        <v>563</v>
      </c>
      <c r="G411" s="19" t="s">
        <v>596</v>
      </c>
      <c r="H411" s="19" t="s">
        <v>562</v>
      </c>
      <c r="I411" s="19" t="s">
        <v>89</v>
      </c>
    </row>
    <row r="412" spans="2:9" ht="15" customHeight="1" x14ac:dyDescent="0.3">
      <c r="B412" s="17">
        <f>IF('Marcación Workera'!G412="","",INT('Marcación Workera'!G412))</f>
        <v>46264</v>
      </c>
      <c r="C412" s="18" t="str">
        <f>IF('Marcación Workera'!B412="","",UPPER(SUBSTITUTE('Marcación Workera'!B412,".","")))</f>
        <v>17626968-5</v>
      </c>
      <c r="E412" s="19" t="s">
        <v>538</v>
      </c>
      <c r="F412" s="19" t="s">
        <v>560</v>
      </c>
      <c r="G412" s="19" t="s">
        <v>596</v>
      </c>
      <c r="H412" s="19" t="s">
        <v>562</v>
      </c>
      <c r="I412" s="19" t="s">
        <v>78</v>
      </c>
    </row>
    <row r="413" spans="2:9" ht="15" customHeight="1" x14ac:dyDescent="0.3">
      <c r="B413" s="17">
        <f>IF('Marcación Workera'!G413="","",INT('Marcación Workera'!G413))</f>
        <v>46264</v>
      </c>
      <c r="C413" s="18" t="str">
        <f>IF('Marcación Workera'!B413="","",UPPER(SUBSTITUTE('Marcación Workera'!B413,".","")))</f>
        <v>23868099-9</v>
      </c>
      <c r="E413" s="19" t="s">
        <v>538</v>
      </c>
      <c r="F413" s="19" t="s">
        <v>563</v>
      </c>
      <c r="G413" s="19" t="s">
        <v>595</v>
      </c>
      <c r="H413" s="19" t="s">
        <v>562</v>
      </c>
      <c r="I413" s="19" t="s">
        <v>78</v>
      </c>
    </row>
    <row r="414" spans="2:9" ht="15" customHeight="1" x14ac:dyDescent="0.3">
      <c r="B414" s="17">
        <f>IF('Marcación Workera'!G414="","",INT('Marcación Workera'!G414))</f>
        <v>46264</v>
      </c>
      <c r="C414" s="18" t="str">
        <f>IF('Marcación Workera'!B414="","",UPPER(SUBSTITUTE('Marcación Workera'!B414,".","")))</f>
        <v>21516063-7</v>
      </c>
      <c r="E414" s="19" t="s">
        <v>550</v>
      </c>
      <c r="F414" s="19" t="s">
        <v>560</v>
      </c>
      <c r="G414" s="19" t="s">
        <v>596</v>
      </c>
      <c r="H414" s="19" t="s">
        <v>562</v>
      </c>
      <c r="I414" s="19" t="s">
        <v>80</v>
      </c>
    </row>
    <row r="415" spans="2:9" ht="15" customHeight="1" x14ac:dyDescent="0.3">
      <c r="B415" s="17">
        <f>IF('Marcación Workera'!G415="","",INT('Marcación Workera'!G415))</f>
        <v>46264</v>
      </c>
      <c r="C415" s="18" t="str">
        <f>IF('Marcación Workera'!B415="","",UPPER(SUBSTITUTE('Marcación Workera'!B415,".","")))</f>
        <v>13855440-6</v>
      </c>
      <c r="E415" s="19" t="s">
        <v>550</v>
      </c>
      <c r="F415" s="19" t="s">
        <v>563</v>
      </c>
      <c r="G415" s="19" t="s">
        <v>595</v>
      </c>
      <c r="H415" s="19" t="s">
        <v>562</v>
      </c>
      <c r="I415" s="19" t="s">
        <v>80</v>
      </c>
    </row>
    <row r="416" spans="2:9" ht="15" customHeight="1" x14ac:dyDescent="0.3">
      <c r="B416" s="17">
        <f>IF('Marcación Workera'!G416="","",INT('Marcación Workera'!G416))</f>
        <v>46264</v>
      </c>
      <c r="C416" s="18" t="str">
        <f>IF('Marcación Workera'!B416="","",UPPER(SUBSTITUTE('Marcación Workera'!B416,".","")))</f>
        <v>14594999-8</v>
      </c>
      <c r="E416" s="19" t="s">
        <v>529</v>
      </c>
      <c r="F416" s="19" t="s">
        <v>560</v>
      </c>
      <c r="G416" s="19" t="s">
        <v>596</v>
      </c>
      <c r="H416" s="19" t="s">
        <v>562</v>
      </c>
      <c r="I416" s="19" t="s">
        <v>85</v>
      </c>
    </row>
    <row r="417" spans="2:9" ht="15" customHeight="1" x14ac:dyDescent="0.3">
      <c r="B417" s="17">
        <f>IF('Marcación Workera'!G417="","",INT('Marcación Workera'!G417))</f>
        <v>46264</v>
      </c>
      <c r="C417" s="18" t="str">
        <f>IF('Marcación Workera'!B417="","",UPPER(SUBSTITUTE('Marcación Workera'!B417,".","")))</f>
        <v>18352777-0</v>
      </c>
      <c r="E417" s="19" t="s">
        <v>529</v>
      </c>
      <c r="F417" s="19" t="s">
        <v>563</v>
      </c>
      <c r="G417" s="19" t="s">
        <v>595</v>
      </c>
      <c r="H417" s="19" t="s">
        <v>562</v>
      </c>
      <c r="I417" s="19" t="s">
        <v>85</v>
      </c>
    </row>
    <row r="418" spans="2:9" ht="15" customHeight="1" x14ac:dyDescent="0.3">
      <c r="B418" s="17">
        <f>IF('Marcación Workera'!G418="","",INT('Marcación Workera'!G418))</f>
        <v>46264</v>
      </c>
      <c r="C418" s="18" t="str">
        <f>IF('Marcación Workera'!B418="","",UPPER(SUBSTITUTE('Marcación Workera'!B418,".","")))</f>
        <v>14615536-7</v>
      </c>
      <c r="E418" s="19" t="s">
        <v>574</v>
      </c>
      <c r="F418" s="19" t="s">
        <v>560</v>
      </c>
      <c r="G418" s="19" t="s">
        <v>596</v>
      </c>
      <c r="H418" s="19" t="s">
        <v>562</v>
      </c>
      <c r="I418" s="19" t="s">
        <v>82</v>
      </c>
    </row>
    <row r="419" spans="2:9" ht="15" customHeight="1" x14ac:dyDescent="0.3">
      <c r="B419" s="17">
        <f>IF('Marcación Workera'!G419="","",INT('Marcación Workera'!G419))</f>
        <v>46264</v>
      </c>
      <c r="C419" s="18" t="str">
        <f>IF('Marcación Workera'!B419="","",UPPER(SUBSTITUTE('Marcación Workera'!B419,".","")))</f>
        <v>15831074-0</v>
      </c>
      <c r="E419" s="19" t="s">
        <v>574</v>
      </c>
      <c r="F419" s="19" t="s">
        <v>563</v>
      </c>
      <c r="G419" s="19" t="s">
        <v>595</v>
      </c>
      <c r="H419" s="19" t="s">
        <v>562</v>
      </c>
      <c r="I419" s="19" t="s">
        <v>82</v>
      </c>
    </row>
    <row r="420" spans="2:9" ht="15" customHeight="1" x14ac:dyDescent="0.3">
      <c r="B420" s="17">
        <f>IF('Marcación Workera'!G420="","",INT('Marcación Workera'!G420))</f>
        <v>46264</v>
      </c>
      <c r="C420" s="18" t="str">
        <f>IF('Marcación Workera'!B420="","",UPPER(SUBSTITUTE('Marcación Workera'!B420,".","")))</f>
        <v>20718093-9</v>
      </c>
      <c r="E420" s="19" t="s">
        <v>575</v>
      </c>
      <c r="F420" s="19" t="s">
        <v>560</v>
      </c>
      <c r="G420" s="19" t="s">
        <v>596</v>
      </c>
      <c r="H420" s="19" t="s">
        <v>562</v>
      </c>
      <c r="I420" s="19" t="s">
        <v>83</v>
      </c>
    </row>
    <row r="421" spans="2:9" ht="15" customHeight="1" x14ac:dyDescent="0.3">
      <c r="B421" s="17">
        <f>IF('Marcación Workera'!G421="","",INT('Marcación Workera'!G421))</f>
        <v>46263</v>
      </c>
      <c r="C421" s="18" t="str">
        <f>IF('Marcación Workera'!B421="","",UPPER(SUBSTITUTE('Marcación Workera'!B421,".","")))</f>
        <v>11508866-1</v>
      </c>
      <c r="E421" s="19" t="s">
        <v>575</v>
      </c>
      <c r="F421" s="19" t="s">
        <v>563</v>
      </c>
      <c r="G421" s="19" t="s">
        <v>595</v>
      </c>
      <c r="H421" s="19" t="s">
        <v>562</v>
      </c>
      <c r="I421" s="19" t="s">
        <v>83</v>
      </c>
    </row>
    <row r="422" spans="2:9" ht="15" customHeight="1" x14ac:dyDescent="0.3">
      <c r="B422" s="17">
        <f>IF('Marcación Workera'!G422="","",INT('Marcación Workera'!G422))</f>
        <v>46263</v>
      </c>
      <c r="C422" s="18" t="str">
        <f>IF('Marcación Workera'!B422="","",UPPER(SUBSTITUTE('Marcación Workera'!B422,".","")))</f>
        <v>17643998-K</v>
      </c>
      <c r="E422" s="19" t="s">
        <v>201</v>
      </c>
      <c r="F422" s="19" t="s">
        <v>560</v>
      </c>
      <c r="G422" s="19" t="s">
        <v>596</v>
      </c>
      <c r="H422" s="19" t="s">
        <v>562</v>
      </c>
      <c r="I422" s="19" t="s">
        <v>90</v>
      </c>
    </row>
    <row r="423" spans="2:9" ht="15" customHeight="1" x14ac:dyDescent="0.3">
      <c r="B423" s="17">
        <f>IF('Marcación Workera'!G423="","",INT('Marcación Workera'!G423))</f>
        <v>46263</v>
      </c>
      <c r="C423" s="18" t="str">
        <f>IF('Marcación Workera'!B423="","",UPPER(SUBSTITUTE('Marcación Workera'!B423,".","")))</f>
        <v>14043656-9</v>
      </c>
      <c r="E423" s="19" t="s">
        <v>201</v>
      </c>
      <c r="F423" s="19" t="s">
        <v>563</v>
      </c>
      <c r="G423" s="19" t="s">
        <v>595</v>
      </c>
      <c r="H423" s="19" t="s">
        <v>562</v>
      </c>
      <c r="I423" s="19" t="s">
        <v>90</v>
      </c>
    </row>
    <row r="424" spans="2:9" ht="15" customHeight="1" x14ac:dyDescent="0.3">
      <c r="B424" s="17">
        <f>IF('Marcación Workera'!G424="","",INT('Marcación Workera'!G424))</f>
        <v>46263</v>
      </c>
      <c r="C424" s="18" t="str">
        <f>IF('Marcación Workera'!B424="","",UPPER(SUBSTITUTE('Marcación Workera'!B424,".","")))</f>
        <v>14043656-9</v>
      </c>
      <c r="E424" s="19" t="s">
        <v>585</v>
      </c>
      <c r="F424" s="19" t="s">
        <v>560</v>
      </c>
      <c r="G424" s="19" t="s">
        <v>596</v>
      </c>
      <c r="H424" s="19" t="s">
        <v>562</v>
      </c>
      <c r="I424" s="19" t="s">
        <v>92</v>
      </c>
    </row>
    <row r="425" spans="2:9" ht="15" customHeight="1" x14ac:dyDescent="0.3">
      <c r="B425" s="17">
        <f>IF('Marcación Workera'!G425="","",INT('Marcación Workera'!G425))</f>
        <v>46263</v>
      </c>
      <c r="C425" s="18" t="str">
        <f>IF('Marcación Workera'!B425="","",UPPER(SUBSTITUTE('Marcación Workera'!B425,".","")))</f>
        <v>20718093-9</v>
      </c>
      <c r="E425" s="19" t="s">
        <v>585</v>
      </c>
      <c r="F425" s="19" t="s">
        <v>563</v>
      </c>
      <c r="G425" s="19" t="s">
        <v>595</v>
      </c>
      <c r="H425" s="19" t="s">
        <v>562</v>
      </c>
      <c r="I425" s="19" t="s">
        <v>92</v>
      </c>
    </row>
    <row r="426" spans="2:9" ht="15" customHeight="1" x14ac:dyDescent="0.3">
      <c r="B426" s="17">
        <f>IF('Marcación Workera'!G426="","",INT('Marcación Workera'!G426))</f>
        <v>46263</v>
      </c>
      <c r="C426" s="18" t="str">
        <f>IF('Marcación Workera'!B426="","",UPPER(SUBSTITUTE('Marcación Workera'!B426,".","")))</f>
        <v>18352777-0</v>
      </c>
      <c r="E426" s="19" t="s">
        <v>592</v>
      </c>
      <c r="F426" s="19" t="s">
        <v>560</v>
      </c>
      <c r="G426" s="19" t="s">
        <v>597</v>
      </c>
      <c r="H426" s="19" t="s">
        <v>562</v>
      </c>
      <c r="I426" s="19" t="s">
        <v>97</v>
      </c>
    </row>
    <row r="427" spans="2:9" ht="15" customHeight="1" x14ac:dyDescent="0.3">
      <c r="B427" s="17">
        <f>IF('Marcación Workera'!G427="","",INT('Marcación Workera'!G427))</f>
        <v>46263</v>
      </c>
      <c r="C427" s="18" t="str">
        <f>IF('Marcación Workera'!B427="","",UPPER(SUBSTITUTE('Marcación Workera'!B427,".","")))</f>
        <v>14594999-8</v>
      </c>
      <c r="E427" s="19" t="s">
        <v>592</v>
      </c>
      <c r="F427" s="19" t="s">
        <v>563</v>
      </c>
      <c r="G427" s="19" t="s">
        <v>598</v>
      </c>
      <c r="H427" s="19" t="s">
        <v>562</v>
      </c>
      <c r="I427" s="19" t="s">
        <v>97</v>
      </c>
    </row>
    <row r="428" spans="2:9" ht="15" customHeight="1" x14ac:dyDescent="0.3">
      <c r="B428" s="17">
        <f>IF('Marcación Workera'!G428="","",INT('Marcación Workera'!G428))</f>
        <v>46263</v>
      </c>
      <c r="C428" s="18" t="str">
        <f>IF('Marcación Workera'!B428="","",UPPER(SUBSTITUTE('Marcación Workera'!B428,".","")))</f>
        <v>13855440-6</v>
      </c>
      <c r="E428" s="19" t="s">
        <v>506</v>
      </c>
      <c r="F428" s="19" t="s">
        <v>563</v>
      </c>
      <c r="G428" s="19" t="s">
        <v>598</v>
      </c>
      <c r="H428" s="19" t="s">
        <v>562</v>
      </c>
      <c r="I428" s="19" t="s">
        <v>99</v>
      </c>
    </row>
    <row r="429" spans="2:9" ht="15" customHeight="1" x14ac:dyDescent="0.3">
      <c r="B429" s="17">
        <f>IF('Marcación Workera'!G429="","",INT('Marcación Workera'!G429))</f>
        <v>46263</v>
      </c>
      <c r="C429" s="18" t="str">
        <f>IF('Marcación Workera'!B429="","",UPPER(SUBSTITUTE('Marcación Workera'!B429,".","")))</f>
        <v>15814058-6</v>
      </c>
      <c r="E429" s="19" t="s">
        <v>197</v>
      </c>
      <c r="F429" s="19" t="s">
        <v>560</v>
      </c>
      <c r="G429" s="19" t="s">
        <v>597</v>
      </c>
      <c r="H429" s="19" t="s">
        <v>562</v>
      </c>
      <c r="I429" s="19" t="s">
        <v>100</v>
      </c>
    </row>
    <row r="430" spans="2:9" ht="15" customHeight="1" x14ac:dyDescent="0.3">
      <c r="B430" s="17">
        <f>IF('Marcación Workera'!G430="","",INT('Marcación Workera'!G430))</f>
        <v>46263</v>
      </c>
      <c r="C430" s="18" t="str">
        <f>IF('Marcación Workera'!B430="","",UPPER(SUBSTITUTE('Marcación Workera'!B430,".","")))</f>
        <v>12814487-0</v>
      </c>
      <c r="E430" s="19" t="s">
        <v>197</v>
      </c>
      <c r="F430" s="19" t="s">
        <v>563</v>
      </c>
      <c r="G430" s="19" t="s">
        <v>598</v>
      </c>
      <c r="H430" s="19" t="s">
        <v>562</v>
      </c>
      <c r="I430" s="19" t="s">
        <v>100</v>
      </c>
    </row>
    <row r="431" spans="2:9" ht="15" customHeight="1" x14ac:dyDescent="0.3">
      <c r="B431" s="17">
        <f>IF('Marcación Workera'!G431="","",INT('Marcación Workera'!G431))</f>
        <v>46263</v>
      </c>
      <c r="C431" s="18" t="str">
        <f>IF('Marcación Workera'!B431="","",UPPER(SUBSTITUTE('Marcación Workera'!B431,".","")))</f>
        <v>14413231-9</v>
      </c>
      <c r="E431" s="19" t="s">
        <v>541</v>
      </c>
      <c r="F431" s="19" t="s">
        <v>560</v>
      </c>
      <c r="G431" s="19" t="s">
        <v>597</v>
      </c>
      <c r="H431" s="19" t="s">
        <v>562</v>
      </c>
      <c r="I431" s="19" t="s">
        <v>71</v>
      </c>
    </row>
    <row r="432" spans="2:9" ht="15" customHeight="1" x14ac:dyDescent="0.3">
      <c r="B432" s="17">
        <f>IF('Marcación Workera'!G432="","",INT('Marcación Workera'!G432))</f>
        <v>46263</v>
      </c>
      <c r="C432" s="18" t="str">
        <f>IF('Marcación Workera'!B432="","",UPPER(SUBSTITUTE('Marcación Workera'!B432,".","")))</f>
        <v>17805184-9</v>
      </c>
      <c r="E432" s="19" t="s">
        <v>541</v>
      </c>
      <c r="F432" s="19" t="s">
        <v>563</v>
      </c>
      <c r="G432" s="19" t="s">
        <v>598</v>
      </c>
      <c r="H432" s="19" t="s">
        <v>562</v>
      </c>
      <c r="I432" s="19" t="s">
        <v>71</v>
      </c>
    </row>
    <row r="433" spans="2:9" ht="15" customHeight="1" x14ac:dyDescent="0.3">
      <c r="B433" s="17">
        <f>IF('Marcación Workera'!G433="","",INT('Marcación Workera'!G433))</f>
        <v>46263</v>
      </c>
      <c r="C433" s="18" t="str">
        <f>IF('Marcación Workera'!B433="","",UPPER(SUBSTITUTE('Marcación Workera'!B433,".","")))</f>
        <v>21254681-K</v>
      </c>
      <c r="E433" s="19" t="s">
        <v>535</v>
      </c>
      <c r="F433" s="19" t="s">
        <v>560</v>
      </c>
      <c r="G433" s="19" t="s">
        <v>597</v>
      </c>
      <c r="H433" s="19" t="s">
        <v>562</v>
      </c>
      <c r="I433" s="19" t="s">
        <v>72</v>
      </c>
    </row>
    <row r="434" spans="2:9" ht="15" customHeight="1" x14ac:dyDescent="0.3">
      <c r="B434" s="17">
        <f>IF('Marcación Workera'!G434="","",INT('Marcación Workera'!G434))</f>
        <v>46263</v>
      </c>
      <c r="C434" s="18" t="str">
        <f>IF('Marcación Workera'!B434="","",UPPER(SUBSTITUTE('Marcación Workera'!B434,".","")))</f>
        <v>17626968-5</v>
      </c>
      <c r="E434" s="19" t="s">
        <v>535</v>
      </c>
      <c r="F434" s="19" t="s">
        <v>563</v>
      </c>
      <c r="G434" s="19" t="s">
        <v>598</v>
      </c>
      <c r="H434" s="19" t="s">
        <v>562</v>
      </c>
      <c r="I434" s="19" t="s">
        <v>72</v>
      </c>
    </row>
    <row r="435" spans="2:9" ht="15" customHeight="1" x14ac:dyDescent="0.3">
      <c r="B435" s="17">
        <f>IF('Marcación Workera'!G435="","",INT('Marcación Workera'!G435))</f>
        <v>46263</v>
      </c>
      <c r="C435" s="18" t="str">
        <f>IF('Marcación Workera'!B435="","",UPPER(SUBSTITUTE('Marcación Workera'!B435,".","")))</f>
        <v>18889617-0</v>
      </c>
      <c r="E435" s="19" t="s">
        <v>544</v>
      </c>
      <c r="F435" s="19" t="s">
        <v>560</v>
      </c>
      <c r="G435" s="19" t="s">
        <v>597</v>
      </c>
      <c r="H435" s="19" t="s">
        <v>562</v>
      </c>
      <c r="I435" s="19" t="s">
        <v>73</v>
      </c>
    </row>
    <row r="436" spans="2:9" ht="15" customHeight="1" x14ac:dyDescent="0.3">
      <c r="B436" s="17">
        <f>IF('Marcación Workera'!G436="","",INT('Marcación Workera'!G436))</f>
        <v>46263</v>
      </c>
      <c r="C436" s="18" t="str">
        <f>IF('Marcación Workera'!B436="","",UPPER(SUBSTITUTE('Marcación Workera'!B436,".","")))</f>
        <v>16188552-5</v>
      </c>
      <c r="E436" s="19" t="s">
        <v>544</v>
      </c>
      <c r="F436" s="19" t="s">
        <v>563</v>
      </c>
      <c r="G436" s="19" t="s">
        <v>598</v>
      </c>
      <c r="H436" s="19" t="s">
        <v>562</v>
      </c>
      <c r="I436" s="19" t="s">
        <v>73</v>
      </c>
    </row>
    <row r="437" spans="2:9" ht="15" customHeight="1" x14ac:dyDescent="0.3">
      <c r="B437" s="17">
        <f>IF('Marcación Workera'!G437="","",INT('Marcación Workera'!G437))</f>
        <v>46263</v>
      </c>
      <c r="C437" s="18" t="str">
        <f>IF('Marcación Workera'!B437="","",UPPER(SUBSTITUTE('Marcación Workera'!B437,".","")))</f>
        <v>23868099-9</v>
      </c>
      <c r="E437" s="19" t="s">
        <v>547</v>
      </c>
      <c r="F437" s="19" t="s">
        <v>560</v>
      </c>
      <c r="G437" s="19" t="s">
        <v>597</v>
      </c>
      <c r="H437" s="19" t="s">
        <v>562</v>
      </c>
      <c r="I437" s="19" t="s">
        <v>75</v>
      </c>
    </row>
    <row r="438" spans="2:9" ht="15" customHeight="1" x14ac:dyDescent="0.3">
      <c r="B438" s="17">
        <f>IF('Marcación Workera'!G438="","",INT('Marcación Workera'!G438))</f>
        <v>46263</v>
      </c>
      <c r="C438" s="18" t="str">
        <f>IF('Marcación Workera'!B438="","",UPPER(SUBSTITUTE('Marcación Workera'!B438,".","")))</f>
        <v>16706064-1</v>
      </c>
      <c r="E438" s="19" t="s">
        <v>547</v>
      </c>
      <c r="F438" s="19" t="s">
        <v>563</v>
      </c>
      <c r="G438" s="19" t="s">
        <v>598</v>
      </c>
      <c r="H438" s="19" t="s">
        <v>562</v>
      </c>
      <c r="I438" s="19" t="s">
        <v>75</v>
      </c>
    </row>
    <row r="439" spans="2:9" ht="15" customHeight="1" x14ac:dyDescent="0.3">
      <c r="B439" s="17">
        <f>IF('Marcación Workera'!G439="","",INT('Marcación Workera'!G439))</f>
        <v>46263</v>
      </c>
      <c r="C439" s="18" t="str">
        <f>IF('Marcación Workera'!B439="","",UPPER(SUBSTITUTE('Marcación Workera'!B439,".","")))</f>
        <v>18889617-0</v>
      </c>
      <c r="E439" s="19" t="s">
        <v>199</v>
      </c>
      <c r="F439" s="19" t="s">
        <v>560</v>
      </c>
      <c r="G439" s="19" t="s">
        <v>597</v>
      </c>
      <c r="H439" s="19" t="s">
        <v>562</v>
      </c>
      <c r="I439" s="19" t="s">
        <v>76</v>
      </c>
    </row>
    <row r="440" spans="2:9" ht="15" customHeight="1" x14ac:dyDescent="0.3">
      <c r="B440" s="17">
        <f>IF('Marcación Workera'!G440="","",INT('Marcación Workera'!G440))</f>
        <v>46263</v>
      </c>
      <c r="C440" s="18" t="str">
        <f>IF('Marcación Workera'!B440="","",UPPER(SUBSTITUTE('Marcación Workera'!B440,".","")))</f>
        <v>14594999-8</v>
      </c>
      <c r="E440" s="19" t="s">
        <v>199</v>
      </c>
      <c r="F440" s="19" t="s">
        <v>563</v>
      </c>
      <c r="G440" s="19" t="s">
        <v>598</v>
      </c>
      <c r="H440" s="19" t="s">
        <v>562</v>
      </c>
      <c r="I440" s="19" t="s">
        <v>76</v>
      </c>
    </row>
    <row r="441" spans="2:9" ht="15" customHeight="1" x14ac:dyDescent="0.3">
      <c r="B441" s="17">
        <f>IF('Marcación Workera'!G441="","",INT('Marcación Workera'!G441))</f>
        <v>46263</v>
      </c>
      <c r="C441" s="18" t="str">
        <f>IF('Marcación Workera'!B441="","",UPPER(SUBSTITUTE('Marcación Workera'!B441,".","")))</f>
        <v>21254681-K</v>
      </c>
      <c r="E441" s="19" t="s">
        <v>532</v>
      </c>
      <c r="F441" s="19" t="s">
        <v>560</v>
      </c>
      <c r="G441" s="19" t="s">
        <v>597</v>
      </c>
      <c r="H441" s="19" t="s">
        <v>562</v>
      </c>
      <c r="I441" s="19" t="s">
        <v>77</v>
      </c>
    </row>
    <row r="442" spans="2:9" ht="15" customHeight="1" x14ac:dyDescent="0.3">
      <c r="B442" s="17">
        <f>IF('Marcación Workera'!G442="","",INT('Marcación Workera'!G442))</f>
        <v>46263</v>
      </c>
      <c r="C442" s="18" t="str">
        <f>IF('Marcación Workera'!B442="","",UPPER(SUBSTITUTE('Marcación Workera'!B442,".","")))</f>
        <v>18352777-0</v>
      </c>
      <c r="E442" s="19" t="s">
        <v>532</v>
      </c>
      <c r="F442" s="19" t="s">
        <v>563</v>
      </c>
      <c r="G442" s="19" t="s">
        <v>598</v>
      </c>
      <c r="H442" s="19" t="s">
        <v>562</v>
      </c>
      <c r="I442" s="19" t="s">
        <v>77</v>
      </c>
    </row>
    <row r="443" spans="2:9" ht="15" customHeight="1" x14ac:dyDescent="0.3">
      <c r="B443" s="17">
        <f>IF('Marcación Workera'!G443="","",INT('Marcación Workera'!G443))</f>
        <v>46263</v>
      </c>
      <c r="C443" s="18" t="str">
        <f>IF('Marcación Workera'!B443="","",UPPER(SUBSTITUTE('Marcación Workera'!B443,".","")))</f>
        <v>23868099-9</v>
      </c>
      <c r="E443" s="19" t="s">
        <v>584</v>
      </c>
      <c r="F443" s="19" t="s">
        <v>560</v>
      </c>
      <c r="G443" s="19" t="s">
        <v>597</v>
      </c>
      <c r="H443" s="19" t="s">
        <v>562</v>
      </c>
      <c r="I443" s="19" t="s">
        <v>89</v>
      </c>
    </row>
    <row r="444" spans="2:9" ht="15" customHeight="1" x14ac:dyDescent="0.3">
      <c r="B444" s="17">
        <f>IF('Marcación Workera'!G444="","",INT('Marcación Workera'!G444))</f>
        <v>46263</v>
      </c>
      <c r="C444" s="18" t="str">
        <f>IF('Marcación Workera'!B444="","",UPPER(SUBSTITUTE('Marcación Workera'!B444,".","")))</f>
        <v>13855440-6</v>
      </c>
      <c r="E444" s="19" t="s">
        <v>584</v>
      </c>
      <c r="F444" s="19" t="s">
        <v>563</v>
      </c>
      <c r="G444" s="19" t="s">
        <v>598</v>
      </c>
      <c r="H444" s="19" t="s">
        <v>562</v>
      </c>
      <c r="I444" s="19" t="s">
        <v>89</v>
      </c>
    </row>
    <row r="445" spans="2:9" ht="15" customHeight="1" x14ac:dyDescent="0.3">
      <c r="B445" s="17">
        <f>IF('Marcación Workera'!G445="","",INT('Marcación Workera'!G445))</f>
        <v>46263</v>
      </c>
      <c r="C445" s="18" t="str">
        <f>IF('Marcación Workera'!B445="","",UPPER(SUBSTITUTE('Marcación Workera'!B445,".","")))</f>
        <v>12814487-0</v>
      </c>
      <c r="E445" s="19" t="s">
        <v>538</v>
      </c>
      <c r="F445" s="19" t="s">
        <v>560</v>
      </c>
      <c r="G445" s="19" t="s">
        <v>598</v>
      </c>
      <c r="H445" s="19" t="s">
        <v>562</v>
      </c>
      <c r="I445" s="19" t="s">
        <v>78</v>
      </c>
    </row>
    <row r="446" spans="2:9" ht="15" customHeight="1" x14ac:dyDescent="0.3">
      <c r="B446" s="17">
        <f>IF('Marcación Workera'!G446="","",INT('Marcación Workera'!G446))</f>
        <v>46263</v>
      </c>
      <c r="C446" s="18" t="str">
        <f>IF('Marcación Workera'!B446="","",UPPER(SUBSTITUTE('Marcación Workera'!B446,".","")))</f>
        <v>17805184-9</v>
      </c>
      <c r="E446" s="19" t="s">
        <v>538</v>
      </c>
      <c r="F446" s="19" t="s">
        <v>563</v>
      </c>
      <c r="G446" s="19" t="s">
        <v>597</v>
      </c>
      <c r="H446" s="19" t="s">
        <v>562</v>
      </c>
      <c r="I446" s="19" t="s">
        <v>78</v>
      </c>
    </row>
    <row r="447" spans="2:9" ht="15" customHeight="1" x14ac:dyDescent="0.3">
      <c r="B447" s="17">
        <f>IF('Marcación Workera'!G447="","",INT('Marcación Workera'!G447))</f>
        <v>46263</v>
      </c>
      <c r="C447" s="18" t="str">
        <f>IF('Marcación Workera'!B447="","",UPPER(SUBSTITUTE('Marcación Workera'!B447,".","")))</f>
        <v>14413231-9</v>
      </c>
      <c r="E447" s="19" t="s">
        <v>550</v>
      </c>
      <c r="F447" s="19" t="s">
        <v>560</v>
      </c>
      <c r="G447" s="19" t="s">
        <v>598</v>
      </c>
      <c r="H447" s="19" t="s">
        <v>562</v>
      </c>
      <c r="I447" s="19" t="s">
        <v>80</v>
      </c>
    </row>
    <row r="448" spans="2:9" ht="15" customHeight="1" x14ac:dyDescent="0.3">
      <c r="B448" s="17">
        <f>IF('Marcación Workera'!G448="","",INT('Marcación Workera'!G448))</f>
        <v>46263</v>
      </c>
      <c r="C448" s="18" t="str">
        <f>IF('Marcación Workera'!B448="","",UPPER(SUBSTITUTE('Marcación Workera'!B448,".","")))</f>
        <v>14615536-7</v>
      </c>
      <c r="E448" s="19" t="s">
        <v>550</v>
      </c>
      <c r="F448" s="19" t="s">
        <v>563</v>
      </c>
      <c r="G448" s="19" t="s">
        <v>597</v>
      </c>
      <c r="H448" s="19" t="s">
        <v>562</v>
      </c>
      <c r="I448" s="19" t="s">
        <v>80</v>
      </c>
    </row>
    <row r="449" spans="2:9" ht="15" customHeight="1" x14ac:dyDescent="0.3">
      <c r="B449" s="17">
        <f>IF('Marcación Workera'!G449="","",INT('Marcación Workera'!G449))</f>
        <v>46263</v>
      </c>
      <c r="C449" s="18" t="str">
        <f>IF('Marcación Workera'!B449="","",UPPER(SUBSTITUTE('Marcación Workera'!B449,".","")))</f>
        <v>19949787-1</v>
      </c>
      <c r="E449" s="19" t="s">
        <v>529</v>
      </c>
      <c r="F449" s="19" t="s">
        <v>560</v>
      </c>
      <c r="G449" s="19" t="s">
        <v>598</v>
      </c>
      <c r="H449" s="19" t="s">
        <v>562</v>
      </c>
      <c r="I449" s="19" t="s">
        <v>85</v>
      </c>
    </row>
    <row r="450" spans="2:9" ht="15" customHeight="1" x14ac:dyDescent="0.3">
      <c r="B450" s="17">
        <f>IF('Marcación Workera'!G450="","",INT('Marcación Workera'!G450))</f>
        <v>46263</v>
      </c>
      <c r="C450" s="18" t="str">
        <f>IF('Marcación Workera'!B450="","",UPPER(SUBSTITUTE('Marcación Workera'!B450,".","")))</f>
        <v>17643998-K</v>
      </c>
      <c r="E450" s="19" t="s">
        <v>574</v>
      </c>
      <c r="F450" s="19" t="s">
        <v>560</v>
      </c>
      <c r="G450" s="19" t="s">
        <v>598</v>
      </c>
      <c r="H450" s="19" t="s">
        <v>562</v>
      </c>
      <c r="I450" s="19" t="s">
        <v>82</v>
      </c>
    </row>
    <row r="451" spans="2:9" ht="15" customHeight="1" x14ac:dyDescent="0.3">
      <c r="B451" s="17">
        <f>IF('Marcación Workera'!G451="","",INT('Marcación Workera'!G451))</f>
        <v>46263</v>
      </c>
      <c r="C451" s="18" t="str">
        <f>IF('Marcación Workera'!B451="","",UPPER(SUBSTITUTE('Marcación Workera'!B451,".","")))</f>
        <v>15814058-6</v>
      </c>
      <c r="E451" s="19" t="s">
        <v>574</v>
      </c>
      <c r="F451" s="19" t="s">
        <v>563</v>
      </c>
      <c r="G451" s="19" t="s">
        <v>597</v>
      </c>
      <c r="H451" s="19" t="s">
        <v>562</v>
      </c>
      <c r="I451" s="19" t="s">
        <v>82</v>
      </c>
    </row>
    <row r="452" spans="2:9" ht="15" customHeight="1" x14ac:dyDescent="0.3">
      <c r="B452" s="17">
        <f>IF('Marcación Workera'!G452="","",INT('Marcación Workera'!G452))</f>
        <v>46263</v>
      </c>
      <c r="C452" s="18" t="str">
        <f>IF('Marcación Workera'!B452="","",UPPER(SUBSTITUTE('Marcación Workera'!B452,".","")))</f>
        <v>11508866-1</v>
      </c>
      <c r="E452" s="19" t="s">
        <v>575</v>
      </c>
      <c r="F452" s="19" t="s">
        <v>560</v>
      </c>
      <c r="G452" s="19" t="s">
        <v>598</v>
      </c>
      <c r="H452" s="19" t="s">
        <v>562</v>
      </c>
      <c r="I452" s="19" t="s">
        <v>83</v>
      </c>
    </row>
    <row r="453" spans="2:9" ht="15" customHeight="1" x14ac:dyDescent="0.3">
      <c r="B453" s="17">
        <f>IF('Marcación Workera'!G453="","",INT('Marcación Workera'!G453))</f>
        <v>46263</v>
      </c>
      <c r="C453" s="18" t="str">
        <f>IF('Marcación Workera'!B453="","",UPPER(SUBSTITUTE('Marcación Workera'!B453,".","")))</f>
        <v>16188552-5</v>
      </c>
      <c r="E453" s="19" t="s">
        <v>575</v>
      </c>
      <c r="F453" s="19" t="s">
        <v>563</v>
      </c>
      <c r="G453" s="19" t="s">
        <v>597</v>
      </c>
      <c r="H453" s="19" t="s">
        <v>562</v>
      </c>
      <c r="I453" s="19" t="s">
        <v>83</v>
      </c>
    </row>
    <row r="454" spans="2:9" ht="15" customHeight="1" x14ac:dyDescent="0.3">
      <c r="B454" s="17">
        <f>IF('Marcación Workera'!G454="","",INT('Marcación Workera'!G454))</f>
        <v>46263</v>
      </c>
      <c r="C454" s="18" t="str">
        <f>IF('Marcación Workera'!B454="","",UPPER(SUBSTITUTE('Marcación Workera'!B454,".","")))</f>
        <v>15831074-0</v>
      </c>
      <c r="E454" s="19" t="s">
        <v>201</v>
      </c>
      <c r="F454" s="19" t="s">
        <v>560</v>
      </c>
      <c r="G454" s="19" t="s">
        <v>598</v>
      </c>
      <c r="H454" s="19" t="s">
        <v>562</v>
      </c>
      <c r="I454" s="19" t="s">
        <v>90</v>
      </c>
    </row>
    <row r="455" spans="2:9" ht="15" customHeight="1" x14ac:dyDescent="0.3">
      <c r="B455" s="17">
        <f>IF('Marcación Workera'!G455="","",INT('Marcación Workera'!G455))</f>
        <v>46263</v>
      </c>
      <c r="C455" s="18" t="str">
        <f>IF('Marcación Workera'!B455="","",UPPER(SUBSTITUTE('Marcación Workera'!B455,".","")))</f>
        <v>21516063-7</v>
      </c>
      <c r="E455" s="19" t="s">
        <v>201</v>
      </c>
      <c r="F455" s="19" t="s">
        <v>563</v>
      </c>
      <c r="G455" s="19" t="s">
        <v>597</v>
      </c>
      <c r="H455" s="19" t="s">
        <v>562</v>
      </c>
      <c r="I455" s="19" t="s">
        <v>90</v>
      </c>
    </row>
    <row r="456" spans="2:9" ht="15" customHeight="1" x14ac:dyDescent="0.3">
      <c r="B456" s="17">
        <f>IF('Marcación Workera'!G456="","",INT('Marcación Workera'!G456))</f>
        <v>46263</v>
      </c>
      <c r="C456" s="18" t="str">
        <f>IF('Marcación Workera'!B456="","",UPPER(SUBSTITUTE('Marcación Workera'!B456,".","")))</f>
        <v>17626968-5</v>
      </c>
      <c r="E456" s="19" t="s">
        <v>585</v>
      </c>
      <c r="F456" s="19" t="s">
        <v>560</v>
      </c>
      <c r="G456" s="19" t="s">
        <v>598</v>
      </c>
      <c r="H456" s="19" t="s">
        <v>562</v>
      </c>
      <c r="I456" s="19" t="s">
        <v>92</v>
      </c>
    </row>
    <row r="457" spans="2:9" ht="15" customHeight="1" x14ac:dyDescent="0.3">
      <c r="B457" s="17">
        <f>IF('Marcación Workera'!G457="","",INT('Marcación Workera'!G457))</f>
        <v>46263</v>
      </c>
      <c r="C457" s="18" t="str">
        <f>IF('Marcación Workera'!B457="","",UPPER(SUBSTITUTE('Marcación Workera'!B457,".","")))</f>
        <v>20718093-9</v>
      </c>
      <c r="E457" s="19" t="s">
        <v>585</v>
      </c>
      <c r="F457" s="19" t="s">
        <v>563</v>
      </c>
      <c r="G457" s="19" t="s">
        <v>597</v>
      </c>
      <c r="H457" s="19" t="s">
        <v>562</v>
      </c>
      <c r="I457" s="19" t="s">
        <v>92</v>
      </c>
    </row>
    <row r="458" spans="2:9" ht="15" customHeight="1" x14ac:dyDescent="0.3">
      <c r="B458" s="17">
        <f>IF('Marcación Workera'!G458="","",INT('Marcación Workera'!G458))</f>
        <v>46262</v>
      </c>
      <c r="C458" s="18" t="str">
        <f>IF('Marcación Workera'!B458="","",UPPER(SUBSTITUTE('Marcación Workera'!B458,".","")))</f>
        <v>18352777-0</v>
      </c>
      <c r="E458" s="19" t="s">
        <v>592</v>
      </c>
      <c r="F458" s="19" t="s">
        <v>560</v>
      </c>
      <c r="G458" s="19" t="s">
        <v>599</v>
      </c>
      <c r="H458" s="19" t="s">
        <v>562</v>
      </c>
      <c r="I458" s="19" t="s">
        <v>97</v>
      </c>
    </row>
    <row r="459" spans="2:9" ht="15" customHeight="1" x14ac:dyDescent="0.3">
      <c r="B459" s="17">
        <f>IF('Marcación Workera'!G459="","",INT('Marcación Workera'!G459))</f>
        <v>46262</v>
      </c>
      <c r="C459" s="18" t="str">
        <f>IF('Marcación Workera'!B459="","",UPPER(SUBSTITUTE('Marcación Workera'!B459,".","")))</f>
        <v>15831074-0</v>
      </c>
      <c r="E459" s="19" t="s">
        <v>592</v>
      </c>
      <c r="F459" s="19" t="s">
        <v>563</v>
      </c>
      <c r="G459" s="19" t="s">
        <v>600</v>
      </c>
      <c r="H459" s="19" t="s">
        <v>562</v>
      </c>
      <c r="I459" s="19" t="s">
        <v>97</v>
      </c>
    </row>
    <row r="460" spans="2:9" ht="15" customHeight="1" x14ac:dyDescent="0.3">
      <c r="B460" s="17">
        <f>IF('Marcación Workera'!G460="","",INT('Marcación Workera'!G460))</f>
        <v>46262</v>
      </c>
      <c r="C460" s="18" t="str">
        <f>IF('Marcación Workera'!B460="","",UPPER(SUBSTITUTE('Marcación Workera'!B460,".","")))</f>
        <v>17626968-5</v>
      </c>
      <c r="E460" s="19" t="s">
        <v>544</v>
      </c>
      <c r="F460" s="19" t="s">
        <v>560</v>
      </c>
      <c r="G460" s="19" t="s">
        <v>599</v>
      </c>
      <c r="H460" s="19" t="s">
        <v>562</v>
      </c>
      <c r="I460" s="19" t="s">
        <v>73</v>
      </c>
    </row>
    <row r="461" spans="2:9" ht="15" customHeight="1" x14ac:dyDescent="0.3">
      <c r="B461" s="17">
        <f>IF('Marcación Workera'!G461="","",INT('Marcación Workera'!G461))</f>
        <v>46262</v>
      </c>
      <c r="C461" s="18" t="str">
        <f>IF('Marcación Workera'!B461="","",UPPER(SUBSTITUTE('Marcación Workera'!B461,".","")))</f>
        <v>11508866-1</v>
      </c>
      <c r="E461" s="19" t="s">
        <v>544</v>
      </c>
      <c r="F461" s="19" t="s">
        <v>563</v>
      </c>
      <c r="G461" s="19" t="s">
        <v>600</v>
      </c>
      <c r="H461" s="19" t="s">
        <v>562</v>
      </c>
      <c r="I461" s="19" t="s">
        <v>73</v>
      </c>
    </row>
    <row r="462" spans="2:9" ht="15" customHeight="1" x14ac:dyDescent="0.3">
      <c r="B462" s="17">
        <f>IF('Marcación Workera'!G462="","",INT('Marcación Workera'!G462))</f>
        <v>46262</v>
      </c>
      <c r="C462" s="18" t="str">
        <f>IF('Marcación Workera'!B462="","",UPPER(SUBSTITUTE('Marcación Workera'!B462,".","")))</f>
        <v>17643998-K</v>
      </c>
      <c r="E462" s="19" t="s">
        <v>547</v>
      </c>
      <c r="F462" s="19" t="s">
        <v>560</v>
      </c>
      <c r="G462" s="19" t="s">
        <v>599</v>
      </c>
      <c r="H462" s="19" t="s">
        <v>562</v>
      </c>
      <c r="I462" s="19" t="s">
        <v>75</v>
      </c>
    </row>
    <row r="463" spans="2:9" ht="15" customHeight="1" x14ac:dyDescent="0.3">
      <c r="B463" s="17">
        <f>IF('Marcación Workera'!G463="","",INT('Marcación Workera'!G463))</f>
        <v>46262</v>
      </c>
      <c r="C463" s="18" t="str">
        <f>IF('Marcación Workera'!B463="","",UPPER(SUBSTITUTE('Marcación Workera'!B463,".","")))</f>
        <v>17805184-9</v>
      </c>
      <c r="E463" s="19" t="s">
        <v>199</v>
      </c>
      <c r="F463" s="19" t="s">
        <v>560</v>
      </c>
      <c r="G463" s="19" t="s">
        <v>599</v>
      </c>
      <c r="H463" s="19" t="s">
        <v>562</v>
      </c>
      <c r="I463" s="19" t="s">
        <v>76</v>
      </c>
    </row>
    <row r="464" spans="2:9" ht="15" customHeight="1" x14ac:dyDescent="0.3">
      <c r="B464" s="17">
        <f>IF('Marcación Workera'!G464="","",INT('Marcación Workera'!G464))</f>
        <v>46262</v>
      </c>
      <c r="C464" s="18" t="str">
        <f>IF('Marcación Workera'!B464="","",UPPER(SUBSTITUTE('Marcación Workera'!B464,".","")))</f>
        <v>21254681-K</v>
      </c>
      <c r="E464" s="19" t="s">
        <v>199</v>
      </c>
      <c r="F464" s="19" t="s">
        <v>563</v>
      </c>
      <c r="G464" s="19" t="s">
        <v>600</v>
      </c>
      <c r="H464" s="19" t="s">
        <v>562</v>
      </c>
      <c r="I464" s="19" t="s">
        <v>76</v>
      </c>
    </row>
    <row r="465" spans="2:9" ht="15" customHeight="1" x14ac:dyDescent="0.3">
      <c r="B465" s="17">
        <f>IF('Marcación Workera'!G465="","",INT('Marcación Workera'!G465))</f>
        <v>46262</v>
      </c>
      <c r="C465" s="18" t="str">
        <f>IF('Marcación Workera'!B465="","",UPPER(SUBSTITUTE('Marcación Workera'!B465,".","")))</f>
        <v>14615536-7</v>
      </c>
      <c r="E465" s="19" t="s">
        <v>532</v>
      </c>
      <c r="F465" s="19" t="s">
        <v>560</v>
      </c>
      <c r="G465" s="19" t="s">
        <v>599</v>
      </c>
      <c r="H465" s="19" t="s">
        <v>562</v>
      </c>
      <c r="I465" s="19" t="s">
        <v>77</v>
      </c>
    </row>
    <row r="466" spans="2:9" ht="15" customHeight="1" x14ac:dyDescent="0.3">
      <c r="B466" s="17">
        <f>IF('Marcación Workera'!G466="","",INT('Marcación Workera'!G466))</f>
        <v>46262</v>
      </c>
      <c r="C466" s="18" t="str">
        <f>IF('Marcación Workera'!B466="","",UPPER(SUBSTITUTE('Marcación Workera'!B466,".","")))</f>
        <v>20718093-9</v>
      </c>
      <c r="E466" s="19" t="s">
        <v>532</v>
      </c>
      <c r="F466" s="19" t="s">
        <v>563</v>
      </c>
      <c r="G466" s="19" t="s">
        <v>600</v>
      </c>
      <c r="H466" s="19" t="s">
        <v>562</v>
      </c>
      <c r="I466" s="19" t="s">
        <v>77</v>
      </c>
    </row>
    <row r="467" spans="2:9" ht="15" customHeight="1" x14ac:dyDescent="0.3">
      <c r="B467" s="17">
        <f>IF('Marcación Workera'!G467="","",INT('Marcación Workera'!G467))</f>
        <v>46262</v>
      </c>
      <c r="C467" s="18" t="str">
        <f>IF('Marcación Workera'!B467="","",UPPER(SUBSTITUTE('Marcación Workera'!B467,".","")))</f>
        <v>21516063-7</v>
      </c>
      <c r="E467" s="19" t="s">
        <v>584</v>
      </c>
      <c r="F467" s="19" t="s">
        <v>560</v>
      </c>
      <c r="G467" s="19" t="s">
        <v>599</v>
      </c>
      <c r="H467" s="19" t="s">
        <v>562</v>
      </c>
      <c r="I467" s="19" t="s">
        <v>89</v>
      </c>
    </row>
    <row r="468" spans="2:9" ht="15" customHeight="1" x14ac:dyDescent="0.3">
      <c r="B468" s="17">
        <f>IF('Marcación Workera'!G468="","",INT('Marcación Workera'!G468))</f>
        <v>46262</v>
      </c>
      <c r="C468" s="18" t="str">
        <f>IF('Marcación Workera'!B468="","",UPPER(SUBSTITUTE('Marcación Workera'!B468,".","")))</f>
        <v>14594999-8</v>
      </c>
      <c r="E468" s="19" t="s">
        <v>584</v>
      </c>
      <c r="F468" s="19" t="s">
        <v>563</v>
      </c>
      <c r="G468" s="19" t="s">
        <v>600</v>
      </c>
      <c r="H468" s="19" t="s">
        <v>562</v>
      </c>
      <c r="I468" s="19" t="s">
        <v>89</v>
      </c>
    </row>
    <row r="469" spans="2:9" ht="15" customHeight="1" x14ac:dyDescent="0.3">
      <c r="B469" s="17">
        <f>IF('Marcación Workera'!G469="","",INT('Marcación Workera'!G469))</f>
        <v>46262</v>
      </c>
      <c r="C469" s="18" t="str">
        <f>IF('Marcación Workera'!B469="","",UPPER(SUBSTITUTE('Marcación Workera'!B469,".","")))</f>
        <v>19949787-1</v>
      </c>
      <c r="E469" s="19" t="s">
        <v>538</v>
      </c>
      <c r="F469" s="19" t="s">
        <v>563</v>
      </c>
      <c r="G469" s="19" t="s">
        <v>599</v>
      </c>
      <c r="H469" s="19" t="s">
        <v>562</v>
      </c>
      <c r="I469" s="19" t="s">
        <v>78</v>
      </c>
    </row>
    <row r="470" spans="2:9" ht="15" customHeight="1" x14ac:dyDescent="0.3">
      <c r="B470" s="17">
        <f>IF('Marcación Workera'!G470="","",INT('Marcación Workera'!G470))</f>
        <v>46262</v>
      </c>
      <c r="C470" s="18" t="str">
        <f>IF('Marcación Workera'!B470="","",UPPER(SUBSTITUTE('Marcación Workera'!B470,".","")))</f>
        <v>13855440-6</v>
      </c>
      <c r="E470" s="19" t="s">
        <v>550</v>
      </c>
      <c r="F470" s="19" t="s">
        <v>563</v>
      </c>
      <c r="G470" s="19" t="s">
        <v>599</v>
      </c>
      <c r="H470" s="19" t="s">
        <v>562</v>
      </c>
      <c r="I470" s="19" t="s">
        <v>80</v>
      </c>
    </row>
    <row r="471" spans="2:9" ht="15" customHeight="1" x14ac:dyDescent="0.3">
      <c r="B471" s="17">
        <f>IF('Marcación Workera'!G471="","",INT('Marcación Workera'!G471))</f>
        <v>46262</v>
      </c>
      <c r="C471" s="18" t="str">
        <f>IF('Marcación Workera'!B471="","",UPPER(SUBSTITUTE('Marcación Workera'!B471,".","")))</f>
        <v>23868099-9</v>
      </c>
      <c r="E471" s="19" t="s">
        <v>529</v>
      </c>
      <c r="F471" s="19" t="s">
        <v>563</v>
      </c>
      <c r="G471" s="19" t="s">
        <v>599</v>
      </c>
      <c r="H471" s="19" t="s">
        <v>562</v>
      </c>
      <c r="I471" s="19" t="s">
        <v>85</v>
      </c>
    </row>
    <row r="472" spans="2:9" ht="15" customHeight="1" x14ac:dyDescent="0.3">
      <c r="B472" s="17">
        <f>IF('Marcación Workera'!G472="","",INT('Marcación Workera'!G472))</f>
        <v>46262</v>
      </c>
      <c r="C472" s="18" t="str">
        <f>IF('Marcación Workera'!B472="","",UPPER(SUBSTITUTE('Marcación Workera'!B472,".","")))</f>
        <v>12814487-0</v>
      </c>
      <c r="E472" s="19" t="s">
        <v>574</v>
      </c>
      <c r="F472" s="19" t="s">
        <v>560</v>
      </c>
      <c r="G472" s="19" t="s">
        <v>600</v>
      </c>
      <c r="H472" s="19" t="s">
        <v>562</v>
      </c>
      <c r="I472" s="19" t="s">
        <v>82</v>
      </c>
    </row>
    <row r="473" spans="2:9" ht="15" customHeight="1" x14ac:dyDescent="0.3">
      <c r="B473" s="17">
        <f>IF('Marcación Workera'!G473="","",INT('Marcación Workera'!G473))</f>
        <v>46262</v>
      </c>
      <c r="C473" s="18" t="str">
        <f>IF('Marcación Workera'!B473="","",UPPER(SUBSTITUTE('Marcación Workera'!B473,".","")))</f>
        <v>15814058-6</v>
      </c>
      <c r="E473" s="19" t="s">
        <v>574</v>
      </c>
      <c r="F473" s="19" t="s">
        <v>563</v>
      </c>
      <c r="G473" s="19" t="s">
        <v>599</v>
      </c>
      <c r="H473" s="19" t="s">
        <v>562</v>
      </c>
      <c r="I473" s="19" t="s">
        <v>82</v>
      </c>
    </row>
    <row r="474" spans="2:9" ht="15" customHeight="1" x14ac:dyDescent="0.3">
      <c r="B474" s="17">
        <f>IF('Marcación Workera'!G474="","",INT('Marcación Workera'!G474))</f>
        <v>46262</v>
      </c>
      <c r="C474" s="18" t="str">
        <f>IF('Marcación Workera'!B474="","",UPPER(SUBSTITUTE('Marcación Workera'!B474,".","")))</f>
        <v>16188552-5</v>
      </c>
      <c r="E474" s="19" t="s">
        <v>575</v>
      </c>
      <c r="F474" s="19" t="s">
        <v>560</v>
      </c>
      <c r="G474" s="19" t="s">
        <v>600</v>
      </c>
      <c r="H474" s="19" t="s">
        <v>562</v>
      </c>
      <c r="I474" s="19" t="s">
        <v>83</v>
      </c>
    </row>
    <row r="475" spans="2:9" ht="15" customHeight="1" x14ac:dyDescent="0.3">
      <c r="B475" s="17">
        <f>IF('Marcación Workera'!G475="","",INT('Marcación Workera'!G475))</f>
        <v>46262</v>
      </c>
      <c r="C475" s="18" t="str">
        <f>IF('Marcación Workera'!B475="","",UPPER(SUBSTITUTE('Marcación Workera'!B475,".","")))</f>
        <v>16706064-1</v>
      </c>
      <c r="E475" s="19" t="s">
        <v>575</v>
      </c>
      <c r="F475" s="19" t="s">
        <v>563</v>
      </c>
      <c r="G475" s="19" t="s">
        <v>599</v>
      </c>
      <c r="H475" s="19" t="s">
        <v>562</v>
      </c>
      <c r="I475" s="19" t="s">
        <v>83</v>
      </c>
    </row>
    <row r="476" spans="2:9" ht="15" customHeight="1" x14ac:dyDescent="0.3">
      <c r="B476" s="17">
        <f>IF('Marcación Workera'!G476="","",INT('Marcación Workera'!G476))</f>
        <v>46262</v>
      </c>
      <c r="C476" s="18" t="str">
        <f>IF('Marcación Workera'!B476="","",UPPER(SUBSTITUTE('Marcación Workera'!B476,".","")))</f>
        <v>18889617-0</v>
      </c>
      <c r="E476" s="19" t="s">
        <v>201</v>
      </c>
      <c r="F476" s="19" t="s">
        <v>560</v>
      </c>
      <c r="G476" s="19" t="s">
        <v>600</v>
      </c>
      <c r="H476" s="19" t="s">
        <v>562</v>
      </c>
      <c r="I476" s="19" t="s">
        <v>90</v>
      </c>
    </row>
    <row r="477" spans="2:9" ht="15" customHeight="1" x14ac:dyDescent="0.3">
      <c r="B477" s="17">
        <f>IF('Marcación Workera'!G477="","",INT('Marcación Workera'!G477))</f>
        <v>46262</v>
      </c>
      <c r="C477" s="18" t="str">
        <f>IF('Marcación Workera'!B477="","",UPPER(SUBSTITUTE('Marcación Workera'!B477,".","")))</f>
        <v>17643998-K</v>
      </c>
      <c r="E477" s="19" t="s">
        <v>201</v>
      </c>
      <c r="F477" s="19" t="s">
        <v>563</v>
      </c>
      <c r="G477" s="19" t="s">
        <v>599</v>
      </c>
      <c r="H477" s="19" t="s">
        <v>562</v>
      </c>
      <c r="I477" s="19" t="s">
        <v>90</v>
      </c>
    </row>
    <row r="478" spans="2:9" ht="15" customHeight="1" x14ac:dyDescent="0.3">
      <c r="B478" s="17">
        <f>IF('Marcación Workera'!G478="","",INT('Marcación Workera'!G478))</f>
        <v>46262</v>
      </c>
      <c r="C478" s="18" t="str">
        <f>IF('Marcación Workera'!B478="","",UPPER(SUBSTITUTE('Marcación Workera'!B478,".","")))</f>
        <v>16706064-1</v>
      </c>
      <c r="E478" s="19" t="s">
        <v>585</v>
      </c>
      <c r="F478" s="19" t="s">
        <v>560</v>
      </c>
      <c r="G478" s="19" t="s">
        <v>600</v>
      </c>
      <c r="H478" s="19" t="s">
        <v>562</v>
      </c>
      <c r="I478" s="19" t="s">
        <v>92</v>
      </c>
    </row>
    <row r="479" spans="2:9" ht="15" customHeight="1" x14ac:dyDescent="0.3">
      <c r="B479" s="17">
        <f>IF('Marcación Workera'!G479="","",INT('Marcación Workera'!G479))</f>
        <v>46262</v>
      </c>
      <c r="C479" s="18" t="str">
        <f>IF('Marcación Workera'!B479="","",UPPER(SUBSTITUTE('Marcación Workera'!B479,".","")))</f>
        <v>14043656-9</v>
      </c>
      <c r="E479" s="19" t="s">
        <v>585</v>
      </c>
      <c r="F479" s="19" t="s">
        <v>563</v>
      </c>
      <c r="G479" s="19" t="s">
        <v>599</v>
      </c>
      <c r="H479" s="19" t="s">
        <v>562</v>
      </c>
      <c r="I479" s="19" t="s">
        <v>92</v>
      </c>
    </row>
    <row r="480" spans="2:9" ht="15" customHeight="1" x14ac:dyDescent="0.3">
      <c r="B480" s="17">
        <f>IF('Marcación Workera'!G480="","",INT('Marcación Workera'!G480))</f>
        <v>46262</v>
      </c>
      <c r="C480" s="18" t="str">
        <f>IF('Marcación Workera'!B480="","",UPPER(SUBSTITUTE('Marcación Workera'!B480,".","")))</f>
        <v>18889617-0</v>
      </c>
      <c r="E480" s="19" t="s">
        <v>592</v>
      </c>
      <c r="F480" s="19" t="s">
        <v>560</v>
      </c>
      <c r="G480" s="19" t="s">
        <v>601</v>
      </c>
      <c r="H480" s="19" t="s">
        <v>562</v>
      </c>
      <c r="I480" s="19" t="s">
        <v>97</v>
      </c>
    </row>
    <row r="481" spans="2:9" ht="15" customHeight="1" x14ac:dyDescent="0.3">
      <c r="B481" s="17">
        <f>IF('Marcación Workera'!G481="","",INT('Marcación Workera'!G481))</f>
        <v>46262</v>
      </c>
      <c r="C481" s="18" t="str">
        <f>IF('Marcación Workera'!B481="","",UPPER(SUBSTITUTE('Marcación Workera'!B481,".","")))</f>
        <v>14413231-9</v>
      </c>
      <c r="E481" s="19" t="s">
        <v>592</v>
      </c>
      <c r="F481" s="19" t="s">
        <v>563</v>
      </c>
      <c r="G481" s="19" t="s">
        <v>602</v>
      </c>
      <c r="H481" s="19" t="s">
        <v>562</v>
      </c>
      <c r="I481" s="19" t="s">
        <v>97</v>
      </c>
    </row>
    <row r="482" spans="2:9" ht="15" customHeight="1" x14ac:dyDescent="0.3">
      <c r="B482" s="17">
        <f>IF('Marcación Workera'!G482="","",INT('Marcación Workera'!G482))</f>
        <v>46262</v>
      </c>
      <c r="C482" s="18" t="str">
        <f>IF('Marcación Workera'!B482="","",UPPER(SUBSTITUTE('Marcación Workera'!B482,".","")))</f>
        <v>21254681-K</v>
      </c>
      <c r="E482" s="19" t="s">
        <v>544</v>
      </c>
      <c r="F482" s="19" t="s">
        <v>560</v>
      </c>
      <c r="G482" s="19" t="s">
        <v>601</v>
      </c>
      <c r="H482" s="19" t="s">
        <v>562</v>
      </c>
      <c r="I482" s="19" t="s">
        <v>73</v>
      </c>
    </row>
    <row r="483" spans="2:9" ht="15" customHeight="1" x14ac:dyDescent="0.3">
      <c r="B483" s="17">
        <f>IF('Marcación Workera'!G483="","",INT('Marcación Workera'!G483))</f>
        <v>46262</v>
      </c>
      <c r="C483" s="18" t="str">
        <f>IF('Marcación Workera'!B483="","",UPPER(SUBSTITUTE('Marcación Workera'!B483,".","")))</f>
        <v>14594999-8</v>
      </c>
      <c r="E483" s="19" t="s">
        <v>199</v>
      </c>
      <c r="F483" s="19" t="s">
        <v>560</v>
      </c>
      <c r="G483" s="19" t="s">
        <v>601</v>
      </c>
      <c r="H483" s="19" t="s">
        <v>562</v>
      </c>
      <c r="I483" s="19" t="s">
        <v>76</v>
      </c>
    </row>
    <row r="484" spans="2:9" ht="15" customHeight="1" x14ac:dyDescent="0.3">
      <c r="B484" s="17">
        <f>IF('Marcación Workera'!G484="","",INT('Marcación Workera'!G484))</f>
        <v>46262</v>
      </c>
      <c r="C484" s="18" t="str">
        <f>IF('Marcación Workera'!B484="","",UPPER(SUBSTITUTE('Marcación Workera'!B484,".","")))</f>
        <v>12814487-0</v>
      </c>
      <c r="E484" s="19" t="s">
        <v>199</v>
      </c>
      <c r="F484" s="19" t="s">
        <v>563</v>
      </c>
      <c r="G484" s="19" t="s">
        <v>602</v>
      </c>
      <c r="H484" s="19" t="s">
        <v>562</v>
      </c>
      <c r="I484" s="19" t="s">
        <v>76</v>
      </c>
    </row>
    <row r="485" spans="2:9" ht="15" customHeight="1" x14ac:dyDescent="0.3">
      <c r="B485" s="17">
        <f>IF('Marcación Workera'!G485="","",INT('Marcación Workera'!G485))</f>
        <v>46262</v>
      </c>
      <c r="C485" s="18" t="str">
        <f>IF('Marcación Workera'!B485="","",UPPER(SUBSTITUTE('Marcación Workera'!B485,".","")))</f>
        <v>13855440-6</v>
      </c>
      <c r="E485" s="19" t="s">
        <v>532</v>
      </c>
      <c r="F485" s="19" t="s">
        <v>563</v>
      </c>
      <c r="G485" s="19" t="s">
        <v>602</v>
      </c>
      <c r="H485" s="19" t="s">
        <v>562</v>
      </c>
      <c r="I485" s="19" t="s">
        <v>77</v>
      </c>
    </row>
    <row r="486" spans="2:9" ht="15" customHeight="1" x14ac:dyDescent="0.3">
      <c r="B486" s="17">
        <f>IF('Marcación Workera'!G486="","",INT('Marcación Workera'!G486))</f>
        <v>46262</v>
      </c>
      <c r="C486" s="18" t="str">
        <f>IF('Marcación Workera'!B486="","",UPPER(SUBSTITUTE('Marcación Workera'!B486,".","")))</f>
        <v>17626968-5</v>
      </c>
      <c r="E486" s="19" t="s">
        <v>584</v>
      </c>
      <c r="F486" s="19" t="s">
        <v>560</v>
      </c>
      <c r="G486" s="19" t="s">
        <v>601</v>
      </c>
      <c r="H486" s="19" t="s">
        <v>562</v>
      </c>
      <c r="I486" s="19" t="s">
        <v>89</v>
      </c>
    </row>
    <row r="487" spans="2:9" ht="15" customHeight="1" x14ac:dyDescent="0.3">
      <c r="B487" s="17">
        <f>IF('Marcación Workera'!G487="","",INT('Marcación Workera'!G487))</f>
        <v>46262</v>
      </c>
      <c r="C487" s="18" t="str">
        <f>IF('Marcación Workera'!B487="","",UPPER(SUBSTITUTE('Marcación Workera'!B487,".","")))</f>
        <v>23868099-9</v>
      </c>
      <c r="E487" s="19" t="s">
        <v>584</v>
      </c>
      <c r="F487" s="19" t="s">
        <v>563</v>
      </c>
      <c r="G487" s="19" t="s">
        <v>602</v>
      </c>
      <c r="H487" s="19" t="s">
        <v>562</v>
      </c>
      <c r="I487" s="19" t="s">
        <v>89</v>
      </c>
    </row>
    <row r="488" spans="2:9" ht="15" customHeight="1" x14ac:dyDescent="0.3">
      <c r="B488" s="17">
        <f>IF('Marcación Workera'!G488="","",INT('Marcación Workera'!G488))</f>
        <v>46262</v>
      </c>
      <c r="C488" s="18" t="str">
        <f>IF('Marcación Workera'!B488="","",UPPER(SUBSTITUTE('Marcación Workera'!B488,".","")))</f>
        <v>17805184-9</v>
      </c>
      <c r="E488" s="19" t="s">
        <v>550</v>
      </c>
      <c r="F488" s="19" t="s">
        <v>560</v>
      </c>
      <c r="G488" s="19" t="s">
        <v>602</v>
      </c>
      <c r="H488" s="19" t="s">
        <v>562</v>
      </c>
      <c r="I488" s="19" t="s">
        <v>80</v>
      </c>
    </row>
    <row r="489" spans="2:9" ht="15" customHeight="1" x14ac:dyDescent="0.3">
      <c r="B489" s="17">
        <f>IF('Marcación Workera'!G489="","",INT('Marcación Workera'!G489))</f>
        <v>46262</v>
      </c>
      <c r="C489" s="18" t="str">
        <f>IF('Marcación Workera'!B489="","",UPPER(SUBSTITUTE('Marcación Workera'!B489,".","")))</f>
        <v>19949787-1</v>
      </c>
      <c r="E489" s="19" t="s">
        <v>529</v>
      </c>
      <c r="F489" s="19" t="s">
        <v>560</v>
      </c>
      <c r="G489" s="19" t="s">
        <v>602</v>
      </c>
      <c r="H489" s="19" t="s">
        <v>562</v>
      </c>
      <c r="I489" s="19" t="s">
        <v>85</v>
      </c>
    </row>
    <row r="490" spans="2:9" ht="15" customHeight="1" x14ac:dyDescent="0.3">
      <c r="B490" s="17">
        <f>IF('Marcación Workera'!G490="","",INT('Marcación Workera'!G490))</f>
        <v>46262</v>
      </c>
      <c r="C490" s="18" t="str">
        <f>IF('Marcación Workera'!B490="","",UPPER(SUBSTITUTE('Marcación Workera'!B490,".","")))</f>
        <v>11508866-1</v>
      </c>
      <c r="E490" s="19" t="s">
        <v>574</v>
      </c>
      <c r="F490" s="19" t="s">
        <v>560</v>
      </c>
      <c r="G490" s="19" t="s">
        <v>602</v>
      </c>
      <c r="H490" s="19" t="s">
        <v>562</v>
      </c>
      <c r="I490" s="19" t="s">
        <v>82</v>
      </c>
    </row>
    <row r="491" spans="2:9" ht="15" customHeight="1" x14ac:dyDescent="0.3">
      <c r="B491" s="17">
        <f>IF('Marcación Workera'!G491="","",INT('Marcación Workera'!G491))</f>
        <v>46262</v>
      </c>
      <c r="C491" s="18" t="str">
        <f>IF('Marcación Workera'!B491="","",UPPER(SUBSTITUTE('Marcación Workera'!B491,".","")))</f>
        <v>14615536-7</v>
      </c>
      <c r="E491" s="19" t="s">
        <v>574</v>
      </c>
      <c r="F491" s="19" t="s">
        <v>563</v>
      </c>
      <c r="G491" s="19" t="s">
        <v>601</v>
      </c>
      <c r="H491" s="19" t="s">
        <v>562</v>
      </c>
      <c r="I491" s="19" t="s">
        <v>82</v>
      </c>
    </row>
    <row r="492" spans="2:9" ht="15" customHeight="1" x14ac:dyDescent="0.3">
      <c r="B492" s="17">
        <f>IF('Marcación Workera'!G492="","",INT('Marcación Workera'!G492))</f>
        <v>46262</v>
      </c>
      <c r="C492" s="18" t="str">
        <f>IF('Marcación Workera'!B492="","",UPPER(SUBSTITUTE('Marcación Workera'!B492,".","")))</f>
        <v>18352777-0</v>
      </c>
      <c r="E492" s="19" t="s">
        <v>575</v>
      </c>
      <c r="F492" s="19" t="s">
        <v>560</v>
      </c>
      <c r="G492" s="19" t="s">
        <v>602</v>
      </c>
      <c r="H492" s="19" t="s">
        <v>562</v>
      </c>
      <c r="I492" s="19" t="s">
        <v>83</v>
      </c>
    </row>
    <row r="493" spans="2:9" ht="15" customHeight="1" x14ac:dyDescent="0.3">
      <c r="B493" s="17">
        <f>IF('Marcación Workera'!G493="","",INT('Marcación Workera'!G493))</f>
        <v>46262</v>
      </c>
      <c r="C493" s="18" t="str">
        <f>IF('Marcación Workera'!B493="","",UPPER(SUBSTITUTE('Marcación Workera'!B493,".","")))</f>
        <v>21516063-7</v>
      </c>
      <c r="E493" s="19" t="s">
        <v>575</v>
      </c>
      <c r="F493" s="19" t="s">
        <v>563</v>
      </c>
      <c r="G493" s="19" t="s">
        <v>601</v>
      </c>
      <c r="H493" s="19" t="s">
        <v>562</v>
      </c>
      <c r="I493" s="19" t="s">
        <v>83</v>
      </c>
    </row>
    <row r="494" spans="2:9" ht="15" customHeight="1" x14ac:dyDescent="0.3">
      <c r="B494" s="17">
        <f>IF('Marcación Workera'!G494="","",INT('Marcación Workera'!G494))</f>
        <v>46262</v>
      </c>
      <c r="C494" s="18" t="str">
        <f>IF('Marcación Workera'!B494="","",UPPER(SUBSTITUTE('Marcación Workera'!B494,".","")))</f>
        <v>16188552-5</v>
      </c>
      <c r="E494" s="19" t="s">
        <v>201</v>
      </c>
      <c r="F494" s="19" t="s">
        <v>560</v>
      </c>
      <c r="G494" s="19" t="s">
        <v>602</v>
      </c>
      <c r="H494" s="19" t="s">
        <v>562</v>
      </c>
      <c r="I494" s="19" t="s">
        <v>90</v>
      </c>
    </row>
    <row r="495" spans="2:9" ht="15" customHeight="1" x14ac:dyDescent="0.3">
      <c r="B495" s="17">
        <f>IF('Marcación Workera'!G495="","",INT('Marcación Workera'!G495))</f>
        <v>46262</v>
      </c>
      <c r="C495" s="18" t="str">
        <f>IF('Marcación Workera'!B495="","",UPPER(SUBSTITUTE('Marcación Workera'!B495,".","")))</f>
        <v>15814058-6</v>
      </c>
      <c r="E495" s="19" t="s">
        <v>201</v>
      </c>
      <c r="F495" s="19" t="s">
        <v>563</v>
      </c>
      <c r="G495" s="19" t="s">
        <v>601</v>
      </c>
      <c r="H495" s="19" t="s">
        <v>562</v>
      </c>
      <c r="I495" s="19" t="s">
        <v>90</v>
      </c>
    </row>
    <row r="496" spans="2:9" ht="15" customHeight="1" x14ac:dyDescent="0.3">
      <c r="B496" s="17">
        <f>IF('Marcación Workera'!G496="","",INT('Marcación Workera'!G496))</f>
        <v>46262</v>
      </c>
      <c r="C496" s="18" t="str">
        <f>IF('Marcación Workera'!B496="","",UPPER(SUBSTITUTE('Marcación Workera'!B496,".","")))</f>
        <v>15831074-0</v>
      </c>
      <c r="E496" s="19" t="s">
        <v>585</v>
      </c>
      <c r="F496" s="19" t="s">
        <v>560</v>
      </c>
      <c r="G496" s="19" t="s">
        <v>602</v>
      </c>
      <c r="H496" s="19" t="s">
        <v>562</v>
      </c>
      <c r="I496" s="19" t="s">
        <v>92</v>
      </c>
    </row>
    <row r="497" spans="2:9" ht="15" customHeight="1" x14ac:dyDescent="0.3">
      <c r="B497" s="17">
        <f>IF('Marcación Workera'!G497="","",INT('Marcación Workera'!G497))</f>
        <v>46262</v>
      </c>
      <c r="C497" s="18" t="str">
        <f>IF('Marcación Workera'!B497="","",UPPER(SUBSTITUTE('Marcación Workera'!B497,".","")))</f>
        <v>20718093-9</v>
      </c>
      <c r="E497" s="19" t="s">
        <v>585</v>
      </c>
      <c r="F497" s="19" t="s">
        <v>563</v>
      </c>
      <c r="G497" s="19" t="s">
        <v>601</v>
      </c>
      <c r="H497" s="19" t="s">
        <v>562</v>
      </c>
      <c r="I497" s="19" t="s">
        <v>92</v>
      </c>
    </row>
    <row r="498" spans="2:9" ht="15" customHeight="1" x14ac:dyDescent="0.3">
      <c r="B498" s="17">
        <f>IF('Marcación Workera'!G498="","",INT('Marcación Workera'!G498))</f>
        <v>46261</v>
      </c>
      <c r="C498" s="18" t="str">
        <f>IF('Marcación Workera'!B498="","",UPPER(SUBSTITUTE('Marcación Workera'!B498,".","")))</f>
        <v>18352777-0</v>
      </c>
      <c r="E498" s="19" t="s">
        <v>592</v>
      </c>
      <c r="F498" s="19" t="s">
        <v>560</v>
      </c>
      <c r="G498" s="19" t="s">
        <v>603</v>
      </c>
      <c r="H498" s="19" t="s">
        <v>562</v>
      </c>
      <c r="I498" s="19" t="s">
        <v>97</v>
      </c>
    </row>
    <row r="499" spans="2:9" ht="15" customHeight="1" x14ac:dyDescent="0.3">
      <c r="B499" s="17">
        <f>IF('Marcación Workera'!G499="","",INT('Marcación Workera'!G499))</f>
        <v>46261</v>
      </c>
      <c r="C499" s="18" t="str">
        <f>IF('Marcación Workera'!B499="","",UPPER(SUBSTITUTE('Marcación Workera'!B499,".","")))</f>
        <v>21516063-7</v>
      </c>
      <c r="E499" s="19" t="s">
        <v>592</v>
      </c>
      <c r="F499" s="19" t="s">
        <v>563</v>
      </c>
      <c r="G499" s="19" t="s">
        <v>604</v>
      </c>
      <c r="H499" s="19" t="s">
        <v>562</v>
      </c>
      <c r="I499" s="19" t="s">
        <v>97</v>
      </c>
    </row>
    <row r="500" spans="2:9" ht="15" customHeight="1" x14ac:dyDescent="0.3">
      <c r="B500" s="17">
        <f>IF('Marcación Workera'!G500="","",INT('Marcación Workera'!G500))</f>
        <v>46261</v>
      </c>
      <c r="C500" s="18" t="str">
        <f>IF('Marcación Workera'!B500="","",UPPER(SUBSTITUTE('Marcación Workera'!B500,".","")))</f>
        <v>15831074-0</v>
      </c>
      <c r="E500" s="19" t="s">
        <v>506</v>
      </c>
      <c r="F500" s="19" t="s">
        <v>560</v>
      </c>
      <c r="G500" s="19" t="s">
        <v>603</v>
      </c>
      <c r="H500" s="19" t="s">
        <v>562</v>
      </c>
      <c r="I500" s="19" t="s">
        <v>99</v>
      </c>
    </row>
    <row r="501" spans="2:9" ht="15" customHeight="1" x14ac:dyDescent="0.3">
      <c r="B501" s="17">
        <f>IF('Marcación Workera'!G501="","",INT('Marcación Workera'!G501))</f>
        <v>46261</v>
      </c>
      <c r="C501" s="18" t="str">
        <f>IF('Marcación Workera'!B501="","",UPPER(SUBSTITUTE('Marcación Workera'!B501,".","")))</f>
        <v>17626968-5</v>
      </c>
      <c r="E501" s="19" t="s">
        <v>541</v>
      </c>
      <c r="F501" s="19" t="s">
        <v>560</v>
      </c>
      <c r="G501" s="19" t="s">
        <v>603</v>
      </c>
      <c r="H501" s="19" t="s">
        <v>562</v>
      </c>
      <c r="I501" s="19" t="s">
        <v>71</v>
      </c>
    </row>
    <row r="502" spans="2:9" ht="15" customHeight="1" x14ac:dyDescent="0.3">
      <c r="B502" s="17">
        <f>IF('Marcación Workera'!G502="","",INT('Marcación Workera'!G502))</f>
        <v>46261</v>
      </c>
      <c r="C502" s="18" t="str">
        <f>IF('Marcación Workera'!B502="","",UPPER(SUBSTITUTE('Marcación Workera'!B502,".","")))</f>
        <v>20718093-9</v>
      </c>
      <c r="E502" s="19" t="s">
        <v>541</v>
      </c>
      <c r="F502" s="19" t="s">
        <v>563</v>
      </c>
      <c r="G502" s="19" t="s">
        <v>604</v>
      </c>
      <c r="H502" s="19" t="s">
        <v>562</v>
      </c>
      <c r="I502" s="19" t="s">
        <v>71</v>
      </c>
    </row>
    <row r="503" spans="2:9" ht="15" customHeight="1" x14ac:dyDescent="0.3">
      <c r="B503" s="17">
        <f>IF('Marcación Workera'!G503="","",INT('Marcación Workera'!G503))</f>
        <v>46261</v>
      </c>
      <c r="C503" s="18" t="str">
        <f>IF('Marcación Workera'!B503="","",UPPER(SUBSTITUTE('Marcación Workera'!B503,".","")))</f>
        <v>17643998-K</v>
      </c>
      <c r="E503" s="19" t="s">
        <v>535</v>
      </c>
      <c r="F503" s="19" t="s">
        <v>563</v>
      </c>
      <c r="G503" s="19" t="s">
        <v>604</v>
      </c>
      <c r="H503" s="19" t="s">
        <v>562</v>
      </c>
      <c r="I503" s="19" t="s">
        <v>72</v>
      </c>
    </row>
    <row r="504" spans="2:9" ht="15" customHeight="1" x14ac:dyDescent="0.3">
      <c r="B504" s="17">
        <f>IF('Marcación Workera'!G504="","",INT('Marcación Workera'!G504))</f>
        <v>46261</v>
      </c>
      <c r="C504" s="18" t="str">
        <f>IF('Marcación Workera'!B504="","",UPPER(SUBSTITUTE('Marcación Workera'!B504,".","")))</f>
        <v>19949787-1</v>
      </c>
      <c r="E504" s="19" t="s">
        <v>544</v>
      </c>
      <c r="F504" s="19" t="s">
        <v>560</v>
      </c>
      <c r="G504" s="19" t="s">
        <v>603</v>
      </c>
      <c r="H504" s="19" t="s">
        <v>562</v>
      </c>
      <c r="I504" s="19" t="s">
        <v>73</v>
      </c>
    </row>
    <row r="505" spans="2:9" ht="15" customHeight="1" x14ac:dyDescent="0.3">
      <c r="B505" s="17">
        <f>IF('Marcación Workera'!G505="","",INT('Marcación Workera'!G505))</f>
        <v>46261</v>
      </c>
      <c r="C505" s="18" t="str">
        <f>IF('Marcación Workera'!B505="","",UPPER(SUBSTITUTE('Marcación Workera'!B505,".","")))</f>
        <v>17805184-9</v>
      </c>
      <c r="E505" s="19" t="s">
        <v>544</v>
      </c>
      <c r="F505" s="19" t="s">
        <v>563</v>
      </c>
      <c r="G505" s="19" t="s">
        <v>604</v>
      </c>
      <c r="H505" s="19" t="s">
        <v>562</v>
      </c>
      <c r="I505" s="19" t="s">
        <v>73</v>
      </c>
    </row>
    <row r="506" spans="2:9" ht="15" customHeight="1" x14ac:dyDescent="0.3">
      <c r="B506" s="17">
        <f>IF('Marcación Workera'!G506="","",INT('Marcación Workera'!G506))</f>
        <v>46261</v>
      </c>
      <c r="C506" s="18" t="str">
        <f>IF('Marcación Workera'!B506="","",UPPER(SUBSTITUTE('Marcación Workera'!B506,".","")))</f>
        <v>12814487-0</v>
      </c>
      <c r="E506" s="19" t="s">
        <v>547</v>
      </c>
      <c r="F506" s="19" t="s">
        <v>560</v>
      </c>
      <c r="G506" s="19" t="s">
        <v>603</v>
      </c>
      <c r="H506" s="19" t="s">
        <v>562</v>
      </c>
      <c r="I506" s="19" t="s">
        <v>75</v>
      </c>
    </row>
    <row r="507" spans="2:9" ht="15" customHeight="1" x14ac:dyDescent="0.3">
      <c r="B507" s="17">
        <f>IF('Marcación Workera'!G507="","",INT('Marcación Workera'!G507))</f>
        <v>46261</v>
      </c>
      <c r="C507" s="18" t="str">
        <f>IF('Marcación Workera'!B507="","",UPPER(SUBSTITUTE('Marcación Workera'!B507,".","")))</f>
        <v>15814058-6</v>
      </c>
      <c r="E507" s="19" t="s">
        <v>547</v>
      </c>
      <c r="F507" s="19" t="s">
        <v>563</v>
      </c>
      <c r="G507" s="19" t="s">
        <v>604</v>
      </c>
      <c r="H507" s="19" t="s">
        <v>562</v>
      </c>
      <c r="I507" s="19" t="s">
        <v>75</v>
      </c>
    </row>
    <row r="508" spans="2:9" ht="15" customHeight="1" x14ac:dyDescent="0.3">
      <c r="B508" s="17">
        <f>IF('Marcación Workera'!G508="","",INT('Marcación Workera'!G508))</f>
        <v>46261</v>
      </c>
      <c r="C508" s="18" t="str">
        <f>IF('Marcación Workera'!B508="","",UPPER(SUBSTITUTE('Marcación Workera'!B508,".","")))</f>
        <v>13855440-6</v>
      </c>
      <c r="E508" s="19" t="s">
        <v>199</v>
      </c>
      <c r="F508" s="19" t="s">
        <v>560</v>
      </c>
      <c r="G508" s="19" t="s">
        <v>603</v>
      </c>
      <c r="H508" s="19" t="s">
        <v>562</v>
      </c>
      <c r="I508" s="19" t="s">
        <v>76</v>
      </c>
    </row>
    <row r="509" spans="2:9" ht="15" customHeight="1" x14ac:dyDescent="0.3">
      <c r="B509" s="17">
        <f>IF('Marcación Workera'!G509="","",INT('Marcación Workera'!G509))</f>
        <v>46261</v>
      </c>
      <c r="C509" s="18" t="str">
        <f>IF('Marcación Workera'!B509="","",UPPER(SUBSTITUTE('Marcación Workera'!B509,".","")))</f>
        <v>14043656-9</v>
      </c>
      <c r="E509" s="19" t="s">
        <v>199</v>
      </c>
      <c r="F509" s="19" t="s">
        <v>563</v>
      </c>
      <c r="G509" s="19" t="s">
        <v>604</v>
      </c>
      <c r="H509" s="19" t="s">
        <v>562</v>
      </c>
      <c r="I509" s="19" t="s">
        <v>76</v>
      </c>
    </row>
    <row r="510" spans="2:9" ht="15" customHeight="1" x14ac:dyDescent="0.3">
      <c r="B510" s="17">
        <f>IF('Marcación Workera'!G510="","",INT('Marcación Workera'!G510))</f>
        <v>46261</v>
      </c>
      <c r="C510" s="18" t="str">
        <f>IF('Marcación Workera'!B510="","",UPPER(SUBSTITUTE('Marcación Workera'!B510,".","")))</f>
        <v>21254681-K</v>
      </c>
      <c r="E510" s="19" t="s">
        <v>532</v>
      </c>
      <c r="F510" s="19" t="s">
        <v>563</v>
      </c>
      <c r="G510" s="19" t="s">
        <v>604</v>
      </c>
      <c r="H510" s="19" t="s">
        <v>562</v>
      </c>
      <c r="I510" s="19" t="s">
        <v>77</v>
      </c>
    </row>
    <row r="511" spans="2:9" ht="15" customHeight="1" x14ac:dyDescent="0.3">
      <c r="B511" s="17">
        <f>IF('Marcación Workera'!G511="","",INT('Marcación Workera'!G511))</f>
        <v>46261</v>
      </c>
      <c r="C511" s="18" t="str">
        <f>IF('Marcación Workera'!B511="","",UPPER(SUBSTITUTE('Marcación Workera'!B511,".","")))</f>
        <v>18889617-0</v>
      </c>
      <c r="E511" s="19" t="s">
        <v>584</v>
      </c>
      <c r="F511" s="19" t="s">
        <v>560</v>
      </c>
      <c r="G511" s="19" t="s">
        <v>603</v>
      </c>
      <c r="H511" s="19" t="s">
        <v>562</v>
      </c>
      <c r="I511" s="19" t="s">
        <v>89</v>
      </c>
    </row>
    <row r="512" spans="2:9" ht="15" customHeight="1" x14ac:dyDescent="0.3">
      <c r="B512" s="17">
        <f>IF('Marcación Workera'!G512="","",INT('Marcación Workera'!G512))</f>
        <v>46261</v>
      </c>
      <c r="C512" s="18" t="str">
        <f>IF('Marcación Workera'!B512="","",UPPER(SUBSTITUTE('Marcación Workera'!B512,".","")))</f>
        <v>16188552-5</v>
      </c>
      <c r="E512" s="19" t="s">
        <v>584</v>
      </c>
      <c r="F512" s="19" t="s">
        <v>563</v>
      </c>
      <c r="G512" s="19" t="s">
        <v>604</v>
      </c>
      <c r="H512" s="19" t="s">
        <v>562</v>
      </c>
      <c r="I512" s="19" t="s">
        <v>89</v>
      </c>
    </row>
    <row r="513" spans="2:9" ht="15" customHeight="1" x14ac:dyDescent="0.3">
      <c r="B513" s="17">
        <f>IF('Marcación Workera'!G513="","",INT('Marcación Workera'!G513))</f>
        <v>46261</v>
      </c>
      <c r="C513" s="18" t="str">
        <f>IF('Marcación Workera'!B513="","",UPPER(SUBSTITUTE('Marcación Workera'!B513,".","")))</f>
        <v>23868099-9</v>
      </c>
      <c r="E513" s="19" t="s">
        <v>538</v>
      </c>
      <c r="F513" s="19" t="s">
        <v>560</v>
      </c>
      <c r="G513" s="19" t="s">
        <v>604</v>
      </c>
      <c r="H513" s="19" t="s">
        <v>562</v>
      </c>
      <c r="I513" s="19" t="s">
        <v>78</v>
      </c>
    </row>
    <row r="514" spans="2:9" ht="15" customHeight="1" x14ac:dyDescent="0.3">
      <c r="B514" s="17">
        <f>IF('Marcación Workera'!G514="","",INT('Marcación Workera'!G514))</f>
        <v>46261</v>
      </c>
      <c r="C514" s="18" t="str">
        <f>IF('Marcación Workera'!B514="","",UPPER(SUBSTITUTE('Marcación Workera'!B514,".","")))</f>
        <v>16706064-1</v>
      </c>
      <c r="E514" s="19" t="s">
        <v>538</v>
      </c>
      <c r="F514" s="19" t="s">
        <v>563</v>
      </c>
      <c r="G514" s="19" t="s">
        <v>603</v>
      </c>
      <c r="H514" s="19" t="s">
        <v>562</v>
      </c>
      <c r="I514" s="19" t="s">
        <v>78</v>
      </c>
    </row>
    <row r="515" spans="2:9" ht="15" customHeight="1" x14ac:dyDescent="0.3">
      <c r="B515" s="17">
        <f>IF('Marcación Workera'!G515="","",INT('Marcación Workera'!G515))</f>
        <v>46261</v>
      </c>
      <c r="C515" s="18" t="str">
        <f>IF('Marcación Workera'!B515="","",UPPER(SUBSTITUTE('Marcación Workera'!B515,".","")))</f>
        <v>15593625-8</v>
      </c>
      <c r="E515" s="19" t="s">
        <v>550</v>
      </c>
      <c r="F515" s="19" t="s">
        <v>560</v>
      </c>
      <c r="G515" s="19" t="s">
        <v>604</v>
      </c>
      <c r="H515" s="19" t="s">
        <v>562</v>
      </c>
      <c r="I515" s="19" t="s">
        <v>80</v>
      </c>
    </row>
    <row r="516" spans="2:9" ht="15" customHeight="1" x14ac:dyDescent="0.3">
      <c r="B516" s="17">
        <f>IF('Marcación Workera'!G516="","",INT('Marcación Workera'!G516))</f>
        <v>46261</v>
      </c>
      <c r="C516" s="18" t="str">
        <f>IF('Marcación Workera'!B516="","",UPPER(SUBSTITUTE('Marcación Workera'!B516,".","")))</f>
        <v>16706064-1</v>
      </c>
      <c r="E516" s="19" t="s">
        <v>550</v>
      </c>
      <c r="F516" s="19" t="s">
        <v>563</v>
      </c>
      <c r="G516" s="19" t="s">
        <v>603</v>
      </c>
      <c r="H516" s="19" t="s">
        <v>562</v>
      </c>
      <c r="I516" s="19" t="s">
        <v>80</v>
      </c>
    </row>
    <row r="517" spans="2:9" ht="15" customHeight="1" x14ac:dyDescent="0.3">
      <c r="B517" s="17">
        <f>IF('Marcación Workera'!G517="","",INT('Marcación Workera'!G517))</f>
        <v>46261</v>
      </c>
      <c r="C517" s="18" t="str">
        <f>IF('Marcación Workera'!B517="","",UPPER(SUBSTITUTE('Marcación Workera'!B517,".","")))</f>
        <v>21254681-K</v>
      </c>
      <c r="E517" s="19" t="s">
        <v>529</v>
      </c>
      <c r="F517" s="19" t="s">
        <v>560</v>
      </c>
      <c r="G517" s="19" t="s">
        <v>604</v>
      </c>
      <c r="H517" s="19" t="s">
        <v>562</v>
      </c>
      <c r="I517" s="19" t="s">
        <v>85</v>
      </c>
    </row>
    <row r="518" spans="2:9" ht="15" customHeight="1" x14ac:dyDescent="0.3">
      <c r="B518" s="17">
        <f>IF('Marcación Workera'!G518="","",INT('Marcación Workera'!G518))</f>
        <v>46261</v>
      </c>
      <c r="C518" s="18" t="str">
        <f>IF('Marcación Workera'!B518="","",UPPER(SUBSTITUTE('Marcación Workera'!B518,".","")))</f>
        <v>18889617-0</v>
      </c>
      <c r="E518" s="19" t="s">
        <v>574</v>
      </c>
      <c r="F518" s="19" t="s">
        <v>560</v>
      </c>
      <c r="G518" s="19" t="s">
        <v>604</v>
      </c>
      <c r="H518" s="19" t="s">
        <v>562</v>
      </c>
      <c r="I518" s="19" t="s">
        <v>82</v>
      </c>
    </row>
    <row r="519" spans="2:9" ht="15" customHeight="1" x14ac:dyDescent="0.3">
      <c r="B519" s="17">
        <f>IF('Marcación Workera'!G519="","",INT('Marcación Workera'!G519))</f>
        <v>46261</v>
      </c>
      <c r="C519" s="18" t="str">
        <f>IF('Marcación Workera'!B519="","",UPPER(SUBSTITUTE('Marcación Workera'!B519,".","")))</f>
        <v>16188552-5</v>
      </c>
      <c r="E519" s="19" t="s">
        <v>574</v>
      </c>
      <c r="F519" s="19" t="s">
        <v>563</v>
      </c>
      <c r="G519" s="19" t="s">
        <v>603</v>
      </c>
      <c r="H519" s="19" t="s">
        <v>562</v>
      </c>
      <c r="I519" s="19" t="s">
        <v>82</v>
      </c>
    </row>
    <row r="520" spans="2:9" ht="15" customHeight="1" x14ac:dyDescent="0.3">
      <c r="B520" s="17">
        <f>IF('Marcación Workera'!G520="","",INT('Marcación Workera'!G520))</f>
        <v>46261</v>
      </c>
      <c r="C520" s="18" t="str">
        <f>IF('Marcación Workera'!B520="","",UPPER(SUBSTITUTE('Marcación Workera'!B520,".","")))</f>
        <v>19949787-1</v>
      </c>
      <c r="E520" s="19" t="s">
        <v>575</v>
      </c>
      <c r="F520" s="19" t="s">
        <v>560</v>
      </c>
      <c r="G520" s="19" t="s">
        <v>604</v>
      </c>
      <c r="H520" s="19" t="s">
        <v>562</v>
      </c>
      <c r="I520" s="19" t="s">
        <v>83</v>
      </c>
    </row>
    <row r="521" spans="2:9" ht="15" customHeight="1" x14ac:dyDescent="0.3">
      <c r="B521" s="17">
        <f>IF('Marcación Workera'!G521="","",INT('Marcación Workera'!G521))</f>
        <v>46261</v>
      </c>
      <c r="C521" s="18" t="str">
        <f>IF('Marcación Workera'!B521="","",UPPER(SUBSTITUTE('Marcación Workera'!B521,".","")))</f>
        <v>18352777-0</v>
      </c>
      <c r="E521" s="19" t="s">
        <v>575</v>
      </c>
      <c r="F521" s="19" t="s">
        <v>563</v>
      </c>
      <c r="G521" s="19" t="s">
        <v>603</v>
      </c>
      <c r="H521" s="19" t="s">
        <v>562</v>
      </c>
      <c r="I521" s="19" t="s">
        <v>83</v>
      </c>
    </row>
    <row r="522" spans="2:9" ht="15" customHeight="1" x14ac:dyDescent="0.3">
      <c r="B522" s="17">
        <f>IF('Marcación Workera'!G522="","",INT('Marcación Workera'!G522))</f>
        <v>46261</v>
      </c>
      <c r="C522" s="18" t="str">
        <f>IF('Marcación Workera'!B522="","",UPPER(SUBSTITUTE('Marcación Workera'!B522,".","")))</f>
        <v>14594999-8</v>
      </c>
      <c r="E522" s="19" t="s">
        <v>201</v>
      </c>
      <c r="F522" s="19" t="s">
        <v>560</v>
      </c>
      <c r="G522" s="19" t="s">
        <v>604</v>
      </c>
      <c r="H522" s="19" t="s">
        <v>562</v>
      </c>
      <c r="I522" s="19" t="s">
        <v>90</v>
      </c>
    </row>
    <row r="523" spans="2:9" ht="15" customHeight="1" x14ac:dyDescent="0.3">
      <c r="B523" s="17">
        <f>IF('Marcación Workera'!G523="","",INT('Marcación Workera'!G523))</f>
        <v>46261</v>
      </c>
      <c r="C523" s="18" t="str">
        <f>IF('Marcación Workera'!B523="","",UPPER(SUBSTITUTE('Marcación Workera'!B523,".","")))</f>
        <v>23868099-9</v>
      </c>
      <c r="E523" s="19" t="s">
        <v>201</v>
      </c>
      <c r="F523" s="19" t="s">
        <v>563</v>
      </c>
      <c r="G523" s="19" t="s">
        <v>603</v>
      </c>
      <c r="H523" s="19" t="s">
        <v>562</v>
      </c>
      <c r="I523" s="19" t="s">
        <v>90</v>
      </c>
    </row>
    <row r="524" spans="2:9" ht="15" customHeight="1" x14ac:dyDescent="0.3">
      <c r="B524" s="17">
        <f>IF('Marcación Workera'!G524="","",INT('Marcación Workera'!G524))</f>
        <v>46261</v>
      </c>
      <c r="C524" s="18" t="str">
        <f>IF('Marcación Workera'!B524="","",UPPER(SUBSTITUTE('Marcación Workera'!B524,".","")))</f>
        <v>12814487-0</v>
      </c>
      <c r="E524" s="19" t="s">
        <v>585</v>
      </c>
      <c r="F524" s="19" t="s">
        <v>560</v>
      </c>
      <c r="G524" s="19" t="s">
        <v>604</v>
      </c>
      <c r="H524" s="19" t="s">
        <v>562</v>
      </c>
      <c r="I524" s="19" t="s">
        <v>92</v>
      </c>
    </row>
    <row r="525" spans="2:9" ht="15" customHeight="1" x14ac:dyDescent="0.3">
      <c r="B525" s="17">
        <f>IF('Marcación Workera'!G525="","",INT('Marcación Workera'!G525))</f>
        <v>46261</v>
      </c>
      <c r="C525" s="18" t="str">
        <f>IF('Marcación Workera'!B525="","",UPPER(SUBSTITUTE('Marcación Workera'!B525,".","")))</f>
        <v>17626968-5</v>
      </c>
      <c r="E525" s="19" t="s">
        <v>585</v>
      </c>
      <c r="F525" s="19" t="s">
        <v>563</v>
      </c>
      <c r="G525" s="19" t="s">
        <v>603</v>
      </c>
      <c r="H525" s="19" t="s">
        <v>562</v>
      </c>
      <c r="I525" s="19" t="s">
        <v>92</v>
      </c>
    </row>
    <row r="526" spans="2:9" ht="15" customHeight="1" x14ac:dyDescent="0.3">
      <c r="B526" s="17">
        <f>IF('Marcación Workera'!G526="","",INT('Marcación Workera'!G526))</f>
        <v>46261</v>
      </c>
      <c r="C526" s="18" t="str">
        <f>IF('Marcación Workera'!B526="","",UPPER(SUBSTITUTE('Marcación Workera'!B526,".","")))</f>
        <v>11508866-1</v>
      </c>
      <c r="E526" s="19" t="s">
        <v>592</v>
      </c>
      <c r="F526" s="19" t="s">
        <v>560</v>
      </c>
      <c r="G526" s="19" t="s">
        <v>605</v>
      </c>
      <c r="H526" s="19" t="s">
        <v>562</v>
      </c>
      <c r="I526" s="19" t="s">
        <v>97</v>
      </c>
    </row>
    <row r="527" spans="2:9" ht="15" customHeight="1" x14ac:dyDescent="0.3">
      <c r="B527" s="17">
        <f>IF('Marcación Workera'!G527="","",INT('Marcación Workera'!G527))</f>
        <v>46261</v>
      </c>
      <c r="C527" s="18" t="str">
        <f>IF('Marcación Workera'!B527="","",UPPER(SUBSTITUTE('Marcación Workera'!B527,".","")))</f>
        <v>17805184-9</v>
      </c>
      <c r="E527" s="19" t="s">
        <v>592</v>
      </c>
      <c r="F527" s="19" t="s">
        <v>563</v>
      </c>
      <c r="G527" s="19" t="s">
        <v>606</v>
      </c>
      <c r="H527" s="19" t="s">
        <v>562</v>
      </c>
      <c r="I527" s="19" t="s">
        <v>97</v>
      </c>
    </row>
    <row r="528" spans="2:9" ht="15" customHeight="1" x14ac:dyDescent="0.3">
      <c r="B528" s="17">
        <f>IF('Marcación Workera'!G528="","",INT('Marcación Workera'!G528))</f>
        <v>46261</v>
      </c>
      <c r="C528" s="18" t="str">
        <f>IF('Marcación Workera'!B528="","",UPPER(SUBSTITUTE('Marcación Workera'!B528,".","")))</f>
        <v>17805184-9</v>
      </c>
      <c r="E528" s="19" t="s">
        <v>513</v>
      </c>
      <c r="F528" s="19" t="s">
        <v>563</v>
      </c>
      <c r="G528" s="19" t="s">
        <v>606</v>
      </c>
      <c r="H528" s="19" t="s">
        <v>562</v>
      </c>
      <c r="I528" s="19" t="s">
        <v>98</v>
      </c>
    </row>
    <row r="529" spans="2:9" ht="15" customHeight="1" x14ac:dyDescent="0.3">
      <c r="B529" s="17">
        <f>IF('Marcación Workera'!G529="","",INT('Marcación Workera'!G529))</f>
        <v>46261</v>
      </c>
      <c r="C529" s="18" t="str">
        <f>IF('Marcación Workera'!B529="","",UPPER(SUBSTITUTE('Marcación Workera'!B529,".","")))</f>
        <v>13855440-6</v>
      </c>
      <c r="E529" s="19" t="s">
        <v>447</v>
      </c>
      <c r="F529" s="19" t="s">
        <v>560</v>
      </c>
      <c r="G529" s="19" t="s">
        <v>605</v>
      </c>
      <c r="H529" s="19" t="s">
        <v>562</v>
      </c>
      <c r="I529" s="19" t="s">
        <v>56</v>
      </c>
    </row>
    <row r="530" spans="2:9" ht="15" customHeight="1" x14ac:dyDescent="0.3">
      <c r="B530" s="17">
        <f>IF('Marcación Workera'!G530="","",INT('Marcación Workera'!G530))</f>
        <v>46261</v>
      </c>
      <c r="C530" s="18" t="str">
        <f>IF('Marcación Workera'!B530="","",UPPER(SUBSTITUTE('Marcación Workera'!B530,".","")))</f>
        <v>15814058-6</v>
      </c>
      <c r="E530" s="19" t="s">
        <v>447</v>
      </c>
      <c r="F530" s="19" t="s">
        <v>563</v>
      </c>
      <c r="G530" s="19" t="s">
        <v>606</v>
      </c>
      <c r="H530" s="19" t="s">
        <v>562</v>
      </c>
      <c r="I530" s="19" t="s">
        <v>56</v>
      </c>
    </row>
    <row r="531" spans="2:9" ht="15" customHeight="1" x14ac:dyDescent="0.3">
      <c r="B531" s="17">
        <f>IF('Marcación Workera'!G531="","",INT('Marcación Workera'!G531))</f>
        <v>46261</v>
      </c>
      <c r="C531" s="18" t="str">
        <f>IF('Marcación Workera'!B531="","",UPPER(SUBSTITUTE('Marcación Workera'!B531,".","")))</f>
        <v>21516063-7</v>
      </c>
      <c r="E531" s="19" t="s">
        <v>453</v>
      </c>
      <c r="F531" s="19" t="s">
        <v>560</v>
      </c>
      <c r="G531" s="19" t="s">
        <v>605</v>
      </c>
      <c r="H531" s="19" t="s">
        <v>562</v>
      </c>
      <c r="I531" s="19" t="s">
        <v>54</v>
      </c>
    </row>
    <row r="532" spans="2:9" ht="15" customHeight="1" x14ac:dyDescent="0.3">
      <c r="B532" s="17">
        <f>IF('Marcación Workera'!G532="","",INT('Marcación Workera'!G532))</f>
        <v>46261</v>
      </c>
      <c r="C532" s="18" t="str">
        <f>IF('Marcación Workera'!B532="","",UPPER(SUBSTITUTE('Marcación Workera'!B532,".","")))</f>
        <v>15593625-8</v>
      </c>
      <c r="E532" s="19" t="s">
        <v>453</v>
      </c>
      <c r="F532" s="19" t="s">
        <v>563</v>
      </c>
      <c r="G532" s="19" t="s">
        <v>606</v>
      </c>
      <c r="H532" s="19" t="s">
        <v>562</v>
      </c>
      <c r="I532" s="19" t="s">
        <v>54</v>
      </c>
    </row>
    <row r="533" spans="2:9" ht="15" customHeight="1" x14ac:dyDescent="0.3">
      <c r="B533" s="17">
        <f>IF('Marcación Workera'!G533="","",INT('Marcación Workera'!G533))</f>
        <v>46261</v>
      </c>
      <c r="C533" s="18" t="str">
        <f>IF('Marcación Workera'!B533="","",UPPER(SUBSTITUTE('Marcación Workera'!B533,".","")))</f>
        <v>14615536-7</v>
      </c>
      <c r="E533" s="19" t="s">
        <v>465</v>
      </c>
      <c r="F533" s="19" t="s">
        <v>560</v>
      </c>
      <c r="G533" s="19" t="s">
        <v>605</v>
      </c>
      <c r="H533" s="19" t="s">
        <v>562</v>
      </c>
      <c r="I533" s="19" t="s">
        <v>53</v>
      </c>
    </row>
    <row r="534" spans="2:9" ht="15" customHeight="1" x14ac:dyDescent="0.3">
      <c r="B534" s="17">
        <f>IF('Marcación Workera'!G534="","",INT('Marcación Workera'!G534))</f>
        <v>46261</v>
      </c>
      <c r="C534" s="18" t="str">
        <f>IF('Marcación Workera'!B534="","",UPPER(SUBSTITUTE('Marcación Workera'!B534,".","")))</f>
        <v>15831074-0</v>
      </c>
      <c r="E534" s="19" t="s">
        <v>465</v>
      </c>
      <c r="F534" s="19" t="s">
        <v>563</v>
      </c>
      <c r="G534" s="19" t="s">
        <v>606</v>
      </c>
      <c r="H534" s="19" t="s">
        <v>562</v>
      </c>
      <c r="I534" s="19" t="s">
        <v>53</v>
      </c>
    </row>
    <row r="535" spans="2:9" ht="15" customHeight="1" x14ac:dyDescent="0.3">
      <c r="B535" s="17">
        <f>IF('Marcación Workera'!G535="","",INT('Marcación Workera'!G535))</f>
        <v>46261</v>
      </c>
      <c r="C535" s="18" t="str">
        <f>IF('Marcación Workera'!B535="","",UPPER(SUBSTITUTE('Marcación Workera'!B535,".","")))</f>
        <v>17643998-K</v>
      </c>
      <c r="E535" s="19" t="s">
        <v>468</v>
      </c>
      <c r="F535" s="19" t="s">
        <v>560</v>
      </c>
      <c r="G535" s="19" t="s">
        <v>605</v>
      </c>
      <c r="H535" s="19" t="s">
        <v>562</v>
      </c>
      <c r="I535" s="19" t="s">
        <v>49</v>
      </c>
    </row>
    <row r="536" spans="2:9" ht="15" customHeight="1" x14ac:dyDescent="0.3">
      <c r="B536" s="17">
        <f>IF('Marcación Workera'!G536="","",INT('Marcación Workera'!G536))</f>
        <v>46261</v>
      </c>
      <c r="C536" s="18" t="str">
        <f>IF('Marcación Workera'!B536="","",UPPER(SUBSTITUTE('Marcación Workera'!B536,".","")))</f>
        <v>20718093-9</v>
      </c>
      <c r="E536" s="19" t="s">
        <v>468</v>
      </c>
      <c r="F536" s="19" t="s">
        <v>563</v>
      </c>
      <c r="G536" s="19" t="s">
        <v>606</v>
      </c>
      <c r="H536" s="19" t="s">
        <v>562</v>
      </c>
      <c r="I536" s="19" t="s">
        <v>49</v>
      </c>
    </row>
    <row r="537" spans="2:9" ht="15" customHeight="1" x14ac:dyDescent="0.3">
      <c r="B537" s="17">
        <f>IF('Marcación Workera'!G537="","",INT('Marcación Workera'!G537))</f>
        <v>46260</v>
      </c>
      <c r="C537" s="18" t="str">
        <f>IF('Marcación Workera'!B537="","",UPPER(SUBSTITUTE('Marcación Workera'!B537,".","")))</f>
        <v>23868099-9</v>
      </c>
      <c r="E537" s="19" t="s">
        <v>459</v>
      </c>
      <c r="F537" s="19" t="s">
        <v>560</v>
      </c>
      <c r="G537" s="19" t="s">
        <v>605</v>
      </c>
      <c r="H537" s="19" t="s">
        <v>562</v>
      </c>
      <c r="I537" s="19" t="s">
        <v>31</v>
      </c>
    </row>
    <row r="538" spans="2:9" ht="15" customHeight="1" x14ac:dyDescent="0.3">
      <c r="B538" s="17">
        <f>IF('Marcación Workera'!G538="","",INT('Marcación Workera'!G538))</f>
        <v>46260</v>
      </c>
      <c r="C538" s="18" t="str">
        <f>IF('Marcación Workera'!B538="","",UPPER(SUBSTITUTE('Marcación Workera'!B538,".","")))</f>
        <v>17643998-K</v>
      </c>
      <c r="E538" s="19" t="s">
        <v>459</v>
      </c>
      <c r="F538" s="19" t="s">
        <v>563</v>
      </c>
      <c r="G538" s="19" t="s">
        <v>606</v>
      </c>
      <c r="H538" s="19" t="s">
        <v>562</v>
      </c>
      <c r="I538" s="19" t="s">
        <v>31</v>
      </c>
    </row>
    <row r="539" spans="2:9" ht="15" customHeight="1" x14ac:dyDescent="0.3">
      <c r="B539" s="17">
        <f>IF('Marcación Workera'!G539="","",INT('Marcación Workera'!G539))</f>
        <v>46260</v>
      </c>
      <c r="C539" s="18" t="str">
        <f>IF('Marcación Workera'!B539="","",UPPER(SUBSTITUTE('Marcación Workera'!B539,".","")))</f>
        <v>18352777-0</v>
      </c>
      <c r="E539" s="19" t="s">
        <v>480</v>
      </c>
      <c r="F539" s="19" t="s">
        <v>560</v>
      </c>
      <c r="G539" s="19" t="s">
        <v>605</v>
      </c>
      <c r="H539" s="19" t="s">
        <v>562</v>
      </c>
      <c r="I539" s="19" t="s">
        <v>35</v>
      </c>
    </row>
    <row r="540" spans="2:9" ht="15" customHeight="1" x14ac:dyDescent="0.3">
      <c r="B540" s="17">
        <f>IF('Marcación Workera'!G540="","",INT('Marcación Workera'!G540))</f>
        <v>46260</v>
      </c>
      <c r="C540" s="18" t="str">
        <f>IF('Marcación Workera'!B540="","",UPPER(SUBSTITUTE('Marcación Workera'!B540,".","")))</f>
        <v>15593625-8</v>
      </c>
      <c r="E540" s="19" t="s">
        <v>480</v>
      </c>
      <c r="F540" s="19" t="s">
        <v>563</v>
      </c>
      <c r="G540" s="19" t="s">
        <v>606</v>
      </c>
      <c r="H540" s="19" t="s">
        <v>562</v>
      </c>
      <c r="I540" s="19" t="s">
        <v>35</v>
      </c>
    </row>
    <row r="541" spans="2:9" ht="15" customHeight="1" x14ac:dyDescent="0.3">
      <c r="B541" s="17">
        <f>IF('Marcación Workera'!G541="","",INT('Marcación Workera'!G541))</f>
        <v>46260</v>
      </c>
      <c r="C541" s="18" t="str">
        <f>IF('Marcación Workera'!B541="","",UPPER(SUBSTITUTE('Marcación Workera'!B541,".","")))</f>
        <v>21516063-7</v>
      </c>
      <c r="E541" s="19" t="s">
        <v>450</v>
      </c>
      <c r="F541" s="19" t="s">
        <v>560</v>
      </c>
      <c r="G541" s="19" t="s">
        <v>605</v>
      </c>
      <c r="H541" s="19" t="s">
        <v>562</v>
      </c>
      <c r="I541" s="19" t="s">
        <v>55</v>
      </c>
    </row>
    <row r="542" spans="2:9" ht="15" customHeight="1" x14ac:dyDescent="0.3">
      <c r="B542" s="17">
        <f>IF('Marcación Workera'!G542="","",INT('Marcación Workera'!G542))</f>
        <v>46260</v>
      </c>
      <c r="C542" s="18" t="str">
        <f>IF('Marcación Workera'!B542="","",UPPER(SUBSTITUTE('Marcación Workera'!B542,".","")))</f>
        <v>14615536-7</v>
      </c>
      <c r="E542" s="19" t="s">
        <v>450</v>
      </c>
      <c r="F542" s="19" t="s">
        <v>563</v>
      </c>
      <c r="G542" s="19" t="s">
        <v>606</v>
      </c>
      <c r="H542" s="19" t="s">
        <v>562</v>
      </c>
      <c r="I542" s="19" t="s">
        <v>55</v>
      </c>
    </row>
    <row r="543" spans="2:9" ht="15" customHeight="1" x14ac:dyDescent="0.3">
      <c r="B543" s="17">
        <f>IF('Marcación Workera'!G543="","",INT('Marcación Workera'!G543))</f>
        <v>46260</v>
      </c>
      <c r="C543" s="18" t="str">
        <f>IF('Marcación Workera'!B543="","",UPPER(SUBSTITUTE('Marcación Workera'!B543,".","")))</f>
        <v>14594999-8</v>
      </c>
      <c r="E543" s="19" t="s">
        <v>486</v>
      </c>
      <c r="F543" s="19" t="s">
        <v>560</v>
      </c>
      <c r="G543" s="19" t="s">
        <v>605</v>
      </c>
      <c r="H543" s="19" t="s">
        <v>562</v>
      </c>
      <c r="I543" s="19" t="s">
        <v>58</v>
      </c>
    </row>
    <row r="544" spans="2:9" ht="15" customHeight="1" x14ac:dyDescent="0.3">
      <c r="B544" s="17">
        <f>IF('Marcación Workera'!G544="","",INT('Marcación Workera'!G544))</f>
        <v>46260</v>
      </c>
      <c r="C544" s="18" t="str">
        <f>IF('Marcación Workera'!B544="","",UPPER(SUBSTITUTE('Marcación Workera'!B544,".","")))</f>
        <v>12814487-0</v>
      </c>
      <c r="E544" s="19" t="s">
        <v>486</v>
      </c>
      <c r="F544" s="19" t="s">
        <v>563</v>
      </c>
      <c r="G544" s="19" t="s">
        <v>606</v>
      </c>
      <c r="H544" s="19" t="s">
        <v>562</v>
      </c>
      <c r="I544" s="19" t="s">
        <v>58</v>
      </c>
    </row>
    <row r="545" spans="2:9" ht="15" customHeight="1" x14ac:dyDescent="0.3">
      <c r="B545" s="17">
        <f>IF('Marcación Workera'!G545="","",INT('Marcación Workera'!G545))</f>
        <v>46260</v>
      </c>
      <c r="C545" s="18" t="str">
        <f>IF('Marcación Workera'!B545="","",UPPER(SUBSTITUTE('Marcación Workera'!B545,".","")))</f>
        <v>11508866-1</v>
      </c>
      <c r="E545" s="19" t="s">
        <v>150</v>
      </c>
      <c r="F545" s="19" t="s">
        <v>560</v>
      </c>
      <c r="G545" s="19" t="s">
        <v>605</v>
      </c>
      <c r="H545" s="19" t="s">
        <v>562</v>
      </c>
      <c r="I545" s="19" t="s">
        <v>60</v>
      </c>
    </row>
    <row r="546" spans="2:9" ht="15" customHeight="1" x14ac:dyDescent="0.3">
      <c r="B546" s="17">
        <f>IF('Marcación Workera'!G546="","",INT('Marcación Workera'!G546))</f>
        <v>46260</v>
      </c>
      <c r="C546" s="18" t="str">
        <f>IF('Marcación Workera'!B546="","",UPPER(SUBSTITUTE('Marcación Workera'!B546,".","")))</f>
        <v>20718093-9</v>
      </c>
      <c r="E546" s="19" t="s">
        <v>150</v>
      </c>
      <c r="F546" s="19" t="s">
        <v>563</v>
      </c>
      <c r="G546" s="19" t="s">
        <v>606</v>
      </c>
      <c r="H546" s="19" t="s">
        <v>562</v>
      </c>
      <c r="I546" s="19" t="s">
        <v>60</v>
      </c>
    </row>
    <row r="547" spans="2:9" ht="15" customHeight="1" x14ac:dyDescent="0.3">
      <c r="B547" s="17">
        <f>IF('Marcación Workera'!G547="","",INT('Marcación Workera'!G547))</f>
        <v>46260</v>
      </c>
      <c r="C547" s="18" t="str">
        <f>IF('Marcación Workera'!B547="","",UPPER(SUBSTITUTE('Marcación Workera'!B547,".","")))</f>
        <v>17626968-5</v>
      </c>
      <c r="E547" s="19" t="s">
        <v>184</v>
      </c>
      <c r="F547" s="19" t="s">
        <v>560</v>
      </c>
      <c r="G547" s="19" t="s">
        <v>606</v>
      </c>
      <c r="H547" s="19" t="s">
        <v>562</v>
      </c>
      <c r="I547" s="19" t="s">
        <v>51</v>
      </c>
    </row>
    <row r="548" spans="2:9" ht="15" customHeight="1" x14ac:dyDescent="0.3">
      <c r="B548" s="17">
        <f>IF('Marcación Workera'!G548="","",INT('Marcación Workera'!G548))</f>
        <v>46260</v>
      </c>
      <c r="C548" s="18" t="str">
        <f>IF('Marcación Workera'!B548="","",UPPER(SUBSTITUTE('Marcación Workera'!B548,".","")))</f>
        <v>15814058-6</v>
      </c>
      <c r="E548" s="19" t="s">
        <v>184</v>
      </c>
      <c r="F548" s="19" t="s">
        <v>563</v>
      </c>
      <c r="G548" s="19" t="s">
        <v>605</v>
      </c>
      <c r="H548" s="19" t="s">
        <v>562</v>
      </c>
      <c r="I548" s="19" t="s">
        <v>51</v>
      </c>
    </row>
    <row r="549" spans="2:9" ht="15" customHeight="1" x14ac:dyDescent="0.3">
      <c r="B549" s="17">
        <f>IF('Marcación Workera'!G549="","",INT('Marcación Workera'!G549))</f>
        <v>46260</v>
      </c>
      <c r="C549" s="18" t="str">
        <f>IF('Marcación Workera'!B549="","",UPPER(SUBSTITUTE('Marcación Workera'!B549,".","")))</f>
        <v>13855440-6</v>
      </c>
      <c r="E549" s="19" t="s">
        <v>437</v>
      </c>
      <c r="F549" s="19" t="s">
        <v>560</v>
      </c>
      <c r="G549" s="19" t="s">
        <v>606</v>
      </c>
      <c r="H549" s="19" t="s">
        <v>562</v>
      </c>
      <c r="I549" s="19" t="s">
        <v>28</v>
      </c>
    </row>
    <row r="550" spans="2:9" ht="15" customHeight="1" x14ac:dyDescent="0.3">
      <c r="B550" s="17">
        <f>IF('Marcación Workera'!G550="","",INT('Marcación Workera'!G550))</f>
        <v>46260</v>
      </c>
      <c r="C550" s="18" t="str">
        <f>IF('Marcación Workera'!B550="","",UPPER(SUBSTITUTE('Marcación Workera'!B550,".","")))</f>
        <v>19949787-1</v>
      </c>
      <c r="E550" s="19" t="s">
        <v>437</v>
      </c>
      <c r="F550" s="19" t="s">
        <v>563</v>
      </c>
      <c r="G550" s="19" t="s">
        <v>605</v>
      </c>
      <c r="H550" s="19" t="s">
        <v>562</v>
      </c>
      <c r="I550" s="19" t="s">
        <v>28</v>
      </c>
    </row>
    <row r="551" spans="2:9" ht="15" customHeight="1" x14ac:dyDescent="0.3">
      <c r="B551" s="17">
        <f>IF('Marcación Workera'!G551="","",INT('Marcación Workera'!G551))</f>
        <v>46260</v>
      </c>
      <c r="C551" s="18" t="str">
        <f>IF('Marcación Workera'!B551="","",UPPER(SUBSTITUTE('Marcación Workera'!B551,".","")))</f>
        <v>17805184-9</v>
      </c>
      <c r="E551" s="19" t="s">
        <v>188</v>
      </c>
      <c r="F551" s="19" t="s">
        <v>560</v>
      </c>
      <c r="G551" s="19" t="s">
        <v>606</v>
      </c>
      <c r="H551" s="19" t="s">
        <v>562</v>
      </c>
      <c r="I551" s="19" t="s">
        <v>30</v>
      </c>
    </row>
    <row r="552" spans="2:9" ht="15" customHeight="1" x14ac:dyDescent="0.3">
      <c r="B552" s="17">
        <f>IF('Marcación Workera'!G552="","",INT('Marcación Workera'!G552))</f>
        <v>46260</v>
      </c>
      <c r="C552" s="18" t="str">
        <f>IF('Marcación Workera'!B552="","",UPPER(SUBSTITUTE('Marcación Workera'!B552,".","")))</f>
        <v>18889617-0</v>
      </c>
      <c r="E552" s="19" t="s">
        <v>188</v>
      </c>
      <c r="F552" s="19" t="s">
        <v>563</v>
      </c>
      <c r="G552" s="19" t="s">
        <v>605</v>
      </c>
      <c r="H552" s="19" t="s">
        <v>562</v>
      </c>
      <c r="I552" s="19" t="s">
        <v>30</v>
      </c>
    </row>
    <row r="553" spans="2:9" ht="15" customHeight="1" x14ac:dyDescent="0.3">
      <c r="B553" s="17">
        <f>IF('Marcación Workera'!G553="","",INT('Marcación Workera'!G553))</f>
        <v>46260</v>
      </c>
      <c r="C553" s="18" t="str">
        <f>IF('Marcación Workera'!B553="","",UPPER(SUBSTITUTE('Marcación Workera'!B553,".","")))</f>
        <v>15831074-0</v>
      </c>
      <c r="E553" s="19" t="s">
        <v>497</v>
      </c>
      <c r="F553" s="19" t="s">
        <v>560</v>
      </c>
      <c r="G553" s="19" t="s">
        <v>606</v>
      </c>
      <c r="H553" s="19" t="s">
        <v>562</v>
      </c>
      <c r="I553" s="19" t="s">
        <v>37</v>
      </c>
    </row>
    <row r="554" spans="2:9" ht="15" customHeight="1" x14ac:dyDescent="0.3">
      <c r="B554" s="17">
        <f>IF('Marcación Workera'!G554="","",INT('Marcación Workera'!G554))</f>
        <v>46260</v>
      </c>
      <c r="C554" s="18" t="str">
        <f>IF('Marcación Workera'!B554="","",UPPER(SUBSTITUTE('Marcación Workera'!B554,".","")))</f>
        <v>14043656-9</v>
      </c>
      <c r="E554" s="19" t="s">
        <v>497</v>
      </c>
      <c r="F554" s="19" t="s">
        <v>563</v>
      </c>
      <c r="G554" s="19" t="s">
        <v>605</v>
      </c>
      <c r="H554" s="19" t="s">
        <v>562</v>
      </c>
      <c r="I554" s="19" t="s">
        <v>37</v>
      </c>
    </row>
    <row r="555" spans="2:9" ht="15" customHeight="1" x14ac:dyDescent="0.3">
      <c r="B555" s="17">
        <f>IF('Marcación Workera'!G555="","",INT('Marcación Workera'!G555))</f>
        <v>46260</v>
      </c>
      <c r="C555" s="18" t="str">
        <f>IF('Marcación Workera'!B555="","",UPPER(SUBSTITUTE('Marcación Workera'!B555,".","")))</f>
        <v>16188552-5</v>
      </c>
      <c r="E555" s="19" t="s">
        <v>483</v>
      </c>
      <c r="F555" s="19" t="s">
        <v>563</v>
      </c>
      <c r="G555" s="19" t="s">
        <v>605</v>
      </c>
      <c r="H555" s="19" t="s">
        <v>562</v>
      </c>
      <c r="I555" s="19" t="s">
        <v>39</v>
      </c>
    </row>
    <row r="556" spans="2:9" ht="15" customHeight="1" x14ac:dyDescent="0.3">
      <c r="B556" s="17">
        <f>IF('Marcación Workera'!G556="","",INT('Marcación Workera'!G556))</f>
        <v>46260</v>
      </c>
      <c r="C556" s="18" t="str">
        <f>IF('Marcación Workera'!B556="","",UPPER(SUBSTITUTE('Marcación Workera'!B556,".","")))</f>
        <v>16706064-1</v>
      </c>
      <c r="E556" s="19" t="s">
        <v>489</v>
      </c>
      <c r="F556" s="19" t="s">
        <v>560</v>
      </c>
      <c r="G556" s="19" t="s">
        <v>606</v>
      </c>
      <c r="H556" s="19" t="s">
        <v>562</v>
      </c>
      <c r="I556" s="19" t="s">
        <v>40</v>
      </c>
    </row>
    <row r="557" spans="2:9" ht="15" customHeight="1" x14ac:dyDescent="0.3">
      <c r="B557" s="17">
        <f>IF('Marcación Workera'!G557="","",INT('Marcación Workera'!G557))</f>
        <v>46260</v>
      </c>
      <c r="C557" s="18" t="str">
        <f>IF('Marcación Workera'!B557="","",UPPER(SUBSTITUTE('Marcación Workera'!B557,".","")))</f>
        <v>16706064-1</v>
      </c>
      <c r="E557" s="19" t="s">
        <v>489</v>
      </c>
      <c r="F557" s="19" t="s">
        <v>563</v>
      </c>
      <c r="G557" s="19" t="s">
        <v>605</v>
      </c>
      <c r="H557" s="19" t="s">
        <v>562</v>
      </c>
      <c r="I557" s="19" t="s">
        <v>40</v>
      </c>
    </row>
    <row r="558" spans="2:9" ht="15" customHeight="1" x14ac:dyDescent="0.3">
      <c r="B558" s="17">
        <f>IF('Marcación Workera'!G558="","",INT('Marcación Workera'!G558))</f>
        <v>46260</v>
      </c>
      <c r="C558" s="18" t="str">
        <f>IF('Marcación Workera'!B558="","",UPPER(SUBSTITUTE('Marcación Workera'!B558,".","")))</f>
        <v>14043656-9</v>
      </c>
      <c r="E558" s="19" t="s">
        <v>565</v>
      </c>
      <c r="F558" s="19" t="s">
        <v>560</v>
      </c>
      <c r="G558" s="19" t="s">
        <v>606</v>
      </c>
      <c r="H558" s="19" t="s">
        <v>562</v>
      </c>
      <c r="I558" s="19" t="s">
        <v>46</v>
      </c>
    </row>
    <row r="559" spans="2:9" ht="15" customHeight="1" x14ac:dyDescent="0.3">
      <c r="B559" s="17">
        <f>IF('Marcación Workera'!G559="","",INT('Marcación Workera'!G559))</f>
        <v>46260</v>
      </c>
      <c r="C559" s="18" t="str">
        <f>IF('Marcación Workera'!B559="","",UPPER(SUBSTITUTE('Marcación Workera'!B559,".","")))</f>
        <v>18889617-0</v>
      </c>
      <c r="E559" s="19" t="s">
        <v>565</v>
      </c>
      <c r="F559" s="19" t="s">
        <v>563</v>
      </c>
      <c r="G559" s="19" t="s">
        <v>605</v>
      </c>
      <c r="H559" s="19" t="s">
        <v>562</v>
      </c>
      <c r="I559" s="19" t="s">
        <v>46</v>
      </c>
    </row>
    <row r="560" spans="2:9" ht="15" customHeight="1" x14ac:dyDescent="0.3">
      <c r="B560" s="17">
        <f>IF('Marcación Workera'!G560="","",INT('Marcación Workera'!G560))</f>
        <v>46260</v>
      </c>
      <c r="C560" s="18" t="str">
        <f>IF('Marcación Workera'!B560="","",UPPER(SUBSTITUTE('Marcación Workera'!B560,".","")))</f>
        <v>16706064-1</v>
      </c>
      <c r="E560" s="19" t="s">
        <v>483</v>
      </c>
      <c r="F560" s="19" t="s">
        <v>563</v>
      </c>
      <c r="G560" s="19" t="s">
        <v>605</v>
      </c>
      <c r="H560" s="19" t="s">
        <v>562</v>
      </c>
      <c r="I560" s="19" t="s">
        <v>39</v>
      </c>
    </row>
    <row r="561" spans="2:9" ht="15" customHeight="1" x14ac:dyDescent="0.3">
      <c r="B561" s="17">
        <f>IF('Marcación Workera'!G561="","",INT('Marcación Workera'!G561))</f>
        <v>46260</v>
      </c>
      <c r="C561" s="18" t="str">
        <f>IF('Marcación Workera'!B561="","",UPPER(SUBSTITUTE('Marcación Workera'!B561,".","")))</f>
        <v>17643998-K</v>
      </c>
      <c r="E561" s="19" t="s">
        <v>592</v>
      </c>
      <c r="F561" s="19" t="s">
        <v>560</v>
      </c>
      <c r="G561" s="19" t="s">
        <v>607</v>
      </c>
      <c r="H561" s="19" t="s">
        <v>562</v>
      </c>
      <c r="I561" s="19" t="s">
        <v>97</v>
      </c>
    </row>
    <row r="562" spans="2:9" ht="15" customHeight="1" x14ac:dyDescent="0.3">
      <c r="B562" s="17">
        <f>IF('Marcación Workera'!G562="","",INT('Marcación Workera'!G562))</f>
        <v>46260</v>
      </c>
      <c r="C562" s="18" t="str">
        <f>IF('Marcación Workera'!B562="","",UPPER(SUBSTITUTE('Marcación Workera'!B562,".","")))</f>
        <v>21254681-K</v>
      </c>
      <c r="E562" s="19" t="s">
        <v>592</v>
      </c>
      <c r="F562" s="19" t="s">
        <v>563</v>
      </c>
      <c r="G562" s="19" t="s">
        <v>608</v>
      </c>
      <c r="H562" s="19" t="s">
        <v>562</v>
      </c>
      <c r="I562" s="19" t="s">
        <v>97</v>
      </c>
    </row>
    <row r="563" spans="2:9" ht="15" customHeight="1" x14ac:dyDescent="0.3">
      <c r="B563" s="17">
        <f>IF('Marcación Workera'!G563="","",INT('Marcación Workera'!G563))</f>
        <v>46260</v>
      </c>
      <c r="C563" s="18" t="str">
        <f>IF('Marcación Workera'!B563="","",UPPER(SUBSTITUTE('Marcación Workera'!B563,".","")))</f>
        <v>21516063-7</v>
      </c>
      <c r="E563" s="19" t="s">
        <v>447</v>
      </c>
      <c r="F563" s="19" t="s">
        <v>560</v>
      </c>
      <c r="G563" s="19" t="s">
        <v>607</v>
      </c>
      <c r="H563" s="19" t="s">
        <v>562</v>
      </c>
      <c r="I563" s="19" t="s">
        <v>56</v>
      </c>
    </row>
    <row r="564" spans="2:9" ht="15" customHeight="1" x14ac:dyDescent="0.3">
      <c r="B564" s="17">
        <f>IF('Marcación Workera'!G564="","",INT('Marcación Workera'!G564))</f>
        <v>46260</v>
      </c>
      <c r="C564" s="18" t="str">
        <f>IF('Marcación Workera'!B564="","",UPPER(SUBSTITUTE('Marcación Workera'!B564,".","")))</f>
        <v>14594999-8</v>
      </c>
      <c r="E564" s="19" t="s">
        <v>465</v>
      </c>
      <c r="F564" s="19" t="s">
        <v>560</v>
      </c>
      <c r="G564" s="19" t="s">
        <v>607</v>
      </c>
      <c r="H564" s="19" t="s">
        <v>562</v>
      </c>
      <c r="I564" s="19" t="s">
        <v>53</v>
      </c>
    </row>
    <row r="565" spans="2:9" ht="15" customHeight="1" x14ac:dyDescent="0.3">
      <c r="B565" s="17">
        <f>IF('Marcación Workera'!G565="","",INT('Marcación Workera'!G565))</f>
        <v>46260</v>
      </c>
      <c r="C565" s="18" t="str">
        <f>IF('Marcación Workera'!B565="","",UPPER(SUBSTITUTE('Marcación Workera'!B565,".","")))</f>
        <v>13855440-6</v>
      </c>
      <c r="E565" s="19" t="s">
        <v>468</v>
      </c>
      <c r="F565" s="19" t="s">
        <v>560</v>
      </c>
      <c r="G565" s="19" t="s">
        <v>607</v>
      </c>
      <c r="H565" s="19" t="s">
        <v>562</v>
      </c>
      <c r="I565" s="19" t="s">
        <v>49</v>
      </c>
    </row>
    <row r="566" spans="2:9" ht="15" customHeight="1" x14ac:dyDescent="0.3">
      <c r="B566" s="17">
        <f>IF('Marcación Workera'!G566="","",INT('Marcación Workera'!G566))</f>
        <v>46260</v>
      </c>
      <c r="C566" s="18" t="str">
        <f>IF('Marcación Workera'!B566="","",UPPER(SUBSTITUTE('Marcación Workera'!B566,".","")))</f>
        <v>18352777-0</v>
      </c>
      <c r="E566" s="19" t="s">
        <v>459</v>
      </c>
      <c r="F566" s="19" t="s">
        <v>560</v>
      </c>
      <c r="G566" s="19" t="s">
        <v>607</v>
      </c>
      <c r="H566" s="19" t="s">
        <v>562</v>
      </c>
      <c r="I566" s="19" t="s">
        <v>31</v>
      </c>
    </row>
    <row r="567" spans="2:9" ht="15" customHeight="1" x14ac:dyDescent="0.3">
      <c r="B567" s="17">
        <f>IF('Marcación Workera'!G567="","",INT('Marcación Workera'!G567))</f>
        <v>46260</v>
      </c>
      <c r="C567" s="18" t="str">
        <f>IF('Marcación Workera'!B567="","",UPPER(SUBSTITUTE('Marcación Workera'!B567,".","")))</f>
        <v>19949787-1</v>
      </c>
      <c r="E567" s="19" t="s">
        <v>459</v>
      </c>
      <c r="F567" s="19" t="s">
        <v>563</v>
      </c>
      <c r="G567" s="19" t="s">
        <v>608</v>
      </c>
      <c r="H567" s="19" t="s">
        <v>562</v>
      </c>
      <c r="I567" s="19" t="s">
        <v>31</v>
      </c>
    </row>
    <row r="568" spans="2:9" ht="15" customHeight="1" x14ac:dyDescent="0.3">
      <c r="B568" s="17">
        <f>IF('Marcación Workera'!G568="","",INT('Marcación Workera'!G568))</f>
        <v>46260</v>
      </c>
      <c r="C568" s="18" t="str">
        <f>IF('Marcación Workera'!B568="","",UPPER(SUBSTITUTE('Marcación Workera'!B568,".","")))</f>
        <v>11508866-1</v>
      </c>
      <c r="E568" s="19" t="s">
        <v>480</v>
      </c>
      <c r="F568" s="19" t="s">
        <v>560</v>
      </c>
      <c r="G568" s="19" t="s">
        <v>607</v>
      </c>
      <c r="H568" s="19" t="s">
        <v>562</v>
      </c>
      <c r="I568" s="19" t="s">
        <v>35</v>
      </c>
    </row>
    <row r="569" spans="2:9" ht="15" customHeight="1" x14ac:dyDescent="0.3">
      <c r="B569" s="17">
        <f>IF('Marcación Workera'!G569="","",INT('Marcación Workera'!G569))</f>
        <v>46260</v>
      </c>
      <c r="C569" s="18" t="str">
        <f>IF('Marcación Workera'!B569="","",UPPER(SUBSTITUTE('Marcación Workera'!B569,".","")))</f>
        <v>17805184-9</v>
      </c>
      <c r="E569" s="19" t="s">
        <v>486</v>
      </c>
      <c r="F569" s="19" t="s">
        <v>560</v>
      </c>
      <c r="G569" s="19" t="s">
        <v>607</v>
      </c>
      <c r="H569" s="19" t="s">
        <v>562</v>
      </c>
      <c r="I569" s="19" t="s">
        <v>58</v>
      </c>
    </row>
    <row r="570" spans="2:9" ht="15" customHeight="1" x14ac:dyDescent="0.3">
      <c r="B570" s="17">
        <f>IF('Marcación Workera'!G570="","",INT('Marcación Workera'!G570))</f>
        <v>46260</v>
      </c>
      <c r="C570" s="18" t="str">
        <f>IF('Marcación Workera'!B570="","",UPPER(SUBSTITUTE('Marcación Workera'!B570,".","")))</f>
        <v>17626968-5</v>
      </c>
      <c r="E570" s="19" t="s">
        <v>486</v>
      </c>
      <c r="F570" s="19" t="s">
        <v>563</v>
      </c>
      <c r="G570" s="19" t="s">
        <v>608</v>
      </c>
      <c r="H570" s="19" t="s">
        <v>562</v>
      </c>
      <c r="I570" s="19" t="s">
        <v>58</v>
      </c>
    </row>
    <row r="571" spans="2:9" ht="15" customHeight="1" x14ac:dyDescent="0.3">
      <c r="B571" s="17">
        <f>IF('Marcación Workera'!G571="","",INT('Marcación Workera'!G571))</f>
        <v>46260</v>
      </c>
      <c r="C571" s="18" t="str">
        <f>IF('Marcación Workera'!B571="","",UPPER(SUBSTITUTE('Marcación Workera'!B571,".","")))</f>
        <v>14615536-7</v>
      </c>
      <c r="E571" s="19" t="s">
        <v>150</v>
      </c>
      <c r="F571" s="19" t="s">
        <v>560</v>
      </c>
      <c r="G571" s="19" t="s">
        <v>607</v>
      </c>
      <c r="H571" s="19" t="s">
        <v>562</v>
      </c>
      <c r="I571" s="19" t="s">
        <v>60</v>
      </c>
    </row>
    <row r="572" spans="2:9" ht="15" customHeight="1" x14ac:dyDescent="0.3">
      <c r="B572" s="17">
        <f>IF('Marcación Workera'!G572="","",INT('Marcación Workera'!G572))</f>
        <v>46260</v>
      </c>
      <c r="C572" s="18" t="str">
        <f>IF('Marcación Workera'!B572="","",UPPER(SUBSTITUTE('Marcación Workera'!B572,".","")))</f>
        <v>15831074-0</v>
      </c>
      <c r="E572" s="19" t="s">
        <v>150</v>
      </c>
      <c r="F572" s="19" t="s">
        <v>563</v>
      </c>
      <c r="G572" s="19" t="s">
        <v>608</v>
      </c>
      <c r="H572" s="19" t="s">
        <v>562</v>
      </c>
      <c r="I572" s="19" t="s">
        <v>60</v>
      </c>
    </row>
    <row r="573" spans="2:9" ht="15" customHeight="1" x14ac:dyDescent="0.3">
      <c r="B573" s="17">
        <f>IF('Marcación Workera'!G573="","",INT('Marcación Workera'!G573))</f>
        <v>46260</v>
      </c>
      <c r="C573" s="18" t="str">
        <f>IF('Marcación Workera'!B573="","",UPPER(SUBSTITUTE('Marcación Workera'!B573,".","")))</f>
        <v>23868099-9</v>
      </c>
      <c r="E573" s="19" t="s">
        <v>184</v>
      </c>
      <c r="F573" s="19" t="s">
        <v>560</v>
      </c>
      <c r="G573" s="19" t="s">
        <v>608</v>
      </c>
      <c r="H573" s="19" t="s">
        <v>562</v>
      </c>
      <c r="I573" s="19" t="s">
        <v>51</v>
      </c>
    </row>
    <row r="574" spans="2:9" ht="15" customHeight="1" x14ac:dyDescent="0.3">
      <c r="B574" s="17">
        <f>IF('Marcación Workera'!G574="","",INT('Marcación Workera'!G574))</f>
        <v>46260</v>
      </c>
      <c r="C574" s="18" t="str">
        <f>IF('Marcación Workera'!B574="","",UPPER(SUBSTITUTE('Marcación Workera'!B574,".","")))</f>
        <v>15593625-8</v>
      </c>
      <c r="E574" s="19" t="s">
        <v>184</v>
      </c>
      <c r="F574" s="19" t="s">
        <v>563</v>
      </c>
      <c r="G574" s="19" t="s">
        <v>607</v>
      </c>
      <c r="H574" s="19" t="s">
        <v>562</v>
      </c>
      <c r="I574" s="19" t="s">
        <v>51</v>
      </c>
    </row>
    <row r="575" spans="2:9" ht="15" customHeight="1" x14ac:dyDescent="0.3">
      <c r="B575" s="17">
        <f>IF('Marcación Workera'!G575="","",INT('Marcación Workera'!G575))</f>
        <v>46260</v>
      </c>
      <c r="C575" s="18" t="str">
        <f>IF('Marcación Workera'!B575="","",UPPER(SUBSTITUTE('Marcación Workera'!B575,".","")))</f>
        <v>16188552-5</v>
      </c>
      <c r="E575" s="19" t="s">
        <v>437</v>
      </c>
      <c r="F575" s="19" t="s">
        <v>563</v>
      </c>
      <c r="G575" s="19" t="s">
        <v>607</v>
      </c>
      <c r="H575" s="19" t="s">
        <v>562</v>
      </c>
      <c r="I575" s="19" t="s">
        <v>28</v>
      </c>
    </row>
    <row r="576" spans="2:9" ht="15" customHeight="1" x14ac:dyDescent="0.3">
      <c r="B576" s="17">
        <f>IF('Marcación Workera'!G576="","",INT('Marcación Workera'!G576))</f>
        <v>46260</v>
      </c>
      <c r="C576" s="18" t="str">
        <f>IF('Marcación Workera'!B576="","",UPPER(SUBSTITUTE('Marcación Workera'!B576,".","")))</f>
        <v>12814487-0</v>
      </c>
      <c r="E576" s="19" t="s">
        <v>188</v>
      </c>
      <c r="F576" s="19" t="s">
        <v>563</v>
      </c>
      <c r="G576" s="19" t="s">
        <v>607</v>
      </c>
      <c r="H576" s="19" t="s">
        <v>562</v>
      </c>
      <c r="I576" s="19" t="s">
        <v>30</v>
      </c>
    </row>
    <row r="577" spans="2:9" ht="15" customHeight="1" x14ac:dyDescent="0.3">
      <c r="B577" s="17">
        <f>IF('Marcación Workera'!G577="","",INT('Marcación Workera'!G577))</f>
        <v>46260</v>
      </c>
      <c r="C577" s="18" t="str">
        <f>IF('Marcación Workera'!B577="","",UPPER(SUBSTITUTE('Marcación Workera'!B577,".","")))</f>
        <v>15814058-6</v>
      </c>
      <c r="E577" s="19" t="s">
        <v>497</v>
      </c>
      <c r="F577" s="19" t="s">
        <v>560</v>
      </c>
      <c r="G577" s="19" t="s">
        <v>608</v>
      </c>
      <c r="H577" s="19" t="s">
        <v>562</v>
      </c>
      <c r="I577" s="19" t="s">
        <v>37</v>
      </c>
    </row>
    <row r="578" spans="2:9" ht="15" customHeight="1" x14ac:dyDescent="0.3">
      <c r="B578" s="17">
        <f>IF('Marcación Workera'!G578="","",INT('Marcación Workera'!G578))</f>
        <v>46260</v>
      </c>
      <c r="C578" s="18" t="str">
        <f>IF('Marcación Workera'!B578="","",UPPER(SUBSTITUTE('Marcación Workera'!B578,".","")))</f>
        <v>20718093-9</v>
      </c>
      <c r="E578" s="19" t="s">
        <v>497</v>
      </c>
      <c r="F578" s="19" t="s">
        <v>563</v>
      </c>
      <c r="G578" s="19" t="s">
        <v>607</v>
      </c>
      <c r="H578" s="19" t="s">
        <v>562</v>
      </c>
      <c r="I578" s="19" t="s">
        <v>37</v>
      </c>
    </row>
    <row r="579" spans="2:9" ht="15" customHeight="1" x14ac:dyDescent="0.3">
      <c r="B579" s="17">
        <f>IF('Marcación Workera'!G579="","",INT('Marcación Workera'!G579))</f>
        <v>46259</v>
      </c>
      <c r="C579" s="18" t="str">
        <f>IF('Marcación Workera'!B579="","",UPPER(SUBSTITUTE('Marcación Workera'!B579,".","")))</f>
        <v>15593625-8</v>
      </c>
      <c r="E579" s="19" t="s">
        <v>489</v>
      </c>
      <c r="F579" s="19" t="s">
        <v>560</v>
      </c>
      <c r="G579" s="19" t="s">
        <v>608</v>
      </c>
      <c r="H579" s="19" t="s">
        <v>562</v>
      </c>
      <c r="I579" s="19" t="s">
        <v>40</v>
      </c>
    </row>
    <row r="580" spans="2:9" ht="15" customHeight="1" x14ac:dyDescent="0.3">
      <c r="B580" s="17">
        <f>IF('Marcación Workera'!G580="","",INT('Marcación Workera'!G580))</f>
        <v>46259</v>
      </c>
      <c r="C580" s="18" t="str">
        <f>IF('Marcación Workera'!B580="","",UPPER(SUBSTITUTE('Marcación Workera'!B580,".","")))</f>
        <v>16053497-4</v>
      </c>
      <c r="E580" s="19" t="s">
        <v>489</v>
      </c>
      <c r="F580" s="19" t="s">
        <v>563</v>
      </c>
      <c r="G580" s="19" t="s">
        <v>607</v>
      </c>
      <c r="H580" s="19" t="s">
        <v>562</v>
      </c>
      <c r="I580" s="19" t="s">
        <v>40</v>
      </c>
    </row>
    <row r="581" spans="2:9" ht="15" customHeight="1" x14ac:dyDescent="0.3">
      <c r="B581" s="17">
        <f>IF('Marcación Workera'!G581="","",INT('Marcación Workera'!G581))</f>
        <v>46259</v>
      </c>
      <c r="C581" s="18" t="str">
        <f>IF('Marcación Workera'!B581="","",UPPER(SUBSTITUTE('Marcación Workera'!B581,".","")))</f>
        <v>20718093-9</v>
      </c>
      <c r="E581" s="19" t="s">
        <v>565</v>
      </c>
      <c r="F581" s="19" t="s">
        <v>560</v>
      </c>
      <c r="G581" s="19" t="s">
        <v>608</v>
      </c>
      <c r="H581" s="19" t="s">
        <v>562</v>
      </c>
      <c r="I581" s="19" t="s">
        <v>46</v>
      </c>
    </row>
    <row r="582" spans="2:9" ht="15" customHeight="1" x14ac:dyDescent="0.3">
      <c r="B582" s="17">
        <f>IF('Marcación Workera'!G582="","",INT('Marcación Workera'!G582))</f>
        <v>46259</v>
      </c>
      <c r="C582" s="18" t="str">
        <f>IF('Marcación Workera'!B582="","",UPPER(SUBSTITUTE('Marcación Workera'!B582,".","")))</f>
        <v>19507111-K</v>
      </c>
      <c r="E582" s="19" t="s">
        <v>565</v>
      </c>
      <c r="F582" s="19" t="s">
        <v>563</v>
      </c>
      <c r="G582" s="19" t="s">
        <v>607</v>
      </c>
      <c r="H582" s="19" t="s">
        <v>562</v>
      </c>
      <c r="I582" s="19" t="s">
        <v>46</v>
      </c>
    </row>
    <row r="583" spans="2:9" ht="15" customHeight="1" x14ac:dyDescent="0.3">
      <c r="B583" s="17">
        <f>IF('Marcación Workera'!G583="","",INT('Marcación Workera'!G583))</f>
        <v>46259</v>
      </c>
      <c r="C583" s="18" t="str">
        <f>IF('Marcación Workera'!B583="","",UPPER(SUBSTITUTE('Marcación Workera'!B583,".","")))</f>
        <v>19507111-K</v>
      </c>
      <c r="E583" s="19" t="s">
        <v>592</v>
      </c>
      <c r="F583" s="19" t="s">
        <v>560</v>
      </c>
      <c r="G583" s="19" t="s">
        <v>609</v>
      </c>
      <c r="H583" s="19" t="s">
        <v>562</v>
      </c>
      <c r="I583" s="19" t="s">
        <v>97</v>
      </c>
    </row>
    <row r="584" spans="2:9" ht="15" customHeight="1" x14ac:dyDescent="0.3">
      <c r="B584" s="17">
        <f>IF('Marcación Workera'!G584="","",INT('Marcación Workera'!G584))</f>
        <v>46259</v>
      </c>
      <c r="C584" s="18" t="str">
        <f>IF('Marcación Workera'!B584="","",UPPER(SUBSTITUTE('Marcación Workera'!B584,".","")))</f>
        <v>11508866-1</v>
      </c>
      <c r="E584" s="19" t="s">
        <v>592</v>
      </c>
      <c r="F584" s="19" t="s">
        <v>563</v>
      </c>
      <c r="G584" s="19" t="s">
        <v>610</v>
      </c>
      <c r="H584" s="19" t="s">
        <v>562</v>
      </c>
      <c r="I584" s="19" t="s">
        <v>97</v>
      </c>
    </row>
    <row r="585" spans="2:9" ht="15" customHeight="1" x14ac:dyDescent="0.3">
      <c r="B585" s="17">
        <f>IF('Marcación Workera'!G585="","",INT('Marcación Workera'!G585))</f>
        <v>46259</v>
      </c>
      <c r="C585" s="18" t="str">
        <f>IF('Marcación Workera'!B585="","",UPPER(SUBSTITUTE('Marcación Workera'!B585,".","")))</f>
        <v>21254681-K</v>
      </c>
      <c r="E585" s="19" t="s">
        <v>506</v>
      </c>
      <c r="F585" s="19" t="s">
        <v>563</v>
      </c>
      <c r="G585" s="19" t="s">
        <v>610</v>
      </c>
      <c r="H585" s="19" t="s">
        <v>562</v>
      </c>
      <c r="I585" s="19" t="s">
        <v>99</v>
      </c>
    </row>
    <row r="586" spans="2:9" ht="15" customHeight="1" x14ac:dyDescent="0.3">
      <c r="B586" s="17">
        <f>IF('Marcación Workera'!G586="","",INT('Marcación Workera'!G586))</f>
        <v>46259</v>
      </c>
      <c r="C586" s="18" t="str">
        <f>IF('Marcación Workera'!B586="","",UPPER(SUBSTITUTE('Marcación Workera'!B586,".","")))</f>
        <v>17626968-5</v>
      </c>
      <c r="E586" s="19" t="s">
        <v>462</v>
      </c>
      <c r="F586" s="19" t="s">
        <v>560</v>
      </c>
      <c r="G586" s="19" t="s">
        <v>609</v>
      </c>
      <c r="H586" s="19" t="s">
        <v>562</v>
      </c>
      <c r="I586" s="19" t="s">
        <v>64</v>
      </c>
    </row>
    <row r="587" spans="2:9" ht="15" customHeight="1" x14ac:dyDescent="0.3">
      <c r="B587" s="17">
        <f>IF('Marcación Workera'!G587="","",INT('Marcación Workera'!G587))</f>
        <v>46259</v>
      </c>
      <c r="C587" s="18" t="str">
        <f>IF('Marcación Workera'!B587="","",UPPER(SUBSTITUTE('Marcación Workera'!B587,".","")))</f>
        <v>14594999-8</v>
      </c>
      <c r="E587" s="19" t="s">
        <v>462</v>
      </c>
      <c r="F587" s="19" t="s">
        <v>563</v>
      </c>
      <c r="G587" s="19" t="s">
        <v>610</v>
      </c>
      <c r="H587" s="19" t="s">
        <v>562</v>
      </c>
      <c r="I587" s="19" t="s">
        <v>64</v>
      </c>
    </row>
    <row r="588" spans="2:9" ht="15" customHeight="1" x14ac:dyDescent="0.3">
      <c r="B588" s="17">
        <f>IF('Marcación Workera'!G588="","",INT('Marcación Workera'!G588))</f>
        <v>46259</v>
      </c>
      <c r="C588" s="18" t="str">
        <f>IF('Marcación Workera'!B588="","",UPPER(SUBSTITUTE('Marcación Workera'!B588,".","")))</f>
        <v>19949787-1</v>
      </c>
      <c r="E588" s="19" t="s">
        <v>459</v>
      </c>
      <c r="F588" s="19" t="s">
        <v>560</v>
      </c>
      <c r="G588" s="19" t="s">
        <v>609</v>
      </c>
      <c r="H588" s="19" t="s">
        <v>562</v>
      </c>
      <c r="I588" s="19" t="s">
        <v>31</v>
      </c>
    </row>
    <row r="589" spans="2:9" ht="15" customHeight="1" x14ac:dyDescent="0.3">
      <c r="B589" s="17">
        <f>IF('Marcación Workera'!G589="","",INT('Marcación Workera'!G589))</f>
        <v>46259</v>
      </c>
      <c r="C589" s="18" t="str">
        <f>IF('Marcación Workera'!B589="","",UPPER(SUBSTITUTE('Marcación Workera'!B589,".","")))</f>
        <v>17805184-9</v>
      </c>
      <c r="E589" s="19" t="s">
        <v>150</v>
      </c>
      <c r="F589" s="19" t="s">
        <v>560</v>
      </c>
      <c r="G589" s="19" t="s">
        <v>609</v>
      </c>
      <c r="H589" s="19" t="s">
        <v>562</v>
      </c>
      <c r="I589" s="19" t="s">
        <v>60</v>
      </c>
    </row>
    <row r="590" spans="2:9" ht="15" customHeight="1" x14ac:dyDescent="0.3">
      <c r="B590" s="17">
        <f>IF('Marcación Workera'!G590="","",INT('Marcación Workera'!G590))</f>
        <v>46259</v>
      </c>
      <c r="C590" s="18" t="str">
        <f>IF('Marcación Workera'!B590="","",UPPER(SUBSTITUTE('Marcación Workera'!B590,".","")))</f>
        <v>17643998-K</v>
      </c>
      <c r="E590" s="19" t="s">
        <v>150</v>
      </c>
      <c r="F590" s="19" t="s">
        <v>563</v>
      </c>
      <c r="G590" s="19" t="s">
        <v>610</v>
      </c>
      <c r="H590" s="19" t="s">
        <v>562</v>
      </c>
      <c r="I590" s="19" t="s">
        <v>60</v>
      </c>
    </row>
    <row r="591" spans="2:9" ht="15" customHeight="1" x14ac:dyDescent="0.3">
      <c r="B591" s="17">
        <f>IF('Marcación Workera'!G591="","",INT('Marcación Workera'!G591))</f>
        <v>46259</v>
      </c>
      <c r="C591" s="18" t="str">
        <f>IF('Marcación Workera'!B591="","",UPPER(SUBSTITUTE('Marcación Workera'!B591,".","")))</f>
        <v>13855440-6</v>
      </c>
      <c r="E591" s="19" t="s">
        <v>437</v>
      </c>
      <c r="F591" s="19" t="s">
        <v>563</v>
      </c>
      <c r="G591" s="19" t="s">
        <v>609</v>
      </c>
      <c r="H591" s="19" t="s">
        <v>562</v>
      </c>
      <c r="I591" s="19" t="s">
        <v>28</v>
      </c>
    </row>
    <row r="592" spans="2:9" ht="15" customHeight="1" x14ac:dyDescent="0.3">
      <c r="B592" s="17">
        <f>IF('Marcación Workera'!G592="","",INT('Marcación Workera'!G592))</f>
        <v>46259</v>
      </c>
      <c r="C592" s="18" t="str">
        <f>IF('Marcación Workera'!B592="","",UPPER(SUBSTITUTE('Marcación Workera'!B592,".","")))</f>
        <v>14615536-7</v>
      </c>
      <c r="E592" s="19" t="s">
        <v>497</v>
      </c>
      <c r="F592" s="19" t="s">
        <v>563</v>
      </c>
      <c r="G592" s="19" t="s">
        <v>609</v>
      </c>
      <c r="H592" s="19" t="s">
        <v>562</v>
      </c>
      <c r="I592" s="19" t="s">
        <v>37</v>
      </c>
    </row>
    <row r="593" spans="2:9" ht="15" customHeight="1" x14ac:dyDescent="0.3">
      <c r="B593" s="17">
        <f>IF('Marcación Workera'!G593="","",INT('Marcación Workera'!G593))</f>
        <v>46259</v>
      </c>
      <c r="C593" s="18" t="str">
        <f>IF('Marcación Workera'!B593="","",UPPER(SUBSTITUTE('Marcación Workera'!B593,".","")))</f>
        <v>12814487-0</v>
      </c>
      <c r="E593" s="19" t="s">
        <v>483</v>
      </c>
      <c r="F593" s="19" t="s">
        <v>563</v>
      </c>
      <c r="G593" s="19" t="s">
        <v>609</v>
      </c>
      <c r="H593" s="19" t="s">
        <v>562</v>
      </c>
      <c r="I593" s="19" t="s">
        <v>39</v>
      </c>
    </row>
    <row r="594" spans="2:9" ht="15" customHeight="1" x14ac:dyDescent="0.3">
      <c r="B594" s="17">
        <f>IF('Marcación Workera'!G594="","",INT('Marcación Workera'!G594))</f>
        <v>46259</v>
      </c>
      <c r="C594" s="18" t="str">
        <f>IF('Marcación Workera'!B594="","",UPPER(SUBSTITUTE('Marcación Workera'!B594,".","")))</f>
        <v>16188552-5</v>
      </c>
      <c r="E594" s="19" t="s">
        <v>489</v>
      </c>
      <c r="F594" s="19" t="s">
        <v>560</v>
      </c>
      <c r="G594" s="19" t="s">
        <v>610</v>
      </c>
      <c r="H594" s="19" t="s">
        <v>562</v>
      </c>
      <c r="I594" s="19" t="s">
        <v>40</v>
      </c>
    </row>
    <row r="595" spans="2:9" ht="15" customHeight="1" x14ac:dyDescent="0.3">
      <c r="B595" s="17">
        <f>IF('Marcación Workera'!G595="","",INT('Marcación Workera'!G595))</f>
        <v>46259</v>
      </c>
      <c r="C595" s="18" t="str">
        <f>IF('Marcación Workera'!B595="","",UPPER(SUBSTITUTE('Marcación Workera'!B595,".","")))</f>
        <v>15814058-6</v>
      </c>
      <c r="E595" s="19" t="s">
        <v>489</v>
      </c>
      <c r="F595" s="19" t="s">
        <v>563</v>
      </c>
      <c r="G595" s="19" t="s">
        <v>609</v>
      </c>
      <c r="H595" s="19" t="s">
        <v>562</v>
      </c>
      <c r="I595" s="19" t="s">
        <v>40</v>
      </c>
    </row>
    <row r="596" spans="2:9" ht="15" customHeight="1" x14ac:dyDescent="0.3">
      <c r="B596" s="17">
        <f>IF('Marcación Workera'!G596="","",INT('Marcación Workera'!G596))</f>
        <v>46259</v>
      </c>
      <c r="C596" s="18" t="str">
        <f>IF('Marcación Workera'!B596="","",UPPER(SUBSTITUTE('Marcación Workera'!B596,".","")))</f>
        <v>23868099-9</v>
      </c>
      <c r="E596" s="19" t="s">
        <v>565</v>
      </c>
      <c r="F596" s="19" t="s">
        <v>560</v>
      </c>
      <c r="G596" s="19" t="s">
        <v>610</v>
      </c>
      <c r="H596" s="19" t="s">
        <v>562</v>
      </c>
      <c r="I596" s="19" t="s">
        <v>46</v>
      </c>
    </row>
    <row r="597" spans="2:9" ht="15" customHeight="1" x14ac:dyDescent="0.3">
      <c r="B597" s="17">
        <f>IF('Marcación Workera'!G597="","",INT('Marcación Workera'!G597))</f>
        <v>46259</v>
      </c>
      <c r="C597" s="18" t="str">
        <f>IF('Marcación Workera'!B597="","",UPPER(SUBSTITUTE('Marcación Workera'!B597,".","")))</f>
        <v>14043656-9</v>
      </c>
      <c r="E597" s="19" t="s">
        <v>565</v>
      </c>
      <c r="F597" s="19" t="s">
        <v>563</v>
      </c>
      <c r="G597" s="19" t="s">
        <v>609</v>
      </c>
      <c r="H597" s="19" t="s">
        <v>562</v>
      </c>
      <c r="I597" s="19" t="s">
        <v>46</v>
      </c>
    </row>
    <row r="598" spans="2:9" ht="15" customHeight="1" x14ac:dyDescent="0.3">
      <c r="B598" s="17">
        <f>IF('Marcación Workera'!G598="","",INT('Marcación Workera'!G598))</f>
        <v>46259</v>
      </c>
      <c r="C598" s="18" t="str">
        <f>IF('Marcación Workera'!B598="","",UPPER(SUBSTITUTE('Marcación Workera'!B598,".","")))</f>
        <v>16706064-1</v>
      </c>
      <c r="E598" s="19" t="s">
        <v>483</v>
      </c>
      <c r="F598" s="19" t="s">
        <v>563</v>
      </c>
      <c r="G598" s="19" t="s">
        <v>609</v>
      </c>
      <c r="H598" s="19" t="s">
        <v>562</v>
      </c>
      <c r="I598" s="19" t="s">
        <v>39</v>
      </c>
    </row>
    <row r="599" spans="2:9" ht="15" customHeight="1" x14ac:dyDescent="0.3">
      <c r="B599" s="17">
        <f>IF('Marcación Workera'!G599="","",INT('Marcación Workera'!G599))</f>
        <v>46259</v>
      </c>
      <c r="C599" s="18" t="str">
        <f>IF('Marcación Workera'!B599="","",UPPER(SUBSTITUTE('Marcación Workera'!B599,".","")))</f>
        <v>18889617-0</v>
      </c>
      <c r="E599" s="19" t="s">
        <v>592</v>
      </c>
      <c r="F599" s="19" t="s">
        <v>560</v>
      </c>
      <c r="G599" s="19" t="s">
        <v>611</v>
      </c>
      <c r="H599" s="19" t="s">
        <v>562</v>
      </c>
      <c r="I599" s="19" t="s">
        <v>97</v>
      </c>
    </row>
    <row r="600" spans="2:9" ht="15" customHeight="1" x14ac:dyDescent="0.3">
      <c r="B600" s="17">
        <f>IF('Marcación Workera'!G600="","",INT('Marcación Workera'!G600))</f>
        <v>46259</v>
      </c>
      <c r="C600" s="18" t="str">
        <f>IF('Marcación Workera'!B600="","",UPPER(SUBSTITUTE('Marcación Workera'!B600,".","")))</f>
        <v>13412582-9</v>
      </c>
      <c r="E600" s="19" t="s">
        <v>592</v>
      </c>
      <c r="F600" s="19" t="s">
        <v>563</v>
      </c>
      <c r="G600" s="19" t="s">
        <v>612</v>
      </c>
      <c r="H600" s="19" t="s">
        <v>562</v>
      </c>
      <c r="I600" s="19" t="s">
        <v>97</v>
      </c>
    </row>
    <row r="601" spans="2:9" ht="15" customHeight="1" x14ac:dyDescent="0.3">
      <c r="B601" s="17">
        <f>IF('Marcación Workera'!G601="","",INT('Marcación Workera'!G601))</f>
        <v>46259</v>
      </c>
      <c r="C601" s="18" t="str">
        <f>IF('Marcación Workera'!B601="","",UPPER(SUBSTITUTE('Marcación Workera'!B601,".","")))</f>
        <v>17643998-K</v>
      </c>
      <c r="E601" s="19" t="s">
        <v>462</v>
      </c>
      <c r="F601" s="19" t="s">
        <v>560</v>
      </c>
      <c r="G601" s="19" t="s">
        <v>611</v>
      </c>
      <c r="H601" s="19" t="s">
        <v>562</v>
      </c>
      <c r="I601" s="19" t="s">
        <v>64</v>
      </c>
    </row>
    <row r="602" spans="2:9" ht="15" customHeight="1" x14ac:dyDescent="0.3">
      <c r="B602" s="17">
        <f>IF('Marcación Workera'!G602="","",INT('Marcación Workera'!G602))</f>
        <v>46259</v>
      </c>
      <c r="C602" s="18" t="str">
        <f>IF('Marcación Workera'!B602="","",UPPER(SUBSTITUTE('Marcación Workera'!B602,".","")))</f>
        <v>23868099-9</v>
      </c>
      <c r="E602" s="19" t="s">
        <v>462</v>
      </c>
      <c r="F602" s="19" t="s">
        <v>563</v>
      </c>
      <c r="G602" s="19" t="s">
        <v>612</v>
      </c>
      <c r="H602" s="19" t="s">
        <v>562</v>
      </c>
      <c r="I602" s="19" t="s">
        <v>64</v>
      </c>
    </row>
    <row r="603" spans="2:9" ht="15" customHeight="1" x14ac:dyDescent="0.3">
      <c r="B603" s="17">
        <f>IF('Marcación Workera'!G603="","",INT('Marcación Workera'!G603))</f>
        <v>46259</v>
      </c>
      <c r="C603" s="18" t="str">
        <f>IF('Marcación Workera'!B603="","",UPPER(SUBSTITUTE('Marcación Workera'!B603,".","")))</f>
        <v>14043656-9</v>
      </c>
      <c r="E603" s="19" t="s">
        <v>465</v>
      </c>
      <c r="F603" s="19" t="s">
        <v>563</v>
      </c>
      <c r="G603" s="19" t="s">
        <v>612</v>
      </c>
      <c r="H603" s="19" t="s">
        <v>562</v>
      </c>
      <c r="I603" s="19" t="s">
        <v>53</v>
      </c>
    </row>
    <row r="604" spans="2:9" ht="15" customHeight="1" x14ac:dyDescent="0.3">
      <c r="B604" s="17">
        <f>IF('Marcación Workera'!G604="","",INT('Marcación Workera'!G604))</f>
        <v>46259</v>
      </c>
      <c r="C604" s="18" t="str">
        <f>IF('Marcación Workera'!B604="","",UPPER(SUBSTITUTE('Marcación Workera'!B604,".","")))</f>
        <v>18889617-0</v>
      </c>
      <c r="E604" s="19" t="s">
        <v>486</v>
      </c>
      <c r="F604" s="19" t="s">
        <v>563</v>
      </c>
      <c r="G604" s="19" t="s">
        <v>612</v>
      </c>
      <c r="H604" s="19" t="s">
        <v>562</v>
      </c>
      <c r="I604" s="19" t="s">
        <v>58</v>
      </c>
    </row>
    <row r="605" spans="2:9" ht="15" customHeight="1" x14ac:dyDescent="0.3">
      <c r="B605" s="17">
        <f>IF('Marcación Workera'!G605="","",INT('Marcación Workera'!G605))</f>
        <v>46259</v>
      </c>
      <c r="C605" s="18" t="str">
        <f>IF('Marcación Workera'!B605="","",UPPER(SUBSTITUTE('Marcación Workera'!B605,".","")))</f>
        <v>21254681-K</v>
      </c>
      <c r="E605" s="19" t="s">
        <v>150</v>
      </c>
      <c r="F605" s="19" t="s">
        <v>560</v>
      </c>
      <c r="G605" s="19" t="s">
        <v>611</v>
      </c>
      <c r="H605" s="19" t="s">
        <v>562</v>
      </c>
      <c r="I605" s="19" t="s">
        <v>60</v>
      </c>
    </row>
    <row r="606" spans="2:9" ht="15" customHeight="1" x14ac:dyDescent="0.3">
      <c r="B606" s="17">
        <f>IF('Marcación Workera'!G606="","",INT('Marcación Workera'!G606))</f>
        <v>46259</v>
      </c>
      <c r="C606" s="18" t="str">
        <f>IF('Marcación Workera'!B606="","",UPPER(SUBSTITUTE('Marcación Workera'!B606,".","")))</f>
        <v>19507111-K</v>
      </c>
      <c r="E606" s="19" t="s">
        <v>150</v>
      </c>
      <c r="F606" s="19" t="s">
        <v>563</v>
      </c>
      <c r="G606" s="19" t="s">
        <v>612</v>
      </c>
      <c r="H606" s="19" t="s">
        <v>562</v>
      </c>
      <c r="I606" s="19" t="s">
        <v>60</v>
      </c>
    </row>
    <row r="607" spans="2:9" ht="15" customHeight="1" x14ac:dyDescent="0.3">
      <c r="B607" s="17">
        <f>IF('Marcación Workera'!G607="","",INT('Marcación Workera'!G607))</f>
        <v>46259</v>
      </c>
      <c r="C607" s="18" t="str">
        <f>IF('Marcación Workera'!B607="","",UPPER(SUBSTITUTE('Marcación Workera'!B607,".","")))</f>
        <v>15593625-8</v>
      </c>
      <c r="E607" s="19" t="s">
        <v>188</v>
      </c>
      <c r="F607" s="19" t="s">
        <v>563</v>
      </c>
      <c r="G607" s="19" t="s">
        <v>611</v>
      </c>
      <c r="H607" s="19" t="s">
        <v>562</v>
      </c>
      <c r="I607" s="19" t="s">
        <v>30</v>
      </c>
    </row>
    <row r="608" spans="2:9" ht="15" customHeight="1" x14ac:dyDescent="0.3">
      <c r="B608" s="17">
        <f>IF('Marcación Workera'!G608="","",INT('Marcación Workera'!G608))</f>
        <v>46259</v>
      </c>
      <c r="C608" s="18" t="str">
        <f>IF('Marcación Workera'!B608="","",UPPER(SUBSTITUTE('Marcación Workera'!B608,".","")))</f>
        <v>17628970-8</v>
      </c>
      <c r="E608" s="19" t="s">
        <v>489</v>
      </c>
      <c r="F608" s="19" t="s">
        <v>563</v>
      </c>
      <c r="G608" s="19" t="s">
        <v>611</v>
      </c>
      <c r="H608" s="19" t="s">
        <v>562</v>
      </c>
      <c r="I608" s="19" t="s">
        <v>40</v>
      </c>
    </row>
    <row r="609" spans="2:9" ht="15" customHeight="1" x14ac:dyDescent="0.3">
      <c r="B609" s="17">
        <f>IF('Marcación Workera'!G609="","",INT('Marcación Workera'!G609))</f>
        <v>46259</v>
      </c>
      <c r="C609" s="18" t="str">
        <f>IF('Marcación Workera'!B609="","",UPPER(SUBSTITUTE('Marcación Workera'!B609,".","")))</f>
        <v>17626968-5</v>
      </c>
      <c r="E609" s="19" t="s">
        <v>565</v>
      </c>
      <c r="F609" s="19" t="s">
        <v>560</v>
      </c>
      <c r="G609" s="19" t="s">
        <v>612</v>
      </c>
      <c r="H609" s="19" t="s">
        <v>562</v>
      </c>
      <c r="I609" s="19" t="s">
        <v>46</v>
      </c>
    </row>
    <row r="610" spans="2:9" ht="15" customHeight="1" x14ac:dyDescent="0.3">
      <c r="B610" s="17">
        <f>IF('Marcación Workera'!G610="","",INT('Marcación Workera'!G610))</f>
        <v>46259</v>
      </c>
      <c r="C610" s="18" t="str">
        <f>IF('Marcación Workera'!B610="","",UPPER(SUBSTITUTE('Marcación Workera'!B610,".","")))</f>
        <v>16706064-1</v>
      </c>
      <c r="E610" s="19" t="s">
        <v>565</v>
      </c>
      <c r="F610" s="19" t="s">
        <v>563</v>
      </c>
      <c r="G610" s="19" t="s">
        <v>611</v>
      </c>
      <c r="H610" s="19" t="s">
        <v>562</v>
      </c>
      <c r="I610" s="19" t="s">
        <v>46</v>
      </c>
    </row>
    <row r="611" spans="2:9" ht="15" customHeight="1" x14ac:dyDescent="0.3">
      <c r="B611" s="17">
        <f>IF('Marcación Workera'!G611="","",INT('Marcación Workera'!G611))</f>
        <v>46259</v>
      </c>
      <c r="C611" s="18" t="str">
        <f>IF('Marcación Workera'!B611="","",UPPER(SUBSTITUTE('Marcación Workera'!B611,".","")))</f>
        <v>16706064-1</v>
      </c>
      <c r="E611" s="19" t="s">
        <v>592</v>
      </c>
      <c r="F611" s="19" t="s">
        <v>560</v>
      </c>
      <c r="G611" s="19" t="s">
        <v>613</v>
      </c>
      <c r="H611" s="19" t="s">
        <v>562</v>
      </c>
      <c r="I611" s="19" t="s">
        <v>97</v>
      </c>
    </row>
    <row r="612" spans="2:9" ht="15" customHeight="1" x14ac:dyDescent="0.3">
      <c r="B612" s="17">
        <f>IF('Marcación Workera'!G612="","",INT('Marcación Workera'!G612))</f>
        <v>46259</v>
      </c>
      <c r="C612" s="18" t="str">
        <f>IF('Marcación Workera'!B612="","",UPPER(SUBSTITUTE('Marcación Workera'!B612,".","")))</f>
        <v>13855440-6</v>
      </c>
      <c r="E612" s="19" t="s">
        <v>592</v>
      </c>
      <c r="F612" s="19" t="s">
        <v>563</v>
      </c>
      <c r="G612" s="19" t="s">
        <v>614</v>
      </c>
      <c r="H612" s="19" t="s">
        <v>562</v>
      </c>
      <c r="I612" s="19" t="s">
        <v>97</v>
      </c>
    </row>
    <row r="613" spans="2:9" ht="15" customHeight="1" x14ac:dyDescent="0.3">
      <c r="B613" s="17">
        <f>IF('Marcación Workera'!G613="","",INT('Marcación Workera'!G613))</f>
        <v>46259</v>
      </c>
      <c r="C613" s="18" t="str">
        <f>IF('Marcación Workera'!B613="","",UPPER(SUBSTITUTE('Marcación Workera'!B613,".","")))</f>
        <v>17805184-9</v>
      </c>
      <c r="E613" s="19" t="s">
        <v>462</v>
      </c>
      <c r="F613" s="19" t="s">
        <v>560</v>
      </c>
      <c r="G613" s="19" t="s">
        <v>613</v>
      </c>
      <c r="H613" s="19" t="s">
        <v>562</v>
      </c>
      <c r="I613" s="19" t="s">
        <v>64</v>
      </c>
    </row>
    <row r="614" spans="2:9" ht="15" customHeight="1" x14ac:dyDescent="0.3">
      <c r="B614" s="17">
        <f>IF('Marcación Workera'!G614="","",INT('Marcación Workera'!G614))</f>
        <v>46259</v>
      </c>
      <c r="C614" s="18" t="str">
        <f>IF('Marcación Workera'!B614="","",UPPER(SUBSTITUTE('Marcación Workera'!B614,".","")))</f>
        <v>15814058-6</v>
      </c>
      <c r="E614" s="19" t="s">
        <v>462</v>
      </c>
      <c r="F614" s="19" t="s">
        <v>563</v>
      </c>
      <c r="G614" s="19" t="s">
        <v>614</v>
      </c>
      <c r="H614" s="19" t="s">
        <v>562</v>
      </c>
      <c r="I614" s="19" t="s">
        <v>64</v>
      </c>
    </row>
    <row r="615" spans="2:9" ht="15" customHeight="1" x14ac:dyDescent="0.3">
      <c r="B615" s="17">
        <f>IF('Marcación Workera'!G615="","",INT('Marcación Workera'!G615))</f>
        <v>46259</v>
      </c>
      <c r="C615" s="18" t="str">
        <f>IF('Marcación Workera'!B615="","",UPPER(SUBSTITUTE('Marcación Workera'!B615,".","")))</f>
        <v>12814487-0</v>
      </c>
      <c r="E615" s="19" t="s">
        <v>486</v>
      </c>
      <c r="F615" s="19" t="s">
        <v>563</v>
      </c>
      <c r="G615" s="19" t="s">
        <v>614</v>
      </c>
      <c r="H615" s="19" t="s">
        <v>562</v>
      </c>
      <c r="I615" s="19" t="s">
        <v>58</v>
      </c>
    </row>
    <row r="616" spans="2:9" ht="15" customHeight="1" x14ac:dyDescent="0.3">
      <c r="B616" s="17">
        <f>IF('Marcación Workera'!G616="","",INT('Marcación Workera'!G616))</f>
        <v>46259</v>
      </c>
      <c r="C616" s="18" t="str">
        <f>IF('Marcación Workera'!B616="","",UPPER(SUBSTITUTE('Marcación Workera'!B616,".","")))</f>
        <v>14594999-8</v>
      </c>
      <c r="E616" s="19" t="s">
        <v>150</v>
      </c>
      <c r="F616" s="19" t="s">
        <v>560</v>
      </c>
      <c r="G616" s="19" t="s">
        <v>613</v>
      </c>
      <c r="H616" s="19" t="s">
        <v>562</v>
      </c>
      <c r="I616" s="19" t="s">
        <v>60</v>
      </c>
    </row>
    <row r="617" spans="2:9" ht="15" customHeight="1" x14ac:dyDescent="0.3">
      <c r="B617" s="17">
        <f>IF('Marcación Workera'!G617="","",INT('Marcación Workera'!G617))</f>
        <v>46259</v>
      </c>
      <c r="C617" s="18" t="str">
        <f>IF('Marcación Workera'!B617="","",UPPER(SUBSTITUTE('Marcación Workera'!B617,".","")))</f>
        <v>19949787-1</v>
      </c>
      <c r="E617" s="19" t="s">
        <v>150</v>
      </c>
      <c r="F617" s="19" t="s">
        <v>563</v>
      </c>
      <c r="G617" s="19" t="s">
        <v>614</v>
      </c>
      <c r="H617" s="19" t="s">
        <v>562</v>
      </c>
      <c r="I617" s="19" t="s">
        <v>60</v>
      </c>
    </row>
    <row r="618" spans="2:9" ht="15" customHeight="1" x14ac:dyDescent="0.3">
      <c r="B618" s="17">
        <f>IF('Marcación Workera'!G618="","",INT('Marcación Workera'!G618))</f>
        <v>46259</v>
      </c>
      <c r="C618" s="18" t="str">
        <f>IF('Marcación Workera'!B618="","",UPPER(SUBSTITUTE('Marcación Workera'!B618,".","")))</f>
        <v>16188552-5</v>
      </c>
      <c r="E618" s="19" t="s">
        <v>565</v>
      </c>
      <c r="F618" s="19" t="s">
        <v>560</v>
      </c>
      <c r="G618" s="19" t="s">
        <v>614</v>
      </c>
      <c r="H618" s="19" t="s">
        <v>562</v>
      </c>
      <c r="I618" s="19" t="s">
        <v>46</v>
      </c>
    </row>
    <row r="619" spans="2:9" ht="15" customHeight="1" x14ac:dyDescent="0.3">
      <c r="B619" s="17">
        <f>IF('Marcación Workera'!G619="","",INT('Marcación Workera'!G619))</f>
        <v>46259</v>
      </c>
      <c r="C619" s="18" t="str">
        <f>IF('Marcación Workera'!B619="","",UPPER(SUBSTITUTE('Marcación Workera'!B619,".","")))</f>
        <v>11508866-1</v>
      </c>
      <c r="E619" s="19" t="s">
        <v>565</v>
      </c>
      <c r="F619" s="19" t="s">
        <v>563</v>
      </c>
      <c r="G619" s="19" t="s">
        <v>613</v>
      </c>
      <c r="H619" s="19" t="s">
        <v>562</v>
      </c>
      <c r="I619" s="19" t="s">
        <v>46</v>
      </c>
    </row>
    <row r="620" spans="2:9" ht="15" customHeight="1" x14ac:dyDescent="0.3">
      <c r="B620" s="17">
        <f>IF('Marcación Workera'!G620="","",INT('Marcación Workera'!G620))</f>
        <v>46259</v>
      </c>
      <c r="C620" s="18" t="str">
        <f>IF('Marcación Workera'!B620="","",UPPER(SUBSTITUTE('Marcación Workera'!B620,".","")))</f>
        <v>13412582-9</v>
      </c>
      <c r="E620" s="19" t="s">
        <v>503</v>
      </c>
      <c r="F620" s="19" t="s">
        <v>560</v>
      </c>
      <c r="G620" s="19" t="s">
        <v>615</v>
      </c>
      <c r="H620" s="19" t="s">
        <v>562</v>
      </c>
      <c r="I620" s="19" t="s">
        <v>96</v>
      </c>
    </row>
    <row r="621" spans="2:9" ht="15" customHeight="1" x14ac:dyDescent="0.3">
      <c r="B621" s="17">
        <f>IF('Marcación Workera'!G621="","",INT('Marcación Workera'!G621))</f>
        <v>46259</v>
      </c>
      <c r="C621" s="18" t="str">
        <f>IF('Marcación Workera'!B621="","",UPPER(SUBSTITUTE('Marcación Workera'!B621,".","")))</f>
        <v>14615536-7</v>
      </c>
      <c r="E621" s="19" t="s">
        <v>592</v>
      </c>
      <c r="F621" s="19" t="s">
        <v>560</v>
      </c>
      <c r="G621" s="19" t="s">
        <v>615</v>
      </c>
      <c r="H621" s="19" t="s">
        <v>562</v>
      </c>
      <c r="I621" s="19" t="s">
        <v>97</v>
      </c>
    </row>
    <row r="622" spans="2:9" ht="15" customHeight="1" x14ac:dyDescent="0.3">
      <c r="B622" s="17">
        <f>IF('Marcación Workera'!G622="","",INT('Marcación Workera'!G622))</f>
        <v>46259</v>
      </c>
      <c r="C622" s="18" t="str">
        <f>IF('Marcación Workera'!B622="","",UPPER(SUBSTITUTE('Marcación Workera'!B622,".","")))</f>
        <v>15831074-0</v>
      </c>
      <c r="E622" s="19" t="s">
        <v>592</v>
      </c>
      <c r="F622" s="19" t="s">
        <v>563</v>
      </c>
      <c r="G622" s="19" t="s">
        <v>616</v>
      </c>
      <c r="H622" s="19" t="s">
        <v>562</v>
      </c>
      <c r="I622" s="19" t="s">
        <v>97</v>
      </c>
    </row>
    <row r="623" spans="2:9" ht="15" customHeight="1" x14ac:dyDescent="0.3">
      <c r="B623" s="17">
        <f>IF('Marcación Workera'!G623="","",INT('Marcación Workera'!G623))</f>
        <v>46259</v>
      </c>
      <c r="C623" s="18" t="str">
        <f>IF('Marcación Workera'!B623="","",UPPER(SUBSTITUTE('Marcación Workera'!B623,".","")))</f>
        <v>20718093-9</v>
      </c>
      <c r="E623" s="19" t="s">
        <v>150</v>
      </c>
      <c r="F623" s="19" t="s">
        <v>560</v>
      </c>
      <c r="G623" s="19" t="s">
        <v>615</v>
      </c>
      <c r="H623" s="19" t="s">
        <v>562</v>
      </c>
      <c r="I623" s="19" t="s">
        <v>60</v>
      </c>
    </row>
    <row r="624" spans="2:9" ht="15" customHeight="1" x14ac:dyDescent="0.3">
      <c r="B624" s="17">
        <f>IF('Marcación Workera'!G624="","",INT('Marcación Workera'!G624))</f>
        <v>46258</v>
      </c>
      <c r="C624" s="18" t="str">
        <f>IF('Marcación Workera'!B624="","",UPPER(SUBSTITUTE('Marcación Workera'!B624,".","")))</f>
        <v>14043656-9</v>
      </c>
      <c r="E624" s="19" t="s">
        <v>150</v>
      </c>
      <c r="F624" s="19" t="s">
        <v>563</v>
      </c>
      <c r="G624" s="19" t="s">
        <v>616</v>
      </c>
      <c r="H624" s="19" t="s">
        <v>562</v>
      </c>
      <c r="I624" s="19" t="s">
        <v>60</v>
      </c>
    </row>
    <row r="625" spans="2:9" ht="15" customHeight="1" x14ac:dyDescent="0.3">
      <c r="B625" s="17">
        <f>IF('Marcación Workera'!G625="","",INT('Marcación Workera'!G625))</f>
        <v>46258</v>
      </c>
      <c r="C625" s="18" t="str">
        <f>IF('Marcación Workera'!B625="","",UPPER(SUBSTITUTE('Marcación Workera'!B625,".","")))</f>
        <v>17626968-5</v>
      </c>
      <c r="E625" s="19" t="s">
        <v>437</v>
      </c>
      <c r="F625" s="19" t="s">
        <v>563</v>
      </c>
      <c r="G625" s="19" t="s">
        <v>615</v>
      </c>
      <c r="H625" s="19" t="s">
        <v>562</v>
      </c>
      <c r="I625" s="19" t="s">
        <v>28</v>
      </c>
    </row>
    <row r="626" spans="2:9" ht="15" customHeight="1" x14ac:dyDescent="0.3">
      <c r="B626" s="17">
        <f>IF('Marcación Workera'!G626="","",INT('Marcación Workera'!G626))</f>
        <v>46258</v>
      </c>
      <c r="C626" s="18" t="str">
        <f>IF('Marcación Workera'!B626="","",UPPER(SUBSTITUTE('Marcación Workera'!B626,".","")))</f>
        <v>15831074-0</v>
      </c>
      <c r="E626" s="19" t="s">
        <v>565</v>
      </c>
      <c r="F626" s="19" t="s">
        <v>560</v>
      </c>
      <c r="G626" s="19" t="s">
        <v>616</v>
      </c>
      <c r="H626" s="19" t="s">
        <v>562</v>
      </c>
      <c r="I626" s="19" t="s">
        <v>46</v>
      </c>
    </row>
    <row r="627" spans="2:9" ht="15" customHeight="1" x14ac:dyDescent="0.3">
      <c r="B627" s="17">
        <f>IF('Marcación Workera'!G627="","",INT('Marcación Workera'!G627))</f>
        <v>46258</v>
      </c>
      <c r="C627" s="18" t="str">
        <f>IF('Marcación Workera'!B627="","",UPPER(SUBSTITUTE('Marcación Workera'!B627,".","")))</f>
        <v>11508866-1</v>
      </c>
      <c r="E627" s="19" t="s">
        <v>565</v>
      </c>
      <c r="F627" s="19" t="s">
        <v>563</v>
      </c>
      <c r="G627" s="19" t="s">
        <v>615</v>
      </c>
      <c r="H627" s="19" t="s">
        <v>562</v>
      </c>
      <c r="I627" s="19" t="s">
        <v>46</v>
      </c>
    </row>
    <row r="628" spans="2:9" ht="15" customHeight="1" x14ac:dyDescent="0.3">
      <c r="B628" s="17">
        <f>IF('Marcación Workera'!G628="","",INT('Marcación Workera'!G628))</f>
        <v>46258</v>
      </c>
      <c r="C628" s="18" t="str">
        <f>IF('Marcación Workera'!B628="","",UPPER(SUBSTITUTE('Marcación Workera'!B628,".","")))</f>
        <v>23868099-9</v>
      </c>
      <c r="E628" s="19" t="s">
        <v>503</v>
      </c>
      <c r="F628" s="19" t="s">
        <v>560</v>
      </c>
      <c r="G628" s="19" t="s">
        <v>617</v>
      </c>
      <c r="H628" s="19" t="s">
        <v>562</v>
      </c>
      <c r="I628" s="19" t="s">
        <v>96</v>
      </c>
    </row>
    <row r="629" spans="2:9" ht="15" customHeight="1" x14ac:dyDescent="0.3">
      <c r="B629" s="17">
        <f>IF('Marcación Workera'!G629="","",INT('Marcación Workera'!G629))</f>
        <v>46258</v>
      </c>
      <c r="C629" s="18" t="str">
        <f>IF('Marcación Workera'!B629="","",UPPER(SUBSTITUTE('Marcación Workera'!B629,".","")))</f>
        <v>16188552-5</v>
      </c>
      <c r="E629" s="19" t="s">
        <v>592</v>
      </c>
      <c r="F629" s="19" t="s">
        <v>560</v>
      </c>
      <c r="G629" s="19" t="s">
        <v>617</v>
      </c>
      <c r="H629" s="19" t="s">
        <v>562</v>
      </c>
      <c r="I629" s="19" t="s">
        <v>97</v>
      </c>
    </row>
    <row r="630" spans="2:9" ht="15" customHeight="1" x14ac:dyDescent="0.3">
      <c r="B630" s="17">
        <f>IF('Marcación Workera'!G630="","",INT('Marcación Workera'!G630))</f>
        <v>46258</v>
      </c>
      <c r="C630" s="18" t="str">
        <f>IF('Marcación Workera'!B630="","",UPPER(SUBSTITUTE('Marcación Workera'!B630,".","")))</f>
        <v>17643998-K</v>
      </c>
      <c r="E630" s="19" t="s">
        <v>592</v>
      </c>
      <c r="F630" s="19" t="s">
        <v>563</v>
      </c>
      <c r="G630" s="19" t="s">
        <v>618</v>
      </c>
      <c r="H630" s="19" t="s">
        <v>562</v>
      </c>
      <c r="I630" s="19" t="s">
        <v>97</v>
      </c>
    </row>
    <row r="631" spans="2:9" ht="15" customHeight="1" x14ac:dyDescent="0.3">
      <c r="B631" s="17">
        <f>IF('Marcación Workera'!G631="","",INT('Marcación Workera'!G631))</f>
        <v>46258</v>
      </c>
      <c r="C631" s="18" t="str">
        <f>IF('Marcación Workera'!B631="","",UPPER(SUBSTITUTE('Marcación Workera'!B631,".","")))</f>
        <v>20718093-9</v>
      </c>
      <c r="E631" s="19" t="s">
        <v>513</v>
      </c>
      <c r="F631" s="19" t="s">
        <v>563</v>
      </c>
      <c r="G631" s="19" t="s">
        <v>618</v>
      </c>
      <c r="H631" s="19" t="s">
        <v>562</v>
      </c>
      <c r="I631" s="19" t="s">
        <v>98</v>
      </c>
    </row>
    <row r="632" spans="2:9" ht="15" customHeight="1" x14ac:dyDescent="0.3">
      <c r="B632" s="17">
        <f>IF('Marcación Workera'!G632="","",INT('Marcación Workera'!G632))</f>
        <v>46258</v>
      </c>
      <c r="C632" s="18" t="str">
        <f>IF('Marcación Workera'!B632="","",UPPER(SUBSTITUTE('Marcación Workera'!B632,".","")))</f>
        <v>18889617-0</v>
      </c>
      <c r="E632" s="19" t="s">
        <v>447</v>
      </c>
      <c r="F632" s="19" t="s">
        <v>563</v>
      </c>
      <c r="G632" s="19" t="s">
        <v>618</v>
      </c>
      <c r="H632" s="19" t="s">
        <v>562</v>
      </c>
      <c r="I632" s="19" t="s">
        <v>56</v>
      </c>
    </row>
    <row r="633" spans="2:9" ht="15" customHeight="1" x14ac:dyDescent="0.3">
      <c r="B633" s="17">
        <f>IF('Marcación Workera'!G633="","",INT('Marcación Workera'!G633))</f>
        <v>46258</v>
      </c>
      <c r="C633" s="18" t="str">
        <f>IF('Marcación Workera'!B633="","",UPPER(SUBSTITUTE('Marcación Workera'!B633,".","")))</f>
        <v>19507111-K</v>
      </c>
      <c r="E633" s="19" t="s">
        <v>150</v>
      </c>
      <c r="F633" s="19" t="s">
        <v>560</v>
      </c>
      <c r="G633" s="19" t="s">
        <v>617</v>
      </c>
      <c r="H633" s="19" t="s">
        <v>562</v>
      </c>
      <c r="I633" s="19" t="s">
        <v>60</v>
      </c>
    </row>
    <row r="634" spans="2:9" ht="15" customHeight="1" x14ac:dyDescent="0.3">
      <c r="B634" s="17">
        <f>IF('Marcación Workera'!G634="","",INT('Marcación Workera'!G634))</f>
        <v>46258</v>
      </c>
      <c r="C634" s="18" t="str">
        <f>IF('Marcación Workera'!B634="","",UPPER(SUBSTITUTE('Marcación Workera'!B634,".","")))</f>
        <v>15593625-8</v>
      </c>
      <c r="E634" s="19" t="s">
        <v>150</v>
      </c>
      <c r="F634" s="19" t="s">
        <v>563</v>
      </c>
      <c r="G634" s="19" t="s">
        <v>618</v>
      </c>
      <c r="H634" s="19" t="s">
        <v>562</v>
      </c>
      <c r="I634" s="19" t="s">
        <v>60</v>
      </c>
    </row>
    <row r="635" spans="2:9" ht="15" customHeight="1" x14ac:dyDescent="0.3">
      <c r="B635" s="17">
        <f>IF('Marcación Workera'!G635="","",INT('Marcación Workera'!G635))</f>
        <v>46258</v>
      </c>
      <c r="C635" s="18" t="str">
        <f>IF('Marcación Workera'!B635="","",UPPER(SUBSTITUTE('Marcación Workera'!B635,".","")))</f>
        <v>16053497-4</v>
      </c>
      <c r="E635" s="19" t="s">
        <v>565</v>
      </c>
      <c r="F635" s="19" t="s">
        <v>560</v>
      </c>
      <c r="G635" s="19" t="s">
        <v>618</v>
      </c>
      <c r="H635" s="19" t="s">
        <v>562</v>
      </c>
      <c r="I635" s="19" t="s">
        <v>46</v>
      </c>
    </row>
    <row r="636" spans="2:9" ht="15" customHeight="1" x14ac:dyDescent="0.3">
      <c r="B636" s="17">
        <f>IF('Marcación Workera'!G636="","",INT('Marcación Workera'!G636))</f>
        <v>46258</v>
      </c>
      <c r="C636" s="18" t="str">
        <f>IF('Marcación Workera'!B636="","",UPPER(SUBSTITUTE('Marcación Workera'!B636,".","")))</f>
        <v>17628970-8</v>
      </c>
      <c r="E636" s="19" t="s">
        <v>565</v>
      </c>
      <c r="F636" s="19" t="s">
        <v>563</v>
      </c>
      <c r="G636" s="19" t="s">
        <v>617</v>
      </c>
      <c r="H636" s="19" t="s">
        <v>562</v>
      </c>
      <c r="I636" s="19" t="s">
        <v>46</v>
      </c>
    </row>
    <row r="637" spans="2:9" ht="15" customHeight="1" x14ac:dyDescent="0.3">
      <c r="B637" s="17">
        <f>IF('Marcación Workera'!G637="","",INT('Marcación Workera'!G637))</f>
        <v>46258</v>
      </c>
      <c r="C637" s="18" t="str">
        <f>IF('Marcación Workera'!B637="","",UPPER(SUBSTITUTE('Marcación Workera'!B637,".","")))</f>
        <v>15814058-6</v>
      </c>
      <c r="E637" s="19" t="s">
        <v>441</v>
      </c>
      <c r="F637" s="19" t="s">
        <v>560</v>
      </c>
      <c r="G637" s="19" t="s">
        <v>619</v>
      </c>
      <c r="H637" s="19" t="s">
        <v>562</v>
      </c>
      <c r="I637" s="19" t="s">
        <v>70</v>
      </c>
    </row>
    <row r="638" spans="2:9" ht="15" customHeight="1" x14ac:dyDescent="0.3">
      <c r="B638" s="17">
        <f>IF('Marcación Workera'!G638="","",INT('Marcación Workera'!G638))</f>
        <v>46258</v>
      </c>
      <c r="C638" s="18" t="str">
        <f>IF('Marcación Workera'!B638="","",UPPER(SUBSTITUTE('Marcación Workera'!B638,".","")))</f>
        <v>17805184-9</v>
      </c>
      <c r="E638" s="19" t="s">
        <v>441</v>
      </c>
      <c r="F638" s="19" t="s">
        <v>563</v>
      </c>
      <c r="G638" s="19" t="s">
        <v>620</v>
      </c>
      <c r="H638" s="19" t="s">
        <v>562</v>
      </c>
      <c r="I638" s="19" t="s">
        <v>70</v>
      </c>
    </row>
    <row r="639" spans="2:9" ht="15" customHeight="1" x14ac:dyDescent="0.3">
      <c r="B639" s="17">
        <f>IF('Marcación Workera'!G639="","",INT('Marcación Workera'!G639))</f>
        <v>46258</v>
      </c>
      <c r="C639" s="18" t="str">
        <f>IF('Marcación Workera'!B639="","",UPPER(SUBSTITUTE('Marcación Workera'!B639,".","")))</f>
        <v>12814487-0</v>
      </c>
      <c r="E639" s="19" t="s">
        <v>468</v>
      </c>
      <c r="F639" s="19" t="s">
        <v>563</v>
      </c>
      <c r="G639" s="19" t="s">
        <v>620</v>
      </c>
      <c r="H639" s="19" t="s">
        <v>562</v>
      </c>
      <c r="I639" s="19" t="s">
        <v>49</v>
      </c>
    </row>
    <row r="640" spans="2:9" ht="15" customHeight="1" x14ac:dyDescent="0.3">
      <c r="B640" s="17">
        <f>IF('Marcación Workera'!G640="","",INT('Marcación Workera'!G640))</f>
        <v>46258</v>
      </c>
      <c r="C640" s="18" t="str">
        <f>IF('Marcación Workera'!B640="","",UPPER(SUBSTITUTE('Marcación Workera'!B640,".","")))</f>
        <v>19949787-1</v>
      </c>
      <c r="E640" s="19" t="s">
        <v>150</v>
      </c>
      <c r="F640" s="19" t="s">
        <v>560</v>
      </c>
      <c r="G640" s="19" t="s">
        <v>619</v>
      </c>
      <c r="H640" s="19" t="s">
        <v>562</v>
      </c>
      <c r="I640" s="19" t="s">
        <v>60</v>
      </c>
    </row>
    <row r="641" spans="2:9" ht="15" customHeight="1" x14ac:dyDescent="0.3">
      <c r="B641" s="17">
        <f>IF('Marcación Workera'!G641="","",INT('Marcación Workera'!G641))</f>
        <v>46258</v>
      </c>
      <c r="C641" s="18" t="str">
        <f>IF('Marcación Workera'!B641="","",UPPER(SUBSTITUTE('Marcación Workera'!B641,".","")))</f>
        <v>21254681-K</v>
      </c>
      <c r="E641" s="19" t="s">
        <v>150</v>
      </c>
      <c r="F641" s="19" t="s">
        <v>563</v>
      </c>
      <c r="G641" s="19" t="s">
        <v>620</v>
      </c>
      <c r="H641" s="19" t="s">
        <v>562</v>
      </c>
      <c r="I641" s="19" t="s">
        <v>60</v>
      </c>
    </row>
    <row r="642" spans="2:9" ht="15" customHeight="1" x14ac:dyDescent="0.3">
      <c r="B642" s="17">
        <f>IF('Marcación Workera'!G642="","",INT('Marcación Workera'!G642))</f>
        <v>46258</v>
      </c>
      <c r="C642" s="18" t="str">
        <f>IF('Marcación Workera'!B642="","",UPPER(SUBSTITUTE('Marcación Workera'!B642,".","")))</f>
        <v>14594999-8</v>
      </c>
      <c r="E642" s="19" t="s">
        <v>497</v>
      </c>
      <c r="F642" s="19" t="s">
        <v>560</v>
      </c>
      <c r="G642" s="19" t="s">
        <v>620</v>
      </c>
      <c r="H642" s="19" t="s">
        <v>562</v>
      </c>
      <c r="I642" s="19" t="s">
        <v>37</v>
      </c>
    </row>
    <row r="643" spans="2:9" ht="15" customHeight="1" x14ac:dyDescent="0.3">
      <c r="B643" s="17">
        <f>IF('Marcación Workera'!G643="","",INT('Marcación Workera'!G643))</f>
        <v>46258</v>
      </c>
      <c r="C643" s="18" t="str">
        <f>IF('Marcación Workera'!B643="","",UPPER(SUBSTITUTE('Marcación Workera'!B643,".","")))</f>
        <v>16706064-1</v>
      </c>
      <c r="E643" s="19" t="s">
        <v>565</v>
      </c>
      <c r="F643" s="19" t="s">
        <v>560</v>
      </c>
      <c r="G643" s="19" t="s">
        <v>620</v>
      </c>
      <c r="H643" s="19" t="s">
        <v>562</v>
      </c>
      <c r="I643" s="19" t="s">
        <v>46</v>
      </c>
    </row>
    <row r="644" spans="2:9" ht="15" customHeight="1" x14ac:dyDescent="0.3">
      <c r="B644" s="17">
        <f>IF('Marcación Workera'!G644="","",INT('Marcación Workera'!G644))</f>
        <v>46258</v>
      </c>
      <c r="C644" s="18" t="str">
        <f>IF('Marcación Workera'!B644="","",UPPER(SUBSTITUTE('Marcación Workera'!B644,".","")))</f>
        <v>13412582-9</v>
      </c>
      <c r="E644" s="19" t="s">
        <v>565</v>
      </c>
      <c r="F644" s="19" t="s">
        <v>563</v>
      </c>
      <c r="G644" s="19" t="s">
        <v>619</v>
      </c>
      <c r="H644" s="19" t="s">
        <v>562</v>
      </c>
      <c r="I644" s="19" t="s">
        <v>46</v>
      </c>
    </row>
    <row r="645" spans="2:9" ht="15" customHeight="1" x14ac:dyDescent="0.3">
      <c r="B645" s="17">
        <f>IF('Marcación Workera'!G645="","",INT('Marcación Workera'!G645))</f>
        <v>46258</v>
      </c>
      <c r="C645" s="18" t="str">
        <f>IF('Marcación Workera'!B645="","",UPPER(SUBSTITUTE('Marcación Workera'!B645,".","")))</f>
        <v>14043656-9</v>
      </c>
      <c r="E645" s="19" t="s">
        <v>441</v>
      </c>
      <c r="F645" s="19" t="s">
        <v>560</v>
      </c>
      <c r="G645" s="19" t="s">
        <v>621</v>
      </c>
      <c r="H645" s="19" t="s">
        <v>562</v>
      </c>
      <c r="I645" s="19" t="s">
        <v>70</v>
      </c>
    </row>
    <row r="646" spans="2:9" ht="15" customHeight="1" x14ac:dyDescent="0.3">
      <c r="B646" s="17">
        <f>IF('Marcación Workera'!G646="","",INT('Marcación Workera'!G646))</f>
        <v>46258</v>
      </c>
      <c r="C646" s="18" t="str">
        <f>IF('Marcación Workera'!B646="","",UPPER(SUBSTITUTE('Marcación Workera'!B646,".","")))</f>
        <v>18889617-0</v>
      </c>
      <c r="E646" s="19" t="s">
        <v>441</v>
      </c>
      <c r="F646" s="19" t="s">
        <v>563</v>
      </c>
      <c r="G646" s="19" t="s">
        <v>622</v>
      </c>
      <c r="H646" s="19" t="s">
        <v>562</v>
      </c>
      <c r="I646" s="19" t="s">
        <v>70</v>
      </c>
    </row>
    <row r="647" spans="2:9" ht="15" customHeight="1" x14ac:dyDescent="0.3">
      <c r="B647" s="17">
        <f>IF('Marcación Workera'!G647="","",INT('Marcación Workera'!G647))</f>
        <v>46258</v>
      </c>
      <c r="C647" s="18" t="str">
        <f>IF('Marcación Workera'!B647="","",UPPER(SUBSTITUTE('Marcación Workera'!B647,".","")))</f>
        <v>14615536-7</v>
      </c>
      <c r="E647" s="19" t="s">
        <v>459</v>
      </c>
      <c r="F647" s="19" t="s">
        <v>563</v>
      </c>
      <c r="G647" s="19" t="s">
        <v>622</v>
      </c>
      <c r="H647" s="19" t="s">
        <v>562</v>
      </c>
      <c r="I647" s="19" t="s">
        <v>31</v>
      </c>
    </row>
    <row r="648" spans="2:9" ht="15" customHeight="1" x14ac:dyDescent="0.3">
      <c r="B648" s="17">
        <f>IF('Marcación Workera'!G648="","",INT('Marcación Workera'!G648))</f>
        <v>46258</v>
      </c>
      <c r="C648" s="18" t="str">
        <f>IF('Marcación Workera'!B648="","",UPPER(SUBSTITUTE('Marcación Workera'!B648,".","")))</f>
        <v>16706064-1</v>
      </c>
      <c r="E648" s="19" t="s">
        <v>486</v>
      </c>
      <c r="F648" s="19" t="s">
        <v>563</v>
      </c>
      <c r="G648" s="19" t="s">
        <v>622</v>
      </c>
      <c r="H648" s="19" t="s">
        <v>562</v>
      </c>
      <c r="I648" s="19" t="s">
        <v>58</v>
      </c>
    </row>
    <row r="649" spans="2:9" ht="15" customHeight="1" x14ac:dyDescent="0.3">
      <c r="B649" s="17">
        <f>IF('Marcación Workera'!G649="","",INT('Marcación Workera'!G649))</f>
        <v>46258</v>
      </c>
      <c r="C649" s="18" t="str">
        <f>IF('Marcación Workera'!B649="","",UPPER(SUBSTITUTE('Marcación Workera'!B649,".","")))</f>
        <v>11508866-1</v>
      </c>
      <c r="E649" s="19" t="s">
        <v>150</v>
      </c>
      <c r="F649" s="19" t="s">
        <v>560</v>
      </c>
      <c r="G649" s="19" t="s">
        <v>621</v>
      </c>
      <c r="H649" s="19" t="s">
        <v>562</v>
      </c>
      <c r="I649" s="19" t="s">
        <v>60</v>
      </c>
    </row>
    <row r="650" spans="2:9" ht="15" customHeight="1" x14ac:dyDescent="0.3">
      <c r="B650" s="17">
        <f>IF('Marcación Workera'!G650="","",INT('Marcación Workera'!G650))</f>
        <v>46258</v>
      </c>
      <c r="C650" s="18" t="str">
        <f>IF('Marcación Workera'!B650="","",UPPER(SUBSTITUTE('Marcación Workera'!B650,".","")))</f>
        <v>21254681-K</v>
      </c>
      <c r="E650" s="19" t="s">
        <v>150</v>
      </c>
      <c r="F650" s="19" t="s">
        <v>563</v>
      </c>
      <c r="G650" s="19" t="s">
        <v>622</v>
      </c>
      <c r="H650" s="19" t="s">
        <v>562</v>
      </c>
      <c r="I650" s="19" t="s">
        <v>60</v>
      </c>
    </row>
    <row r="651" spans="2:9" ht="15" customHeight="1" x14ac:dyDescent="0.3">
      <c r="B651" s="17">
        <f>IF('Marcación Workera'!G651="","",INT('Marcación Workera'!G651))</f>
        <v>46258</v>
      </c>
      <c r="C651" s="18" t="str">
        <f>IF('Marcación Workera'!B651="","",UPPER(SUBSTITUTE('Marcación Workera'!B651,".","")))</f>
        <v>19949787-1</v>
      </c>
      <c r="E651" s="19" t="s">
        <v>565</v>
      </c>
      <c r="F651" s="19" t="s">
        <v>560</v>
      </c>
      <c r="G651" s="19" t="s">
        <v>622</v>
      </c>
      <c r="H651" s="19" t="s">
        <v>562</v>
      </c>
      <c r="I651" s="19" t="s">
        <v>46</v>
      </c>
    </row>
    <row r="652" spans="2:9" ht="15" customHeight="1" x14ac:dyDescent="0.3">
      <c r="B652" s="17">
        <f>IF('Marcación Workera'!G652="","",INT('Marcación Workera'!G652))</f>
        <v>46258</v>
      </c>
      <c r="C652" s="18" t="str">
        <f>IF('Marcación Workera'!B652="","",UPPER(SUBSTITUTE('Marcación Workera'!B652,".","")))</f>
        <v>17628970-8</v>
      </c>
      <c r="E652" s="19" t="s">
        <v>565</v>
      </c>
      <c r="F652" s="19" t="s">
        <v>563</v>
      </c>
      <c r="G652" s="19" t="s">
        <v>621</v>
      </c>
      <c r="H652" s="19" t="s">
        <v>562</v>
      </c>
      <c r="I652" s="19" t="s">
        <v>46</v>
      </c>
    </row>
    <row r="653" spans="2:9" ht="15" customHeight="1" x14ac:dyDescent="0.3">
      <c r="B653" s="17">
        <f>IF('Marcación Workera'!G653="","",INT('Marcación Workera'!G653))</f>
        <v>46258</v>
      </c>
      <c r="C653" s="18" t="str">
        <f>IF('Marcación Workera'!B653="","",UPPER(SUBSTITUTE('Marcación Workera'!B653,".","")))</f>
        <v>17643998-K</v>
      </c>
      <c r="E653" s="19" t="s">
        <v>441</v>
      </c>
      <c r="F653" s="19" t="s">
        <v>563</v>
      </c>
      <c r="G653" s="19" t="s">
        <v>623</v>
      </c>
      <c r="H653" s="19" t="s">
        <v>562</v>
      </c>
      <c r="I653" s="19" t="s">
        <v>70</v>
      </c>
    </row>
    <row r="654" spans="2:9" ht="15" customHeight="1" x14ac:dyDescent="0.3">
      <c r="B654" s="17">
        <f>IF('Marcación Workera'!G654="","",INT('Marcación Workera'!G654))</f>
        <v>46258</v>
      </c>
      <c r="C654" s="18" t="str">
        <f>IF('Marcación Workera'!B654="","",UPPER(SUBSTITUTE('Marcación Workera'!B654,".","")))</f>
        <v>15831074-0</v>
      </c>
      <c r="E654" s="19" t="s">
        <v>150</v>
      </c>
      <c r="F654" s="19" t="s">
        <v>560</v>
      </c>
      <c r="G654" s="19" t="s">
        <v>624</v>
      </c>
      <c r="H654" s="19" t="s">
        <v>562</v>
      </c>
      <c r="I654" s="19" t="s">
        <v>60</v>
      </c>
    </row>
    <row r="655" spans="2:9" ht="15" customHeight="1" x14ac:dyDescent="0.3">
      <c r="B655" s="17">
        <f>IF('Marcación Workera'!G655="","",INT('Marcación Workera'!G655))</f>
        <v>46258</v>
      </c>
      <c r="C655" s="18" t="str">
        <f>IF('Marcación Workera'!B655="","",UPPER(SUBSTITUTE('Marcación Workera'!B655,".","")))</f>
        <v>17805184-9</v>
      </c>
      <c r="E655" s="19" t="s">
        <v>150</v>
      </c>
      <c r="F655" s="19" t="s">
        <v>563</v>
      </c>
      <c r="G655" s="19" t="s">
        <v>623</v>
      </c>
      <c r="H655" s="19" t="s">
        <v>562</v>
      </c>
      <c r="I655" s="19" t="s">
        <v>60</v>
      </c>
    </row>
    <row r="656" spans="2:9" ht="15" customHeight="1" x14ac:dyDescent="0.3">
      <c r="B656" s="17">
        <f>IF('Marcación Workera'!G656="","",INT('Marcación Workera'!G656))</f>
        <v>46258</v>
      </c>
      <c r="C656" s="18" t="str">
        <f>IF('Marcación Workera'!B656="","",UPPER(SUBSTITUTE('Marcación Workera'!B656,".","")))</f>
        <v>19507111-K</v>
      </c>
      <c r="E656" s="19" t="s">
        <v>565</v>
      </c>
      <c r="F656" s="19" t="s">
        <v>560</v>
      </c>
      <c r="G656" s="19" t="s">
        <v>623</v>
      </c>
      <c r="H656" s="19" t="s">
        <v>562</v>
      </c>
      <c r="I656" s="19" t="s">
        <v>46</v>
      </c>
    </row>
    <row r="657" spans="2:9" ht="15" customHeight="1" x14ac:dyDescent="0.3">
      <c r="B657" s="17">
        <f>IF('Marcación Workera'!G657="","",INT('Marcación Workera'!G657))</f>
        <v>46258</v>
      </c>
      <c r="C657" s="18" t="str">
        <f>IF('Marcación Workera'!B657="","",UPPER(SUBSTITUTE('Marcación Workera'!B657,".","")))</f>
        <v>12814487-0</v>
      </c>
      <c r="E657" s="19" t="s">
        <v>565</v>
      </c>
      <c r="F657" s="19" t="s">
        <v>563</v>
      </c>
      <c r="G657" s="19" t="s">
        <v>624</v>
      </c>
      <c r="H657" s="19" t="s">
        <v>562</v>
      </c>
      <c r="I657" s="19" t="s">
        <v>46</v>
      </c>
    </row>
    <row r="658" spans="2:9" ht="15" customHeight="1" x14ac:dyDescent="0.3">
      <c r="B658" s="17">
        <f>IF('Marcación Workera'!G658="","",INT('Marcación Workera'!G658))</f>
        <v>46258</v>
      </c>
      <c r="C658" s="18" t="str">
        <f>IF('Marcación Workera'!B658="","",UPPER(SUBSTITUTE('Marcación Workera'!B658,".","")))</f>
        <v>23868099-9</v>
      </c>
      <c r="E658" s="19" t="s">
        <v>456</v>
      </c>
      <c r="F658" s="19" t="s">
        <v>563</v>
      </c>
      <c r="G658" s="19" t="s">
        <v>625</v>
      </c>
      <c r="H658" s="19" t="s">
        <v>562</v>
      </c>
      <c r="I658" s="19" t="s">
        <v>24</v>
      </c>
    </row>
    <row r="659" spans="2:9" ht="15" customHeight="1" x14ac:dyDescent="0.3">
      <c r="B659" s="17">
        <f>IF('Marcación Workera'!G659="","",INT('Marcación Workera'!G659))</f>
        <v>46258</v>
      </c>
      <c r="C659" s="18" t="str">
        <f>IF('Marcación Workera'!B659="","",UPPER(SUBSTITUTE('Marcación Workera'!B659,".","")))</f>
        <v>12814487-0</v>
      </c>
      <c r="E659" s="19" t="s">
        <v>447</v>
      </c>
      <c r="F659" s="19" t="s">
        <v>563</v>
      </c>
      <c r="G659" s="19" t="s">
        <v>625</v>
      </c>
      <c r="H659" s="19" t="s">
        <v>562</v>
      </c>
      <c r="I659" s="19" t="s">
        <v>56</v>
      </c>
    </row>
    <row r="660" spans="2:9" ht="15" customHeight="1" x14ac:dyDescent="0.3">
      <c r="B660" s="17">
        <f>IF('Marcación Workera'!G660="","",INT('Marcación Workera'!G660))</f>
        <v>46258</v>
      </c>
      <c r="C660" s="18" t="str">
        <f>IF('Marcación Workera'!B660="","",UPPER(SUBSTITUTE('Marcación Workera'!B660,".","")))</f>
        <v>16188552-5</v>
      </c>
      <c r="E660" s="19" t="s">
        <v>468</v>
      </c>
      <c r="F660" s="19" t="s">
        <v>563</v>
      </c>
      <c r="G660" s="19" t="s">
        <v>625</v>
      </c>
      <c r="H660" s="19" t="s">
        <v>562</v>
      </c>
      <c r="I660" s="19" t="s">
        <v>49</v>
      </c>
    </row>
    <row r="661" spans="2:9" ht="15" customHeight="1" x14ac:dyDescent="0.3">
      <c r="B661" s="17">
        <f>IF('Marcación Workera'!G661="","",INT('Marcación Workera'!G661))</f>
        <v>46258</v>
      </c>
      <c r="C661" s="18" t="str">
        <f>IF('Marcación Workera'!B661="","",UPPER(SUBSTITUTE('Marcación Workera'!B661,".","")))</f>
        <v>20718093-9</v>
      </c>
      <c r="E661" s="19" t="s">
        <v>150</v>
      </c>
      <c r="F661" s="19" t="s">
        <v>560</v>
      </c>
      <c r="G661" s="19" t="s">
        <v>626</v>
      </c>
      <c r="H661" s="19" t="s">
        <v>562</v>
      </c>
      <c r="I661" s="19" t="s">
        <v>60</v>
      </c>
    </row>
    <row r="662" spans="2:9" ht="15" customHeight="1" x14ac:dyDescent="0.3">
      <c r="B662" s="17">
        <f>IF('Marcación Workera'!G662="","",INT('Marcación Workera'!G662))</f>
        <v>46258</v>
      </c>
      <c r="C662" s="18" t="str">
        <f>IF('Marcación Workera'!B662="","",UPPER(SUBSTITUTE('Marcación Workera'!B662,".","")))</f>
        <v>15814058-6</v>
      </c>
      <c r="E662" s="19" t="s">
        <v>150</v>
      </c>
      <c r="F662" s="19" t="s">
        <v>563</v>
      </c>
      <c r="G662" s="19" t="s">
        <v>625</v>
      </c>
      <c r="H662" s="19" t="s">
        <v>562</v>
      </c>
      <c r="I662" s="19" t="s">
        <v>60</v>
      </c>
    </row>
    <row r="663" spans="2:9" ht="15" customHeight="1" x14ac:dyDescent="0.3">
      <c r="B663" s="17">
        <f>IF('Marcación Workera'!G663="","",INT('Marcación Workera'!G663))</f>
        <v>46258</v>
      </c>
      <c r="C663" s="18" t="str">
        <f>IF('Marcación Workera'!B663="","",UPPER(SUBSTITUTE('Marcación Workera'!B663,".","")))</f>
        <v>13412582-9</v>
      </c>
      <c r="E663" s="19" t="s">
        <v>188</v>
      </c>
      <c r="F663" s="19" t="s">
        <v>563</v>
      </c>
      <c r="G663" s="19" t="s">
        <v>626</v>
      </c>
      <c r="H663" s="19" t="s">
        <v>562</v>
      </c>
      <c r="I663" s="19" t="s">
        <v>30</v>
      </c>
    </row>
    <row r="664" spans="2:9" ht="15" customHeight="1" x14ac:dyDescent="0.3">
      <c r="B664" s="17">
        <f>IF('Marcación Workera'!G664="","",INT('Marcación Workera'!G664))</f>
        <v>46258</v>
      </c>
      <c r="C664" s="18" t="str">
        <f>IF('Marcación Workera'!B664="","",UPPER(SUBSTITUTE('Marcación Workera'!B664,".","")))</f>
        <v>14594999-8</v>
      </c>
      <c r="E664" s="19" t="s">
        <v>565</v>
      </c>
      <c r="F664" s="19" t="s">
        <v>560</v>
      </c>
      <c r="G664" s="19" t="s">
        <v>625</v>
      </c>
      <c r="H664" s="19" t="s">
        <v>562</v>
      </c>
      <c r="I664" s="19" t="s">
        <v>46</v>
      </c>
    </row>
    <row r="665" spans="2:9" ht="15" customHeight="1" x14ac:dyDescent="0.3">
      <c r="B665" s="17">
        <f>IF('Marcación Workera'!G665="","",INT('Marcación Workera'!G665))</f>
        <v>46258</v>
      </c>
      <c r="C665" s="18" t="str">
        <f>IF('Marcación Workera'!B665="","",UPPER(SUBSTITUTE('Marcación Workera'!B665,".","")))</f>
        <v>15593625-8</v>
      </c>
      <c r="E665" s="19" t="s">
        <v>565</v>
      </c>
      <c r="F665" s="19" t="s">
        <v>563</v>
      </c>
      <c r="G665" s="19" t="s">
        <v>626</v>
      </c>
      <c r="H665" s="19" t="s">
        <v>562</v>
      </c>
      <c r="I665" s="19" t="s">
        <v>46</v>
      </c>
    </row>
    <row r="666" spans="2:9" ht="15" customHeight="1" x14ac:dyDescent="0.3">
      <c r="B666" s="17">
        <f>IF('Marcación Workera'!G666="","",INT('Marcación Workera'!G666))</f>
        <v>46258</v>
      </c>
      <c r="C666" s="18" t="str">
        <f>IF('Marcación Workera'!B666="","",UPPER(SUBSTITUTE('Marcación Workera'!B666,".","")))</f>
        <v>17626968-5</v>
      </c>
      <c r="E666" s="19" t="s">
        <v>462</v>
      </c>
      <c r="F666" s="19" t="s">
        <v>560</v>
      </c>
      <c r="G666" s="19" t="s">
        <v>627</v>
      </c>
      <c r="H666" s="19" t="s">
        <v>562</v>
      </c>
      <c r="I666" s="19" t="s">
        <v>64</v>
      </c>
    </row>
    <row r="667" spans="2:9" ht="15" customHeight="1" x14ac:dyDescent="0.3">
      <c r="B667" s="17">
        <f>IF('Marcación Workera'!G667="","",INT('Marcación Workera'!G667))</f>
        <v>46257</v>
      </c>
      <c r="C667" s="18" t="str">
        <f>IF('Marcación Workera'!B667="","",UPPER(SUBSTITUTE('Marcación Workera'!B667,".","")))</f>
        <v>12814487-0</v>
      </c>
      <c r="E667" s="19" t="s">
        <v>462</v>
      </c>
      <c r="F667" s="19" t="s">
        <v>563</v>
      </c>
      <c r="G667" s="19" t="s">
        <v>628</v>
      </c>
      <c r="H667" s="19" t="s">
        <v>562</v>
      </c>
      <c r="I667" s="19" t="s">
        <v>64</v>
      </c>
    </row>
    <row r="668" spans="2:9" ht="15" customHeight="1" x14ac:dyDescent="0.3">
      <c r="B668" s="17">
        <f>IF('Marcación Workera'!G668="","",INT('Marcación Workera'!G668))</f>
        <v>46257</v>
      </c>
      <c r="C668" s="18" t="str">
        <f>IF('Marcación Workera'!B668="","",UPPER(SUBSTITUTE('Marcación Workera'!B668,".","")))</f>
        <v>14043656-9</v>
      </c>
      <c r="E668" s="19" t="s">
        <v>459</v>
      </c>
      <c r="F668" s="19" t="s">
        <v>563</v>
      </c>
      <c r="G668" s="19" t="s">
        <v>628</v>
      </c>
      <c r="H668" s="19" t="s">
        <v>562</v>
      </c>
      <c r="I668" s="19" t="s">
        <v>31</v>
      </c>
    </row>
    <row r="669" spans="2:9" ht="15" customHeight="1" x14ac:dyDescent="0.3">
      <c r="B669" s="17">
        <f>IF('Marcación Workera'!G669="","",INT('Marcación Workera'!G669))</f>
        <v>46257</v>
      </c>
      <c r="C669" s="18" t="str">
        <f>IF('Marcación Workera'!B669="","",UPPER(SUBSTITUTE('Marcación Workera'!B669,".","")))</f>
        <v>23868099-9</v>
      </c>
      <c r="E669" s="19" t="s">
        <v>150</v>
      </c>
      <c r="F669" s="19" t="s">
        <v>560</v>
      </c>
      <c r="G669" s="19" t="s">
        <v>627</v>
      </c>
      <c r="H669" s="19" t="s">
        <v>562</v>
      </c>
      <c r="I669" s="19" t="s">
        <v>60</v>
      </c>
    </row>
    <row r="670" spans="2:9" ht="15" customHeight="1" x14ac:dyDescent="0.3">
      <c r="B670" s="17">
        <f>IF('Marcación Workera'!G670="","",INT('Marcación Workera'!G670))</f>
        <v>46257</v>
      </c>
      <c r="C670" s="18" t="str">
        <f>IF('Marcación Workera'!B670="","",UPPER(SUBSTITUTE('Marcación Workera'!B670,".","")))</f>
        <v>21254681-K</v>
      </c>
      <c r="E670" s="19" t="s">
        <v>150</v>
      </c>
      <c r="F670" s="19" t="s">
        <v>563</v>
      </c>
      <c r="G670" s="19" t="s">
        <v>628</v>
      </c>
      <c r="H670" s="19" t="s">
        <v>562</v>
      </c>
      <c r="I670" s="19" t="s">
        <v>60</v>
      </c>
    </row>
    <row r="671" spans="2:9" ht="15" customHeight="1" x14ac:dyDescent="0.3">
      <c r="B671" s="17">
        <f>IF('Marcación Workera'!G671="","",INT('Marcación Workera'!G671))</f>
        <v>46257</v>
      </c>
      <c r="C671" s="18" t="str">
        <f>IF('Marcación Workera'!B671="","",UPPER(SUBSTITUTE('Marcación Workera'!B671,".","")))</f>
        <v>18889617-0</v>
      </c>
      <c r="E671" s="19" t="s">
        <v>184</v>
      </c>
      <c r="F671" s="19" t="s">
        <v>560</v>
      </c>
      <c r="G671" s="19" t="s">
        <v>628</v>
      </c>
      <c r="H671" s="19" t="s">
        <v>562</v>
      </c>
      <c r="I671" s="19" t="s">
        <v>51</v>
      </c>
    </row>
    <row r="672" spans="2:9" ht="15" customHeight="1" x14ac:dyDescent="0.3">
      <c r="B672" s="17">
        <f>IF('Marcación Workera'!G672="","",INT('Marcación Workera'!G672))</f>
        <v>46257</v>
      </c>
      <c r="C672" s="18" t="str">
        <f>IF('Marcación Workera'!B672="","",UPPER(SUBSTITUTE('Marcación Workera'!B672,".","")))</f>
        <v>16706064-1</v>
      </c>
      <c r="E672" s="19" t="s">
        <v>437</v>
      </c>
      <c r="F672" s="19" t="s">
        <v>563</v>
      </c>
      <c r="G672" s="19" t="s">
        <v>627</v>
      </c>
      <c r="H672" s="19" t="s">
        <v>562</v>
      </c>
      <c r="I672" s="19" t="s">
        <v>28</v>
      </c>
    </row>
    <row r="673" spans="2:9" ht="15" customHeight="1" x14ac:dyDescent="0.3">
      <c r="B673" s="17">
        <f>IF('Marcación Workera'!G673="","",INT('Marcación Workera'!G673))</f>
        <v>46257</v>
      </c>
      <c r="C673" s="18" t="str">
        <f>IF('Marcación Workera'!B673="","",UPPER(SUBSTITUTE('Marcación Workera'!B673,".","")))</f>
        <v>19507111-K</v>
      </c>
      <c r="E673" s="19" t="s">
        <v>565</v>
      </c>
      <c r="F673" s="19" t="s">
        <v>560</v>
      </c>
      <c r="G673" s="19" t="s">
        <v>628</v>
      </c>
      <c r="H673" s="19" t="s">
        <v>562</v>
      </c>
      <c r="I673" s="19" t="s">
        <v>46</v>
      </c>
    </row>
    <row r="674" spans="2:9" ht="15" customHeight="1" x14ac:dyDescent="0.3">
      <c r="B674" s="17">
        <f>IF('Marcación Workera'!G674="","",INT('Marcación Workera'!G674))</f>
        <v>46257</v>
      </c>
      <c r="C674" s="18" t="str">
        <f>IF('Marcación Workera'!B674="","",UPPER(SUBSTITUTE('Marcación Workera'!B674,".","")))</f>
        <v>11508866-1</v>
      </c>
      <c r="E674" s="19" t="s">
        <v>565</v>
      </c>
      <c r="F674" s="19" t="s">
        <v>563</v>
      </c>
      <c r="G674" s="19" t="s">
        <v>627</v>
      </c>
      <c r="H674" s="19" t="s">
        <v>562</v>
      </c>
      <c r="I674" s="19" t="s">
        <v>46</v>
      </c>
    </row>
    <row r="675" spans="2:9" ht="15" customHeight="1" x14ac:dyDescent="0.3">
      <c r="B675" s="17">
        <f>IF('Marcación Workera'!G675="","",INT('Marcación Workera'!G675))</f>
        <v>46257</v>
      </c>
      <c r="C675" s="18" t="str">
        <f>IF('Marcación Workera'!B675="","",UPPER(SUBSTITUTE('Marcación Workera'!B675,".","")))</f>
        <v>17643998-K</v>
      </c>
      <c r="E675" s="19" t="s">
        <v>486</v>
      </c>
      <c r="F675" s="19" t="s">
        <v>560</v>
      </c>
      <c r="G675" s="19" t="s">
        <v>629</v>
      </c>
      <c r="H675" s="19" t="s">
        <v>562</v>
      </c>
      <c r="I675" s="19" t="s">
        <v>58</v>
      </c>
    </row>
    <row r="676" spans="2:9" ht="15" customHeight="1" x14ac:dyDescent="0.3">
      <c r="B676" s="17">
        <f>IF('Marcación Workera'!G676="","",INT('Marcación Workera'!G676))</f>
        <v>46257</v>
      </c>
      <c r="C676" s="18" t="str">
        <f>IF('Marcación Workera'!B676="","",UPPER(SUBSTITUTE('Marcación Workera'!B676,".","")))</f>
        <v>16053497-4</v>
      </c>
      <c r="E676" s="19" t="s">
        <v>150</v>
      </c>
      <c r="F676" s="19" t="s">
        <v>560</v>
      </c>
      <c r="G676" s="19" t="s">
        <v>629</v>
      </c>
      <c r="H676" s="19" t="s">
        <v>562</v>
      </c>
      <c r="I676" s="19" t="s">
        <v>60</v>
      </c>
    </row>
    <row r="677" spans="2:9" ht="15" customHeight="1" x14ac:dyDescent="0.3">
      <c r="B677" s="17">
        <f>IF('Marcación Workera'!G677="","",INT('Marcación Workera'!G677))</f>
        <v>46257</v>
      </c>
      <c r="C677" s="18" t="str">
        <f>IF('Marcación Workera'!B677="","",UPPER(SUBSTITUTE('Marcación Workera'!B677,".","")))</f>
        <v>17626968-5</v>
      </c>
      <c r="E677" s="19" t="s">
        <v>150</v>
      </c>
      <c r="F677" s="19" t="s">
        <v>563</v>
      </c>
      <c r="G677" s="19" t="s">
        <v>630</v>
      </c>
      <c r="H677" s="19" t="s">
        <v>562</v>
      </c>
      <c r="I677" s="19" t="s">
        <v>60</v>
      </c>
    </row>
    <row r="678" spans="2:9" ht="15" customHeight="1" x14ac:dyDescent="0.3">
      <c r="B678" s="17">
        <f>IF('Marcación Workera'!G678="","",INT('Marcación Workera'!G678))</f>
        <v>46257</v>
      </c>
      <c r="C678" s="18" t="str">
        <f>IF('Marcación Workera'!B678="","",UPPER(SUBSTITUTE('Marcación Workera'!B678,".","")))</f>
        <v>15831074-0</v>
      </c>
      <c r="E678" s="19" t="s">
        <v>497</v>
      </c>
      <c r="F678" s="19" t="s">
        <v>560</v>
      </c>
      <c r="G678" s="19" t="s">
        <v>630</v>
      </c>
      <c r="H678" s="19" t="s">
        <v>562</v>
      </c>
      <c r="I678" s="19" t="s">
        <v>37</v>
      </c>
    </row>
    <row r="679" spans="2:9" ht="15" customHeight="1" x14ac:dyDescent="0.3">
      <c r="B679" s="17">
        <f>IF('Marcación Workera'!G679="","",INT('Marcación Workera'!G679))</f>
        <v>46257</v>
      </c>
      <c r="C679" s="18" t="str">
        <f>IF('Marcación Workera'!B679="","",UPPER(SUBSTITUTE('Marcación Workera'!B679,".","")))</f>
        <v>19949787-1</v>
      </c>
      <c r="E679" s="19" t="s">
        <v>565</v>
      </c>
      <c r="F679" s="19" t="s">
        <v>560</v>
      </c>
      <c r="G679" s="19" t="s">
        <v>630</v>
      </c>
      <c r="H679" s="19" t="s">
        <v>562</v>
      </c>
      <c r="I679" s="19" t="s">
        <v>46</v>
      </c>
    </row>
    <row r="680" spans="2:9" ht="15" customHeight="1" x14ac:dyDescent="0.3">
      <c r="B680" s="17">
        <f>IF('Marcación Workera'!G680="","",INT('Marcación Workera'!G680))</f>
        <v>46257</v>
      </c>
      <c r="C680" s="18" t="str">
        <f>IF('Marcación Workera'!B680="","",UPPER(SUBSTITUTE('Marcación Workera'!B680,".","")))</f>
        <v>15814058-6</v>
      </c>
      <c r="E680" s="19" t="s">
        <v>565</v>
      </c>
      <c r="F680" s="19" t="s">
        <v>563</v>
      </c>
      <c r="G680" s="19" t="s">
        <v>629</v>
      </c>
      <c r="H680" s="19" t="s">
        <v>562</v>
      </c>
      <c r="I680" s="19" t="s">
        <v>46</v>
      </c>
    </row>
    <row r="681" spans="2:9" ht="15" customHeight="1" x14ac:dyDescent="0.3">
      <c r="B681" s="17">
        <f>IF('Marcación Workera'!G681="","",INT('Marcación Workera'!G681))</f>
        <v>46257</v>
      </c>
      <c r="C681" s="18" t="str">
        <f>IF('Marcación Workera'!B681="","",UPPER(SUBSTITUTE('Marcación Workera'!B681,".","")))</f>
        <v>17805184-9</v>
      </c>
    </row>
    <row r="682" spans="2:9" ht="15" customHeight="1" x14ac:dyDescent="0.3">
      <c r="B682" s="17">
        <f>IF('Marcación Workera'!G682="","",INT('Marcación Workera'!G682))</f>
        <v>46257</v>
      </c>
      <c r="C682" s="18" t="str">
        <f>IF('Marcación Workera'!B682="","",UPPER(SUBSTITUTE('Marcación Workera'!B682,".","")))</f>
        <v>20718093-9</v>
      </c>
    </row>
    <row r="683" spans="2:9" ht="15" customHeight="1" x14ac:dyDescent="0.3">
      <c r="B683" s="17">
        <f>IF('Marcación Workera'!G683="","",INT('Marcación Workera'!G683))</f>
        <v>46257</v>
      </c>
      <c r="C683" s="18" t="str">
        <f>IF('Marcación Workera'!B683="","",UPPER(SUBSTITUTE('Marcación Workera'!B683,".","")))</f>
        <v>17628970-8</v>
      </c>
    </row>
    <row r="684" spans="2:9" ht="15" customHeight="1" x14ac:dyDescent="0.3">
      <c r="B684" s="17">
        <f>IF('Marcación Workera'!G684="","",INT('Marcación Workera'!G684))</f>
        <v>46257</v>
      </c>
      <c r="C684" s="18" t="str">
        <f>IF('Marcación Workera'!B684="","",UPPER(SUBSTITUTE('Marcación Workera'!B684,".","")))</f>
        <v>16188552-5</v>
      </c>
    </row>
    <row r="685" spans="2:9" ht="15" customHeight="1" x14ac:dyDescent="0.3">
      <c r="B685" s="17">
        <f>IF('Marcación Workera'!G685="","",INT('Marcación Workera'!G685))</f>
        <v>46257</v>
      </c>
      <c r="C685" s="18" t="str">
        <f>IF('Marcación Workera'!B685="","",UPPER(SUBSTITUTE('Marcación Workera'!B685,".","")))</f>
        <v>16188552-5</v>
      </c>
    </row>
    <row r="686" spans="2:9" ht="15" customHeight="1" x14ac:dyDescent="0.3">
      <c r="B686" s="17">
        <f>IF('Marcación Workera'!G686="","",INT('Marcación Workera'!G686))</f>
        <v>46257</v>
      </c>
      <c r="C686" s="18" t="str">
        <f>IF('Marcación Workera'!B686="","",UPPER(SUBSTITUTE('Marcación Workera'!B686,".","")))</f>
        <v>18889617-0</v>
      </c>
    </row>
    <row r="687" spans="2:9" ht="15" customHeight="1" x14ac:dyDescent="0.3">
      <c r="B687" s="17">
        <f>IF('Marcación Workera'!G687="","",INT('Marcación Workera'!G687))</f>
        <v>46257</v>
      </c>
      <c r="C687" s="18" t="str">
        <f>IF('Marcación Workera'!B687="","",UPPER(SUBSTITUTE('Marcación Workera'!B687,".","")))</f>
        <v>15831074-0</v>
      </c>
    </row>
    <row r="688" spans="2:9" ht="15" customHeight="1" x14ac:dyDescent="0.3">
      <c r="B688" s="17">
        <f>IF('Marcación Workera'!G688="","",INT('Marcación Workera'!G688))</f>
        <v>46257</v>
      </c>
      <c r="C688" s="18" t="str">
        <f>IF('Marcación Workera'!B688="","",UPPER(SUBSTITUTE('Marcación Workera'!B688,".","")))</f>
        <v>14043656-9</v>
      </c>
    </row>
    <row r="689" spans="2:3" ht="15" customHeight="1" x14ac:dyDescent="0.3">
      <c r="B689" s="17">
        <f>IF('Marcación Workera'!G689="","",INT('Marcación Workera'!G689))</f>
        <v>46257</v>
      </c>
      <c r="C689" s="18" t="str">
        <f>IF('Marcación Workera'!B689="","",UPPER(SUBSTITUTE('Marcación Workera'!B689,".","")))</f>
        <v>14615536-7</v>
      </c>
    </row>
    <row r="690" spans="2:3" ht="15" customHeight="1" x14ac:dyDescent="0.3">
      <c r="B690" s="17">
        <f>IF('Marcación Workera'!G690="","",INT('Marcación Workera'!G690))</f>
        <v>46257</v>
      </c>
      <c r="C690" s="18" t="str">
        <f>IF('Marcación Workera'!B690="","",UPPER(SUBSTITUTE('Marcación Workera'!B690,".","")))</f>
        <v>11508866-1</v>
      </c>
    </row>
    <row r="691" spans="2:3" ht="15" customHeight="1" x14ac:dyDescent="0.3">
      <c r="B691" s="17">
        <f>IF('Marcación Workera'!G691="","",INT('Marcación Workera'!G691))</f>
        <v>46257</v>
      </c>
      <c r="C691" s="18" t="str">
        <f>IF('Marcación Workera'!B691="","",UPPER(SUBSTITUTE('Marcación Workera'!B691,".","")))</f>
        <v>17643998-K</v>
      </c>
    </row>
    <row r="692" spans="2:3" ht="15" customHeight="1" x14ac:dyDescent="0.3">
      <c r="B692" s="17">
        <f>IF('Marcación Workera'!G692="","",INT('Marcación Workera'!G692))</f>
        <v>46257</v>
      </c>
      <c r="C692" s="18" t="str">
        <f>IF('Marcación Workera'!B692="","",UPPER(SUBSTITUTE('Marcación Workera'!B692,".","")))</f>
        <v>21254681-K</v>
      </c>
    </row>
    <row r="693" spans="2:3" ht="15" customHeight="1" x14ac:dyDescent="0.3">
      <c r="B693" s="17">
        <f>IF('Marcación Workera'!G693="","",INT('Marcación Workera'!G693))</f>
        <v>46257</v>
      </c>
      <c r="C693" s="18" t="str">
        <f>IF('Marcación Workera'!B693="","",UPPER(SUBSTITUTE('Marcación Workera'!B693,".","")))</f>
        <v>16188552-5</v>
      </c>
    </row>
    <row r="694" spans="2:3" ht="15" customHeight="1" x14ac:dyDescent="0.3">
      <c r="B694" s="17">
        <f>IF('Marcación Workera'!G694="","",INT('Marcación Workera'!G694))</f>
        <v>46257</v>
      </c>
      <c r="C694" s="18" t="str">
        <f>IF('Marcación Workera'!B694="","",UPPER(SUBSTITUTE('Marcación Workera'!B694,".","")))</f>
        <v>16706064-1</v>
      </c>
    </row>
    <row r="695" spans="2:3" ht="15" customHeight="1" x14ac:dyDescent="0.3">
      <c r="B695" s="17">
        <f>IF('Marcación Workera'!G695="","",INT('Marcación Workera'!G695))</f>
        <v>46257</v>
      </c>
      <c r="C695" s="18" t="str">
        <f>IF('Marcación Workera'!B695="","",UPPER(SUBSTITUTE('Marcación Workera'!B695,".","")))</f>
        <v>16706064-1</v>
      </c>
    </row>
    <row r="696" spans="2:3" ht="15" customHeight="1" x14ac:dyDescent="0.3">
      <c r="B696" s="17">
        <f>IF('Marcación Workera'!G696="","",INT('Marcación Workera'!G696))</f>
        <v>46257</v>
      </c>
      <c r="C696" s="18" t="str">
        <f>IF('Marcación Workera'!B696="","",UPPER(SUBSTITUTE('Marcación Workera'!B696,".","")))</f>
        <v>19507111-K</v>
      </c>
    </row>
    <row r="697" spans="2:3" ht="15" customHeight="1" x14ac:dyDescent="0.3">
      <c r="B697" s="17">
        <f>IF('Marcación Workera'!G697="","",INT('Marcación Workera'!G697))</f>
        <v>46257</v>
      </c>
      <c r="C697" s="18" t="str">
        <f>IF('Marcación Workera'!B697="","",UPPER(SUBSTITUTE('Marcación Workera'!B697,".","")))</f>
        <v>16053497-4</v>
      </c>
    </row>
    <row r="698" spans="2:3" ht="15" customHeight="1" x14ac:dyDescent="0.3">
      <c r="B698" s="17">
        <f>IF('Marcación Workera'!G698="","",INT('Marcación Workera'!G698))</f>
        <v>46257</v>
      </c>
      <c r="C698" s="18" t="str">
        <f>IF('Marcación Workera'!B698="","",UPPER(SUBSTITUTE('Marcación Workera'!B698,".","")))</f>
        <v>17805184-9</v>
      </c>
    </row>
    <row r="699" spans="2:3" ht="15" customHeight="1" x14ac:dyDescent="0.3">
      <c r="B699" s="17">
        <f>IF('Marcación Workera'!G699="","",INT('Marcación Workera'!G699))</f>
        <v>46257</v>
      </c>
      <c r="C699" s="18" t="str">
        <f>IF('Marcación Workera'!B699="","",UPPER(SUBSTITUTE('Marcación Workera'!B699,".","")))</f>
        <v>23868099-9</v>
      </c>
    </row>
    <row r="700" spans="2:3" ht="15" customHeight="1" x14ac:dyDescent="0.3">
      <c r="B700" s="17">
        <f>IF('Marcación Workera'!G700="","",INT('Marcación Workera'!G700))</f>
        <v>46257</v>
      </c>
      <c r="C700" s="18" t="str">
        <f>IF('Marcación Workera'!B700="","",UPPER(SUBSTITUTE('Marcación Workera'!B700,".","")))</f>
        <v>17628970-8</v>
      </c>
    </row>
    <row r="701" spans="2:3" ht="15" customHeight="1" x14ac:dyDescent="0.3">
      <c r="B701" s="17">
        <f>IF('Marcación Workera'!G701="","",INT('Marcación Workera'!G701))</f>
        <v>46257</v>
      </c>
      <c r="C701" s="18" t="str">
        <f>IF('Marcación Workera'!B701="","",UPPER(SUBSTITUTE('Marcación Workera'!B701,".","")))</f>
        <v>19949787-1</v>
      </c>
    </row>
    <row r="702" spans="2:3" ht="15" customHeight="1" x14ac:dyDescent="0.3">
      <c r="B702" s="17">
        <f>IF('Marcación Workera'!G702="","",INT('Marcación Workera'!G702))</f>
        <v>46257</v>
      </c>
      <c r="C702" s="18" t="str">
        <f>IF('Marcación Workera'!B702="","",UPPER(SUBSTITUTE('Marcación Workera'!B702,".","")))</f>
        <v>12814487-0</v>
      </c>
    </row>
    <row r="703" spans="2:3" ht="15" customHeight="1" x14ac:dyDescent="0.3">
      <c r="B703" s="17">
        <f>IF('Marcación Workera'!G703="","",INT('Marcación Workera'!G703))</f>
        <v>46257</v>
      </c>
      <c r="C703" s="18" t="str">
        <f>IF('Marcación Workera'!B703="","",UPPER(SUBSTITUTE('Marcación Workera'!B703,".","")))</f>
        <v>20718093-9</v>
      </c>
    </row>
    <row r="704" spans="2:3" ht="15" customHeight="1" x14ac:dyDescent="0.3">
      <c r="B704" s="17">
        <f>IF('Marcación Workera'!G704="","",INT('Marcación Workera'!G704))</f>
        <v>46257</v>
      </c>
      <c r="C704" s="18" t="str">
        <f>IF('Marcación Workera'!B704="","",UPPER(SUBSTITUTE('Marcación Workera'!B704,".","")))</f>
        <v>15814058-6</v>
      </c>
    </row>
    <row r="705" spans="2:3" ht="15" customHeight="1" x14ac:dyDescent="0.3">
      <c r="B705" s="17">
        <f>IF('Marcación Workera'!G705="","",INT('Marcación Workera'!G705))</f>
        <v>46257</v>
      </c>
      <c r="C705" s="18" t="str">
        <f>IF('Marcación Workera'!B705="","",UPPER(SUBSTITUTE('Marcación Workera'!B705,".","")))</f>
        <v>14594999-8</v>
      </c>
    </row>
    <row r="706" spans="2:3" ht="15" customHeight="1" x14ac:dyDescent="0.3">
      <c r="B706" s="17">
        <f>IF('Marcación Workera'!G706="","",INT('Marcación Workera'!G706))</f>
        <v>46256</v>
      </c>
      <c r="C706" s="18" t="str">
        <f>IF('Marcación Workera'!B706="","",UPPER(SUBSTITUTE('Marcación Workera'!B706,".","")))</f>
        <v>17626968-5</v>
      </c>
    </row>
    <row r="707" spans="2:3" ht="15" customHeight="1" x14ac:dyDescent="0.3">
      <c r="B707" s="17">
        <f>IF('Marcación Workera'!G707="","",INT('Marcación Workera'!G707))</f>
        <v>46256</v>
      </c>
      <c r="C707" s="18" t="str">
        <f>IF('Marcación Workera'!B707="","",UPPER(SUBSTITUTE('Marcación Workera'!B707,".","")))</f>
        <v>11508866-1</v>
      </c>
    </row>
    <row r="708" spans="2:3" ht="15" customHeight="1" x14ac:dyDescent="0.3">
      <c r="B708" s="17">
        <f>IF('Marcación Workera'!G708="","",INT('Marcación Workera'!G708))</f>
        <v>46256</v>
      </c>
      <c r="C708" s="18" t="str">
        <f>IF('Marcación Workera'!B708="","",UPPER(SUBSTITUTE('Marcación Workera'!B708,".","")))</f>
        <v>17643998-K</v>
      </c>
    </row>
    <row r="709" spans="2:3" ht="15" customHeight="1" x14ac:dyDescent="0.3">
      <c r="B709" s="17">
        <f>IF('Marcación Workera'!G709="","",INT('Marcación Workera'!G709))</f>
        <v>46256</v>
      </c>
      <c r="C709" s="18" t="str">
        <f>IF('Marcación Workera'!B709="","",UPPER(SUBSTITUTE('Marcación Workera'!B709,".","")))</f>
        <v>14615536-7</v>
      </c>
    </row>
    <row r="710" spans="2:3" ht="15" customHeight="1" x14ac:dyDescent="0.3">
      <c r="B710" s="17">
        <f>IF('Marcación Workera'!G710="","",INT('Marcación Workera'!G710))</f>
        <v>46256</v>
      </c>
      <c r="C710" s="18" t="str">
        <f>IF('Marcación Workera'!B710="","",UPPER(SUBSTITUTE('Marcación Workera'!B710,".","")))</f>
        <v>12814487-0</v>
      </c>
    </row>
    <row r="711" spans="2:3" ht="15" customHeight="1" x14ac:dyDescent="0.3">
      <c r="B711" s="17">
        <f>IF('Marcación Workera'!G711="","",INT('Marcación Workera'!G711))</f>
        <v>46256</v>
      </c>
      <c r="C711" s="18" t="str">
        <f>IF('Marcación Workera'!B711="","",UPPER(SUBSTITUTE('Marcación Workera'!B711,".","")))</f>
        <v>16706064-1</v>
      </c>
    </row>
    <row r="712" spans="2:3" ht="15" customHeight="1" x14ac:dyDescent="0.3">
      <c r="B712" s="17">
        <f>IF('Marcación Workera'!G712="","",INT('Marcación Workera'!G712))</f>
        <v>46256</v>
      </c>
      <c r="C712" s="18" t="str">
        <f>IF('Marcación Workera'!B712="","",UPPER(SUBSTITUTE('Marcación Workera'!B712,".","")))</f>
        <v>14043656-9</v>
      </c>
    </row>
    <row r="713" spans="2:3" ht="15" customHeight="1" x14ac:dyDescent="0.3">
      <c r="B713" s="17">
        <f>IF('Marcación Workera'!G713="","",INT('Marcación Workera'!G713))</f>
        <v>46256</v>
      </c>
      <c r="C713" s="18" t="str">
        <f>IF('Marcación Workera'!B713="","",UPPER(SUBSTITUTE('Marcación Workera'!B713,".","")))</f>
        <v>15814058-6</v>
      </c>
    </row>
    <row r="714" spans="2:3" ht="15" customHeight="1" x14ac:dyDescent="0.3">
      <c r="B714" s="17">
        <f>IF('Marcación Workera'!G714="","",INT('Marcación Workera'!G714))</f>
        <v>46256</v>
      </c>
      <c r="C714" s="18" t="str">
        <f>IF('Marcación Workera'!B714="","",UPPER(SUBSTITUTE('Marcación Workera'!B714,".","")))</f>
        <v>17628970-8</v>
      </c>
    </row>
    <row r="715" spans="2:3" ht="15" customHeight="1" x14ac:dyDescent="0.3">
      <c r="B715" s="17">
        <f>IF('Marcación Workera'!G715="","",INT('Marcación Workera'!G715))</f>
        <v>46256</v>
      </c>
      <c r="C715" s="18" t="str">
        <f>IF('Marcación Workera'!B715="","",UPPER(SUBSTITUTE('Marcación Workera'!B715,".","")))</f>
        <v>19507111-K</v>
      </c>
    </row>
    <row r="716" spans="2:3" ht="15" customHeight="1" x14ac:dyDescent="0.3">
      <c r="B716" s="17">
        <f>IF('Marcación Workera'!G716="","",INT('Marcación Workera'!G716))</f>
        <v>46256</v>
      </c>
      <c r="C716" s="18" t="str">
        <f>IF('Marcación Workera'!B716="","",UPPER(SUBSTITUTE('Marcación Workera'!B716,".","")))</f>
        <v>16053497-4</v>
      </c>
    </row>
    <row r="717" spans="2:3" ht="15" customHeight="1" x14ac:dyDescent="0.3">
      <c r="B717" s="17">
        <f>IF('Marcación Workera'!G717="","",INT('Marcación Workera'!G717))</f>
        <v>46256</v>
      </c>
      <c r="C717" s="18" t="str">
        <f>IF('Marcación Workera'!B717="","",UPPER(SUBSTITUTE('Marcación Workera'!B717,".","")))</f>
        <v>20718093-9</v>
      </c>
    </row>
    <row r="718" spans="2:3" ht="15" customHeight="1" x14ac:dyDescent="0.3">
      <c r="B718" s="17">
        <f>IF('Marcación Workera'!G718="","",INT('Marcación Workera'!G718))</f>
        <v>46256</v>
      </c>
      <c r="C718" s="18" t="str">
        <f>IF('Marcación Workera'!B718="","",UPPER(SUBSTITUTE('Marcación Workera'!B718,".","")))</f>
        <v>15831074-0</v>
      </c>
    </row>
    <row r="719" spans="2:3" ht="15" customHeight="1" x14ac:dyDescent="0.3">
      <c r="B719" s="17">
        <f>IF('Marcación Workera'!G719="","",INT('Marcación Workera'!G719))</f>
        <v>46256</v>
      </c>
      <c r="C719" s="18" t="str">
        <f>IF('Marcación Workera'!B719="","",UPPER(SUBSTITUTE('Marcación Workera'!B719,".","")))</f>
        <v>19949787-1</v>
      </c>
    </row>
    <row r="720" spans="2:3" ht="15" customHeight="1" x14ac:dyDescent="0.3">
      <c r="B720" s="17">
        <f>IF('Marcación Workera'!G720="","",INT('Marcación Workera'!G720))</f>
        <v>46256</v>
      </c>
      <c r="C720" s="18" t="str">
        <f>IF('Marcación Workera'!B720="","",UPPER(SUBSTITUTE('Marcación Workera'!B720,".","")))</f>
        <v>18889617-0</v>
      </c>
    </row>
    <row r="721" spans="2:3" ht="15" customHeight="1" x14ac:dyDescent="0.3">
      <c r="B721" s="17">
        <f>IF('Marcación Workera'!G721="","",INT('Marcación Workera'!G721))</f>
        <v>46256</v>
      </c>
      <c r="C721" s="18" t="str">
        <f>IF('Marcación Workera'!B721="","",UPPER(SUBSTITUTE('Marcación Workera'!B721,".","")))</f>
        <v>23868099-9</v>
      </c>
    </row>
    <row r="722" spans="2:3" ht="15" customHeight="1" x14ac:dyDescent="0.3">
      <c r="B722" s="17">
        <f>IF('Marcación Workera'!G722="","",INT('Marcación Workera'!G722))</f>
        <v>46256</v>
      </c>
      <c r="C722" s="18" t="str">
        <f>IF('Marcación Workera'!B722="","",UPPER(SUBSTITUTE('Marcación Workera'!B722,".","")))</f>
        <v>16706064-1</v>
      </c>
    </row>
    <row r="723" spans="2:3" ht="15" customHeight="1" x14ac:dyDescent="0.3">
      <c r="B723" s="17">
        <f>IF('Marcación Workera'!G723="","",INT('Marcación Workera'!G723))</f>
        <v>46256</v>
      </c>
      <c r="C723" s="18" t="str">
        <f>IF('Marcación Workera'!B723="","",UPPER(SUBSTITUTE('Marcación Workera'!B723,".","")))</f>
        <v>17805184-9</v>
      </c>
    </row>
    <row r="724" spans="2:3" ht="15" customHeight="1" x14ac:dyDescent="0.3">
      <c r="B724" s="17">
        <f>IF('Marcación Workera'!G724="","",INT('Marcación Workera'!G724))</f>
        <v>46256</v>
      </c>
      <c r="C724" s="18" t="str">
        <f>IF('Marcación Workera'!B724="","",UPPER(SUBSTITUTE('Marcación Workera'!B724,".","")))</f>
        <v>21254681-K</v>
      </c>
    </row>
    <row r="725" spans="2:3" ht="15" customHeight="1" x14ac:dyDescent="0.3">
      <c r="B725" s="17">
        <f>IF('Marcación Workera'!G725="","",INT('Marcación Workera'!G725))</f>
        <v>46256</v>
      </c>
      <c r="C725" s="18" t="str">
        <f>IF('Marcación Workera'!B725="","",UPPER(SUBSTITUTE('Marcación Workera'!B725,".","")))</f>
        <v>19507111-K</v>
      </c>
    </row>
    <row r="726" spans="2:3" ht="15" customHeight="1" x14ac:dyDescent="0.3">
      <c r="B726" s="17">
        <f>IF('Marcación Workera'!G726="","",INT('Marcación Workera'!G726))</f>
        <v>46256</v>
      </c>
      <c r="C726" s="18" t="str">
        <f>IF('Marcación Workera'!B726="","",UPPER(SUBSTITUTE('Marcación Workera'!B726,".","")))</f>
        <v>13412582-9</v>
      </c>
    </row>
    <row r="727" spans="2:3" ht="15" customHeight="1" x14ac:dyDescent="0.3">
      <c r="B727" s="17">
        <f>IF('Marcación Workera'!G727="","",INT('Marcación Workera'!G727))</f>
        <v>46256</v>
      </c>
      <c r="C727" s="18" t="str">
        <f>IF('Marcación Workera'!B727="","",UPPER(SUBSTITUTE('Marcación Workera'!B727,".","")))</f>
        <v>17805184-9</v>
      </c>
    </row>
    <row r="728" spans="2:3" ht="15" customHeight="1" x14ac:dyDescent="0.3">
      <c r="B728" s="17">
        <f>IF('Marcación Workera'!G728="","",INT('Marcación Workera'!G728))</f>
        <v>46256</v>
      </c>
      <c r="C728" s="18" t="str">
        <f>IF('Marcación Workera'!B728="","",UPPER(SUBSTITUTE('Marcación Workera'!B728,".","")))</f>
        <v>14594999-8</v>
      </c>
    </row>
    <row r="729" spans="2:3" ht="15" customHeight="1" x14ac:dyDescent="0.3">
      <c r="B729" s="17">
        <f>IF('Marcación Workera'!G729="","",INT('Marcación Workera'!G729))</f>
        <v>46256</v>
      </c>
      <c r="C729" s="18" t="str">
        <f>IF('Marcación Workera'!B729="","",UPPER(SUBSTITUTE('Marcación Workera'!B729,".","")))</f>
        <v>16188552-5</v>
      </c>
    </row>
    <row r="730" spans="2:3" ht="15" customHeight="1" x14ac:dyDescent="0.3">
      <c r="B730" s="17">
        <f>IF('Marcación Workera'!G730="","",INT('Marcación Workera'!G730))</f>
        <v>46256</v>
      </c>
      <c r="C730" s="18" t="str">
        <f>IF('Marcación Workera'!B730="","",UPPER(SUBSTITUTE('Marcación Workera'!B730,".","")))</f>
        <v>14043656-9</v>
      </c>
    </row>
    <row r="731" spans="2:3" ht="15" customHeight="1" x14ac:dyDescent="0.3">
      <c r="B731" s="17">
        <f>IF('Marcación Workera'!G731="","",INT('Marcación Workera'!G731))</f>
        <v>46256</v>
      </c>
      <c r="C731" s="18" t="str">
        <f>IF('Marcación Workera'!B731="","",UPPER(SUBSTITUTE('Marcación Workera'!B731,".","")))</f>
        <v>18889617-0</v>
      </c>
    </row>
    <row r="732" spans="2:3" ht="15" customHeight="1" x14ac:dyDescent="0.3">
      <c r="B732" s="17">
        <f>IF('Marcación Workera'!G732="","",INT('Marcación Workera'!G732))</f>
        <v>46256</v>
      </c>
      <c r="C732" s="18" t="str">
        <f>IF('Marcación Workera'!B732="","",UPPER(SUBSTITUTE('Marcación Workera'!B732,".","")))</f>
        <v>15831074-0</v>
      </c>
    </row>
    <row r="733" spans="2:3" ht="15" customHeight="1" x14ac:dyDescent="0.3">
      <c r="B733" s="17">
        <f>IF('Marcación Workera'!G733="","",INT('Marcación Workera'!G733))</f>
        <v>46256</v>
      </c>
      <c r="C733" s="18" t="str">
        <f>IF('Marcación Workera'!B733="","",UPPER(SUBSTITUTE('Marcación Workera'!B733,".","")))</f>
        <v>17626968-5</v>
      </c>
    </row>
    <row r="734" spans="2:3" ht="15" customHeight="1" x14ac:dyDescent="0.3">
      <c r="B734" s="17">
        <f>IF('Marcación Workera'!G734="","",INT('Marcación Workera'!G734))</f>
        <v>46256</v>
      </c>
      <c r="C734" s="18" t="str">
        <f>IF('Marcación Workera'!B734="","",UPPER(SUBSTITUTE('Marcación Workera'!B734,".","")))</f>
        <v>14615536-7</v>
      </c>
    </row>
    <row r="735" spans="2:3" ht="15" customHeight="1" x14ac:dyDescent="0.3">
      <c r="B735" s="17">
        <f>IF('Marcación Workera'!G735="","",INT('Marcación Workera'!G735))</f>
        <v>46256</v>
      </c>
      <c r="C735" s="18" t="str">
        <f>IF('Marcación Workera'!B735="","",UPPER(SUBSTITUTE('Marcación Workera'!B735,".","")))</f>
        <v>12814487-0</v>
      </c>
    </row>
    <row r="736" spans="2:3" ht="15" customHeight="1" x14ac:dyDescent="0.3">
      <c r="B736" s="17">
        <f>IF('Marcación Workera'!G736="","",INT('Marcación Workera'!G736))</f>
        <v>46256</v>
      </c>
      <c r="C736" s="18" t="str">
        <f>IF('Marcación Workera'!B736="","",UPPER(SUBSTITUTE('Marcación Workera'!B736,".","")))</f>
        <v>16053497-4</v>
      </c>
    </row>
    <row r="737" spans="2:3" ht="15" customHeight="1" x14ac:dyDescent="0.3">
      <c r="B737" s="17">
        <f>IF('Marcación Workera'!G737="","",INT('Marcación Workera'!G737))</f>
        <v>46256</v>
      </c>
      <c r="C737" s="18" t="str">
        <f>IF('Marcación Workera'!B737="","",UPPER(SUBSTITUTE('Marcación Workera'!B737,".","")))</f>
        <v>20718093-9</v>
      </c>
    </row>
    <row r="738" spans="2:3" ht="15" customHeight="1" x14ac:dyDescent="0.3">
      <c r="B738" s="17">
        <f>IF('Marcación Workera'!G738="","",INT('Marcación Workera'!G738))</f>
        <v>46256</v>
      </c>
      <c r="C738" s="18" t="str">
        <f>IF('Marcación Workera'!B738="","",UPPER(SUBSTITUTE('Marcación Workera'!B738,".","")))</f>
        <v>19949787-1</v>
      </c>
    </row>
    <row r="739" spans="2:3" ht="15" customHeight="1" x14ac:dyDescent="0.3">
      <c r="B739" s="17">
        <f>IF('Marcación Workera'!G739="","",INT('Marcación Workera'!G739))</f>
        <v>46256</v>
      </c>
      <c r="C739" s="18" t="str">
        <f>IF('Marcación Workera'!B739="","",UPPER(SUBSTITUTE('Marcación Workera'!B739,".","")))</f>
        <v>13412582-9</v>
      </c>
    </row>
    <row r="740" spans="2:3" ht="15" customHeight="1" x14ac:dyDescent="0.3">
      <c r="B740" s="17">
        <f>IF('Marcación Workera'!G740="","",INT('Marcación Workera'!G740))</f>
        <v>46256</v>
      </c>
      <c r="C740" s="18" t="str">
        <f>IF('Marcación Workera'!B740="","",UPPER(SUBSTITUTE('Marcación Workera'!B740,".","")))</f>
        <v>21254681-K</v>
      </c>
    </row>
    <row r="741" spans="2:3" ht="15" customHeight="1" x14ac:dyDescent="0.3">
      <c r="B741" s="17">
        <f>IF('Marcación Workera'!G741="","",INT('Marcación Workera'!G741))</f>
        <v>46256</v>
      </c>
      <c r="C741" s="18" t="str">
        <f>IF('Marcación Workera'!B741="","",UPPER(SUBSTITUTE('Marcación Workera'!B741,".","")))</f>
        <v>17628970-8</v>
      </c>
    </row>
    <row r="742" spans="2:3" ht="15" customHeight="1" x14ac:dyDescent="0.3">
      <c r="B742" s="17">
        <f>IF('Marcación Workera'!G742="","",INT('Marcación Workera'!G742))</f>
        <v>46256</v>
      </c>
      <c r="C742" s="18" t="str">
        <f>IF('Marcación Workera'!B742="","",UPPER(SUBSTITUTE('Marcación Workera'!B742,".","")))</f>
        <v>17643998-K</v>
      </c>
    </row>
    <row r="743" spans="2:3" ht="15" customHeight="1" x14ac:dyDescent="0.3">
      <c r="B743" s="17">
        <f>IF('Marcación Workera'!G743="","",INT('Marcación Workera'!G743))</f>
        <v>46256</v>
      </c>
      <c r="C743" s="18" t="str">
        <f>IF('Marcación Workera'!B743="","",UPPER(SUBSTITUTE('Marcación Workera'!B743,".","")))</f>
        <v>15814058-6</v>
      </c>
    </row>
    <row r="744" spans="2:3" ht="15" customHeight="1" x14ac:dyDescent="0.3">
      <c r="B744" s="17">
        <f>IF('Marcación Workera'!G744="","",INT('Marcación Workera'!G744))</f>
        <v>46256</v>
      </c>
      <c r="C744" s="18" t="str">
        <f>IF('Marcación Workera'!B744="","",UPPER(SUBSTITUTE('Marcación Workera'!B744,".","")))</f>
        <v>11508866-1</v>
      </c>
    </row>
    <row r="745" spans="2:3" ht="15" customHeight="1" x14ac:dyDescent="0.3">
      <c r="B745" s="17">
        <f>IF('Marcación Workera'!G745="","",INT('Marcación Workera'!G745))</f>
        <v>46256</v>
      </c>
      <c r="C745" s="18" t="str">
        <f>IF('Marcación Workera'!B745="","",UPPER(SUBSTITUTE('Marcación Workera'!B745,".","")))</f>
        <v>19507111-K</v>
      </c>
    </row>
    <row r="746" spans="2:3" ht="15" customHeight="1" x14ac:dyDescent="0.3">
      <c r="B746" s="17">
        <f>IF('Marcación Workera'!G746="","",INT('Marcación Workera'!G746))</f>
        <v>46255</v>
      </c>
      <c r="C746" s="18" t="str">
        <f>IF('Marcación Workera'!B746="","",UPPER(SUBSTITUTE('Marcación Workera'!B746,".","")))</f>
        <v>11508866-1</v>
      </c>
    </row>
    <row r="747" spans="2:3" ht="15" customHeight="1" x14ac:dyDescent="0.3">
      <c r="B747" s="17">
        <f>IF('Marcación Workera'!G747="","",INT('Marcación Workera'!G747))</f>
        <v>46255</v>
      </c>
      <c r="C747" s="18" t="str">
        <f>IF('Marcación Workera'!B747="","",UPPER(SUBSTITUTE('Marcación Workera'!B747,".","")))</f>
        <v>14615536-7</v>
      </c>
    </row>
    <row r="748" spans="2:3" ht="15" customHeight="1" x14ac:dyDescent="0.3">
      <c r="B748" s="17">
        <f>IF('Marcación Workera'!G748="","",INT('Marcación Workera'!G748))</f>
        <v>46255</v>
      </c>
      <c r="C748" s="18" t="str">
        <f>IF('Marcación Workera'!B748="","",UPPER(SUBSTITUTE('Marcación Workera'!B748,".","")))</f>
        <v>17643998-K</v>
      </c>
    </row>
    <row r="749" spans="2:3" ht="15" customHeight="1" x14ac:dyDescent="0.3">
      <c r="B749" s="17">
        <f>IF('Marcación Workera'!G749="","",INT('Marcación Workera'!G749))</f>
        <v>46255</v>
      </c>
      <c r="C749" s="18" t="str">
        <f>IF('Marcación Workera'!B749="","",UPPER(SUBSTITUTE('Marcación Workera'!B749,".","")))</f>
        <v>12814487-0</v>
      </c>
    </row>
    <row r="750" spans="2:3" ht="15" customHeight="1" x14ac:dyDescent="0.3">
      <c r="B750" s="17">
        <f>IF('Marcación Workera'!G750="","",INT('Marcación Workera'!G750))</f>
        <v>46255</v>
      </c>
      <c r="C750" s="18" t="str">
        <f>IF('Marcación Workera'!B750="","",UPPER(SUBSTITUTE('Marcación Workera'!B750,".","")))</f>
        <v>16188552-5</v>
      </c>
    </row>
    <row r="751" spans="2:3" ht="15" customHeight="1" x14ac:dyDescent="0.3">
      <c r="B751" s="17">
        <f>IF('Marcación Workera'!G751="","",INT('Marcación Workera'!G751))</f>
        <v>46255</v>
      </c>
      <c r="C751" s="18" t="str">
        <f>IF('Marcación Workera'!B751="","",UPPER(SUBSTITUTE('Marcación Workera'!B751,".","")))</f>
        <v>14594999-8</v>
      </c>
    </row>
    <row r="752" spans="2:3" ht="15" customHeight="1" x14ac:dyDescent="0.3">
      <c r="B752" s="17">
        <f>IF('Marcación Workera'!G752="","",INT('Marcación Workera'!G752))</f>
        <v>46255</v>
      </c>
      <c r="C752" s="18" t="str">
        <f>IF('Marcación Workera'!B752="","",UPPER(SUBSTITUTE('Marcación Workera'!B752,".","")))</f>
        <v>16053497-4</v>
      </c>
    </row>
    <row r="753" spans="2:3" ht="15" customHeight="1" x14ac:dyDescent="0.3">
      <c r="B753" s="17">
        <f>IF('Marcación Workera'!G753="","",INT('Marcación Workera'!G753))</f>
        <v>46255</v>
      </c>
      <c r="C753" s="18" t="str">
        <f>IF('Marcación Workera'!B753="","",UPPER(SUBSTITUTE('Marcación Workera'!B753,".","")))</f>
        <v>16706064-1</v>
      </c>
    </row>
    <row r="754" spans="2:3" ht="15" customHeight="1" x14ac:dyDescent="0.3">
      <c r="B754" s="17">
        <f>IF('Marcación Workera'!G754="","",INT('Marcación Workera'!G754))</f>
        <v>46255</v>
      </c>
      <c r="C754" s="18" t="str">
        <f>IF('Marcación Workera'!B754="","",UPPER(SUBSTITUTE('Marcación Workera'!B754,".","")))</f>
        <v>17628970-8</v>
      </c>
    </row>
    <row r="755" spans="2:3" ht="15" customHeight="1" x14ac:dyDescent="0.3">
      <c r="B755" s="17">
        <f>IF('Marcación Workera'!G755="","",INT('Marcación Workera'!G755))</f>
        <v>46255</v>
      </c>
      <c r="C755" s="18" t="str">
        <f>IF('Marcación Workera'!B755="","",UPPER(SUBSTITUTE('Marcación Workera'!B755,".","")))</f>
        <v>15814058-6</v>
      </c>
    </row>
    <row r="756" spans="2:3" ht="15" customHeight="1" x14ac:dyDescent="0.3">
      <c r="B756" s="17">
        <f>IF('Marcación Workera'!G756="","",INT('Marcación Workera'!G756))</f>
        <v>46255</v>
      </c>
      <c r="C756" s="18" t="str">
        <f>IF('Marcación Workera'!B756="","",UPPER(SUBSTITUTE('Marcación Workera'!B756,".","")))</f>
        <v>19949787-1</v>
      </c>
    </row>
    <row r="757" spans="2:3" ht="15" customHeight="1" x14ac:dyDescent="0.3">
      <c r="B757" s="17">
        <f>IF('Marcación Workera'!G757="","",INT('Marcación Workera'!G757))</f>
        <v>46255</v>
      </c>
      <c r="C757" s="18" t="str">
        <f>IF('Marcación Workera'!B757="","",UPPER(SUBSTITUTE('Marcación Workera'!B757,".","")))</f>
        <v>20718093-9</v>
      </c>
    </row>
    <row r="758" spans="2:3" ht="15" customHeight="1" x14ac:dyDescent="0.3">
      <c r="B758" s="17">
        <f>IF('Marcación Workera'!G758="","",INT('Marcación Workera'!G758))</f>
        <v>46255</v>
      </c>
      <c r="C758" s="18" t="str">
        <f>IF('Marcación Workera'!B758="","",UPPER(SUBSTITUTE('Marcación Workera'!B758,".","")))</f>
        <v>15831074-0</v>
      </c>
    </row>
    <row r="759" spans="2:3" ht="15" customHeight="1" x14ac:dyDescent="0.3">
      <c r="B759" s="17">
        <f>IF('Marcación Workera'!G759="","",INT('Marcación Workera'!G759))</f>
        <v>46255</v>
      </c>
      <c r="C759" s="18" t="str">
        <f>IF('Marcación Workera'!B759="","",UPPER(SUBSTITUTE('Marcación Workera'!B759,".","")))</f>
        <v>14043656-9</v>
      </c>
    </row>
    <row r="760" spans="2:3" ht="15" customHeight="1" x14ac:dyDescent="0.3">
      <c r="B760" s="17">
        <f>IF('Marcación Workera'!G760="","",INT('Marcación Workera'!G760))</f>
        <v>46255</v>
      </c>
      <c r="C760" s="18" t="str">
        <f>IF('Marcación Workera'!B760="","",UPPER(SUBSTITUTE('Marcación Workera'!B760,".","")))</f>
        <v>17626968-5</v>
      </c>
    </row>
    <row r="761" spans="2:3" ht="15" customHeight="1" x14ac:dyDescent="0.3">
      <c r="B761" s="17">
        <f>IF('Marcación Workera'!G761="","",INT('Marcación Workera'!G761))</f>
        <v>46255</v>
      </c>
      <c r="C761" s="18" t="str">
        <f>IF('Marcación Workera'!B761="","",UPPER(SUBSTITUTE('Marcación Workera'!B761,".","")))</f>
        <v>18889617-0</v>
      </c>
    </row>
    <row r="762" spans="2:3" ht="15" customHeight="1" x14ac:dyDescent="0.3">
      <c r="B762" s="17">
        <f>IF('Marcación Workera'!G762="","",INT('Marcación Workera'!G762))</f>
        <v>46255</v>
      </c>
      <c r="C762" s="18" t="str">
        <f>IF('Marcación Workera'!B762="","",UPPER(SUBSTITUTE('Marcación Workera'!B762,".","")))</f>
        <v>14043656-9</v>
      </c>
    </row>
    <row r="763" spans="2:3" ht="15" customHeight="1" x14ac:dyDescent="0.3">
      <c r="B763" s="17">
        <f>IF('Marcación Workera'!G763="","",INT('Marcación Workera'!G763))</f>
        <v>46255</v>
      </c>
      <c r="C763" s="18" t="str">
        <f>IF('Marcación Workera'!B763="","",UPPER(SUBSTITUTE('Marcación Workera'!B763,".","")))</f>
        <v>17805184-9</v>
      </c>
    </row>
    <row r="764" spans="2:3" ht="15" customHeight="1" x14ac:dyDescent="0.3">
      <c r="B764" s="17">
        <f>IF('Marcación Workera'!G764="","",INT('Marcación Workera'!G764))</f>
        <v>46255</v>
      </c>
      <c r="C764" s="18" t="str">
        <f>IF('Marcación Workera'!B764="","",UPPER(SUBSTITUTE('Marcación Workera'!B764,".","")))</f>
        <v>21254681-K</v>
      </c>
    </row>
    <row r="765" spans="2:3" ht="15" customHeight="1" x14ac:dyDescent="0.3">
      <c r="B765" s="17">
        <f>IF('Marcación Workera'!G765="","",INT('Marcación Workera'!G765))</f>
        <v>46255</v>
      </c>
      <c r="C765" s="18" t="str">
        <f>IF('Marcación Workera'!B765="","",UPPER(SUBSTITUTE('Marcación Workera'!B765,".","")))</f>
        <v>13412582-9</v>
      </c>
    </row>
    <row r="766" spans="2:3" ht="15" customHeight="1" x14ac:dyDescent="0.3">
      <c r="B766" s="17">
        <f>IF('Marcación Workera'!G766="","",INT('Marcación Workera'!G766))</f>
        <v>46255</v>
      </c>
      <c r="C766" s="18" t="str">
        <f>IF('Marcación Workera'!B766="","",UPPER(SUBSTITUTE('Marcación Workera'!B766,".","")))</f>
        <v>21254681-K</v>
      </c>
    </row>
    <row r="767" spans="2:3" ht="15" customHeight="1" x14ac:dyDescent="0.3">
      <c r="B767" s="17">
        <f>IF('Marcación Workera'!G767="","",INT('Marcación Workera'!G767))</f>
        <v>46255</v>
      </c>
      <c r="C767" s="18" t="str">
        <f>IF('Marcación Workera'!B767="","",UPPER(SUBSTITUTE('Marcación Workera'!B767,".","")))</f>
        <v>19507111-K</v>
      </c>
    </row>
    <row r="768" spans="2:3" ht="15" customHeight="1" x14ac:dyDescent="0.3">
      <c r="B768" s="17">
        <f>IF('Marcación Workera'!G768="","",INT('Marcación Workera'!G768))</f>
        <v>46255</v>
      </c>
      <c r="C768" s="18" t="str">
        <f>IF('Marcación Workera'!B768="","",UPPER(SUBSTITUTE('Marcación Workera'!B768,".","")))</f>
        <v>18889617-0</v>
      </c>
    </row>
    <row r="769" spans="2:3" ht="15" customHeight="1" x14ac:dyDescent="0.3">
      <c r="B769" s="17">
        <f>IF('Marcación Workera'!G769="","",INT('Marcación Workera'!G769))</f>
        <v>46255</v>
      </c>
      <c r="C769" s="18" t="str">
        <f>IF('Marcación Workera'!B769="","",UPPER(SUBSTITUTE('Marcación Workera'!B769,".","")))</f>
        <v>14615536-7</v>
      </c>
    </row>
    <row r="770" spans="2:3" ht="15" customHeight="1" x14ac:dyDescent="0.3">
      <c r="B770" s="17">
        <f>IF('Marcación Workera'!G770="","",INT('Marcación Workera'!G770))</f>
        <v>46255</v>
      </c>
      <c r="C770" s="18" t="str">
        <f>IF('Marcación Workera'!B770="","",UPPER(SUBSTITUTE('Marcación Workera'!B770,".","")))</f>
        <v>14615536-7</v>
      </c>
    </row>
    <row r="771" spans="2:3" ht="15" customHeight="1" x14ac:dyDescent="0.3">
      <c r="B771" s="17">
        <f>IF('Marcación Workera'!G771="","",INT('Marcación Workera'!G771))</f>
        <v>46255</v>
      </c>
      <c r="C771" s="18" t="str">
        <f>IF('Marcación Workera'!B771="","",UPPER(SUBSTITUTE('Marcación Workera'!B771,".","")))</f>
        <v>16706064-1</v>
      </c>
    </row>
    <row r="772" spans="2:3" ht="15" customHeight="1" x14ac:dyDescent="0.3">
      <c r="B772" s="17">
        <f>IF('Marcación Workera'!G772="","",INT('Marcación Workera'!G772))</f>
        <v>46255</v>
      </c>
      <c r="C772" s="18" t="str">
        <f>IF('Marcación Workera'!B772="","",UPPER(SUBSTITUTE('Marcación Workera'!B772,".","")))</f>
        <v>16706064-1</v>
      </c>
    </row>
    <row r="773" spans="2:3" ht="15" customHeight="1" x14ac:dyDescent="0.3">
      <c r="B773" s="17">
        <f>IF('Marcación Workera'!G773="","",INT('Marcación Workera'!G773))</f>
        <v>46255</v>
      </c>
      <c r="C773" s="18" t="str">
        <f>IF('Marcación Workera'!B773="","",UPPER(SUBSTITUTE('Marcación Workera'!B773,".","")))</f>
        <v>15814058-6</v>
      </c>
    </row>
    <row r="774" spans="2:3" ht="15" customHeight="1" x14ac:dyDescent="0.3">
      <c r="B774" s="17">
        <f>IF('Marcación Workera'!G774="","",INT('Marcación Workera'!G774))</f>
        <v>46255</v>
      </c>
      <c r="C774" s="18" t="str">
        <f>IF('Marcación Workera'!B774="","",UPPER(SUBSTITUTE('Marcación Workera'!B774,".","")))</f>
        <v>16706064-1</v>
      </c>
    </row>
    <row r="775" spans="2:3" ht="15" customHeight="1" x14ac:dyDescent="0.3">
      <c r="B775" s="17">
        <f>IF('Marcación Workera'!G775="","",INT('Marcación Workera'!G775))</f>
        <v>46255</v>
      </c>
      <c r="C775" s="18" t="str">
        <f>IF('Marcación Workera'!B775="","",UPPER(SUBSTITUTE('Marcación Workera'!B775,".","")))</f>
        <v>16053497-4</v>
      </c>
    </row>
    <row r="776" spans="2:3" ht="15" customHeight="1" x14ac:dyDescent="0.3">
      <c r="B776" s="17">
        <f>IF('Marcación Workera'!G776="","",INT('Marcación Workera'!G776))</f>
        <v>46255</v>
      </c>
      <c r="C776" s="18" t="str">
        <f>IF('Marcación Workera'!B776="","",UPPER(SUBSTITUTE('Marcación Workera'!B776,".","")))</f>
        <v>19949787-1</v>
      </c>
    </row>
    <row r="777" spans="2:3" ht="15" customHeight="1" x14ac:dyDescent="0.3">
      <c r="B777" s="17">
        <f>IF('Marcación Workera'!G777="","",INT('Marcación Workera'!G777))</f>
        <v>46255</v>
      </c>
      <c r="C777" s="18" t="str">
        <f>IF('Marcación Workera'!B777="","",UPPER(SUBSTITUTE('Marcación Workera'!B777,".","")))</f>
        <v>17643998-K</v>
      </c>
    </row>
    <row r="778" spans="2:3" ht="15" customHeight="1" x14ac:dyDescent="0.3">
      <c r="B778" s="17">
        <f>IF('Marcación Workera'!G778="","",INT('Marcación Workera'!G778))</f>
        <v>46255</v>
      </c>
      <c r="C778" s="18" t="str">
        <f>IF('Marcación Workera'!B778="","",UPPER(SUBSTITUTE('Marcación Workera'!B778,".","")))</f>
        <v>16188552-5</v>
      </c>
    </row>
    <row r="779" spans="2:3" ht="15" customHeight="1" x14ac:dyDescent="0.3">
      <c r="B779" s="17">
        <f>IF('Marcación Workera'!G779="","",INT('Marcación Workera'!G779))</f>
        <v>46255</v>
      </c>
      <c r="C779" s="18" t="str">
        <f>IF('Marcación Workera'!B779="","",UPPER(SUBSTITUTE('Marcación Workera'!B779,".","")))</f>
        <v>17628970-8</v>
      </c>
    </row>
    <row r="780" spans="2:3" ht="15" customHeight="1" x14ac:dyDescent="0.3">
      <c r="B780" s="17">
        <f>IF('Marcación Workera'!G780="","",INT('Marcación Workera'!G780))</f>
        <v>46255</v>
      </c>
      <c r="C780" s="18" t="str">
        <f>IF('Marcación Workera'!B780="","",UPPER(SUBSTITUTE('Marcación Workera'!B780,".","")))</f>
        <v>13412582-9</v>
      </c>
    </row>
    <row r="781" spans="2:3" ht="15" customHeight="1" x14ac:dyDescent="0.3">
      <c r="B781" s="17">
        <f>IF('Marcación Workera'!G781="","",INT('Marcación Workera'!G781))</f>
        <v>46255</v>
      </c>
      <c r="C781" s="18" t="str">
        <f>IF('Marcación Workera'!B781="","",UPPER(SUBSTITUTE('Marcación Workera'!B781,".","")))</f>
        <v>20718093-9</v>
      </c>
    </row>
    <row r="782" spans="2:3" ht="15" customHeight="1" x14ac:dyDescent="0.3">
      <c r="B782" s="17">
        <f>IF('Marcación Workera'!G782="","",INT('Marcación Workera'!G782))</f>
        <v>46255</v>
      </c>
      <c r="C782" s="18" t="str">
        <f>IF('Marcación Workera'!B782="","",UPPER(SUBSTITUTE('Marcación Workera'!B782,".","")))</f>
        <v>15831074-0</v>
      </c>
    </row>
    <row r="783" spans="2:3" ht="15" customHeight="1" x14ac:dyDescent="0.3">
      <c r="B783" s="17">
        <f>IF('Marcación Workera'!G783="","",INT('Marcación Workera'!G783))</f>
        <v>46255</v>
      </c>
      <c r="C783" s="18" t="str">
        <f>IF('Marcación Workera'!B783="","",UPPER(SUBSTITUTE('Marcación Workera'!B783,".","")))</f>
        <v>14594999-8</v>
      </c>
    </row>
    <row r="784" spans="2:3" ht="15" customHeight="1" x14ac:dyDescent="0.3">
      <c r="B784" s="17">
        <f>IF('Marcación Workera'!G784="","",INT('Marcación Workera'!G784))</f>
        <v>46255</v>
      </c>
      <c r="C784" s="18" t="str">
        <f>IF('Marcación Workera'!B784="","",UPPER(SUBSTITUTE('Marcación Workera'!B784,".","")))</f>
        <v>14594999-8</v>
      </c>
    </row>
    <row r="785" spans="2:3" ht="15" customHeight="1" x14ac:dyDescent="0.3">
      <c r="B785" s="17">
        <f>IF('Marcación Workera'!G785="","",INT('Marcación Workera'!G785))</f>
        <v>46255</v>
      </c>
      <c r="C785" s="18" t="str">
        <f>IF('Marcación Workera'!B785="","",UPPER(SUBSTITUTE('Marcación Workera'!B785,".","")))</f>
        <v>17626968-5</v>
      </c>
    </row>
    <row r="786" spans="2:3" ht="15" customHeight="1" x14ac:dyDescent="0.3">
      <c r="B786" s="17">
        <f>IF('Marcación Workera'!G786="","",INT('Marcación Workera'!G786))</f>
        <v>46255</v>
      </c>
      <c r="C786" s="18" t="str">
        <f>IF('Marcación Workera'!B786="","",UPPER(SUBSTITUTE('Marcación Workera'!B786,".","")))</f>
        <v>12814487-0</v>
      </c>
    </row>
    <row r="787" spans="2:3" ht="15" customHeight="1" x14ac:dyDescent="0.3">
      <c r="B787" s="17">
        <f>IF('Marcación Workera'!G787="","",INT('Marcación Workera'!G787))</f>
        <v>46254</v>
      </c>
      <c r="C787" s="18" t="str">
        <f>IF('Marcación Workera'!B787="","",UPPER(SUBSTITUTE('Marcación Workera'!B787,".","")))</f>
        <v>19507111-K</v>
      </c>
    </row>
    <row r="788" spans="2:3" ht="15" customHeight="1" x14ac:dyDescent="0.3">
      <c r="B788" s="17">
        <f>IF('Marcación Workera'!G788="","",INT('Marcación Workera'!G788))</f>
        <v>46254</v>
      </c>
      <c r="C788" s="18" t="str">
        <f>IF('Marcación Workera'!B788="","",UPPER(SUBSTITUTE('Marcación Workera'!B788,".","")))</f>
        <v>17643998-K</v>
      </c>
    </row>
    <row r="789" spans="2:3" ht="15" customHeight="1" x14ac:dyDescent="0.3">
      <c r="B789" s="17">
        <f>IF('Marcación Workera'!G789="","",INT('Marcación Workera'!G789))</f>
        <v>46254</v>
      </c>
      <c r="C789" s="18" t="str">
        <f>IF('Marcación Workera'!B789="","",UPPER(SUBSTITUTE('Marcación Workera'!B789,".","")))</f>
        <v>16188552-5</v>
      </c>
    </row>
    <row r="790" spans="2:3" ht="15" customHeight="1" x14ac:dyDescent="0.3">
      <c r="B790" s="17">
        <f>IF('Marcación Workera'!G790="","",INT('Marcación Workera'!G790))</f>
        <v>46254</v>
      </c>
      <c r="C790" s="18" t="str">
        <f>IF('Marcación Workera'!B790="","",UPPER(SUBSTITUTE('Marcación Workera'!B790,".","")))</f>
        <v>15593625-8</v>
      </c>
    </row>
    <row r="791" spans="2:3" ht="15" customHeight="1" x14ac:dyDescent="0.3">
      <c r="B791" s="17">
        <f>IF('Marcación Workera'!G791="","",INT('Marcación Workera'!G791))</f>
        <v>46254</v>
      </c>
      <c r="C791" s="18" t="str">
        <f>IF('Marcación Workera'!B791="","",UPPER(SUBSTITUTE('Marcación Workera'!B791,".","")))</f>
        <v>15831074-0</v>
      </c>
    </row>
    <row r="792" spans="2:3" ht="15" customHeight="1" x14ac:dyDescent="0.3">
      <c r="B792" s="17">
        <f>IF('Marcación Workera'!G792="","",INT('Marcación Workera'!G792))</f>
        <v>46254</v>
      </c>
      <c r="C792" s="18" t="str">
        <f>IF('Marcación Workera'!B792="","",UPPER(SUBSTITUTE('Marcación Workera'!B792,".","")))</f>
        <v>16053497-4</v>
      </c>
    </row>
    <row r="793" spans="2:3" ht="15" customHeight="1" x14ac:dyDescent="0.3">
      <c r="B793" s="17">
        <f>IF('Marcación Workera'!G793="","",INT('Marcación Workera'!G793))</f>
        <v>46254</v>
      </c>
      <c r="C793" s="18" t="str">
        <f>IF('Marcación Workera'!B793="","",UPPER(SUBSTITUTE('Marcación Workera'!B793,".","")))</f>
        <v>17628970-8</v>
      </c>
    </row>
    <row r="794" spans="2:3" ht="15" customHeight="1" x14ac:dyDescent="0.3">
      <c r="B794" s="17">
        <f>IF('Marcación Workera'!G794="","",INT('Marcación Workera'!G794))</f>
        <v>46254</v>
      </c>
      <c r="C794" s="18" t="str">
        <f>IF('Marcación Workera'!B794="","",UPPER(SUBSTITUTE('Marcación Workera'!B794,".","")))</f>
        <v>14615536-7</v>
      </c>
    </row>
    <row r="795" spans="2:3" ht="15" customHeight="1" x14ac:dyDescent="0.3">
      <c r="B795" s="17">
        <f>IF('Marcación Workera'!G795="","",INT('Marcación Workera'!G795))</f>
        <v>46254</v>
      </c>
      <c r="C795" s="18" t="str">
        <f>IF('Marcación Workera'!B795="","",UPPER(SUBSTITUTE('Marcación Workera'!B795,".","")))</f>
        <v>17626968-5</v>
      </c>
    </row>
    <row r="796" spans="2:3" ht="15" customHeight="1" x14ac:dyDescent="0.3">
      <c r="B796" s="17">
        <f>IF('Marcación Workera'!G796="","",INT('Marcación Workera'!G796))</f>
        <v>46254</v>
      </c>
      <c r="C796" s="18" t="str">
        <f>IF('Marcación Workera'!B796="","",UPPER(SUBSTITUTE('Marcación Workera'!B796,".","")))</f>
        <v>20718093-9</v>
      </c>
    </row>
    <row r="797" spans="2:3" ht="15" customHeight="1" x14ac:dyDescent="0.3">
      <c r="B797" s="17">
        <f>IF('Marcación Workera'!G797="","",INT('Marcación Workera'!G797))</f>
        <v>46254</v>
      </c>
      <c r="C797" s="18" t="str">
        <f>IF('Marcación Workera'!B797="","",UPPER(SUBSTITUTE('Marcación Workera'!B797,".","")))</f>
        <v>17805184-9</v>
      </c>
    </row>
    <row r="798" spans="2:3" ht="15" customHeight="1" x14ac:dyDescent="0.3">
      <c r="B798" s="17">
        <f>IF('Marcación Workera'!G798="","",INT('Marcación Workera'!G798))</f>
        <v>46254</v>
      </c>
      <c r="C798" s="18" t="str">
        <f>IF('Marcación Workera'!B798="","",UPPER(SUBSTITUTE('Marcación Workera'!B798,".","")))</f>
        <v>19949787-1</v>
      </c>
    </row>
    <row r="799" spans="2:3" ht="15" customHeight="1" x14ac:dyDescent="0.3">
      <c r="B799" s="17">
        <f>IF('Marcación Workera'!G799="","",INT('Marcación Workera'!G799))</f>
        <v>46254</v>
      </c>
      <c r="C799" s="18" t="str">
        <f>IF('Marcación Workera'!B799="","",UPPER(SUBSTITUTE('Marcación Workera'!B799,".","")))</f>
        <v>12814487-0</v>
      </c>
    </row>
    <row r="800" spans="2:3" ht="15" customHeight="1" x14ac:dyDescent="0.3">
      <c r="B800" s="17">
        <f>IF('Marcación Workera'!G800="","",INT('Marcación Workera'!G800))</f>
        <v>46254</v>
      </c>
      <c r="C800" s="18" t="str">
        <f>IF('Marcación Workera'!B800="","",UPPER(SUBSTITUTE('Marcación Workera'!B800,".","")))</f>
        <v>16706064-1</v>
      </c>
    </row>
    <row r="801" spans="2:3" ht="15" customHeight="1" x14ac:dyDescent="0.3">
      <c r="B801" s="17">
        <f>IF('Marcación Workera'!G801="","",INT('Marcación Workera'!G801))</f>
        <v>46254</v>
      </c>
      <c r="C801" s="18" t="str">
        <f>IF('Marcación Workera'!B801="","",UPPER(SUBSTITUTE('Marcación Workera'!B801,".","")))</f>
        <v>13412582-9</v>
      </c>
    </row>
    <row r="802" spans="2:3" ht="15" customHeight="1" x14ac:dyDescent="0.3">
      <c r="B802" s="17">
        <f>IF('Marcación Workera'!G802="","",INT('Marcación Workera'!G802))</f>
        <v>46254</v>
      </c>
      <c r="C802" s="18" t="str">
        <f>IF('Marcación Workera'!B802="","",UPPER(SUBSTITUTE('Marcación Workera'!B802,".","")))</f>
        <v>18889617-0</v>
      </c>
    </row>
    <row r="803" spans="2:3" ht="15" customHeight="1" x14ac:dyDescent="0.3">
      <c r="B803" s="17">
        <f>IF('Marcación Workera'!G803="","",INT('Marcación Workera'!G803))</f>
        <v>46254</v>
      </c>
      <c r="C803" s="18" t="str">
        <f>IF('Marcación Workera'!B803="","",UPPER(SUBSTITUTE('Marcación Workera'!B803,".","")))</f>
        <v>17643998-K</v>
      </c>
    </row>
    <row r="804" spans="2:3" ht="15" customHeight="1" x14ac:dyDescent="0.3">
      <c r="B804" s="17">
        <f>IF('Marcación Workera'!G804="","",INT('Marcación Workera'!G804))</f>
        <v>46254</v>
      </c>
      <c r="C804" s="18" t="str">
        <f>IF('Marcación Workera'!B804="","",UPPER(SUBSTITUTE('Marcación Workera'!B804,".","")))</f>
        <v>20718093-9</v>
      </c>
    </row>
    <row r="805" spans="2:3" ht="15" customHeight="1" x14ac:dyDescent="0.3">
      <c r="B805" s="17">
        <f>IF('Marcación Workera'!G805="","",INT('Marcación Workera'!G805))</f>
        <v>46254</v>
      </c>
      <c r="C805" s="18" t="str">
        <f>IF('Marcación Workera'!B805="","",UPPER(SUBSTITUTE('Marcación Workera'!B805,".","")))</f>
        <v>17805184-9</v>
      </c>
    </row>
    <row r="806" spans="2:3" ht="15" customHeight="1" x14ac:dyDescent="0.3">
      <c r="B806" s="17">
        <f>IF('Marcación Workera'!G806="","",INT('Marcación Workera'!G806))</f>
        <v>46254</v>
      </c>
      <c r="C806" s="18" t="str">
        <f>IF('Marcación Workera'!B806="","",UPPER(SUBSTITUTE('Marcación Workera'!B806,".","")))</f>
        <v>19507111-K</v>
      </c>
    </row>
    <row r="807" spans="2:3" ht="15" customHeight="1" x14ac:dyDescent="0.3">
      <c r="B807" s="17">
        <f>IF('Marcación Workera'!G807="","",INT('Marcación Workera'!G807))</f>
        <v>46254</v>
      </c>
      <c r="C807" s="18" t="str">
        <f>IF('Marcación Workera'!B807="","",UPPER(SUBSTITUTE('Marcación Workera'!B807,".","")))</f>
        <v>17628970-8</v>
      </c>
    </row>
    <row r="808" spans="2:3" ht="15" customHeight="1" x14ac:dyDescent="0.3">
      <c r="B808" s="17">
        <f>IF('Marcación Workera'!G808="","",INT('Marcación Workera'!G808))</f>
        <v>46254</v>
      </c>
      <c r="C808" s="18" t="str">
        <f>IF('Marcación Workera'!B808="","",UPPER(SUBSTITUTE('Marcación Workera'!B808,".","")))</f>
        <v>13412582-9</v>
      </c>
    </row>
    <row r="809" spans="2:3" ht="15" customHeight="1" x14ac:dyDescent="0.3">
      <c r="B809" s="17">
        <f>IF('Marcación Workera'!G809="","",INT('Marcación Workera'!G809))</f>
        <v>46254</v>
      </c>
      <c r="C809" s="18" t="str">
        <f>IF('Marcación Workera'!B809="","",UPPER(SUBSTITUTE('Marcación Workera'!B809,".","")))</f>
        <v>16053497-4</v>
      </c>
    </row>
    <row r="810" spans="2:3" ht="15" customHeight="1" x14ac:dyDescent="0.3">
      <c r="B810" s="17">
        <f>IF('Marcación Workera'!G810="","",INT('Marcación Workera'!G810))</f>
        <v>46254</v>
      </c>
      <c r="C810" s="18" t="str">
        <f>IF('Marcación Workera'!B810="","",UPPER(SUBSTITUTE('Marcación Workera'!B810,".","")))</f>
        <v>15593625-8</v>
      </c>
    </row>
    <row r="811" spans="2:3" ht="15" customHeight="1" x14ac:dyDescent="0.3">
      <c r="B811" s="17">
        <f>IF('Marcación Workera'!G811="","",INT('Marcación Workera'!G811))</f>
        <v>46254</v>
      </c>
      <c r="C811" s="18" t="str">
        <f>IF('Marcación Workera'!B811="","",UPPER(SUBSTITUTE('Marcación Workera'!B811,".","")))</f>
        <v>17805184-9</v>
      </c>
    </row>
    <row r="812" spans="2:3" ht="15" customHeight="1" x14ac:dyDescent="0.3">
      <c r="B812" s="17">
        <f>IF('Marcación Workera'!G812="","",INT('Marcación Workera'!G812))</f>
        <v>46253</v>
      </c>
      <c r="C812" s="18" t="str">
        <f>IF('Marcación Workera'!B812="","",UPPER(SUBSTITUTE('Marcación Workera'!B812,".","")))</f>
        <v>19507111-K</v>
      </c>
    </row>
    <row r="813" spans="2:3" ht="15" customHeight="1" x14ac:dyDescent="0.3">
      <c r="B813" s="17">
        <f>IF('Marcación Workera'!G813="","",INT('Marcación Workera'!G813))</f>
        <v>46253</v>
      </c>
      <c r="C813" s="18" t="str">
        <f>IF('Marcación Workera'!B813="","",UPPER(SUBSTITUTE('Marcación Workera'!B813,".","")))</f>
        <v>15593625-8</v>
      </c>
    </row>
    <row r="814" spans="2:3" ht="15" customHeight="1" x14ac:dyDescent="0.3">
      <c r="B814" s="17">
        <f>IF('Marcación Workera'!G814="","",INT('Marcación Workera'!G814))</f>
        <v>46253</v>
      </c>
      <c r="C814" s="18" t="str">
        <f>IF('Marcación Workera'!B814="","",UPPER(SUBSTITUTE('Marcación Workera'!B814,".","")))</f>
        <v>16053497-4</v>
      </c>
    </row>
    <row r="815" spans="2:3" ht="15" customHeight="1" x14ac:dyDescent="0.3">
      <c r="B815" s="17">
        <f>IF('Marcación Workera'!G815="","",INT('Marcación Workera'!G815))</f>
        <v>46253</v>
      </c>
      <c r="C815" s="18" t="str">
        <f>IF('Marcación Workera'!B815="","",UPPER(SUBSTITUTE('Marcación Workera'!B815,".","")))</f>
        <v>13412582-9</v>
      </c>
    </row>
    <row r="816" spans="2:3" ht="15" customHeight="1" x14ac:dyDescent="0.3">
      <c r="B816" s="17">
        <f>IF('Marcación Workera'!G816="","",INT('Marcación Workera'!G816))</f>
        <v>46253</v>
      </c>
      <c r="C816" s="18" t="str">
        <f>IF('Marcación Workera'!B816="","",UPPER(SUBSTITUTE('Marcación Workera'!B816,".","")))</f>
        <v>19507111-K</v>
      </c>
    </row>
    <row r="817" spans="2:3" ht="15" customHeight="1" x14ac:dyDescent="0.3">
      <c r="B817" s="17">
        <f>IF('Marcación Workera'!G817="","",INT('Marcación Workera'!G817))</f>
        <v>46253</v>
      </c>
      <c r="C817" s="18" t="str">
        <f>IF('Marcación Workera'!B817="","",UPPER(SUBSTITUTE('Marcación Workera'!B817,".","")))</f>
        <v>17805184-9</v>
      </c>
    </row>
    <row r="818" spans="2:3" ht="15" customHeight="1" x14ac:dyDescent="0.3">
      <c r="B818" s="17">
        <f>IF('Marcación Workera'!G818="","",INT('Marcación Workera'!G818))</f>
        <v>46253</v>
      </c>
      <c r="C818" s="18" t="str">
        <f>IF('Marcación Workera'!B818="","",UPPER(SUBSTITUTE('Marcación Workera'!B818,".","")))</f>
        <v>16053497-4</v>
      </c>
    </row>
    <row r="819" spans="2:3" ht="15" customHeight="1" x14ac:dyDescent="0.3">
      <c r="B819" s="17">
        <f>IF('Marcación Workera'!G819="","",INT('Marcación Workera'!G819))</f>
        <v>46253</v>
      </c>
      <c r="C819" s="18" t="str">
        <f>IF('Marcación Workera'!B819="","",UPPER(SUBSTITUTE('Marcación Workera'!B819,".","")))</f>
        <v>17628970-8</v>
      </c>
    </row>
    <row r="820" spans="2:3" ht="15" customHeight="1" x14ac:dyDescent="0.3">
      <c r="B820" s="17">
        <f>IF('Marcación Workera'!G820="","",INT('Marcación Workera'!G820))</f>
        <v>46253</v>
      </c>
      <c r="C820" s="18" t="str">
        <f>IF('Marcación Workera'!B820="","",UPPER(SUBSTITUTE('Marcación Workera'!B820,".","")))</f>
        <v>15593625-8</v>
      </c>
    </row>
    <row r="821" spans="2:3" ht="15" customHeight="1" x14ac:dyDescent="0.3">
      <c r="B821" s="17">
        <f>IF('Marcación Workera'!G821="","",INT('Marcación Workera'!G821))</f>
        <v>46253</v>
      </c>
      <c r="C821" s="18" t="str">
        <f>IF('Marcación Workera'!B821="","",UPPER(SUBSTITUTE('Marcación Workera'!B821,".","")))</f>
        <v>13412582-9</v>
      </c>
    </row>
    <row r="822" spans="2:3" ht="15" customHeight="1" x14ac:dyDescent="0.3">
      <c r="B822" s="17">
        <f>IF('Marcación Workera'!G822="","",INT('Marcación Workera'!G822))</f>
        <v>46253</v>
      </c>
      <c r="C822" s="18" t="str">
        <f>IF('Marcación Workera'!B822="","",UPPER(SUBSTITUTE('Marcación Workera'!B822,".","")))</f>
        <v>12152241-1</v>
      </c>
    </row>
    <row r="823" spans="2:3" ht="15" customHeight="1" x14ac:dyDescent="0.3">
      <c r="B823" s="17">
        <f>IF('Marcación Workera'!G823="","",INT('Marcación Workera'!G823))</f>
        <v>46252</v>
      </c>
      <c r="C823" s="18" t="str">
        <f>IF('Marcación Workera'!B823="","",UPPER(SUBSTITUTE('Marcación Workera'!B823,".","")))</f>
        <v>18919440-4</v>
      </c>
    </row>
    <row r="824" spans="2:3" ht="15" customHeight="1" x14ac:dyDescent="0.3">
      <c r="B824" s="17">
        <f>IF('Marcación Workera'!G824="","",INT('Marcación Workera'!G824))</f>
        <v>46252</v>
      </c>
      <c r="C824" s="18" t="str">
        <f>IF('Marcación Workera'!B824="","",UPPER(SUBSTITUTE('Marcación Workera'!B824,".","")))</f>
        <v>14117289-1</v>
      </c>
    </row>
    <row r="825" spans="2:3" ht="15" customHeight="1" x14ac:dyDescent="0.3">
      <c r="B825" s="17">
        <f>IF('Marcación Workera'!G825="","",INT('Marcación Workera'!G825))</f>
        <v>46252</v>
      </c>
      <c r="C825" s="18" t="str">
        <f>IF('Marcación Workera'!B825="","",UPPER(SUBSTITUTE('Marcación Workera'!B825,".","")))</f>
        <v>15593625-8</v>
      </c>
    </row>
    <row r="826" spans="2:3" ht="15" customHeight="1" x14ac:dyDescent="0.3">
      <c r="B826" s="17">
        <f>IF('Marcación Workera'!G826="","",INT('Marcación Workera'!G826))</f>
        <v>46252</v>
      </c>
      <c r="C826" s="18" t="str">
        <f>IF('Marcación Workera'!B826="","",UPPER(SUBSTITUTE('Marcación Workera'!B826,".","")))</f>
        <v>13744310-4</v>
      </c>
    </row>
    <row r="827" spans="2:3" ht="15" customHeight="1" x14ac:dyDescent="0.3">
      <c r="B827" s="17">
        <f>IF('Marcación Workera'!G827="","",INT('Marcación Workera'!G827))</f>
        <v>46252</v>
      </c>
      <c r="C827" s="18" t="str">
        <f>IF('Marcación Workera'!B827="","",UPPER(SUBSTITUTE('Marcación Workera'!B827,".","")))</f>
        <v>19507111-K</v>
      </c>
    </row>
    <row r="828" spans="2:3" ht="15" customHeight="1" x14ac:dyDescent="0.3">
      <c r="B828" s="17">
        <f>IF('Marcación Workera'!G828="","",INT('Marcación Workera'!G828))</f>
        <v>46252</v>
      </c>
      <c r="C828" s="18" t="str">
        <f>IF('Marcación Workera'!B828="","",UPPER(SUBSTITUTE('Marcación Workera'!B828,".","")))</f>
        <v>17628970-8</v>
      </c>
    </row>
    <row r="829" spans="2:3" ht="15" customHeight="1" x14ac:dyDescent="0.3">
      <c r="B829" s="17">
        <f>IF('Marcación Workera'!G829="","",INT('Marcación Workera'!G829))</f>
        <v>46252</v>
      </c>
      <c r="C829" s="18" t="str">
        <f>IF('Marcación Workera'!B829="","",UPPER(SUBSTITUTE('Marcación Workera'!B829,".","")))</f>
        <v>16053497-4</v>
      </c>
    </row>
    <row r="830" spans="2:3" ht="15" customHeight="1" x14ac:dyDescent="0.3">
      <c r="B830" s="17">
        <f>IF('Marcación Workera'!G830="","",INT('Marcación Workera'!G830))</f>
        <v>46252</v>
      </c>
      <c r="C830" s="18" t="str">
        <f>IF('Marcación Workera'!B830="","",UPPER(SUBSTITUTE('Marcación Workera'!B830,".","")))</f>
        <v>8851229-4</v>
      </c>
    </row>
    <row r="831" spans="2:3" ht="15" customHeight="1" x14ac:dyDescent="0.3">
      <c r="B831" s="17">
        <f>IF('Marcación Workera'!G831="","",INT('Marcación Workera'!G831))</f>
        <v>46252</v>
      </c>
      <c r="C831" s="18" t="str">
        <f>IF('Marcación Workera'!B831="","",UPPER(SUBSTITUTE('Marcación Workera'!B831,".","")))</f>
        <v>13744310-4</v>
      </c>
    </row>
    <row r="832" spans="2:3" ht="15" customHeight="1" x14ac:dyDescent="0.3">
      <c r="B832" s="17">
        <f>IF('Marcación Workera'!G832="","",INT('Marcación Workera'!G832))</f>
        <v>46252</v>
      </c>
      <c r="C832" s="18" t="str">
        <f>IF('Marcación Workera'!B832="","",UPPER(SUBSTITUTE('Marcación Workera'!B832,".","")))</f>
        <v>17721340-3</v>
      </c>
    </row>
    <row r="833" spans="2:3" ht="15" customHeight="1" x14ac:dyDescent="0.3">
      <c r="B833" s="17">
        <f>IF('Marcación Workera'!G833="","",INT('Marcación Workera'!G833))</f>
        <v>46252</v>
      </c>
      <c r="C833" s="18" t="str">
        <f>IF('Marcación Workera'!B833="","",UPPER(SUBSTITUTE('Marcación Workera'!B833,".","")))</f>
        <v>18919440-4</v>
      </c>
    </row>
    <row r="834" spans="2:3" ht="15" customHeight="1" x14ac:dyDescent="0.3">
      <c r="B834" s="17">
        <f>IF('Marcación Workera'!G834="","",INT('Marcación Workera'!G834))</f>
        <v>46252</v>
      </c>
      <c r="C834" s="18" t="str">
        <f>IF('Marcación Workera'!B834="","",UPPER(SUBSTITUTE('Marcación Workera'!B834,".","")))</f>
        <v>16053497-4</v>
      </c>
    </row>
    <row r="835" spans="2:3" ht="15" customHeight="1" x14ac:dyDescent="0.3">
      <c r="B835" s="17">
        <f>IF('Marcación Workera'!G835="","",INT('Marcación Workera'!G835))</f>
        <v>46252</v>
      </c>
      <c r="C835" s="18" t="str">
        <f>IF('Marcación Workera'!B835="","",UPPER(SUBSTITUTE('Marcación Workera'!B835,".","")))</f>
        <v>17628970-8</v>
      </c>
    </row>
    <row r="836" spans="2:3" ht="15" customHeight="1" x14ac:dyDescent="0.3">
      <c r="B836" s="17">
        <f>IF('Marcación Workera'!G836="","",INT('Marcación Workera'!G836))</f>
        <v>46252</v>
      </c>
      <c r="C836" s="18" t="str">
        <f>IF('Marcación Workera'!B836="","",UPPER(SUBSTITUTE('Marcación Workera'!B836,".","")))</f>
        <v>15593625-8</v>
      </c>
    </row>
    <row r="837" spans="2:3" ht="15" customHeight="1" x14ac:dyDescent="0.3">
      <c r="B837" s="17">
        <f>IF('Marcación Workera'!G837="","",INT('Marcación Workera'!G837))</f>
        <v>46252</v>
      </c>
      <c r="C837" s="18" t="str">
        <f>IF('Marcación Workera'!B837="","",UPPER(SUBSTITUTE('Marcación Workera'!B837,".","")))</f>
        <v>19804200-5</v>
      </c>
    </row>
    <row r="838" spans="2:3" ht="15" customHeight="1" x14ac:dyDescent="0.3">
      <c r="B838" s="17">
        <f>IF('Marcación Workera'!G838="","",INT('Marcación Workera'!G838))</f>
        <v>46252</v>
      </c>
      <c r="C838" s="18" t="str">
        <f>IF('Marcación Workera'!B838="","",UPPER(SUBSTITUTE('Marcación Workera'!B838,".","")))</f>
        <v>17964013-9</v>
      </c>
    </row>
    <row r="839" spans="2:3" ht="15" customHeight="1" x14ac:dyDescent="0.3">
      <c r="B839" s="17">
        <f>IF('Marcación Workera'!G839="","",INT('Marcación Workera'!G839))</f>
        <v>46252</v>
      </c>
      <c r="C839" s="18" t="str">
        <f>IF('Marcación Workera'!B839="","",UPPER(SUBSTITUTE('Marcación Workera'!B839,".","")))</f>
        <v>14117289-1</v>
      </c>
    </row>
    <row r="840" spans="2:3" ht="15" customHeight="1" x14ac:dyDescent="0.3">
      <c r="B840" s="17">
        <f>IF('Marcación Workera'!G840="","",INT('Marcación Workera'!G840))</f>
        <v>46251</v>
      </c>
      <c r="C840" s="18" t="str">
        <f>IF('Marcación Workera'!B840="","",UPPER(SUBSTITUTE('Marcación Workera'!B840,".","")))</f>
        <v>15613806-1</v>
      </c>
    </row>
    <row r="841" spans="2:3" ht="15" customHeight="1" x14ac:dyDescent="0.3">
      <c r="B841" s="17">
        <f>IF('Marcación Workera'!G841="","",INT('Marcación Workera'!G841))</f>
        <v>46251</v>
      </c>
      <c r="C841" s="18" t="str">
        <f>IF('Marcación Workera'!B841="","",UPPER(SUBSTITUTE('Marcación Workera'!B841,".","")))</f>
        <v>17964013-9</v>
      </c>
    </row>
    <row r="842" spans="2:3" ht="15" customHeight="1" x14ac:dyDescent="0.3">
      <c r="B842" s="17">
        <f>IF('Marcación Workera'!G842="","",INT('Marcación Workera'!G842))</f>
        <v>46251</v>
      </c>
      <c r="C842" s="18" t="str">
        <f>IF('Marcación Workera'!B842="","",UPPER(SUBSTITUTE('Marcación Workera'!B842,".","")))</f>
        <v>13775192-5</v>
      </c>
    </row>
    <row r="843" spans="2:3" ht="15" customHeight="1" x14ac:dyDescent="0.3">
      <c r="B843" s="17">
        <f>IF('Marcación Workera'!G843="","",INT('Marcación Workera'!G843))</f>
        <v>46251</v>
      </c>
      <c r="C843" s="18" t="str">
        <f>IF('Marcación Workera'!B843="","",UPPER(SUBSTITUTE('Marcación Workera'!B843,".","")))</f>
        <v>18450168-6</v>
      </c>
    </row>
    <row r="844" spans="2:3" ht="15" customHeight="1" x14ac:dyDescent="0.3">
      <c r="B844" s="17">
        <f>IF('Marcación Workera'!G844="","",INT('Marcación Workera'!G844))</f>
        <v>46251</v>
      </c>
      <c r="C844" s="18" t="str">
        <f>IF('Marcación Workera'!B844="","",UPPER(SUBSTITUTE('Marcación Workera'!B844,".","")))</f>
        <v>18450168-6</v>
      </c>
    </row>
    <row r="845" spans="2:3" ht="15" customHeight="1" x14ac:dyDescent="0.3">
      <c r="B845" s="17">
        <f>IF('Marcación Workera'!G845="","",INT('Marcación Workera'!G845))</f>
        <v>46251</v>
      </c>
      <c r="C845" s="18" t="str">
        <f>IF('Marcación Workera'!B845="","",UPPER(SUBSTITUTE('Marcación Workera'!B845,".","")))</f>
        <v>8851229-4</v>
      </c>
    </row>
    <row r="846" spans="2:3" ht="15" customHeight="1" x14ac:dyDescent="0.3">
      <c r="B846" s="17">
        <f>IF('Marcación Workera'!G846="","",INT('Marcación Workera'!G846))</f>
        <v>46251</v>
      </c>
      <c r="C846" s="18" t="str">
        <f>IF('Marcación Workera'!B846="","",UPPER(SUBSTITUTE('Marcación Workera'!B846,".","")))</f>
        <v>18919440-4</v>
      </c>
    </row>
    <row r="847" spans="2:3" ht="15" customHeight="1" x14ac:dyDescent="0.3">
      <c r="B847" s="17">
        <f>IF('Marcación Workera'!G847="","",INT('Marcación Workera'!G847))</f>
        <v>46251</v>
      </c>
      <c r="C847" s="18" t="str">
        <f>IF('Marcación Workera'!B847="","",UPPER(SUBSTITUTE('Marcación Workera'!B847,".","")))</f>
        <v>15593625-8</v>
      </c>
    </row>
    <row r="848" spans="2:3" ht="15" customHeight="1" x14ac:dyDescent="0.3">
      <c r="B848" s="17">
        <f>IF('Marcación Workera'!G848="","",INT('Marcación Workera'!G848))</f>
        <v>46251</v>
      </c>
      <c r="C848" s="18" t="str">
        <f>IF('Marcación Workera'!B848="","",UPPER(SUBSTITUTE('Marcación Workera'!B848,".","")))</f>
        <v>17628970-8</v>
      </c>
    </row>
    <row r="849" spans="2:3" ht="15" customHeight="1" x14ac:dyDescent="0.3">
      <c r="B849" s="17">
        <f>IF('Marcación Workera'!G849="","",INT('Marcación Workera'!G849))</f>
        <v>46251</v>
      </c>
      <c r="C849" s="18" t="str">
        <f>IF('Marcación Workera'!B849="","",UPPER(SUBSTITUTE('Marcación Workera'!B849,".","")))</f>
        <v>14117289-1</v>
      </c>
    </row>
    <row r="850" spans="2:3" ht="15" customHeight="1" x14ac:dyDescent="0.3">
      <c r="B850" s="17">
        <f>IF('Marcación Workera'!G850="","",INT('Marcación Workera'!G850))</f>
        <v>46251</v>
      </c>
      <c r="C850" s="18" t="str">
        <f>IF('Marcación Workera'!B850="","",UPPER(SUBSTITUTE('Marcación Workera'!B850,".","")))</f>
        <v>13809180-5</v>
      </c>
    </row>
    <row r="851" spans="2:3" ht="15" customHeight="1" x14ac:dyDescent="0.3">
      <c r="B851" s="17">
        <f>IF('Marcación Workera'!G851="","",INT('Marcación Workera'!G851))</f>
        <v>46251</v>
      </c>
      <c r="C851" s="18" t="str">
        <f>IF('Marcación Workera'!B851="","",UPPER(SUBSTITUTE('Marcación Workera'!B851,".","")))</f>
        <v>13744310-4</v>
      </c>
    </row>
    <row r="852" spans="2:3" ht="15" customHeight="1" x14ac:dyDescent="0.3">
      <c r="B852" s="17">
        <f>IF('Marcación Workera'!G852="","",INT('Marcación Workera'!G852))</f>
        <v>46251</v>
      </c>
      <c r="C852" s="18" t="str">
        <f>IF('Marcación Workera'!B852="","",UPPER(SUBSTITUTE('Marcación Workera'!B852,".","")))</f>
        <v>19507111-K</v>
      </c>
    </row>
    <row r="853" spans="2:3" ht="15" customHeight="1" x14ac:dyDescent="0.3">
      <c r="B853" s="17">
        <f>IF('Marcación Workera'!G853="","",INT('Marcación Workera'!G853))</f>
        <v>46251</v>
      </c>
      <c r="C853" s="18" t="str">
        <f>IF('Marcación Workera'!B853="","",UPPER(SUBSTITUTE('Marcación Workera'!B853,".","")))</f>
        <v>16053497-4</v>
      </c>
    </row>
    <row r="854" spans="2:3" ht="15" customHeight="1" x14ac:dyDescent="0.3">
      <c r="B854" s="17">
        <f>IF('Marcación Workera'!G854="","",INT('Marcación Workera'!G854))</f>
        <v>46251</v>
      </c>
      <c r="C854" s="18" t="str">
        <f>IF('Marcación Workera'!B854="","",UPPER(SUBSTITUTE('Marcación Workera'!B854,".","")))</f>
        <v>18919440-4</v>
      </c>
    </row>
    <row r="855" spans="2:3" ht="15" customHeight="1" x14ac:dyDescent="0.3">
      <c r="B855" s="17">
        <f>IF('Marcación Workera'!G855="","",INT('Marcación Workera'!G855))</f>
        <v>46251</v>
      </c>
      <c r="C855" s="18" t="str">
        <f>IF('Marcación Workera'!B855="","",UPPER(SUBSTITUTE('Marcación Workera'!B855,".","")))</f>
        <v>21294612-5</v>
      </c>
    </row>
    <row r="856" spans="2:3" ht="15" customHeight="1" x14ac:dyDescent="0.3">
      <c r="B856" s="17">
        <f>IF('Marcación Workera'!G856="","",INT('Marcación Workera'!G856))</f>
        <v>46251</v>
      </c>
      <c r="C856" s="18" t="str">
        <f>IF('Marcación Workera'!B856="","",UPPER(SUBSTITUTE('Marcación Workera'!B856,".","")))</f>
        <v>15613806-1</v>
      </c>
    </row>
    <row r="857" spans="2:3" ht="15" customHeight="1" x14ac:dyDescent="0.3">
      <c r="B857" s="17">
        <f>IF('Marcación Workera'!G857="","",INT('Marcación Workera'!G857))</f>
        <v>46251</v>
      </c>
      <c r="C857" s="18" t="str">
        <f>IF('Marcación Workera'!B857="","",UPPER(SUBSTITUTE('Marcación Workera'!B857,".","")))</f>
        <v>17721340-3</v>
      </c>
    </row>
    <row r="858" spans="2:3" ht="15" customHeight="1" x14ac:dyDescent="0.3">
      <c r="B858" s="17">
        <f>IF('Marcación Workera'!G858="","",INT('Marcación Workera'!G858))</f>
        <v>46251</v>
      </c>
      <c r="C858" s="18" t="str">
        <f>IF('Marcación Workera'!B858="","",UPPER(SUBSTITUTE('Marcación Workera'!B858,".","")))</f>
        <v>8851229-4</v>
      </c>
    </row>
    <row r="859" spans="2:3" ht="15" customHeight="1" x14ac:dyDescent="0.3">
      <c r="B859" s="17">
        <f>IF('Marcación Workera'!G859="","",INT('Marcación Workera'!G859))</f>
        <v>46251</v>
      </c>
      <c r="C859" s="18" t="str">
        <f>IF('Marcación Workera'!B859="","",UPPER(SUBSTITUTE('Marcación Workera'!B859,".","")))</f>
        <v>19507111-K</v>
      </c>
    </row>
    <row r="860" spans="2:3" ht="15" customHeight="1" x14ac:dyDescent="0.3">
      <c r="B860" s="17">
        <f>IF('Marcación Workera'!G860="","",INT('Marcación Workera'!G860))</f>
        <v>46251</v>
      </c>
      <c r="C860" s="18" t="str">
        <f>IF('Marcación Workera'!B860="","",UPPER(SUBSTITUTE('Marcación Workera'!B860,".","")))</f>
        <v>13809180-5</v>
      </c>
    </row>
    <row r="861" spans="2:3" ht="15" customHeight="1" x14ac:dyDescent="0.3">
      <c r="B861" s="17">
        <f>IF('Marcación Workera'!G861="","",INT('Marcación Workera'!G861))</f>
        <v>46251</v>
      </c>
      <c r="C861" s="18" t="str">
        <f>IF('Marcación Workera'!B861="","",UPPER(SUBSTITUTE('Marcación Workera'!B861,".","")))</f>
        <v>13744310-4</v>
      </c>
    </row>
    <row r="862" spans="2:3" ht="15" customHeight="1" x14ac:dyDescent="0.3">
      <c r="B862" s="17">
        <f>IF('Marcación Workera'!G862="","",INT('Marcación Workera'!G862))</f>
        <v>46251</v>
      </c>
      <c r="C862" s="18" t="str">
        <f>IF('Marcación Workera'!B862="","",UPPER(SUBSTITUTE('Marcación Workera'!B862,".","")))</f>
        <v>16053497-4</v>
      </c>
    </row>
    <row r="863" spans="2:3" ht="15" customHeight="1" x14ac:dyDescent="0.3">
      <c r="B863" s="17">
        <f>IF('Marcación Workera'!G863="","",INT('Marcación Workera'!G863))</f>
        <v>46251</v>
      </c>
      <c r="C863" s="18" t="str">
        <f>IF('Marcación Workera'!B863="","",UPPER(SUBSTITUTE('Marcación Workera'!B863,".","")))</f>
        <v>13775192-5</v>
      </c>
    </row>
    <row r="864" spans="2:3" ht="15" customHeight="1" x14ac:dyDescent="0.3">
      <c r="B864" s="17">
        <f>IF('Marcación Workera'!G864="","",INT('Marcación Workera'!G864))</f>
        <v>46251</v>
      </c>
      <c r="C864" s="18" t="str">
        <f>IF('Marcación Workera'!B864="","",UPPER(SUBSTITUTE('Marcación Workera'!B864,".","")))</f>
        <v>19804200-5</v>
      </c>
    </row>
    <row r="865" spans="2:3" ht="15" customHeight="1" x14ac:dyDescent="0.3">
      <c r="B865" s="17">
        <f>IF('Marcación Workera'!G865="","",INT('Marcación Workera'!G865))</f>
        <v>46251</v>
      </c>
      <c r="C865" s="18" t="str">
        <f>IF('Marcación Workera'!B865="","",UPPER(SUBSTITUTE('Marcación Workera'!B865,".","")))</f>
        <v>17964013-9</v>
      </c>
    </row>
    <row r="866" spans="2:3" ht="15" customHeight="1" x14ac:dyDescent="0.3">
      <c r="B866" s="17">
        <f>IF('Marcación Workera'!G866="","",INT('Marcación Workera'!G866))</f>
        <v>46251</v>
      </c>
      <c r="C866" s="18" t="str">
        <f>IF('Marcación Workera'!B866="","",UPPER(SUBSTITUTE('Marcación Workera'!B866,".","")))</f>
        <v>15593625-8</v>
      </c>
    </row>
    <row r="867" spans="2:3" ht="15" customHeight="1" x14ac:dyDescent="0.3">
      <c r="B867" s="17">
        <f>IF('Marcación Workera'!G867="","",INT('Marcación Workera'!G867))</f>
        <v>46251</v>
      </c>
      <c r="C867" s="18" t="str">
        <f>IF('Marcación Workera'!B867="","",UPPER(SUBSTITUTE('Marcación Workera'!B867,".","")))</f>
        <v>17628970-8</v>
      </c>
    </row>
    <row r="868" spans="2:3" ht="15" customHeight="1" x14ac:dyDescent="0.3">
      <c r="B868" s="17">
        <f>IF('Marcación Workera'!G868="","",INT('Marcación Workera'!G868))</f>
        <v>46251</v>
      </c>
      <c r="C868" s="18" t="str">
        <f>IF('Marcación Workera'!B868="","",UPPER(SUBSTITUTE('Marcación Workera'!B868,".","")))</f>
        <v>14117289-1</v>
      </c>
    </row>
    <row r="869" spans="2:3" ht="15" customHeight="1" x14ac:dyDescent="0.3">
      <c r="B869" s="17">
        <f>IF('Marcación Workera'!G869="","",INT('Marcación Workera'!G869))</f>
        <v>46250</v>
      </c>
      <c r="C869" s="18" t="str">
        <f>IF('Marcación Workera'!B869="","",UPPER(SUBSTITUTE('Marcación Workera'!B869,".","")))</f>
        <v>15593625-8</v>
      </c>
    </row>
    <row r="870" spans="2:3" ht="15" customHeight="1" x14ac:dyDescent="0.3">
      <c r="B870" s="17">
        <f>IF('Marcación Workera'!G870="","",INT('Marcación Workera'!G870))</f>
        <v>46250</v>
      </c>
      <c r="C870" s="18" t="str">
        <f>IF('Marcación Workera'!B870="","",UPPER(SUBSTITUTE('Marcación Workera'!B870,".","")))</f>
        <v>18919440-4</v>
      </c>
    </row>
    <row r="871" spans="2:3" ht="15" customHeight="1" x14ac:dyDescent="0.3">
      <c r="B871" s="17">
        <f>IF('Marcación Workera'!G871="","",INT('Marcación Workera'!G871))</f>
        <v>46250</v>
      </c>
      <c r="C871" s="18" t="str">
        <f>IF('Marcación Workera'!B871="","",UPPER(SUBSTITUTE('Marcación Workera'!B871,".","")))</f>
        <v>13809180-5</v>
      </c>
    </row>
    <row r="872" spans="2:3" ht="15" customHeight="1" x14ac:dyDescent="0.3">
      <c r="B872" s="17">
        <f>IF('Marcación Workera'!G872="","",INT('Marcación Workera'!G872))</f>
        <v>46250</v>
      </c>
      <c r="C872" s="18" t="str">
        <f>IF('Marcación Workera'!B872="","",UPPER(SUBSTITUTE('Marcación Workera'!B872,".","")))</f>
        <v>14117289-1</v>
      </c>
    </row>
    <row r="873" spans="2:3" ht="15" customHeight="1" x14ac:dyDescent="0.3">
      <c r="B873" s="17">
        <f>IF('Marcación Workera'!G873="","",INT('Marcación Workera'!G873))</f>
        <v>46250</v>
      </c>
      <c r="C873" s="18" t="str">
        <f>IF('Marcación Workera'!B873="","",UPPER(SUBSTITUTE('Marcación Workera'!B873,".","")))</f>
        <v>19507111-K</v>
      </c>
    </row>
    <row r="874" spans="2:3" ht="15" customHeight="1" x14ac:dyDescent="0.3">
      <c r="B874" s="17">
        <f>IF('Marcación Workera'!G874="","",INT('Marcación Workera'!G874))</f>
        <v>46250</v>
      </c>
      <c r="C874" s="18" t="str">
        <f>IF('Marcación Workera'!B874="","",UPPER(SUBSTITUTE('Marcación Workera'!B874,".","")))</f>
        <v>17964013-9</v>
      </c>
    </row>
    <row r="875" spans="2:3" ht="15" customHeight="1" x14ac:dyDescent="0.3">
      <c r="B875" s="17">
        <f>IF('Marcación Workera'!G875="","",INT('Marcación Workera'!G875))</f>
        <v>46250</v>
      </c>
      <c r="C875" s="18" t="str">
        <f>IF('Marcación Workera'!B875="","",UPPER(SUBSTITUTE('Marcación Workera'!B875,".","")))</f>
        <v>21294612-5</v>
      </c>
    </row>
    <row r="876" spans="2:3" ht="15" customHeight="1" x14ac:dyDescent="0.3">
      <c r="B876" s="17">
        <f>IF('Marcación Workera'!G876="","",INT('Marcación Workera'!G876))</f>
        <v>46250</v>
      </c>
      <c r="C876" s="18" t="str">
        <f>IF('Marcación Workera'!B876="","",UPPER(SUBSTITUTE('Marcación Workera'!B876,".","")))</f>
        <v>15613806-1</v>
      </c>
    </row>
    <row r="877" spans="2:3" ht="15" customHeight="1" x14ac:dyDescent="0.3">
      <c r="B877" s="17">
        <f>IF('Marcación Workera'!G877="","",INT('Marcación Workera'!G877))</f>
        <v>46250</v>
      </c>
      <c r="C877" s="18" t="str">
        <f>IF('Marcación Workera'!B877="","",UPPER(SUBSTITUTE('Marcación Workera'!B877,".","")))</f>
        <v>17721340-3</v>
      </c>
    </row>
    <row r="878" spans="2:3" ht="15" customHeight="1" x14ac:dyDescent="0.3">
      <c r="B878" s="17">
        <f>IF('Marcación Workera'!G878="","",INT('Marcación Workera'!G878))</f>
        <v>46250</v>
      </c>
      <c r="C878" s="18" t="str">
        <f>IF('Marcación Workera'!B878="","",UPPER(SUBSTITUTE('Marcación Workera'!B878,".","")))</f>
        <v>8851229-4</v>
      </c>
    </row>
    <row r="879" spans="2:3" ht="15" customHeight="1" x14ac:dyDescent="0.3">
      <c r="B879" s="17">
        <f>IF('Marcación Workera'!G879="","",INT('Marcación Workera'!G879))</f>
        <v>46250</v>
      </c>
      <c r="C879" s="18" t="str">
        <f>IF('Marcación Workera'!B879="","",UPPER(SUBSTITUTE('Marcación Workera'!B879,".","")))</f>
        <v>13744310-4</v>
      </c>
    </row>
    <row r="880" spans="2:3" ht="15" customHeight="1" x14ac:dyDescent="0.3">
      <c r="B880" s="17">
        <f>IF('Marcación Workera'!G880="","",INT('Marcación Workera'!G880))</f>
        <v>46250</v>
      </c>
      <c r="C880" s="18" t="str">
        <f>IF('Marcación Workera'!B880="","",UPPER(SUBSTITUTE('Marcación Workera'!B880,".","")))</f>
        <v>16053497-4</v>
      </c>
    </row>
    <row r="881" spans="2:3" ht="15" customHeight="1" x14ac:dyDescent="0.3">
      <c r="B881" s="17">
        <f>IF('Marcación Workera'!G881="","",INT('Marcación Workera'!G881))</f>
        <v>46250</v>
      </c>
      <c r="C881" s="18" t="str">
        <f>IF('Marcación Workera'!B881="","",UPPER(SUBSTITUTE('Marcación Workera'!B881,".","")))</f>
        <v>17628970-8</v>
      </c>
    </row>
    <row r="882" spans="2:3" ht="15" customHeight="1" x14ac:dyDescent="0.3">
      <c r="B882" s="17">
        <f>IF('Marcación Workera'!G882="","",INT('Marcación Workera'!G882))</f>
        <v>46250</v>
      </c>
      <c r="C882" s="18" t="str">
        <f>IF('Marcación Workera'!B882="","",UPPER(SUBSTITUTE('Marcación Workera'!B882,".","")))</f>
        <v>13775192-5</v>
      </c>
    </row>
    <row r="883" spans="2:3" ht="15" customHeight="1" x14ac:dyDescent="0.3">
      <c r="B883" s="17">
        <f>IF('Marcación Workera'!G883="","",INT('Marcación Workera'!G883))</f>
        <v>46250</v>
      </c>
      <c r="C883" s="18" t="str">
        <f>IF('Marcación Workera'!B883="","",UPPER(SUBSTITUTE('Marcación Workera'!B883,".","")))</f>
        <v>13775192-5</v>
      </c>
    </row>
    <row r="884" spans="2:3" ht="15" customHeight="1" x14ac:dyDescent="0.3">
      <c r="B884" s="17">
        <f>IF('Marcación Workera'!G884="","",INT('Marcación Workera'!G884))</f>
        <v>46250</v>
      </c>
      <c r="C884" s="18" t="str">
        <f>IF('Marcación Workera'!B884="","",UPPER(SUBSTITUTE('Marcación Workera'!B884,".","")))</f>
        <v>17964013-9</v>
      </c>
    </row>
    <row r="885" spans="2:3" ht="15" customHeight="1" x14ac:dyDescent="0.3">
      <c r="B885" s="17">
        <f>IF('Marcación Workera'!G885="","",INT('Marcación Workera'!G885))</f>
        <v>46250</v>
      </c>
      <c r="C885" s="18" t="str">
        <f>IF('Marcación Workera'!B885="","",UPPER(SUBSTITUTE('Marcación Workera'!B885,".","")))</f>
        <v>18919440-4</v>
      </c>
    </row>
    <row r="886" spans="2:3" ht="15" customHeight="1" x14ac:dyDescent="0.3">
      <c r="B886" s="17">
        <f>IF('Marcación Workera'!G886="","",INT('Marcación Workera'!G886))</f>
        <v>46250</v>
      </c>
      <c r="C886" s="18" t="str">
        <f>IF('Marcación Workera'!B886="","",UPPER(SUBSTITUTE('Marcación Workera'!B886,".","")))</f>
        <v>19507111-K</v>
      </c>
    </row>
    <row r="887" spans="2:3" ht="15" customHeight="1" x14ac:dyDescent="0.3">
      <c r="B887" s="17">
        <f>IF('Marcación Workera'!G887="","",INT('Marcación Workera'!G887))</f>
        <v>46250</v>
      </c>
      <c r="C887" s="18" t="str">
        <f>IF('Marcación Workera'!B887="","",UPPER(SUBSTITUTE('Marcación Workera'!B887,".","")))</f>
        <v>16053497-4</v>
      </c>
    </row>
    <row r="888" spans="2:3" ht="15" customHeight="1" x14ac:dyDescent="0.3">
      <c r="B888" s="17">
        <f>IF('Marcación Workera'!G888="","",INT('Marcación Workera'!G888))</f>
        <v>46250</v>
      </c>
      <c r="C888" s="18" t="str">
        <f>IF('Marcación Workera'!B888="","",UPPER(SUBSTITUTE('Marcación Workera'!B888,".","")))</f>
        <v>16053497-4</v>
      </c>
    </row>
    <row r="889" spans="2:3" ht="15" customHeight="1" x14ac:dyDescent="0.3">
      <c r="B889" s="17">
        <f>IF('Marcación Workera'!G889="","",INT('Marcación Workera'!G889))</f>
        <v>46250</v>
      </c>
      <c r="C889" s="18" t="str">
        <f>IF('Marcación Workera'!B889="","",UPPER(SUBSTITUTE('Marcación Workera'!B889,".","")))</f>
        <v>15593625-8</v>
      </c>
    </row>
    <row r="890" spans="2:3" ht="15" customHeight="1" x14ac:dyDescent="0.3">
      <c r="B890" s="17">
        <f>IF('Marcación Workera'!G890="","",INT('Marcación Workera'!G890))</f>
        <v>46250</v>
      </c>
      <c r="C890" s="18" t="str">
        <f>IF('Marcación Workera'!B890="","",UPPER(SUBSTITUTE('Marcación Workera'!B890,".","")))</f>
        <v>17628970-8</v>
      </c>
    </row>
    <row r="891" spans="2:3" ht="15" customHeight="1" x14ac:dyDescent="0.3">
      <c r="B891" s="17">
        <f>IF('Marcación Workera'!G891="","",INT('Marcación Workera'!G891))</f>
        <v>46250</v>
      </c>
      <c r="C891" s="18" t="str">
        <f>IF('Marcación Workera'!B891="","",UPPER(SUBSTITUTE('Marcación Workera'!B891,".","")))</f>
        <v>13744310-4</v>
      </c>
    </row>
    <row r="892" spans="2:3" ht="15" customHeight="1" x14ac:dyDescent="0.3">
      <c r="B892" s="17">
        <f>IF('Marcación Workera'!G892="","",INT('Marcación Workera'!G892))</f>
        <v>46250</v>
      </c>
      <c r="C892" s="18" t="str">
        <f>IF('Marcación Workera'!B892="","",UPPER(SUBSTITUTE('Marcación Workera'!B892,".","")))</f>
        <v>14117289-1</v>
      </c>
    </row>
    <row r="893" spans="2:3" ht="15" customHeight="1" x14ac:dyDescent="0.3">
      <c r="B893" s="17">
        <f>IF('Marcación Workera'!G893="","",INT('Marcación Workera'!G893))</f>
        <v>46250</v>
      </c>
      <c r="C893" s="18" t="str">
        <f>IF('Marcación Workera'!B893="","",UPPER(SUBSTITUTE('Marcación Workera'!B893,".","")))</f>
        <v>19507111-K</v>
      </c>
    </row>
    <row r="894" spans="2:3" ht="15" customHeight="1" x14ac:dyDescent="0.3">
      <c r="B894" s="17">
        <f>IF('Marcación Workera'!G894="","",INT('Marcación Workera'!G894))</f>
        <v>46249</v>
      </c>
      <c r="C894" s="18" t="str">
        <f>IF('Marcación Workera'!B894="","",UPPER(SUBSTITUTE('Marcación Workera'!B894,".","")))</f>
        <v>13744310-4</v>
      </c>
    </row>
    <row r="895" spans="2:3" ht="15" customHeight="1" x14ac:dyDescent="0.3">
      <c r="B895" s="17">
        <f>IF('Marcación Workera'!G895="","",INT('Marcación Workera'!G895))</f>
        <v>46249</v>
      </c>
      <c r="C895" s="18" t="str">
        <f>IF('Marcación Workera'!B895="","",UPPER(SUBSTITUTE('Marcación Workera'!B895,".","")))</f>
        <v>15593625-8</v>
      </c>
    </row>
    <row r="896" spans="2:3" ht="15" customHeight="1" x14ac:dyDescent="0.3">
      <c r="B896" s="17">
        <f>IF('Marcación Workera'!G896="","",INT('Marcación Workera'!G896))</f>
        <v>46249</v>
      </c>
      <c r="C896" s="18" t="str">
        <f>IF('Marcación Workera'!B896="","",UPPER(SUBSTITUTE('Marcación Workera'!B896,".","")))</f>
        <v>17628970-8</v>
      </c>
    </row>
    <row r="897" spans="2:3" ht="15" customHeight="1" x14ac:dyDescent="0.3">
      <c r="B897" s="17">
        <f>IF('Marcación Workera'!G897="","",INT('Marcación Workera'!G897))</f>
        <v>46249</v>
      </c>
      <c r="C897" s="18" t="str">
        <f>IF('Marcación Workera'!B897="","",UPPER(SUBSTITUTE('Marcación Workera'!B897,".","")))</f>
        <v>16053497-4</v>
      </c>
    </row>
    <row r="898" spans="2:3" ht="15" customHeight="1" x14ac:dyDescent="0.3">
      <c r="B898" s="17">
        <f>IF('Marcación Workera'!G898="","",INT('Marcación Workera'!G898))</f>
        <v>46249</v>
      </c>
      <c r="C898" s="18" t="str">
        <f>IF('Marcación Workera'!B898="","",UPPER(SUBSTITUTE('Marcación Workera'!B898,".","")))</f>
        <v>14117289-1</v>
      </c>
    </row>
    <row r="899" spans="2:3" ht="15" customHeight="1" x14ac:dyDescent="0.3">
      <c r="B899" s="17">
        <f>IF('Marcación Workera'!G899="","",INT('Marcación Workera'!G899))</f>
        <v>46249</v>
      </c>
      <c r="C899" s="18" t="str">
        <f>IF('Marcación Workera'!B899="","",UPPER(SUBSTITUTE('Marcación Workera'!B899,".","")))</f>
        <v>19507111-K</v>
      </c>
    </row>
    <row r="900" spans="2:3" ht="15" customHeight="1" x14ac:dyDescent="0.3">
      <c r="B900" s="17">
        <f>IF('Marcación Workera'!G900="","",INT('Marcación Workera'!G900))</f>
        <v>46249</v>
      </c>
      <c r="C900" s="18" t="str">
        <f>IF('Marcación Workera'!B900="","",UPPER(SUBSTITUTE('Marcación Workera'!B900,".","")))</f>
        <v>17721340-3</v>
      </c>
    </row>
    <row r="901" spans="2:3" ht="15" customHeight="1" x14ac:dyDescent="0.3">
      <c r="B901" s="17">
        <f>IF('Marcación Workera'!G901="","",INT('Marcación Workera'!G901))</f>
        <v>46249</v>
      </c>
      <c r="C901" s="18" t="str">
        <f>IF('Marcación Workera'!B901="","",UPPER(SUBSTITUTE('Marcación Workera'!B901,".","")))</f>
        <v>16053497-4</v>
      </c>
    </row>
    <row r="902" spans="2:3" ht="15" customHeight="1" x14ac:dyDescent="0.3">
      <c r="B902" s="17">
        <f>IF('Marcación Workera'!G902="","",INT('Marcación Workera'!G902))</f>
        <v>46249</v>
      </c>
      <c r="C902" s="18" t="str">
        <f>IF('Marcación Workera'!B902="","",UPPER(SUBSTITUTE('Marcación Workera'!B902,".","")))</f>
        <v>17628970-8</v>
      </c>
    </row>
    <row r="903" spans="2:3" ht="15" customHeight="1" x14ac:dyDescent="0.3">
      <c r="B903" s="17">
        <f>IF('Marcación Workera'!G903="","",INT('Marcación Workera'!G903))</f>
        <v>46249</v>
      </c>
      <c r="C903" s="18" t="str">
        <f>IF('Marcación Workera'!B903="","",UPPER(SUBSTITUTE('Marcación Workera'!B903,".","")))</f>
        <v>13744310-4</v>
      </c>
    </row>
    <row r="904" spans="2:3" ht="15" customHeight="1" x14ac:dyDescent="0.3">
      <c r="B904" s="17">
        <f>IF('Marcación Workera'!G904="","",INT('Marcación Workera'!G904))</f>
        <v>46249</v>
      </c>
      <c r="C904" s="18" t="str">
        <f>IF('Marcación Workera'!B904="","",UPPER(SUBSTITUTE('Marcación Workera'!B904,".","")))</f>
        <v>15593625-8</v>
      </c>
    </row>
    <row r="905" spans="2:3" ht="15" customHeight="1" x14ac:dyDescent="0.3">
      <c r="B905" s="17">
        <f>IF('Marcación Workera'!G905="","",INT('Marcación Workera'!G905))</f>
        <v>46249</v>
      </c>
      <c r="C905" s="18" t="str">
        <f>IF('Marcación Workera'!B905="","",UPPER(SUBSTITUTE('Marcación Workera'!B905,".","")))</f>
        <v>14117289-1</v>
      </c>
    </row>
    <row r="906" spans="2:3" ht="15" customHeight="1" x14ac:dyDescent="0.3">
      <c r="B906" s="17">
        <f>IF('Marcación Workera'!G906="","",INT('Marcación Workera'!G906))</f>
        <v>46248</v>
      </c>
      <c r="C906" s="18" t="str">
        <f>IF('Marcación Workera'!B906="","",UPPER(SUBSTITUTE('Marcación Workera'!B906,".","")))</f>
        <v>14117289-1</v>
      </c>
    </row>
    <row r="907" spans="2:3" ht="15" customHeight="1" x14ac:dyDescent="0.3">
      <c r="B907" s="17">
        <f>IF('Marcación Workera'!G907="","",INT('Marcación Workera'!G907))</f>
        <v>46248</v>
      </c>
      <c r="C907" s="18" t="str">
        <f>IF('Marcación Workera'!B907="","",UPPER(SUBSTITUTE('Marcación Workera'!B907,".","")))</f>
        <v>19507111-K</v>
      </c>
    </row>
    <row r="908" spans="2:3" ht="15" customHeight="1" x14ac:dyDescent="0.3">
      <c r="B908" s="17">
        <f>IF('Marcación Workera'!G908="","",INT('Marcación Workera'!G908))</f>
        <v>46248</v>
      </c>
      <c r="C908" s="18" t="str">
        <f>IF('Marcación Workera'!B908="","",UPPER(SUBSTITUTE('Marcación Workera'!B908,".","")))</f>
        <v>16053497-4</v>
      </c>
    </row>
    <row r="909" spans="2:3" ht="15" customHeight="1" x14ac:dyDescent="0.3">
      <c r="B909" s="17">
        <f>IF('Marcación Workera'!G909="","",INT('Marcación Workera'!G909))</f>
        <v>46248</v>
      </c>
      <c r="C909" s="18" t="str">
        <f>IF('Marcación Workera'!B909="","",UPPER(SUBSTITUTE('Marcación Workera'!B909,".","")))</f>
        <v>13744310-4</v>
      </c>
    </row>
    <row r="910" spans="2:3" ht="15" customHeight="1" x14ac:dyDescent="0.3">
      <c r="B910" s="17">
        <f>IF('Marcación Workera'!G910="","",INT('Marcación Workera'!G910))</f>
        <v>46248</v>
      </c>
      <c r="C910" s="18" t="str">
        <f>IF('Marcación Workera'!B910="","",UPPER(SUBSTITUTE('Marcación Workera'!B910,".","")))</f>
        <v>17628970-8</v>
      </c>
    </row>
    <row r="911" spans="2:3" ht="15" customHeight="1" x14ac:dyDescent="0.3">
      <c r="B911" s="17">
        <f>IF('Marcación Workera'!G911="","",INT('Marcación Workera'!G911))</f>
        <v>46248</v>
      </c>
      <c r="C911" s="18" t="str">
        <f>IF('Marcación Workera'!B911="","",UPPER(SUBSTITUTE('Marcación Workera'!B911,".","")))</f>
        <v>15593625-8</v>
      </c>
    </row>
    <row r="912" spans="2:3" ht="15" customHeight="1" x14ac:dyDescent="0.3">
      <c r="B912" s="17">
        <f>IF('Marcación Workera'!G912="","",INT('Marcación Workera'!G912))</f>
        <v>46248</v>
      </c>
      <c r="C912" s="18" t="str">
        <f>IF('Marcación Workera'!B912="","",UPPER(SUBSTITUTE('Marcación Workera'!B912,".","")))</f>
        <v>15593625-8</v>
      </c>
    </row>
    <row r="913" spans="2:3" ht="15" customHeight="1" x14ac:dyDescent="0.3">
      <c r="B913" s="17">
        <f>IF('Marcación Workera'!G913="","",INT('Marcación Workera'!G913))</f>
        <v>46248</v>
      </c>
      <c r="C913" s="18" t="str">
        <f>IF('Marcación Workera'!B913="","",UPPER(SUBSTITUTE('Marcación Workera'!B913,".","")))</f>
        <v>15593625-8</v>
      </c>
    </row>
    <row r="914" spans="2:3" ht="15" customHeight="1" x14ac:dyDescent="0.3">
      <c r="B914" s="17">
        <f>IF('Marcación Workera'!G914="","",INT('Marcación Workera'!G914))</f>
        <v>46248</v>
      </c>
      <c r="C914" s="18" t="str">
        <f>IF('Marcación Workera'!B914="","",UPPER(SUBSTITUTE('Marcación Workera'!B914,".","")))</f>
        <v>15593625-8</v>
      </c>
    </row>
    <row r="915" spans="2:3" ht="15" customHeight="1" x14ac:dyDescent="0.3">
      <c r="B915" s="17">
        <f>IF('Marcación Workera'!G915="","",INT('Marcación Workera'!G915))</f>
        <v>46248</v>
      </c>
      <c r="C915" s="18" t="str">
        <f>IF('Marcación Workera'!B915="","",UPPER(SUBSTITUTE('Marcación Workera'!B915,".","")))</f>
        <v>19507111-K</v>
      </c>
    </row>
    <row r="916" spans="2:3" ht="15" customHeight="1" x14ac:dyDescent="0.3">
      <c r="B916" s="17">
        <f>IF('Marcación Workera'!G916="","",INT('Marcación Workera'!G916))</f>
        <v>46248</v>
      </c>
      <c r="C916" s="18" t="str">
        <f>IF('Marcación Workera'!B916="","",UPPER(SUBSTITUTE('Marcación Workera'!B916,".","")))</f>
        <v>13744310-4</v>
      </c>
    </row>
    <row r="917" spans="2:3" ht="15" customHeight="1" x14ac:dyDescent="0.3">
      <c r="B917" s="17">
        <f>IF('Marcación Workera'!G917="","",INT('Marcación Workera'!G917))</f>
        <v>46248</v>
      </c>
      <c r="C917" s="18" t="str">
        <f>IF('Marcación Workera'!B917="","",UPPER(SUBSTITUTE('Marcación Workera'!B917,".","")))</f>
        <v>16053497-4</v>
      </c>
    </row>
    <row r="918" spans="2:3" ht="15" customHeight="1" x14ac:dyDescent="0.3">
      <c r="B918" s="17">
        <f>IF('Marcación Workera'!G918="","",INT('Marcación Workera'!G918))</f>
        <v>46248</v>
      </c>
      <c r="C918" s="18" t="str">
        <f>IF('Marcación Workera'!B918="","",UPPER(SUBSTITUTE('Marcación Workera'!B918,".","")))</f>
        <v>17628970-8</v>
      </c>
    </row>
    <row r="919" spans="2:3" ht="15" customHeight="1" x14ac:dyDescent="0.3">
      <c r="B919" s="17">
        <f>IF('Marcación Workera'!G919="","",INT('Marcación Workera'!G919))</f>
        <v>46248</v>
      </c>
      <c r="C919" s="18" t="str">
        <f>IF('Marcación Workera'!B919="","",UPPER(SUBSTITUTE('Marcación Workera'!B919,".","")))</f>
        <v>14117289-1</v>
      </c>
    </row>
    <row r="920" spans="2:3" ht="15" customHeight="1" x14ac:dyDescent="0.3">
      <c r="B920" s="17">
        <f>IF('Marcación Workera'!G920="","",INT('Marcación Workera'!G920))</f>
        <v>46247</v>
      </c>
      <c r="C920" s="18" t="str">
        <f>IF('Marcación Workera'!B920="","",UPPER(SUBSTITUTE('Marcación Workera'!B920,".","")))</f>
        <v>14117289-1</v>
      </c>
    </row>
    <row r="921" spans="2:3" ht="15" customHeight="1" x14ac:dyDescent="0.3">
      <c r="B921" s="17">
        <f>IF('Marcación Workera'!G921="","",INT('Marcación Workera'!G921))</f>
        <v>46247</v>
      </c>
      <c r="C921" s="18" t="str">
        <f>IF('Marcación Workera'!B921="","",UPPER(SUBSTITUTE('Marcación Workera'!B921,".","")))</f>
        <v>13744310-4</v>
      </c>
    </row>
    <row r="922" spans="2:3" ht="15" customHeight="1" x14ac:dyDescent="0.3">
      <c r="B922" s="17">
        <f>IF('Marcación Workera'!G922="","",INT('Marcación Workera'!G922))</f>
        <v>46247</v>
      </c>
      <c r="C922" s="18" t="str">
        <f>IF('Marcación Workera'!B922="","",UPPER(SUBSTITUTE('Marcación Workera'!B922,".","")))</f>
        <v>15593625-8</v>
      </c>
    </row>
    <row r="923" spans="2:3" ht="15" customHeight="1" x14ac:dyDescent="0.3">
      <c r="B923" s="17">
        <f>IF('Marcación Workera'!G923="","",INT('Marcación Workera'!G923))</f>
        <v>46247</v>
      </c>
      <c r="C923" s="18" t="str">
        <f>IF('Marcación Workera'!B923="","",UPPER(SUBSTITUTE('Marcación Workera'!B923,".","")))</f>
        <v>16053497-4</v>
      </c>
    </row>
    <row r="924" spans="2:3" ht="15" customHeight="1" x14ac:dyDescent="0.3">
      <c r="B924" s="17">
        <f>IF('Marcación Workera'!G924="","",INT('Marcación Workera'!G924))</f>
        <v>46247</v>
      </c>
      <c r="C924" s="18" t="str">
        <f>IF('Marcación Workera'!B924="","",UPPER(SUBSTITUTE('Marcación Workera'!B924,".","")))</f>
        <v>17628970-8</v>
      </c>
    </row>
    <row r="925" spans="2:3" ht="15" customHeight="1" x14ac:dyDescent="0.3">
      <c r="B925" s="17">
        <f>IF('Marcación Workera'!G925="","",INT('Marcación Workera'!G925))</f>
        <v>46247</v>
      </c>
      <c r="C925" s="18" t="str">
        <f>IF('Marcación Workera'!B925="","",UPPER(SUBSTITUTE('Marcación Workera'!B925,".","")))</f>
        <v>17628970-8</v>
      </c>
    </row>
    <row r="926" spans="2:3" ht="15" customHeight="1" x14ac:dyDescent="0.3">
      <c r="B926" s="17">
        <f>IF('Marcación Workera'!G926="","",INT('Marcación Workera'!G926))</f>
        <v>46247</v>
      </c>
      <c r="C926" s="18" t="str">
        <f>IF('Marcación Workera'!B926="","",UPPER(SUBSTITUTE('Marcación Workera'!B926,".","")))</f>
        <v>15593625-8</v>
      </c>
    </row>
    <row r="927" spans="2:3" ht="15" customHeight="1" x14ac:dyDescent="0.3">
      <c r="B927" s="17">
        <f>IF('Marcación Workera'!G927="","",INT('Marcación Workera'!G927))</f>
        <v>46247</v>
      </c>
      <c r="C927" s="18" t="str">
        <f>IF('Marcación Workera'!B927="","",UPPER(SUBSTITUTE('Marcación Workera'!B927,".","")))</f>
        <v>13744310-4</v>
      </c>
    </row>
    <row r="928" spans="2:3" ht="15" customHeight="1" x14ac:dyDescent="0.3">
      <c r="B928" s="17">
        <f>IF('Marcación Workera'!G928="","",INT('Marcación Workera'!G928))</f>
        <v>46247</v>
      </c>
      <c r="C928" s="18" t="str">
        <f>IF('Marcación Workera'!B928="","",UPPER(SUBSTITUTE('Marcación Workera'!B928,".","")))</f>
        <v>15593625-8</v>
      </c>
    </row>
    <row r="929" spans="2:3" ht="15" customHeight="1" x14ac:dyDescent="0.3">
      <c r="B929" s="17">
        <f>IF('Marcación Workera'!G929="","",INT('Marcación Workera'!G929))</f>
        <v>46247</v>
      </c>
      <c r="C929" s="18" t="str">
        <f>IF('Marcación Workera'!B929="","",UPPER(SUBSTITUTE('Marcación Workera'!B929,".","")))</f>
        <v>14117289-1</v>
      </c>
    </row>
    <row r="930" spans="2:3" ht="15" customHeight="1" x14ac:dyDescent="0.3">
      <c r="B930" s="17">
        <f>IF('Marcación Workera'!G930="","",INT('Marcación Workera'!G930))</f>
        <v>46247</v>
      </c>
      <c r="C930" s="18" t="str">
        <f>IF('Marcación Workera'!B930="","",UPPER(SUBSTITUTE('Marcación Workera'!B930,".","")))</f>
        <v>14117289-1</v>
      </c>
    </row>
    <row r="931" spans="2:3" ht="15" customHeight="1" x14ac:dyDescent="0.3">
      <c r="B931" s="17">
        <f>IF('Marcación Workera'!G931="","",INT('Marcación Workera'!G931))</f>
        <v>46246</v>
      </c>
      <c r="C931" s="18" t="str">
        <f>IF('Marcación Workera'!B931="","",UPPER(SUBSTITUTE('Marcación Workera'!B931,".","")))</f>
        <v>14117289-1</v>
      </c>
    </row>
    <row r="932" spans="2:3" ht="15" customHeight="1" x14ac:dyDescent="0.3">
      <c r="B932" s="17">
        <f>IF('Marcación Workera'!G932="","",INT('Marcación Workera'!G932))</f>
        <v>46246</v>
      </c>
      <c r="C932" s="18" t="str">
        <f>IF('Marcación Workera'!B932="","",UPPER(SUBSTITUTE('Marcación Workera'!B932,".","")))</f>
        <v>15593625-8</v>
      </c>
    </row>
    <row r="933" spans="2:3" ht="15" customHeight="1" x14ac:dyDescent="0.3">
      <c r="B933" s="17">
        <f>IF('Marcación Workera'!G933="","",INT('Marcación Workera'!G933))</f>
        <v>46246</v>
      </c>
      <c r="C933" s="18" t="str">
        <f>IF('Marcación Workera'!B933="","",UPPER(SUBSTITUTE('Marcación Workera'!B933,".","")))</f>
        <v>15593625-8</v>
      </c>
    </row>
    <row r="934" spans="2:3" ht="15" customHeight="1" x14ac:dyDescent="0.3">
      <c r="B934" s="17">
        <f>IF('Marcación Workera'!G934="","",INT('Marcación Workera'!G934))</f>
        <v>46246</v>
      </c>
      <c r="C934" s="18" t="str">
        <f>IF('Marcación Workera'!B934="","",UPPER(SUBSTITUTE('Marcación Workera'!B934,".","")))</f>
        <v>13855440-6</v>
      </c>
    </row>
    <row r="935" spans="2:3" ht="15" customHeight="1" x14ac:dyDescent="0.3">
      <c r="B935" s="17">
        <f>IF('Marcación Workera'!G935="","",INT('Marcación Workera'!G935))</f>
        <v>46246</v>
      </c>
      <c r="C935" s="18" t="str">
        <f>IF('Marcación Workera'!B935="","",UPPER(SUBSTITUTE('Marcación Workera'!B935,".","")))</f>
        <v>13744310-4</v>
      </c>
    </row>
    <row r="936" spans="2:3" ht="15" customHeight="1" x14ac:dyDescent="0.3">
      <c r="B936" s="17">
        <f>IF('Marcación Workera'!G936="","",INT('Marcación Workera'!G936))</f>
        <v>46246</v>
      </c>
      <c r="C936" s="18" t="str">
        <f>IF('Marcación Workera'!B936="","",UPPER(SUBSTITUTE('Marcación Workera'!B936,".","")))</f>
        <v>15593625-8</v>
      </c>
    </row>
    <row r="937" spans="2:3" ht="15" customHeight="1" x14ac:dyDescent="0.3">
      <c r="B937" s="17">
        <f>IF('Marcación Workera'!G937="","",INT('Marcación Workera'!G937))</f>
        <v>46246</v>
      </c>
      <c r="C937" s="18" t="str">
        <f>IF('Marcación Workera'!B937="","",UPPER(SUBSTITUTE('Marcación Workera'!B937,".","")))</f>
        <v>14117289-1</v>
      </c>
    </row>
    <row r="938" spans="2:3" ht="15" customHeight="1" x14ac:dyDescent="0.3">
      <c r="B938" s="17">
        <f>IF('Marcación Workera'!G938="","",INT('Marcación Workera'!G938))</f>
        <v>46245</v>
      </c>
      <c r="C938" s="18" t="str">
        <f>IF('Marcación Workera'!B938="","",UPPER(SUBSTITUTE('Marcación Workera'!B938,".","")))</f>
        <v>21516063-7</v>
      </c>
    </row>
    <row r="939" spans="2:3" ht="15" customHeight="1" x14ac:dyDescent="0.3">
      <c r="B939" s="17">
        <f>IF('Marcación Workera'!G939="","",INT('Marcación Workera'!G939))</f>
        <v>46245</v>
      </c>
      <c r="C939" s="18" t="str">
        <f>IF('Marcación Workera'!B939="","",UPPER(SUBSTITUTE('Marcación Workera'!B939,".","")))</f>
        <v>15593625-8</v>
      </c>
    </row>
    <row r="940" spans="2:3" ht="15" customHeight="1" x14ac:dyDescent="0.3">
      <c r="B940" s="17">
        <f>IF('Marcación Workera'!G940="","",INT('Marcación Workera'!G940))</f>
        <v>46245</v>
      </c>
      <c r="C940" s="18" t="str">
        <f>IF('Marcación Workera'!B940="","",UPPER(SUBSTITUTE('Marcación Workera'!B940,".","")))</f>
        <v>14117289-1</v>
      </c>
    </row>
    <row r="941" spans="2:3" ht="15" customHeight="1" x14ac:dyDescent="0.3">
      <c r="B941" s="17">
        <f>IF('Marcación Workera'!G941="","",INT('Marcación Workera'!G941))</f>
        <v>46245</v>
      </c>
      <c r="C941" s="18" t="str">
        <f>IF('Marcación Workera'!B941="","",UPPER(SUBSTITUTE('Marcación Workera'!B941,".","")))</f>
        <v>18352777-0</v>
      </c>
    </row>
    <row r="942" spans="2:3" ht="15" customHeight="1" x14ac:dyDescent="0.3">
      <c r="B942" s="17">
        <f>IF('Marcación Workera'!G942="","",INT('Marcación Workera'!G942))</f>
        <v>46245</v>
      </c>
      <c r="C942" s="18" t="str">
        <f>IF('Marcación Workera'!B942="","",UPPER(SUBSTITUTE('Marcación Workera'!B942,".","")))</f>
        <v>13855440-6</v>
      </c>
    </row>
    <row r="943" spans="2:3" ht="15" customHeight="1" x14ac:dyDescent="0.3">
      <c r="B943" s="17">
        <f>IF('Marcación Workera'!G943="","",INT('Marcación Workera'!G943))</f>
        <v>46245</v>
      </c>
      <c r="C943" s="18" t="str">
        <f>IF('Marcación Workera'!B943="","",UPPER(SUBSTITUTE('Marcación Workera'!B943,".","")))</f>
        <v>13744310-4</v>
      </c>
    </row>
    <row r="944" spans="2:3" ht="15" customHeight="1" x14ac:dyDescent="0.3">
      <c r="B944" s="17">
        <f>IF('Marcación Workera'!G944="","",INT('Marcación Workera'!G944))</f>
        <v>46245</v>
      </c>
      <c r="C944" s="18" t="str">
        <f>IF('Marcación Workera'!B944="","",UPPER(SUBSTITUTE('Marcación Workera'!B944,".","")))</f>
        <v>15593625-8</v>
      </c>
    </row>
    <row r="945" spans="2:3" ht="15" customHeight="1" x14ac:dyDescent="0.3">
      <c r="B945" s="17">
        <f>IF('Marcación Workera'!G945="","",INT('Marcación Workera'!G945))</f>
        <v>46245</v>
      </c>
      <c r="C945" s="18" t="str">
        <f>IF('Marcación Workera'!B945="","",UPPER(SUBSTITUTE('Marcación Workera'!B945,".","")))</f>
        <v>14117289-1</v>
      </c>
    </row>
    <row r="946" spans="2:3" ht="15" customHeight="1" x14ac:dyDescent="0.3">
      <c r="B946" s="17">
        <f>IF('Marcación Workera'!G946="","",INT('Marcación Workera'!G946))</f>
        <v>46245</v>
      </c>
      <c r="C946" s="18" t="str">
        <f>IF('Marcación Workera'!B946="","",UPPER(SUBSTITUTE('Marcación Workera'!B946,".","")))</f>
        <v>14117289-1</v>
      </c>
    </row>
    <row r="947" spans="2:3" ht="15" customHeight="1" x14ac:dyDescent="0.3">
      <c r="B947" s="17">
        <f>IF('Marcación Workera'!G947="","",INT('Marcación Workera'!G947))</f>
        <v>46244</v>
      </c>
      <c r="C947" s="18" t="str">
        <f>IF('Marcación Workera'!B947="","",UPPER(SUBSTITUTE('Marcación Workera'!B947,".","")))</f>
        <v>14117289-1</v>
      </c>
    </row>
    <row r="948" spans="2:3" ht="15" customHeight="1" x14ac:dyDescent="0.3">
      <c r="B948" s="17">
        <f>IF('Marcación Workera'!G948="","",INT('Marcación Workera'!G948))</f>
        <v>46244</v>
      </c>
      <c r="C948" s="18" t="str">
        <f>IF('Marcación Workera'!B948="","",UPPER(SUBSTITUTE('Marcación Workera'!B948,".","")))</f>
        <v>13855440-6</v>
      </c>
    </row>
    <row r="949" spans="2:3" ht="15" customHeight="1" x14ac:dyDescent="0.3">
      <c r="B949" s="17">
        <f>IF('Marcación Workera'!G949="","",INT('Marcación Workera'!G949))</f>
        <v>46244</v>
      </c>
      <c r="C949" s="18" t="str">
        <f>IF('Marcación Workera'!B949="","",UPPER(SUBSTITUTE('Marcación Workera'!B949,".","")))</f>
        <v>8851229-4</v>
      </c>
    </row>
    <row r="950" spans="2:3" ht="15" customHeight="1" x14ac:dyDescent="0.3">
      <c r="B950" s="17">
        <f>IF('Marcación Workera'!G950="","",INT('Marcación Workera'!G950))</f>
        <v>46244</v>
      </c>
      <c r="C950" s="18" t="str">
        <f>IF('Marcación Workera'!B950="","",UPPER(SUBSTITUTE('Marcación Workera'!B950,".","")))</f>
        <v>13744310-4</v>
      </c>
    </row>
    <row r="951" spans="2:3" ht="15" customHeight="1" x14ac:dyDescent="0.3">
      <c r="B951" s="17">
        <f>IF('Marcación Workera'!G951="","",INT('Marcación Workera'!G951))</f>
        <v>46244</v>
      </c>
      <c r="C951" s="18" t="str">
        <f>IF('Marcación Workera'!B951="","",UPPER(SUBSTITUTE('Marcación Workera'!B951,".","")))</f>
        <v>15593625-8</v>
      </c>
    </row>
    <row r="952" spans="2:3" ht="15" customHeight="1" x14ac:dyDescent="0.3">
      <c r="B952" s="17">
        <f>IF('Marcación Workera'!G952="","",INT('Marcación Workera'!G952))</f>
        <v>46244</v>
      </c>
      <c r="C952" s="18" t="str">
        <f>IF('Marcación Workera'!B952="","",UPPER(SUBSTITUTE('Marcación Workera'!B952,".","")))</f>
        <v>15613806-1</v>
      </c>
    </row>
    <row r="953" spans="2:3" ht="15" customHeight="1" x14ac:dyDescent="0.3">
      <c r="B953" s="17">
        <f>IF('Marcación Workera'!G953="","",INT('Marcación Workera'!G953))</f>
        <v>46244</v>
      </c>
      <c r="C953" s="18" t="str">
        <f>IF('Marcación Workera'!B953="","",UPPER(SUBSTITUTE('Marcación Workera'!B953,".","")))</f>
        <v>13775192-5</v>
      </c>
    </row>
    <row r="954" spans="2:3" ht="15" customHeight="1" x14ac:dyDescent="0.3">
      <c r="B954" s="17">
        <f>IF('Marcación Workera'!G954="","",INT('Marcación Workera'!G954))</f>
        <v>46244</v>
      </c>
      <c r="C954" s="18" t="str">
        <f>IF('Marcación Workera'!B954="","",UPPER(SUBSTITUTE('Marcación Workera'!B954,".","")))</f>
        <v>21294612-5</v>
      </c>
    </row>
    <row r="955" spans="2:3" ht="15" customHeight="1" x14ac:dyDescent="0.3">
      <c r="B955" s="17">
        <f>IF('Marcación Workera'!G955="","",INT('Marcación Workera'!G955))</f>
        <v>46244</v>
      </c>
      <c r="C955" s="18" t="str">
        <f>IF('Marcación Workera'!B955="","",UPPER(SUBSTITUTE('Marcación Workera'!B955,".","")))</f>
        <v>17964013-9</v>
      </c>
    </row>
    <row r="956" spans="2:3" ht="15" customHeight="1" x14ac:dyDescent="0.3">
      <c r="B956" s="17">
        <f>IF('Marcación Workera'!G956="","",INT('Marcación Workera'!G956))</f>
        <v>46244</v>
      </c>
      <c r="C956" s="18" t="str">
        <f>IF('Marcación Workera'!B956="","",UPPER(SUBSTITUTE('Marcación Workera'!B956,".","")))</f>
        <v>17721340-3</v>
      </c>
    </row>
    <row r="957" spans="2:3" ht="15" customHeight="1" x14ac:dyDescent="0.3">
      <c r="B957" s="17">
        <f>IF('Marcación Workera'!G957="","",INT('Marcación Workera'!G957))</f>
        <v>46244</v>
      </c>
      <c r="C957" s="18" t="str">
        <f>IF('Marcación Workera'!B957="","",UPPER(SUBSTITUTE('Marcación Workera'!B957,".","")))</f>
        <v>18352777-0</v>
      </c>
    </row>
    <row r="958" spans="2:3" ht="15" customHeight="1" x14ac:dyDescent="0.3">
      <c r="B958" s="17">
        <f>IF('Marcación Workera'!G958="","",INT('Marcación Workera'!G958))</f>
        <v>46244</v>
      </c>
      <c r="C958" s="18" t="str">
        <f>IF('Marcación Workera'!B958="","",UPPER(SUBSTITUTE('Marcación Workera'!B958,".","")))</f>
        <v>21516063-7</v>
      </c>
    </row>
    <row r="959" spans="2:3" ht="15" customHeight="1" x14ac:dyDescent="0.3">
      <c r="B959" s="17">
        <f>IF('Marcación Workera'!G959="","",INT('Marcación Workera'!G959))</f>
        <v>46244</v>
      </c>
      <c r="C959" s="18" t="str">
        <f>IF('Marcación Workera'!B959="","",UPPER(SUBSTITUTE('Marcación Workera'!B959,".","")))</f>
        <v>18352777-0</v>
      </c>
    </row>
    <row r="960" spans="2:3" ht="15" customHeight="1" x14ac:dyDescent="0.3">
      <c r="B960" s="17">
        <f>IF('Marcación Workera'!G960="","",INT('Marcación Workera'!G960))</f>
        <v>46244</v>
      </c>
      <c r="C960" s="18" t="str">
        <f>IF('Marcación Workera'!B960="","",UPPER(SUBSTITUTE('Marcación Workera'!B960,".","")))</f>
        <v>13744310-4</v>
      </c>
    </row>
    <row r="961" spans="2:3" ht="15" customHeight="1" x14ac:dyDescent="0.3">
      <c r="B961" s="17">
        <f>IF('Marcación Workera'!G961="","",INT('Marcación Workera'!G961))</f>
        <v>46244</v>
      </c>
      <c r="C961" s="18" t="str">
        <f>IF('Marcación Workera'!B961="","",UPPER(SUBSTITUTE('Marcación Workera'!B961,".","")))</f>
        <v>19804200-5</v>
      </c>
    </row>
    <row r="962" spans="2:3" ht="15" customHeight="1" x14ac:dyDescent="0.3">
      <c r="B962" s="17">
        <f>IF('Marcación Workera'!G962="","",INT('Marcación Workera'!G962))</f>
        <v>46244</v>
      </c>
      <c r="C962" s="18" t="str">
        <f>IF('Marcación Workera'!B962="","",UPPER(SUBSTITUTE('Marcación Workera'!B962,".","")))</f>
        <v>21294612-5</v>
      </c>
    </row>
    <row r="963" spans="2:3" ht="15" customHeight="1" x14ac:dyDescent="0.3">
      <c r="B963" s="17">
        <f>IF('Marcación Workera'!G963="","",INT('Marcación Workera'!G963))</f>
        <v>46244</v>
      </c>
      <c r="C963" s="18" t="str">
        <f>IF('Marcación Workera'!B963="","",UPPER(SUBSTITUTE('Marcación Workera'!B963,".","")))</f>
        <v>17721340-3</v>
      </c>
    </row>
    <row r="964" spans="2:3" ht="15" customHeight="1" x14ac:dyDescent="0.3">
      <c r="B964" s="17">
        <f>IF('Marcación Workera'!G964="","",INT('Marcación Workera'!G964))</f>
        <v>46244</v>
      </c>
      <c r="C964" s="18" t="str">
        <f>IF('Marcación Workera'!B964="","",UPPER(SUBSTITUTE('Marcación Workera'!B964,".","")))</f>
        <v>21516063-7</v>
      </c>
    </row>
    <row r="965" spans="2:3" ht="15" customHeight="1" x14ac:dyDescent="0.3">
      <c r="B965" s="17">
        <f>IF('Marcación Workera'!G965="","",INT('Marcación Workera'!G965))</f>
        <v>46244</v>
      </c>
      <c r="C965" s="18" t="str">
        <f>IF('Marcación Workera'!B965="","",UPPER(SUBSTITUTE('Marcación Workera'!B965,".","")))</f>
        <v>13855440-6</v>
      </c>
    </row>
    <row r="966" spans="2:3" ht="15" customHeight="1" x14ac:dyDescent="0.3">
      <c r="B966" s="17">
        <f>IF('Marcación Workera'!G966="","",INT('Marcación Workera'!G966))</f>
        <v>46244</v>
      </c>
      <c r="C966" s="18" t="str">
        <f>IF('Marcación Workera'!B966="","",UPPER(SUBSTITUTE('Marcación Workera'!B966,".","")))</f>
        <v>13412582-9</v>
      </c>
    </row>
    <row r="967" spans="2:3" ht="15" customHeight="1" x14ac:dyDescent="0.3">
      <c r="B967" s="17">
        <f>IF('Marcación Workera'!G967="","",INT('Marcación Workera'!G967))</f>
        <v>46244</v>
      </c>
      <c r="C967" s="18" t="str">
        <f>IF('Marcación Workera'!B967="","",UPPER(SUBSTITUTE('Marcación Workera'!B967,".","")))</f>
        <v>15613806-1</v>
      </c>
    </row>
    <row r="968" spans="2:3" ht="15" customHeight="1" x14ac:dyDescent="0.3">
      <c r="B968" s="17">
        <f>IF('Marcación Workera'!G968="","",INT('Marcación Workera'!G968))</f>
        <v>46244</v>
      </c>
      <c r="C968" s="18" t="str">
        <f>IF('Marcación Workera'!B968="","",UPPER(SUBSTITUTE('Marcación Workera'!B968,".","")))</f>
        <v>15593625-8</v>
      </c>
    </row>
    <row r="969" spans="2:3" ht="15" customHeight="1" x14ac:dyDescent="0.3">
      <c r="B969" s="17">
        <f>IF('Marcación Workera'!G969="","",INT('Marcación Workera'!G969))</f>
        <v>46244</v>
      </c>
      <c r="C969" s="18" t="str">
        <f>IF('Marcación Workera'!B969="","",UPPER(SUBSTITUTE('Marcación Workera'!B969,".","")))</f>
        <v>20718093-9</v>
      </c>
    </row>
    <row r="970" spans="2:3" ht="15" customHeight="1" x14ac:dyDescent="0.3">
      <c r="B970" s="17">
        <f>IF('Marcación Workera'!G970="","",INT('Marcación Workera'!G970))</f>
        <v>46244</v>
      </c>
      <c r="C970" s="18" t="str">
        <f>IF('Marcación Workera'!B970="","",UPPER(SUBSTITUTE('Marcación Workera'!B970,".","")))</f>
        <v>17964013-9</v>
      </c>
    </row>
    <row r="971" spans="2:3" ht="15" customHeight="1" x14ac:dyDescent="0.3">
      <c r="B971" s="17">
        <f>IF('Marcación Workera'!G971="","",INT('Marcación Workera'!G971))</f>
        <v>46244</v>
      </c>
      <c r="C971" s="18" t="str">
        <f>IF('Marcación Workera'!B971="","",UPPER(SUBSTITUTE('Marcación Workera'!B971,".","")))</f>
        <v>13775192-5</v>
      </c>
    </row>
    <row r="972" spans="2:3" ht="15" customHeight="1" x14ac:dyDescent="0.3">
      <c r="B972" s="17">
        <f>IF('Marcación Workera'!G972="","",INT('Marcación Workera'!G972))</f>
        <v>46244</v>
      </c>
      <c r="C972" s="18" t="str">
        <f>IF('Marcación Workera'!B972="","",UPPER(SUBSTITUTE('Marcación Workera'!B972,".","")))</f>
        <v>23868099-9</v>
      </c>
    </row>
    <row r="973" spans="2:3" ht="15" customHeight="1" x14ac:dyDescent="0.3">
      <c r="B973" s="17">
        <f>IF('Marcación Workera'!G973="","",INT('Marcación Workera'!G973))</f>
        <v>46244</v>
      </c>
      <c r="C973" s="18" t="str">
        <f>IF('Marcación Workera'!B973="","",UPPER(SUBSTITUTE('Marcación Workera'!B973,".","")))</f>
        <v>14117289-1</v>
      </c>
    </row>
    <row r="974" spans="2:3" ht="15" customHeight="1" x14ac:dyDescent="0.3">
      <c r="B974" s="17">
        <f>IF('Marcación Workera'!G974="","",INT('Marcación Workera'!G974))</f>
        <v>46243</v>
      </c>
      <c r="C974" s="18" t="str">
        <f>IF('Marcación Workera'!B974="","",UPPER(SUBSTITUTE('Marcación Workera'!B974,".","")))</f>
        <v>18352777-0</v>
      </c>
    </row>
    <row r="975" spans="2:3" ht="15" customHeight="1" x14ac:dyDescent="0.3">
      <c r="B975" s="17">
        <f>IF('Marcación Workera'!G975="","",INT('Marcación Workera'!G975))</f>
        <v>46243</v>
      </c>
      <c r="C975" s="18" t="str">
        <f>IF('Marcación Workera'!B975="","",UPPER(SUBSTITUTE('Marcación Workera'!B975,".","")))</f>
        <v>21516063-7</v>
      </c>
    </row>
    <row r="976" spans="2:3" ht="15" customHeight="1" x14ac:dyDescent="0.3">
      <c r="B976" s="17">
        <f>IF('Marcación Workera'!G976="","",INT('Marcación Workera'!G976))</f>
        <v>46243</v>
      </c>
      <c r="C976" s="18" t="str">
        <f>IF('Marcación Workera'!B976="","",UPPER(SUBSTITUTE('Marcación Workera'!B976,".","")))</f>
        <v>21516063-7</v>
      </c>
    </row>
    <row r="977" spans="2:3" ht="15" customHeight="1" x14ac:dyDescent="0.3">
      <c r="B977" s="17">
        <f>IF('Marcación Workera'!G977="","",INT('Marcación Workera'!G977))</f>
        <v>46243</v>
      </c>
      <c r="C977" s="18" t="str">
        <f>IF('Marcación Workera'!B977="","",UPPER(SUBSTITUTE('Marcación Workera'!B977,".","")))</f>
        <v>15613806-1</v>
      </c>
    </row>
    <row r="978" spans="2:3" ht="15" customHeight="1" x14ac:dyDescent="0.3">
      <c r="B978" s="17">
        <f>IF('Marcación Workera'!G978="","",INT('Marcación Workera'!G978))</f>
        <v>46243</v>
      </c>
      <c r="C978" s="18" t="str">
        <f>IF('Marcación Workera'!B978="","",UPPER(SUBSTITUTE('Marcación Workera'!B978,".","")))</f>
        <v>13855440-6</v>
      </c>
    </row>
    <row r="979" spans="2:3" ht="15" customHeight="1" x14ac:dyDescent="0.3">
      <c r="B979" s="17">
        <f>IF('Marcación Workera'!G979="","",INT('Marcación Workera'!G979))</f>
        <v>46243</v>
      </c>
      <c r="C979" s="18" t="str">
        <f>IF('Marcación Workera'!B979="","",UPPER(SUBSTITUTE('Marcación Workera'!B979,".","")))</f>
        <v>8851229-4</v>
      </c>
    </row>
    <row r="980" spans="2:3" ht="15" customHeight="1" x14ac:dyDescent="0.3">
      <c r="B980" s="17">
        <f>IF('Marcación Workera'!G980="","",INT('Marcación Workera'!G980))</f>
        <v>46243</v>
      </c>
      <c r="C980" s="18" t="str">
        <f>IF('Marcación Workera'!B980="","",UPPER(SUBSTITUTE('Marcación Workera'!B980,".","")))</f>
        <v>17721340-3</v>
      </c>
    </row>
    <row r="981" spans="2:3" ht="15" customHeight="1" x14ac:dyDescent="0.3">
      <c r="B981" s="17">
        <f>IF('Marcación Workera'!G981="","",INT('Marcación Workera'!G981))</f>
        <v>46243</v>
      </c>
      <c r="C981" s="18" t="str">
        <f>IF('Marcación Workera'!B981="","",UPPER(SUBSTITUTE('Marcación Workera'!B981,".","")))</f>
        <v>13775192-5</v>
      </c>
    </row>
    <row r="982" spans="2:3" ht="15" customHeight="1" x14ac:dyDescent="0.3">
      <c r="B982" s="17">
        <f>IF('Marcación Workera'!G982="","",INT('Marcación Workera'!G982))</f>
        <v>46243</v>
      </c>
      <c r="C982" s="18" t="str">
        <f>IF('Marcación Workera'!B982="","",UPPER(SUBSTITUTE('Marcación Workera'!B982,".","")))</f>
        <v>13744310-4</v>
      </c>
    </row>
    <row r="983" spans="2:3" ht="15" customHeight="1" x14ac:dyDescent="0.3">
      <c r="B983" s="17">
        <f>IF('Marcación Workera'!G983="","",INT('Marcación Workera'!G983))</f>
        <v>46243</v>
      </c>
      <c r="C983" s="18" t="str">
        <f>IF('Marcación Workera'!B983="","",UPPER(SUBSTITUTE('Marcación Workera'!B983,".","")))</f>
        <v>23868099-9</v>
      </c>
    </row>
    <row r="984" spans="2:3" ht="15" customHeight="1" x14ac:dyDescent="0.3">
      <c r="B984" s="17">
        <f>IF('Marcación Workera'!G984="","",INT('Marcación Workera'!G984))</f>
        <v>46243</v>
      </c>
      <c r="C984" s="18" t="str">
        <f>IF('Marcación Workera'!B984="","",UPPER(SUBSTITUTE('Marcación Workera'!B984,".","")))</f>
        <v>13809180-5</v>
      </c>
    </row>
    <row r="985" spans="2:3" ht="15" customHeight="1" x14ac:dyDescent="0.3">
      <c r="B985" s="17">
        <f>IF('Marcación Workera'!G985="","",INT('Marcación Workera'!G985))</f>
        <v>46243</v>
      </c>
      <c r="C985" s="18" t="str">
        <f>IF('Marcación Workera'!B985="","",UPPER(SUBSTITUTE('Marcación Workera'!B985,".","")))</f>
        <v>17964013-9</v>
      </c>
    </row>
    <row r="986" spans="2:3" ht="15" customHeight="1" x14ac:dyDescent="0.3">
      <c r="B986" s="17">
        <f>IF('Marcación Workera'!G986="","",INT('Marcación Workera'!G986))</f>
        <v>46243</v>
      </c>
      <c r="C986" s="18" t="str">
        <f>IF('Marcación Workera'!B986="","",UPPER(SUBSTITUTE('Marcación Workera'!B986,".","")))</f>
        <v>14117289-1</v>
      </c>
    </row>
    <row r="987" spans="2:3" ht="15" customHeight="1" x14ac:dyDescent="0.3">
      <c r="B987" s="17">
        <f>IF('Marcación Workera'!G987="","",INT('Marcación Workera'!G987))</f>
        <v>46243</v>
      </c>
      <c r="C987" s="18" t="str">
        <f>IF('Marcación Workera'!B987="","",UPPER(SUBSTITUTE('Marcación Workera'!B987,".","")))</f>
        <v>13855440-6</v>
      </c>
    </row>
    <row r="988" spans="2:3" ht="15" customHeight="1" x14ac:dyDescent="0.3">
      <c r="B988" s="17">
        <f>IF('Marcación Workera'!G988="","",INT('Marcación Workera'!G988))</f>
        <v>46243</v>
      </c>
      <c r="C988" s="18" t="str">
        <f>IF('Marcación Workera'!B988="","",UPPER(SUBSTITUTE('Marcación Workera'!B988,".","")))</f>
        <v>13775192-5</v>
      </c>
    </row>
    <row r="989" spans="2:3" ht="15" customHeight="1" x14ac:dyDescent="0.3">
      <c r="B989" s="17">
        <f>IF('Marcación Workera'!G989="","",INT('Marcación Workera'!G989))</f>
        <v>46243</v>
      </c>
      <c r="C989" s="18" t="str">
        <f>IF('Marcación Workera'!B989="","",UPPER(SUBSTITUTE('Marcación Workera'!B989,".","")))</f>
        <v>21516063-7</v>
      </c>
    </row>
    <row r="990" spans="2:3" ht="15" customHeight="1" x14ac:dyDescent="0.3">
      <c r="B990" s="17">
        <f>IF('Marcación Workera'!G990="","",INT('Marcación Workera'!G990))</f>
        <v>46243</v>
      </c>
      <c r="C990" s="18" t="str">
        <f>IF('Marcación Workera'!B990="","",UPPER(SUBSTITUTE('Marcación Workera'!B990,".","")))</f>
        <v>15613806-1</v>
      </c>
    </row>
    <row r="991" spans="2:3" ht="15" customHeight="1" x14ac:dyDescent="0.3">
      <c r="B991" s="17">
        <f>IF('Marcación Workera'!G991="","",INT('Marcación Workera'!G991))</f>
        <v>46243</v>
      </c>
      <c r="C991" s="18" t="str">
        <f>IF('Marcación Workera'!B991="","",UPPER(SUBSTITUTE('Marcación Workera'!B991,".","")))</f>
        <v>23868099-9</v>
      </c>
    </row>
    <row r="992" spans="2:3" ht="15" customHeight="1" x14ac:dyDescent="0.3">
      <c r="B992" s="17">
        <f>IF('Marcación Workera'!G992="","",INT('Marcación Workera'!G992))</f>
        <v>46243</v>
      </c>
      <c r="C992" s="18" t="str">
        <f>IF('Marcación Workera'!B992="","",UPPER(SUBSTITUTE('Marcación Workera'!B992,".","")))</f>
        <v>21294612-5</v>
      </c>
    </row>
    <row r="993" spans="2:3" ht="15" customHeight="1" x14ac:dyDescent="0.3">
      <c r="B993" s="17">
        <f>IF('Marcación Workera'!G993="","",INT('Marcación Workera'!G993))</f>
        <v>46243</v>
      </c>
      <c r="C993" s="18" t="str">
        <f>IF('Marcación Workera'!B993="","",UPPER(SUBSTITUTE('Marcación Workera'!B993,".","")))</f>
        <v>14413231-9</v>
      </c>
    </row>
    <row r="994" spans="2:3" ht="15" customHeight="1" x14ac:dyDescent="0.3">
      <c r="B994" s="17">
        <f>IF('Marcación Workera'!G994="","",INT('Marcación Workera'!G994))</f>
        <v>46243</v>
      </c>
      <c r="C994" s="18" t="str">
        <f>IF('Marcación Workera'!B994="","",UPPER(SUBSTITUTE('Marcación Workera'!B994,".","")))</f>
        <v>17721340-3</v>
      </c>
    </row>
    <row r="995" spans="2:3" ht="15" customHeight="1" x14ac:dyDescent="0.3">
      <c r="B995" s="17">
        <f>IF('Marcación Workera'!G995="","",INT('Marcación Workera'!G995))</f>
        <v>46243</v>
      </c>
      <c r="C995" s="18" t="str">
        <f>IF('Marcación Workera'!B995="","",UPPER(SUBSTITUTE('Marcación Workera'!B995,".","")))</f>
        <v>17964013-9</v>
      </c>
    </row>
    <row r="996" spans="2:3" ht="15" customHeight="1" x14ac:dyDescent="0.3">
      <c r="B996" s="17">
        <f>IF('Marcación Workera'!G996="","",INT('Marcación Workera'!G996))</f>
        <v>46243</v>
      </c>
      <c r="C996" s="18" t="str">
        <f>IF('Marcación Workera'!B996="","",UPPER(SUBSTITUTE('Marcación Workera'!B996,".","")))</f>
        <v>23868099-9</v>
      </c>
    </row>
    <row r="997" spans="2:3" ht="15" customHeight="1" x14ac:dyDescent="0.3">
      <c r="B997" s="17">
        <f>IF('Marcación Workera'!G997="","",INT('Marcación Workera'!G997))</f>
        <v>46243</v>
      </c>
      <c r="C997" s="18" t="str">
        <f>IF('Marcación Workera'!B997="","",UPPER(SUBSTITUTE('Marcación Workera'!B997,".","")))</f>
        <v>13809180-5</v>
      </c>
    </row>
    <row r="998" spans="2:3" ht="15" customHeight="1" x14ac:dyDescent="0.3">
      <c r="B998" s="17">
        <f>IF('Marcación Workera'!G998="","",INT('Marcación Workera'!G998))</f>
        <v>46243</v>
      </c>
      <c r="C998" s="18" t="str">
        <f>IF('Marcación Workera'!B998="","",UPPER(SUBSTITUTE('Marcación Workera'!B998,".","")))</f>
        <v>13744310-4</v>
      </c>
    </row>
    <row r="999" spans="2:3" ht="15" customHeight="1" x14ac:dyDescent="0.3">
      <c r="B999" s="17">
        <f>IF('Marcación Workera'!G999="","",INT('Marcación Workera'!G999))</f>
        <v>46243</v>
      </c>
      <c r="C999" s="18" t="str">
        <f>IF('Marcación Workera'!B999="","",UPPER(SUBSTITUTE('Marcación Workera'!B999,".","")))</f>
        <v>18352777-0</v>
      </c>
    </row>
    <row r="1000" spans="2:3" ht="15" customHeight="1" x14ac:dyDescent="0.3">
      <c r="B1000" s="17">
        <f>IF('Marcación Workera'!G1000="","",INT('Marcación Workera'!G1000))</f>
        <v>46243</v>
      </c>
      <c r="C1000" s="18" t="str">
        <f>IF('Marcación Workera'!B1000="","",UPPER(SUBSTITUTE('Marcación Workera'!B1000,".","")))</f>
        <v>12152241-1</v>
      </c>
    </row>
    <row r="1001" spans="2:3" ht="15" customHeight="1" x14ac:dyDescent="0.3">
      <c r="B1001" s="17">
        <f>IF('Marcación Workera'!G1001="","",INT('Marcación Workera'!G1001))</f>
        <v>46242</v>
      </c>
      <c r="C1001" s="18" t="str">
        <f>IF('Marcación Workera'!B1001="","",UPPER(SUBSTITUTE('Marcación Workera'!B1001,".","")))</f>
        <v>18352777-0</v>
      </c>
    </row>
    <row r="1002" spans="2:3" ht="15" customHeight="1" x14ac:dyDescent="0.3">
      <c r="B1002" s="17">
        <f>IF('Marcación Workera'!G1002="","",INT('Marcación Workera'!G1002))</f>
        <v>46242</v>
      </c>
      <c r="C1002" s="18" t="str">
        <f>IF('Marcación Workera'!B1002="","",UPPER(SUBSTITUTE('Marcación Workera'!B1002,".","")))</f>
        <v>13855440-6</v>
      </c>
    </row>
    <row r="1003" spans="2:3" ht="15" customHeight="1" x14ac:dyDescent="0.3">
      <c r="B1003" s="17">
        <f>IF('Marcación Workera'!G1003="","",INT('Marcación Workera'!G1003))</f>
        <v>46242</v>
      </c>
      <c r="C1003" s="18" t="str">
        <f>IF('Marcación Workera'!B1003="","",UPPER(SUBSTITUTE('Marcación Workera'!B1003,".","")))</f>
        <v>13775192-5</v>
      </c>
    </row>
    <row r="1004" spans="2:3" ht="15" customHeight="1" x14ac:dyDescent="0.3">
      <c r="B1004" s="17">
        <f>IF('Marcación Workera'!G1004="","",INT('Marcación Workera'!G1004))</f>
        <v>46242</v>
      </c>
      <c r="C1004" s="18" t="str">
        <f>IF('Marcación Workera'!B1004="","",UPPER(SUBSTITUTE('Marcación Workera'!B1004,".","")))</f>
        <v>17964013-9</v>
      </c>
    </row>
    <row r="1005" spans="2:3" ht="15" customHeight="1" x14ac:dyDescent="0.3">
      <c r="B1005" s="17">
        <f>IF('Marcación Workera'!G1005="","",INT('Marcación Workera'!G1005))</f>
        <v>46242</v>
      </c>
      <c r="C1005" s="18" t="str">
        <f>IF('Marcación Workera'!B1005="","",UPPER(SUBSTITUTE('Marcación Workera'!B1005,".","")))</f>
        <v>21294612-5</v>
      </c>
    </row>
    <row r="1006" spans="2:3" ht="15" customHeight="1" x14ac:dyDescent="0.3">
      <c r="B1006" s="17">
        <f>IF('Marcación Workera'!G1006="","",INT('Marcación Workera'!G1006))</f>
        <v>46242</v>
      </c>
      <c r="C1006" s="18" t="str">
        <f>IF('Marcación Workera'!B1006="","",UPPER(SUBSTITUTE('Marcación Workera'!B1006,".","")))</f>
        <v>17721340-3</v>
      </c>
    </row>
    <row r="1007" spans="2:3" ht="15" customHeight="1" x14ac:dyDescent="0.3">
      <c r="B1007" s="17">
        <f>IF('Marcación Workera'!G1007="","",INT('Marcación Workera'!G1007))</f>
        <v>46242</v>
      </c>
      <c r="C1007" s="18" t="str">
        <f>IF('Marcación Workera'!B1007="","",UPPER(SUBSTITUTE('Marcación Workera'!B1007,".","")))</f>
        <v>15613806-1</v>
      </c>
    </row>
    <row r="1008" spans="2:3" ht="15" customHeight="1" x14ac:dyDescent="0.3">
      <c r="B1008" s="17">
        <f>IF('Marcación Workera'!G1008="","",INT('Marcación Workera'!G1008))</f>
        <v>46242</v>
      </c>
      <c r="C1008" s="18" t="str">
        <f>IF('Marcación Workera'!B1008="","",UPPER(SUBSTITUTE('Marcación Workera'!B1008,".","")))</f>
        <v>23868099-9</v>
      </c>
    </row>
    <row r="1009" spans="2:3" ht="15" customHeight="1" x14ac:dyDescent="0.3">
      <c r="B1009" s="17">
        <f>IF('Marcación Workera'!G1009="","",INT('Marcación Workera'!G1009))</f>
        <v>46242</v>
      </c>
      <c r="C1009" s="18" t="str">
        <f>IF('Marcación Workera'!B1009="","",UPPER(SUBSTITUTE('Marcación Workera'!B1009,".","")))</f>
        <v>18352777-0</v>
      </c>
    </row>
    <row r="1010" spans="2:3" ht="15" customHeight="1" x14ac:dyDescent="0.3">
      <c r="B1010" s="17">
        <f>IF('Marcación Workera'!G1010="","",INT('Marcación Workera'!G1010))</f>
        <v>46242</v>
      </c>
      <c r="C1010" s="18" t="str">
        <f>IF('Marcación Workera'!B1010="","",UPPER(SUBSTITUTE('Marcación Workera'!B1010,".","")))</f>
        <v>15613806-1</v>
      </c>
    </row>
    <row r="1011" spans="2:3" ht="15" customHeight="1" x14ac:dyDescent="0.3">
      <c r="B1011" s="17">
        <f>IF('Marcación Workera'!G1011="","",INT('Marcación Workera'!G1011))</f>
        <v>46242</v>
      </c>
      <c r="C1011" s="18" t="str">
        <f>IF('Marcación Workera'!B1011="","",UPPER(SUBSTITUTE('Marcación Workera'!B1011,".","")))</f>
        <v>17721340-3</v>
      </c>
    </row>
    <row r="1012" spans="2:3" ht="15" customHeight="1" x14ac:dyDescent="0.3">
      <c r="B1012" s="17">
        <f>IF('Marcación Workera'!G1012="","",INT('Marcación Workera'!G1012))</f>
        <v>46242</v>
      </c>
      <c r="C1012" s="18" t="str">
        <f>IF('Marcación Workera'!B1012="","",UPPER(SUBSTITUTE('Marcación Workera'!B1012,".","")))</f>
        <v>19804200-5</v>
      </c>
    </row>
    <row r="1013" spans="2:3" ht="15" customHeight="1" x14ac:dyDescent="0.3">
      <c r="B1013" s="17">
        <f>IF('Marcación Workera'!G1013="","",INT('Marcación Workera'!G1013))</f>
        <v>46242</v>
      </c>
      <c r="C1013" s="18" t="str">
        <f>IF('Marcación Workera'!B1013="","",UPPER(SUBSTITUTE('Marcación Workera'!B1013,".","")))</f>
        <v>13855440-6</v>
      </c>
    </row>
    <row r="1014" spans="2:3" ht="15" customHeight="1" x14ac:dyDescent="0.3">
      <c r="B1014" s="17">
        <f>IF('Marcación Workera'!G1014="","",INT('Marcación Workera'!G1014))</f>
        <v>46242</v>
      </c>
      <c r="C1014" s="18" t="str">
        <f>IF('Marcación Workera'!B1014="","",UPPER(SUBSTITUTE('Marcación Workera'!B1014,".","")))</f>
        <v>17964013-9</v>
      </c>
    </row>
    <row r="1015" spans="2:3" ht="15" customHeight="1" x14ac:dyDescent="0.3">
      <c r="B1015" s="17">
        <f>IF('Marcación Workera'!G1015="","",INT('Marcación Workera'!G1015))</f>
        <v>46242</v>
      </c>
      <c r="C1015" s="18" t="str">
        <f>IF('Marcación Workera'!B1015="","",UPPER(SUBSTITUTE('Marcación Workera'!B1015,".","")))</f>
        <v>13775192-5</v>
      </c>
    </row>
    <row r="1016" spans="2:3" ht="15" customHeight="1" x14ac:dyDescent="0.3">
      <c r="B1016" s="17">
        <f>IF('Marcación Workera'!G1016="","",INT('Marcación Workera'!G1016))</f>
        <v>46242</v>
      </c>
      <c r="C1016" s="18" t="str">
        <f>IF('Marcación Workera'!B1016="","",UPPER(SUBSTITUTE('Marcación Workera'!B1016,".","")))</f>
        <v>13809180-5</v>
      </c>
    </row>
    <row r="1017" spans="2:3" ht="15" customHeight="1" x14ac:dyDescent="0.3">
      <c r="B1017" s="17">
        <f>IF('Marcación Workera'!G1017="","",INT('Marcación Workera'!G1017))</f>
        <v>46242</v>
      </c>
      <c r="C1017" s="18" t="str">
        <f>IF('Marcación Workera'!B1017="","",UPPER(SUBSTITUTE('Marcación Workera'!B1017,".","")))</f>
        <v>23868099-9</v>
      </c>
    </row>
    <row r="1018" spans="2:3" ht="15" customHeight="1" x14ac:dyDescent="0.3">
      <c r="B1018" s="17">
        <f>IF('Marcación Workera'!G1018="","",INT('Marcación Workera'!G1018))</f>
        <v>46242</v>
      </c>
      <c r="C1018" s="18" t="str">
        <f>IF('Marcación Workera'!B1018="","",UPPER(SUBSTITUTE('Marcación Workera'!B1018,".","")))</f>
        <v>13744310-4</v>
      </c>
    </row>
    <row r="1019" spans="2:3" ht="15" customHeight="1" x14ac:dyDescent="0.3">
      <c r="B1019" s="17">
        <f>IF('Marcación Workera'!G1019="","",INT('Marcación Workera'!G1019))</f>
        <v>46242</v>
      </c>
      <c r="C1019" s="18" t="str">
        <f>IF('Marcación Workera'!B1019="","",UPPER(SUBSTITUTE('Marcación Workera'!B1019,".","")))</f>
        <v>14413231-9</v>
      </c>
    </row>
    <row r="1020" spans="2:3" ht="15" customHeight="1" x14ac:dyDescent="0.3">
      <c r="B1020" s="17">
        <f>IF('Marcación Workera'!G1020="","",INT('Marcación Workera'!G1020))</f>
        <v>46242</v>
      </c>
      <c r="C1020" s="18" t="str">
        <f>IF('Marcación Workera'!B1020="","",UPPER(SUBSTITUTE('Marcación Workera'!B1020,".","")))</f>
        <v>21516063-7</v>
      </c>
    </row>
    <row r="1021" spans="2:3" ht="15" customHeight="1" x14ac:dyDescent="0.3">
      <c r="B1021" s="17">
        <f>IF('Marcación Workera'!G1021="","",INT('Marcación Workera'!G1021))</f>
        <v>46241</v>
      </c>
      <c r="C1021" s="18" t="str">
        <f>IF('Marcación Workera'!B1021="","",UPPER(SUBSTITUTE('Marcación Workera'!B1021,".","")))</f>
        <v>15831074-0</v>
      </c>
    </row>
    <row r="1022" spans="2:3" ht="15" customHeight="1" x14ac:dyDescent="0.3">
      <c r="B1022" s="17">
        <f>IF('Marcación Workera'!G1022="","",INT('Marcación Workera'!G1022))</f>
        <v>46241</v>
      </c>
      <c r="C1022" s="18" t="str">
        <f>IF('Marcación Workera'!B1022="","",UPPER(SUBSTITUTE('Marcación Workera'!B1022,".","")))</f>
        <v>14413231-9</v>
      </c>
    </row>
    <row r="1023" spans="2:3" ht="15" customHeight="1" x14ac:dyDescent="0.3">
      <c r="B1023" s="17">
        <f>IF('Marcación Workera'!G1023="","",INT('Marcación Workera'!G1023))</f>
        <v>46241</v>
      </c>
      <c r="C1023" s="18" t="str">
        <f>IF('Marcación Workera'!B1023="","",UPPER(SUBSTITUTE('Marcación Workera'!B1023,".","")))</f>
        <v>21516063-7</v>
      </c>
    </row>
    <row r="1024" spans="2:3" ht="15" customHeight="1" x14ac:dyDescent="0.3">
      <c r="B1024" s="17">
        <f>IF('Marcación Workera'!G1024="","",INT('Marcación Workera'!G1024))</f>
        <v>46241</v>
      </c>
      <c r="C1024" s="18" t="str">
        <f>IF('Marcación Workera'!B1024="","",UPPER(SUBSTITUTE('Marcación Workera'!B1024,".","")))</f>
        <v>13775192-5</v>
      </c>
    </row>
    <row r="1025" spans="2:3" ht="15" customHeight="1" x14ac:dyDescent="0.3">
      <c r="B1025" s="17">
        <f>IF('Marcación Workera'!G1025="","",INT('Marcación Workera'!G1025))</f>
        <v>46241</v>
      </c>
      <c r="C1025" s="18" t="str">
        <f>IF('Marcación Workera'!B1025="","",UPPER(SUBSTITUTE('Marcación Workera'!B1025,".","")))</f>
        <v>17964013-9</v>
      </c>
    </row>
    <row r="1026" spans="2:3" ht="15" customHeight="1" x14ac:dyDescent="0.3">
      <c r="B1026" s="17">
        <f>IF('Marcación Workera'!G1026="","",INT('Marcación Workera'!G1026))</f>
        <v>46241</v>
      </c>
      <c r="C1026" s="18" t="str">
        <f>IF('Marcación Workera'!B1026="","",UPPER(SUBSTITUTE('Marcación Workera'!B1026,".","")))</f>
        <v>19804200-5</v>
      </c>
    </row>
    <row r="1027" spans="2:3" ht="15" customHeight="1" x14ac:dyDescent="0.3">
      <c r="B1027" s="17">
        <f>IF('Marcación Workera'!G1027="","",INT('Marcación Workera'!G1027))</f>
        <v>46241</v>
      </c>
      <c r="C1027" s="18" t="str">
        <f>IF('Marcación Workera'!B1027="","",UPPER(SUBSTITUTE('Marcación Workera'!B1027,".","")))</f>
        <v>13855440-6</v>
      </c>
    </row>
    <row r="1028" spans="2:3" ht="15" customHeight="1" x14ac:dyDescent="0.3">
      <c r="B1028" s="17">
        <f>IF('Marcación Workera'!G1028="","",INT('Marcación Workera'!G1028))</f>
        <v>46241</v>
      </c>
      <c r="C1028" s="18" t="str">
        <f>IF('Marcación Workera'!B1028="","",UPPER(SUBSTITUTE('Marcación Workera'!B1028,".","")))</f>
        <v>13744310-4</v>
      </c>
    </row>
    <row r="1029" spans="2:3" ht="15" customHeight="1" x14ac:dyDescent="0.3">
      <c r="B1029" s="17">
        <f>IF('Marcación Workera'!G1029="","",INT('Marcación Workera'!G1029))</f>
        <v>46241</v>
      </c>
      <c r="C1029" s="18" t="str">
        <f>IF('Marcación Workera'!B1029="","",UPPER(SUBSTITUTE('Marcación Workera'!B1029,".","")))</f>
        <v>23868099-9</v>
      </c>
    </row>
    <row r="1030" spans="2:3" ht="15" customHeight="1" x14ac:dyDescent="0.3">
      <c r="B1030" s="17">
        <f>IF('Marcación Workera'!G1030="","",INT('Marcación Workera'!G1030))</f>
        <v>46241</v>
      </c>
      <c r="C1030" s="18" t="str">
        <f>IF('Marcación Workera'!B1030="","",UPPER(SUBSTITUTE('Marcación Workera'!B1030,".","")))</f>
        <v>17721340-3</v>
      </c>
    </row>
    <row r="1031" spans="2:3" ht="15" customHeight="1" x14ac:dyDescent="0.3">
      <c r="B1031" s="17">
        <f>IF('Marcación Workera'!G1031="","",INT('Marcación Workera'!G1031))</f>
        <v>46241</v>
      </c>
      <c r="C1031" s="18" t="str">
        <f>IF('Marcación Workera'!B1031="","",UPPER(SUBSTITUTE('Marcación Workera'!B1031,".","")))</f>
        <v>15613806-1</v>
      </c>
    </row>
    <row r="1032" spans="2:3" ht="15" customHeight="1" x14ac:dyDescent="0.3">
      <c r="B1032" s="17">
        <f>IF('Marcación Workera'!G1032="","",INT('Marcación Workera'!G1032))</f>
        <v>46241</v>
      </c>
      <c r="C1032" s="18" t="str">
        <f>IF('Marcación Workera'!B1032="","",UPPER(SUBSTITUTE('Marcación Workera'!B1032,".","")))</f>
        <v>15613806-1</v>
      </c>
    </row>
    <row r="1033" spans="2:3" ht="15" customHeight="1" x14ac:dyDescent="0.3">
      <c r="B1033" s="17">
        <f>IF('Marcación Workera'!G1033="","",INT('Marcación Workera'!G1033))</f>
        <v>46241</v>
      </c>
      <c r="C1033" s="18" t="str">
        <f>IF('Marcación Workera'!B1033="","",UPPER(SUBSTITUTE('Marcación Workera'!B1033,".","")))</f>
        <v>13775192-5</v>
      </c>
    </row>
    <row r="1034" spans="2:3" ht="15" customHeight="1" x14ac:dyDescent="0.3">
      <c r="B1034" s="17">
        <f>IF('Marcación Workera'!G1034="","",INT('Marcación Workera'!G1034))</f>
        <v>46241</v>
      </c>
      <c r="C1034" s="18" t="str">
        <f>IF('Marcación Workera'!B1034="","",UPPER(SUBSTITUTE('Marcación Workera'!B1034,".","")))</f>
        <v>17964013-9</v>
      </c>
    </row>
    <row r="1035" spans="2:3" ht="15" customHeight="1" x14ac:dyDescent="0.3">
      <c r="B1035" s="17">
        <f>IF('Marcación Workera'!G1035="","",INT('Marcación Workera'!G1035))</f>
        <v>46241</v>
      </c>
      <c r="C1035" s="18" t="str">
        <f>IF('Marcación Workera'!B1035="","",UPPER(SUBSTITUTE('Marcación Workera'!B1035,".","")))</f>
        <v>12152241-1</v>
      </c>
    </row>
    <row r="1036" spans="2:3" ht="15" customHeight="1" x14ac:dyDescent="0.3">
      <c r="B1036" s="17">
        <f>IF('Marcación Workera'!G1036="","",INT('Marcación Workera'!G1036))</f>
        <v>46241</v>
      </c>
      <c r="C1036" s="18" t="str">
        <f>IF('Marcación Workera'!B1036="","",UPPER(SUBSTITUTE('Marcación Workera'!B1036,".","")))</f>
        <v>13855440-6</v>
      </c>
    </row>
    <row r="1037" spans="2:3" ht="15" customHeight="1" x14ac:dyDescent="0.3">
      <c r="B1037" s="17">
        <f>IF('Marcación Workera'!G1037="","",INT('Marcación Workera'!G1037))</f>
        <v>46241</v>
      </c>
      <c r="C1037" s="18" t="str">
        <f>IF('Marcación Workera'!B1037="","",UPPER(SUBSTITUTE('Marcación Workera'!B1037,".","")))</f>
        <v>23868099-9</v>
      </c>
    </row>
    <row r="1038" spans="2:3" ht="15" customHeight="1" x14ac:dyDescent="0.3">
      <c r="B1038" s="17">
        <f>IF('Marcación Workera'!G1038="","",INT('Marcación Workera'!G1038))</f>
        <v>46241</v>
      </c>
      <c r="C1038" s="18" t="str">
        <f>IF('Marcación Workera'!B1038="","",UPPER(SUBSTITUTE('Marcación Workera'!B1038,".","")))</f>
        <v>19804200-5</v>
      </c>
    </row>
    <row r="1039" spans="2:3" ht="15" customHeight="1" x14ac:dyDescent="0.3">
      <c r="B1039" s="17">
        <f>IF('Marcación Workera'!G1039="","",INT('Marcación Workera'!G1039))</f>
        <v>46241</v>
      </c>
      <c r="C1039" s="18" t="str">
        <f>IF('Marcación Workera'!B1039="","",UPPER(SUBSTITUTE('Marcación Workera'!B1039,".","")))</f>
        <v>13744310-4</v>
      </c>
    </row>
    <row r="1040" spans="2:3" ht="15" customHeight="1" x14ac:dyDescent="0.3">
      <c r="B1040" s="17">
        <f>IF('Marcación Workera'!G1040="","",INT('Marcación Workera'!G1040))</f>
        <v>46241</v>
      </c>
      <c r="C1040" s="18" t="str">
        <f>IF('Marcación Workera'!B1040="","",UPPER(SUBSTITUTE('Marcación Workera'!B1040,".","")))</f>
        <v>21516063-7</v>
      </c>
    </row>
    <row r="1041" spans="2:3" ht="15" customHeight="1" x14ac:dyDescent="0.3">
      <c r="B1041" s="17">
        <f>IF('Marcación Workera'!G1041="","",INT('Marcación Workera'!G1041))</f>
        <v>46241</v>
      </c>
      <c r="C1041" s="18" t="str">
        <f>IF('Marcación Workera'!B1041="","",UPPER(SUBSTITUTE('Marcación Workera'!B1041,".","")))</f>
        <v>14413231-9</v>
      </c>
    </row>
    <row r="1042" spans="2:3" ht="15" customHeight="1" x14ac:dyDescent="0.3">
      <c r="B1042" s="17">
        <f>IF('Marcación Workera'!G1042="","",INT('Marcación Workera'!G1042))</f>
        <v>46240</v>
      </c>
      <c r="C1042" s="18" t="str">
        <f>IF('Marcación Workera'!B1042="","",UPPER(SUBSTITUTE('Marcación Workera'!B1042,".","")))</f>
        <v>19804200-5</v>
      </c>
    </row>
    <row r="1043" spans="2:3" ht="15" customHeight="1" x14ac:dyDescent="0.3">
      <c r="B1043" s="17">
        <f>IF('Marcación Workera'!G1043="","",INT('Marcación Workera'!G1043))</f>
        <v>46240</v>
      </c>
      <c r="C1043" s="18" t="str">
        <f>IF('Marcación Workera'!B1043="","",UPPER(SUBSTITUTE('Marcación Workera'!B1043,".","")))</f>
        <v>13855440-6</v>
      </c>
    </row>
    <row r="1044" spans="2:3" ht="15" customHeight="1" x14ac:dyDescent="0.3">
      <c r="B1044" s="17">
        <f>IF('Marcación Workera'!G1044="","",INT('Marcación Workera'!G1044))</f>
        <v>46240</v>
      </c>
      <c r="C1044" s="18" t="str">
        <f>IF('Marcación Workera'!B1044="","",UPPER(SUBSTITUTE('Marcación Workera'!B1044,".","")))</f>
        <v>8851229-4</v>
      </c>
    </row>
    <row r="1045" spans="2:3" ht="15" customHeight="1" x14ac:dyDescent="0.3">
      <c r="B1045" s="17">
        <f>IF('Marcación Workera'!G1045="","",INT('Marcación Workera'!G1045))</f>
        <v>46240</v>
      </c>
      <c r="C1045" s="18" t="str">
        <f>IF('Marcación Workera'!B1045="","",UPPER(SUBSTITUTE('Marcación Workera'!B1045,".","")))</f>
        <v>14413231-9</v>
      </c>
    </row>
    <row r="1046" spans="2:3" ht="15" customHeight="1" x14ac:dyDescent="0.3">
      <c r="B1046" s="17">
        <f>IF('Marcación Workera'!G1046="","",INT('Marcación Workera'!G1046))</f>
        <v>46240</v>
      </c>
      <c r="C1046" s="18" t="str">
        <f>IF('Marcación Workera'!B1046="","",UPPER(SUBSTITUTE('Marcación Workera'!B1046,".","")))</f>
        <v>17964013-9</v>
      </c>
    </row>
    <row r="1047" spans="2:3" ht="15" customHeight="1" x14ac:dyDescent="0.3">
      <c r="B1047" s="17">
        <f>IF('Marcación Workera'!G1047="","",INT('Marcación Workera'!G1047))</f>
        <v>46240</v>
      </c>
      <c r="C1047" s="18" t="str">
        <f>IF('Marcación Workera'!B1047="","",UPPER(SUBSTITUTE('Marcación Workera'!B1047,".","")))</f>
        <v>13775192-5</v>
      </c>
    </row>
    <row r="1048" spans="2:3" ht="15" customHeight="1" x14ac:dyDescent="0.3">
      <c r="B1048" s="17">
        <f>IF('Marcación Workera'!G1048="","",INT('Marcación Workera'!G1048))</f>
        <v>46240</v>
      </c>
      <c r="C1048" s="18" t="str">
        <f>IF('Marcación Workera'!B1048="","",UPPER(SUBSTITUTE('Marcación Workera'!B1048,".","")))</f>
        <v>15613806-1</v>
      </c>
    </row>
    <row r="1049" spans="2:3" ht="15" customHeight="1" x14ac:dyDescent="0.3">
      <c r="B1049" s="17">
        <f>IF('Marcación Workera'!G1049="","",INT('Marcación Workera'!G1049))</f>
        <v>46240</v>
      </c>
      <c r="C1049" s="18" t="str">
        <f>IF('Marcación Workera'!B1049="","",UPPER(SUBSTITUTE('Marcación Workera'!B1049,".","")))</f>
        <v>15831074-0</v>
      </c>
    </row>
    <row r="1050" spans="2:3" ht="15" customHeight="1" x14ac:dyDescent="0.3">
      <c r="B1050" s="17">
        <f>IF('Marcación Workera'!G1050="","",INT('Marcación Workera'!G1050))</f>
        <v>46240</v>
      </c>
      <c r="C1050" s="18" t="str">
        <f>IF('Marcación Workera'!B1050="","",UPPER(SUBSTITUTE('Marcación Workera'!B1050,".","")))</f>
        <v>23868099-9</v>
      </c>
    </row>
    <row r="1051" spans="2:3" ht="15" customHeight="1" x14ac:dyDescent="0.3">
      <c r="B1051" s="17">
        <f>IF('Marcación Workera'!G1051="","",INT('Marcación Workera'!G1051))</f>
        <v>46240</v>
      </c>
      <c r="C1051" s="18" t="str">
        <f>IF('Marcación Workera'!B1051="","",UPPER(SUBSTITUTE('Marcación Workera'!B1051,".","")))</f>
        <v>21516063-7</v>
      </c>
    </row>
    <row r="1052" spans="2:3" ht="15" customHeight="1" x14ac:dyDescent="0.3">
      <c r="B1052" s="17">
        <f>IF('Marcación Workera'!G1052="","",INT('Marcación Workera'!G1052))</f>
        <v>46240</v>
      </c>
      <c r="C1052" s="18" t="str">
        <f>IF('Marcación Workera'!B1052="","",UPPER(SUBSTITUTE('Marcación Workera'!B1052,".","")))</f>
        <v>15593625-8</v>
      </c>
    </row>
    <row r="1053" spans="2:3" ht="15" customHeight="1" x14ac:dyDescent="0.3">
      <c r="B1053" s="17">
        <f>IF('Marcación Workera'!G1053="","",INT('Marcación Workera'!G1053))</f>
        <v>46240</v>
      </c>
      <c r="C1053" s="18" t="str">
        <f>IF('Marcación Workera'!B1053="","",UPPER(SUBSTITUTE('Marcación Workera'!B1053,".","")))</f>
        <v>13744310-4</v>
      </c>
    </row>
    <row r="1054" spans="2:3" ht="15" customHeight="1" x14ac:dyDescent="0.3">
      <c r="B1054" s="17">
        <f>IF('Marcación Workera'!G1054="","",INT('Marcación Workera'!G1054))</f>
        <v>46240</v>
      </c>
      <c r="C1054" s="18" t="str">
        <f>IF('Marcación Workera'!B1054="","",UPPER(SUBSTITUTE('Marcación Workera'!B1054,".","")))</f>
        <v>15593625-8</v>
      </c>
    </row>
    <row r="1055" spans="2:3" ht="15" customHeight="1" x14ac:dyDescent="0.3">
      <c r="B1055" s="17">
        <f>IF('Marcación Workera'!G1055="","",INT('Marcación Workera'!G1055))</f>
        <v>46240</v>
      </c>
      <c r="C1055" s="18" t="str">
        <f>IF('Marcación Workera'!B1055="","",UPPER(SUBSTITUTE('Marcación Workera'!B1055,".","")))</f>
        <v>15613806-1</v>
      </c>
    </row>
    <row r="1056" spans="2:3" ht="15" customHeight="1" x14ac:dyDescent="0.3">
      <c r="B1056" s="17">
        <f>IF('Marcación Workera'!G1056="","",INT('Marcación Workera'!G1056))</f>
        <v>46240</v>
      </c>
      <c r="C1056" s="18" t="str">
        <f>IF('Marcación Workera'!B1056="","",UPPER(SUBSTITUTE('Marcación Workera'!B1056,".","")))</f>
        <v>21516063-7</v>
      </c>
    </row>
    <row r="1057" spans="2:3" ht="15" customHeight="1" x14ac:dyDescent="0.3">
      <c r="B1057" s="17">
        <f>IF('Marcación Workera'!G1057="","",INT('Marcación Workera'!G1057))</f>
        <v>46240</v>
      </c>
      <c r="C1057" s="18" t="str">
        <f>IF('Marcación Workera'!B1057="","",UPPER(SUBSTITUTE('Marcación Workera'!B1057,".","")))</f>
        <v>17964013-9</v>
      </c>
    </row>
    <row r="1058" spans="2:3" ht="15" customHeight="1" x14ac:dyDescent="0.3">
      <c r="B1058" s="17">
        <f>IF('Marcación Workera'!G1058="","",INT('Marcación Workera'!G1058))</f>
        <v>46240</v>
      </c>
      <c r="C1058" s="18" t="str">
        <f>IF('Marcación Workera'!B1058="","",UPPER(SUBSTITUTE('Marcación Workera'!B1058,".","")))</f>
        <v>23868099-9</v>
      </c>
    </row>
    <row r="1059" spans="2:3" ht="15" customHeight="1" x14ac:dyDescent="0.3">
      <c r="B1059" s="17">
        <f>IF('Marcación Workera'!G1059="","",INT('Marcación Workera'!G1059))</f>
        <v>46240</v>
      </c>
      <c r="C1059" s="18" t="str">
        <f>IF('Marcación Workera'!B1059="","",UPPER(SUBSTITUTE('Marcación Workera'!B1059,".","")))</f>
        <v>14413231-9</v>
      </c>
    </row>
    <row r="1060" spans="2:3" ht="15" customHeight="1" x14ac:dyDescent="0.3">
      <c r="B1060" s="17">
        <f>IF('Marcación Workera'!G1060="","",INT('Marcación Workera'!G1060))</f>
        <v>46240</v>
      </c>
      <c r="C1060" s="18" t="str">
        <f>IF('Marcación Workera'!B1060="","",UPPER(SUBSTITUTE('Marcación Workera'!B1060,".","")))</f>
        <v>13744310-4</v>
      </c>
    </row>
    <row r="1061" spans="2:3" ht="15" customHeight="1" x14ac:dyDescent="0.3">
      <c r="B1061" s="17">
        <f>IF('Marcación Workera'!G1061="","",INT('Marcación Workera'!G1061))</f>
        <v>46240</v>
      </c>
      <c r="C1061" s="18" t="str">
        <f>IF('Marcación Workera'!B1061="","",UPPER(SUBSTITUTE('Marcación Workera'!B1061,".","")))</f>
        <v>13855440-6</v>
      </c>
    </row>
    <row r="1062" spans="2:3" ht="15" customHeight="1" x14ac:dyDescent="0.3">
      <c r="B1062" s="17">
        <f>IF('Marcación Workera'!G1062="","",INT('Marcación Workera'!G1062))</f>
        <v>46240</v>
      </c>
      <c r="C1062" s="18" t="str">
        <f>IF('Marcación Workera'!B1062="","",UPPER(SUBSTITUTE('Marcación Workera'!B1062,".","")))</f>
        <v>19804200-5</v>
      </c>
    </row>
    <row r="1063" spans="2:3" ht="15" customHeight="1" x14ac:dyDescent="0.3">
      <c r="B1063" s="17">
        <f>IF('Marcación Workera'!G1063="","",INT('Marcación Workera'!G1063))</f>
        <v>46239</v>
      </c>
      <c r="C1063" s="18" t="str">
        <f>IF('Marcación Workera'!B1063="","",UPPER(SUBSTITUTE('Marcación Workera'!B1063,".","")))</f>
        <v>8851229-4</v>
      </c>
    </row>
    <row r="1064" spans="2:3" ht="15" customHeight="1" x14ac:dyDescent="0.3">
      <c r="B1064" s="17">
        <f>IF('Marcación Workera'!G1064="","",INT('Marcación Workera'!G1064))</f>
        <v>46239</v>
      </c>
      <c r="C1064" s="18" t="str">
        <f>IF('Marcación Workera'!B1064="","",UPPER(SUBSTITUTE('Marcación Workera'!B1064,".","")))</f>
        <v>15831074-0</v>
      </c>
    </row>
    <row r="1065" spans="2:3" ht="15" customHeight="1" x14ac:dyDescent="0.3">
      <c r="B1065" s="17">
        <f>IF('Marcación Workera'!G1065="","",INT('Marcación Workera'!G1065))</f>
        <v>46239</v>
      </c>
      <c r="C1065" s="18" t="str">
        <f>IF('Marcación Workera'!B1065="","",UPPER(SUBSTITUTE('Marcación Workera'!B1065,".","")))</f>
        <v>14413231-9</v>
      </c>
    </row>
    <row r="1066" spans="2:3" ht="15" customHeight="1" x14ac:dyDescent="0.3">
      <c r="B1066" s="17">
        <f>IF('Marcación Workera'!G1066="","",INT('Marcación Workera'!G1066))</f>
        <v>46239</v>
      </c>
      <c r="C1066" s="18" t="str">
        <f>IF('Marcación Workera'!B1066="","",UPPER(SUBSTITUTE('Marcación Workera'!B1066,".","")))</f>
        <v>19804200-5</v>
      </c>
    </row>
    <row r="1067" spans="2:3" ht="15" customHeight="1" x14ac:dyDescent="0.3">
      <c r="B1067" s="17">
        <f>IF('Marcación Workera'!G1067="","",INT('Marcación Workera'!G1067))</f>
        <v>46239</v>
      </c>
      <c r="C1067" s="18" t="str">
        <f>IF('Marcación Workera'!B1067="","",UPPER(SUBSTITUTE('Marcación Workera'!B1067,".","")))</f>
        <v>13775192-5</v>
      </c>
    </row>
    <row r="1068" spans="2:3" ht="15" customHeight="1" x14ac:dyDescent="0.3">
      <c r="B1068" s="17">
        <f>IF('Marcación Workera'!G1068="","",INT('Marcación Workera'!G1068))</f>
        <v>46239</v>
      </c>
      <c r="C1068" s="18" t="str">
        <f>IF('Marcación Workera'!B1068="","",UPPER(SUBSTITUTE('Marcación Workera'!B1068,".","")))</f>
        <v>17964013-9</v>
      </c>
    </row>
    <row r="1069" spans="2:3" ht="15" customHeight="1" x14ac:dyDescent="0.3">
      <c r="B1069" s="17">
        <f>IF('Marcación Workera'!G1069="","",INT('Marcación Workera'!G1069))</f>
        <v>46239</v>
      </c>
      <c r="C1069" s="18" t="str">
        <f>IF('Marcación Workera'!B1069="","",UPPER(SUBSTITUTE('Marcación Workera'!B1069,".","")))</f>
        <v>15613806-1</v>
      </c>
    </row>
    <row r="1070" spans="2:3" ht="15" customHeight="1" x14ac:dyDescent="0.3">
      <c r="B1070" s="17">
        <f>IF('Marcación Workera'!G1070="","",INT('Marcación Workera'!G1070))</f>
        <v>46239</v>
      </c>
      <c r="C1070" s="18" t="str">
        <f>IF('Marcación Workera'!B1070="","",UPPER(SUBSTITUTE('Marcación Workera'!B1070,".","")))</f>
        <v>23868099-9</v>
      </c>
    </row>
    <row r="1071" spans="2:3" ht="15" customHeight="1" x14ac:dyDescent="0.3">
      <c r="B1071" s="17">
        <f>IF('Marcación Workera'!G1071="","",INT('Marcación Workera'!G1071))</f>
        <v>46239</v>
      </c>
      <c r="C1071" s="18" t="str">
        <f>IF('Marcación Workera'!B1071="","",UPPER(SUBSTITUTE('Marcación Workera'!B1071,".","")))</f>
        <v>15593625-8</v>
      </c>
    </row>
    <row r="1072" spans="2:3" ht="15" customHeight="1" x14ac:dyDescent="0.3">
      <c r="B1072" s="17">
        <f>IF('Marcación Workera'!G1072="","",INT('Marcación Workera'!G1072))</f>
        <v>46239</v>
      </c>
      <c r="C1072" s="18" t="str">
        <f>IF('Marcación Workera'!B1072="","",UPPER(SUBSTITUTE('Marcación Workera'!B1072,".","")))</f>
        <v>21516063-7</v>
      </c>
    </row>
    <row r="1073" spans="2:3" ht="15" customHeight="1" x14ac:dyDescent="0.3">
      <c r="B1073" s="17">
        <f>IF('Marcación Workera'!G1073="","",INT('Marcación Workera'!G1073))</f>
        <v>46239</v>
      </c>
      <c r="C1073" s="18" t="str">
        <f>IF('Marcación Workera'!B1073="","",UPPER(SUBSTITUTE('Marcación Workera'!B1073,".","")))</f>
        <v>13744310-4</v>
      </c>
    </row>
    <row r="1074" spans="2:3" ht="15" customHeight="1" x14ac:dyDescent="0.3">
      <c r="B1074" s="17">
        <f>IF('Marcación Workera'!G1074="","",INT('Marcación Workera'!G1074))</f>
        <v>46239</v>
      </c>
      <c r="C1074" s="18" t="str">
        <f>IF('Marcación Workera'!B1074="","",UPPER(SUBSTITUTE('Marcación Workera'!B1074,".","")))</f>
        <v>13855440-6</v>
      </c>
    </row>
    <row r="1075" spans="2:3" ht="15" customHeight="1" x14ac:dyDescent="0.3">
      <c r="B1075" s="17">
        <f>IF('Marcación Workera'!G1075="","",INT('Marcación Workera'!G1075))</f>
        <v>46239</v>
      </c>
      <c r="C1075" s="18" t="str">
        <f>IF('Marcación Workera'!B1075="","",UPPER(SUBSTITUTE('Marcación Workera'!B1075,".","")))</f>
        <v>13809180-5</v>
      </c>
    </row>
    <row r="1076" spans="2:3" ht="15" customHeight="1" x14ac:dyDescent="0.3">
      <c r="B1076" s="17">
        <f>IF('Marcación Workera'!G1076="","",INT('Marcación Workera'!G1076))</f>
        <v>46239</v>
      </c>
      <c r="C1076" s="18" t="str">
        <f>IF('Marcación Workera'!B1076="","",UPPER(SUBSTITUTE('Marcación Workera'!B1076,".","")))</f>
        <v>14413231-9</v>
      </c>
    </row>
    <row r="1077" spans="2:3" ht="15" customHeight="1" x14ac:dyDescent="0.3">
      <c r="B1077" s="17">
        <f>IF('Marcación Workera'!G1077="","",INT('Marcación Workera'!G1077))</f>
        <v>46239</v>
      </c>
      <c r="C1077" s="18" t="str">
        <f>IF('Marcación Workera'!B1077="","",UPPER(SUBSTITUTE('Marcación Workera'!B1077,".","")))</f>
        <v>15593625-8</v>
      </c>
    </row>
    <row r="1078" spans="2:3" ht="15" customHeight="1" x14ac:dyDescent="0.3">
      <c r="B1078" s="17">
        <f>IF('Marcación Workera'!G1078="","",INT('Marcación Workera'!G1078))</f>
        <v>46239</v>
      </c>
      <c r="C1078" s="18" t="str">
        <f>IF('Marcación Workera'!B1078="","",UPPER(SUBSTITUTE('Marcación Workera'!B1078,".","")))</f>
        <v>21516063-7</v>
      </c>
    </row>
    <row r="1079" spans="2:3" ht="15" customHeight="1" x14ac:dyDescent="0.3">
      <c r="B1079" s="17">
        <f>IF('Marcación Workera'!G1079="","",INT('Marcación Workera'!G1079))</f>
        <v>46239</v>
      </c>
      <c r="C1079" s="18" t="str">
        <f>IF('Marcación Workera'!B1079="","",UPPER(SUBSTITUTE('Marcación Workera'!B1079,".","")))</f>
        <v>13744310-4</v>
      </c>
    </row>
    <row r="1080" spans="2:3" ht="15" customHeight="1" x14ac:dyDescent="0.3">
      <c r="B1080" s="17">
        <f>IF('Marcación Workera'!G1080="","",INT('Marcación Workera'!G1080))</f>
        <v>46239</v>
      </c>
      <c r="C1080" s="18" t="str">
        <f>IF('Marcación Workera'!B1080="","",UPPER(SUBSTITUTE('Marcación Workera'!B1080,".","")))</f>
        <v>23868099-9</v>
      </c>
    </row>
    <row r="1081" spans="2:3" ht="15" customHeight="1" x14ac:dyDescent="0.3">
      <c r="B1081" s="17">
        <f>IF('Marcación Workera'!G1081="","",INT('Marcación Workera'!G1081))</f>
        <v>46239</v>
      </c>
      <c r="C1081" s="18" t="str">
        <f>IF('Marcación Workera'!B1081="","",UPPER(SUBSTITUTE('Marcación Workera'!B1081,".","")))</f>
        <v>19804200-5</v>
      </c>
    </row>
    <row r="1082" spans="2:3" ht="15" customHeight="1" x14ac:dyDescent="0.3">
      <c r="B1082" s="17">
        <f>IF('Marcación Workera'!G1082="","",INT('Marcación Workera'!G1082))</f>
        <v>46239</v>
      </c>
      <c r="C1082" s="18" t="str">
        <f>IF('Marcación Workera'!B1082="","",UPPER(SUBSTITUTE('Marcación Workera'!B1082,".","")))</f>
        <v>13775192-5</v>
      </c>
    </row>
    <row r="1083" spans="2:3" ht="15" customHeight="1" x14ac:dyDescent="0.3">
      <c r="B1083" s="17">
        <f>IF('Marcación Workera'!G1083="","",INT('Marcación Workera'!G1083))</f>
        <v>46239</v>
      </c>
      <c r="C1083" s="18" t="str">
        <f>IF('Marcación Workera'!B1083="","",UPPER(SUBSTITUTE('Marcación Workera'!B1083,".","")))</f>
        <v>13855440-6</v>
      </c>
    </row>
    <row r="1084" spans="2:3" ht="15" customHeight="1" x14ac:dyDescent="0.3">
      <c r="B1084" s="17">
        <f>IF('Marcación Workera'!G1084="","",INT('Marcación Workera'!G1084))</f>
        <v>46239</v>
      </c>
      <c r="C1084" s="18" t="str">
        <f>IF('Marcación Workera'!B1084="","",UPPER(SUBSTITUTE('Marcación Workera'!B1084,".","")))</f>
        <v>17964013-9</v>
      </c>
    </row>
    <row r="1085" spans="2:3" ht="15" customHeight="1" x14ac:dyDescent="0.3">
      <c r="B1085" s="17">
        <f>IF('Marcación Workera'!G1085="","",INT('Marcación Workera'!G1085))</f>
        <v>46239</v>
      </c>
      <c r="C1085" s="18" t="str">
        <f>IF('Marcación Workera'!B1085="","",UPPER(SUBSTITUTE('Marcación Workera'!B1085,".","")))</f>
        <v>12152241-1</v>
      </c>
    </row>
    <row r="1086" spans="2:3" ht="15" customHeight="1" x14ac:dyDescent="0.3">
      <c r="B1086" s="17">
        <f>IF('Marcación Workera'!G1086="","",INT('Marcación Workera'!G1086))</f>
        <v>46239</v>
      </c>
      <c r="C1086" s="18" t="str">
        <f>IF('Marcación Workera'!B1086="","",UPPER(SUBSTITUTE('Marcación Workera'!B1086,".","")))</f>
        <v>12152241-1</v>
      </c>
    </row>
    <row r="1087" spans="2:3" ht="15" customHeight="1" x14ac:dyDescent="0.3">
      <c r="B1087" s="17">
        <f>IF('Marcación Workera'!G1087="","",INT('Marcación Workera'!G1087))</f>
        <v>46238</v>
      </c>
      <c r="C1087" s="18" t="str">
        <f>IF('Marcación Workera'!B1087="","",UPPER(SUBSTITUTE('Marcación Workera'!B1087,".","")))</f>
        <v>13855440-6</v>
      </c>
    </row>
    <row r="1088" spans="2:3" ht="15" customHeight="1" x14ac:dyDescent="0.3">
      <c r="B1088" s="17">
        <f>IF('Marcación Workera'!G1088="","",INT('Marcación Workera'!G1088))</f>
        <v>46238</v>
      </c>
      <c r="C1088" s="18" t="str">
        <f>IF('Marcación Workera'!B1088="","",UPPER(SUBSTITUTE('Marcación Workera'!B1088,".","")))</f>
        <v>21516063-7</v>
      </c>
    </row>
    <row r="1089" spans="2:3" ht="15" customHeight="1" x14ac:dyDescent="0.3">
      <c r="B1089" s="17">
        <f>IF('Marcación Workera'!G1089="","",INT('Marcación Workera'!G1089))</f>
        <v>46238</v>
      </c>
      <c r="C1089" s="18" t="str">
        <f>IF('Marcación Workera'!B1089="","",UPPER(SUBSTITUTE('Marcación Workera'!B1089,".","")))</f>
        <v>15593625-8</v>
      </c>
    </row>
    <row r="1090" spans="2:3" ht="15" customHeight="1" x14ac:dyDescent="0.3">
      <c r="B1090" s="17">
        <f>IF('Marcación Workera'!G1090="","",INT('Marcación Workera'!G1090))</f>
        <v>46238</v>
      </c>
      <c r="C1090" s="18" t="str">
        <f>IF('Marcación Workera'!B1090="","",UPPER(SUBSTITUTE('Marcación Workera'!B1090,".","")))</f>
        <v>12152241-1</v>
      </c>
    </row>
    <row r="1091" spans="2:3" ht="15" customHeight="1" x14ac:dyDescent="0.3">
      <c r="B1091" s="17">
        <f>IF('Marcación Workera'!G1091="","",INT('Marcación Workera'!G1091))</f>
        <v>46238</v>
      </c>
      <c r="C1091" s="18" t="str">
        <f>IF('Marcación Workera'!B1091="","",UPPER(SUBSTITUTE('Marcación Workera'!B1091,".","")))</f>
        <v>13412582-9</v>
      </c>
    </row>
    <row r="1092" spans="2:3" ht="15" customHeight="1" x14ac:dyDescent="0.3">
      <c r="B1092" s="17">
        <f>IF('Marcación Workera'!G1092="","",INT('Marcación Workera'!G1092))</f>
        <v>46238</v>
      </c>
      <c r="C1092" s="18" t="str">
        <f>IF('Marcación Workera'!B1092="","",UPPER(SUBSTITUTE('Marcación Workera'!B1092,".","")))</f>
        <v>11508866-1</v>
      </c>
    </row>
    <row r="1093" spans="2:3" ht="15" customHeight="1" x14ac:dyDescent="0.3">
      <c r="B1093" s="17">
        <f>IF('Marcación Workera'!G1093="","",INT('Marcación Workera'!G1093))</f>
        <v>46238</v>
      </c>
      <c r="C1093" s="18" t="str">
        <f>IF('Marcación Workera'!B1093="","",UPPER(SUBSTITUTE('Marcación Workera'!B1093,".","")))</f>
        <v>15593625-8</v>
      </c>
    </row>
    <row r="1094" spans="2:3" ht="15" customHeight="1" x14ac:dyDescent="0.3">
      <c r="B1094" s="17">
        <f>IF('Marcación Workera'!G1094="","",INT('Marcación Workera'!G1094))</f>
        <v>46238</v>
      </c>
      <c r="C1094" s="18" t="str">
        <f>IF('Marcación Workera'!B1094="","",UPPER(SUBSTITUTE('Marcación Workera'!B1094,".","")))</f>
        <v>23868099-9</v>
      </c>
    </row>
    <row r="1095" spans="2:3" ht="15" customHeight="1" x14ac:dyDescent="0.3">
      <c r="B1095" s="17">
        <f>IF('Marcación Workera'!G1095="","",INT('Marcación Workera'!G1095))</f>
        <v>46238</v>
      </c>
      <c r="C1095" s="18" t="str">
        <f>IF('Marcación Workera'!B1095="","",UPPER(SUBSTITUTE('Marcación Workera'!B1095,".","")))</f>
        <v>13412582-9</v>
      </c>
    </row>
    <row r="1096" spans="2:3" ht="15" customHeight="1" x14ac:dyDescent="0.3">
      <c r="B1096" s="17">
        <f>IF('Marcación Workera'!G1096="","",INT('Marcación Workera'!G1096))</f>
        <v>46238</v>
      </c>
      <c r="C1096" s="18" t="str">
        <f>IF('Marcación Workera'!B1096="","",UPPER(SUBSTITUTE('Marcación Workera'!B1096,".","")))</f>
        <v>13855440-6</v>
      </c>
    </row>
    <row r="1097" spans="2:3" ht="15" customHeight="1" x14ac:dyDescent="0.3">
      <c r="B1097" s="17">
        <f>IF('Marcación Workera'!G1097="","",INT('Marcación Workera'!G1097))</f>
        <v>46238</v>
      </c>
      <c r="C1097" s="18" t="str">
        <f>IF('Marcación Workera'!B1097="","",UPPER(SUBSTITUTE('Marcación Workera'!B1097,".","")))</f>
        <v>12152241-1</v>
      </c>
    </row>
    <row r="1098" spans="2:3" ht="15" customHeight="1" x14ac:dyDescent="0.3">
      <c r="B1098" s="17">
        <f>IF('Marcación Workera'!G1098="","",INT('Marcación Workera'!G1098))</f>
        <v>46238</v>
      </c>
      <c r="C1098" s="18" t="str">
        <f>IF('Marcación Workera'!B1098="","",UPPER(SUBSTITUTE('Marcación Workera'!B1098,".","")))</f>
        <v>21516063-7</v>
      </c>
    </row>
    <row r="1099" spans="2:3" ht="15" customHeight="1" x14ac:dyDescent="0.3">
      <c r="B1099" s="17">
        <f>IF('Marcación Workera'!G1099="","",INT('Marcación Workera'!G1099))</f>
        <v>46238</v>
      </c>
      <c r="C1099" s="18" t="str">
        <f>IF('Marcación Workera'!B1099="","",UPPER(SUBSTITUTE('Marcación Workera'!B1099,".","")))</f>
        <v>19949787-1</v>
      </c>
    </row>
    <row r="1100" spans="2:3" ht="15" customHeight="1" x14ac:dyDescent="0.3">
      <c r="B1100" s="17">
        <f>IF('Marcación Workera'!G1100="","",INT('Marcación Workera'!G1100))</f>
        <v>46238</v>
      </c>
      <c r="C1100" s="18" t="str">
        <f>IF('Marcación Workera'!B1100="","",UPPER(SUBSTITUTE('Marcación Workera'!B1100,".","")))</f>
        <v>11508866-1</v>
      </c>
    </row>
    <row r="1101" spans="2:3" ht="15" customHeight="1" x14ac:dyDescent="0.3">
      <c r="B1101" s="17">
        <f>IF('Marcación Workera'!G1101="","",INT('Marcación Workera'!G1101))</f>
        <v>46238</v>
      </c>
      <c r="C1101" s="18" t="str">
        <f>IF('Marcación Workera'!B1101="","",UPPER(SUBSTITUTE('Marcación Workera'!B1101,".","")))</f>
        <v>14043656-9</v>
      </c>
    </row>
    <row r="1102" spans="2:3" ht="15" customHeight="1" x14ac:dyDescent="0.3">
      <c r="B1102" s="17">
        <f>IF('Marcación Workera'!G1102="","",INT('Marcación Workera'!G1102))</f>
        <v>46238</v>
      </c>
      <c r="C1102" s="18" t="str">
        <f>IF('Marcación Workera'!B1102="","",UPPER(SUBSTITUTE('Marcación Workera'!B1102,".","")))</f>
        <v>18889617-0</v>
      </c>
    </row>
    <row r="1103" spans="2:3" ht="15" customHeight="1" x14ac:dyDescent="0.3">
      <c r="B1103" s="17">
        <f>IF('Marcación Workera'!G1103="","",INT('Marcación Workera'!G1103))</f>
        <v>46238</v>
      </c>
      <c r="C1103" s="18" t="str">
        <f>IF('Marcación Workera'!B1103="","",UPPER(SUBSTITUTE('Marcación Workera'!B1103,".","")))</f>
        <v>16706064-1</v>
      </c>
    </row>
    <row r="1104" spans="2:3" ht="15" customHeight="1" x14ac:dyDescent="0.3">
      <c r="B1104" s="17">
        <f>IF('Marcación Workera'!G1104="","",INT('Marcación Workera'!G1104))</f>
        <v>46237</v>
      </c>
      <c r="C1104" s="18" t="str">
        <f>IF('Marcación Workera'!B1104="","",UPPER(SUBSTITUTE('Marcación Workera'!B1104,".","")))</f>
        <v>15593625-8</v>
      </c>
    </row>
    <row r="1105" spans="2:3" ht="15" customHeight="1" x14ac:dyDescent="0.3">
      <c r="B1105" s="17">
        <f>IF('Marcación Workera'!G1105="","",INT('Marcación Workera'!G1105))</f>
        <v>46237</v>
      </c>
      <c r="C1105" s="18" t="str">
        <f>IF('Marcación Workera'!B1105="","",UPPER(SUBSTITUTE('Marcación Workera'!B1105,".","")))</f>
        <v>23868099-9</v>
      </c>
    </row>
    <row r="1106" spans="2:3" ht="15" customHeight="1" x14ac:dyDescent="0.3">
      <c r="B1106" s="17">
        <f>IF('Marcación Workera'!G1106="","",INT('Marcación Workera'!G1106))</f>
        <v>46237</v>
      </c>
      <c r="C1106" s="18" t="str">
        <f>IF('Marcación Workera'!B1106="","",UPPER(SUBSTITUTE('Marcación Workera'!B1106,".","")))</f>
        <v>11508866-1</v>
      </c>
    </row>
    <row r="1107" spans="2:3" ht="15" customHeight="1" x14ac:dyDescent="0.3">
      <c r="B1107" s="17">
        <f>IF('Marcación Workera'!G1107="","",INT('Marcación Workera'!G1107))</f>
        <v>46237</v>
      </c>
      <c r="C1107" s="18" t="str">
        <f>IF('Marcación Workera'!B1107="","",UPPER(SUBSTITUTE('Marcación Workera'!B1107,".","")))</f>
        <v>13412582-9</v>
      </c>
    </row>
    <row r="1108" spans="2:3" ht="15" customHeight="1" x14ac:dyDescent="0.3">
      <c r="B1108" s="17">
        <f>IF('Marcación Workera'!G1108="","",INT('Marcación Workera'!G1108))</f>
        <v>46237</v>
      </c>
      <c r="C1108" s="18" t="str">
        <f>IF('Marcación Workera'!B1108="","",UPPER(SUBSTITUTE('Marcación Workera'!B1108,".","")))</f>
        <v>12152241-1</v>
      </c>
    </row>
    <row r="1109" spans="2:3" ht="15" customHeight="1" x14ac:dyDescent="0.3">
      <c r="B1109" s="17">
        <f>IF('Marcación Workera'!G1109="","",INT('Marcación Workera'!G1109))</f>
        <v>46237</v>
      </c>
      <c r="C1109" s="18" t="str">
        <f>IF('Marcación Workera'!B1109="","",UPPER(SUBSTITUTE('Marcación Workera'!B1109,".","")))</f>
        <v>21516063-7</v>
      </c>
    </row>
    <row r="1110" spans="2:3" ht="15" customHeight="1" x14ac:dyDescent="0.3">
      <c r="B1110" s="17">
        <f>IF('Marcación Workera'!G1110="","",INT('Marcación Workera'!G1110))</f>
        <v>46237</v>
      </c>
      <c r="C1110" s="18" t="str">
        <f>IF('Marcación Workera'!B1110="","",UPPER(SUBSTITUTE('Marcación Workera'!B1110,".","")))</f>
        <v>15593625-8</v>
      </c>
    </row>
    <row r="1111" spans="2:3" ht="15" customHeight="1" x14ac:dyDescent="0.3">
      <c r="B1111" s="17">
        <f>IF('Marcación Workera'!G1111="","",INT('Marcación Workera'!G1111))</f>
        <v>46237</v>
      </c>
      <c r="C1111" s="18" t="str">
        <f>IF('Marcación Workera'!B1111="","",UPPER(SUBSTITUTE('Marcación Workera'!B1111,".","")))</f>
        <v>13855440-6</v>
      </c>
    </row>
    <row r="1112" spans="2:3" ht="15" customHeight="1" x14ac:dyDescent="0.3">
      <c r="B1112" s="17">
        <f>IF('Marcación Workera'!G1112="","",INT('Marcación Workera'!G1112))</f>
        <v>46237</v>
      </c>
      <c r="C1112" s="18" t="str">
        <f>IF('Marcación Workera'!B1112="","",UPPER(SUBSTITUTE('Marcación Workera'!B1112,".","")))</f>
        <v>11508866-1</v>
      </c>
    </row>
    <row r="1113" spans="2:3" ht="15" customHeight="1" x14ac:dyDescent="0.3">
      <c r="B1113" s="17">
        <f>IF('Marcación Workera'!G1113="","",INT('Marcación Workera'!G1113))</f>
        <v>46237</v>
      </c>
      <c r="C1113" s="18" t="str">
        <f>IF('Marcación Workera'!B1113="","",UPPER(SUBSTITUTE('Marcación Workera'!B1113,".","")))</f>
        <v>23868099-9</v>
      </c>
    </row>
    <row r="1114" spans="2:3" ht="15" customHeight="1" x14ac:dyDescent="0.3">
      <c r="B1114" s="17">
        <f>IF('Marcación Workera'!G1114="","",INT('Marcación Workera'!G1114))</f>
        <v>46237</v>
      </c>
      <c r="C1114" s="18" t="str">
        <f>IF('Marcación Workera'!B1114="","",UPPER(SUBSTITUTE('Marcación Workera'!B1114,".","")))</f>
        <v>21516063-7</v>
      </c>
    </row>
    <row r="1115" spans="2:3" ht="15" customHeight="1" x14ac:dyDescent="0.3">
      <c r="B1115" s="17">
        <f>IF('Marcación Workera'!G1115="","",INT('Marcación Workera'!G1115))</f>
        <v>46237</v>
      </c>
      <c r="C1115" s="18" t="str">
        <f>IF('Marcación Workera'!B1115="","",UPPER(SUBSTITUTE('Marcación Workera'!B1115,".","")))</f>
        <v>16706064-1</v>
      </c>
    </row>
    <row r="1116" spans="2:3" ht="15" customHeight="1" x14ac:dyDescent="0.3">
      <c r="B1116" s="17">
        <f>IF('Marcación Workera'!G1116="","",INT('Marcación Workera'!G1116))</f>
        <v>46237</v>
      </c>
      <c r="C1116" s="18" t="str">
        <f>IF('Marcación Workera'!B1116="","",UPPER(SUBSTITUTE('Marcación Workera'!B1116,".","")))</f>
        <v>18889617-0</v>
      </c>
    </row>
    <row r="1117" spans="2:3" ht="15" customHeight="1" x14ac:dyDescent="0.3">
      <c r="B1117" s="17">
        <f>IF('Marcación Workera'!G1117="","",INT('Marcación Workera'!G1117))</f>
        <v>46237</v>
      </c>
      <c r="C1117" s="18" t="str">
        <f>IF('Marcación Workera'!B1117="","",UPPER(SUBSTITUTE('Marcación Workera'!B1117,".","")))</f>
        <v>12152241-1</v>
      </c>
    </row>
    <row r="1118" spans="2:3" ht="15" customHeight="1" x14ac:dyDescent="0.3">
      <c r="B1118" s="17">
        <f>IF('Marcación Workera'!G1118="","",INT('Marcación Workera'!G1118))</f>
        <v>46237</v>
      </c>
      <c r="C1118" s="18" t="str">
        <f>IF('Marcación Workera'!B1118="","",UPPER(SUBSTITUTE('Marcación Workera'!B1118,".","")))</f>
        <v>13412582-9</v>
      </c>
    </row>
    <row r="1119" spans="2:3" ht="15" customHeight="1" x14ac:dyDescent="0.3">
      <c r="B1119" s="17">
        <f>IF('Marcación Workera'!G1119="","",INT('Marcación Workera'!G1119))</f>
        <v>46236</v>
      </c>
      <c r="C1119" s="18" t="str">
        <f>IF('Marcación Workera'!B1119="","",UPPER(SUBSTITUTE('Marcación Workera'!B1119,".","")))</f>
        <v>23868099-9</v>
      </c>
    </row>
    <row r="1120" spans="2:3" ht="15" customHeight="1" x14ac:dyDescent="0.3">
      <c r="B1120" s="17">
        <f>IF('Marcación Workera'!G1120="","",INT('Marcación Workera'!G1120))</f>
        <v>46236</v>
      </c>
      <c r="C1120" s="18" t="str">
        <f>IF('Marcación Workera'!B1120="","",UPPER(SUBSTITUTE('Marcación Workera'!B1120,".","")))</f>
        <v>13855440-6</v>
      </c>
    </row>
    <row r="1121" spans="2:3" ht="15" customHeight="1" x14ac:dyDescent="0.3">
      <c r="B1121" s="17">
        <f>IF('Marcación Workera'!G1121="","",INT('Marcación Workera'!G1121))</f>
        <v>46236</v>
      </c>
      <c r="C1121" s="18" t="str">
        <f>IF('Marcación Workera'!B1121="","",UPPER(SUBSTITUTE('Marcación Workera'!B1121,".","")))</f>
        <v>13412582-9</v>
      </c>
    </row>
    <row r="1122" spans="2:3" ht="15" customHeight="1" x14ac:dyDescent="0.3">
      <c r="B1122" s="17">
        <f>IF('Marcación Workera'!G1122="","",INT('Marcación Workera'!G1122))</f>
        <v>46236</v>
      </c>
      <c r="C1122" s="18" t="str">
        <f>IF('Marcación Workera'!B1122="","",UPPER(SUBSTITUTE('Marcación Workera'!B1122,".","")))</f>
        <v>12152241-1</v>
      </c>
    </row>
    <row r="1123" spans="2:3" ht="15" customHeight="1" x14ac:dyDescent="0.3">
      <c r="B1123" s="17">
        <f>IF('Marcación Workera'!G1123="","",INT('Marcación Workera'!G1123))</f>
        <v>46236</v>
      </c>
      <c r="C1123" s="18" t="str">
        <f>IF('Marcación Workera'!B1123="","",UPPER(SUBSTITUTE('Marcación Workera'!B1123,".","")))</f>
        <v>21516063-7</v>
      </c>
    </row>
    <row r="1124" spans="2:3" ht="15" customHeight="1" x14ac:dyDescent="0.3">
      <c r="B1124" s="17">
        <f>IF('Marcación Workera'!G1124="","",INT('Marcación Workera'!G1124))</f>
        <v>46236</v>
      </c>
      <c r="C1124" s="18" t="str">
        <f>IF('Marcación Workera'!B1124="","",UPPER(SUBSTITUTE('Marcación Workera'!B1124,".","")))</f>
        <v>13855440-6</v>
      </c>
    </row>
    <row r="1125" spans="2:3" ht="15" customHeight="1" x14ac:dyDescent="0.3">
      <c r="B1125" s="17">
        <f>IF('Marcación Workera'!G1125="","",INT('Marcación Workera'!G1125))</f>
        <v>46236</v>
      </c>
      <c r="C1125" s="18" t="str">
        <f>IF('Marcación Workera'!B1125="","",UPPER(SUBSTITUTE('Marcación Workera'!B1125,".","")))</f>
        <v>11508866-1</v>
      </c>
    </row>
    <row r="1126" spans="2:3" ht="15" customHeight="1" x14ac:dyDescent="0.3">
      <c r="B1126" s="17">
        <f>IF('Marcación Workera'!G1126="","",INT('Marcación Workera'!G1126))</f>
        <v>46236</v>
      </c>
      <c r="C1126" s="18" t="str">
        <f>IF('Marcación Workera'!B1126="","",UPPER(SUBSTITUTE('Marcación Workera'!B1126,".","")))</f>
        <v>18889617-0</v>
      </c>
    </row>
    <row r="1127" spans="2:3" ht="15" customHeight="1" x14ac:dyDescent="0.3">
      <c r="B1127" s="17">
        <f>IF('Marcación Workera'!G1127="","",INT('Marcación Workera'!G1127))</f>
        <v>46236</v>
      </c>
      <c r="C1127" s="18" t="str">
        <f>IF('Marcación Workera'!B1127="","",UPPER(SUBSTITUTE('Marcación Workera'!B1127,".","")))</f>
        <v>14043656-9</v>
      </c>
    </row>
    <row r="1128" spans="2:3" ht="15" customHeight="1" x14ac:dyDescent="0.3">
      <c r="B1128" s="17">
        <f>IF('Marcación Workera'!G1128="","",INT('Marcación Workera'!G1128))</f>
        <v>46236</v>
      </c>
      <c r="C1128" s="18" t="str">
        <f>IF('Marcación Workera'!B1128="","",UPPER(SUBSTITUTE('Marcación Workera'!B1128,".","")))</f>
        <v>16706064-1</v>
      </c>
    </row>
    <row r="1129" spans="2:3" ht="15" customHeight="1" x14ac:dyDescent="0.3">
      <c r="B1129" s="17">
        <f>IF('Marcación Workera'!G1129="","",INT('Marcación Workera'!G1129))</f>
        <v>46236</v>
      </c>
      <c r="C1129" s="18" t="str">
        <f>IF('Marcación Workera'!B1129="","",UPPER(SUBSTITUTE('Marcación Workera'!B1129,".","")))</f>
        <v>19949787-1</v>
      </c>
    </row>
    <row r="1130" spans="2:3" ht="15" customHeight="1" x14ac:dyDescent="0.3">
      <c r="B1130" s="17">
        <f>IF('Marcación Workera'!G1130="","",INT('Marcación Workera'!G1130))</f>
        <v>46236</v>
      </c>
      <c r="C1130" s="18" t="str">
        <f>IF('Marcación Workera'!B1130="","",UPPER(SUBSTITUTE('Marcación Workera'!B1130,".","")))</f>
        <v>13412582-9</v>
      </c>
    </row>
    <row r="1131" spans="2:3" ht="15" customHeight="1" x14ac:dyDescent="0.3">
      <c r="B1131" s="17">
        <f>IF('Marcación Workera'!G1131="","",INT('Marcación Workera'!G1131))</f>
        <v>46236</v>
      </c>
      <c r="C1131" s="18" t="str">
        <f>IF('Marcación Workera'!B1131="","",UPPER(SUBSTITUTE('Marcación Workera'!B1131,".","")))</f>
        <v>12152241-1</v>
      </c>
    </row>
    <row r="1132" spans="2:3" ht="15" customHeight="1" x14ac:dyDescent="0.3">
      <c r="B1132" s="17">
        <f>IF('Marcación Workera'!G1132="","",INT('Marcación Workera'!G1132))</f>
        <v>46235</v>
      </c>
      <c r="C1132" s="18" t="str">
        <f>IF('Marcación Workera'!B1132="","",UPPER(SUBSTITUTE('Marcación Workera'!B1132,".","")))</f>
        <v>14043656-9</v>
      </c>
    </row>
    <row r="1133" spans="2:3" ht="15" customHeight="1" x14ac:dyDescent="0.3">
      <c r="B1133" s="17">
        <f>IF('Marcación Workera'!G1133="","",INT('Marcación Workera'!G1133))</f>
        <v>46235</v>
      </c>
      <c r="C1133" s="18" t="str">
        <f>IF('Marcación Workera'!B1133="","",UPPER(SUBSTITUTE('Marcación Workera'!B1133,".","")))</f>
        <v>17805184-9</v>
      </c>
    </row>
    <row r="1134" spans="2:3" ht="15" customHeight="1" x14ac:dyDescent="0.3">
      <c r="B1134" s="17">
        <f>IF('Marcación Workera'!G1134="","",INT('Marcación Workera'!G1134))</f>
        <v>46235</v>
      </c>
      <c r="C1134" s="18" t="str">
        <f>IF('Marcación Workera'!B1134="","",UPPER(SUBSTITUTE('Marcación Workera'!B1134,".","")))</f>
        <v>23868099-9</v>
      </c>
    </row>
    <row r="1135" spans="2:3" ht="15" customHeight="1" x14ac:dyDescent="0.3">
      <c r="B1135" s="17">
        <f>IF('Marcación Workera'!G1135="","",INT('Marcación Workera'!G1135))</f>
        <v>46235</v>
      </c>
      <c r="C1135" s="18" t="str">
        <f>IF('Marcación Workera'!B1135="","",UPPER(SUBSTITUTE('Marcación Workera'!B1135,".","")))</f>
        <v>13412582-9</v>
      </c>
    </row>
    <row r="1136" spans="2:3" ht="15" customHeight="1" x14ac:dyDescent="0.3">
      <c r="B1136" s="17">
        <f>IF('Marcación Workera'!G1136="","",INT('Marcación Workera'!G1136))</f>
        <v>46235</v>
      </c>
      <c r="C1136" s="18" t="str">
        <f>IF('Marcación Workera'!B1136="","",UPPER(SUBSTITUTE('Marcación Workera'!B1136,".","")))</f>
        <v>12152241-1</v>
      </c>
    </row>
    <row r="1137" spans="2:3" ht="15" customHeight="1" x14ac:dyDescent="0.3">
      <c r="B1137" s="17">
        <f>IF('Marcación Workera'!G1137="","",INT('Marcación Workera'!G1137))</f>
        <v>46235</v>
      </c>
      <c r="C1137" s="18" t="str">
        <f>IF('Marcación Workera'!B1137="","",UPPER(SUBSTITUTE('Marcación Workera'!B1137,".","")))</f>
        <v>11508866-1</v>
      </c>
    </row>
    <row r="1138" spans="2:3" ht="15" customHeight="1" x14ac:dyDescent="0.3">
      <c r="B1138" s="17">
        <f>IF('Marcación Workera'!G1138="","",INT('Marcación Workera'!G1138))</f>
        <v>46235</v>
      </c>
      <c r="C1138" s="18" t="str">
        <f>IF('Marcación Workera'!B1138="","",UPPER(SUBSTITUTE('Marcación Workera'!B1138,".","")))</f>
        <v>21516063-7</v>
      </c>
    </row>
    <row r="1139" spans="2:3" ht="15" customHeight="1" x14ac:dyDescent="0.3">
      <c r="B1139" s="17">
        <f>IF('Marcación Workera'!G1139="","",INT('Marcación Workera'!G1139))</f>
        <v>46235</v>
      </c>
      <c r="C1139" s="18" t="str">
        <f>IF('Marcación Workera'!B1139="","",UPPER(SUBSTITUTE('Marcación Workera'!B1139,".","")))</f>
        <v>13855440-6</v>
      </c>
    </row>
    <row r="1140" spans="2:3" ht="15" customHeight="1" x14ac:dyDescent="0.3">
      <c r="B1140" s="17">
        <f>IF('Marcación Workera'!G1140="","",INT('Marcación Workera'!G1140))</f>
        <v>46235</v>
      </c>
      <c r="C1140" s="18" t="str">
        <f>IF('Marcación Workera'!B1140="","",UPPER(SUBSTITUTE('Marcación Workera'!B1140,".","")))</f>
        <v>20718093-9</v>
      </c>
    </row>
    <row r="1141" spans="2:3" ht="15" customHeight="1" x14ac:dyDescent="0.3">
      <c r="B1141" s="17">
        <f>IF('Marcación Workera'!G1141="","",INT('Marcación Workera'!G1141))</f>
        <v>46235</v>
      </c>
      <c r="C1141" s="18" t="str">
        <f>IF('Marcación Workera'!B1141="","",UPPER(SUBSTITUTE('Marcación Workera'!B1141,".","")))</f>
        <v>17643998-K</v>
      </c>
    </row>
    <row r="1142" spans="2:3" ht="15" customHeight="1" x14ac:dyDescent="0.3">
      <c r="B1142" s="17">
        <f>IF('Marcación Workera'!G1142="","",INT('Marcación Workera'!G1142))</f>
        <v>46235</v>
      </c>
      <c r="C1142" s="18" t="str">
        <f>IF('Marcación Workera'!B1142="","",UPPER(SUBSTITUTE('Marcación Workera'!B1142,".","")))</f>
        <v>15831074-0</v>
      </c>
    </row>
    <row r="1143" spans="2:3" ht="15" customHeight="1" x14ac:dyDescent="0.3">
      <c r="B1143" s="17">
        <f>IF('Marcación Workera'!G1143="","",INT('Marcación Workera'!G1143))</f>
        <v>46235</v>
      </c>
      <c r="C1143" s="18" t="str">
        <f>IF('Marcación Workera'!B1143="","",UPPER(SUBSTITUTE('Marcación Workera'!B1143,".","")))</f>
        <v>16188552-5</v>
      </c>
    </row>
    <row r="1144" spans="2:3" ht="15" customHeight="1" x14ac:dyDescent="0.3">
      <c r="B1144" s="17">
        <f>IF('Marcación Workera'!G1144="","",INT('Marcación Workera'!G1144))</f>
        <v>46235</v>
      </c>
      <c r="C1144" s="18" t="str">
        <f>IF('Marcación Workera'!B1144="","",UPPER(SUBSTITUTE('Marcación Workera'!B1144,".","")))</f>
        <v>15814058-6</v>
      </c>
    </row>
    <row r="1145" spans="2:3" ht="15" customHeight="1" x14ac:dyDescent="0.3">
      <c r="B1145" s="17">
        <f>IF('Marcación Workera'!G1145="","",INT('Marcación Workera'!G1145))</f>
        <v>46235</v>
      </c>
      <c r="C1145" s="18" t="str">
        <f>IF('Marcación Workera'!B1145="","",UPPER(SUBSTITUTE('Marcación Workera'!B1145,".","")))</f>
        <v>19949787-1</v>
      </c>
    </row>
    <row r="1146" spans="2:3" ht="15" customHeight="1" x14ac:dyDescent="0.3">
      <c r="B1146" s="17">
        <f>IF('Marcación Workera'!G1146="","",INT('Marcación Workera'!G1146))</f>
        <v>46235</v>
      </c>
      <c r="C1146" s="18" t="str">
        <f>IF('Marcación Workera'!B1146="","",UPPER(SUBSTITUTE('Marcación Workera'!B1146,".","")))</f>
        <v>18889617-0</v>
      </c>
    </row>
    <row r="1147" spans="2:3" ht="15" customHeight="1" x14ac:dyDescent="0.3">
      <c r="B1147" s="17">
        <f>IF('Marcación Workera'!G1147="","",INT('Marcación Workera'!G1147))</f>
        <v>46235</v>
      </c>
      <c r="C1147" s="18" t="str">
        <f>IF('Marcación Workera'!B1147="","",UPPER(SUBSTITUTE('Marcación Workera'!B1147,".","")))</f>
        <v>17805184-9</v>
      </c>
    </row>
    <row r="1148" spans="2:3" ht="15" customHeight="1" x14ac:dyDescent="0.3">
      <c r="B1148" s="17">
        <f>IF('Marcación Workera'!G1148="","",INT('Marcación Workera'!G1148))</f>
        <v>46235</v>
      </c>
      <c r="C1148" s="18" t="str">
        <f>IF('Marcación Workera'!B1148="","",UPPER(SUBSTITUTE('Marcación Workera'!B1148,".","")))</f>
        <v>14043656-9</v>
      </c>
    </row>
    <row r="1149" spans="2:3" ht="15" customHeight="1" x14ac:dyDescent="0.3">
      <c r="B1149" s="17">
        <f>IF('Marcación Workera'!G1149="","",INT('Marcación Workera'!G1149))</f>
        <v>46235</v>
      </c>
      <c r="C1149" s="18" t="str">
        <f>IF('Marcación Workera'!B1149="","",UPPER(SUBSTITUTE('Marcación Workera'!B1149,".","")))</f>
        <v>23868099-9</v>
      </c>
    </row>
    <row r="1150" spans="2:3" ht="15" customHeight="1" x14ac:dyDescent="0.3">
      <c r="B1150" s="17">
        <f>IF('Marcación Workera'!G1150="","",INT('Marcación Workera'!G1150))</f>
        <v>46235</v>
      </c>
      <c r="C1150" s="18" t="str">
        <f>IF('Marcación Workera'!B1150="","",UPPER(SUBSTITUTE('Marcación Workera'!B1150,".","")))</f>
        <v>13412582-9</v>
      </c>
    </row>
    <row r="1151" spans="2:3" ht="15" customHeight="1" x14ac:dyDescent="0.3">
      <c r="B1151" s="17">
        <f>IF('Marcación Workera'!G1151="","",INT('Marcación Workera'!G1151))</f>
        <v>46235</v>
      </c>
      <c r="C1151" s="18" t="str">
        <f>IF('Marcación Workera'!B1151="","",UPPER(SUBSTITUTE('Marcación Workera'!B1151,".","")))</f>
        <v>15831074-0</v>
      </c>
    </row>
    <row r="1152" spans="2:3" ht="15" customHeight="1" x14ac:dyDescent="0.3">
      <c r="B1152" s="17">
        <f>IF('Marcación Workera'!G1152="","",INT('Marcación Workera'!G1152))</f>
        <v>46235</v>
      </c>
      <c r="C1152" s="18" t="str">
        <f>IF('Marcación Workera'!B1152="","",UPPER(SUBSTITUTE('Marcación Workera'!B1152,".","")))</f>
        <v>16706064-1</v>
      </c>
    </row>
    <row r="1153" spans="2:3" ht="15" customHeight="1" x14ac:dyDescent="0.3">
      <c r="B1153" s="17">
        <f>IF('Marcación Workera'!G1153="","",INT('Marcación Workera'!G1153))</f>
        <v>46235</v>
      </c>
      <c r="C1153" s="18" t="str">
        <f>IF('Marcación Workera'!B1153="","",UPPER(SUBSTITUTE('Marcación Workera'!B1153,".","")))</f>
        <v>12152241-1</v>
      </c>
    </row>
    <row r="1154" spans="2:3" ht="15" customHeight="1" x14ac:dyDescent="0.3">
      <c r="B1154" s="17" t="str">
        <f>IF('Marcación Workera'!G1154="","",INT('Marcación Workera'!G1154))</f>
        <v/>
      </c>
      <c r="C1154" s="18" t="str">
        <f>IF('Marcación Workera'!B1154="","",UPPER(SUBSTITUTE('Marcación Workera'!B1154,".","")))</f>
        <v/>
      </c>
    </row>
    <row r="1155" spans="2:3" ht="15" customHeight="1" x14ac:dyDescent="0.3">
      <c r="B1155" s="17" t="str">
        <f>IF('Marcación Workera'!G1155="","",INT('Marcación Workera'!G1155))</f>
        <v/>
      </c>
      <c r="C1155" s="18" t="str">
        <f>IF('Marcación Workera'!B1155="","",UPPER(SUBSTITUTE('Marcación Workera'!B1155,".","")))</f>
        <v/>
      </c>
    </row>
    <row r="1156" spans="2:3" ht="15" customHeight="1" x14ac:dyDescent="0.3">
      <c r="B1156" s="17" t="str">
        <f>IF('Marcación Workera'!G1156="","",INT('Marcación Workera'!G1156))</f>
        <v/>
      </c>
      <c r="C1156" s="18" t="str">
        <f>IF('Marcación Workera'!B1156="","",UPPER(SUBSTITUTE('Marcación Workera'!B1156,".","")))</f>
        <v/>
      </c>
    </row>
    <row r="1157" spans="2:3" ht="15" customHeight="1" x14ac:dyDescent="0.3">
      <c r="B1157" s="17" t="str">
        <f>IF('Marcación Workera'!G1157="","",INT('Marcación Workera'!G1157))</f>
        <v/>
      </c>
      <c r="C1157" s="18" t="str">
        <f>IF('Marcación Workera'!B1157="","",UPPER(SUBSTITUTE('Marcación Workera'!B1157,".","")))</f>
        <v/>
      </c>
    </row>
    <row r="1158" spans="2:3" ht="15" customHeight="1" x14ac:dyDescent="0.3">
      <c r="B1158" s="17" t="str">
        <f>IF('Marcación Workera'!G1158="","",INT('Marcación Workera'!G1158))</f>
        <v/>
      </c>
      <c r="C1158" s="18" t="str">
        <f>IF('Marcación Workera'!B1158="","",UPPER(SUBSTITUTE('Marcación Workera'!B1158,".","")))</f>
        <v/>
      </c>
    </row>
    <row r="1159" spans="2:3" ht="15" customHeight="1" x14ac:dyDescent="0.3">
      <c r="B1159" s="17" t="str">
        <f>IF('Marcación Workera'!G1159="","",INT('Marcación Workera'!G1159))</f>
        <v/>
      </c>
      <c r="C1159" s="18" t="str">
        <f>IF('Marcación Workera'!B1159="","",UPPER(SUBSTITUTE('Marcación Workera'!B1159,".","")))</f>
        <v/>
      </c>
    </row>
    <row r="1160" spans="2:3" ht="15" customHeight="1" x14ac:dyDescent="0.3">
      <c r="B1160" s="17" t="str">
        <f>IF('Marcación Workera'!G1160="","",INT('Marcación Workera'!G1160))</f>
        <v/>
      </c>
      <c r="C1160" s="18" t="str">
        <f>IF('Marcación Workera'!B1160="","",UPPER(SUBSTITUTE('Marcación Workera'!B1160,".","")))</f>
        <v/>
      </c>
    </row>
    <row r="1161" spans="2:3" ht="15" customHeight="1" x14ac:dyDescent="0.3">
      <c r="B1161" s="17" t="str">
        <f>IF('Marcación Workera'!G1161="","",INT('Marcación Workera'!G1161))</f>
        <v/>
      </c>
      <c r="C1161" s="18" t="str">
        <f>IF('Marcación Workera'!B1161="","",UPPER(SUBSTITUTE('Marcación Workera'!B1161,".","")))</f>
        <v/>
      </c>
    </row>
    <row r="1162" spans="2:3" ht="15" customHeight="1" x14ac:dyDescent="0.3">
      <c r="B1162" s="17" t="str">
        <f>IF('Marcación Workera'!G1162="","",INT('Marcación Workera'!G1162))</f>
        <v/>
      </c>
      <c r="C1162" s="18" t="str">
        <f>IF('Marcación Workera'!B1162="","",UPPER(SUBSTITUTE('Marcación Workera'!B1162,".","")))</f>
        <v/>
      </c>
    </row>
    <row r="1163" spans="2:3" ht="15" customHeight="1" x14ac:dyDescent="0.3">
      <c r="B1163" s="17" t="str">
        <f>IF('Marcación Workera'!G1163="","",INT('Marcación Workera'!G1163))</f>
        <v/>
      </c>
      <c r="C1163" s="18" t="str">
        <f>IF('Marcación Workera'!B1163="","",UPPER(SUBSTITUTE('Marcación Workera'!B1163,".","")))</f>
        <v/>
      </c>
    </row>
    <row r="1164" spans="2:3" ht="15" customHeight="1" x14ac:dyDescent="0.3">
      <c r="B1164" s="17" t="str">
        <f>IF('Marcación Workera'!G1164="","",INT('Marcación Workera'!G1164))</f>
        <v/>
      </c>
      <c r="C1164" s="18" t="str">
        <f>IF('Marcación Workera'!B1164="","",UPPER(SUBSTITUTE('Marcación Workera'!B1164,".","")))</f>
        <v/>
      </c>
    </row>
    <row r="1165" spans="2:3" ht="15" customHeight="1" x14ac:dyDescent="0.3">
      <c r="B1165" s="17" t="str">
        <f>IF('Marcación Workera'!G1165="","",INT('Marcación Workera'!G1165))</f>
        <v/>
      </c>
      <c r="C1165" s="18" t="str">
        <f>IF('Marcación Workera'!B1165="","",UPPER(SUBSTITUTE('Marcación Workera'!B1165,".","")))</f>
        <v/>
      </c>
    </row>
    <row r="1166" spans="2:3" ht="15" customHeight="1" x14ac:dyDescent="0.3">
      <c r="B1166" s="17" t="str">
        <f>IF('Marcación Workera'!G1166="","",INT('Marcación Workera'!G1166))</f>
        <v/>
      </c>
      <c r="C1166" s="18" t="str">
        <f>IF('Marcación Workera'!B1166="","",UPPER(SUBSTITUTE('Marcación Workera'!B1166,".","")))</f>
        <v/>
      </c>
    </row>
    <row r="1167" spans="2:3" ht="15" customHeight="1" x14ac:dyDescent="0.3">
      <c r="B1167" s="17" t="str">
        <f>IF('Marcación Workera'!G1167="","",INT('Marcación Workera'!G1167))</f>
        <v/>
      </c>
      <c r="C1167" s="18" t="str">
        <f>IF('Marcación Workera'!B1167="","",UPPER(SUBSTITUTE('Marcación Workera'!B1167,".","")))</f>
        <v/>
      </c>
    </row>
    <row r="1168" spans="2:3" ht="15" customHeight="1" x14ac:dyDescent="0.3">
      <c r="B1168" s="17" t="str">
        <f>IF('Marcación Workera'!G1168="","",INT('Marcación Workera'!G1168))</f>
        <v/>
      </c>
      <c r="C1168" s="18" t="str">
        <f>IF('Marcación Workera'!B1168="","",UPPER(SUBSTITUTE('Marcación Workera'!B1168,".","")))</f>
        <v/>
      </c>
    </row>
    <row r="1169" spans="2:3" ht="15" customHeight="1" x14ac:dyDescent="0.3">
      <c r="B1169" s="17" t="str">
        <f>IF('Marcación Workera'!G1169="","",INT('Marcación Workera'!G1169))</f>
        <v/>
      </c>
      <c r="C1169" s="18" t="str">
        <f>IF('Marcación Workera'!B1169="","",UPPER(SUBSTITUTE('Marcación Workera'!B1169,".","")))</f>
        <v/>
      </c>
    </row>
    <row r="1170" spans="2:3" ht="15" customHeight="1" x14ac:dyDescent="0.3">
      <c r="B1170" s="17" t="str">
        <f>IF('Marcación Workera'!G1170="","",INT('Marcación Workera'!G1170))</f>
        <v/>
      </c>
      <c r="C1170" s="18" t="str">
        <f>IF('Marcación Workera'!B1170="","",UPPER(SUBSTITUTE('Marcación Workera'!B1170,".","")))</f>
        <v/>
      </c>
    </row>
    <row r="1171" spans="2:3" ht="15" customHeight="1" x14ac:dyDescent="0.3">
      <c r="B1171" s="17" t="str">
        <f>IF('Marcación Workera'!G1171="","",INT('Marcación Workera'!G1171))</f>
        <v/>
      </c>
      <c r="C1171" s="18" t="str">
        <f>IF('Marcación Workera'!B1171="","",UPPER(SUBSTITUTE('Marcación Workera'!B1171,".","")))</f>
        <v/>
      </c>
    </row>
    <row r="1172" spans="2:3" ht="15" customHeight="1" x14ac:dyDescent="0.3">
      <c r="B1172" s="17" t="str">
        <f>IF('Marcación Workera'!G1172="","",INT('Marcación Workera'!G1172))</f>
        <v/>
      </c>
      <c r="C1172" s="18" t="str">
        <f>IF('Marcación Workera'!B1172="","",UPPER(SUBSTITUTE('Marcación Workera'!B1172,".","")))</f>
        <v/>
      </c>
    </row>
    <row r="1173" spans="2:3" ht="15" customHeight="1" x14ac:dyDescent="0.3">
      <c r="B1173" s="17" t="str">
        <f>IF('Marcación Workera'!G1173="","",INT('Marcación Workera'!G1173))</f>
        <v/>
      </c>
      <c r="C1173" s="18" t="str">
        <f>IF('Marcación Workera'!B1173="","",UPPER(SUBSTITUTE('Marcación Workera'!B1173,".","")))</f>
        <v/>
      </c>
    </row>
    <row r="1174" spans="2:3" ht="15" customHeight="1" x14ac:dyDescent="0.3">
      <c r="B1174" s="17" t="str">
        <f>IF('Marcación Workera'!G1174="","",INT('Marcación Workera'!G1174))</f>
        <v/>
      </c>
      <c r="C1174" s="18" t="str">
        <f>IF('Marcación Workera'!B1174="","",UPPER(SUBSTITUTE('Marcación Workera'!B1174,".","")))</f>
        <v/>
      </c>
    </row>
    <row r="1175" spans="2:3" ht="15" customHeight="1" x14ac:dyDescent="0.3">
      <c r="B1175" s="17" t="str">
        <f>IF('Marcación Workera'!G1175="","",INT('Marcación Workera'!G1175))</f>
        <v/>
      </c>
      <c r="C1175" s="18" t="str">
        <f>IF('Marcación Workera'!B1175="","",UPPER(SUBSTITUTE('Marcación Workera'!B1175,".","")))</f>
        <v/>
      </c>
    </row>
    <row r="1176" spans="2:3" ht="15" customHeight="1" x14ac:dyDescent="0.3">
      <c r="B1176" s="17" t="str">
        <f>IF('Marcación Workera'!G1176="","",INT('Marcación Workera'!G1176))</f>
        <v/>
      </c>
      <c r="C1176" s="18" t="str">
        <f>IF('Marcación Workera'!B1176="","",UPPER(SUBSTITUTE('Marcación Workera'!B1176,".","")))</f>
        <v/>
      </c>
    </row>
    <row r="1177" spans="2:3" ht="15" customHeight="1" x14ac:dyDescent="0.3">
      <c r="B1177" s="17" t="str">
        <f>IF('Marcación Workera'!G1177="","",INT('Marcación Workera'!G1177))</f>
        <v/>
      </c>
      <c r="C1177" s="18" t="str">
        <f>IF('Marcación Workera'!B1177="","",UPPER(SUBSTITUTE('Marcación Workera'!B1177,".","")))</f>
        <v/>
      </c>
    </row>
    <row r="1178" spans="2:3" ht="15" customHeight="1" x14ac:dyDescent="0.3">
      <c r="B1178" s="17" t="str">
        <f>IF('Marcación Workera'!G1178="","",INT('Marcación Workera'!G1178))</f>
        <v/>
      </c>
      <c r="C1178" s="18" t="str">
        <f>IF('Marcación Workera'!B1178="","",UPPER(SUBSTITUTE('Marcación Workera'!B1178,".","")))</f>
        <v/>
      </c>
    </row>
    <row r="1179" spans="2:3" ht="15" customHeight="1" x14ac:dyDescent="0.3">
      <c r="B1179" s="17" t="str">
        <f>IF('Marcación Workera'!G1179="","",INT('Marcación Workera'!G1179))</f>
        <v/>
      </c>
      <c r="C1179" s="18" t="str">
        <f>IF('Marcación Workera'!B1179="","",UPPER(SUBSTITUTE('Marcación Workera'!B1179,".","")))</f>
        <v/>
      </c>
    </row>
    <row r="1180" spans="2:3" ht="15" customHeight="1" x14ac:dyDescent="0.3">
      <c r="B1180" s="17" t="str">
        <f>IF('Marcación Workera'!G1180="","",INT('Marcación Workera'!G1180))</f>
        <v/>
      </c>
      <c r="C1180" s="18" t="str">
        <f>IF('Marcación Workera'!B1180="","",UPPER(SUBSTITUTE('Marcación Workera'!B1180,".","")))</f>
        <v/>
      </c>
    </row>
    <row r="1181" spans="2:3" ht="15" customHeight="1" x14ac:dyDescent="0.3">
      <c r="B1181" s="17" t="str">
        <f>IF('Marcación Workera'!G1181="","",INT('Marcación Workera'!G1181))</f>
        <v/>
      </c>
      <c r="C1181" s="18" t="str">
        <f>IF('Marcación Workera'!B1181="","",UPPER(SUBSTITUTE('Marcación Workera'!B1181,".","")))</f>
        <v/>
      </c>
    </row>
    <row r="1182" spans="2:3" ht="15" customHeight="1" x14ac:dyDescent="0.3">
      <c r="B1182" s="17" t="str">
        <f>IF('Marcación Workera'!G1182="","",INT('Marcación Workera'!G1182))</f>
        <v/>
      </c>
      <c r="C1182" s="18" t="str">
        <f>IF('Marcación Workera'!B1182="","",UPPER(SUBSTITUTE('Marcación Workera'!B1182,".","")))</f>
        <v/>
      </c>
    </row>
    <row r="1183" spans="2:3" ht="15" customHeight="1" x14ac:dyDescent="0.3">
      <c r="B1183" s="17" t="str">
        <f>IF('Marcación Workera'!G1183="","",INT('Marcación Workera'!G1183))</f>
        <v/>
      </c>
      <c r="C1183" s="18" t="str">
        <f>IF('Marcación Workera'!B1183="","",UPPER(SUBSTITUTE('Marcación Workera'!B1183,".","")))</f>
        <v/>
      </c>
    </row>
    <row r="1184" spans="2:3" ht="15" customHeight="1" x14ac:dyDescent="0.3">
      <c r="B1184" s="17" t="str">
        <f>IF('Marcación Workera'!G1184="","",INT('Marcación Workera'!G1184))</f>
        <v/>
      </c>
      <c r="C1184" s="18" t="str">
        <f>IF('Marcación Workera'!B1184="","",UPPER(SUBSTITUTE('Marcación Workera'!B1184,".","")))</f>
        <v/>
      </c>
    </row>
    <row r="1185" spans="2:3" ht="15" customHeight="1" x14ac:dyDescent="0.3">
      <c r="B1185" s="17" t="str">
        <f>IF('Marcación Workera'!G1185="","",INT('Marcación Workera'!G1185))</f>
        <v/>
      </c>
      <c r="C1185" s="18" t="str">
        <f>IF('Marcación Workera'!B1185="","",UPPER(SUBSTITUTE('Marcación Workera'!B1185,".","")))</f>
        <v/>
      </c>
    </row>
    <row r="1186" spans="2:3" ht="15" customHeight="1" x14ac:dyDescent="0.3">
      <c r="B1186" s="17" t="str">
        <f>IF('Marcación Workera'!G1186="","",INT('Marcación Workera'!G1186))</f>
        <v/>
      </c>
      <c r="C1186" s="18" t="str">
        <f>IF('Marcación Workera'!B1186="","",UPPER(SUBSTITUTE('Marcación Workera'!B1186,".","")))</f>
        <v/>
      </c>
    </row>
    <row r="1187" spans="2:3" ht="15" customHeight="1" x14ac:dyDescent="0.3">
      <c r="B1187" s="17" t="str">
        <f>IF('Marcación Workera'!G1187="","",INT('Marcación Workera'!G1187))</f>
        <v/>
      </c>
      <c r="C1187" s="18" t="str">
        <f>IF('Marcación Workera'!B1187="","",UPPER(SUBSTITUTE('Marcación Workera'!B1187,".","")))</f>
        <v/>
      </c>
    </row>
    <row r="1188" spans="2:3" ht="15" customHeight="1" x14ac:dyDescent="0.3">
      <c r="B1188" s="17" t="str">
        <f>IF('Marcación Workera'!G1188="","",INT('Marcación Workera'!G1188))</f>
        <v/>
      </c>
      <c r="C1188" s="18" t="str">
        <f>IF('Marcación Workera'!B1188="","",UPPER(SUBSTITUTE('Marcación Workera'!B1188,".","")))</f>
        <v/>
      </c>
    </row>
    <row r="1189" spans="2:3" ht="15" customHeight="1" x14ac:dyDescent="0.3">
      <c r="B1189" s="17" t="str">
        <f>IF('Marcación Workera'!G1189="","",INT('Marcación Workera'!G1189))</f>
        <v/>
      </c>
      <c r="C1189" s="18" t="str">
        <f>IF('Marcación Workera'!B1189="","",UPPER(SUBSTITUTE('Marcación Workera'!B1189,".","")))</f>
        <v/>
      </c>
    </row>
    <row r="1190" spans="2:3" ht="15" customHeight="1" x14ac:dyDescent="0.3">
      <c r="B1190" s="17" t="str">
        <f>IF('Marcación Workera'!G1190="","",INT('Marcación Workera'!G1190))</f>
        <v/>
      </c>
      <c r="C1190" s="18" t="str">
        <f>IF('Marcación Workera'!B1190="","",UPPER(SUBSTITUTE('Marcación Workera'!B1190,".","")))</f>
        <v/>
      </c>
    </row>
    <row r="1191" spans="2:3" ht="15" customHeight="1" x14ac:dyDescent="0.3">
      <c r="B1191" s="17" t="str">
        <f>IF('Marcación Workera'!G1191="","",INT('Marcación Workera'!G1191))</f>
        <v/>
      </c>
      <c r="C1191" s="18" t="str">
        <f>IF('Marcación Workera'!B1191="","",UPPER(SUBSTITUTE('Marcación Workera'!B1191,".","")))</f>
        <v/>
      </c>
    </row>
    <row r="1192" spans="2:3" ht="15" customHeight="1" x14ac:dyDescent="0.3">
      <c r="B1192" s="17" t="str">
        <f>IF('Marcación Workera'!G1192="","",INT('Marcación Workera'!G1192))</f>
        <v/>
      </c>
      <c r="C1192" s="18" t="str">
        <f>IF('Marcación Workera'!B1192="","",UPPER(SUBSTITUTE('Marcación Workera'!B1192,".","")))</f>
        <v/>
      </c>
    </row>
    <row r="1193" spans="2:3" ht="15" customHeight="1" x14ac:dyDescent="0.3">
      <c r="B1193" s="17" t="str">
        <f>IF('Marcación Workera'!G1193="","",INT('Marcación Workera'!G1193))</f>
        <v/>
      </c>
      <c r="C1193" s="18" t="str">
        <f>IF('Marcación Workera'!B1193="","",UPPER(SUBSTITUTE('Marcación Workera'!B1193,".","")))</f>
        <v/>
      </c>
    </row>
    <row r="1194" spans="2:3" ht="15" customHeight="1" x14ac:dyDescent="0.3">
      <c r="B1194" s="17" t="str">
        <f>IF('Marcación Workera'!G1194="","",INT('Marcación Workera'!G1194))</f>
        <v/>
      </c>
      <c r="C1194" s="18" t="str">
        <f>IF('Marcación Workera'!B1194="","",UPPER(SUBSTITUTE('Marcación Workera'!B1194,".","")))</f>
        <v/>
      </c>
    </row>
    <row r="1195" spans="2:3" ht="15" customHeight="1" x14ac:dyDescent="0.3">
      <c r="B1195" s="17" t="str">
        <f>IF('Marcación Workera'!G1195="","",INT('Marcación Workera'!G1195))</f>
        <v/>
      </c>
      <c r="C1195" s="18" t="str">
        <f>IF('Marcación Workera'!B1195="","",UPPER(SUBSTITUTE('Marcación Workera'!B1195,".","")))</f>
        <v/>
      </c>
    </row>
    <row r="1196" spans="2:3" ht="15" customHeight="1" x14ac:dyDescent="0.3">
      <c r="B1196" s="17" t="str">
        <f>IF('Marcación Workera'!G1196="","",INT('Marcación Workera'!G1196))</f>
        <v/>
      </c>
      <c r="C1196" s="18" t="str">
        <f>IF('Marcación Workera'!B1196="","",UPPER(SUBSTITUTE('Marcación Workera'!B1196,".","")))</f>
        <v/>
      </c>
    </row>
    <row r="1197" spans="2:3" ht="15" customHeight="1" x14ac:dyDescent="0.3">
      <c r="B1197" s="17" t="str">
        <f>IF('Marcación Workera'!G1197="","",INT('Marcación Workera'!G1197))</f>
        <v/>
      </c>
      <c r="C1197" s="18" t="str">
        <f>IF('Marcación Workera'!B1197="","",UPPER(SUBSTITUTE('Marcación Workera'!B1197,".","")))</f>
        <v/>
      </c>
    </row>
    <row r="1198" spans="2:3" ht="15" customHeight="1" x14ac:dyDescent="0.3">
      <c r="B1198" s="17" t="str">
        <f>IF('Marcación Workera'!G1198="","",INT('Marcación Workera'!G1198))</f>
        <v/>
      </c>
      <c r="C1198" s="18" t="str">
        <f>IF('Marcación Workera'!B1198="","",UPPER(SUBSTITUTE('Marcación Workera'!B1198,".","")))</f>
        <v/>
      </c>
    </row>
    <row r="1199" spans="2:3" ht="15" customHeight="1" x14ac:dyDescent="0.3">
      <c r="B1199" s="17" t="str">
        <f>IF('Marcación Workera'!G1199="","",INT('Marcación Workera'!G1199))</f>
        <v/>
      </c>
      <c r="C1199" s="18" t="str">
        <f>IF('Marcación Workera'!B1199="","",UPPER(SUBSTITUTE('Marcación Workera'!B1199,".","")))</f>
        <v/>
      </c>
    </row>
    <row r="1200" spans="2:3" ht="15" customHeight="1" x14ac:dyDescent="0.3">
      <c r="B1200" s="17" t="str">
        <f>IF('Marcación Workera'!G1200="","",INT('Marcación Workera'!G1200))</f>
        <v/>
      </c>
      <c r="C1200" s="18" t="str">
        <f>IF('Marcación Workera'!B1200="","",UPPER(SUBSTITUTE('Marcación Workera'!B1200,".","")))</f>
        <v/>
      </c>
    </row>
    <row r="1201" spans="2:3" ht="15" customHeight="1" x14ac:dyDescent="0.3">
      <c r="B1201" s="17" t="str">
        <f>IF('Marcación Workera'!G1201="","",INT('Marcación Workera'!G1201))</f>
        <v/>
      </c>
      <c r="C1201" s="18" t="str">
        <f>IF('Marcación Workera'!B1201="","",UPPER(SUBSTITUTE('Marcación Workera'!B1201,".","")))</f>
        <v/>
      </c>
    </row>
    <row r="1202" spans="2:3" ht="15" customHeight="1" x14ac:dyDescent="0.3">
      <c r="B1202" s="17" t="str">
        <f>IF('Marcación Workera'!G1202="","",INT('Marcación Workera'!G1202))</f>
        <v/>
      </c>
      <c r="C1202" s="18" t="str">
        <f>IF('Marcación Workera'!B1202="","",UPPER(SUBSTITUTE('Marcación Workera'!B1202,".","")))</f>
        <v/>
      </c>
    </row>
    <row r="1203" spans="2:3" ht="15" customHeight="1" x14ac:dyDescent="0.3">
      <c r="B1203" s="17" t="str">
        <f>IF('Marcación Workera'!G1203="","",INT('Marcación Workera'!G1203))</f>
        <v/>
      </c>
      <c r="C1203" s="18" t="str">
        <f>IF('Marcación Workera'!B1203="","",UPPER(SUBSTITUTE('Marcación Workera'!B1203,".","")))</f>
        <v/>
      </c>
    </row>
    <row r="1204" spans="2:3" ht="15" customHeight="1" x14ac:dyDescent="0.3">
      <c r="B1204" s="17" t="str">
        <f>IF('Marcación Workera'!G1204="","",INT('Marcación Workera'!G1204))</f>
        <v/>
      </c>
      <c r="C1204" s="18" t="str">
        <f>IF('Marcación Workera'!B1204="","",UPPER(SUBSTITUTE('Marcación Workera'!B1204,".","")))</f>
        <v/>
      </c>
    </row>
    <row r="1205" spans="2:3" ht="15" customHeight="1" x14ac:dyDescent="0.3">
      <c r="B1205" s="17" t="str">
        <f>IF('Marcación Workera'!G1205="","",INT('Marcación Workera'!G1205))</f>
        <v/>
      </c>
      <c r="C1205" s="18" t="str">
        <f>IF('Marcación Workera'!B1205="","",UPPER(SUBSTITUTE('Marcación Workera'!B1205,".","")))</f>
        <v/>
      </c>
    </row>
    <row r="1206" spans="2:3" ht="15" customHeight="1" x14ac:dyDescent="0.3">
      <c r="B1206" s="17" t="str">
        <f>IF('Marcación Workera'!G1206="","",INT('Marcación Workera'!G1206))</f>
        <v/>
      </c>
      <c r="C1206" s="18" t="str">
        <f>IF('Marcación Workera'!B1206="","",UPPER(SUBSTITUTE('Marcación Workera'!B1206,".","")))</f>
        <v/>
      </c>
    </row>
    <row r="1207" spans="2:3" ht="15" customHeight="1" x14ac:dyDescent="0.3">
      <c r="B1207" s="17" t="str">
        <f>IF('Marcación Workera'!G1207="","",INT('Marcación Workera'!G1207))</f>
        <v/>
      </c>
      <c r="C1207" s="18" t="str">
        <f>IF('Marcación Workera'!B1207="","",UPPER(SUBSTITUTE('Marcación Workera'!B1207,".","")))</f>
        <v/>
      </c>
    </row>
    <row r="1208" spans="2:3" ht="15" customHeight="1" x14ac:dyDescent="0.3">
      <c r="B1208" s="17" t="str">
        <f>IF('Marcación Workera'!G1208="","",INT('Marcación Workera'!G1208))</f>
        <v/>
      </c>
      <c r="C1208" s="18" t="str">
        <f>IF('Marcación Workera'!B1208="","",UPPER(SUBSTITUTE('Marcación Workera'!B1208,".","")))</f>
        <v/>
      </c>
    </row>
    <row r="1209" spans="2:3" ht="15" customHeight="1" x14ac:dyDescent="0.3">
      <c r="B1209" s="17" t="str">
        <f>IF('Marcación Workera'!G1209="","",INT('Marcación Workera'!G1209))</f>
        <v/>
      </c>
      <c r="C1209" s="18" t="str">
        <f>IF('Marcación Workera'!B1209="","",UPPER(SUBSTITUTE('Marcación Workera'!B1209,".","")))</f>
        <v/>
      </c>
    </row>
    <row r="1210" spans="2:3" ht="15" customHeight="1" x14ac:dyDescent="0.3">
      <c r="B1210" s="17" t="str">
        <f>IF('Marcación Workera'!G1210="","",INT('Marcación Workera'!G1210))</f>
        <v/>
      </c>
      <c r="C1210" s="18" t="str">
        <f>IF('Marcación Workera'!B1210="","",UPPER(SUBSTITUTE('Marcación Workera'!B1210,".","")))</f>
        <v/>
      </c>
    </row>
    <row r="1211" spans="2:3" ht="15" customHeight="1" x14ac:dyDescent="0.3">
      <c r="B1211" s="17" t="str">
        <f>IF('Marcación Workera'!G1211="","",INT('Marcación Workera'!G1211))</f>
        <v/>
      </c>
      <c r="C1211" s="18" t="str">
        <f>IF('Marcación Workera'!B1211="","",UPPER(SUBSTITUTE('Marcación Workera'!B1211,".","")))</f>
        <v/>
      </c>
    </row>
    <row r="1212" spans="2:3" ht="15" customHeight="1" x14ac:dyDescent="0.3">
      <c r="B1212" s="17" t="str">
        <f>IF('Marcación Workera'!G1212="","",INT('Marcación Workera'!G1212))</f>
        <v/>
      </c>
      <c r="C1212" s="18" t="str">
        <f>IF('Marcación Workera'!B1212="","",UPPER(SUBSTITUTE('Marcación Workera'!B1212,".","")))</f>
        <v/>
      </c>
    </row>
    <row r="1213" spans="2:3" ht="15" customHeight="1" x14ac:dyDescent="0.3">
      <c r="B1213" s="17" t="str">
        <f>IF('Marcación Workera'!G1213="","",INT('Marcación Workera'!G1213))</f>
        <v/>
      </c>
      <c r="C1213" s="18" t="str">
        <f>IF('Marcación Workera'!B1213="","",UPPER(SUBSTITUTE('Marcación Workera'!B1213,".","")))</f>
        <v/>
      </c>
    </row>
    <row r="1214" spans="2:3" ht="15" customHeight="1" x14ac:dyDescent="0.3">
      <c r="B1214" s="17" t="str">
        <f>IF('Marcación Workera'!G1214="","",INT('Marcación Workera'!G1214))</f>
        <v/>
      </c>
      <c r="C1214" s="18" t="str">
        <f>IF('Marcación Workera'!B1214="","",UPPER(SUBSTITUTE('Marcación Workera'!B1214,".","")))</f>
        <v/>
      </c>
    </row>
    <row r="1215" spans="2:3" ht="15" customHeight="1" x14ac:dyDescent="0.3">
      <c r="B1215" s="17" t="str">
        <f>IF('Marcación Workera'!G1215="","",INT('Marcación Workera'!G1215))</f>
        <v/>
      </c>
      <c r="C1215" s="18" t="str">
        <f>IF('Marcación Workera'!B1215="","",UPPER(SUBSTITUTE('Marcación Workera'!B1215,".","")))</f>
        <v/>
      </c>
    </row>
    <row r="1216" spans="2:3" ht="15" customHeight="1" x14ac:dyDescent="0.3">
      <c r="B1216" s="17" t="str">
        <f>IF('Marcación Workera'!G1216="","",INT('Marcación Workera'!G1216))</f>
        <v/>
      </c>
      <c r="C1216" s="18" t="str">
        <f>IF('Marcación Workera'!B1216="","",UPPER(SUBSTITUTE('Marcación Workera'!B1216,".","")))</f>
        <v/>
      </c>
    </row>
    <row r="1217" spans="2:3" ht="15" customHeight="1" x14ac:dyDescent="0.3">
      <c r="B1217" s="17" t="str">
        <f>IF('Marcación Workera'!G1217="","",INT('Marcación Workera'!G1217))</f>
        <v/>
      </c>
      <c r="C1217" s="18" t="str">
        <f>IF('Marcación Workera'!B1217="","",UPPER(SUBSTITUTE('Marcación Workera'!B1217,".","")))</f>
        <v/>
      </c>
    </row>
    <row r="1218" spans="2:3" ht="15" customHeight="1" x14ac:dyDescent="0.3">
      <c r="B1218" s="17" t="str">
        <f>IF('Marcación Workera'!G1218="","",INT('Marcación Workera'!G1218))</f>
        <v/>
      </c>
      <c r="C1218" s="18" t="str">
        <f>IF('Marcación Workera'!B1218="","",UPPER(SUBSTITUTE('Marcación Workera'!B1218,".","")))</f>
        <v/>
      </c>
    </row>
    <row r="1219" spans="2:3" ht="15" customHeight="1" x14ac:dyDescent="0.3">
      <c r="B1219" s="17" t="str">
        <f>IF('Marcación Workera'!G1219="","",INT('Marcación Workera'!G1219))</f>
        <v/>
      </c>
      <c r="C1219" s="18" t="str">
        <f>IF('Marcación Workera'!B1219="","",UPPER(SUBSTITUTE('Marcación Workera'!B1219,".","")))</f>
        <v/>
      </c>
    </row>
    <row r="1220" spans="2:3" ht="15" customHeight="1" x14ac:dyDescent="0.3">
      <c r="B1220" s="17" t="str">
        <f>IF('Marcación Workera'!G1220="","",INT('Marcación Workera'!G1220))</f>
        <v/>
      </c>
      <c r="C1220" s="18" t="str">
        <f>IF('Marcación Workera'!B1220="","",UPPER(SUBSTITUTE('Marcación Workera'!B1220,".","")))</f>
        <v/>
      </c>
    </row>
    <row r="1221" spans="2:3" ht="15" customHeight="1" x14ac:dyDescent="0.3">
      <c r="B1221" s="17" t="str">
        <f>IF('Marcación Workera'!G1221="","",INT('Marcación Workera'!G1221))</f>
        <v/>
      </c>
      <c r="C1221" s="18" t="str">
        <f>IF('Marcación Workera'!B1221="","",UPPER(SUBSTITUTE('Marcación Workera'!B1221,".","")))</f>
        <v/>
      </c>
    </row>
    <row r="1222" spans="2:3" ht="15" customHeight="1" x14ac:dyDescent="0.3">
      <c r="B1222" s="17" t="str">
        <f>IF('Marcación Workera'!G1222="","",INT('Marcación Workera'!G1222))</f>
        <v/>
      </c>
      <c r="C1222" s="18" t="str">
        <f>IF('Marcación Workera'!B1222="","",UPPER(SUBSTITUTE('Marcación Workera'!B1222,".","")))</f>
        <v/>
      </c>
    </row>
    <row r="1223" spans="2:3" ht="15" customHeight="1" x14ac:dyDescent="0.3">
      <c r="B1223" s="17" t="str">
        <f>IF('Marcación Workera'!G1223="","",INT('Marcación Workera'!G1223))</f>
        <v/>
      </c>
      <c r="C1223" s="18" t="str">
        <f>IF('Marcación Workera'!B1223="","",UPPER(SUBSTITUTE('Marcación Workera'!B1223,".","")))</f>
        <v/>
      </c>
    </row>
    <row r="1224" spans="2:3" ht="15" customHeight="1" x14ac:dyDescent="0.3">
      <c r="B1224" s="17" t="str">
        <f>IF('Marcación Workera'!G1224="","",INT('Marcación Workera'!G1224))</f>
        <v/>
      </c>
      <c r="C1224" s="18" t="str">
        <f>IF('Marcación Workera'!B1224="","",UPPER(SUBSTITUTE('Marcación Workera'!B1224,".","")))</f>
        <v/>
      </c>
    </row>
    <row r="1225" spans="2:3" ht="15" customHeight="1" x14ac:dyDescent="0.3">
      <c r="B1225" s="17" t="str">
        <f>IF('Marcación Workera'!G1225="","",INT('Marcación Workera'!G1225))</f>
        <v/>
      </c>
      <c r="C1225" s="18" t="str">
        <f>IF('Marcación Workera'!B1225="","",UPPER(SUBSTITUTE('Marcación Workera'!B1225,".","")))</f>
        <v/>
      </c>
    </row>
    <row r="1226" spans="2:3" ht="15" customHeight="1" x14ac:dyDescent="0.3">
      <c r="B1226" s="17" t="str">
        <f>IF('Marcación Workera'!G1226="","",INT('Marcación Workera'!G1226))</f>
        <v/>
      </c>
      <c r="C1226" s="18" t="str">
        <f>IF('Marcación Workera'!B1226="","",UPPER(SUBSTITUTE('Marcación Workera'!B1226,".","")))</f>
        <v/>
      </c>
    </row>
    <row r="1227" spans="2:3" ht="15" customHeight="1" x14ac:dyDescent="0.3">
      <c r="B1227" s="17" t="str">
        <f>IF('Marcación Workera'!G1227="","",INT('Marcación Workera'!G1227))</f>
        <v/>
      </c>
      <c r="C1227" s="18" t="str">
        <f>IF('Marcación Workera'!B1227="","",UPPER(SUBSTITUTE('Marcación Workera'!B1227,".","")))</f>
        <v/>
      </c>
    </row>
    <row r="1228" spans="2:3" ht="15" customHeight="1" x14ac:dyDescent="0.3">
      <c r="B1228" s="17" t="str">
        <f>IF('Marcación Workera'!G1228="","",INT('Marcación Workera'!G1228))</f>
        <v/>
      </c>
      <c r="C1228" s="18" t="str">
        <f>IF('Marcación Workera'!B1228="","",UPPER(SUBSTITUTE('Marcación Workera'!B1228,".","")))</f>
        <v/>
      </c>
    </row>
    <row r="1229" spans="2:3" ht="15" customHeight="1" x14ac:dyDescent="0.3">
      <c r="B1229" s="17" t="str">
        <f>IF('Marcación Workera'!G1229="","",INT('Marcación Workera'!G1229))</f>
        <v/>
      </c>
      <c r="C1229" s="18" t="str">
        <f>IF('Marcación Workera'!B1229="","",UPPER(SUBSTITUTE('Marcación Workera'!B1229,".","")))</f>
        <v/>
      </c>
    </row>
    <row r="1230" spans="2:3" ht="15" customHeight="1" x14ac:dyDescent="0.3">
      <c r="B1230" s="17" t="str">
        <f>IF('Marcación Workera'!G1230="","",INT('Marcación Workera'!G1230))</f>
        <v/>
      </c>
      <c r="C1230" s="18" t="str">
        <f>IF('Marcación Workera'!B1230="","",UPPER(SUBSTITUTE('Marcación Workera'!B1230,".","")))</f>
        <v/>
      </c>
    </row>
    <row r="1231" spans="2:3" ht="15" customHeight="1" x14ac:dyDescent="0.3">
      <c r="B1231" s="17" t="str">
        <f>IF('Marcación Workera'!G1231="","",INT('Marcación Workera'!G1231))</f>
        <v/>
      </c>
      <c r="C1231" s="18" t="str">
        <f>IF('Marcación Workera'!B1231="","",UPPER(SUBSTITUTE('Marcación Workera'!B1231,".","")))</f>
        <v/>
      </c>
    </row>
    <row r="1232" spans="2:3" ht="15" customHeight="1" x14ac:dyDescent="0.3">
      <c r="B1232" s="17" t="str">
        <f>IF('Marcación Workera'!G1232="","",INT('Marcación Workera'!G1232))</f>
        <v/>
      </c>
      <c r="C1232" s="18" t="str">
        <f>IF('Marcación Workera'!B1232="","",UPPER(SUBSTITUTE('Marcación Workera'!B1232,".","")))</f>
        <v/>
      </c>
    </row>
    <row r="1233" spans="2:3" ht="15" customHeight="1" x14ac:dyDescent="0.3">
      <c r="B1233" s="17" t="str">
        <f>IF('Marcación Workera'!G1233="","",INT('Marcación Workera'!G1233))</f>
        <v/>
      </c>
      <c r="C1233" s="18" t="str">
        <f>IF('Marcación Workera'!B1233="","",UPPER(SUBSTITUTE('Marcación Workera'!B1233,".","")))</f>
        <v/>
      </c>
    </row>
    <row r="1234" spans="2:3" ht="15" customHeight="1" x14ac:dyDescent="0.3">
      <c r="B1234" s="17" t="str">
        <f>IF('Marcación Workera'!G1234="","",INT('Marcación Workera'!G1234))</f>
        <v/>
      </c>
      <c r="C1234" s="18" t="str">
        <f>IF('Marcación Workera'!B1234="","",UPPER(SUBSTITUTE('Marcación Workera'!B1234,".","")))</f>
        <v/>
      </c>
    </row>
    <row r="1235" spans="2:3" ht="15" customHeight="1" x14ac:dyDescent="0.3">
      <c r="B1235" s="17" t="str">
        <f>IF('Marcación Workera'!G1235="","",INT('Marcación Workera'!G1235))</f>
        <v/>
      </c>
      <c r="C1235" s="18" t="str">
        <f>IF('Marcación Workera'!B1235="","",UPPER(SUBSTITUTE('Marcación Workera'!B1235,".","")))</f>
        <v/>
      </c>
    </row>
    <row r="1236" spans="2:3" ht="15" customHeight="1" x14ac:dyDescent="0.3">
      <c r="B1236" s="17" t="str">
        <f>IF('Marcación Workera'!G1236="","",INT('Marcación Workera'!G1236))</f>
        <v/>
      </c>
      <c r="C1236" s="18" t="str">
        <f>IF('Marcación Workera'!B1236="","",UPPER(SUBSTITUTE('Marcación Workera'!B1236,".","")))</f>
        <v/>
      </c>
    </row>
    <row r="1237" spans="2:3" ht="15" customHeight="1" x14ac:dyDescent="0.3">
      <c r="B1237" s="17" t="str">
        <f>IF('Marcación Workera'!G1237="","",INT('Marcación Workera'!G1237))</f>
        <v/>
      </c>
      <c r="C1237" s="18" t="str">
        <f>IF('Marcación Workera'!B1237="","",UPPER(SUBSTITUTE('Marcación Workera'!B1237,".","")))</f>
        <v/>
      </c>
    </row>
    <row r="1238" spans="2:3" ht="15" customHeight="1" x14ac:dyDescent="0.3">
      <c r="B1238" s="17" t="str">
        <f>IF('Marcación Workera'!G1238="","",INT('Marcación Workera'!G1238))</f>
        <v/>
      </c>
      <c r="C1238" s="18" t="str">
        <f>IF('Marcación Workera'!B1238="","",UPPER(SUBSTITUTE('Marcación Workera'!B1238,".","")))</f>
        <v/>
      </c>
    </row>
    <row r="1239" spans="2:3" ht="15" customHeight="1" x14ac:dyDescent="0.3">
      <c r="B1239" s="17" t="str">
        <f>IF('Marcación Workera'!G1239="","",INT('Marcación Workera'!G1239))</f>
        <v/>
      </c>
      <c r="C1239" s="18" t="str">
        <f>IF('Marcación Workera'!B1239="","",UPPER(SUBSTITUTE('Marcación Workera'!B1239,".","")))</f>
        <v/>
      </c>
    </row>
    <row r="1240" spans="2:3" ht="15" customHeight="1" x14ac:dyDescent="0.3">
      <c r="B1240" s="17" t="str">
        <f>IF('Marcación Workera'!G1240="","",INT('Marcación Workera'!G1240))</f>
        <v/>
      </c>
      <c r="C1240" s="18" t="str">
        <f>IF('Marcación Workera'!B1240="","",UPPER(SUBSTITUTE('Marcación Workera'!B1240,".","")))</f>
        <v/>
      </c>
    </row>
    <row r="1241" spans="2:3" ht="15" customHeight="1" x14ac:dyDescent="0.3">
      <c r="B1241" s="17" t="str">
        <f>IF('Marcación Workera'!G1241="","",INT('Marcación Workera'!G1241))</f>
        <v/>
      </c>
      <c r="C1241" s="18" t="str">
        <f>IF('Marcación Workera'!B1241="","",UPPER(SUBSTITUTE('Marcación Workera'!B1241,".","")))</f>
        <v/>
      </c>
    </row>
    <row r="1242" spans="2:3" ht="15" customHeight="1" x14ac:dyDescent="0.3">
      <c r="B1242" s="17" t="str">
        <f>IF('Marcación Workera'!G1242="","",INT('Marcación Workera'!G1242))</f>
        <v/>
      </c>
      <c r="C1242" s="18" t="str">
        <f>IF('Marcación Workera'!B1242="","",UPPER(SUBSTITUTE('Marcación Workera'!B1242,".","")))</f>
        <v/>
      </c>
    </row>
    <row r="1243" spans="2:3" ht="15" customHeight="1" x14ac:dyDescent="0.3">
      <c r="B1243" s="17" t="str">
        <f>IF('Marcación Workera'!G1243="","",INT('Marcación Workera'!G1243))</f>
        <v/>
      </c>
      <c r="C1243" s="18" t="str">
        <f>IF('Marcación Workera'!B1243="","",UPPER(SUBSTITUTE('Marcación Workera'!B1243,".","")))</f>
        <v/>
      </c>
    </row>
    <row r="1244" spans="2:3" ht="15" customHeight="1" x14ac:dyDescent="0.3">
      <c r="B1244" s="17" t="str">
        <f>IF('Marcación Workera'!G1244="","",INT('Marcación Workera'!G1244))</f>
        <v/>
      </c>
      <c r="C1244" s="18" t="str">
        <f>IF('Marcación Workera'!B1244="","",UPPER(SUBSTITUTE('Marcación Workera'!B1244,".","")))</f>
        <v/>
      </c>
    </row>
    <row r="1245" spans="2:3" ht="15" customHeight="1" x14ac:dyDescent="0.3">
      <c r="B1245" s="17" t="str">
        <f>IF('Marcación Workera'!G1245="","",INT('Marcación Workera'!G1245))</f>
        <v/>
      </c>
      <c r="C1245" s="18" t="str">
        <f>IF('Marcación Workera'!B1245="","",UPPER(SUBSTITUTE('Marcación Workera'!B1245,".","")))</f>
        <v/>
      </c>
    </row>
    <row r="1246" spans="2:3" ht="15" customHeight="1" x14ac:dyDescent="0.3">
      <c r="B1246" s="17" t="str">
        <f>IF('Marcación Workera'!G1246="","",INT('Marcación Workera'!G1246))</f>
        <v/>
      </c>
      <c r="C1246" s="18" t="str">
        <f>IF('Marcación Workera'!B1246="","",UPPER(SUBSTITUTE('Marcación Workera'!B1246,".","")))</f>
        <v/>
      </c>
    </row>
    <row r="1247" spans="2:3" ht="15" customHeight="1" x14ac:dyDescent="0.3">
      <c r="B1247" s="17" t="str">
        <f>IF('Marcación Workera'!G1247="","",INT('Marcación Workera'!G1247))</f>
        <v/>
      </c>
      <c r="C1247" s="18" t="str">
        <f>IF('Marcación Workera'!B1247="","",UPPER(SUBSTITUTE('Marcación Workera'!B1247,".","")))</f>
        <v/>
      </c>
    </row>
    <row r="1248" spans="2:3" ht="15" customHeight="1" x14ac:dyDescent="0.3">
      <c r="B1248" s="17" t="str">
        <f>IF('Marcación Workera'!G1248="","",INT('Marcación Workera'!G1248))</f>
        <v/>
      </c>
      <c r="C1248" s="18" t="str">
        <f>IF('Marcación Workera'!B1248="","",UPPER(SUBSTITUTE('Marcación Workera'!B1248,".","")))</f>
        <v/>
      </c>
    </row>
    <row r="1249" spans="2:3" ht="15" customHeight="1" x14ac:dyDescent="0.3">
      <c r="B1249" s="17" t="str">
        <f>IF('Marcación Workera'!G1249="","",INT('Marcación Workera'!G1249))</f>
        <v/>
      </c>
      <c r="C1249" s="18" t="str">
        <f>IF('Marcación Workera'!B1249="","",UPPER(SUBSTITUTE('Marcación Workera'!B1249,".","")))</f>
        <v/>
      </c>
    </row>
    <row r="1250" spans="2:3" ht="15" customHeight="1" x14ac:dyDescent="0.3">
      <c r="B1250" s="17" t="str">
        <f>IF('Marcación Workera'!G1250="","",INT('Marcación Workera'!G1250))</f>
        <v/>
      </c>
      <c r="C1250" s="18" t="str">
        <f>IF('Marcación Workera'!B1250="","",UPPER(SUBSTITUTE('Marcación Workera'!B1250,".","")))</f>
        <v/>
      </c>
    </row>
    <row r="1251" spans="2:3" ht="15" customHeight="1" x14ac:dyDescent="0.3">
      <c r="B1251" s="17" t="str">
        <f>IF('Marcación Workera'!G1251="","",INT('Marcación Workera'!G1251))</f>
        <v/>
      </c>
      <c r="C1251" s="18" t="str">
        <f>IF('Marcación Workera'!B1251="","",UPPER(SUBSTITUTE('Marcación Workera'!B1251,".","")))</f>
        <v/>
      </c>
    </row>
    <row r="1252" spans="2:3" ht="15" customHeight="1" x14ac:dyDescent="0.3">
      <c r="B1252" s="17" t="str">
        <f>IF('Marcación Workera'!G1252="","",INT('Marcación Workera'!G1252))</f>
        <v/>
      </c>
      <c r="C1252" s="18" t="str">
        <f>IF('Marcación Workera'!B1252="","",UPPER(SUBSTITUTE('Marcación Workera'!B1252,".","")))</f>
        <v/>
      </c>
    </row>
    <row r="1253" spans="2:3" ht="15" customHeight="1" x14ac:dyDescent="0.3">
      <c r="B1253" s="17" t="str">
        <f>IF('Marcación Workera'!G1253="","",INT('Marcación Workera'!G1253))</f>
        <v/>
      </c>
      <c r="C1253" s="18" t="str">
        <f>IF('Marcación Workera'!B1253="","",UPPER(SUBSTITUTE('Marcación Workera'!B1253,".","")))</f>
        <v/>
      </c>
    </row>
    <row r="1254" spans="2:3" ht="15" customHeight="1" x14ac:dyDescent="0.3">
      <c r="B1254" s="17" t="str">
        <f>IF('Marcación Workera'!G1254="","",INT('Marcación Workera'!G1254))</f>
        <v/>
      </c>
      <c r="C1254" s="18" t="str">
        <f>IF('Marcación Workera'!B1254="","",UPPER(SUBSTITUTE('Marcación Workera'!B1254,".","")))</f>
        <v/>
      </c>
    </row>
    <row r="1255" spans="2:3" ht="15" customHeight="1" x14ac:dyDescent="0.3">
      <c r="B1255" s="17" t="str">
        <f>IF('Marcación Workera'!G1255="","",INT('Marcación Workera'!G1255))</f>
        <v/>
      </c>
      <c r="C1255" s="18" t="str">
        <f>IF('Marcación Workera'!B1255="","",UPPER(SUBSTITUTE('Marcación Workera'!B1255,".","")))</f>
        <v/>
      </c>
    </row>
    <row r="1256" spans="2:3" ht="15" customHeight="1" x14ac:dyDescent="0.3">
      <c r="B1256" s="17" t="str">
        <f>IF('Marcación Workera'!G1256="","",INT('Marcación Workera'!G1256))</f>
        <v/>
      </c>
      <c r="C1256" s="18" t="str">
        <f>IF('Marcación Workera'!B1256="","",UPPER(SUBSTITUTE('Marcación Workera'!B1256,".","")))</f>
        <v/>
      </c>
    </row>
    <row r="1257" spans="2:3" ht="15" customHeight="1" x14ac:dyDescent="0.3">
      <c r="B1257" s="17" t="str">
        <f>IF('Marcación Workera'!G1257="","",INT('Marcación Workera'!G1257))</f>
        <v/>
      </c>
      <c r="C1257" s="18" t="str">
        <f>IF('Marcación Workera'!B1257="","",UPPER(SUBSTITUTE('Marcación Workera'!B1257,".","")))</f>
        <v/>
      </c>
    </row>
    <row r="1258" spans="2:3" ht="15" customHeight="1" x14ac:dyDescent="0.3">
      <c r="B1258" s="17" t="str">
        <f>IF('Marcación Workera'!G1258="","",INT('Marcación Workera'!G1258))</f>
        <v/>
      </c>
      <c r="C1258" s="18" t="str">
        <f>IF('Marcación Workera'!B1258="","",UPPER(SUBSTITUTE('Marcación Workera'!B1258,".","")))</f>
        <v/>
      </c>
    </row>
    <row r="1259" spans="2:3" ht="15" customHeight="1" x14ac:dyDescent="0.3">
      <c r="B1259" s="17" t="str">
        <f>IF('Marcación Workera'!G1259="","",INT('Marcación Workera'!G1259))</f>
        <v/>
      </c>
      <c r="C1259" s="18" t="str">
        <f>IF('Marcación Workera'!B1259="","",UPPER(SUBSTITUTE('Marcación Workera'!B1259,".","")))</f>
        <v/>
      </c>
    </row>
    <row r="1260" spans="2:3" ht="15" customHeight="1" x14ac:dyDescent="0.3">
      <c r="B1260" s="17" t="str">
        <f>IF('Marcación Workera'!G1260="","",INT('Marcación Workera'!G1260))</f>
        <v/>
      </c>
      <c r="C1260" s="18" t="str">
        <f>IF('Marcación Workera'!B1260="","",UPPER(SUBSTITUTE('Marcación Workera'!B1260,".","")))</f>
        <v/>
      </c>
    </row>
    <row r="1261" spans="2:3" ht="15" customHeight="1" x14ac:dyDescent="0.3">
      <c r="B1261" s="17" t="str">
        <f>IF('Marcación Workera'!G1261="","",INT('Marcación Workera'!G1261))</f>
        <v/>
      </c>
      <c r="C1261" s="18" t="str">
        <f>IF('Marcación Workera'!B1261="","",UPPER(SUBSTITUTE('Marcación Workera'!B1261,".","")))</f>
        <v/>
      </c>
    </row>
    <row r="1262" spans="2:3" ht="15" customHeight="1" x14ac:dyDescent="0.3">
      <c r="B1262" s="17" t="str">
        <f>IF('Marcación Workera'!G1262="","",INT('Marcación Workera'!G1262))</f>
        <v/>
      </c>
      <c r="C1262" s="18" t="str">
        <f>IF('Marcación Workera'!B1262="","",UPPER(SUBSTITUTE('Marcación Workera'!B1262,".","")))</f>
        <v/>
      </c>
    </row>
    <row r="1263" spans="2:3" ht="15" customHeight="1" x14ac:dyDescent="0.3">
      <c r="B1263" s="17" t="str">
        <f>IF('Marcación Workera'!G1263="","",INT('Marcación Workera'!G1263))</f>
        <v/>
      </c>
      <c r="C1263" s="18" t="str">
        <f>IF('Marcación Workera'!B1263="","",UPPER(SUBSTITUTE('Marcación Workera'!B1263,".","")))</f>
        <v/>
      </c>
    </row>
    <row r="1264" spans="2:3" ht="15" customHeight="1" x14ac:dyDescent="0.3">
      <c r="B1264" s="17" t="str">
        <f>IF('Marcación Workera'!G1264="","",INT('Marcación Workera'!G1264))</f>
        <v/>
      </c>
      <c r="C1264" s="18" t="str">
        <f>IF('Marcación Workera'!B1264="","",UPPER(SUBSTITUTE('Marcación Workera'!B1264,".","")))</f>
        <v/>
      </c>
    </row>
    <row r="1265" spans="2:3" ht="15" customHeight="1" x14ac:dyDescent="0.3">
      <c r="B1265" s="17" t="str">
        <f>IF('Marcación Workera'!G1265="","",INT('Marcación Workera'!G1265))</f>
        <v/>
      </c>
      <c r="C1265" s="18" t="str">
        <f>IF('Marcación Workera'!B1265="","",UPPER(SUBSTITUTE('Marcación Workera'!B1265,".","")))</f>
        <v/>
      </c>
    </row>
    <row r="1266" spans="2:3" ht="15" customHeight="1" x14ac:dyDescent="0.3">
      <c r="B1266" s="17" t="str">
        <f>IF('Marcación Workera'!G1266="","",INT('Marcación Workera'!G1266))</f>
        <v/>
      </c>
      <c r="C1266" s="18" t="str">
        <f>IF('Marcación Workera'!B1266="","",UPPER(SUBSTITUTE('Marcación Workera'!B1266,".","")))</f>
        <v/>
      </c>
    </row>
    <row r="1267" spans="2:3" ht="15" customHeight="1" x14ac:dyDescent="0.3">
      <c r="B1267" s="17" t="str">
        <f>IF('Marcación Workera'!G1267="","",INT('Marcación Workera'!G1267))</f>
        <v/>
      </c>
      <c r="C1267" s="18" t="str">
        <f>IF('Marcación Workera'!B1267="","",UPPER(SUBSTITUTE('Marcación Workera'!B1267,".","")))</f>
        <v/>
      </c>
    </row>
    <row r="1268" spans="2:3" ht="15" customHeight="1" x14ac:dyDescent="0.3">
      <c r="B1268" s="17" t="str">
        <f>IF('Marcación Workera'!G1268="","",INT('Marcación Workera'!G1268))</f>
        <v/>
      </c>
      <c r="C1268" s="18" t="str">
        <f>IF('Marcación Workera'!B1268="","",UPPER(SUBSTITUTE('Marcación Workera'!B1268,".","")))</f>
        <v/>
      </c>
    </row>
    <row r="1269" spans="2:3" ht="15" customHeight="1" x14ac:dyDescent="0.3">
      <c r="B1269" s="17" t="str">
        <f>IF('Marcación Workera'!G1269="","",INT('Marcación Workera'!G1269))</f>
        <v/>
      </c>
      <c r="C1269" s="18" t="str">
        <f>IF('Marcación Workera'!B1269="","",UPPER(SUBSTITUTE('Marcación Workera'!B1269,".","")))</f>
        <v/>
      </c>
    </row>
    <row r="1270" spans="2:3" ht="15" customHeight="1" x14ac:dyDescent="0.3">
      <c r="B1270" s="17" t="str">
        <f>IF('Marcación Workera'!G1270="","",INT('Marcación Workera'!G1270))</f>
        <v/>
      </c>
      <c r="C1270" s="18" t="str">
        <f>IF('Marcación Workera'!B1270="","",UPPER(SUBSTITUTE('Marcación Workera'!B1270,".","")))</f>
        <v/>
      </c>
    </row>
    <row r="1271" spans="2:3" ht="15" customHeight="1" x14ac:dyDescent="0.3">
      <c r="B1271" s="17" t="str">
        <f>IF('Marcación Workera'!G1271="","",INT('Marcación Workera'!G1271))</f>
        <v/>
      </c>
      <c r="C1271" s="18" t="str">
        <f>IF('Marcación Workera'!B1271="","",UPPER(SUBSTITUTE('Marcación Workera'!B1271,".","")))</f>
        <v/>
      </c>
    </row>
    <row r="1272" spans="2:3" ht="15" customHeight="1" x14ac:dyDescent="0.3">
      <c r="B1272" s="17" t="str">
        <f>IF('Marcación Workera'!G1272="","",INT('Marcación Workera'!G1272))</f>
        <v/>
      </c>
      <c r="C1272" s="18" t="str">
        <f>IF('Marcación Workera'!B1272="","",UPPER(SUBSTITUTE('Marcación Workera'!B1272,".","")))</f>
        <v/>
      </c>
    </row>
    <row r="1273" spans="2:3" ht="15" customHeight="1" x14ac:dyDescent="0.3">
      <c r="B1273" s="17" t="str">
        <f>IF('Marcación Workera'!G1273="","",INT('Marcación Workera'!G1273))</f>
        <v/>
      </c>
      <c r="C1273" s="18" t="str">
        <f>IF('Marcación Workera'!B1273="","",UPPER(SUBSTITUTE('Marcación Workera'!B1273,".","")))</f>
        <v/>
      </c>
    </row>
    <row r="1274" spans="2:3" ht="15" customHeight="1" x14ac:dyDescent="0.3">
      <c r="B1274" s="17" t="str">
        <f>IF('Marcación Workera'!G1274="","",INT('Marcación Workera'!G1274))</f>
        <v/>
      </c>
      <c r="C1274" s="18" t="str">
        <f>IF('Marcación Workera'!B1274="","",UPPER(SUBSTITUTE('Marcación Workera'!B1274,".","")))</f>
        <v/>
      </c>
    </row>
    <row r="1275" spans="2:3" ht="15" customHeight="1" x14ac:dyDescent="0.3">
      <c r="B1275" s="17" t="str">
        <f>IF('Marcación Workera'!G1275="","",INT('Marcación Workera'!G1275))</f>
        <v/>
      </c>
      <c r="C1275" s="18" t="str">
        <f>IF('Marcación Workera'!B1275="","",UPPER(SUBSTITUTE('Marcación Workera'!B1275,".","")))</f>
        <v/>
      </c>
    </row>
    <row r="1276" spans="2:3" ht="15" customHeight="1" x14ac:dyDescent="0.3">
      <c r="B1276" s="17" t="str">
        <f>IF('Marcación Workera'!G1276="","",INT('Marcación Workera'!G1276))</f>
        <v/>
      </c>
      <c r="C1276" s="18" t="str">
        <f>IF('Marcación Workera'!B1276="","",UPPER(SUBSTITUTE('Marcación Workera'!B1276,".","")))</f>
        <v/>
      </c>
    </row>
    <row r="1277" spans="2:3" ht="15" customHeight="1" x14ac:dyDescent="0.3">
      <c r="B1277" s="17" t="str">
        <f>IF('Marcación Workera'!G1277="","",INT('Marcación Workera'!G1277))</f>
        <v/>
      </c>
      <c r="C1277" s="18" t="str">
        <f>IF('Marcación Workera'!B1277="","",UPPER(SUBSTITUTE('Marcación Workera'!B1277,".","")))</f>
        <v/>
      </c>
    </row>
    <row r="1278" spans="2:3" ht="15" customHeight="1" x14ac:dyDescent="0.3">
      <c r="B1278" s="17" t="str">
        <f>IF('Marcación Workera'!G1278="","",INT('Marcación Workera'!G1278))</f>
        <v/>
      </c>
      <c r="C1278" s="18" t="str">
        <f>IF('Marcación Workera'!B1278="","",UPPER(SUBSTITUTE('Marcación Workera'!B1278,".","")))</f>
        <v/>
      </c>
    </row>
    <row r="1279" spans="2:3" ht="15" customHeight="1" x14ac:dyDescent="0.3">
      <c r="B1279" s="17" t="str">
        <f>IF('Marcación Workera'!G1279="","",INT('Marcación Workera'!G1279))</f>
        <v/>
      </c>
      <c r="C1279" s="18" t="str">
        <f>IF('Marcación Workera'!B1279="","",UPPER(SUBSTITUTE('Marcación Workera'!B1279,".","")))</f>
        <v/>
      </c>
    </row>
    <row r="1280" spans="2:3" ht="15" customHeight="1" x14ac:dyDescent="0.3">
      <c r="B1280" s="17" t="str">
        <f>IF('Marcación Workera'!G1280="","",INT('Marcación Workera'!G1280))</f>
        <v/>
      </c>
      <c r="C1280" s="18" t="str">
        <f>IF('Marcación Workera'!B1280="","",UPPER(SUBSTITUTE('Marcación Workera'!B1280,".","")))</f>
        <v/>
      </c>
    </row>
    <row r="1281" spans="2:3" ht="15" customHeight="1" x14ac:dyDescent="0.3">
      <c r="B1281" s="17" t="str">
        <f>IF('Marcación Workera'!G1281="","",INT('Marcación Workera'!G1281))</f>
        <v/>
      </c>
      <c r="C1281" s="18" t="str">
        <f>IF('Marcación Workera'!B1281="","",UPPER(SUBSTITUTE('Marcación Workera'!B1281,".","")))</f>
        <v/>
      </c>
    </row>
    <row r="1282" spans="2:3" ht="15" customHeight="1" x14ac:dyDescent="0.3">
      <c r="B1282" s="17" t="str">
        <f>IF('Marcación Workera'!G1282="","",INT('Marcación Workera'!G1282))</f>
        <v/>
      </c>
      <c r="C1282" s="18" t="str">
        <f>IF('Marcación Workera'!B1282="","",UPPER(SUBSTITUTE('Marcación Workera'!B1282,".","")))</f>
        <v/>
      </c>
    </row>
    <row r="1283" spans="2:3" ht="15" customHeight="1" x14ac:dyDescent="0.3">
      <c r="B1283" s="17" t="str">
        <f>IF('Marcación Workera'!G1283="","",INT('Marcación Workera'!G1283))</f>
        <v/>
      </c>
      <c r="C1283" s="18" t="str">
        <f>IF('Marcación Workera'!B1283="","",UPPER(SUBSTITUTE('Marcación Workera'!B1283,".","")))</f>
        <v/>
      </c>
    </row>
    <row r="1284" spans="2:3" ht="15" customHeight="1" x14ac:dyDescent="0.3">
      <c r="B1284" s="17" t="str">
        <f>IF('Marcación Workera'!G1284="","",INT('Marcación Workera'!G1284))</f>
        <v/>
      </c>
      <c r="C1284" s="18" t="str">
        <f>IF('Marcación Workera'!B1284="","",UPPER(SUBSTITUTE('Marcación Workera'!B1284,".","")))</f>
        <v/>
      </c>
    </row>
    <row r="1285" spans="2:3" ht="15" customHeight="1" x14ac:dyDescent="0.3">
      <c r="B1285" s="17" t="str">
        <f>IF('Marcación Workera'!G1285="","",INT('Marcación Workera'!G1285))</f>
        <v/>
      </c>
      <c r="C1285" s="18" t="str">
        <f>IF('Marcación Workera'!B1285="","",UPPER(SUBSTITUTE('Marcación Workera'!B1285,".","")))</f>
        <v/>
      </c>
    </row>
    <row r="1286" spans="2:3" ht="15" customHeight="1" x14ac:dyDescent="0.3">
      <c r="B1286" s="17" t="str">
        <f>IF('Marcación Workera'!G1286="","",INT('Marcación Workera'!G1286))</f>
        <v/>
      </c>
      <c r="C1286" s="18" t="str">
        <f>IF('Marcación Workera'!B1286="","",UPPER(SUBSTITUTE('Marcación Workera'!B1286,".","")))</f>
        <v/>
      </c>
    </row>
    <row r="1287" spans="2:3" ht="15" customHeight="1" x14ac:dyDescent="0.3">
      <c r="B1287" s="17" t="str">
        <f>IF('Marcación Workera'!G1287="","",INT('Marcación Workera'!G1287))</f>
        <v/>
      </c>
      <c r="C1287" s="18" t="str">
        <f>IF('Marcación Workera'!B1287="","",UPPER(SUBSTITUTE('Marcación Workera'!B1287,".","")))</f>
        <v/>
      </c>
    </row>
    <row r="1288" spans="2:3" ht="15" customHeight="1" x14ac:dyDescent="0.3">
      <c r="B1288" s="17" t="str">
        <f>IF('Marcación Workera'!G1288="","",INT('Marcación Workera'!G1288))</f>
        <v/>
      </c>
      <c r="C1288" s="18" t="str">
        <f>IF('Marcación Workera'!B1288="","",UPPER(SUBSTITUTE('Marcación Workera'!B1288,".","")))</f>
        <v/>
      </c>
    </row>
    <row r="1289" spans="2:3" ht="15" customHeight="1" x14ac:dyDescent="0.3">
      <c r="B1289" s="17" t="str">
        <f>IF('Marcación Workera'!G1289="","",INT('Marcación Workera'!G1289))</f>
        <v/>
      </c>
      <c r="C1289" s="18" t="str">
        <f>IF('Marcación Workera'!B1289="","",UPPER(SUBSTITUTE('Marcación Workera'!B1289,".","")))</f>
        <v/>
      </c>
    </row>
    <row r="1290" spans="2:3" ht="15" customHeight="1" x14ac:dyDescent="0.3">
      <c r="B1290" s="17" t="str">
        <f>IF('Marcación Workera'!G1290="","",INT('Marcación Workera'!G1290))</f>
        <v/>
      </c>
      <c r="C1290" s="18" t="str">
        <f>IF('Marcación Workera'!B1290="","",UPPER(SUBSTITUTE('Marcación Workera'!B1290,".","")))</f>
        <v/>
      </c>
    </row>
    <row r="1291" spans="2:3" ht="15" customHeight="1" x14ac:dyDescent="0.3">
      <c r="B1291" s="17" t="str">
        <f>IF('Marcación Workera'!G1291="","",INT('Marcación Workera'!G1291))</f>
        <v/>
      </c>
      <c r="C1291" s="18" t="str">
        <f>IF('Marcación Workera'!B1291="","",UPPER(SUBSTITUTE('Marcación Workera'!B1291,".","")))</f>
        <v/>
      </c>
    </row>
    <row r="1292" spans="2:3" ht="15" customHeight="1" x14ac:dyDescent="0.3">
      <c r="B1292" s="17" t="str">
        <f>IF('Marcación Workera'!G1292="","",INT('Marcación Workera'!G1292))</f>
        <v/>
      </c>
      <c r="C1292" s="18" t="str">
        <f>IF('Marcación Workera'!B1292="","",UPPER(SUBSTITUTE('Marcación Workera'!B1292,".","")))</f>
        <v/>
      </c>
    </row>
    <row r="1293" spans="2:3" ht="15" customHeight="1" x14ac:dyDescent="0.3">
      <c r="B1293" s="17" t="str">
        <f>IF('Marcación Workera'!G1293="","",INT('Marcación Workera'!G1293))</f>
        <v/>
      </c>
      <c r="C1293" s="18" t="str">
        <f>IF('Marcación Workera'!B1293="","",UPPER(SUBSTITUTE('Marcación Workera'!B1293,".","")))</f>
        <v/>
      </c>
    </row>
    <row r="1294" spans="2:3" ht="15" customHeight="1" x14ac:dyDescent="0.3">
      <c r="B1294" s="17" t="str">
        <f>IF('Marcación Workera'!G1294="","",INT('Marcación Workera'!G1294))</f>
        <v/>
      </c>
      <c r="C1294" s="18" t="str">
        <f>IF('Marcación Workera'!B1294="","",UPPER(SUBSTITUTE('Marcación Workera'!B1294,".","")))</f>
        <v/>
      </c>
    </row>
    <row r="1295" spans="2:3" ht="15" customHeight="1" x14ac:dyDescent="0.3">
      <c r="B1295" s="17" t="str">
        <f>IF('Marcación Workera'!G1295="","",INT('Marcación Workera'!G1295))</f>
        <v/>
      </c>
      <c r="C1295" s="18" t="str">
        <f>IF('Marcación Workera'!B1295="","",UPPER(SUBSTITUTE('Marcación Workera'!B1295,".","")))</f>
        <v/>
      </c>
    </row>
    <row r="1296" spans="2:3" ht="15" customHeight="1" x14ac:dyDescent="0.3">
      <c r="B1296" s="17" t="str">
        <f>IF('Marcación Workera'!G1296="","",INT('Marcación Workera'!G1296))</f>
        <v/>
      </c>
      <c r="C1296" s="18" t="str">
        <f>IF('Marcación Workera'!B1296="","",UPPER(SUBSTITUTE('Marcación Workera'!B1296,".","")))</f>
        <v/>
      </c>
    </row>
    <row r="1297" spans="2:3" ht="15" customHeight="1" x14ac:dyDescent="0.3">
      <c r="B1297" s="17" t="str">
        <f>IF('Marcación Workera'!G1297="","",INT('Marcación Workera'!G1297))</f>
        <v/>
      </c>
      <c r="C1297" s="18" t="str">
        <f>IF('Marcación Workera'!B1297="","",UPPER(SUBSTITUTE('Marcación Workera'!B1297,".","")))</f>
        <v/>
      </c>
    </row>
    <row r="1298" spans="2:3" ht="15" customHeight="1" x14ac:dyDescent="0.3">
      <c r="B1298" s="17" t="str">
        <f>IF('Marcación Workera'!G1298="","",INT('Marcación Workera'!G1298))</f>
        <v/>
      </c>
      <c r="C1298" s="18" t="str">
        <f>IF('Marcación Workera'!B1298="","",UPPER(SUBSTITUTE('Marcación Workera'!B1298,".","")))</f>
        <v/>
      </c>
    </row>
    <row r="1299" spans="2:3" ht="15" customHeight="1" x14ac:dyDescent="0.3">
      <c r="B1299" s="17" t="str">
        <f>IF('Marcación Workera'!G1299="","",INT('Marcación Workera'!G1299))</f>
        <v/>
      </c>
      <c r="C1299" s="18" t="str">
        <f>IF('Marcación Workera'!B1299="","",UPPER(SUBSTITUTE('Marcación Workera'!B1299,".","")))</f>
        <v/>
      </c>
    </row>
    <row r="1300" spans="2:3" ht="15" customHeight="1" x14ac:dyDescent="0.3">
      <c r="B1300" s="17" t="str">
        <f>IF('Marcación Workera'!G1300="","",INT('Marcación Workera'!G1300))</f>
        <v/>
      </c>
      <c r="C1300" s="18" t="str">
        <f>IF('Marcación Workera'!B1300="","",UPPER(SUBSTITUTE('Marcación Workera'!B1300,".","")))</f>
        <v/>
      </c>
    </row>
    <row r="1301" spans="2:3" ht="15" customHeight="1" x14ac:dyDescent="0.3">
      <c r="B1301" s="17" t="str">
        <f>IF('Marcación Workera'!G1301="","",INT('Marcación Workera'!G1301))</f>
        <v/>
      </c>
      <c r="C1301" s="18" t="str">
        <f>IF('Marcación Workera'!B1301="","",UPPER(SUBSTITUTE('Marcación Workera'!B1301,".","")))</f>
        <v/>
      </c>
    </row>
    <row r="1302" spans="2:3" ht="15" customHeight="1" x14ac:dyDescent="0.3">
      <c r="B1302" s="17" t="str">
        <f>IF('Marcación Workera'!G1302="","",INT('Marcación Workera'!G1302))</f>
        <v/>
      </c>
      <c r="C1302" s="18" t="str">
        <f>IF('Marcación Workera'!B1302="","",UPPER(SUBSTITUTE('Marcación Workera'!B1302,".","")))</f>
        <v/>
      </c>
    </row>
    <row r="1303" spans="2:3" ht="15" customHeight="1" x14ac:dyDescent="0.3">
      <c r="B1303" s="17" t="str">
        <f>IF('Marcación Workera'!G1303="","",INT('Marcación Workera'!G1303))</f>
        <v/>
      </c>
      <c r="C1303" s="18" t="str">
        <f>IF('Marcación Workera'!B1303="","",UPPER(SUBSTITUTE('Marcación Workera'!B1303,".","")))</f>
        <v/>
      </c>
    </row>
    <row r="1304" spans="2:3" ht="15" customHeight="1" x14ac:dyDescent="0.3">
      <c r="B1304" s="17" t="str">
        <f>IF('Marcación Workera'!G1304="","",INT('Marcación Workera'!G1304))</f>
        <v/>
      </c>
      <c r="C1304" s="18" t="str">
        <f>IF('Marcación Workera'!B1304="","",UPPER(SUBSTITUTE('Marcación Workera'!B1304,".","")))</f>
        <v/>
      </c>
    </row>
    <row r="1305" spans="2:3" ht="15" customHeight="1" x14ac:dyDescent="0.3">
      <c r="B1305" s="17" t="str">
        <f>IF('Marcación Workera'!G1305="","",INT('Marcación Workera'!G1305))</f>
        <v/>
      </c>
      <c r="C1305" s="18" t="str">
        <f>IF('Marcación Workera'!B1305="","",UPPER(SUBSTITUTE('Marcación Workera'!B1305,".","")))</f>
        <v/>
      </c>
    </row>
    <row r="1306" spans="2:3" ht="15" customHeight="1" x14ac:dyDescent="0.3">
      <c r="B1306" s="17" t="str">
        <f>IF('Marcación Workera'!G1306="","",INT('Marcación Workera'!G1306))</f>
        <v/>
      </c>
      <c r="C1306" s="18" t="str">
        <f>IF('Marcación Workera'!B1306="","",UPPER(SUBSTITUTE('Marcación Workera'!B1306,".","")))</f>
        <v/>
      </c>
    </row>
    <row r="1307" spans="2:3" ht="15" customHeight="1" x14ac:dyDescent="0.3">
      <c r="B1307" s="17" t="str">
        <f>IF('Marcación Workera'!G1307="","",INT('Marcación Workera'!G1307))</f>
        <v/>
      </c>
      <c r="C1307" s="18" t="str">
        <f>IF('Marcación Workera'!B1307="","",UPPER(SUBSTITUTE('Marcación Workera'!B1307,".","")))</f>
        <v/>
      </c>
    </row>
    <row r="1308" spans="2:3" ht="15" customHeight="1" x14ac:dyDescent="0.3">
      <c r="B1308" s="17" t="str">
        <f>IF('Marcación Workera'!G1308="","",INT('Marcación Workera'!G1308))</f>
        <v/>
      </c>
      <c r="C1308" s="18" t="str">
        <f>IF('Marcación Workera'!B1308="","",UPPER(SUBSTITUTE('Marcación Workera'!B1308,".","")))</f>
        <v/>
      </c>
    </row>
    <row r="1309" spans="2:3" ht="15" customHeight="1" x14ac:dyDescent="0.3">
      <c r="B1309" s="17" t="str">
        <f>IF('Marcación Workera'!G1309="","",INT('Marcación Workera'!G1309))</f>
        <v/>
      </c>
      <c r="C1309" s="18" t="str">
        <f>IF('Marcación Workera'!B1309="","",UPPER(SUBSTITUTE('Marcación Workera'!B1309,".","")))</f>
        <v/>
      </c>
    </row>
    <row r="1310" spans="2:3" ht="15" customHeight="1" x14ac:dyDescent="0.3">
      <c r="B1310" s="17" t="str">
        <f>IF('Marcación Workera'!G1310="","",INT('Marcación Workera'!G1310))</f>
        <v/>
      </c>
      <c r="C1310" s="18" t="str">
        <f>IF('Marcación Workera'!B1310="","",UPPER(SUBSTITUTE('Marcación Workera'!B1310,".","")))</f>
        <v/>
      </c>
    </row>
    <row r="1311" spans="2:3" ht="15" customHeight="1" x14ac:dyDescent="0.3">
      <c r="B1311" s="17" t="str">
        <f>IF('Marcación Workera'!G1311="","",INT('Marcación Workera'!G1311))</f>
        <v/>
      </c>
      <c r="C1311" s="18" t="str">
        <f>IF('Marcación Workera'!B1311="","",UPPER(SUBSTITUTE('Marcación Workera'!B1311,".","")))</f>
        <v/>
      </c>
    </row>
    <row r="1312" spans="2:3" ht="15" customHeight="1" x14ac:dyDescent="0.3">
      <c r="B1312" s="17" t="str">
        <f>IF('Marcación Workera'!G1312="","",INT('Marcación Workera'!G1312))</f>
        <v/>
      </c>
      <c r="C1312" s="18" t="str">
        <f>IF('Marcación Workera'!B1312="","",UPPER(SUBSTITUTE('Marcación Workera'!B1312,".","")))</f>
        <v/>
      </c>
    </row>
    <row r="1313" spans="2:3" ht="15" customHeight="1" x14ac:dyDescent="0.3">
      <c r="B1313" s="17" t="str">
        <f>IF('Marcación Workera'!G1313="","",INT('Marcación Workera'!G1313))</f>
        <v/>
      </c>
      <c r="C1313" s="18" t="str">
        <f>IF('Marcación Workera'!B1313="","",UPPER(SUBSTITUTE('Marcación Workera'!B1313,".","")))</f>
        <v/>
      </c>
    </row>
    <row r="1314" spans="2:3" ht="15" customHeight="1" x14ac:dyDescent="0.3">
      <c r="B1314" s="17" t="str">
        <f>IF('Marcación Workera'!G1314="","",INT('Marcación Workera'!G1314))</f>
        <v/>
      </c>
      <c r="C1314" s="18" t="str">
        <f>IF('Marcación Workera'!B1314="","",UPPER(SUBSTITUTE('Marcación Workera'!B1314,".","")))</f>
        <v/>
      </c>
    </row>
    <row r="1315" spans="2:3" ht="15" customHeight="1" x14ac:dyDescent="0.3">
      <c r="B1315" s="17" t="str">
        <f>IF('Marcación Workera'!G1315="","",INT('Marcación Workera'!G1315))</f>
        <v/>
      </c>
      <c r="C1315" s="18" t="str">
        <f>IF('Marcación Workera'!B1315="","",UPPER(SUBSTITUTE('Marcación Workera'!B1315,".","")))</f>
        <v/>
      </c>
    </row>
    <row r="1316" spans="2:3" ht="15" customHeight="1" x14ac:dyDescent="0.3">
      <c r="B1316" s="17" t="str">
        <f>IF('Marcación Workera'!G1316="","",INT('Marcación Workera'!G1316))</f>
        <v/>
      </c>
      <c r="C1316" s="18" t="str">
        <f>IF('Marcación Workera'!B1316="","",UPPER(SUBSTITUTE('Marcación Workera'!B1316,".","")))</f>
        <v/>
      </c>
    </row>
    <row r="1317" spans="2:3" ht="15" customHeight="1" x14ac:dyDescent="0.3">
      <c r="B1317" s="17" t="str">
        <f>IF('Marcación Workera'!G1317="","",INT('Marcación Workera'!G1317))</f>
        <v/>
      </c>
      <c r="C1317" s="18" t="str">
        <f>IF('Marcación Workera'!B1317="","",UPPER(SUBSTITUTE('Marcación Workera'!B1317,".","")))</f>
        <v/>
      </c>
    </row>
    <row r="1318" spans="2:3" ht="15" customHeight="1" x14ac:dyDescent="0.3">
      <c r="B1318" s="17" t="str">
        <f>IF('Marcación Workera'!G1318="","",INT('Marcación Workera'!G1318))</f>
        <v/>
      </c>
      <c r="C1318" s="18" t="str">
        <f>IF('Marcación Workera'!B1318="","",UPPER(SUBSTITUTE('Marcación Workera'!B1318,".","")))</f>
        <v/>
      </c>
    </row>
    <row r="1319" spans="2:3" ht="15" customHeight="1" x14ac:dyDescent="0.3">
      <c r="B1319" s="17" t="str">
        <f>IF('Marcación Workera'!G1319="","",INT('Marcación Workera'!G1319))</f>
        <v/>
      </c>
      <c r="C1319" s="18" t="str">
        <f>IF('Marcación Workera'!B1319="","",UPPER(SUBSTITUTE('Marcación Workera'!B1319,".","")))</f>
        <v/>
      </c>
    </row>
    <row r="1320" spans="2:3" ht="15" customHeight="1" x14ac:dyDescent="0.3">
      <c r="B1320" s="17" t="str">
        <f>IF('Marcación Workera'!G1320="","",INT('Marcación Workera'!G1320))</f>
        <v/>
      </c>
      <c r="C1320" s="18" t="str">
        <f>IF('Marcación Workera'!B1320="","",UPPER(SUBSTITUTE('Marcación Workera'!B1320,".","")))</f>
        <v/>
      </c>
    </row>
    <row r="1321" spans="2:3" ht="15" customHeight="1" x14ac:dyDescent="0.3">
      <c r="B1321" s="17" t="str">
        <f>IF('Marcación Workera'!G1321="","",INT('Marcación Workera'!G1321))</f>
        <v/>
      </c>
      <c r="C1321" s="18" t="str">
        <f>IF('Marcación Workera'!B1321="","",UPPER(SUBSTITUTE('Marcación Workera'!B1321,".","")))</f>
        <v/>
      </c>
    </row>
    <row r="1322" spans="2:3" ht="15" customHeight="1" x14ac:dyDescent="0.3">
      <c r="B1322" s="17" t="str">
        <f>IF('Marcación Workera'!G1322="","",INT('Marcación Workera'!G1322))</f>
        <v/>
      </c>
      <c r="C1322" s="18" t="str">
        <f>IF('Marcación Workera'!B1322="","",UPPER(SUBSTITUTE('Marcación Workera'!B1322,".","")))</f>
        <v/>
      </c>
    </row>
    <row r="1323" spans="2:3" ht="15" customHeight="1" x14ac:dyDescent="0.3">
      <c r="B1323" s="17" t="str">
        <f>IF('Marcación Workera'!G1323="","",INT('Marcación Workera'!G1323))</f>
        <v/>
      </c>
      <c r="C1323" s="18" t="str">
        <f>IF('Marcación Workera'!B1323="","",UPPER(SUBSTITUTE('Marcación Workera'!B1323,".","")))</f>
        <v/>
      </c>
    </row>
    <row r="1324" spans="2:3" ht="15" customHeight="1" x14ac:dyDescent="0.3">
      <c r="B1324" s="17" t="str">
        <f>IF('Marcación Workera'!G1324="","",INT('Marcación Workera'!G1324))</f>
        <v/>
      </c>
      <c r="C1324" s="18" t="str">
        <f>IF('Marcación Workera'!B1324="","",UPPER(SUBSTITUTE('Marcación Workera'!B1324,".","")))</f>
        <v/>
      </c>
    </row>
    <row r="1325" spans="2:3" ht="15" customHeight="1" x14ac:dyDescent="0.3">
      <c r="B1325" s="17" t="str">
        <f>IF('Marcación Workera'!G1325="","",INT('Marcación Workera'!G1325))</f>
        <v/>
      </c>
      <c r="C1325" s="18" t="str">
        <f>IF('Marcación Workera'!B1325="","",UPPER(SUBSTITUTE('Marcación Workera'!B1325,".","")))</f>
        <v/>
      </c>
    </row>
    <row r="1326" spans="2:3" ht="15" customHeight="1" x14ac:dyDescent="0.3">
      <c r="B1326" s="17" t="str">
        <f>IF('Marcación Workera'!G1326="","",INT('Marcación Workera'!G1326))</f>
        <v/>
      </c>
      <c r="C1326" s="18" t="str">
        <f>IF('Marcación Workera'!B1326="","",UPPER(SUBSTITUTE('Marcación Workera'!B1326,".","")))</f>
        <v/>
      </c>
    </row>
    <row r="1327" spans="2:3" ht="15" customHeight="1" x14ac:dyDescent="0.3">
      <c r="B1327" s="17" t="str">
        <f>IF('Marcación Workera'!G1327="","",INT('Marcación Workera'!G1327))</f>
        <v/>
      </c>
      <c r="C1327" s="18" t="str">
        <f>IF('Marcación Workera'!B1327="","",UPPER(SUBSTITUTE('Marcación Workera'!B1327,".","")))</f>
        <v/>
      </c>
    </row>
    <row r="1328" spans="2:3" ht="15" customHeight="1" x14ac:dyDescent="0.3">
      <c r="B1328" s="17" t="str">
        <f>IF('Marcación Workera'!G1328="","",INT('Marcación Workera'!G1328))</f>
        <v/>
      </c>
      <c r="C1328" s="18" t="str">
        <f>IF('Marcación Workera'!B1328="","",UPPER(SUBSTITUTE('Marcación Workera'!B1328,".","")))</f>
        <v/>
      </c>
    </row>
    <row r="1329" spans="2:3" ht="15" customHeight="1" x14ac:dyDescent="0.3">
      <c r="B1329" s="17" t="str">
        <f>IF('Marcación Workera'!G1329="","",INT('Marcación Workera'!G1329))</f>
        <v/>
      </c>
      <c r="C1329" s="18" t="str">
        <f>IF('Marcación Workera'!B1329="","",UPPER(SUBSTITUTE('Marcación Workera'!B1329,".","")))</f>
        <v/>
      </c>
    </row>
    <row r="1330" spans="2:3" ht="15" customHeight="1" x14ac:dyDescent="0.3">
      <c r="B1330" s="17" t="str">
        <f>IF('Marcación Workera'!G1330="","",INT('Marcación Workera'!G1330))</f>
        <v/>
      </c>
      <c r="C1330" s="18" t="str">
        <f>IF('Marcación Workera'!B1330="","",UPPER(SUBSTITUTE('Marcación Workera'!B1330,".","")))</f>
        <v/>
      </c>
    </row>
    <row r="1331" spans="2:3" ht="15" customHeight="1" x14ac:dyDescent="0.3">
      <c r="B1331" s="17" t="str">
        <f>IF('Marcación Workera'!G1331="","",INT('Marcación Workera'!G1331))</f>
        <v/>
      </c>
      <c r="C1331" s="18" t="str">
        <f>IF('Marcación Workera'!B1331="","",UPPER(SUBSTITUTE('Marcación Workera'!B1331,".","")))</f>
        <v/>
      </c>
    </row>
    <row r="1332" spans="2:3" ht="15" customHeight="1" x14ac:dyDescent="0.3">
      <c r="B1332" s="17" t="str">
        <f>IF('Marcación Workera'!G1332="","",INT('Marcación Workera'!G1332))</f>
        <v/>
      </c>
      <c r="C1332" s="18" t="str">
        <f>IF('Marcación Workera'!B1332="","",UPPER(SUBSTITUTE('Marcación Workera'!B1332,".","")))</f>
        <v/>
      </c>
    </row>
    <row r="1333" spans="2:3" ht="15" customHeight="1" x14ac:dyDescent="0.3">
      <c r="B1333" s="17" t="str">
        <f>IF('Marcación Workera'!G1333="","",INT('Marcación Workera'!G1333))</f>
        <v/>
      </c>
      <c r="C1333" s="18" t="str">
        <f>IF('Marcación Workera'!B1333="","",UPPER(SUBSTITUTE('Marcación Workera'!B1333,".","")))</f>
        <v/>
      </c>
    </row>
    <row r="1334" spans="2:3" ht="15" customHeight="1" x14ac:dyDescent="0.3">
      <c r="B1334" s="17" t="str">
        <f>IF('Marcación Workera'!G1334="","",INT('Marcación Workera'!G1334))</f>
        <v/>
      </c>
      <c r="C1334" s="18" t="str">
        <f>IF('Marcación Workera'!B1334="","",UPPER(SUBSTITUTE('Marcación Workera'!B1334,".","")))</f>
        <v/>
      </c>
    </row>
    <row r="1335" spans="2:3" ht="15" customHeight="1" x14ac:dyDescent="0.3">
      <c r="B1335" s="17" t="str">
        <f>IF('Marcación Workera'!G1335="","",INT('Marcación Workera'!G1335))</f>
        <v/>
      </c>
      <c r="C1335" s="18" t="str">
        <f>IF('Marcación Workera'!B1335="","",UPPER(SUBSTITUTE('Marcación Workera'!B1335,".","")))</f>
        <v/>
      </c>
    </row>
    <row r="1336" spans="2:3" ht="15" customHeight="1" x14ac:dyDescent="0.3">
      <c r="B1336" s="17" t="str">
        <f>IF('Marcación Workera'!G1336="","",INT('Marcación Workera'!G1336))</f>
        <v/>
      </c>
      <c r="C1336" s="18" t="str">
        <f>IF('Marcación Workera'!B1336="","",UPPER(SUBSTITUTE('Marcación Workera'!B1336,".","")))</f>
        <v/>
      </c>
    </row>
    <row r="1337" spans="2:3" ht="15" customHeight="1" x14ac:dyDescent="0.3">
      <c r="B1337" s="17" t="str">
        <f>IF('Marcación Workera'!G1337="","",INT('Marcación Workera'!G1337))</f>
        <v/>
      </c>
      <c r="C1337" s="18" t="str">
        <f>IF('Marcación Workera'!B1337="","",UPPER(SUBSTITUTE('Marcación Workera'!B1337,".","")))</f>
        <v/>
      </c>
    </row>
    <row r="1338" spans="2:3" ht="15" customHeight="1" x14ac:dyDescent="0.3">
      <c r="B1338" s="17" t="str">
        <f>IF('Marcación Workera'!G1338="","",INT('Marcación Workera'!G1338))</f>
        <v/>
      </c>
      <c r="C1338" s="18" t="str">
        <f>IF('Marcación Workera'!B1338="","",UPPER(SUBSTITUTE('Marcación Workera'!B1338,".","")))</f>
        <v/>
      </c>
    </row>
    <row r="1339" spans="2:3" ht="15" customHeight="1" x14ac:dyDescent="0.3">
      <c r="B1339" s="17" t="str">
        <f>IF('Marcación Workera'!G1339="","",INT('Marcación Workera'!G1339))</f>
        <v/>
      </c>
      <c r="C1339" s="18" t="str">
        <f>IF('Marcación Workera'!B1339="","",UPPER(SUBSTITUTE('Marcación Workera'!B1339,".","")))</f>
        <v/>
      </c>
    </row>
    <row r="1340" spans="2:3" ht="15" customHeight="1" x14ac:dyDescent="0.3">
      <c r="B1340" s="17" t="str">
        <f>IF('Marcación Workera'!G1340="","",INT('Marcación Workera'!G1340))</f>
        <v/>
      </c>
      <c r="C1340" s="18" t="str">
        <f>IF('Marcación Workera'!B1340="","",UPPER(SUBSTITUTE('Marcación Workera'!B1340,".","")))</f>
        <v/>
      </c>
    </row>
    <row r="1341" spans="2:3" ht="15" customHeight="1" x14ac:dyDescent="0.3">
      <c r="B1341" s="17" t="str">
        <f>IF('Marcación Workera'!G1341="","",INT('Marcación Workera'!G1341))</f>
        <v/>
      </c>
      <c r="C1341" s="18" t="str">
        <f>IF('Marcación Workera'!B1341="","",UPPER(SUBSTITUTE('Marcación Workera'!B1341,".","")))</f>
        <v/>
      </c>
    </row>
    <row r="1342" spans="2:3" ht="15" customHeight="1" x14ac:dyDescent="0.3">
      <c r="B1342" s="17" t="str">
        <f>IF('Marcación Workera'!G1342="","",INT('Marcación Workera'!G1342))</f>
        <v/>
      </c>
      <c r="C1342" s="18" t="str">
        <f>IF('Marcación Workera'!B1342="","",UPPER(SUBSTITUTE('Marcación Workera'!B1342,".","")))</f>
        <v/>
      </c>
    </row>
    <row r="1343" spans="2:3" ht="15" customHeight="1" x14ac:dyDescent="0.3">
      <c r="B1343" s="17" t="str">
        <f>IF('Marcación Workera'!G1343="","",INT('Marcación Workera'!G1343))</f>
        <v/>
      </c>
      <c r="C1343" s="18" t="str">
        <f>IF('Marcación Workera'!B1343="","",UPPER(SUBSTITUTE('Marcación Workera'!B1343,".","")))</f>
        <v/>
      </c>
    </row>
    <row r="1344" spans="2:3" ht="15" customHeight="1" x14ac:dyDescent="0.3">
      <c r="B1344" s="17" t="str">
        <f>IF('Marcación Workera'!G1344="","",INT('Marcación Workera'!G1344))</f>
        <v/>
      </c>
      <c r="C1344" s="18" t="str">
        <f>IF('Marcación Workera'!B1344="","",UPPER(SUBSTITUTE('Marcación Workera'!B1344,".","")))</f>
        <v/>
      </c>
    </row>
    <row r="1345" spans="2:3" ht="15" customHeight="1" x14ac:dyDescent="0.3">
      <c r="B1345" s="17" t="str">
        <f>IF('Marcación Workera'!G1345="","",INT('Marcación Workera'!G1345))</f>
        <v/>
      </c>
      <c r="C1345" s="18" t="str">
        <f>IF('Marcación Workera'!B1345="","",UPPER(SUBSTITUTE('Marcación Workera'!B1345,".","")))</f>
        <v/>
      </c>
    </row>
    <row r="1346" spans="2:3" ht="15" customHeight="1" x14ac:dyDescent="0.3">
      <c r="B1346" s="17" t="str">
        <f>IF('Marcación Workera'!G1346="","",INT('Marcación Workera'!G1346))</f>
        <v/>
      </c>
      <c r="C1346" s="18" t="str">
        <f>IF('Marcación Workera'!B1346="","",UPPER(SUBSTITUTE('Marcación Workera'!B1346,".","")))</f>
        <v/>
      </c>
    </row>
    <row r="1347" spans="2:3" ht="15" customHeight="1" x14ac:dyDescent="0.3">
      <c r="B1347" s="17" t="str">
        <f>IF('Marcación Workera'!G1347="","",INT('Marcación Workera'!G1347))</f>
        <v/>
      </c>
      <c r="C1347" s="18" t="str">
        <f>IF('Marcación Workera'!B1347="","",UPPER(SUBSTITUTE('Marcación Workera'!B1347,".","")))</f>
        <v/>
      </c>
    </row>
    <row r="1348" spans="2:3" ht="15" customHeight="1" x14ac:dyDescent="0.3">
      <c r="B1348" s="17" t="str">
        <f>IF('Marcación Workera'!G1348="","",INT('Marcación Workera'!G1348))</f>
        <v/>
      </c>
      <c r="C1348" s="18" t="str">
        <f>IF('Marcación Workera'!B1348="","",UPPER(SUBSTITUTE('Marcación Workera'!B1348,".","")))</f>
        <v/>
      </c>
    </row>
    <row r="1349" spans="2:3" ht="15" customHeight="1" x14ac:dyDescent="0.3">
      <c r="B1349" s="17" t="str">
        <f>IF('Marcación Workera'!G1349="","",INT('Marcación Workera'!G1349))</f>
        <v/>
      </c>
      <c r="C1349" s="18" t="str">
        <f>IF('Marcación Workera'!B1349="","",UPPER(SUBSTITUTE('Marcación Workera'!B1349,".","")))</f>
        <v/>
      </c>
    </row>
    <row r="1350" spans="2:3" ht="15" customHeight="1" x14ac:dyDescent="0.3">
      <c r="B1350" s="17" t="str">
        <f>IF('Marcación Workera'!G1350="","",INT('Marcación Workera'!G1350))</f>
        <v/>
      </c>
      <c r="C1350" s="18" t="str">
        <f>IF('Marcación Workera'!B1350="","",UPPER(SUBSTITUTE('Marcación Workera'!B1350,".","")))</f>
        <v/>
      </c>
    </row>
    <row r="1351" spans="2:3" ht="15" customHeight="1" x14ac:dyDescent="0.3">
      <c r="B1351" s="17" t="str">
        <f>IF('Marcación Workera'!G1351="","",INT('Marcación Workera'!G1351))</f>
        <v/>
      </c>
      <c r="C1351" s="18" t="str">
        <f>IF('Marcación Workera'!B1351="","",UPPER(SUBSTITUTE('Marcación Workera'!B1351,".","")))</f>
        <v/>
      </c>
    </row>
    <row r="1352" spans="2:3" ht="15" customHeight="1" x14ac:dyDescent="0.3">
      <c r="B1352" s="17" t="str">
        <f>IF('Marcación Workera'!G1352="","",INT('Marcación Workera'!G1352))</f>
        <v/>
      </c>
      <c r="C1352" s="18" t="str">
        <f>IF('Marcación Workera'!B1352="","",UPPER(SUBSTITUTE('Marcación Workera'!B1352,".","")))</f>
        <v/>
      </c>
    </row>
    <row r="1353" spans="2:3" ht="15" customHeight="1" x14ac:dyDescent="0.3">
      <c r="B1353" s="17" t="str">
        <f>IF('Marcación Workera'!G1353="","",INT('Marcación Workera'!G1353))</f>
        <v/>
      </c>
      <c r="C1353" s="18" t="str">
        <f>IF('Marcación Workera'!B1353="","",UPPER(SUBSTITUTE('Marcación Workera'!B1353,".","")))</f>
        <v/>
      </c>
    </row>
    <row r="1354" spans="2:3" ht="15" customHeight="1" x14ac:dyDescent="0.3">
      <c r="B1354" s="17" t="str">
        <f>IF('Marcación Workera'!G1354="","",INT('Marcación Workera'!G1354))</f>
        <v/>
      </c>
      <c r="C1354" s="18" t="str">
        <f>IF('Marcación Workera'!B1354="","",UPPER(SUBSTITUTE('Marcación Workera'!B1354,".","")))</f>
        <v/>
      </c>
    </row>
    <row r="1355" spans="2:3" ht="15" customHeight="1" x14ac:dyDescent="0.3">
      <c r="B1355" s="17" t="str">
        <f>IF('Marcación Workera'!G1355="","",INT('Marcación Workera'!G1355))</f>
        <v/>
      </c>
      <c r="C1355" s="18" t="str">
        <f>IF('Marcación Workera'!B1355="","",UPPER(SUBSTITUTE('Marcación Workera'!B1355,".","")))</f>
        <v/>
      </c>
    </row>
    <row r="1356" spans="2:3" ht="15" customHeight="1" x14ac:dyDescent="0.3">
      <c r="B1356" s="17" t="str">
        <f>IF('Marcación Workera'!G1356="","",INT('Marcación Workera'!G1356))</f>
        <v/>
      </c>
      <c r="C1356" s="18" t="str">
        <f>IF('Marcación Workera'!B1356="","",UPPER(SUBSTITUTE('Marcación Workera'!B1356,".","")))</f>
        <v/>
      </c>
    </row>
    <row r="1357" spans="2:3" ht="15" customHeight="1" x14ac:dyDescent="0.3">
      <c r="B1357" s="17" t="str">
        <f>IF('Marcación Workera'!G1357="","",INT('Marcación Workera'!G1357))</f>
        <v/>
      </c>
      <c r="C1357" s="18" t="str">
        <f>IF('Marcación Workera'!B1357="","",UPPER(SUBSTITUTE('Marcación Workera'!B1357,".","")))</f>
        <v/>
      </c>
    </row>
    <row r="1358" spans="2:3" ht="15" customHeight="1" x14ac:dyDescent="0.3">
      <c r="B1358" s="17" t="str">
        <f>IF('Marcación Workera'!G1358="","",INT('Marcación Workera'!G1358))</f>
        <v/>
      </c>
      <c r="C1358" s="18" t="str">
        <f>IF('Marcación Workera'!B1358="","",UPPER(SUBSTITUTE('Marcación Workera'!B1358,".","")))</f>
        <v/>
      </c>
    </row>
    <row r="1359" spans="2:3" ht="15" customHeight="1" x14ac:dyDescent="0.3">
      <c r="B1359" s="17" t="str">
        <f>IF('Marcación Workera'!G1359="","",INT('Marcación Workera'!G1359))</f>
        <v/>
      </c>
      <c r="C1359" s="18" t="str">
        <f>IF('Marcación Workera'!B1359="","",UPPER(SUBSTITUTE('Marcación Workera'!B1359,".","")))</f>
        <v/>
      </c>
    </row>
    <row r="1360" spans="2:3" ht="15" customHeight="1" x14ac:dyDescent="0.3">
      <c r="B1360" s="17" t="str">
        <f>IF('Marcación Workera'!G1360="","",INT('Marcación Workera'!G1360))</f>
        <v/>
      </c>
      <c r="C1360" s="18" t="str">
        <f>IF('Marcación Workera'!B1360="","",UPPER(SUBSTITUTE('Marcación Workera'!B1360,".","")))</f>
        <v/>
      </c>
    </row>
    <row r="1361" spans="2:3" ht="15" customHeight="1" x14ac:dyDescent="0.3">
      <c r="B1361" s="17" t="str">
        <f>IF('Marcación Workera'!G1361="","",INT('Marcación Workera'!G1361))</f>
        <v/>
      </c>
      <c r="C1361" s="18" t="str">
        <f>IF('Marcación Workera'!B1361="","",UPPER(SUBSTITUTE('Marcación Workera'!B1361,".","")))</f>
        <v/>
      </c>
    </row>
    <row r="1362" spans="2:3" ht="15" customHeight="1" x14ac:dyDescent="0.3">
      <c r="B1362" s="17" t="str">
        <f>IF('Marcación Workera'!G1362="","",INT('Marcación Workera'!G1362))</f>
        <v/>
      </c>
      <c r="C1362" s="18" t="str">
        <f>IF('Marcación Workera'!B1362="","",UPPER(SUBSTITUTE('Marcación Workera'!B1362,".","")))</f>
        <v/>
      </c>
    </row>
    <row r="1363" spans="2:3" ht="15" customHeight="1" x14ac:dyDescent="0.3">
      <c r="B1363" s="17" t="str">
        <f>IF('Marcación Workera'!G1363="","",INT('Marcación Workera'!G1363))</f>
        <v/>
      </c>
      <c r="C1363" s="18" t="str">
        <f>IF('Marcación Workera'!B1363="","",UPPER(SUBSTITUTE('Marcación Workera'!B1363,".","")))</f>
        <v/>
      </c>
    </row>
    <row r="1364" spans="2:3" ht="15" customHeight="1" x14ac:dyDescent="0.3">
      <c r="B1364" s="17" t="str">
        <f>IF('Marcación Workera'!G1364="","",INT('Marcación Workera'!G1364))</f>
        <v/>
      </c>
      <c r="C1364" s="18" t="str">
        <f>IF('Marcación Workera'!B1364="","",UPPER(SUBSTITUTE('Marcación Workera'!B1364,".","")))</f>
        <v/>
      </c>
    </row>
    <row r="1365" spans="2:3" ht="15" customHeight="1" x14ac:dyDescent="0.3">
      <c r="B1365" s="17" t="str">
        <f>IF('Marcación Workera'!G1365="","",INT('Marcación Workera'!G1365))</f>
        <v/>
      </c>
      <c r="C1365" s="18" t="str">
        <f>IF('Marcación Workera'!B1365="","",UPPER(SUBSTITUTE('Marcación Workera'!B1365,".","")))</f>
        <v/>
      </c>
    </row>
    <row r="1366" spans="2:3" ht="15" customHeight="1" x14ac:dyDescent="0.3">
      <c r="B1366" s="17" t="str">
        <f>IF('Marcación Workera'!G1366="","",INT('Marcación Workera'!G1366))</f>
        <v/>
      </c>
      <c r="C1366" s="18" t="str">
        <f>IF('Marcación Workera'!B1366="","",UPPER(SUBSTITUTE('Marcación Workera'!B1366,".","")))</f>
        <v/>
      </c>
    </row>
    <row r="1367" spans="2:3" ht="15" customHeight="1" x14ac:dyDescent="0.3">
      <c r="B1367" s="17" t="str">
        <f>IF('Marcación Workera'!G1367="","",INT('Marcación Workera'!G1367))</f>
        <v/>
      </c>
      <c r="C1367" s="18" t="str">
        <f>IF('Marcación Workera'!B1367="","",UPPER(SUBSTITUTE('Marcación Workera'!B1367,".","")))</f>
        <v/>
      </c>
    </row>
    <row r="1368" spans="2:3" ht="15" customHeight="1" x14ac:dyDescent="0.3">
      <c r="B1368" s="17" t="str">
        <f>IF('Marcación Workera'!G1368="","",INT('Marcación Workera'!G1368))</f>
        <v/>
      </c>
      <c r="C1368" s="18" t="str">
        <f>IF('Marcación Workera'!B1368="","",UPPER(SUBSTITUTE('Marcación Workera'!B1368,".","")))</f>
        <v/>
      </c>
    </row>
    <row r="1369" spans="2:3" ht="15" customHeight="1" x14ac:dyDescent="0.3">
      <c r="B1369" s="17" t="str">
        <f>IF('Marcación Workera'!G1369="","",INT('Marcación Workera'!G1369))</f>
        <v/>
      </c>
      <c r="C1369" s="18" t="str">
        <f>IF('Marcación Workera'!B1369="","",UPPER(SUBSTITUTE('Marcación Workera'!B1369,".","")))</f>
        <v/>
      </c>
    </row>
    <row r="1370" spans="2:3" ht="15" customHeight="1" x14ac:dyDescent="0.3">
      <c r="B1370" s="17" t="str">
        <f>IF('Marcación Workera'!G1370="","",INT('Marcación Workera'!G1370))</f>
        <v/>
      </c>
      <c r="C1370" s="18" t="str">
        <f>IF('Marcación Workera'!B1370="","",UPPER(SUBSTITUTE('Marcación Workera'!B1370,".","")))</f>
        <v/>
      </c>
    </row>
    <row r="1371" spans="2:3" ht="15" customHeight="1" x14ac:dyDescent="0.3">
      <c r="B1371" s="17" t="str">
        <f>IF('Marcación Workera'!G1371="","",INT('Marcación Workera'!G1371))</f>
        <v/>
      </c>
      <c r="C1371" s="18" t="str">
        <f>IF('Marcación Workera'!B1371="","",UPPER(SUBSTITUTE('Marcación Workera'!B1371,".","")))</f>
        <v/>
      </c>
    </row>
    <row r="1372" spans="2:3" ht="15" customHeight="1" x14ac:dyDescent="0.3">
      <c r="B1372" s="17" t="str">
        <f>IF('Marcación Workera'!G1372="","",INT('Marcación Workera'!G1372))</f>
        <v/>
      </c>
      <c r="C1372" s="18" t="str">
        <f>IF('Marcación Workera'!B1372="","",UPPER(SUBSTITUTE('Marcación Workera'!B1372,".","")))</f>
        <v/>
      </c>
    </row>
    <row r="1373" spans="2:3" ht="15" customHeight="1" x14ac:dyDescent="0.3">
      <c r="B1373" s="17" t="str">
        <f>IF('Marcación Workera'!G1373="","",INT('Marcación Workera'!G1373))</f>
        <v/>
      </c>
      <c r="C1373" s="18" t="str">
        <f>IF('Marcación Workera'!B1373="","",UPPER(SUBSTITUTE('Marcación Workera'!B1373,".","")))</f>
        <v/>
      </c>
    </row>
    <row r="1374" spans="2:3" ht="15" customHeight="1" x14ac:dyDescent="0.3">
      <c r="B1374" s="17" t="str">
        <f>IF('Marcación Workera'!G1374="","",INT('Marcación Workera'!G1374))</f>
        <v/>
      </c>
      <c r="C1374" s="18" t="str">
        <f>IF('Marcación Workera'!B1374="","",UPPER(SUBSTITUTE('Marcación Workera'!B1374,".","")))</f>
        <v/>
      </c>
    </row>
    <row r="1375" spans="2:3" ht="15" customHeight="1" x14ac:dyDescent="0.3">
      <c r="B1375" s="17" t="str">
        <f>IF('Marcación Workera'!G1375="","",INT('Marcación Workera'!G1375))</f>
        <v/>
      </c>
      <c r="C1375" s="18" t="str">
        <f>IF('Marcación Workera'!B1375="","",UPPER(SUBSTITUTE('Marcación Workera'!B1375,".","")))</f>
        <v/>
      </c>
    </row>
    <row r="1376" spans="2:3" ht="15" customHeight="1" x14ac:dyDescent="0.3">
      <c r="B1376" s="17" t="str">
        <f>IF('Marcación Workera'!G1376="","",INT('Marcación Workera'!G1376))</f>
        <v/>
      </c>
      <c r="C1376" s="18" t="str">
        <f>IF('Marcación Workera'!B1376="","",UPPER(SUBSTITUTE('Marcación Workera'!B1376,".","")))</f>
        <v/>
      </c>
    </row>
    <row r="1377" spans="2:3" ht="15" customHeight="1" x14ac:dyDescent="0.3">
      <c r="B1377" s="17" t="str">
        <f>IF('Marcación Workera'!G1377="","",INT('Marcación Workera'!G1377))</f>
        <v/>
      </c>
      <c r="C1377" s="18" t="str">
        <f>IF('Marcación Workera'!B1377="","",UPPER(SUBSTITUTE('Marcación Workera'!B1377,".","")))</f>
        <v/>
      </c>
    </row>
    <row r="1378" spans="2:3" ht="15" customHeight="1" x14ac:dyDescent="0.3">
      <c r="B1378" s="17" t="str">
        <f>IF('Marcación Workera'!G1378="","",INT('Marcación Workera'!G1378))</f>
        <v/>
      </c>
      <c r="C1378" s="18" t="str">
        <f>IF('Marcación Workera'!B1378="","",UPPER(SUBSTITUTE('Marcación Workera'!B1378,".","")))</f>
        <v/>
      </c>
    </row>
    <row r="1379" spans="2:3" ht="15" customHeight="1" x14ac:dyDescent="0.3">
      <c r="B1379" s="17" t="str">
        <f>IF('Marcación Workera'!G1379="","",INT('Marcación Workera'!G1379))</f>
        <v/>
      </c>
      <c r="C1379" s="18" t="str">
        <f>IF('Marcación Workera'!B1379="","",UPPER(SUBSTITUTE('Marcación Workera'!B1379,".","")))</f>
        <v/>
      </c>
    </row>
    <row r="1380" spans="2:3" ht="15" customHeight="1" x14ac:dyDescent="0.3">
      <c r="B1380" s="17" t="str">
        <f>IF('Marcación Workera'!G1380="","",INT('Marcación Workera'!G1380))</f>
        <v/>
      </c>
      <c r="C1380" s="18" t="str">
        <f>IF('Marcación Workera'!B1380="","",UPPER(SUBSTITUTE('Marcación Workera'!B1380,".","")))</f>
        <v/>
      </c>
    </row>
    <row r="1381" spans="2:3" ht="15" customHeight="1" x14ac:dyDescent="0.3">
      <c r="B1381" s="17" t="str">
        <f>IF('Marcación Workera'!G1381="","",INT('Marcación Workera'!G1381))</f>
        <v/>
      </c>
      <c r="C1381" s="18" t="str">
        <f>IF('Marcación Workera'!B1381="","",UPPER(SUBSTITUTE('Marcación Workera'!B1381,".","")))</f>
        <v/>
      </c>
    </row>
    <row r="1382" spans="2:3" ht="15" customHeight="1" x14ac:dyDescent="0.3">
      <c r="B1382" s="17" t="str">
        <f>IF('Marcación Workera'!G1382="","",INT('Marcación Workera'!G1382))</f>
        <v/>
      </c>
      <c r="C1382" s="18" t="str">
        <f>IF('Marcación Workera'!B1382="","",UPPER(SUBSTITUTE('Marcación Workera'!B1382,".","")))</f>
        <v/>
      </c>
    </row>
    <row r="1383" spans="2:3" ht="15" customHeight="1" x14ac:dyDescent="0.3">
      <c r="B1383" s="17" t="str">
        <f>IF('Marcación Workera'!G1383="","",INT('Marcación Workera'!G1383))</f>
        <v/>
      </c>
      <c r="C1383" s="18" t="str">
        <f>IF('Marcación Workera'!B1383="","",UPPER(SUBSTITUTE('Marcación Workera'!B1383,".","")))</f>
        <v/>
      </c>
    </row>
    <row r="1384" spans="2:3" ht="15" customHeight="1" x14ac:dyDescent="0.3">
      <c r="B1384" s="17" t="str">
        <f>IF('Marcación Workera'!G1384="","",INT('Marcación Workera'!G1384))</f>
        <v/>
      </c>
      <c r="C1384" s="18" t="str">
        <f>IF('Marcación Workera'!B1384="","",UPPER(SUBSTITUTE('Marcación Workera'!B1384,".","")))</f>
        <v/>
      </c>
    </row>
    <row r="1385" spans="2:3" ht="15" customHeight="1" x14ac:dyDescent="0.3">
      <c r="B1385" s="17" t="str">
        <f>IF('Marcación Workera'!G1385="","",INT('Marcación Workera'!G1385))</f>
        <v/>
      </c>
      <c r="C1385" s="18" t="str">
        <f>IF('Marcación Workera'!B1385="","",UPPER(SUBSTITUTE('Marcación Workera'!B1385,".","")))</f>
        <v/>
      </c>
    </row>
    <row r="1386" spans="2:3" ht="15" customHeight="1" x14ac:dyDescent="0.3">
      <c r="B1386" s="17" t="str">
        <f>IF('Marcación Workera'!G1386="","",INT('Marcación Workera'!G1386))</f>
        <v/>
      </c>
      <c r="C1386" s="18" t="str">
        <f>IF('Marcación Workera'!B1386="","",UPPER(SUBSTITUTE('Marcación Workera'!B1386,".","")))</f>
        <v/>
      </c>
    </row>
    <row r="1387" spans="2:3" ht="15" customHeight="1" x14ac:dyDescent="0.3">
      <c r="B1387" s="17" t="str">
        <f>IF('Marcación Workera'!G1387="","",INT('Marcación Workera'!G1387))</f>
        <v/>
      </c>
      <c r="C1387" s="18" t="str">
        <f>IF('Marcación Workera'!B1387="","",UPPER(SUBSTITUTE('Marcación Workera'!B1387,".","")))</f>
        <v/>
      </c>
    </row>
    <row r="1388" spans="2:3" ht="15" customHeight="1" x14ac:dyDescent="0.3">
      <c r="B1388" s="17" t="str">
        <f>IF('Marcación Workera'!G1388="","",INT('Marcación Workera'!G1388))</f>
        <v/>
      </c>
      <c r="C1388" s="18" t="str">
        <f>IF('Marcación Workera'!B1388="","",UPPER(SUBSTITUTE('Marcación Workera'!B1388,".","")))</f>
        <v/>
      </c>
    </row>
    <row r="1389" spans="2:3" ht="15" customHeight="1" x14ac:dyDescent="0.3">
      <c r="B1389" s="17" t="str">
        <f>IF('Marcación Workera'!G1389="","",INT('Marcación Workera'!G1389))</f>
        <v/>
      </c>
      <c r="C1389" s="18" t="str">
        <f>IF('Marcación Workera'!B1389="","",UPPER(SUBSTITUTE('Marcación Workera'!B1389,".","")))</f>
        <v/>
      </c>
    </row>
    <row r="1390" spans="2:3" ht="15" customHeight="1" x14ac:dyDescent="0.3">
      <c r="B1390" s="17" t="str">
        <f>IF('Marcación Workera'!G1390="","",INT('Marcación Workera'!G1390))</f>
        <v/>
      </c>
      <c r="C1390" s="18" t="str">
        <f>IF('Marcación Workera'!B1390="","",UPPER(SUBSTITUTE('Marcación Workera'!B1390,".","")))</f>
        <v/>
      </c>
    </row>
    <row r="1391" spans="2:3" ht="15" customHeight="1" x14ac:dyDescent="0.3">
      <c r="B1391" s="17" t="str">
        <f>IF('Marcación Workera'!G1391="","",INT('Marcación Workera'!G1391))</f>
        <v/>
      </c>
      <c r="C1391" s="18" t="str">
        <f>IF('Marcación Workera'!B1391="","",UPPER(SUBSTITUTE('Marcación Workera'!B1391,".","")))</f>
        <v/>
      </c>
    </row>
    <row r="1392" spans="2:3" ht="15" customHeight="1" x14ac:dyDescent="0.3">
      <c r="B1392" s="17" t="str">
        <f>IF('Marcación Workera'!G1392="","",INT('Marcación Workera'!G1392))</f>
        <v/>
      </c>
      <c r="C1392" s="18" t="str">
        <f>IF('Marcación Workera'!B1392="","",UPPER(SUBSTITUTE('Marcación Workera'!B1392,".","")))</f>
        <v/>
      </c>
    </row>
    <row r="1393" spans="2:3" ht="15" customHeight="1" x14ac:dyDescent="0.3">
      <c r="B1393" s="17" t="str">
        <f>IF('Marcación Workera'!G1393="","",INT('Marcación Workera'!G1393))</f>
        <v/>
      </c>
      <c r="C1393" s="18" t="str">
        <f>IF('Marcación Workera'!B1393="","",UPPER(SUBSTITUTE('Marcación Workera'!B1393,".","")))</f>
        <v/>
      </c>
    </row>
    <row r="1394" spans="2:3" ht="15" customHeight="1" x14ac:dyDescent="0.3">
      <c r="B1394" s="17" t="str">
        <f>IF('Marcación Workera'!G1394="","",INT('Marcación Workera'!G1394))</f>
        <v/>
      </c>
      <c r="C1394" s="18" t="str">
        <f>IF('Marcación Workera'!B1394="","",UPPER(SUBSTITUTE('Marcación Workera'!B1394,".","")))</f>
        <v/>
      </c>
    </row>
    <row r="1395" spans="2:3" ht="15" customHeight="1" x14ac:dyDescent="0.3">
      <c r="B1395" s="17" t="str">
        <f>IF('Marcación Workera'!G1395="","",INT('Marcación Workera'!G1395))</f>
        <v/>
      </c>
      <c r="C1395" s="18" t="str">
        <f>IF('Marcación Workera'!B1395="","",UPPER(SUBSTITUTE('Marcación Workera'!B1395,".","")))</f>
        <v/>
      </c>
    </row>
    <row r="1396" spans="2:3" ht="15" customHeight="1" x14ac:dyDescent="0.3">
      <c r="B1396" s="17" t="str">
        <f>IF('Marcación Workera'!G1396="","",INT('Marcación Workera'!G1396))</f>
        <v/>
      </c>
      <c r="C1396" s="18" t="str">
        <f>IF('Marcación Workera'!B1396="","",UPPER(SUBSTITUTE('Marcación Workera'!B1396,".","")))</f>
        <v/>
      </c>
    </row>
    <row r="1397" spans="2:3" ht="15" customHeight="1" x14ac:dyDescent="0.3">
      <c r="B1397" s="17" t="str">
        <f>IF('Marcación Workera'!G1397="","",INT('Marcación Workera'!G1397))</f>
        <v/>
      </c>
      <c r="C1397" s="18" t="str">
        <f>IF('Marcación Workera'!B1397="","",UPPER(SUBSTITUTE('Marcación Workera'!B1397,".","")))</f>
        <v/>
      </c>
    </row>
    <row r="1398" spans="2:3" ht="15" customHeight="1" x14ac:dyDescent="0.3">
      <c r="B1398" s="17" t="str">
        <f>IF('Marcación Workera'!G1398="","",INT('Marcación Workera'!G1398))</f>
        <v/>
      </c>
      <c r="C1398" s="18" t="str">
        <f>IF('Marcación Workera'!B1398="","",UPPER(SUBSTITUTE('Marcación Workera'!B1398,".","")))</f>
        <v/>
      </c>
    </row>
    <row r="1399" spans="2:3" ht="15" customHeight="1" x14ac:dyDescent="0.3">
      <c r="B1399" s="17" t="str">
        <f>IF('Marcación Workera'!G1399="","",INT('Marcación Workera'!G1399))</f>
        <v/>
      </c>
      <c r="C1399" s="18" t="str">
        <f>IF('Marcación Workera'!B1399="","",UPPER(SUBSTITUTE('Marcación Workera'!B1399,".","")))</f>
        <v/>
      </c>
    </row>
    <row r="1400" spans="2:3" ht="15" customHeight="1" x14ac:dyDescent="0.3">
      <c r="B1400" s="17" t="str">
        <f>IF('Marcación Workera'!G1400="","",INT('Marcación Workera'!G1400))</f>
        <v/>
      </c>
      <c r="C1400" s="18" t="str">
        <f>IF('Marcación Workera'!B1400="","",UPPER(SUBSTITUTE('Marcación Workera'!B1400,".","")))</f>
        <v/>
      </c>
    </row>
    <row r="1401" spans="2:3" ht="15" customHeight="1" x14ac:dyDescent="0.3">
      <c r="B1401" s="17" t="str">
        <f>IF('Marcación Workera'!G1401="","",INT('Marcación Workera'!G1401))</f>
        <v/>
      </c>
      <c r="C1401" s="18" t="str">
        <f>IF('Marcación Workera'!B1401="","",UPPER(SUBSTITUTE('Marcación Workera'!B1401,".","")))</f>
        <v/>
      </c>
    </row>
    <row r="1402" spans="2:3" ht="15" customHeight="1" x14ac:dyDescent="0.3">
      <c r="B1402" s="17" t="str">
        <f>IF('Marcación Workera'!G1402="","",INT('Marcación Workera'!G1402))</f>
        <v/>
      </c>
      <c r="C1402" s="18" t="str">
        <f>IF('Marcación Workera'!B1402="","",UPPER(SUBSTITUTE('Marcación Workera'!B1402,".","")))</f>
        <v/>
      </c>
    </row>
    <row r="1403" spans="2:3" ht="15" customHeight="1" x14ac:dyDescent="0.3">
      <c r="B1403" s="17" t="str">
        <f>IF('Marcación Workera'!G1403="","",INT('Marcación Workera'!G1403))</f>
        <v/>
      </c>
      <c r="C1403" s="18" t="str">
        <f>IF('Marcación Workera'!B1403="","",UPPER(SUBSTITUTE('Marcación Workera'!B1403,".","")))</f>
        <v/>
      </c>
    </row>
    <row r="1404" spans="2:3" ht="15" customHeight="1" x14ac:dyDescent="0.3">
      <c r="B1404" s="17" t="str">
        <f>IF('Marcación Workera'!G1404="","",INT('Marcación Workera'!G1404))</f>
        <v/>
      </c>
      <c r="C1404" s="18" t="str">
        <f>IF('Marcación Workera'!B1404="","",UPPER(SUBSTITUTE('Marcación Workera'!B1404,".","")))</f>
        <v/>
      </c>
    </row>
    <row r="1405" spans="2:3" ht="15" customHeight="1" x14ac:dyDescent="0.3">
      <c r="B1405" s="17" t="str">
        <f>IF('Marcación Workera'!G1405="","",INT('Marcación Workera'!G1405))</f>
        <v/>
      </c>
      <c r="C1405" s="18" t="str">
        <f>IF('Marcación Workera'!B1405="","",UPPER(SUBSTITUTE('Marcación Workera'!B1405,".","")))</f>
        <v/>
      </c>
    </row>
    <row r="1406" spans="2:3" ht="15" customHeight="1" x14ac:dyDescent="0.3">
      <c r="B1406" s="17" t="str">
        <f>IF('Marcación Workera'!G1406="","",INT('Marcación Workera'!G1406))</f>
        <v/>
      </c>
      <c r="C1406" s="18" t="str">
        <f>IF('Marcación Workera'!B1406="","",UPPER(SUBSTITUTE('Marcación Workera'!B1406,".","")))</f>
        <v/>
      </c>
    </row>
    <row r="1407" spans="2:3" ht="15" customHeight="1" x14ac:dyDescent="0.3">
      <c r="B1407" s="17" t="str">
        <f>IF('Marcación Workera'!G1407="","",INT('Marcación Workera'!G1407))</f>
        <v/>
      </c>
      <c r="C1407" s="18" t="str">
        <f>IF('Marcación Workera'!B1407="","",UPPER(SUBSTITUTE('Marcación Workera'!B1407,".","")))</f>
        <v/>
      </c>
    </row>
    <row r="1408" spans="2:3" ht="15" customHeight="1" x14ac:dyDescent="0.3">
      <c r="B1408" s="17" t="str">
        <f>IF('Marcación Workera'!G1408="","",INT('Marcación Workera'!G1408))</f>
        <v/>
      </c>
      <c r="C1408" s="18" t="str">
        <f>IF('Marcación Workera'!B1408="","",UPPER(SUBSTITUTE('Marcación Workera'!B1408,".","")))</f>
        <v/>
      </c>
    </row>
    <row r="1409" spans="2:3" ht="15" customHeight="1" x14ac:dyDescent="0.3">
      <c r="B1409" s="17" t="str">
        <f>IF('Marcación Workera'!G1409="","",INT('Marcación Workera'!G1409))</f>
        <v/>
      </c>
      <c r="C1409" s="18" t="str">
        <f>IF('Marcación Workera'!B1409="","",UPPER(SUBSTITUTE('Marcación Workera'!B1409,".","")))</f>
        <v/>
      </c>
    </row>
    <row r="1410" spans="2:3" ht="15" customHeight="1" x14ac:dyDescent="0.3">
      <c r="B1410" s="17" t="str">
        <f>IF('Marcación Workera'!G1410="","",INT('Marcación Workera'!G1410))</f>
        <v/>
      </c>
      <c r="C1410" s="18" t="str">
        <f>IF('Marcación Workera'!B1410="","",UPPER(SUBSTITUTE('Marcación Workera'!B1410,".","")))</f>
        <v/>
      </c>
    </row>
    <row r="1411" spans="2:3" ht="15" customHeight="1" x14ac:dyDescent="0.3">
      <c r="B1411" s="17" t="str">
        <f>IF('Marcación Workera'!G1411="","",INT('Marcación Workera'!G1411))</f>
        <v/>
      </c>
      <c r="C1411" s="18" t="str">
        <f>IF('Marcación Workera'!B1411="","",UPPER(SUBSTITUTE('Marcación Workera'!B1411,".","")))</f>
        <v/>
      </c>
    </row>
    <row r="1412" spans="2:3" ht="15" customHeight="1" x14ac:dyDescent="0.3">
      <c r="B1412" s="17" t="str">
        <f>IF('Marcación Workera'!G1412="","",INT('Marcación Workera'!G1412))</f>
        <v/>
      </c>
      <c r="C1412" s="18" t="str">
        <f>IF('Marcación Workera'!B1412="","",UPPER(SUBSTITUTE('Marcación Workera'!B1412,".","")))</f>
        <v/>
      </c>
    </row>
    <row r="1413" spans="2:3" ht="15" customHeight="1" x14ac:dyDescent="0.3">
      <c r="B1413" s="17" t="str">
        <f>IF('Marcación Workera'!G1413="","",INT('Marcación Workera'!G1413))</f>
        <v/>
      </c>
      <c r="C1413" s="18" t="str">
        <f>IF('Marcación Workera'!B1413="","",UPPER(SUBSTITUTE('Marcación Workera'!B1413,".","")))</f>
        <v/>
      </c>
    </row>
    <row r="1414" spans="2:3" ht="15" customHeight="1" x14ac:dyDescent="0.3">
      <c r="B1414" s="17" t="str">
        <f>IF('Marcación Workera'!G1414="","",INT('Marcación Workera'!G1414))</f>
        <v/>
      </c>
      <c r="C1414" s="18" t="str">
        <f>IF('Marcación Workera'!B1414="","",UPPER(SUBSTITUTE('Marcación Workera'!B1414,".","")))</f>
        <v/>
      </c>
    </row>
    <row r="1415" spans="2:3" ht="15" customHeight="1" x14ac:dyDescent="0.3">
      <c r="B1415" s="17" t="str">
        <f>IF('Marcación Workera'!G1415="","",INT('Marcación Workera'!G1415))</f>
        <v/>
      </c>
      <c r="C1415" s="18" t="str">
        <f>IF('Marcación Workera'!B1415="","",UPPER(SUBSTITUTE('Marcación Workera'!B1415,".","")))</f>
        <v/>
      </c>
    </row>
    <row r="1416" spans="2:3" ht="15" customHeight="1" x14ac:dyDescent="0.3">
      <c r="B1416" s="17" t="str">
        <f>IF('Marcación Workera'!G1416="","",INT('Marcación Workera'!G1416))</f>
        <v/>
      </c>
      <c r="C1416" s="18" t="str">
        <f>IF('Marcación Workera'!B1416="","",UPPER(SUBSTITUTE('Marcación Workera'!B1416,".","")))</f>
        <v/>
      </c>
    </row>
    <row r="1417" spans="2:3" ht="15" customHeight="1" x14ac:dyDescent="0.3">
      <c r="B1417" s="17" t="str">
        <f>IF('Marcación Workera'!G1417="","",INT('Marcación Workera'!G1417))</f>
        <v/>
      </c>
      <c r="C1417" s="18" t="str">
        <f>IF('Marcación Workera'!B1417="","",UPPER(SUBSTITUTE('Marcación Workera'!B1417,".","")))</f>
        <v/>
      </c>
    </row>
    <row r="1418" spans="2:3" ht="15" customHeight="1" x14ac:dyDescent="0.3">
      <c r="B1418" s="17" t="str">
        <f>IF('Marcación Workera'!G1418="","",INT('Marcación Workera'!G1418))</f>
        <v/>
      </c>
      <c r="C1418" s="18" t="str">
        <f>IF('Marcación Workera'!B1418="","",UPPER(SUBSTITUTE('Marcación Workera'!B1418,".","")))</f>
        <v/>
      </c>
    </row>
    <row r="1419" spans="2:3" ht="15" customHeight="1" x14ac:dyDescent="0.3">
      <c r="B1419" s="17" t="str">
        <f>IF('Marcación Workera'!G1419="","",INT('Marcación Workera'!G1419))</f>
        <v/>
      </c>
      <c r="C1419" s="18" t="str">
        <f>IF('Marcación Workera'!B1419="","",UPPER(SUBSTITUTE('Marcación Workera'!B1419,".","")))</f>
        <v/>
      </c>
    </row>
    <row r="1420" spans="2:3" ht="15" customHeight="1" x14ac:dyDescent="0.3">
      <c r="B1420" s="17" t="str">
        <f>IF('Marcación Workera'!G1420="","",INT('Marcación Workera'!G1420))</f>
        <v/>
      </c>
      <c r="C1420" s="18" t="str">
        <f>IF('Marcación Workera'!B1420="","",UPPER(SUBSTITUTE('Marcación Workera'!B1420,".","")))</f>
        <v/>
      </c>
    </row>
    <row r="1421" spans="2:3" ht="15" customHeight="1" x14ac:dyDescent="0.3">
      <c r="B1421" s="17" t="str">
        <f>IF('Marcación Workera'!G1421="","",INT('Marcación Workera'!G1421))</f>
        <v/>
      </c>
      <c r="C1421" s="18" t="str">
        <f>IF('Marcación Workera'!B1421="","",UPPER(SUBSTITUTE('Marcación Workera'!B1421,".","")))</f>
        <v/>
      </c>
    </row>
    <row r="1422" spans="2:3" ht="15" customHeight="1" x14ac:dyDescent="0.3">
      <c r="B1422" s="17" t="str">
        <f>IF('Marcación Workera'!G1422="","",INT('Marcación Workera'!G1422))</f>
        <v/>
      </c>
      <c r="C1422" s="18" t="str">
        <f>IF('Marcación Workera'!B1422="","",UPPER(SUBSTITUTE('Marcación Workera'!B1422,".","")))</f>
        <v/>
      </c>
    </row>
    <row r="1423" spans="2:3" ht="15" customHeight="1" x14ac:dyDescent="0.3">
      <c r="B1423" s="17" t="str">
        <f>IF('Marcación Workera'!G1423="","",INT('Marcación Workera'!G1423))</f>
        <v/>
      </c>
      <c r="C1423" s="18" t="str">
        <f>IF('Marcación Workera'!B1423="","",UPPER(SUBSTITUTE('Marcación Workera'!B1423,".","")))</f>
        <v/>
      </c>
    </row>
    <row r="1424" spans="2:3" ht="15" customHeight="1" x14ac:dyDescent="0.3">
      <c r="B1424" s="17" t="str">
        <f>IF('Marcación Workera'!G1424="","",INT('Marcación Workera'!G1424))</f>
        <v/>
      </c>
      <c r="C1424" s="18" t="str">
        <f>IF('Marcación Workera'!B1424="","",UPPER(SUBSTITUTE('Marcación Workera'!B1424,".","")))</f>
        <v/>
      </c>
    </row>
    <row r="1425" spans="2:3" ht="15" customHeight="1" x14ac:dyDescent="0.3">
      <c r="B1425" s="17" t="str">
        <f>IF('Marcación Workera'!G1425="","",INT('Marcación Workera'!G1425))</f>
        <v/>
      </c>
      <c r="C1425" s="18" t="str">
        <f>IF('Marcación Workera'!B1425="","",UPPER(SUBSTITUTE('Marcación Workera'!B1425,".","")))</f>
        <v/>
      </c>
    </row>
    <row r="1426" spans="2:3" ht="15" customHeight="1" x14ac:dyDescent="0.3">
      <c r="B1426" s="17" t="str">
        <f>IF('Marcación Workera'!G1426="","",INT('Marcación Workera'!G1426))</f>
        <v/>
      </c>
      <c r="C1426" s="18" t="str">
        <f>IF('Marcación Workera'!B1426="","",UPPER(SUBSTITUTE('Marcación Workera'!B1426,".","")))</f>
        <v/>
      </c>
    </row>
    <row r="1427" spans="2:3" ht="15" customHeight="1" x14ac:dyDescent="0.3">
      <c r="B1427" s="17" t="str">
        <f>IF('Marcación Workera'!G1427="","",INT('Marcación Workera'!G1427))</f>
        <v/>
      </c>
      <c r="C1427" s="18" t="str">
        <f>IF('Marcación Workera'!B1427="","",UPPER(SUBSTITUTE('Marcación Workera'!B1427,".","")))</f>
        <v/>
      </c>
    </row>
    <row r="1428" spans="2:3" ht="15" customHeight="1" x14ac:dyDescent="0.3">
      <c r="B1428" s="17" t="str">
        <f>IF('Marcación Workera'!G1428="","",INT('Marcación Workera'!G1428))</f>
        <v/>
      </c>
      <c r="C1428" s="18" t="str">
        <f>IF('Marcación Workera'!B1428="","",UPPER(SUBSTITUTE('Marcación Workera'!B1428,".","")))</f>
        <v/>
      </c>
    </row>
    <row r="1429" spans="2:3" ht="15" customHeight="1" x14ac:dyDescent="0.3">
      <c r="B1429" s="17" t="str">
        <f>IF('Marcación Workera'!G1429="","",INT('Marcación Workera'!G1429))</f>
        <v/>
      </c>
      <c r="C1429" s="18" t="str">
        <f>IF('Marcación Workera'!B1429="","",UPPER(SUBSTITUTE('Marcación Workera'!B1429,".","")))</f>
        <v/>
      </c>
    </row>
    <row r="1430" spans="2:3" ht="15" customHeight="1" x14ac:dyDescent="0.3">
      <c r="B1430" s="17" t="str">
        <f>IF('Marcación Workera'!G1430="","",INT('Marcación Workera'!G1430))</f>
        <v/>
      </c>
      <c r="C1430" s="18" t="str">
        <f>IF('Marcación Workera'!B1430="","",UPPER(SUBSTITUTE('Marcación Workera'!B1430,".","")))</f>
        <v/>
      </c>
    </row>
    <row r="1431" spans="2:3" ht="15" customHeight="1" x14ac:dyDescent="0.3">
      <c r="B1431" s="17" t="str">
        <f>IF('Marcación Workera'!G1431="","",INT('Marcación Workera'!G1431))</f>
        <v/>
      </c>
      <c r="C1431" s="18" t="str">
        <f>IF('Marcación Workera'!B1431="","",UPPER(SUBSTITUTE('Marcación Workera'!B1431,".","")))</f>
        <v/>
      </c>
    </row>
    <row r="1432" spans="2:3" ht="15" customHeight="1" x14ac:dyDescent="0.3">
      <c r="B1432" s="17" t="str">
        <f>IF('Marcación Workera'!G1432="","",INT('Marcación Workera'!G1432))</f>
        <v/>
      </c>
      <c r="C1432" s="18" t="str">
        <f>IF('Marcación Workera'!B1432="","",UPPER(SUBSTITUTE('Marcación Workera'!B1432,".","")))</f>
        <v/>
      </c>
    </row>
    <row r="1433" spans="2:3" ht="15" customHeight="1" x14ac:dyDescent="0.3">
      <c r="B1433" s="17" t="str">
        <f>IF('Marcación Workera'!G1433="","",INT('Marcación Workera'!G1433))</f>
        <v/>
      </c>
      <c r="C1433" s="18" t="str">
        <f>IF('Marcación Workera'!B1433="","",UPPER(SUBSTITUTE('Marcación Workera'!B1433,".","")))</f>
        <v/>
      </c>
    </row>
    <row r="1434" spans="2:3" ht="15" customHeight="1" x14ac:dyDescent="0.3">
      <c r="B1434" s="17" t="str">
        <f>IF('Marcación Workera'!G1434="","",INT('Marcación Workera'!G1434))</f>
        <v/>
      </c>
      <c r="C1434" s="18" t="str">
        <f>IF('Marcación Workera'!B1434="","",UPPER(SUBSTITUTE('Marcación Workera'!B1434,".","")))</f>
        <v/>
      </c>
    </row>
    <row r="1435" spans="2:3" ht="15" customHeight="1" x14ac:dyDescent="0.3">
      <c r="B1435" s="17" t="str">
        <f>IF('Marcación Workera'!G1435="","",INT('Marcación Workera'!G1435))</f>
        <v/>
      </c>
      <c r="C1435" s="18" t="str">
        <f>IF('Marcación Workera'!B1435="","",UPPER(SUBSTITUTE('Marcación Workera'!B1435,".","")))</f>
        <v/>
      </c>
    </row>
    <row r="1436" spans="2:3" ht="15" customHeight="1" x14ac:dyDescent="0.3">
      <c r="B1436" s="17" t="str">
        <f>IF('Marcación Workera'!G1436="","",INT('Marcación Workera'!G1436))</f>
        <v/>
      </c>
      <c r="C1436" s="18" t="str">
        <f>IF('Marcación Workera'!B1436="","",UPPER(SUBSTITUTE('Marcación Workera'!B1436,".","")))</f>
        <v/>
      </c>
    </row>
    <row r="1437" spans="2:3" ht="15" customHeight="1" x14ac:dyDescent="0.3">
      <c r="B1437" s="17" t="str">
        <f>IF('Marcación Workera'!G1437="","",INT('Marcación Workera'!G1437))</f>
        <v/>
      </c>
      <c r="C1437" s="18" t="str">
        <f>IF('Marcación Workera'!B1437="","",UPPER(SUBSTITUTE('Marcación Workera'!B1437,".","")))</f>
        <v/>
      </c>
    </row>
    <row r="1438" spans="2:3" ht="15" customHeight="1" x14ac:dyDescent="0.3">
      <c r="B1438" s="17" t="str">
        <f>IF('Marcación Workera'!G1438="","",INT('Marcación Workera'!G1438))</f>
        <v/>
      </c>
      <c r="C1438" s="18" t="str">
        <f>IF('Marcación Workera'!B1438="","",UPPER(SUBSTITUTE('Marcación Workera'!B1438,".","")))</f>
        <v/>
      </c>
    </row>
    <row r="1439" spans="2:3" ht="15" customHeight="1" x14ac:dyDescent="0.3">
      <c r="B1439" s="17" t="str">
        <f>IF('Marcación Workera'!G1439="","",INT('Marcación Workera'!G1439))</f>
        <v/>
      </c>
      <c r="C1439" s="18" t="str">
        <f>IF('Marcación Workera'!B1439="","",UPPER(SUBSTITUTE('Marcación Workera'!B1439,".","")))</f>
        <v/>
      </c>
    </row>
    <row r="1440" spans="2:3" ht="15" customHeight="1" x14ac:dyDescent="0.3">
      <c r="B1440" s="17" t="str">
        <f>IF('Marcación Workera'!G1440="","",INT('Marcación Workera'!G1440))</f>
        <v/>
      </c>
      <c r="C1440" s="18" t="str">
        <f>IF('Marcación Workera'!B1440="","",UPPER(SUBSTITUTE('Marcación Workera'!B1440,".","")))</f>
        <v/>
      </c>
    </row>
    <row r="1441" spans="2:3" ht="15" customHeight="1" x14ac:dyDescent="0.3">
      <c r="B1441" s="17" t="str">
        <f>IF('Marcación Workera'!G1441="","",INT('Marcación Workera'!G1441))</f>
        <v/>
      </c>
      <c r="C1441" s="18" t="str">
        <f>IF('Marcación Workera'!B1441="","",UPPER(SUBSTITUTE('Marcación Workera'!B1441,".","")))</f>
        <v/>
      </c>
    </row>
    <row r="1442" spans="2:3" ht="15" customHeight="1" x14ac:dyDescent="0.3">
      <c r="B1442" s="17" t="str">
        <f>IF('Marcación Workera'!G1442="","",INT('Marcación Workera'!G1442))</f>
        <v/>
      </c>
      <c r="C1442" s="18" t="str">
        <f>IF('Marcación Workera'!B1442="","",UPPER(SUBSTITUTE('Marcación Workera'!B1442,".","")))</f>
        <v/>
      </c>
    </row>
    <row r="1443" spans="2:3" ht="15" customHeight="1" x14ac:dyDescent="0.3">
      <c r="B1443" s="17" t="str">
        <f>IF('Marcación Workera'!G1443="","",INT('Marcación Workera'!G1443))</f>
        <v/>
      </c>
      <c r="C1443" s="18" t="str">
        <f>IF('Marcación Workera'!B1443="","",UPPER(SUBSTITUTE('Marcación Workera'!B1443,".","")))</f>
        <v/>
      </c>
    </row>
    <row r="1444" spans="2:3" ht="15" customHeight="1" x14ac:dyDescent="0.3">
      <c r="B1444" s="17" t="str">
        <f>IF('Marcación Workera'!G1444="","",INT('Marcación Workera'!G1444))</f>
        <v/>
      </c>
      <c r="C1444" s="18" t="str">
        <f>IF('Marcación Workera'!B1444="","",UPPER(SUBSTITUTE('Marcación Workera'!B1444,".","")))</f>
        <v/>
      </c>
    </row>
    <row r="1445" spans="2:3" ht="15" customHeight="1" x14ac:dyDescent="0.3">
      <c r="B1445" s="17" t="str">
        <f>IF('Marcación Workera'!G1445="","",INT('Marcación Workera'!G1445))</f>
        <v/>
      </c>
      <c r="C1445" s="18" t="str">
        <f>IF('Marcación Workera'!B1445="","",UPPER(SUBSTITUTE('Marcación Workera'!B1445,".","")))</f>
        <v/>
      </c>
    </row>
    <row r="1446" spans="2:3" ht="15" customHeight="1" x14ac:dyDescent="0.3">
      <c r="B1446" s="17" t="str">
        <f>IF('Marcación Workera'!G1446="","",INT('Marcación Workera'!G1446))</f>
        <v/>
      </c>
      <c r="C1446" s="18" t="str">
        <f>IF('Marcación Workera'!B1446="","",UPPER(SUBSTITUTE('Marcación Workera'!B1446,".","")))</f>
        <v/>
      </c>
    </row>
    <row r="1447" spans="2:3" ht="15" customHeight="1" x14ac:dyDescent="0.3">
      <c r="B1447" s="17" t="str">
        <f>IF('Marcación Workera'!G1447="","",INT('Marcación Workera'!G1447))</f>
        <v/>
      </c>
      <c r="C1447" s="18" t="str">
        <f>IF('Marcación Workera'!B1447="","",UPPER(SUBSTITUTE('Marcación Workera'!B1447,".","")))</f>
        <v/>
      </c>
    </row>
    <row r="1448" spans="2:3" ht="15" customHeight="1" x14ac:dyDescent="0.3">
      <c r="B1448" s="17" t="str">
        <f>IF('Marcación Workera'!G1448="","",INT('Marcación Workera'!G1448))</f>
        <v/>
      </c>
      <c r="C1448" s="18" t="str">
        <f>IF('Marcación Workera'!B1448="","",UPPER(SUBSTITUTE('Marcación Workera'!B1448,".","")))</f>
        <v/>
      </c>
    </row>
    <row r="1449" spans="2:3" ht="15" customHeight="1" x14ac:dyDescent="0.3">
      <c r="B1449" s="17" t="str">
        <f>IF('Marcación Workera'!G1449="","",INT('Marcación Workera'!G1449))</f>
        <v/>
      </c>
      <c r="C1449" s="18" t="str">
        <f>IF('Marcación Workera'!B1449="","",UPPER(SUBSTITUTE('Marcación Workera'!B1449,".","")))</f>
        <v/>
      </c>
    </row>
    <row r="1450" spans="2:3" ht="15" customHeight="1" x14ac:dyDescent="0.3">
      <c r="B1450" s="17" t="str">
        <f>IF('Marcación Workera'!G1450="","",INT('Marcación Workera'!G1450))</f>
        <v/>
      </c>
      <c r="C1450" s="18" t="str">
        <f>IF('Marcación Workera'!B1450="","",UPPER(SUBSTITUTE('Marcación Workera'!B1450,".","")))</f>
        <v/>
      </c>
    </row>
    <row r="1451" spans="2:3" ht="15" customHeight="1" x14ac:dyDescent="0.3">
      <c r="B1451" s="17" t="str">
        <f>IF('Marcación Workera'!G1451="","",INT('Marcación Workera'!G1451))</f>
        <v/>
      </c>
      <c r="C1451" s="18" t="str">
        <f>IF('Marcación Workera'!B1451="","",UPPER(SUBSTITUTE('Marcación Workera'!B1451,".","")))</f>
        <v/>
      </c>
    </row>
    <row r="1452" spans="2:3" ht="15" customHeight="1" x14ac:dyDescent="0.3">
      <c r="B1452" s="17" t="str">
        <f>IF('Marcación Workera'!G1452="","",INT('Marcación Workera'!G1452))</f>
        <v/>
      </c>
      <c r="C1452" s="18" t="str">
        <f>IF('Marcación Workera'!B1452="","",UPPER(SUBSTITUTE('Marcación Workera'!B1452,".","")))</f>
        <v/>
      </c>
    </row>
    <row r="1453" spans="2:3" ht="15" customHeight="1" x14ac:dyDescent="0.3">
      <c r="B1453" s="17" t="str">
        <f>IF('Marcación Workera'!G1453="","",INT('Marcación Workera'!G1453))</f>
        <v/>
      </c>
      <c r="C1453" s="18" t="str">
        <f>IF('Marcación Workera'!B1453="","",UPPER(SUBSTITUTE('Marcación Workera'!B1453,".","")))</f>
        <v/>
      </c>
    </row>
    <row r="1454" spans="2:3" ht="15" customHeight="1" x14ac:dyDescent="0.3">
      <c r="B1454" s="17" t="str">
        <f>IF('Marcación Workera'!G1454="","",INT('Marcación Workera'!G1454))</f>
        <v/>
      </c>
      <c r="C1454" s="18" t="str">
        <f>IF('Marcación Workera'!B1454="","",UPPER(SUBSTITUTE('Marcación Workera'!B1454,".","")))</f>
        <v/>
      </c>
    </row>
    <row r="1455" spans="2:3" ht="15" customHeight="1" x14ac:dyDescent="0.3">
      <c r="B1455" s="17" t="str">
        <f>IF('Marcación Workera'!G1455="","",INT('Marcación Workera'!G1455))</f>
        <v/>
      </c>
      <c r="C1455" s="18" t="str">
        <f>IF('Marcación Workera'!B1455="","",UPPER(SUBSTITUTE('Marcación Workera'!B1455,".","")))</f>
        <v/>
      </c>
    </row>
    <row r="1456" spans="2:3" ht="15" customHeight="1" x14ac:dyDescent="0.3">
      <c r="B1456" s="17" t="str">
        <f>IF('Marcación Workera'!G1456="","",INT('Marcación Workera'!G1456))</f>
        <v/>
      </c>
      <c r="C1456" s="18" t="str">
        <f>IF('Marcación Workera'!B1456="","",UPPER(SUBSTITUTE('Marcación Workera'!B1456,".","")))</f>
        <v/>
      </c>
    </row>
    <row r="1457" spans="2:3" ht="15" customHeight="1" x14ac:dyDescent="0.3">
      <c r="B1457" s="17" t="str">
        <f>IF('Marcación Workera'!G1457="","",INT('Marcación Workera'!G1457))</f>
        <v/>
      </c>
      <c r="C1457" s="18" t="str">
        <f>IF('Marcación Workera'!B1457="","",UPPER(SUBSTITUTE('Marcación Workera'!B1457,".","")))</f>
        <v/>
      </c>
    </row>
    <row r="1458" spans="2:3" ht="15" customHeight="1" x14ac:dyDescent="0.3">
      <c r="B1458" s="17" t="str">
        <f>IF('Marcación Workera'!G1458="","",INT('Marcación Workera'!G1458))</f>
        <v/>
      </c>
      <c r="C1458" s="18" t="str">
        <f>IF('Marcación Workera'!B1458="","",UPPER(SUBSTITUTE('Marcación Workera'!B1458,".","")))</f>
        <v/>
      </c>
    </row>
    <row r="1459" spans="2:3" ht="15" customHeight="1" x14ac:dyDescent="0.3">
      <c r="B1459" s="17" t="str">
        <f>IF('Marcación Workera'!G1459="","",INT('Marcación Workera'!G1459))</f>
        <v/>
      </c>
      <c r="C1459" s="18" t="str">
        <f>IF('Marcación Workera'!B1459="","",UPPER(SUBSTITUTE('Marcación Workera'!B1459,".","")))</f>
        <v/>
      </c>
    </row>
    <row r="1460" spans="2:3" ht="15" customHeight="1" x14ac:dyDescent="0.3">
      <c r="B1460" s="17" t="str">
        <f>IF('Marcación Workera'!G1460="","",INT('Marcación Workera'!G1460))</f>
        <v/>
      </c>
      <c r="C1460" s="18" t="str">
        <f>IF('Marcación Workera'!B1460="","",UPPER(SUBSTITUTE('Marcación Workera'!B1460,".","")))</f>
        <v/>
      </c>
    </row>
    <row r="1461" spans="2:3" ht="15" customHeight="1" x14ac:dyDescent="0.3">
      <c r="B1461" s="17" t="str">
        <f>IF('Marcación Workera'!G1461="","",INT('Marcación Workera'!G1461))</f>
        <v/>
      </c>
      <c r="C1461" s="18" t="str">
        <f>IF('Marcación Workera'!B1461="","",UPPER(SUBSTITUTE('Marcación Workera'!B1461,".","")))</f>
        <v/>
      </c>
    </row>
    <row r="1462" spans="2:3" ht="15" customHeight="1" x14ac:dyDescent="0.3">
      <c r="B1462" s="17" t="str">
        <f>IF('Marcación Workera'!G1462="","",INT('Marcación Workera'!G1462))</f>
        <v/>
      </c>
      <c r="C1462" s="18" t="str">
        <f>IF('Marcación Workera'!B1462="","",UPPER(SUBSTITUTE('Marcación Workera'!B1462,".","")))</f>
        <v/>
      </c>
    </row>
    <row r="1463" spans="2:3" ht="15" customHeight="1" x14ac:dyDescent="0.3">
      <c r="B1463" s="17" t="str">
        <f>IF('Marcación Workera'!G1463="","",INT('Marcación Workera'!G1463))</f>
        <v/>
      </c>
      <c r="C1463" s="18" t="str">
        <f>IF('Marcación Workera'!B1463="","",UPPER(SUBSTITUTE('Marcación Workera'!B1463,".","")))</f>
        <v/>
      </c>
    </row>
    <row r="1464" spans="2:3" ht="15" customHeight="1" x14ac:dyDescent="0.3">
      <c r="B1464" s="17" t="str">
        <f>IF('Marcación Workera'!G1464="","",INT('Marcación Workera'!G1464))</f>
        <v/>
      </c>
      <c r="C1464" s="18" t="str">
        <f>IF('Marcación Workera'!B1464="","",UPPER(SUBSTITUTE('Marcación Workera'!B1464,".","")))</f>
        <v/>
      </c>
    </row>
    <row r="1465" spans="2:3" ht="15" customHeight="1" x14ac:dyDescent="0.3">
      <c r="B1465" s="17" t="str">
        <f>IF('Marcación Workera'!G1465="","",INT('Marcación Workera'!G1465))</f>
        <v/>
      </c>
      <c r="C1465" s="18" t="str">
        <f>IF('Marcación Workera'!B1465="","",UPPER(SUBSTITUTE('Marcación Workera'!B1465,".","")))</f>
        <v/>
      </c>
    </row>
    <row r="1466" spans="2:3" ht="15" customHeight="1" x14ac:dyDescent="0.3">
      <c r="B1466" s="17" t="str">
        <f>IF('Marcación Workera'!G1466="","",INT('Marcación Workera'!G1466))</f>
        <v/>
      </c>
      <c r="C1466" s="18" t="str">
        <f>IF('Marcación Workera'!B1466="","",UPPER(SUBSTITUTE('Marcación Workera'!B1466,".","")))</f>
        <v/>
      </c>
    </row>
    <row r="1467" spans="2:3" ht="15" customHeight="1" x14ac:dyDescent="0.3">
      <c r="B1467" s="17" t="str">
        <f>IF('Marcación Workera'!G1467="","",INT('Marcación Workera'!G1467))</f>
        <v/>
      </c>
      <c r="C1467" s="18" t="str">
        <f>IF('Marcación Workera'!B1467="","",UPPER(SUBSTITUTE('Marcación Workera'!B1467,".","")))</f>
        <v/>
      </c>
    </row>
    <row r="1468" spans="2:3" ht="15" customHeight="1" x14ac:dyDescent="0.3">
      <c r="B1468" s="17" t="str">
        <f>IF('Marcación Workera'!G1468="","",INT('Marcación Workera'!G1468))</f>
        <v/>
      </c>
      <c r="C1468" s="18" t="str">
        <f>IF('Marcación Workera'!B1468="","",UPPER(SUBSTITUTE('Marcación Workera'!B1468,".","")))</f>
        <v/>
      </c>
    </row>
    <row r="1469" spans="2:3" ht="15" customHeight="1" x14ac:dyDescent="0.3">
      <c r="B1469" s="17" t="str">
        <f>IF('Marcación Workera'!G1469="","",INT('Marcación Workera'!G1469))</f>
        <v/>
      </c>
      <c r="C1469" s="18" t="str">
        <f>IF('Marcación Workera'!B1469="","",UPPER(SUBSTITUTE('Marcación Workera'!B1469,".","")))</f>
        <v/>
      </c>
    </row>
    <row r="1470" spans="2:3" ht="15" customHeight="1" x14ac:dyDescent="0.3">
      <c r="B1470" s="17" t="str">
        <f>IF('Marcación Workera'!G1470="","",INT('Marcación Workera'!G1470))</f>
        <v/>
      </c>
      <c r="C1470" s="18" t="str">
        <f>IF('Marcación Workera'!B1470="","",UPPER(SUBSTITUTE('Marcación Workera'!B1470,".","")))</f>
        <v/>
      </c>
    </row>
    <row r="1471" spans="2:3" ht="15" customHeight="1" x14ac:dyDescent="0.3">
      <c r="B1471" s="17" t="str">
        <f>IF('Marcación Workera'!G1471="","",INT('Marcación Workera'!G1471))</f>
        <v/>
      </c>
      <c r="C1471" s="18" t="str">
        <f>IF('Marcación Workera'!B1471="","",UPPER(SUBSTITUTE('Marcación Workera'!B1471,".","")))</f>
        <v/>
      </c>
    </row>
    <row r="1472" spans="2:3" ht="15" customHeight="1" x14ac:dyDescent="0.3">
      <c r="B1472" s="17" t="str">
        <f>IF('Marcación Workera'!G1472="","",INT('Marcación Workera'!G1472))</f>
        <v/>
      </c>
      <c r="C1472" s="18" t="str">
        <f>IF('Marcación Workera'!B1472="","",UPPER(SUBSTITUTE('Marcación Workera'!B1472,".","")))</f>
        <v/>
      </c>
    </row>
    <row r="1473" spans="2:3" ht="15" customHeight="1" x14ac:dyDescent="0.3">
      <c r="B1473" s="17" t="str">
        <f>IF('Marcación Workera'!G1473="","",INT('Marcación Workera'!G1473))</f>
        <v/>
      </c>
      <c r="C1473" s="18" t="str">
        <f>IF('Marcación Workera'!B1473="","",UPPER(SUBSTITUTE('Marcación Workera'!B1473,".","")))</f>
        <v/>
      </c>
    </row>
    <row r="1474" spans="2:3" ht="15" customHeight="1" x14ac:dyDescent="0.3">
      <c r="B1474" s="17" t="str">
        <f>IF('Marcación Workera'!G1474="","",INT('Marcación Workera'!G1474))</f>
        <v/>
      </c>
      <c r="C1474" s="18" t="str">
        <f>IF('Marcación Workera'!B1474="","",UPPER(SUBSTITUTE('Marcación Workera'!B1474,".","")))</f>
        <v/>
      </c>
    </row>
    <row r="1475" spans="2:3" ht="15" customHeight="1" x14ac:dyDescent="0.3">
      <c r="B1475" s="17" t="str">
        <f>IF('Marcación Workera'!G1475="","",INT('Marcación Workera'!G1475))</f>
        <v/>
      </c>
      <c r="C1475" s="18" t="str">
        <f>IF('Marcación Workera'!B1475="","",UPPER(SUBSTITUTE('Marcación Workera'!B1475,".","")))</f>
        <v/>
      </c>
    </row>
    <row r="1476" spans="2:3" ht="15" customHeight="1" x14ac:dyDescent="0.3">
      <c r="B1476" s="17" t="str">
        <f>IF('Marcación Workera'!G1476="","",INT('Marcación Workera'!G1476))</f>
        <v/>
      </c>
      <c r="C1476" s="18" t="str">
        <f>IF('Marcación Workera'!B1476="","",UPPER(SUBSTITUTE('Marcación Workera'!B1476,".","")))</f>
        <v/>
      </c>
    </row>
    <row r="1477" spans="2:3" ht="15" customHeight="1" x14ac:dyDescent="0.3">
      <c r="B1477" s="17" t="str">
        <f>IF('Marcación Workera'!G1477="","",INT('Marcación Workera'!G1477))</f>
        <v/>
      </c>
      <c r="C1477" s="18" t="str">
        <f>IF('Marcación Workera'!B1477="","",UPPER(SUBSTITUTE('Marcación Workera'!B1477,".","")))</f>
        <v/>
      </c>
    </row>
    <row r="1478" spans="2:3" ht="15" customHeight="1" x14ac:dyDescent="0.3">
      <c r="B1478" s="17" t="str">
        <f>IF('Marcación Workera'!G1478="","",INT('Marcación Workera'!G1478))</f>
        <v/>
      </c>
      <c r="C1478" s="18" t="str">
        <f>IF('Marcación Workera'!B1478="","",UPPER(SUBSTITUTE('Marcación Workera'!B1478,".","")))</f>
        <v/>
      </c>
    </row>
    <row r="1479" spans="2:3" ht="15" customHeight="1" x14ac:dyDescent="0.3">
      <c r="B1479" s="17" t="str">
        <f>IF('Marcación Workera'!G1479="","",INT('Marcación Workera'!G1479))</f>
        <v/>
      </c>
      <c r="C1479" s="18" t="str">
        <f>IF('Marcación Workera'!B1479="","",UPPER(SUBSTITUTE('Marcación Workera'!B1479,".","")))</f>
        <v/>
      </c>
    </row>
    <row r="1480" spans="2:3" ht="15" customHeight="1" x14ac:dyDescent="0.3">
      <c r="B1480" s="17" t="str">
        <f>IF('Marcación Workera'!G1480="","",INT('Marcación Workera'!G1480))</f>
        <v/>
      </c>
      <c r="C1480" s="18" t="str">
        <f>IF('Marcación Workera'!B1480="","",UPPER(SUBSTITUTE('Marcación Workera'!B1480,".","")))</f>
        <v/>
      </c>
    </row>
    <row r="1481" spans="2:3" ht="15" customHeight="1" x14ac:dyDescent="0.3">
      <c r="B1481" s="17" t="str">
        <f>IF('Marcación Workera'!G1481="","",INT('Marcación Workera'!G1481))</f>
        <v/>
      </c>
      <c r="C1481" s="18" t="str">
        <f>IF('Marcación Workera'!B1481="","",UPPER(SUBSTITUTE('Marcación Workera'!B1481,".","")))</f>
        <v/>
      </c>
    </row>
    <row r="1482" spans="2:3" ht="15" customHeight="1" x14ac:dyDescent="0.3">
      <c r="B1482" s="17" t="str">
        <f>IF('Marcación Workera'!G1482="","",INT('Marcación Workera'!G1482))</f>
        <v/>
      </c>
      <c r="C1482" s="18" t="str">
        <f>IF('Marcación Workera'!B1482="","",UPPER(SUBSTITUTE('Marcación Workera'!B1482,".","")))</f>
        <v/>
      </c>
    </row>
    <row r="1483" spans="2:3" ht="15" customHeight="1" x14ac:dyDescent="0.3">
      <c r="B1483" s="17" t="str">
        <f>IF('Marcación Workera'!G1483="","",INT('Marcación Workera'!G1483))</f>
        <v/>
      </c>
      <c r="C1483" s="18" t="str">
        <f>IF('Marcación Workera'!B1483="","",UPPER(SUBSTITUTE('Marcación Workera'!B1483,".","")))</f>
        <v/>
      </c>
    </row>
    <row r="1484" spans="2:3" ht="15" customHeight="1" x14ac:dyDescent="0.3">
      <c r="B1484" s="17" t="str">
        <f>IF('Marcación Workera'!G1484="","",INT('Marcación Workera'!G1484))</f>
        <v/>
      </c>
      <c r="C1484" s="18" t="str">
        <f>IF('Marcación Workera'!B1484="","",UPPER(SUBSTITUTE('Marcación Workera'!B1484,".","")))</f>
        <v/>
      </c>
    </row>
    <row r="1485" spans="2:3" ht="15" customHeight="1" x14ac:dyDescent="0.3">
      <c r="B1485" s="17" t="str">
        <f>IF('Marcación Workera'!G1485="","",INT('Marcación Workera'!G1485))</f>
        <v/>
      </c>
      <c r="C1485" s="18" t="str">
        <f>IF('Marcación Workera'!B1485="","",UPPER(SUBSTITUTE('Marcación Workera'!B1485,".","")))</f>
        <v/>
      </c>
    </row>
    <row r="1486" spans="2:3" ht="15" customHeight="1" x14ac:dyDescent="0.3">
      <c r="B1486" s="17" t="str">
        <f>IF('Marcación Workera'!G1486="","",INT('Marcación Workera'!G1486))</f>
        <v/>
      </c>
      <c r="C1486" s="18" t="str">
        <f>IF('Marcación Workera'!B1486="","",UPPER(SUBSTITUTE('Marcación Workera'!B1486,".","")))</f>
        <v/>
      </c>
    </row>
    <row r="1487" spans="2:3" ht="15" customHeight="1" x14ac:dyDescent="0.3">
      <c r="B1487" s="17" t="str">
        <f>IF('Marcación Workera'!G1487="","",INT('Marcación Workera'!G1487))</f>
        <v/>
      </c>
      <c r="C1487" s="18" t="str">
        <f>IF('Marcación Workera'!B1487="","",UPPER(SUBSTITUTE('Marcación Workera'!B1487,".","")))</f>
        <v/>
      </c>
    </row>
    <row r="1488" spans="2:3" ht="15" customHeight="1" x14ac:dyDescent="0.3">
      <c r="B1488" s="17" t="str">
        <f>IF('Marcación Workera'!G1488="","",INT('Marcación Workera'!G1488))</f>
        <v/>
      </c>
      <c r="C1488" s="18" t="str">
        <f>IF('Marcación Workera'!B1488="","",UPPER(SUBSTITUTE('Marcación Workera'!B1488,".","")))</f>
        <v/>
      </c>
    </row>
    <row r="1489" spans="2:3" ht="15" customHeight="1" x14ac:dyDescent="0.3">
      <c r="B1489" s="17" t="str">
        <f>IF('Marcación Workera'!G1489="","",INT('Marcación Workera'!G1489))</f>
        <v/>
      </c>
      <c r="C1489" s="18" t="str">
        <f>IF('Marcación Workera'!B1489="","",UPPER(SUBSTITUTE('Marcación Workera'!B1489,".","")))</f>
        <v/>
      </c>
    </row>
    <row r="1490" spans="2:3" ht="15" customHeight="1" x14ac:dyDescent="0.3">
      <c r="B1490" s="17" t="str">
        <f>IF('Marcación Workera'!G1490="","",INT('Marcación Workera'!G1490))</f>
        <v/>
      </c>
      <c r="C1490" s="18" t="str">
        <f>IF('Marcación Workera'!B1490="","",UPPER(SUBSTITUTE('Marcación Workera'!B1490,".","")))</f>
        <v/>
      </c>
    </row>
    <row r="1491" spans="2:3" ht="15" customHeight="1" x14ac:dyDescent="0.3">
      <c r="B1491" s="17" t="str">
        <f>IF('Marcación Workera'!G1491="","",INT('Marcación Workera'!G1491))</f>
        <v/>
      </c>
      <c r="C1491" s="18" t="str">
        <f>IF('Marcación Workera'!B1491="","",UPPER(SUBSTITUTE('Marcación Workera'!B1491,".","")))</f>
        <v/>
      </c>
    </row>
    <row r="1492" spans="2:3" ht="15" customHeight="1" x14ac:dyDescent="0.3">
      <c r="B1492" s="17" t="str">
        <f>IF('Marcación Workera'!G1492="","",INT('Marcación Workera'!G1492))</f>
        <v/>
      </c>
      <c r="C1492" s="18" t="str">
        <f>IF('Marcación Workera'!B1492="","",UPPER(SUBSTITUTE('Marcación Workera'!B1492,".","")))</f>
        <v/>
      </c>
    </row>
    <row r="1493" spans="2:3" ht="15" customHeight="1" x14ac:dyDescent="0.3">
      <c r="B1493" s="17" t="str">
        <f>IF('Marcación Workera'!G1493="","",INT('Marcación Workera'!G1493))</f>
        <v/>
      </c>
      <c r="C1493" s="18" t="str">
        <f>IF('Marcación Workera'!B1493="","",UPPER(SUBSTITUTE('Marcación Workera'!B1493,".","")))</f>
        <v/>
      </c>
    </row>
    <row r="1494" spans="2:3" ht="15" customHeight="1" x14ac:dyDescent="0.3">
      <c r="B1494" s="17" t="str">
        <f>IF('Marcación Workera'!G1494="","",INT('Marcación Workera'!G1494))</f>
        <v/>
      </c>
      <c r="C1494" s="18" t="str">
        <f>IF('Marcación Workera'!B1494="","",UPPER(SUBSTITUTE('Marcación Workera'!B1494,".","")))</f>
        <v/>
      </c>
    </row>
    <row r="1495" spans="2:3" ht="15" customHeight="1" x14ac:dyDescent="0.3">
      <c r="B1495" s="17" t="str">
        <f>IF('Marcación Workera'!G1495="","",INT('Marcación Workera'!G1495))</f>
        <v/>
      </c>
      <c r="C1495" s="18" t="str">
        <f>IF('Marcación Workera'!B1495="","",UPPER(SUBSTITUTE('Marcación Workera'!B1495,".","")))</f>
        <v/>
      </c>
    </row>
    <row r="1496" spans="2:3" ht="15" customHeight="1" x14ac:dyDescent="0.3">
      <c r="B1496" s="17" t="str">
        <f>IF('Marcación Workera'!G1496="","",INT('Marcación Workera'!G1496))</f>
        <v/>
      </c>
      <c r="C1496" s="18" t="str">
        <f>IF('Marcación Workera'!B1496="","",UPPER(SUBSTITUTE('Marcación Workera'!B1496,".","")))</f>
        <v/>
      </c>
    </row>
    <row r="1497" spans="2:3" ht="15" customHeight="1" x14ac:dyDescent="0.3">
      <c r="B1497" s="17" t="str">
        <f>IF('Marcación Workera'!G1497="","",INT('Marcación Workera'!G1497))</f>
        <v/>
      </c>
      <c r="C1497" s="18" t="str">
        <f>IF('Marcación Workera'!B1497="","",UPPER(SUBSTITUTE('Marcación Workera'!B1497,".","")))</f>
        <v/>
      </c>
    </row>
    <row r="1498" spans="2:3" ht="15" customHeight="1" x14ac:dyDescent="0.3">
      <c r="B1498" s="17" t="str">
        <f>IF('Marcación Workera'!G1498="","",INT('Marcación Workera'!G1498))</f>
        <v/>
      </c>
      <c r="C1498" s="18" t="str">
        <f>IF('Marcación Workera'!B1498="","",UPPER(SUBSTITUTE('Marcación Workera'!B1498,".","")))</f>
        <v/>
      </c>
    </row>
    <row r="1499" spans="2:3" ht="15" customHeight="1" x14ac:dyDescent="0.3">
      <c r="B1499" s="17" t="str">
        <f>IF('Marcación Workera'!G1499="","",INT('Marcación Workera'!G1499))</f>
        <v/>
      </c>
      <c r="C1499" s="18" t="str">
        <f>IF('Marcación Workera'!B1499="","",UPPER(SUBSTITUTE('Marcación Workera'!B1499,".","")))</f>
        <v/>
      </c>
    </row>
    <row r="1500" spans="2:3" ht="15" customHeight="1" x14ac:dyDescent="0.3">
      <c r="B1500" s="17" t="str">
        <f>IF('Marcación Workera'!G1500="","",INT('Marcación Workera'!G1500))</f>
        <v/>
      </c>
      <c r="C1500" s="18" t="str">
        <f>IF('Marcación Workera'!B1500="","",UPPER(SUBSTITUTE('Marcación Workera'!B1500,".","")))</f>
        <v/>
      </c>
    </row>
    <row r="1501" spans="2:3" ht="15" customHeight="1" x14ac:dyDescent="0.3">
      <c r="B1501" s="17" t="str">
        <f>IF('Marcación Workera'!G1501="","",INT('Marcación Workera'!G1501))</f>
        <v/>
      </c>
      <c r="C1501" s="18" t="str">
        <f>IF('Marcación Workera'!B1501="","",UPPER(SUBSTITUTE('Marcación Workera'!B1501,".","")))</f>
        <v/>
      </c>
    </row>
    <row r="1502" spans="2:3" ht="15" customHeight="1" x14ac:dyDescent="0.3">
      <c r="B1502" s="17" t="str">
        <f>IF('Marcación Workera'!G1502="","",INT('Marcación Workera'!G1502))</f>
        <v/>
      </c>
      <c r="C1502" s="18" t="str">
        <f>IF('Marcación Workera'!B1502="","",UPPER(SUBSTITUTE('Marcación Workera'!B1502,".","")))</f>
        <v/>
      </c>
    </row>
    <row r="1503" spans="2:3" ht="15" customHeight="1" x14ac:dyDescent="0.3">
      <c r="B1503" s="17" t="str">
        <f>IF('Marcación Workera'!G1503="","",INT('Marcación Workera'!G1503))</f>
        <v/>
      </c>
      <c r="C1503" s="18" t="str">
        <f>IF('Marcación Workera'!B1503="","",UPPER(SUBSTITUTE('Marcación Workera'!B1503,".","")))</f>
        <v/>
      </c>
    </row>
    <row r="1504" spans="2:3" ht="15" customHeight="1" x14ac:dyDescent="0.3">
      <c r="B1504" s="17" t="str">
        <f>IF('Marcación Workera'!G1504="","",INT('Marcación Workera'!G1504))</f>
        <v/>
      </c>
      <c r="C1504" s="18" t="str">
        <f>IF('Marcación Workera'!B1504="","",UPPER(SUBSTITUTE('Marcación Workera'!B1504,".","")))</f>
        <v/>
      </c>
    </row>
    <row r="1505" spans="2:3" ht="15" customHeight="1" x14ac:dyDescent="0.3">
      <c r="B1505" s="17" t="str">
        <f>IF('Marcación Workera'!G1505="","",INT('Marcación Workera'!G1505))</f>
        <v/>
      </c>
      <c r="C1505" s="18" t="str">
        <f>IF('Marcación Workera'!B1505="","",UPPER(SUBSTITUTE('Marcación Workera'!B1505,".","")))</f>
        <v/>
      </c>
    </row>
    <row r="1506" spans="2:3" ht="15" customHeight="1" x14ac:dyDescent="0.3">
      <c r="B1506" s="17" t="str">
        <f>IF('Marcación Workera'!G1506="","",INT('Marcación Workera'!G1506))</f>
        <v/>
      </c>
      <c r="C1506" s="18" t="str">
        <f>IF('Marcación Workera'!B1506="","",UPPER(SUBSTITUTE('Marcación Workera'!B1506,".","")))</f>
        <v/>
      </c>
    </row>
    <row r="1507" spans="2:3" ht="15" customHeight="1" x14ac:dyDescent="0.3">
      <c r="B1507" s="17" t="str">
        <f>IF('Marcación Workera'!G1507="","",INT('Marcación Workera'!G1507))</f>
        <v/>
      </c>
      <c r="C1507" s="18" t="str">
        <f>IF('Marcación Workera'!B1507="","",UPPER(SUBSTITUTE('Marcación Workera'!B1507,".","")))</f>
        <v/>
      </c>
    </row>
    <row r="1508" spans="2:3" ht="15" customHeight="1" x14ac:dyDescent="0.3">
      <c r="B1508" s="17" t="str">
        <f>IF('Marcación Workera'!G1508="","",INT('Marcación Workera'!G1508))</f>
        <v/>
      </c>
      <c r="C1508" s="18" t="str">
        <f>IF('Marcación Workera'!B1508="","",UPPER(SUBSTITUTE('Marcación Workera'!B1508,".","")))</f>
        <v/>
      </c>
    </row>
    <row r="1509" spans="2:3" ht="15" customHeight="1" x14ac:dyDescent="0.3">
      <c r="B1509" s="17" t="str">
        <f>IF('Marcación Workera'!G1509="","",INT('Marcación Workera'!G1509))</f>
        <v/>
      </c>
      <c r="C1509" s="18" t="str">
        <f>IF('Marcación Workera'!B1509="","",UPPER(SUBSTITUTE('Marcación Workera'!B1509,".","")))</f>
        <v/>
      </c>
    </row>
    <row r="1510" spans="2:3" ht="15" customHeight="1" x14ac:dyDescent="0.3">
      <c r="B1510" s="17" t="str">
        <f>IF('Marcación Workera'!G1510="","",INT('Marcación Workera'!G1510))</f>
        <v/>
      </c>
      <c r="C1510" s="18" t="str">
        <f>IF('Marcación Workera'!B1510="","",UPPER(SUBSTITUTE('Marcación Workera'!B1510,".","")))</f>
        <v/>
      </c>
    </row>
    <row r="1511" spans="2:3" ht="15" customHeight="1" x14ac:dyDescent="0.3">
      <c r="B1511" s="17" t="str">
        <f>IF('Marcación Workera'!G1511="","",INT('Marcación Workera'!G1511))</f>
        <v/>
      </c>
      <c r="C1511" s="18" t="str">
        <f>IF('Marcación Workera'!B1511="","",UPPER(SUBSTITUTE('Marcación Workera'!B1511,".","")))</f>
        <v/>
      </c>
    </row>
    <row r="1512" spans="2:3" ht="15" customHeight="1" x14ac:dyDescent="0.3">
      <c r="B1512" s="17" t="str">
        <f>IF('Marcación Workera'!G1512="","",INT('Marcación Workera'!G1512))</f>
        <v/>
      </c>
      <c r="C1512" s="18" t="str">
        <f>IF('Marcación Workera'!B1512="","",UPPER(SUBSTITUTE('Marcación Workera'!B1512,".","")))</f>
        <v/>
      </c>
    </row>
    <row r="1513" spans="2:3" ht="15" customHeight="1" x14ac:dyDescent="0.3">
      <c r="B1513" s="17" t="str">
        <f>IF('Marcación Workera'!G1513="","",INT('Marcación Workera'!G1513))</f>
        <v/>
      </c>
      <c r="C1513" s="18" t="str">
        <f>IF('Marcación Workera'!B1513="","",UPPER(SUBSTITUTE('Marcación Workera'!B1513,".","")))</f>
        <v/>
      </c>
    </row>
    <row r="1514" spans="2:3" ht="15" customHeight="1" x14ac:dyDescent="0.3">
      <c r="B1514" s="17" t="str">
        <f>IF('Marcación Workera'!G1514="","",INT('Marcación Workera'!G1514))</f>
        <v/>
      </c>
      <c r="C1514" s="18" t="str">
        <f>IF('Marcación Workera'!B1514="","",UPPER(SUBSTITUTE('Marcación Workera'!B1514,".","")))</f>
        <v/>
      </c>
    </row>
    <row r="1515" spans="2:3" ht="15" customHeight="1" x14ac:dyDescent="0.3">
      <c r="B1515" s="17" t="str">
        <f>IF('Marcación Workera'!G1515="","",INT('Marcación Workera'!G1515))</f>
        <v/>
      </c>
      <c r="C1515" s="18" t="str">
        <f>IF('Marcación Workera'!B1515="","",UPPER(SUBSTITUTE('Marcación Workera'!B1515,".","")))</f>
        <v/>
      </c>
    </row>
    <row r="1516" spans="2:3" ht="15" customHeight="1" x14ac:dyDescent="0.3">
      <c r="B1516" s="17" t="str">
        <f>IF('Marcación Workera'!G1516="","",INT('Marcación Workera'!G1516))</f>
        <v/>
      </c>
      <c r="C1516" s="18" t="str">
        <f>IF('Marcación Workera'!B1516="","",UPPER(SUBSTITUTE('Marcación Workera'!B1516,".","")))</f>
        <v/>
      </c>
    </row>
    <row r="1517" spans="2:3" ht="15" customHeight="1" x14ac:dyDescent="0.3">
      <c r="B1517" s="17" t="str">
        <f>IF('Marcación Workera'!G1517="","",INT('Marcación Workera'!G1517))</f>
        <v/>
      </c>
      <c r="C1517" s="18" t="str">
        <f>IF('Marcación Workera'!B1517="","",UPPER(SUBSTITUTE('Marcación Workera'!B1517,".","")))</f>
        <v/>
      </c>
    </row>
    <row r="1518" spans="2:3" ht="15" customHeight="1" x14ac:dyDescent="0.3">
      <c r="B1518" s="17" t="str">
        <f>IF('Marcación Workera'!G1518="","",INT('Marcación Workera'!G1518))</f>
        <v/>
      </c>
      <c r="C1518" s="18" t="str">
        <f>IF('Marcación Workera'!B1518="","",UPPER(SUBSTITUTE('Marcación Workera'!B1518,".","")))</f>
        <v/>
      </c>
    </row>
    <row r="1519" spans="2:3" ht="15" customHeight="1" x14ac:dyDescent="0.3">
      <c r="B1519" s="17" t="str">
        <f>IF('Marcación Workera'!G1519="","",INT('Marcación Workera'!G1519))</f>
        <v/>
      </c>
      <c r="C1519" s="18" t="str">
        <f>IF('Marcación Workera'!B1519="","",UPPER(SUBSTITUTE('Marcación Workera'!B1519,".","")))</f>
        <v/>
      </c>
    </row>
    <row r="1520" spans="2:3" ht="15" customHeight="1" x14ac:dyDescent="0.3">
      <c r="B1520" s="17" t="str">
        <f>IF('Marcación Workera'!G1520="","",INT('Marcación Workera'!G1520))</f>
        <v/>
      </c>
      <c r="C1520" s="18" t="str">
        <f>IF('Marcación Workera'!B1520="","",UPPER(SUBSTITUTE('Marcación Workera'!B1520,".","")))</f>
        <v/>
      </c>
    </row>
    <row r="1521" spans="2:3" ht="15" customHeight="1" x14ac:dyDescent="0.3">
      <c r="B1521" s="17" t="str">
        <f>IF('Marcación Workera'!G1521="","",INT('Marcación Workera'!G1521))</f>
        <v/>
      </c>
      <c r="C1521" s="18" t="str">
        <f>IF('Marcación Workera'!B1521="","",UPPER(SUBSTITUTE('Marcación Workera'!B1521,".","")))</f>
        <v/>
      </c>
    </row>
    <row r="1522" spans="2:3" ht="15" customHeight="1" x14ac:dyDescent="0.3">
      <c r="B1522" s="17" t="str">
        <f>IF('Marcación Workera'!G1522="","",INT('Marcación Workera'!G1522))</f>
        <v/>
      </c>
      <c r="C1522" s="18" t="str">
        <f>IF('Marcación Workera'!B1522="","",UPPER(SUBSTITUTE('Marcación Workera'!B1522,".","")))</f>
        <v/>
      </c>
    </row>
    <row r="1523" spans="2:3" ht="15" customHeight="1" x14ac:dyDescent="0.3">
      <c r="B1523" s="17" t="str">
        <f>IF('Marcación Workera'!G1523="","",INT('Marcación Workera'!G1523))</f>
        <v/>
      </c>
      <c r="C1523" s="18" t="str">
        <f>IF('Marcación Workera'!B1523="","",UPPER(SUBSTITUTE('Marcación Workera'!B1523,".","")))</f>
        <v/>
      </c>
    </row>
    <row r="1524" spans="2:3" ht="15" customHeight="1" x14ac:dyDescent="0.3">
      <c r="B1524" s="17" t="str">
        <f>IF('Marcación Workera'!G1524="","",INT('Marcación Workera'!G1524))</f>
        <v/>
      </c>
      <c r="C1524" s="18" t="str">
        <f>IF('Marcación Workera'!B1524="","",UPPER(SUBSTITUTE('Marcación Workera'!B1524,".","")))</f>
        <v/>
      </c>
    </row>
    <row r="1525" spans="2:3" ht="15" customHeight="1" x14ac:dyDescent="0.3">
      <c r="B1525" s="17" t="str">
        <f>IF('Marcación Workera'!G1525="","",INT('Marcación Workera'!G1525))</f>
        <v/>
      </c>
      <c r="C1525" s="18" t="str">
        <f>IF('Marcación Workera'!B1525="","",UPPER(SUBSTITUTE('Marcación Workera'!B1525,".","")))</f>
        <v/>
      </c>
    </row>
    <row r="1526" spans="2:3" ht="15" customHeight="1" x14ac:dyDescent="0.3">
      <c r="B1526" s="17" t="str">
        <f>IF('Marcación Workera'!G1526="","",INT('Marcación Workera'!G1526))</f>
        <v/>
      </c>
      <c r="C1526" s="18" t="str">
        <f>IF('Marcación Workera'!B1526="","",UPPER(SUBSTITUTE('Marcación Workera'!B1526,".","")))</f>
        <v/>
      </c>
    </row>
    <row r="1527" spans="2:3" ht="15" customHeight="1" x14ac:dyDescent="0.3">
      <c r="B1527" s="17" t="str">
        <f>IF('Marcación Workera'!G1527="","",INT('Marcación Workera'!G1527))</f>
        <v/>
      </c>
      <c r="C1527" s="18" t="str">
        <f>IF('Marcación Workera'!B1527="","",UPPER(SUBSTITUTE('Marcación Workera'!B1527,".","")))</f>
        <v/>
      </c>
    </row>
    <row r="1528" spans="2:3" ht="15" customHeight="1" x14ac:dyDescent="0.3">
      <c r="B1528" s="17" t="str">
        <f>IF('Marcación Workera'!G1528="","",INT('Marcación Workera'!G1528))</f>
        <v/>
      </c>
      <c r="C1528" s="18" t="str">
        <f>IF('Marcación Workera'!B1528="","",UPPER(SUBSTITUTE('Marcación Workera'!B1528,".","")))</f>
        <v/>
      </c>
    </row>
    <row r="1529" spans="2:3" ht="15" customHeight="1" x14ac:dyDescent="0.3">
      <c r="B1529" s="17" t="str">
        <f>IF('Marcación Workera'!G1529="","",INT('Marcación Workera'!G1529))</f>
        <v/>
      </c>
      <c r="C1529" s="18" t="str">
        <f>IF('Marcación Workera'!B1529="","",UPPER(SUBSTITUTE('Marcación Workera'!B1529,".","")))</f>
        <v/>
      </c>
    </row>
    <row r="1530" spans="2:3" ht="15" customHeight="1" x14ac:dyDescent="0.3">
      <c r="B1530" s="17" t="str">
        <f>IF('Marcación Workera'!G1530="","",INT('Marcación Workera'!G1530))</f>
        <v/>
      </c>
      <c r="C1530" s="18" t="str">
        <f>IF('Marcación Workera'!B1530="","",UPPER(SUBSTITUTE('Marcación Workera'!B1530,".","")))</f>
        <v/>
      </c>
    </row>
    <row r="1531" spans="2:3" ht="15" customHeight="1" x14ac:dyDescent="0.3">
      <c r="B1531" s="17" t="str">
        <f>IF('Marcación Workera'!G1531="","",INT('Marcación Workera'!G1531))</f>
        <v/>
      </c>
      <c r="C1531" s="18" t="str">
        <f>IF('Marcación Workera'!B1531="","",UPPER(SUBSTITUTE('Marcación Workera'!B1531,".","")))</f>
        <v/>
      </c>
    </row>
    <row r="1532" spans="2:3" ht="15" customHeight="1" x14ac:dyDescent="0.3">
      <c r="B1532" s="17" t="str">
        <f>IF('Marcación Workera'!G1532="","",INT('Marcación Workera'!G1532))</f>
        <v/>
      </c>
      <c r="C1532" s="18" t="str">
        <f>IF('Marcación Workera'!B1532="","",UPPER(SUBSTITUTE('Marcación Workera'!B1532,".","")))</f>
        <v/>
      </c>
    </row>
    <row r="1533" spans="2:3" ht="15" customHeight="1" x14ac:dyDescent="0.3">
      <c r="B1533" s="17" t="str">
        <f>IF('Marcación Workera'!G1533="","",INT('Marcación Workera'!G1533))</f>
        <v/>
      </c>
      <c r="C1533" s="18" t="str">
        <f>IF('Marcación Workera'!B1533="","",UPPER(SUBSTITUTE('Marcación Workera'!B1533,".","")))</f>
        <v/>
      </c>
    </row>
    <row r="1534" spans="2:3" ht="15" customHeight="1" x14ac:dyDescent="0.3">
      <c r="B1534" s="17" t="str">
        <f>IF('Marcación Workera'!G1534="","",INT('Marcación Workera'!G1534))</f>
        <v/>
      </c>
      <c r="C1534" s="18" t="str">
        <f>IF('Marcación Workera'!B1534="","",UPPER(SUBSTITUTE('Marcación Workera'!B1534,".","")))</f>
        <v/>
      </c>
    </row>
    <row r="1535" spans="2:3" ht="15" customHeight="1" x14ac:dyDescent="0.3">
      <c r="B1535" s="17" t="str">
        <f>IF('Marcación Workera'!G1535="","",INT('Marcación Workera'!G1535))</f>
        <v/>
      </c>
      <c r="C1535" s="18" t="str">
        <f>IF('Marcación Workera'!B1535="","",UPPER(SUBSTITUTE('Marcación Workera'!B1535,".","")))</f>
        <v/>
      </c>
    </row>
    <row r="1536" spans="2:3" ht="15" customHeight="1" x14ac:dyDescent="0.3">
      <c r="B1536" s="17" t="str">
        <f>IF('Marcación Workera'!G1536="","",INT('Marcación Workera'!G1536))</f>
        <v/>
      </c>
      <c r="C1536" s="18" t="str">
        <f>IF('Marcación Workera'!B1536="","",UPPER(SUBSTITUTE('Marcación Workera'!B1536,".","")))</f>
        <v/>
      </c>
    </row>
    <row r="1537" spans="2:3" ht="15" customHeight="1" x14ac:dyDescent="0.3">
      <c r="B1537" s="17" t="str">
        <f>IF('Marcación Workera'!G1537="","",INT('Marcación Workera'!G1537))</f>
        <v/>
      </c>
      <c r="C1537" s="18" t="str">
        <f>IF('Marcación Workera'!B1537="","",UPPER(SUBSTITUTE('Marcación Workera'!B1537,".","")))</f>
        <v/>
      </c>
    </row>
    <row r="1538" spans="2:3" ht="15" customHeight="1" x14ac:dyDescent="0.3">
      <c r="B1538" s="17" t="str">
        <f>IF('Marcación Workera'!G1538="","",INT('Marcación Workera'!G1538))</f>
        <v/>
      </c>
      <c r="C1538" s="18" t="str">
        <f>IF('Marcación Workera'!B1538="","",UPPER(SUBSTITUTE('Marcación Workera'!B1538,".","")))</f>
        <v/>
      </c>
    </row>
    <row r="1539" spans="2:3" ht="15" customHeight="1" x14ac:dyDescent="0.3">
      <c r="B1539" s="17" t="str">
        <f>IF('Marcación Workera'!G1539="","",INT('Marcación Workera'!G1539))</f>
        <v/>
      </c>
      <c r="C1539" s="18" t="str">
        <f>IF('Marcación Workera'!B1539="","",UPPER(SUBSTITUTE('Marcación Workera'!B1539,".","")))</f>
        <v/>
      </c>
    </row>
    <row r="1540" spans="2:3" ht="15" customHeight="1" x14ac:dyDescent="0.3">
      <c r="B1540" s="17" t="str">
        <f>IF('Marcación Workera'!G1540="","",INT('Marcación Workera'!G1540))</f>
        <v/>
      </c>
      <c r="C1540" s="18" t="str">
        <f>IF('Marcación Workera'!B1540="","",UPPER(SUBSTITUTE('Marcación Workera'!B1540,".","")))</f>
        <v/>
      </c>
    </row>
    <row r="1541" spans="2:3" ht="15" customHeight="1" x14ac:dyDescent="0.3">
      <c r="B1541" s="17" t="str">
        <f>IF('Marcación Workera'!G1541="","",INT('Marcación Workera'!G1541))</f>
        <v/>
      </c>
      <c r="C1541" s="18" t="str">
        <f>IF('Marcación Workera'!B1541="","",UPPER(SUBSTITUTE('Marcación Workera'!B1541,".","")))</f>
        <v/>
      </c>
    </row>
    <row r="1542" spans="2:3" ht="15" customHeight="1" x14ac:dyDescent="0.3">
      <c r="B1542" s="17" t="str">
        <f>IF('Marcación Workera'!G1542="","",INT('Marcación Workera'!G1542))</f>
        <v/>
      </c>
      <c r="C1542" s="18" t="str">
        <f>IF('Marcación Workera'!B1542="","",UPPER(SUBSTITUTE('Marcación Workera'!B1542,".","")))</f>
        <v/>
      </c>
    </row>
    <row r="1543" spans="2:3" ht="15" customHeight="1" x14ac:dyDescent="0.3">
      <c r="B1543" s="17" t="str">
        <f>IF('Marcación Workera'!G1543="","",INT('Marcación Workera'!G1543))</f>
        <v/>
      </c>
      <c r="C1543" s="18" t="str">
        <f>IF('Marcación Workera'!B1543="","",UPPER(SUBSTITUTE('Marcación Workera'!B1543,".","")))</f>
        <v/>
      </c>
    </row>
    <row r="1544" spans="2:3" ht="15" customHeight="1" x14ac:dyDescent="0.3">
      <c r="B1544" s="17" t="str">
        <f>IF('Marcación Workera'!G1544="","",INT('Marcación Workera'!G1544))</f>
        <v/>
      </c>
      <c r="C1544" s="18" t="str">
        <f>IF('Marcación Workera'!B1544="","",UPPER(SUBSTITUTE('Marcación Workera'!B1544,".","")))</f>
        <v/>
      </c>
    </row>
    <row r="1545" spans="2:3" ht="15" customHeight="1" x14ac:dyDescent="0.3">
      <c r="B1545" s="17" t="str">
        <f>IF('Marcación Workera'!G1545="","",INT('Marcación Workera'!G1545))</f>
        <v/>
      </c>
      <c r="C1545" s="18" t="str">
        <f>IF('Marcación Workera'!B1545="","",UPPER(SUBSTITUTE('Marcación Workera'!B1545,".","")))</f>
        <v/>
      </c>
    </row>
    <row r="1546" spans="2:3" ht="15" customHeight="1" x14ac:dyDescent="0.3">
      <c r="B1546" s="17" t="str">
        <f>IF('Marcación Workera'!G1546="","",INT('Marcación Workera'!G1546))</f>
        <v/>
      </c>
      <c r="C1546" s="18" t="str">
        <f>IF('Marcación Workera'!B1546="","",UPPER(SUBSTITUTE('Marcación Workera'!B1546,".","")))</f>
        <v/>
      </c>
    </row>
    <row r="1547" spans="2:3" ht="15" customHeight="1" x14ac:dyDescent="0.3">
      <c r="B1547" s="17" t="str">
        <f>IF('Marcación Workera'!G1547="","",INT('Marcación Workera'!G1547))</f>
        <v/>
      </c>
      <c r="C1547" s="18" t="str">
        <f>IF('Marcación Workera'!B1547="","",UPPER(SUBSTITUTE('Marcación Workera'!B1547,".","")))</f>
        <v/>
      </c>
    </row>
    <row r="1548" spans="2:3" ht="15" customHeight="1" x14ac:dyDescent="0.3">
      <c r="B1548" s="17" t="str">
        <f>IF('Marcación Workera'!G1548="","",INT('Marcación Workera'!G1548))</f>
        <v/>
      </c>
      <c r="C1548" s="18" t="str">
        <f>IF('Marcación Workera'!B1548="","",UPPER(SUBSTITUTE('Marcación Workera'!B1548,".","")))</f>
        <v/>
      </c>
    </row>
    <row r="1549" spans="2:3" ht="15" customHeight="1" x14ac:dyDescent="0.3">
      <c r="B1549" s="17" t="str">
        <f>IF('Marcación Workera'!G1549="","",INT('Marcación Workera'!G1549))</f>
        <v/>
      </c>
      <c r="C1549" s="18" t="str">
        <f>IF('Marcación Workera'!B1549="","",UPPER(SUBSTITUTE('Marcación Workera'!B1549,".","")))</f>
        <v/>
      </c>
    </row>
    <row r="1550" spans="2:3" ht="15" customHeight="1" x14ac:dyDescent="0.3">
      <c r="B1550" s="17" t="str">
        <f>IF('Marcación Workera'!G1550="","",INT('Marcación Workera'!G1550))</f>
        <v/>
      </c>
      <c r="C1550" s="18" t="str">
        <f>IF('Marcación Workera'!B1550="","",UPPER(SUBSTITUTE('Marcación Workera'!B1550,".","")))</f>
        <v/>
      </c>
    </row>
    <row r="1551" spans="2:3" ht="15" customHeight="1" x14ac:dyDescent="0.3">
      <c r="B1551" s="17" t="str">
        <f>IF('Marcación Workera'!G1551="","",INT('Marcación Workera'!G1551))</f>
        <v/>
      </c>
      <c r="C1551" s="18" t="str">
        <f>IF('Marcación Workera'!B1551="","",UPPER(SUBSTITUTE('Marcación Workera'!B1551,".","")))</f>
        <v/>
      </c>
    </row>
    <row r="1552" spans="2:3" ht="15" customHeight="1" x14ac:dyDescent="0.3">
      <c r="B1552" s="17" t="str">
        <f>IF('Marcación Workera'!G1552="","",INT('Marcación Workera'!G1552))</f>
        <v/>
      </c>
      <c r="C1552" s="18" t="str">
        <f>IF('Marcación Workera'!B1552="","",UPPER(SUBSTITUTE('Marcación Workera'!B1552,".","")))</f>
        <v/>
      </c>
    </row>
    <row r="1553" spans="2:3" ht="15" customHeight="1" x14ac:dyDescent="0.3">
      <c r="B1553" s="17" t="str">
        <f>IF('Marcación Workera'!G1553="","",INT('Marcación Workera'!G1553))</f>
        <v/>
      </c>
      <c r="C1553" s="18" t="str">
        <f>IF('Marcación Workera'!B1553="","",UPPER(SUBSTITUTE('Marcación Workera'!B1553,".","")))</f>
        <v/>
      </c>
    </row>
    <row r="1554" spans="2:3" ht="15" customHeight="1" x14ac:dyDescent="0.3">
      <c r="B1554" s="17" t="str">
        <f>IF('Marcación Workera'!G1554="","",INT('Marcación Workera'!G1554))</f>
        <v/>
      </c>
      <c r="C1554" s="18" t="str">
        <f>IF('Marcación Workera'!B1554="","",UPPER(SUBSTITUTE('Marcación Workera'!B1554,".","")))</f>
        <v/>
      </c>
    </row>
    <row r="1555" spans="2:3" ht="15" customHeight="1" x14ac:dyDescent="0.3">
      <c r="B1555" s="17" t="str">
        <f>IF('Marcación Workera'!G1555="","",INT('Marcación Workera'!G1555))</f>
        <v/>
      </c>
      <c r="C1555" s="18" t="str">
        <f>IF('Marcación Workera'!B1555="","",UPPER(SUBSTITUTE('Marcación Workera'!B1555,".","")))</f>
        <v/>
      </c>
    </row>
    <row r="1556" spans="2:3" ht="15" customHeight="1" x14ac:dyDescent="0.3">
      <c r="B1556" s="17" t="str">
        <f>IF('Marcación Workera'!G1556="","",INT('Marcación Workera'!G1556))</f>
        <v/>
      </c>
      <c r="C1556" s="18" t="str">
        <f>IF('Marcación Workera'!B1556="","",UPPER(SUBSTITUTE('Marcación Workera'!B1556,".","")))</f>
        <v/>
      </c>
    </row>
    <row r="1557" spans="2:3" ht="15" customHeight="1" x14ac:dyDescent="0.3">
      <c r="B1557" s="17" t="str">
        <f>IF('Marcación Workera'!G1557="","",INT('Marcación Workera'!G1557))</f>
        <v/>
      </c>
      <c r="C1557" s="18" t="str">
        <f>IF('Marcación Workera'!B1557="","",UPPER(SUBSTITUTE('Marcación Workera'!B1557,".","")))</f>
        <v/>
      </c>
    </row>
    <row r="1558" spans="2:3" ht="15" customHeight="1" x14ac:dyDescent="0.3">
      <c r="B1558" s="17" t="str">
        <f>IF('Marcación Workera'!G1558="","",INT('Marcación Workera'!G1558))</f>
        <v/>
      </c>
      <c r="C1558" s="18" t="str">
        <f>IF('Marcación Workera'!B1558="","",UPPER(SUBSTITUTE('Marcación Workera'!B1558,".","")))</f>
        <v/>
      </c>
    </row>
    <row r="1559" spans="2:3" ht="15" customHeight="1" x14ac:dyDescent="0.3">
      <c r="B1559" s="17" t="str">
        <f>IF('Marcación Workera'!G1559="","",INT('Marcación Workera'!G1559))</f>
        <v/>
      </c>
      <c r="C1559" s="18" t="str">
        <f>IF('Marcación Workera'!B1559="","",UPPER(SUBSTITUTE('Marcación Workera'!B1559,".","")))</f>
        <v/>
      </c>
    </row>
    <row r="1560" spans="2:3" ht="15" customHeight="1" x14ac:dyDescent="0.3">
      <c r="B1560" s="17" t="str">
        <f>IF('Marcación Workera'!G1560="","",INT('Marcación Workera'!G1560))</f>
        <v/>
      </c>
      <c r="C1560" s="18" t="str">
        <f>IF('Marcación Workera'!B1560="","",UPPER(SUBSTITUTE('Marcación Workera'!B1560,".","")))</f>
        <v/>
      </c>
    </row>
    <row r="1561" spans="2:3" ht="15" customHeight="1" x14ac:dyDescent="0.3">
      <c r="B1561" s="17" t="str">
        <f>IF('Marcación Workera'!G1561="","",INT('Marcación Workera'!G1561))</f>
        <v/>
      </c>
      <c r="C1561" s="18" t="str">
        <f>IF('Marcación Workera'!B1561="","",UPPER(SUBSTITUTE('Marcación Workera'!B1561,".","")))</f>
        <v/>
      </c>
    </row>
    <row r="1562" spans="2:3" ht="15" customHeight="1" x14ac:dyDescent="0.3">
      <c r="B1562" s="17" t="str">
        <f>IF('Marcación Workera'!G1562="","",INT('Marcación Workera'!G1562))</f>
        <v/>
      </c>
      <c r="C1562" s="18" t="str">
        <f>IF('Marcación Workera'!B1562="","",UPPER(SUBSTITUTE('Marcación Workera'!B1562,".","")))</f>
        <v/>
      </c>
    </row>
    <row r="1563" spans="2:3" ht="15" customHeight="1" x14ac:dyDescent="0.3">
      <c r="B1563" s="17" t="str">
        <f>IF('Marcación Workera'!G1563="","",INT('Marcación Workera'!G1563))</f>
        <v/>
      </c>
      <c r="C1563" s="18" t="str">
        <f>IF('Marcación Workera'!B1563="","",UPPER(SUBSTITUTE('Marcación Workera'!B1563,".","")))</f>
        <v/>
      </c>
    </row>
    <row r="1564" spans="2:3" ht="15" customHeight="1" x14ac:dyDescent="0.3">
      <c r="B1564" s="17" t="str">
        <f>IF('Marcación Workera'!G1564="","",INT('Marcación Workera'!G1564))</f>
        <v/>
      </c>
      <c r="C1564" s="18" t="str">
        <f>IF('Marcación Workera'!B1564="","",UPPER(SUBSTITUTE('Marcación Workera'!B1564,".","")))</f>
        <v/>
      </c>
    </row>
    <row r="1565" spans="2:3" ht="15" customHeight="1" x14ac:dyDescent="0.3">
      <c r="B1565" s="17" t="str">
        <f>IF('Marcación Workera'!G1565="","",INT('Marcación Workera'!G1565))</f>
        <v/>
      </c>
      <c r="C1565" s="18" t="str">
        <f>IF('Marcación Workera'!B1565="","",UPPER(SUBSTITUTE('Marcación Workera'!B1565,".","")))</f>
        <v/>
      </c>
    </row>
    <row r="1566" spans="2:3" ht="15" customHeight="1" x14ac:dyDescent="0.3">
      <c r="B1566" s="17" t="str">
        <f>IF('Marcación Workera'!G1566="","",INT('Marcación Workera'!G1566))</f>
        <v/>
      </c>
      <c r="C1566" s="18" t="str">
        <f>IF('Marcación Workera'!B1566="","",UPPER(SUBSTITUTE('Marcación Workera'!B1566,".","")))</f>
        <v/>
      </c>
    </row>
    <row r="1567" spans="2:3" ht="15" customHeight="1" x14ac:dyDescent="0.3">
      <c r="B1567" s="17" t="str">
        <f>IF('Marcación Workera'!G1567="","",INT('Marcación Workera'!G1567))</f>
        <v/>
      </c>
      <c r="C1567" s="18" t="str">
        <f>IF('Marcación Workera'!B1567="","",UPPER(SUBSTITUTE('Marcación Workera'!B1567,".","")))</f>
        <v/>
      </c>
    </row>
    <row r="1568" spans="2:3" ht="15" customHeight="1" x14ac:dyDescent="0.3">
      <c r="B1568" s="17" t="str">
        <f>IF('Marcación Workera'!G1568="","",INT('Marcación Workera'!G1568))</f>
        <v/>
      </c>
      <c r="C1568" s="18" t="str">
        <f>IF('Marcación Workera'!B1568="","",UPPER(SUBSTITUTE('Marcación Workera'!B1568,".","")))</f>
        <v/>
      </c>
    </row>
    <row r="1569" spans="2:3" ht="15" customHeight="1" x14ac:dyDescent="0.3">
      <c r="B1569" s="17" t="str">
        <f>IF('Marcación Workera'!G1569="","",INT('Marcación Workera'!G1569))</f>
        <v/>
      </c>
      <c r="C1569" s="18" t="str">
        <f>IF('Marcación Workera'!B1569="","",UPPER(SUBSTITUTE('Marcación Workera'!B1569,".","")))</f>
        <v/>
      </c>
    </row>
    <row r="1570" spans="2:3" ht="15" customHeight="1" x14ac:dyDescent="0.3">
      <c r="B1570" s="17" t="str">
        <f>IF('Marcación Workera'!G1570="","",INT('Marcación Workera'!G1570))</f>
        <v/>
      </c>
      <c r="C1570" s="18" t="str">
        <f>IF('Marcación Workera'!B1570="","",UPPER(SUBSTITUTE('Marcación Workera'!B1570,".","")))</f>
        <v/>
      </c>
    </row>
    <row r="1571" spans="2:3" ht="15" customHeight="1" x14ac:dyDescent="0.3">
      <c r="B1571" s="17" t="str">
        <f>IF('Marcación Workera'!G1571="","",INT('Marcación Workera'!G1571))</f>
        <v/>
      </c>
      <c r="C1571" s="18" t="str">
        <f>IF('Marcación Workera'!B1571="","",UPPER(SUBSTITUTE('Marcación Workera'!B1571,".","")))</f>
        <v/>
      </c>
    </row>
    <row r="1572" spans="2:3" ht="15" customHeight="1" x14ac:dyDescent="0.3">
      <c r="B1572" s="17" t="str">
        <f>IF('Marcación Workera'!G1572="","",INT('Marcación Workera'!G1572))</f>
        <v/>
      </c>
      <c r="C1572" s="18" t="str">
        <f>IF('Marcación Workera'!B1572="","",UPPER(SUBSTITUTE('Marcación Workera'!B1572,".","")))</f>
        <v/>
      </c>
    </row>
    <row r="1573" spans="2:3" ht="15" customHeight="1" x14ac:dyDescent="0.3">
      <c r="B1573" s="17" t="str">
        <f>IF('Marcación Workera'!G1573="","",INT('Marcación Workera'!G1573))</f>
        <v/>
      </c>
      <c r="C1573" s="18" t="str">
        <f>IF('Marcación Workera'!B1573="","",UPPER(SUBSTITUTE('Marcación Workera'!B1573,".","")))</f>
        <v/>
      </c>
    </row>
    <row r="1574" spans="2:3" ht="15" customHeight="1" x14ac:dyDescent="0.3">
      <c r="B1574" s="17" t="str">
        <f>IF('Marcación Workera'!G1574="","",INT('Marcación Workera'!G1574))</f>
        <v/>
      </c>
      <c r="C1574" s="18" t="str">
        <f>IF('Marcación Workera'!B1574="","",UPPER(SUBSTITUTE('Marcación Workera'!B1574,".","")))</f>
        <v/>
      </c>
    </row>
    <row r="1575" spans="2:3" ht="15" customHeight="1" x14ac:dyDescent="0.3">
      <c r="B1575" s="17" t="str">
        <f>IF('Marcación Workera'!G1575="","",INT('Marcación Workera'!G1575))</f>
        <v/>
      </c>
      <c r="C1575" s="18" t="str">
        <f>IF('Marcación Workera'!B1575="","",UPPER(SUBSTITUTE('Marcación Workera'!B1575,".","")))</f>
        <v/>
      </c>
    </row>
    <row r="1576" spans="2:3" ht="15" customHeight="1" x14ac:dyDescent="0.3">
      <c r="B1576" s="17" t="str">
        <f>IF('Marcación Workera'!G1576="","",INT('Marcación Workera'!G1576))</f>
        <v/>
      </c>
      <c r="C1576" s="18" t="str">
        <f>IF('Marcación Workera'!B1576="","",UPPER(SUBSTITUTE('Marcación Workera'!B1576,".","")))</f>
        <v/>
      </c>
    </row>
    <row r="1577" spans="2:3" ht="15" customHeight="1" x14ac:dyDescent="0.3">
      <c r="B1577" s="17" t="str">
        <f>IF('Marcación Workera'!G1577="","",INT('Marcación Workera'!G1577))</f>
        <v/>
      </c>
      <c r="C1577" s="18" t="str">
        <f>IF('Marcación Workera'!B1577="","",UPPER(SUBSTITUTE('Marcación Workera'!B1577,".","")))</f>
        <v/>
      </c>
    </row>
    <row r="1578" spans="2:3" ht="15" customHeight="1" x14ac:dyDescent="0.3">
      <c r="B1578" s="17" t="str">
        <f>IF('Marcación Workera'!G1578="","",INT('Marcación Workera'!G1578))</f>
        <v/>
      </c>
      <c r="C1578" s="18" t="str">
        <f>IF('Marcación Workera'!B1578="","",UPPER(SUBSTITUTE('Marcación Workera'!B1578,".","")))</f>
        <v/>
      </c>
    </row>
    <row r="1579" spans="2:3" ht="15" customHeight="1" x14ac:dyDescent="0.3">
      <c r="B1579" s="17" t="str">
        <f>IF('Marcación Workera'!G1579="","",INT('Marcación Workera'!G1579))</f>
        <v/>
      </c>
      <c r="C1579" s="18" t="str">
        <f>IF('Marcación Workera'!B1579="","",UPPER(SUBSTITUTE('Marcación Workera'!B1579,".","")))</f>
        <v/>
      </c>
    </row>
    <row r="1580" spans="2:3" ht="15" customHeight="1" x14ac:dyDescent="0.3">
      <c r="B1580" s="17" t="str">
        <f>IF('Marcación Workera'!G1580="","",INT('Marcación Workera'!G1580))</f>
        <v/>
      </c>
      <c r="C1580" s="18" t="str">
        <f>IF('Marcación Workera'!B1580="","",UPPER(SUBSTITUTE('Marcación Workera'!B1580,".","")))</f>
        <v/>
      </c>
    </row>
    <row r="1581" spans="2:3" ht="15" customHeight="1" x14ac:dyDescent="0.3">
      <c r="B1581" s="17" t="str">
        <f>IF('Marcación Workera'!G1581="","",INT('Marcación Workera'!G1581))</f>
        <v/>
      </c>
      <c r="C1581" s="18" t="str">
        <f>IF('Marcación Workera'!B1581="","",UPPER(SUBSTITUTE('Marcación Workera'!B1581,".","")))</f>
        <v/>
      </c>
    </row>
    <row r="1582" spans="2:3" ht="15" customHeight="1" x14ac:dyDescent="0.3">
      <c r="B1582" s="17" t="str">
        <f>IF('Marcación Workera'!G1582="","",INT('Marcación Workera'!G1582))</f>
        <v/>
      </c>
      <c r="C1582" s="18" t="str">
        <f>IF('Marcación Workera'!B1582="","",UPPER(SUBSTITUTE('Marcación Workera'!B1582,".","")))</f>
        <v/>
      </c>
    </row>
    <row r="1583" spans="2:3" ht="15" customHeight="1" x14ac:dyDescent="0.3">
      <c r="B1583" s="17" t="str">
        <f>IF('Marcación Workera'!G1583="","",INT('Marcación Workera'!G1583))</f>
        <v/>
      </c>
      <c r="C1583" s="18" t="str">
        <f>IF('Marcación Workera'!B1583="","",UPPER(SUBSTITUTE('Marcación Workera'!B1583,".","")))</f>
        <v/>
      </c>
    </row>
    <row r="1584" spans="2:3" ht="15" customHeight="1" x14ac:dyDescent="0.3">
      <c r="B1584" s="17" t="str">
        <f>IF('Marcación Workera'!G1584="","",INT('Marcación Workera'!G1584))</f>
        <v/>
      </c>
      <c r="C1584" s="18" t="str">
        <f>IF('Marcación Workera'!B1584="","",UPPER(SUBSTITUTE('Marcación Workera'!B1584,".","")))</f>
        <v/>
      </c>
    </row>
    <row r="1585" spans="2:3" ht="15" customHeight="1" x14ac:dyDescent="0.3">
      <c r="B1585" s="17" t="str">
        <f>IF('Marcación Workera'!G1585="","",INT('Marcación Workera'!G1585))</f>
        <v/>
      </c>
      <c r="C1585" s="18" t="str">
        <f>IF('Marcación Workera'!B1585="","",UPPER(SUBSTITUTE('Marcación Workera'!B1585,".","")))</f>
        <v/>
      </c>
    </row>
    <row r="1586" spans="2:3" ht="15" customHeight="1" x14ac:dyDescent="0.3">
      <c r="B1586" s="17" t="str">
        <f>IF('Marcación Workera'!G1586="","",INT('Marcación Workera'!G1586))</f>
        <v/>
      </c>
      <c r="C1586" s="18" t="str">
        <f>IF('Marcación Workera'!B1586="","",UPPER(SUBSTITUTE('Marcación Workera'!B1586,".","")))</f>
        <v/>
      </c>
    </row>
    <row r="1587" spans="2:3" ht="15" customHeight="1" x14ac:dyDescent="0.3">
      <c r="B1587" s="17" t="str">
        <f>IF('Marcación Workera'!G1587="","",INT('Marcación Workera'!G1587))</f>
        <v/>
      </c>
      <c r="C1587" s="18" t="str">
        <f>IF('Marcación Workera'!B1587="","",UPPER(SUBSTITUTE('Marcación Workera'!B1587,".","")))</f>
        <v/>
      </c>
    </row>
    <row r="1588" spans="2:3" ht="15" customHeight="1" x14ac:dyDescent="0.3">
      <c r="B1588" s="17" t="str">
        <f>IF('Marcación Workera'!G1588="","",INT('Marcación Workera'!G1588))</f>
        <v/>
      </c>
      <c r="C1588" s="18" t="str">
        <f>IF('Marcación Workera'!B1588="","",UPPER(SUBSTITUTE('Marcación Workera'!B1588,".","")))</f>
        <v/>
      </c>
    </row>
    <row r="1589" spans="2:3" ht="15" customHeight="1" x14ac:dyDescent="0.3">
      <c r="B1589" s="17" t="str">
        <f>IF('Marcación Workera'!G1589="","",INT('Marcación Workera'!G1589))</f>
        <v/>
      </c>
      <c r="C1589" s="18" t="str">
        <f>IF('Marcación Workera'!B1589="","",UPPER(SUBSTITUTE('Marcación Workera'!B1589,".","")))</f>
        <v/>
      </c>
    </row>
    <row r="1590" spans="2:3" ht="15" customHeight="1" x14ac:dyDescent="0.3">
      <c r="B1590" s="17" t="str">
        <f>IF('Marcación Workera'!G1590="","",INT('Marcación Workera'!G1590))</f>
        <v/>
      </c>
      <c r="C1590" s="18" t="str">
        <f>IF('Marcación Workera'!B1590="","",UPPER(SUBSTITUTE('Marcación Workera'!B1590,".","")))</f>
        <v/>
      </c>
    </row>
    <row r="1591" spans="2:3" ht="15" customHeight="1" x14ac:dyDescent="0.3">
      <c r="B1591" s="17" t="str">
        <f>IF('Marcación Workera'!G1591="","",INT('Marcación Workera'!G1591))</f>
        <v/>
      </c>
      <c r="C1591" s="18" t="str">
        <f>IF('Marcación Workera'!B1591="","",UPPER(SUBSTITUTE('Marcación Workera'!B1591,".","")))</f>
        <v/>
      </c>
    </row>
    <row r="1592" spans="2:3" ht="15" customHeight="1" x14ac:dyDescent="0.3">
      <c r="B1592" s="17" t="str">
        <f>IF('Marcación Workera'!G1592="","",INT('Marcación Workera'!G1592))</f>
        <v/>
      </c>
      <c r="C1592" s="18" t="str">
        <f>IF('Marcación Workera'!B1592="","",UPPER(SUBSTITUTE('Marcación Workera'!B1592,".","")))</f>
        <v/>
      </c>
    </row>
    <row r="1593" spans="2:3" ht="15" customHeight="1" x14ac:dyDescent="0.3">
      <c r="B1593" s="17" t="str">
        <f>IF('Marcación Workera'!G1593="","",INT('Marcación Workera'!G1593))</f>
        <v/>
      </c>
      <c r="C1593" s="18" t="str">
        <f>IF('Marcación Workera'!B1593="","",UPPER(SUBSTITUTE('Marcación Workera'!B1593,".","")))</f>
        <v/>
      </c>
    </row>
    <row r="1594" spans="2:3" ht="15" customHeight="1" x14ac:dyDescent="0.3">
      <c r="B1594" s="17" t="str">
        <f>IF('Marcación Workera'!G1594="","",INT('Marcación Workera'!G1594))</f>
        <v/>
      </c>
      <c r="C1594" s="18" t="str">
        <f>IF('Marcación Workera'!B1594="","",UPPER(SUBSTITUTE('Marcación Workera'!B1594,".","")))</f>
        <v/>
      </c>
    </row>
    <row r="1595" spans="2:3" ht="15" customHeight="1" x14ac:dyDescent="0.3">
      <c r="B1595" s="17" t="str">
        <f>IF('Marcación Workera'!G1595="","",INT('Marcación Workera'!G1595))</f>
        <v/>
      </c>
      <c r="C1595" s="18" t="str">
        <f>IF('Marcación Workera'!B1595="","",UPPER(SUBSTITUTE('Marcación Workera'!B1595,".","")))</f>
        <v/>
      </c>
    </row>
    <row r="1596" spans="2:3" ht="15" customHeight="1" x14ac:dyDescent="0.3">
      <c r="B1596" s="17" t="str">
        <f>IF('Marcación Workera'!G1596="","",INT('Marcación Workera'!G1596))</f>
        <v/>
      </c>
      <c r="C1596" s="18" t="str">
        <f>IF('Marcación Workera'!B1596="","",UPPER(SUBSTITUTE('Marcación Workera'!B1596,".","")))</f>
        <v/>
      </c>
    </row>
    <row r="1597" spans="2:3" ht="15" customHeight="1" x14ac:dyDescent="0.3">
      <c r="B1597" s="17" t="str">
        <f>IF('Marcación Workera'!G1597="","",INT('Marcación Workera'!G1597))</f>
        <v/>
      </c>
      <c r="C1597" s="18" t="str">
        <f>IF('Marcación Workera'!B1597="","",UPPER(SUBSTITUTE('Marcación Workera'!B1597,".","")))</f>
        <v/>
      </c>
    </row>
    <row r="1598" spans="2:3" ht="15" customHeight="1" x14ac:dyDescent="0.3">
      <c r="B1598" s="17" t="str">
        <f>IF('Marcación Workera'!G1598="","",INT('Marcación Workera'!G1598))</f>
        <v/>
      </c>
      <c r="C1598" s="18" t="str">
        <f>IF('Marcación Workera'!B1598="","",UPPER(SUBSTITUTE('Marcación Workera'!B1598,".","")))</f>
        <v/>
      </c>
    </row>
    <row r="1599" spans="2:3" ht="15" customHeight="1" x14ac:dyDescent="0.3">
      <c r="B1599" s="17" t="str">
        <f>IF('Marcación Workera'!G1599="","",INT('Marcación Workera'!G1599))</f>
        <v/>
      </c>
      <c r="C1599" s="18" t="str">
        <f>IF('Marcación Workera'!B1599="","",UPPER(SUBSTITUTE('Marcación Workera'!B1599,".","")))</f>
        <v/>
      </c>
    </row>
    <row r="1600" spans="2:3" ht="15" customHeight="1" x14ac:dyDescent="0.3">
      <c r="B1600" s="17" t="str">
        <f>IF('Marcación Workera'!G1600="","",INT('Marcación Workera'!G1600))</f>
        <v/>
      </c>
      <c r="C1600" s="18" t="str">
        <f>IF('Marcación Workera'!B1600="","",UPPER(SUBSTITUTE('Marcación Workera'!B1600,".","")))</f>
        <v/>
      </c>
    </row>
    <row r="1601" spans="2:3" ht="15" customHeight="1" x14ac:dyDescent="0.3">
      <c r="B1601" s="17" t="str">
        <f>IF('Marcación Workera'!G1601="","",INT('Marcación Workera'!G1601))</f>
        <v/>
      </c>
      <c r="C1601" s="18" t="str">
        <f>IF('Marcación Workera'!B1601="","",UPPER(SUBSTITUTE('Marcación Workera'!B1601,".","")))</f>
        <v/>
      </c>
    </row>
    <row r="1602" spans="2:3" ht="15" customHeight="1" x14ac:dyDescent="0.3">
      <c r="B1602" s="17" t="str">
        <f>IF('Marcación Workera'!G1602="","",INT('Marcación Workera'!G1602))</f>
        <v/>
      </c>
      <c r="C1602" s="18" t="str">
        <f>IF('Marcación Workera'!B1602="","",UPPER(SUBSTITUTE('Marcación Workera'!B1602,".","")))</f>
        <v/>
      </c>
    </row>
    <row r="1603" spans="2:3" ht="15" customHeight="1" x14ac:dyDescent="0.3">
      <c r="B1603" s="17" t="str">
        <f>IF('Marcación Workera'!G1603="","",INT('Marcación Workera'!G1603))</f>
        <v/>
      </c>
      <c r="C1603" s="18" t="str">
        <f>IF('Marcación Workera'!B1603="","",UPPER(SUBSTITUTE('Marcación Workera'!B1603,".","")))</f>
        <v/>
      </c>
    </row>
    <row r="1604" spans="2:3" ht="15" customHeight="1" x14ac:dyDescent="0.3">
      <c r="B1604" s="17" t="str">
        <f>IF('Marcación Workera'!G1604="","",INT('Marcación Workera'!G1604))</f>
        <v/>
      </c>
      <c r="C1604" s="18" t="str">
        <f>IF('Marcación Workera'!B1604="","",UPPER(SUBSTITUTE('Marcación Workera'!B1604,".","")))</f>
        <v/>
      </c>
    </row>
    <row r="1605" spans="2:3" ht="15" customHeight="1" x14ac:dyDescent="0.3">
      <c r="B1605" s="17" t="str">
        <f>IF('Marcación Workera'!G1605="","",INT('Marcación Workera'!G1605))</f>
        <v/>
      </c>
      <c r="C1605" s="18" t="str">
        <f>IF('Marcación Workera'!B1605="","",UPPER(SUBSTITUTE('Marcación Workera'!B1605,".","")))</f>
        <v/>
      </c>
    </row>
    <row r="1606" spans="2:3" ht="15" customHeight="1" x14ac:dyDescent="0.3">
      <c r="B1606" s="17" t="str">
        <f>IF('Marcación Workera'!G1606="","",INT('Marcación Workera'!G1606))</f>
        <v/>
      </c>
      <c r="C1606" s="18" t="str">
        <f>IF('Marcación Workera'!B1606="","",UPPER(SUBSTITUTE('Marcación Workera'!B1606,".","")))</f>
        <v/>
      </c>
    </row>
    <row r="1607" spans="2:3" ht="15" customHeight="1" x14ac:dyDescent="0.3">
      <c r="B1607" s="17" t="str">
        <f>IF('Marcación Workera'!G1607="","",INT('Marcación Workera'!G1607))</f>
        <v/>
      </c>
      <c r="C1607" s="18" t="str">
        <f>IF('Marcación Workera'!B1607="","",UPPER(SUBSTITUTE('Marcación Workera'!B1607,".","")))</f>
        <v/>
      </c>
    </row>
    <row r="1608" spans="2:3" ht="15" customHeight="1" x14ac:dyDescent="0.3">
      <c r="B1608" s="17" t="str">
        <f>IF('Marcación Workera'!G1608="","",INT('Marcación Workera'!G1608))</f>
        <v/>
      </c>
      <c r="C1608" s="18" t="str">
        <f>IF('Marcación Workera'!B1608="","",UPPER(SUBSTITUTE('Marcación Workera'!B1608,".","")))</f>
        <v/>
      </c>
    </row>
    <row r="1609" spans="2:3" ht="15" customHeight="1" x14ac:dyDescent="0.3">
      <c r="B1609" s="17" t="str">
        <f>IF('Marcación Workera'!G1609="","",INT('Marcación Workera'!G1609))</f>
        <v/>
      </c>
      <c r="C1609" s="18" t="str">
        <f>IF('Marcación Workera'!B1609="","",UPPER(SUBSTITUTE('Marcación Workera'!B1609,".","")))</f>
        <v/>
      </c>
    </row>
    <row r="1610" spans="2:3" ht="15" customHeight="1" x14ac:dyDescent="0.3">
      <c r="B1610" s="17" t="str">
        <f>IF('Marcación Workera'!G1610="","",INT('Marcación Workera'!G1610))</f>
        <v/>
      </c>
      <c r="C1610" s="18" t="str">
        <f>IF('Marcación Workera'!B1610="","",UPPER(SUBSTITUTE('Marcación Workera'!B1610,".","")))</f>
        <v/>
      </c>
    </row>
    <row r="1611" spans="2:3" ht="15" customHeight="1" x14ac:dyDescent="0.3">
      <c r="B1611" s="17" t="str">
        <f>IF('Marcación Workera'!G1611="","",INT('Marcación Workera'!G1611))</f>
        <v/>
      </c>
      <c r="C1611" s="18" t="str">
        <f>IF('Marcación Workera'!B1611="","",UPPER(SUBSTITUTE('Marcación Workera'!B1611,".","")))</f>
        <v/>
      </c>
    </row>
    <row r="1612" spans="2:3" ht="15" customHeight="1" x14ac:dyDescent="0.3">
      <c r="B1612" s="17" t="str">
        <f>IF('Marcación Workera'!G1612="","",INT('Marcación Workera'!G1612))</f>
        <v/>
      </c>
      <c r="C1612" s="18" t="str">
        <f>IF('Marcación Workera'!B1612="","",UPPER(SUBSTITUTE('Marcación Workera'!B1612,".","")))</f>
        <v/>
      </c>
    </row>
    <row r="1613" spans="2:3" ht="15" customHeight="1" x14ac:dyDescent="0.3">
      <c r="B1613" s="17" t="str">
        <f>IF('Marcación Workera'!G1613="","",INT('Marcación Workera'!G1613))</f>
        <v/>
      </c>
      <c r="C1613" s="18" t="str">
        <f>IF('Marcación Workera'!B1613="","",UPPER(SUBSTITUTE('Marcación Workera'!B1613,".","")))</f>
        <v/>
      </c>
    </row>
    <row r="1614" spans="2:3" ht="15" customHeight="1" x14ac:dyDescent="0.3">
      <c r="B1614" s="17" t="str">
        <f>IF('Marcación Workera'!G1614="","",INT('Marcación Workera'!G1614))</f>
        <v/>
      </c>
      <c r="C1614" s="18" t="str">
        <f>IF('Marcación Workera'!B1614="","",UPPER(SUBSTITUTE('Marcación Workera'!B1614,".","")))</f>
        <v/>
      </c>
    </row>
    <row r="1615" spans="2:3" ht="15" customHeight="1" x14ac:dyDescent="0.3">
      <c r="B1615" s="17" t="str">
        <f>IF('Marcación Workera'!G1615="","",INT('Marcación Workera'!G1615))</f>
        <v/>
      </c>
      <c r="C1615" s="18" t="str">
        <f>IF('Marcación Workera'!B1615="","",UPPER(SUBSTITUTE('Marcación Workera'!B1615,".","")))</f>
        <v/>
      </c>
    </row>
    <row r="1616" spans="2:3" ht="15" customHeight="1" x14ac:dyDescent="0.3">
      <c r="B1616" s="17" t="str">
        <f>IF('Marcación Workera'!G1616="","",INT('Marcación Workera'!G1616))</f>
        <v/>
      </c>
      <c r="C1616" s="18" t="str">
        <f>IF('Marcación Workera'!B1616="","",UPPER(SUBSTITUTE('Marcación Workera'!B1616,".","")))</f>
        <v/>
      </c>
    </row>
    <row r="1617" spans="2:3" ht="15" customHeight="1" x14ac:dyDescent="0.3">
      <c r="B1617" s="17" t="str">
        <f>IF('Marcación Workera'!G1617="","",INT('Marcación Workera'!G1617))</f>
        <v/>
      </c>
      <c r="C1617" s="18" t="str">
        <f>IF('Marcación Workera'!B1617="","",UPPER(SUBSTITUTE('Marcación Workera'!B1617,".","")))</f>
        <v/>
      </c>
    </row>
    <row r="1618" spans="2:3" ht="15" customHeight="1" x14ac:dyDescent="0.3">
      <c r="B1618" s="17" t="str">
        <f>IF('Marcación Workera'!G1618="","",INT('Marcación Workera'!G1618))</f>
        <v/>
      </c>
      <c r="C1618" s="18" t="str">
        <f>IF('Marcación Workera'!B1618="","",UPPER(SUBSTITUTE('Marcación Workera'!B1618,".","")))</f>
        <v/>
      </c>
    </row>
    <row r="1619" spans="2:3" ht="15" customHeight="1" x14ac:dyDescent="0.3">
      <c r="B1619" s="17" t="str">
        <f>IF('Marcación Workera'!G1619="","",INT('Marcación Workera'!G1619))</f>
        <v/>
      </c>
      <c r="C1619" s="18" t="str">
        <f>IF('Marcación Workera'!B1619="","",UPPER(SUBSTITUTE('Marcación Workera'!B1619,".","")))</f>
        <v/>
      </c>
    </row>
    <row r="1620" spans="2:3" ht="15" customHeight="1" x14ac:dyDescent="0.3">
      <c r="B1620" s="17" t="str">
        <f>IF('Marcación Workera'!G1620="","",INT('Marcación Workera'!G1620))</f>
        <v/>
      </c>
      <c r="C1620" s="18" t="str">
        <f>IF('Marcación Workera'!B1620="","",UPPER(SUBSTITUTE('Marcación Workera'!B1620,".","")))</f>
        <v/>
      </c>
    </row>
    <row r="1621" spans="2:3" ht="15" customHeight="1" x14ac:dyDescent="0.3">
      <c r="B1621" s="17" t="str">
        <f>IF('Marcación Workera'!G1621="","",INT('Marcación Workera'!G1621))</f>
        <v/>
      </c>
      <c r="C1621" s="18" t="str">
        <f>IF('Marcación Workera'!B1621="","",UPPER(SUBSTITUTE('Marcación Workera'!B1621,".","")))</f>
        <v/>
      </c>
    </row>
    <row r="1622" spans="2:3" ht="15" customHeight="1" x14ac:dyDescent="0.3">
      <c r="B1622" s="17" t="str">
        <f>IF('Marcación Workera'!G1622="","",INT('Marcación Workera'!G1622))</f>
        <v/>
      </c>
      <c r="C1622" s="18" t="str">
        <f>IF('Marcación Workera'!B1622="","",UPPER(SUBSTITUTE('Marcación Workera'!B1622,".","")))</f>
        <v/>
      </c>
    </row>
    <row r="1623" spans="2:3" ht="15" customHeight="1" x14ac:dyDescent="0.3">
      <c r="B1623" s="17" t="str">
        <f>IF('Marcación Workera'!G1623="","",INT('Marcación Workera'!G1623))</f>
        <v/>
      </c>
      <c r="C1623" s="18" t="str">
        <f>IF('Marcación Workera'!B1623="","",UPPER(SUBSTITUTE('Marcación Workera'!B1623,".","")))</f>
        <v/>
      </c>
    </row>
    <row r="1624" spans="2:3" ht="15" customHeight="1" x14ac:dyDescent="0.3">
      <c r="B1624" s="17" t="str">
        <f>IF('Marcación Workera'!G1624="","",INT('Marcación Workera'!G1624))</f>
        <v/>
      </c>
      <c r="C1624" s="18" t="str">
        <f>IF('Marcación Workera'!B1624="","",UPPER(SUBSTITUTE('Marcación Workera'!B1624,".","")))</f>
        <v/>
      </c>
    </row>
    <row r="1625" spans="2:3" ht="15" customHeight="1" x14ac:dyDescent="0.3">
      <c r="B1625" s="17" t="str">
        <f>IF('Marcación Workera'!G1625="","",INT('Marcación Workera'!G1625))</f>
        <v/>
      </c>
      <c r="C1625" s="18" t="str">
        <f>IF('Marcación Workera'!B1625="","",UPPER(SUBSTITUTE('Marcación Workera'!B1625,".","")))</f>
        <v/>
      </c>
    </row>
    <row r="1626" spans="2:3" ht="15" customHeight="1" x14ac:dyDescent="0.3">
      <c r="B1626" s="17" t="str">
        <f>IF('Marcación Workera'!G1626="","",INT('Marcación Workera'!G1626))</f>
        <v/>
      </c>
      <c r="C1626" s="18" t="str">
        <f>IF('Marcación Workera'!B1626="","",UPPER(SUBSTITUTE('Marcación Workera'!B1626,".","")))</f>
        <v/>
      </c>
    </row>
    <row r="1627" spans="2:3" ht="15" customHeight="1" x14ac:dyDescent="0.3">
      <c r="B1627" s="17" t="str">
        <f>IF('Marcación Workera'!G1627="","",INT('Marcación Workera'!G1627))</f>
        <v/>
      </c>
      <c r="C1627" s="18" t="str">
        <f>IF('Marcación Workera'!B1627="","",UPPER(SUBSTITUTE('Marcación Workera'!B1627,".","")))</f>
        <v/>
      </c>
    </row>
    <row r="1628" spans="2:3" ht="15" customHeight="1" x14ac:dyDescent="0.3">
      <c r="B1628" s="17" t="str">
        <f>IF('Marcación Workera'!G1628="","",INT('Marcación Workera'!G1628))</f>
        <v/>
      </c>
      <c r="C1628" s="18" t="str">
        <f>IF('Marcación Workera'!B1628="","",UPPER(SUBSTITUTE('Marcación Workera'!B1628,".","")))</f>
        <v/>
      </c>
    </row>
    <row r="1629" spans="2:3" ht="15" customHeight="1" x14ac:dyDescent="0.3">
      <c r="B1629" s="17" t="str">
        <f>IF('Marcación Workera'!G1629="","",INT('Marcación Workera'!G1629))</f>
        <v/>
      </c>
      <c r="C1629" s="18" t="str">
        <f>IF('Marcación Workera'!B1629="","",UPPER(SUBSTITUTE('Marcación Workera'!B1629,".","")))</f>
        <v/>
      </c>
    </row>
    <row r="1630" spans="2:3" ht="15" customHeight="1" x14ac:dyDescent="0.3">
      <c r="B1630" s="17" t="str">
        <f>IF('Marcación Workera'!G1630="","",INT('Marcación Workera'!G1630))</f>
        <v/>
      </c>
      <c r="C1630" s="18" t="str">
        <f>IF('Marcación Workera'!B1630="","",UPPER(SUBSTITUTE('Marcación Workera'!B1630,".","")))</f>
        <v/>
      </c>
    </row>
    <row r="1631" spans="2:3" ht="15" customHeight="1" x14ac:dyDescent="0.3">
      <c r="B1631" s="17" t="str">
        <f>IF('Marcación Workera'!G1631="","",INT('Marcación Workera'!G1631))</f>
        <v/>
      </c>
      <c r="C1631" s="18" t="str">
        <f>IF('Marcación Workera'!B1631="","",UPPER(SUBSTITUTE('Marcación Workera'!B1631,".","")))</f>
        <v/>
      </c>
    </row>
    <row r="1632" spans="2:3" ht="15" customHeight="1" x14ac:dyDescent="0.3">
      <c r="B1632" s="17" t="str">
        <f>IF('Marcación Workera'!G1632="","",INT('Marcación Workera'!G1632))</f>
        <v/>
      </c>
      <c r="C1632" s="18" t="str">
        <f>IF('Marcación Workera'!B1632="","",UPPER(SUBSTITUTE('Marcación Workera'!B1632,".","")))</f>
        <v/>
      </c>
    </row>
    <row r="1633" spans="2:3" ht="15" customHeight="1" x14ac:dyDescent="0.3">
      <c r="B1633" s="17" t="str">
        <f>IF('Marcación Workera'!G1633="","",INT('Marcación Workera'!G1633))</f>
        <v/>
      </c>
      <c r="C1633" s="18" t="str">
        <f>IF('Marcación Workera'!B1633="","",UPPER(SUBSTITUTE('Marcación Workera'!B1633,".","")))</f>
        <v/>
      </c>
    </row>
    <row r="1634" spans="2:3" ht="15" customHeight="1" x14ac:dyDescent="0.3">
      <c r="B1634" s="17" t="str">
        <f>IF('Marcación Workera'!G1634="","",INT('Marcación Workera'!G1634))</f>
        <v/>
      </c>
      <c r="C1634" s="18" t="str">
        <f>IF('Marcación Workera'!B1634="","",UPPER(SUBSTITUTE('Marcación Workera'!B1634,".","")))</f>
        <v/>
      </c>
    </row>
    <row r="1635" spans="2:3" ht="15" customHeight="1" x14ac:dyDescent="0.3">
      <c r="B1635" s="17" t="str">
        <f>IF('Marcación Workera'!G1635="","",INT('Marcación Workera'!G1635))</f>
        <v/>
      </c>
      <c r="C1635" s="18" t="str">
        <f>IF('Marcación Workera'!B1635="","",UPPER(SUBSTITUTE('Marcación Workera'!B1635,".","")))</f>
        <v/>
      </c>
    </row>
    <row r="1636" spans="2:3" ht="15" customHeight="1" x14ac:dyDescent="0.3">
      <c r="B1636" s="17" t="str">
        <f>IF('Marcación Workera'!G1636="","",INT('Marcación Workera'!G1636))</f>
        <v/>
      </c>
      <c r="C1636" s="18" t="str">
        <f>IF('Marcación Workera'!B1636="","",UPPER(SUBSTITUTE('Marcación Workera'!B1636,".","")))</f>
        <v/>
      </c>
    </row>
    <row r="1637" spans="2:3" ht="15" customHeight="1" x14ac:dyDescent="0.3">
      <c r="B1637" s="17" t="str">
        <f>IF('Marcación Workera'!G1637="","",INT('Marcación Workera'!G1637))</f>
        <v/>
      </c>
      <c r="C1637" s="18" t="str">
        <f>IF('Marcación Workera'!B1637="","",UPPER(SUBSTITUTE('Marcación Workera'!B1637,".","")))</f>
        <v/>
      </c>
    </row>
    <row r="1638" spans="2:3" ht="15" customHeight="1" x14ac:dyDescent="0.3">
      <c r="B1638" s="17" t="str">
        <f>IF('Marcación Workera'!G1638="","",INT('Marcación Workera'!G1638))</f>
        <v/>
      </c>
      <c r="C1638" s="18" t="str">
        <f>IF('Marcación Workera'!B1638="","",UPPER(SUBSTITUTE('Marcación Workera'!B1638,".","")))</f>
        <v/>
      </c>
    </row>
    <row r="1639" spans="2:3" ht="15" customHeight="1" x14ac:dyDescent="0.3">
      <c r="B1639" s="17" t="str">
        <f>IF('Marcación Workera'!G1639="","",INT('Marcación Workera'!G1639))</f>
        <v/>
      </c>
      <c r="C1639" s="18" t="str">
        <f>IF('Marcación Workera'!B1639="","",UPPER(SUBSTITUTE('Marcación Workera'!B1639,".","")))</f>
        <v/>
      </c>
    </row>
    <row r="1640" spans="2:3" ht="15" customHeight="1" x14ac:dyDescent="0.3">
      <c r="B1640" s="17" t="str">
        <f>IF('Marcación Workera'!G1640="","",INT('Marcación Workera'!G1640))</f>
        <v/>
      </c>
      <c r="C1640" s="18" t="str">
        <f>IF('Marcación Workera'!B1640="","",UPPER(SUBSTITUTE('Marcación Workera'!B1640,".","")))</f>
        <v/>
      </c>
    </row>
    <row r="1641" spans="2:3" ht="15" customHeight="1" x14ac:dyDescent="0.3">
      <c r="B1641" s="17" t="str">
        <f>IF('Marcación Workera'!G1641="","",INT('Marcación Workera'!G1641))</f>
        <v/>
      </c>
      <c r="C1641" s="18" t="str">
        <f>IF('Marcación Workera'!B1641="","",UPPER(SUBSTITUTE('Marcación Workera'!B1641,".","")))</f>
        <v/>
      </c>
    </row>
    <row r="1642" spans="2:3" ht="15" customHeight="1" x14ac:dyDescent="0.3">
      <c r="B1642" s="17" t="str">
        <f>IF('Marcación Workera'!G1642="","",INT('Marcación Workera'!G1642))</f>
        <v/>
      </c>
      <c r="C1642" s="18" t="str">
        <f>IF('Marcación Workera'!B1642="","",UPPER(SUBSTITUTE('Marcación Workera'!B1642,".","")))</f>
        <v/>
      </c>
    </row>
    <row r="1643" spans="2:3" ht="15" customHeight="1" x14ac:dyDescent="0.3">
      <c r="B1643" s="17" t="str">
        <f>IF('Marcación Workera'!G1643="","",INT('Marcación Workera'!G1643))</f>
        <v/>
      </c>
      <c r="C1643" s="18" t="str">
        <f>IF('Marcación Workera'!B1643="","",UPPER(SUBSTITUTE('Marcación Workera'!B1643,".","")))</f>
        <v/>
      </c>
    </row>
    <row r="1644" spans="2:3" ht="15" customHeight="1" x14ac:dyDescent="0.3">
      <c r="B1644" s="17" t="str">
        <f>IF('Marcación Workera'!G1644="","",INT('Marcación Workera'!G1644))</f>
        <v/>
      </c>
      <c r="C1644" s="18" t="str">
        <f>IF('Marcación Workera'!B1644="","",UPPER(SUBSTITUTE('Marcación Workera'!B1644,".","")))</f>
        <v/>
      </c>
    </row>
    <row r="1645" spans="2:3" ht="15" customHeight="1" x14ac:dyDescent="0.3">
      <c r="B1645" s="17" t="str">
        <f>IF('Marcación Workera'!G1645="","",INT('Marcación Workera'!G1645))</f>
        <v/>
      </c>
      <c r="C1645" s="18" t="str">
        <f>IF('Marcación Workera'!B1645="","",UPPER(SUBSTITUTE('Marcación Workera'!B1645,".","")))</f>
        <v/>
      </c>
    </row>
    <row r="1646" spans="2:3" ht="15" customHeight="1" x14ac:dyDescent="0.3">
      <c r="B1646" s="17" t="str">
        <f>IF('Marcación Workera'!G1646="","",INT('Marcación Workera'!G1646))</f>
        <v/>
      </c>
      <c r="C1646" s="18" t="str">
        <f>IF('Marcación Workera'!B1646="","",UPPER(SUBSTITUTE('Marcación Workera'!B1646,".","")))</f>
        <v/>
      </c>
    </row>
    <row r="1647" spans="2:3" ht="15" customHeight="1" x14ac:dyDescent="0.3">
      <c r="B1647" s="17" t="str">
        <f>IF('Marcación Workera'!G1647="","",INT('Marcación Workera'!G1647))</f>
        <v/>
      </c>
      <c r="C1647" s="18" t="str">
        <f>IF('Marcación Workera'!B1647="","",UPPER(SUBSTITUTE('Marcación Workera'!B1647,".","")))</f>
        <v/>
      </c>
    </row>
    <row r="1648" spans="2:3" ht="15" customHeight="1" x14ac:dyDescent="0.3">
      <c r="B1648" s="17" t="str">
        <f>IF('Marcación Workera'!G1648="","",INT('Marcación Workera'!G1648))</f>
        <v/>
      </c>
      <c r="C1648" s="18" t="str">
        <f>IF('Marcación Workera'!B1648="","",UPPER(SUBSTITUTE('Marcación Workera'!B1648,".","")))</f>
        <v/>
      </c>
    </row>
    <row r="1649" spans="2:3" ht="15" customHeight="1" x14ac:dyDescent="0.3">
      <c r="B1649" s="17" t="str">
        <f>IF('Marcación Workera'!G1649="","",INT('Marcación Workera'!G1649))</f>
        <v/>
      </c>
      <c r="C1649" s="18" t="str">
        <f>IF('Marcación Workera'!B1649="","",UPPER(SUBSTITUTE('Marcación Workera'!B1649,".","")))</f>
        <v/>
      </c>
    </row>
    <row r="1650" spans="2:3" ht="15" customHeight="1" x14ac:dyDescent="0.3">
      <c r="B1650" s="17" t="str">
        <f>IF('Marcación Workera'!G1650="","",INT('Marcación Workera'!G1650))</f>
        <v/>
      </c>
      <c r="C1650" s="18" t="str">
        <f>IF('Marcación Workera'!B1650="","",UPPER(SUBSTITUTE('Marcación Workera'!B1650,".","")))</f>
        <v/>
      </c>
    </row>
    <row r="1651" spans="2:3" ht="15" customHeight="1" x14ac:dyDescent="0.3">
      <c r="B1651" s="17" t="str">
        <f>IF('Marcación Workera'!G1651="","",INT('Marcación Workera'!G1651))</f>
        <v/>
      </c>
      <c r="C1651" s="18" t="str">
        <f>IF('Marcación Workera'!B1651="","",UPPER(SUBSTITUTE('Marcación Workera'!B1651,".","")))</f>
        <v/>
      </c>
    </row>
    <row r="1652" spans="2:3" ht="15" customHeight="1" x14ac:dyDescent="0.3">
      <c r="B1652" s="17" t="str">
        <f>IF('Marcación Workera'!G1652="","",INT('Marcación Workera'!G1652))</f>
        <v/>
      </c>
      <c r="C1652" s="18" t="str">
        <f>IF('Marcación Workera'!B1652="","",UPPER(SUBSTITUTE('Marcación Workera'!B1652,".","")))</f>
        <v/>
      </c>
    </row>
    <row r="1653" spans="2:3" ht="15" customHeight="1" x14ac:dyDescent="0.3">
      <c r="B1653" s="17" t="str">
        <f>IF('Marcación Workera'!G1653="","",INT('Marcación Workera'!G1653))</f>
        <v/>
      </c>
      <c r="C1653" s="18" t="str">
        <f>IF('Marcación Workera'!B1653="","",UPPER(SUBSTITUTE('Marcación Workera'!B1653,".","")))</f>
        <v/>
      </c>
    </row>
    <row r="1654" spans="2:3" ht="15" customHeight="1" x14ac:dyDescent="0.3">
      <c r="B1654" s="17" t="str">
        <f>IF('Marcación Workera'!G1654="","",INT('Marcación Workera'!G1654))</f>
        <v/>
      </c>
      <c r="C1654" s="18" t="str">
        <f>IF('Marcación Workera'!B1654="","",UPPER(SUBSTITUTE('Marcación Workera'!B1654,".","")))</f>
        <v/>
      </c>
    </row>
    <row r="1655" spans="2:3" ht="15" customHeight="1" x14ac:dyDescent="0.3">
      <c r="B1655" s="17" t="str">
        <f>IF('Marcación Workera'!G1655="","",INT('Marcación Workera'!G1655))</f>
        <v/>
      </c>
      <c r="C1655" s="18" t="str">
        <f>IF('Marcación Workera'!B1655="","",UPPER(SUBSTITUTE('Marcación Workera'!B1655,".","")))</f>
        <v/>
      </c>
    </row>
    <row r="1656" spans="2:3" ht="15" customHeight="1" x14ac:dyDescent="0.3">
      <c r="B1656" s="17" t="str">
        <f>IF('Marcación Workera'!G1656="","",INT('Marcación Workera'!G1656))</f>
        <v/>
      </c>
      <c r="C1656" s="18" t="str">
        <f>IF('Marcación Workera'!B1656="","",UPPER(SUBSTITUTE('Marcación Workera'!B1656,".","")))</f>
        <v/>
      </c>
    </row>
    <row r="1657" spans="2:3" ht="15" customHeight="1" x14ac:dyDescent="0.3">
      <c r="B1657" s="17" t="str">
        <f>IF('Marcación Workera'!G1657="","",INT('Marcación Workera'!G1657))</f>
        <v/>
      </c>
      <c r="C1657" s="18" t="str">
        <f>IF('Marcación Workera'!B1657="","",UPPER(SUBSTITUTE('Marcación Workera'!B1657,".","")))</f>
        <v/>
      </c>
    </row>
    <row r="1658" spans="2:3" ht="15" customHeight="1" x14ac:dyDescent="0.3">
      <c r="B1658" s="17" t="str">
        <f>IF('Marcación Workera'!G1658="","",INT('Marcación Workera'!G1658))</f>
        <v/>
      </c>
      <c r="C1658" s="18" t="str">
        <f>IF('Marcación Workera'!B1658="","",UPPER(SUBSTITUTE('Marcación Workera'!B1658,".","")))</f>
        <v/>
      </c>
    </row>
    <row r="1659" spans="2:3" ht="15" customHeight="1" x14ac:dyDescent="0.3">
      <c r="B1659" s="17" t="str">
        <f>IF('Marcación Workera'!G1659="","",INT('Marcación Workera'!G1659))</f>
        <v/>
      </c>
      <c r="C1659" s="18" t="str">
        <f>IF('Marcación Workera'!B1659="","",UPPER(SUBSTITUTE('Marcación Workera'!B1659,".","")))</f>
        <v/>
      </c>
    </row>
    <row r="1660" spans="2:3" ht="15" customHeight="1" x14ac:dyDescent="0.3">
      <c r="B1660" s="17" t="str">
        <f>IF('Marcación Workera'!G1660="","",INT('Marcación Workera'!G1660))</f>
        <v/>
      </c>
      <c r="C1660" s="18" t="str">
        <f>IF('Marcación Workera'!B1660="","",UPPER(SUBSTITUTE('Marcación Workera'!B1660,".","")))</f>
        <v/>
      </c>
    </row>
    <row r="1661" spans="2:3" ht="15" customHeight="1" x14ac:dyDescent="0.3">
      <c r="B1661" s="17" t="str">
        <f>IF('Marcación Workera'!G1661="","",INT('Marcación Workera'!G1661))</f>
        <v/>
      </c>
      <c r="C1661" s="18" t="str">
        <f>IF('Marcación Workera'!B1661="","",UPPER(SUBSTITUTE('Marcación Workera'!B1661,".","")))</f>
        <v/>
      </c>
    </row>
    <row r="1662" spans="2:3" ht="15" customHeight="1" x14ac:dyDescent="0.3">
      <c r="B1662" s="17" t="str">
        <f>IF('Marcación Workera'!G1662="","",INT('Marcación Workera'!G1662))</f>
        <v/>
      </c>
      <c r="C1662" s="18" t="str">
        <f>IF('Marcación Workera'!B1662="","",UPPER(SUBSTITUTE('Marcación Workera'!B1662,".","")))</f>
        <v/>
      </c>
    </row>
    <row r="1663" spans="2:3" ht="15" customHeight="1" x14ac:dyDescent="0.3">
      <c r="B1663" s="17" t="str">
        <f>IF('Marcación Workera'!G1663="","",INT('Marcación Workera'!G1663))</f>
        <v/>
      </c>
      <c r="C1663" s="18" t="str">
        <f>IF('Marcación Workera'!B1663="","",UPPER(SUBSTITUTE('Marcación Workera'!B1663,".","")))</f>
        <v/>
      </c>
    </row>
    <row r="1664" spans="2:3" ht="15" customHeight="1" x14ac:dyDescent="0.3">
      <c r="B1664" s="17" t="str">
        <f>IF('Marcación Workera'!G1664="","",INT('Marcación Workera'!G1664))</f>
        <v/>
      </c>
      <c r="C1664" s="18" t="str">
        <f>IF('Marcación Workera'!B1664="","",UPPER(SUBSTITUTE('Marcación Workera'!B1664,".","")))</f>
        <v/>
      </c>
    </row>
    <row r="1665" spans="2:3" ht="15" customHeight="1" x14ac:dyDescent="0.3">
      <c r="B1665" s="17" t="str">
        <f>IF('Marcación Workera'!G1665="","",INT('Marcación Workera'!G1665))</f>
        <v/>
      </c>
      <c r="C1665" s="18" t="str">
        <f>IF('Marcación Workera'!B1665="","",UPPER(SUBSTITUTE('Marcación Workera'!B1665,".","")))</f>
        <v/>
      </c>
    </row>
    <row r="1666" spans="2:3" ht="15" customHeight="1" x14ac:dyDescent="0.3">
      <c r="B1666" s="17" t="str">
        <f>IF('Marcación Workera'!G1666="","",INT('Marcación Workera'!G1666))</f>
        <v/>
      </c>
      <c r="C1666" s="18" t="str">
        <f>IF('Marcación Workera'!B1666="","",UPPER(SUBSTITUTE('Marcación Workera'!B1666,".","")))</f>
        <v/>
      </c>
    </row>
    <row r="1667" spans="2:3" ht="15" customHeight="1" x14ac:dyDescent="0.3">
      <c r="B1667" s="17" t="str">
        <f>IF('Marcación Workera'!G1667="","",INT('Marcación Workera'!G1667))</f>
        <v/>
      </c>
      <c r="C1667" s="18" t="str">
        <f>IF('Marcación Workera'!B1667="","",UPPER(SUBSTITUTE('Marcación Workera'!B1667,".","")))</f>
        <v/>
      </c>
    </row>
    <row r="1668" spans="2:3" ht="15" customHeight="1" x14ac:dyDescent="0.3">
      <c r="B1668" s="17" t="str">
        <f>IF('Marcación Workera'!G1668="","",INT('Marcación Workera'!G1668))</f>
        <v/>
      </c>
      <c r="C1668" s="18" t="str">
        <f>IF('Marcación Workera'!B1668="","",UPPER(SUBSTITUTE('Marcación Workera'!B1668,".","")))</f>
        <v/>
      </c>
    </row>
    <row r="1669" spans="2:3" ht="15" customHeight="1" x14ac:dyDescent="0.3">
      <c r="B1669" s="17" t="str">
        <f>IF('Marcación Workera'!G1669="","",INT('Marcación Workera'!G1669))</f>
        <v/>
      </c>
      <c r="C1669" s="18" t="str">
        <f>IF('Marcación Workera'!B1669="","",UPPER(SUBSTITUTE('Marcación Workera'!B1669,".","")))</f>
        <v/>
      </c>
    </row>
    <row r="1670" spans="2:3" ht="15" customHeight="1" x14ac:dyDescent="0.3">
      <c r="B1670" s="17" t="str">
        <f>IF('Marcación Workera'!G1670="","",INT('Marcación Workera'!G1670))</f>
        <v/>
      </c>
      <c r="C1670" s="18" t="str">
        <f>IF('Marcación Workera'!B1670="","",UPPER(SUBSTITUTE('Marcación Workera'!B1670,".","")))</f>
        <v/>
      </c>
    </row>
    <row r="1671" spans="2:3" ht="15" customHeight="1" x14ac:dyDescent="0.3">
      <c r="B1671" s="17" t="str">
        <f>IF('Marcación Workera'!G1671="","",INT('Marcación Workera'!G1671))</f>
        <v/>
      </c>
      <c r="C1671" s="18" t="str">
        <f>IF('Marcación Workera'!B1671="","",UPPER(SUBSTITUTE('Marcación Workera'!B1671,".","")))</f>
        <v/>
      </c>
    </row>
    <row r="1672" spans="2:3" ht="15" customHeight="1" x14ac:dyDescent="0.3">
      <c r="B1672" s="17" t="str">
        <f>IF('Marcación Workera'!G1672="","",INT('Marcación Workera'!G1672))</f>
        <v/>
      </c>
      <c r="C1672" s="18" t="str">
        <f>IF('Marcación Workera'!B1672="","",UPPER(SUBSTITUTE('Marcación Workera'!B1672,".","")))</f>
        <v/>
      </c>
    </row>
    <row r="1673" spans="2:3" ht="15" customHeight="1" x14ac:dyDescent="0.3">
      <c r="B1673" s="17" t="str">
        <f>IF('Marcación Workera'!G1673="","",INT('Marcación Workera'!G1673))</f>
        <v/>
      </c>
      <c r="C1673" s="18" t="str">
        <f>IF('Marcación Workera'!B1673="","",UPPER(SUBSTITUTE('Marcación Workera'!B1673,".","")))</f>
        <v/>
      </c>
    </row>
    <row r="1674" spans="2:3" ht="15" customHeight="1" x14ac:dyDescent="0.3">
      <c r="B1674" s="17" t="str">
        <f>IF('Marcación Workera'!G1674="","",INT('Marcación Workera'!G1674))</f>
        <v/>
      </c>
      <c r="C1674" s="18" t="str">
        <f>IF('Marcación Workera'!B1674="","",UPPER(SUBSTITUTE('Marcación Workera'!B1674,".","")))</f>
        <v/>
      </c>
    </row>
    <row r="1675" spans="2:3" ht="15" customHeight="1" x14ac:dyDescent="0.3">
      <c r="B1675" s="17" t="str">
        <f>IF('Marcación Workera'!G1675="","",INT('Marcación Workera'!G1675))</f>
        <v/>
      </c>
      <c r="C1675" s="18" t="str">
        <f>IF('Marcación Workera'!B1675="","",UPPER(SUBSTITUTE('Marcación Workera'!B1675,".","")))</f>
        <v/>
      </c>
    </row>
    <row r="1676" spans="2:3" ht="15" customHeight="1" x14ac:dyDescent="0.3">
      <c r="B1676" s="17" t="str">
        <f>IF('Marcación Workera'!G1676="","",INT('Marcación Workera'!G1676))</f>
        <v/>
      </c>
      <c r="C1676" s="18" t="str">
        <f>IF('Marcación Workera'!B1676="","",UPPER(SUBSTITUTE('Marcación Workera'!B1676,".","")))</f>
        <v/>
      </c>
    </row>
    <row r="1677" spans="2:3" ht="15" customHeight="1" x14ac:dyDescent="0.3">
      <c r="B1677" s="17" t="str">
        <f>IF('Marcación Workera'!G1677="","",INT('Marcación Workera'!G1677))</f>
        <v/>
      </c>
      <c r="C1677" s="18" t="str">
        <f>IF('Marcación Workera'!B1677="","",UPPER(SUBSTITUTE('Marcación Workera'!B1677,".","")))</f>
        <v/>
      </c>
    </row>
    <row r="1678" spans="2:3" ht="15" customHeight="1" x14ac:dyDescent="0.3">
      <c r="B1678" s="17" t="str">
        <f>IF('Marcación Workera'!G1678="","",INT('Marcación Workera'!G1678))</f>
        <v/>
      </c>
      <c r="C1678" s="18" t="str">
        <f>IF('Marcación Workera'!B1678="","",UPPER(SUBSTITUTE('Marcación Workera'!B1678,".","")))</f>
        <v/>
      </c>
    </row>
    <row r="1679" spans="2:3" ht="15" customHeight="1" x14ac:dyDescent="0.3">
      <c r="B1679" s="17" t="str">
        <f>IF('Marcación Workera'!G1679="","",INT('Marcación Workera'!G1679))</f>
        <v/>
      </c>
      <c r="C1679" s="18" t="str">
        <f>IF('Marcación Workera'!B1679="","",UPPER(SUBSTITUTE('Marcación Workera'!B1679,".","")))</f>
        <v/>
      </c>
    </row>
    <row r="1680" spans="2:3" ht="15" customHeight="1" x14ac:dyDescent="0.3">
      <c r="B1680" s="17" t="str">
        <f>IF('Marcación Workera'!G1680="","",INT('Marcación Workera'!G1680))</f>
        <v/>
      </c>
      <c r="C1680" s="18" t="str">
        <f>IF('Marcación Workera'!B1680="","",UPPER(SUBSTITUTE('Marcación Workera'!B1680,".","")))</f>
        <v/>
      </c>
    </row>
    <row r="1681" spans="2:3" ht="15" customHeight="1" x14ac:dyDescent="0.3">
      <c r="B1681" s="17" t="str">
        <f>IF('Marcación Workera'!G1681="","",INT('Marcación Workera'!G1681))</f>
        <v/>
      </c>
      <c r="C1681" s="18" t="str">
        <f>IF('Marcación Workera'!B1681="","",UPPER(SUBSTITUTE('Marcación Workera'!B1681,".","")))</f>
        <v/>
      </c>
    </row>
    <row r="1682" spans="2:3" ht="15" customHeight="1" x14ac:dyDescent="0.3">
      <c r="B1682" s="17" t="str">
        <f>IF('Marcación Workera'!G1682="","",INT('Marcación Workera'!G1682))</f>
        <v/>
      </c>
      <c r="C1682" s="18" t="str">
        <f>IF('Marcación Workera'!B1682="","",UPPER(SUBSTITUTE('Marcación Workera'!B1682,".","")))</f>
        <v/>
      </c>
    </row>
    <row r="1683" spans="2:3" ht="15" customHeight="1" x14ac:dyDescent="0.3">
      <c r="B1683" s="17" t="str">
        <f>IF('Marcación Workera'!G1683="","",INT('Marcación Workera'!G1683))</f>
        <v/>
      </c>
      <c r="C1683" s="18" t="str">
        <f>IF('Marcación Workera'!B1683="","",UPPER(SUBSTITUTE('Marcación Workera'!B1683,".","")))</f>
        <v/>
      </c>
    </row>
    <row r="1684" spans="2:3" ht="15" customHeight="1" x14ac:dyDescent="0.3">
      <c r="B1684" s="17" t="str">
        <f>IF('Marcación Workera'!G1684="","",INT('Marcación Workera'!G1684))</f>
        <v/>
      </c>
      <c r="C1684" s="18" t="str">
        <f>IF('Marcación Workera'!B1684="","",UPPER(SUBSTITUTE('Marcación Workera'!B1684,".","")))</f>
        <v/>
      </c>
    </row>
    <row r="1685" spans="2:3" ht="15" customHeight="1" x14ac:dyDescent="0.3">
      <c r="B1685" s="17" t="str">
        <f>IF('Marcación Workera'!G1685="","",INT('Marcación Workera'!G1685))</f>
        <v/>
      </c>
      <c r="C1685" s="18" t="str">
        <f>IF('Marcación Workera'!B1685="","",UPPER(SUBSTITUTE('Marcación Workera'!B1685,".","")))</f>
        <v/>
      </c>
    </row>
    <row r="1686" spans="2:3" ht="15" customHeight="1" x14ac:dyDescent="0.3">
      <c r="B1686" s="17" t="str">
        <f>IF('Marcación Workera'!G1686="","",INT('Marcación Workera'!G1686))</f>
        <v/>
      </c>
      <c r="C1686" s="18" t="str">
        <f>IF('Marcación Workera'!B1686="","",UPPER(SUBSTITUTE('Marcación Workera'!B1686,".","")))</f>
        <v/>
      </c>
    </row>
    <row r="1687" spans="2:3" ht="15" customHeight="1" x14ac:dyDescent="0.3">
      <c r="B1687" s="17" t="str">
        <f>IF('Marcación Workera'!G1687="","",INT('Marcación Workera'!G1687))</f>
        <v/>
      </c>
      <c r="C1687" s="18" t="str">
        <f>IF('Marcación Workera'!B1687="","",UPPER(SUBSTITUTE('Marcación Workera'!B1687,".","")))</f>
        <v/>
      </c>
    </row>
    <row r="1688" spans="2:3" ht="15" customHeight="1" x14ac:dyDescent="0.3">
      <c r="B1688" s="17" t="str">
        <f>IF('Marcación Workera'!G1688="","",INT('Marcación Workera'!G1688))</f>
        <v/>
      </c>
      <c r="C1688" s="18" t="str">
        <f>IF('Marcación Workera'!B1688="","",UPPER(SUBSTITUTE('Marcación Workera'!B1688,".","")))</f>
        <v/>
      </c>
    </row>
    <row r="1689" spans="2:3" ht="15" customHeight="1" x14ac:dyDescent="0.3">
      <c r="B1689" s="17" t="str">
        <f>IF('Marcación Workera'!G1689="","",INT('Marcación Workera'!G1689))</f>
        <v/>
      </c>
      <c r="C1689" s="18" t="str">
        <f>IF('Marcación Workera'!B1689="","",UPPER(SUBSTITUTE('Marcación Workera'!B1689,".","")))</f>
        <v/>
      </c>
    </row>
    <row r="1690" spans="2:3" ht="15" customHeight="1" x14ac:dyDescent="0.3">
      <c r="B1690" s="17" t="str">
        <f>IF('Marcación Workera'!G1690="","",INT('Marcación Workera'!G1690))</f>
        <v/>
      </c>
      <c r="C1690" s="18" t="str">
        <f>IF('Marcación Workera'!B1690="","",UPPER(SUBSTITUTE('Marcación Workera'!B1690,".","")))</f>
        <v/>
      </c>
    </row>
    <row r="1691" spans="2:3" ht="15" customHeight="1" x14ac:dyDescent="0.3">
      <c r="B1691" s="17" t="str">
        <f>IF('Marcación Workera'!G1691="","",INT('Marcación Workera'!G1691))</f>
        <v/>
      </c>
      <c r="C1691" s="18" t="str">
        <f>IF('Marcación Workera'!B1691="","",UPPER(SUBSTITUTE('Marcación Workera'!B1691,".","")))</f>
        <v/>
      </c>
    </row>
    <row r="1692" spans="2:3" ht="15" customHeight="1" x14ac:dyDescent="0.3">
      <c r="B1692" s="17" t="str">
        <f>IF('Marcación Workera'!G1692="","",INT('Marcación Workera'!G1692))</f>
        <v/>
      </c>
      <c r="C1692" s="18" t="str">
        <f>IF('Marcación Workera'!B1692="","",UPPER(SUBSTITUTE('Marcación Workera'!B1692,".","")))</f>
        <v/>
      </c>
    </row>
    <row r="1693" spans="2:3" ht="15" customHeight="1" x14ac:dyDescent="0.3">
      <c r="B1693" s="17" t="str">
        <f>IF('Marcación Workera'!G1693="","",INT('Marcación Workera'!G1693))</f>
        <v/>
      </c>
      <c r="C1693" s="18" t="str">
        <f>IF('Marcación Workera'!B1693="","",UPPER(SUBSTITUTE('Marcación Workera'!B1693,".","")))</f>
        <v/>
      </c>
    </row>
    <row r="1694" spans="2:3" ht="15" customHeight="1" x14ac:dyDescent="0.3">
      <c r="B1694" s="17" t="str">
        <f>IF('Marcación Workera'!G1694="","",INT('Marcación Workera'!G1694))</f>
        <v/>
      </c>
      <c r="C1694" s="18" t="str">
        <f>IF('Marcación Workera'!B1694="","",UPPER(SUBSTITUTE('Marcación Workera'!B1694,".","")))</f>
        <v/>
      </c>
    </row>
    <row r="1695" spans="2:3" ht="15" customHeight="1" x14ac:dyDescent="0.3">
      <c r="B1695" s="17" t="str">
        <f>IF('Marcación Workera'!G1695="","",INT('Marcación Workera'!G1695))</f>
        <v/>
      </c>
      <c r="C1695" s="18" t="str">
        <f>IF('Marcación Workera'!B1695="","",UPPER(SUBSTITUTE('Marcación Workera'!B1695,".","")))</f>
        <v/>
      </c>
    </row>
    <row r="1696" spans="2:3" ht="15" customHeight="1" x14ac:dyDescent="0.3">
      <c r="B1696" s="17" t="str">
        <f>IF('Marcación Workera'!G1696="","",INT('Marcación Workera'!G1696))</f>
        <v/>
      </c>
      <c r="C1696" s="18" t="str">
        <f>IF('Marcación Workera'!B1696="","",UPPER(SUBSTITUTE('Marcación Workera'!B1696,".","")))</f>
        <v/>
      </c>
    </row>
    <row r="1697" spans="2:3" ht="15" customHeight="1" x14ac:dyDescent="0.3">
      <c r="B1697" s="17" t="str">
        <f>IF('Marcación Workera'!G1697="","",INT('Marcación Workera'!G1697))</f>
        <v/>
      </c>
      <c r="C1697" s="18" t="str">
        <f>IF('Marcación Workera'!B1697="","",UPPER(SUBSTITUTE('Marcación Workera'!B1697,".","")))</f>
        <v/>
      </c>
    </row>
    <row r="1698" spans="2:3" ht="15" customHeight="1" x14ac:dyDescent="0.3">
      <c r="B1698" s="17" t="str">
        <f>IF('Marcación Workera'!G1698="","",INT('Marcación Workera'!G1698))</f>
        <v/>
      </c>
      <c r="C1698" s="18" t="str">
        <f>IF('Marcación Workera'!B1698="","",UPPER(SUBSTITUTE('Marcación Workera'!B1698,".","")))</f>
        <v/>
      </c>
    </row>
    <row r="1699" spans="2:3" ht="15" customHeight="1" x14ac:dyDescent="0.3">
      <c r="B1699" s="17" t="str">
        <f>IF('Marcación Workera'!G1699="","",INT('Marcación Workera'!G1699))</f>
        <v/>
      </c>
      <c r="C1699" s="18" t="str">
        <f>IF('Marcación Workera'!B1699="","",UPPER(SUBSTITUTE('Marcación Workera'!B1699,".","")))</f>
        <v/>
      </c>
    </row>
    <row r="1700" spans="2:3" ht="15" customHeight="1" x14ac:dyDescent="0.3">
      <c r="B1700" s="17" t="str">
        <f>IF('Marcación Workera'!G1700="","",INT('Marcación Workera'!G1700))</f>
        <v/>
      </c>
      <c r="C1700" s="18" t="str">
        <f>IF('Marcación Workera'!B1700="","",UPPER(SUBSTITUTE('Marcación Workera'!B1700,".","")))</f>
        <v/>
      </c>
    </row>
    <row r="1701" spans="2:3" ht="15" customHeight="1" x14ac:dyDescent="0.3">
      <c r="B1701" s="17" t="str">
        <f>IF('Marcación Workera'!G1701="","",INT('Marcación Workera'!G1701))</f>
        <v/>
      </c>
      <c r="C1701" s="18" t="str">
        <f>IF('Marcación Workera'!B1701="","",UPPER(SUBSTITUTE('Marcación Workera'!B1701,".","")))</f>
        <v/>
      </c>
    </row>
    <row r="1702" spans="2:3" ht="15" customHeight="1" x14ac:dyDescent="0.3">
      <c r="B1702" s="17" t="str">
        <f>IF('Marcación Workera'!G1702="","",INT('Marcación Workera'!G1702))</f>
        <v/>
      </c>
      <c r="C1702" s="18" t="str">
        <f>IF('Marcación Workera'!B1702="","",UPPER(SUBSTITUTE('Marcación Workera'!B1702,".","")))</f>
        <v/>
      </c>
    </row>
    <row r="1703" spans="2:3" ht="15" customHeight="1" x14ac:dyDescent="0.3">
      <c r="B1703" s="17" t="str">
        <f>IF('Marcación Workera'!G1703="","",INT('Marcación Workera'!G1703))</f>
        <v/>
      </c>
      <c r="C1703" s="18" t="str">
        <f>IF('Marcación Workera'!B1703="","",UPPER(SUBSTITUTE('Marcación Workera'!B1703,".","")))</f>
        <v/>
      </c>
    </row>
    <row r="1704" spans="2:3" ht="15" customHeight="1" x14ac:dyDescent="0.3">
      <c r="B1704" s="17" t="str">
        <f>IF('Marcación Workera'!G1704="","",INT('Marcación Workera'!G1704))</f>
        <v/>
      </c>
      <c r="C1704" s="18" t="str">
        <f>IF('Marcación Workera'!B1704="","",UPPER(SUBSTITUTE('Marcación Workera'!B1704,".","")))</f>
        <v/>
      </c>
    </row>
    <row r="1705" spans="2:3" ht="15" customHeight="1" x14ac:dyDescent="0.3">
      <c r="B1705" s="17" t="str">
        <f>IF('Marcación Workera'!G1705="","",INT('Marcación Workera'!G1705))</f>
        <v/>
      </c>
      <c r="C1705" s="18" t="str">
        <f>IF('Marcación Workera'!B1705="","",UPPER(SUBSTITUTE('Marcación Workera'!B1705,".","")))</f>
        <v/>
      </c>
    </row>
    <row r="1706" spans="2:3" ht="15" customHeight="1" x14ac:dyDescent="0.3">
      <c r="B1706" s="17" t="str">
        <f>IF('Marcación Workera'!G1706="","",INT('Marcación Workera'!G1706))</f>
        <v/>
      </c>
      <c r="C1706" s="18" t="str">
        <f>IF('Marcación Workera'!B1706="","",UPPER(SUBSTITUTE('Marcación Workera'!B1706,".","")))</f>
        <v/>
      </c>
    </row>
    <row r="1707" spans="2:3" ht="15" customHeight="1" x14ac:dyDescent="0.3">
      <c r="B1707" s="17" t="str">
        <f>IF('Marcación Workera'!G1707="","",INT('Marcación Workera'!G1707))</f>
        <v/>
      </c>
      <c r="C1707" s="18" t="str">
        <f>IF('Marcación Workera'!B1707="","",UPPER(SUBSTITUTE('Marcación Workera'!B1707,".","")))</f>
        <v/>
      </c>
    </row>
    <row r="1708" spans="2:3" ht="15" customHeight="1" x14ac:dyDescent="0.3">
      <c r="B1708" s="17" t="str">
        <f>IF('Marcación Workera'!G1708="","",INT('Marcación Workera'!G1708))</f>
        <v/>
      </c>
      <c r="C1708" s="18" t="str">
        <f>IF('Marcación Workera'!B1708="","",UPPER(SUBSTITUTE('Marcación Workera'!B1708,".","")))</f>
        <v/>
      </c>
    </row>
    <row r="1709" spans="2:3" ht="15" customHeight="1" x14ac:dyDescent="0.3">
      <c r="B1709" s="17" t="str">
        <f>IF('Marcación Workera'!G1709="","",INT('Marcación Workera'!G1709))</f>
        <v/>
      </c>
      <c r="C1709" s="18" t="str">
        <f>IF('Marcación Workera'!B1709="","",UPPER(SUBSTITUTE('Marcación Workera'!B1709,".","")))</f>
        <v/>
      </c>
    </row>
    <row r="1710" spans="2:3" ht="15" customHeight="1" x14ac:dyDescent="0.3">
      <c r="B1710" s="17" t="str">
        <f>IF('Marcación Workera'!G1710="","",INT('Marcación Workera'!G1710))</f>
        <v/>
      </c>
      <c r="C1710" s="18" t="str">
        <f>IF('Marcación Workera'!B1710="","",UPPER(SUBSTITUTE('Marcación Workera'!B1710,".","")))</f>
        <v/>
      </c>
    </row>
    <row r="1711" spans="2:3" ht="15" customHeight="1" x14ac:dyDescent="0.3">
      <c r="B1711" s="17" t="str">
        <f>IF('Marcación Workera'!G1711="","",INT('Marcación Workera'!G1711))</f>
        <v/>
      </c>
      <c r="C1711" s="18" t="str">
        <f>IF('Marcación Workera'!B1711="","",UPPER(SUBSTITUTE('Marcación Workera'!B1711,".","")))</f>
        <v/>
      </c>
    </row>
    <row r="1712" spans="2:3" ht="15" customHeight="1" x14ac:dyDescent="0.3">
      <c r="B1712" s="17" t="str">
        <f>IF('Marcación Workera'!G1712="","",INT('Marcación Workera'!G1712))</f>
        <v/>
      </c>
      <c r="C1712" s="18" t="str">
        <f>IF('Marcación Workera'!B1712="","",UPPER(SUBSTITUTE('Marcación Workera'!B1712,".","")))</f>
        <v/>
      </c>
    </row>
    <row r="1713" spans="2:3" ht="15" customHeight="1" x14ac:dyDescent="0.3">
      <c r="B1713" s="17" t="str">
        <f>IF('Marcación Workera'!G1713="","",INT('Marcación Workera'!G1713))</f>
        <v/>
      </c>
      <c r="C1713" s="18" t="str">
        <f>IF('Marcación Workera'!B1713="","",UPPER(SUBSTITUTE('Marcación Workera'!B1713,".","")))</f>
        <v/>
      </c>
    </row>
    <row r="1714" spans="2:3" ht="15" customHeight="1" x14ac:dyDescent="0.3">
      <c r="B1714" s="17" t="str">
        <f>IF('Marcación Workera'!G1714="","",INT('Marcación Workera'!G1714))</f>
        <v/>
      </c>
      <c r="C1714" s="18" t="str">
        <f>IF('Marcación Workera'!B1714="","",UPPER(SUBSTITUTE('Marcación Workera'!B1714,".","")))</f>
        <v/>
      </c>
    </row>
    <row r="1715" spans="2:3" ht="15" customHeight="1" x14ac:dyDescent="0.3">
      <c r="B1715" s="17" t="str">
        <f>IF('Marcación Workera'!G1715="","",INT('Marcación Workera'!G1715))</f>
        <v/>
      </c>
      <c r="C1715" s="18" t="str">
        <f>IF('Marcación Workera'!B1715="","",UPPER(SUBSTITUTE('Marcación Workera'!B1715,".","")))</f>
        <v/>
      </c>
    </row>
    <row r="1716" spans="2:3" ht="15" customHeight="1" x14ac:dyDescent="0.3">
      <c r="B1716" s="17" t="str">
        <f>IF('Marcación Workera'!G1716="","",INT('Marcación Workera'!G1716))</f>
        <v/>
      </c>
      <c r="C1716" s="18" t="str">
        <f>IF('Marcación Workera'!B1716="","",UPPER(SUBSTITUTE('Marcación Workera'!B1716,".","")))</f>
        <v/>
      </c>
    </row>
    <row r="1717" spans="2:3" ht="15" customHeight="1" x14ac:dyDescent="0.3">
      <c r="B1717" s="17" t="str">
        <f>IF('Marcación Workera'!G1717="","",INT('Marcación Workera'!G1717))</f>
        <v/>
      </c>
      <c r="C1717" s="18" t="str">
        <f>IF('Marcación Workera'!B1717="","",UPPER(SUBSTITUTE('Marcación Workera'!B1717,".","")))</f>
        <v/>
      </c>
    </row>
    <row r="1718" spans="2:3" ht="15" customHeight="1" x14ac:dyDescent="0.3">
      <c r="B1718" s="17" t="str">
        <f>IF('Marcación Workera'!G1718="","",INT('Marcación Workera'!G1718))</f>
        <v/>
      </c>
      <c r="C1718" s="18" t="str">
        <f>IF('Marcación Workera'!B1718="","",UPPER(SUBSTITUTE('Marcación Workera'!B1718,".","")))</f>
        <v/>
      </c>
    </row>
    <row r="1719" spans="2:3" ht="15" customHeight="1" x14ac:dyDescent="0.3">
      <c r="B1719" s="17" t="str">
        <f>IF('Marcación Workera'!G1719="","",INT('Marcación Workera'!G1719))</f>
        <v/>
      </c>
      <c r="C1719" s="18" t="str">
        <f>IF('Marcación Workera'!B1719="","",UPPER(SUBSTITUTE('Marcación Workera'!B1719,".","")))</f>
        <v/>
      </c>
    </row>
    <row r="1720" spans="2:3" ht="15" customHeight="1" x14ac:dyDescent="0.3">
      <c r="B1720" s="17" t="str">
        <f>IF('Marcación Workera'!G1720="","",INT('Marcación Workera'!G1720))</f>
        <v/>
      </c>
      <c r="C1720" s="18" t="str">
        <f>IF('Marcación Workera'!B1720="","",UPPER(SUBSTITUTE('Marcación Workera'!B1720,".","")))</f>
        <v/>
      </c>
    </row>
    <row r="1721" spans="2:3" ht="15" customHeight="1" x14ac:dyDescent="0.3">
      <c r="B1721" s="17" t="str">
        <f>IF('Marcación Workera'!G1721="","",INT('Marcación Workera'!G1721))</f>
        <v/>
      </c>
      <c r="C1721" s="18" t="str">
        <f>IF('Marcación Workera'!B1721="","",UPPER(SUBSTITUTE('Marcación Workera'!B1721,".","")))</f>
        <v/>
      </c>
    </row>
    <row r="1722" spans="2:3" ht="15" customHeight="1" x14ac:dyDescent="0.3">
      <c r="B1722" s="17" t="str">
        <f>IF('Marcación Workera'!G1722="","",INT('Marcación Workera'!G1722))</f>
        <v/>
      </c>
      <c r="C1722" s="18" t="str">
        <f>IF('Marcación Workera'!B1722="","",UPPER(SUBSTITUTE('Marcación Workera'!B1722,".","")))</f>
        <v/>
      </c>
    </row>
    <row r="1723" spans="2:3" ht="15" customHeight="1" x14ac:dyDescent="0.3">
      <c r="B1723" s="17" t="str">
        <f>IF('Marcación Workera'!G1723="","",INT('Marcación Workera'!G1723))</f>
        <v/>
      </c>
      <c r="C1723" s="18" t="str">
        <f>IF('Marcación Workera'!B1723="","",UPPER(SUBSTITUTE('Marcación Workera'!B1723,".","")))</f>
        <v/>
      </c>
    </row>
    <row r="1724" spans="2:3" ht="15" customHeight="1" x14ac:dyDescent="0.3">
      <c r="B1724" s="17" t="str">
        <f>IF('Marcación Workera'!G1724="","",INT('Marcación Workera'!G1724))</f>
        <v/>
      </c>
      <c r="C1724" s="18" t="str">
        <f>IF('Marcación Workera'!B1724="","",UPPER(SUBSTITUTE('Marcación Workera'!B1724,".","")))</f>
        <v/>
      </c>
    </row>
    <row r="1725" spans="2:3" ht="15" customHeight="1" x14ac:dyDescent="0.3">
      <c r="B1725" s="17" t="str">
        <f>IF('Marcación Workera'!G1725="","",INT('Marcación Workera'!G1725))</f>
        <v/>
      </c>
      <c r="C1725" s="18" t="str">
        <f>IF('Marcación Workera'!B1725="","",UPPER(SUBSTITUTE('Marcación Workera'!B1725,".","")))</f>
        <v/>
      </c>
    </row>
    <row r="1726" spans="2:3" ht="15" customHeight="1" x14ac:dyDescent="0.3">
      <c r="B1726" s="17" t="str">
        <f>IF('Marcación Workera'!G1726="","",INT('Marcación Workera'!G1726))</f>
        <v/>
      </c>
      <c r="C1726" s="18" t="str">
        <f>IF('Marcación Workera'!B1726="","",UPPER(SUBSTITUTE('Marcación Workera'!B1726,".","")))</f>
        <v/>
      </c>
    </row>
    <row r="1727" spans="2:3" ht="15" customHeight="1" x14ac:dyDescent="0.3">
      <c r="B1727" s="17" t="str">
        <f>IF('Marcación Workera'!G1727="","",INT('Marcación Workera'!G1727))</f>
        <v/>
      </c>
      <c r="C1727" s="18" t="str">
        <f>IF('Marcación Workera'!B1727="","",UPPER(SUBSTITUTE('Marcación Workera'!B1727,".","")))</f>
        <v/>
      </c>
    </row>
    <row r="1728" spans="2:3" ht="15" customHeight="1" x14ac:dyDescent="0.3">
      <c r="B1728" s="17" t="str">
        <f>IF('Marcación Workera'!G1728="","",INT('Marcación Workera'!G1728))</f>
        <v/>
      </c>
      <c r="C1728" s="18" t="str">
        <f>IF('Marcación Workera'!B1728="","",UPPER(SUBSTITUTE('Marcación Workera'!B1728,".","")))</f>
        <v/>
      </c>
    </row>
    <row r="1729" spans="2:3" ht="15" customHeight="1" x14ac:dyDescent="0.3">
      <c r="B1729" s="17" t="str">
        <f>IF('Marcación Workera'!G1729="","",INT('Marcación Workera'!G1729))</f>
        <v/>
      </c>
      <c r="C1729" s="18" t="str">
        <f>IF('Marcación Workera'!B1729="","",UPPER(SUBSTITUTE('Marcación Workera'!B1729,".","")))</f>
        <v/>
      </c>
    </row>
    <row r="1730" spans="2:3" ht="15" customHeight="1" x14ac:dyDescent="0.3">
      <c r="B1730" s="17" t="str">
        <f>IF('Marcación Workera'!G1730="","",INT('Marcación Workera'!G1730))</f>
        <v/>
      </c>
      <c r="C1730" s="18" t="str">
        <f>IF('Marcación Workera'!B1730="","",UPPER(SUBSTITUTE('Marcación Workera'!B1730,".","")))</f>
        <v/>
      </c>
    </row>
    <row r="1731" spans="2:3" ht="15" customHeight="1" x14ac:dyDescent="0.3">
      <c r="B1731" s="17" t="str">
        <f>IF('Marcación Workera'!G1731="","",INT('Marcación Workera'!G1731))</f>
        <v/>
      </c>
      <c r="C1731" s="18" t="str">
        <f>IF('Marcación Workera'!B1731="","",UPPER(SUBSTITUTE('Marcación Workera'!B1731,".","")))</f>
        <v/>
      </c>
    </row>
    <row r="1732" spans="2:3" ht="15" customHeight="1" x14ac:dyDescent="0.3">
      <c r="B1732" s="17" t="str">
        <f>IF('Marcación Workera'!G1732="","",INT('Marcación Workera'!G1732))</f>
        <v/>
      </c>
      <c r="C1732" s="18" t="str">
        <f>IF('Marcación Workera'!B1732="","",UPPER(SUBSTITUTE('Marcación Workera'!B1732,".","")))</f>
        <v/>
      </c>
    </row>
    <row r="1733" spans="2:3" ht="15" customHeight="1" x14ac:dyDescent="0.3">
      <c r="B1733" s="17" t="str">
        <f>IF('Marcación Workera'!G1733="","",INT('Marcación Workera'!G1733))</f>
        <v/>
      </c>
      <c r="C1733" s="18" t="str">
        <f>IF('Marcación Workera'!B1733="","",UPPER(SUBSTITUTE('Marcación Workera'!B1733,".","")))</f>
        <v/>
      </c>
    </row>
    <row r="1734" spans="2:3" ht="15" customHeight="1" x14ac:dyDescent="0.3">
      <c r="B1734" s="17" t="str">
        <f>IF('Marcación Workera'!G1734="","",INT('Marcación Workera'!G1734))</f>
        <v/>
      </c>
      <c r="C1734" s="18" t="str">
        <f>IF('Marcación Workera'!B1734="","",UPPER(SUBSTITUTE('Marcación Workera'!B1734,".","")))</f>
        <v/>
      </c>
    </row>
    <row r="1735" spans="2:3" ht="15" customHeight="1" x14ac:dyDescent="0.3">
      <c r="B1735" s="17" t="str">
        <f>IF('Marcación Workera'!G1735="","",INT('Marcación Workera'!G1735))</f>
        <v/>
      </c>
      <c r="C1735" s="18" t="str">
        <f>IF('Marcación Workera'!B1735="","",UPPER(SUBSTITUTE('Marcación Workera'!B1735,".","")))</f>
        <v/>
      </c>
    </row>
    <row r="1736" spans="2:3" ht="15" customHeight="1" x14ac:dyDescent="0.3">
      <c r="B1736" s="17" t="str">
        <f>IF('Marcación Workera'!G1736="","",INT('Marcación Workera'!G1736))</f>
        <v/>
      </c>
      <c r="C1736" s="18" t="str">
        <f>IF('Marcación Workera'!B1736="","",UPPER(SUBSTITUTE('Marcación Workera'!B1736,".","")))</f>
        <v/>
      </c>
    </row>
    <row r="1737" spans="2:3" ht="15" customHeight="1" x14ac:dyDescent="0.3">
      <c r="B1737" s="17" t="str">
        <f>IF('Marcación Workera'!G1737="","",INT('Marcación Workera'!G1737))</f>
        <v/>
      </c>
      <c r="C1737" s="18" t="str">
        <f>IF('Marcación Workera'!B1737="","",UPPER(SUBSTITUTE('Marcación Workera'!B1737,".","")))</f>
        <v/>
      </c>
    </row>
    <row r="1738" spans="2:3" ht="15" customHeight="1" x14ac:dyDescent="0.3">
      <c r="B1738" s="17" t="str">
        <f>IF('Marcación Workera'!G1738="","",INT('Marcación Workera'!G1738))</f>
        <v/>
      </c>
      <c r="C1738" s="18" t="str">
        <f>IF('Marcación Workera'!B1738="","",UPPER(SUBSTITUTE('Marcación Workera'!B1738,".","")))</f>
        <v/>
      </c>
    </row>
    <row r="1739" spans="2:3" ht="15" customHeight="1" x14ac:dyDescent="0.3">
      <c r="B1739" s="17" t="str">
        <f>IF('Marcación Workera'!G1739="","",INT('Marcación Workera'!G1739))</f>
        <v/>
      </c>
      <c r="C1739" s="18" t="str">
        <f>IF('Marcación Workera'!B1739="","",UPPER(SUBSTITUTE('Marcación Workera'!B1739,".","")))</f>
        <v/>
      </c>
    </row>
    <row r="1740" spans="2:3" ht="15" customHeight="1" x14ac:dyDescent="0.3">
      <c r="B1740" s="17" t="str">
        <f>IF('Marcación Workera'!G1740="","",INT('Marcación Workera'!G1740))</f>
        <v/>
      </c>
      <c r="C1740" s="18" t="str">
        <f>IF('Marcación Workera'!B1740="","",UPPER(SUBSTITUTE('Marcación Workera'!B1740,".","")))</f>
        <v/>
      </c>
    </row>
    <row r="1741" spans="2:3" ht="15" customHeight="1" x14ac:dyDescent="0.3">
      <c r="B1741" s="17" t="str">
        <f>IF('Marcación Workera'!G1741="","",INT('Marcación Workera'!G1741))</f>
        <v/>
      </c>
      <c r="C1741" s="18" t="str">
        <f>IF('Marcación Workera'!B1741="","",UPPER(SUBSTITUTE('Marcación Workera'!B1741,".","")))</f>
        <v/>
      </c>
    </row>
    <row r="1742" spans="2:3" ht="15" customHeight="1" x14ac:dyDescent="0.3">
      <c r="B1742" s="17" t="str">
        <f>IF('Marcación Workera'!G1742="","",INT('Marcación Workera'!G1742))</f>
        <v/>
      </c>
      <c r="C1742" s="18" t="str">
        <f>IF('Marcación Workera'!B1742="","",UPPER(SUBSTITUTE('Marcación Workera'!B1742,".","")))</f>
        <v/>
      </c>
    </row>
    <row r="1743" spans="2:3" ht="15" customHeight="1" x14ac:dyDescent="0.3">
      <c r="B1743" s="17" t="str">
        <f>IF('Marcación Workera'!G1743="","",INT('Marcación Workera'!G1743))</f>
        <v/>
      </c>
      <c r="C1743" s="18" t="str">
        <f>IF('Marcación Workera'!B1743="","",UPPER(SUBSTITUTE('Marcación Workera'!B1743,".","")))</f>
        <v/>
      </c>
    </row>
    <row r="1744" spans="2:3" ht="15" customHeight="1" x14ac:dyDescent="0.3">
      <c r="B1744" s="17" t="str">
        <f>IF('Marcación Workera'!G1744="","",INT('Marcación Workera'!G1744))</f>
        <v/>
      </c>
      <c r="C1744" s="18" t="str">
        <f>IF('Marcación Workera'!B1744="","",UPPER(SUBSTITUTE('Marcación Workera'!B1744,".","")))</f>
        <v/>
      </c>
    </row>
    <row r="1745" spans="2:3" ht="15" customHeight="1" x14ac:dyDescent="0.3">
      <c r="B1745" s="17" t="str">
        <f>IF('Marcación Workera'!G1745="","",INT('Marcación Workera'!G1745))</f>
        <v/>
      </c>
      <c r="C1745" s="18" t="str">
        <f>IF('Marcación Workera'!B1745="","",UPPER(SUBSTITUTE('Marcación Workera'!B1745,".","")))</f>
        <v/>
      </c>
    </row>
    <row r="1746" spans="2:3" ht="15" customHeight="1" x14ac:dyDescent="0.3">
      <c r="B1746" s="17" t="str">
        <f>IF('Marcación Workera'!G1746="","",INT('Marcación Workera'!G1746))</f>
        <v/>
      </c>
      <c r="C1746" s="18" t="str">
        <f>IF('Marcación Workera'!B1746="","",UPPER(SUBSTITUTE('Marcación Workera'!B1746,".","")))</f>
        <v/>
      </c>
    </row>
    <row r="1747" spans="2:3" ht="15" customHeight="1" x14ac:dyDescent="0.3">
      <c r="B1747" s="17" t="str">
        <f>IF('Marcación Workera'!G1747="","",INT('Marcación Workera'!G1747))</f>
        <v/>
      </c>
      <c r="C1747" s="18" t="str">
        <f>IF('Marcación Workera'!B1747="","",UPPER(SUBSTITUTE('Marcación Workera'!B1747,".","")))</f>
        <v/>
      </c>
    </row>
    <row r="1748" spans="2:3" ht="15" customHeight="1" x14ac:dyDescent="0.3">
      <c r="B1748" s="17" t="str">
        <f>IF('Marcación Workera'!G1748="","",INT('Marcación Workera'!G1748))</f>
        <v/>
      </c>
      <c r="C1748" s="18" t="str">
        <f>IF('Marcación Workera'!B1748="","",UPPER(SUBSTITUTE('Marcación Workera'!B1748,".","")))</f>
        <v/>
      </c>
    </row>
    <row r="1749" spans="2:3" ht="15" customHeight="1" x14ac:dyDescent="0.3">
      <c r="B1749" s="17" t="str">
        <f>IF('Marcación Workera'!G1749="","",INT('Marcación Workera'!G1749))</f>
        <v/>
      </c>
      <c r="C1749" s="18" t="str">
        <f>IF('Marcación Workera'!B1749="","",UPPER(SUBSTITUTE('Marcación Workera'!B1749,".","")))</f>
        <v/>
      </c>
    </row>
    <row r="1750" spans="2:3" ht="15" customHeight="1" x14ac:dyDescent="0.3">
      <c r="B1750" s="17" t="str">
        <f>IF('Marcación Workera'!G1750="","",INT('Marcación Workera'!G1750))</f>
        <v/>
      </c>
      <c r="C1750" s="18" t="str">
        <f>IF('Marcación Workera'!B1750="","",UPPER(SUBSTITUTE('Marcación Workera'!B1750,".","")))</f>
        <v/>
      </c>
    </row>
    <row r="1751" spans="2:3" ht="15" customHeight="1" x14ac:dyDescent="0.3">
      <c r="B1751" s="17" t="str">
        <f>IF('Marcación Workera'!G1751="","",INT('Marcación Workera'!G1751))</f>
        <v/>
      </c>
      <c r="C1751" s="18" t="str">
        <f>IF('Marcación Workera'!B1751="","",UPPER(SUBSTITUTE('Marcación Workera'!B1751,".","")))</f>
        <v/>
      </c>
    </row>
    <row r="1752" spans="2:3" ht="15" customHeight="1" x14ac:dyDescent="0.3">
      <c r="B1752" s="17" t="str">
        <f>IF('Marcación Workera'!G1752="","",INT('Marcación Workera'!G1752))</f>
        <v/>
      </c>
      <c r="C1752" s="18" t="str">
        <f>IF('Marcación Workera'!B1752="","",UPPER(SUBSTITUTE('Marcación Workera'!B1752,".","")))</f>
        <v/>
      </c>
    </row>
    <row r="1753" spans="2:3" ht="15" customHeight="1" x14ac:dyDescent="0.3">
      <c r="B1753" s="17" t="str">
        <f>IF('Marcación Workera'!G1753="","",INT('Marcación Workera'!G1753))</f>
        <v/>
      </c>
      <c r="C1753" s="18" t="str">
        <f>IF('Marcación Workera'!B1753="","",UPPER(SUBSTITUTE('Marcación Workera'!B1753,".","")))</f>
        <v/>
      </c>
    </row>
    <row r="1754" spans="2:3" ht="15" customHeight="1" x14ac:dyDescent="0.3">
      <c r="B1754" s="17" t="str">
        <f>IF('Marcación Workera'!G1754="","",INT('Marcación Workera'!G1754))</f>
        <v/>
      </c>
      <c r="C1754" s="18" t="str">
        <f>IF('Marcación Workera'!B1754="","",UPPER(SUBSTITUTE('Marcación Workera'!B1754,".","")))</f>
        <v/>
      </c>
    </row>
    <row r="1755" spans="2:3" ht="15" customHeight="1" x14ac:dyDescent="0.3">
      <c r="B1755" s="17" t="str">
        <f>IF('Marcación Workera'!G1755="","",INT('Marcación Workera'!G1755))</f>
        <v/>
      </c>
      <c r="C1755" s="18" t="str">
        <f>IF('Marcación Workera'!B1755="","",UPPER(SUBSTITUTE('Marcación Workera'!B1755,".","")))</f>
        <v/>
      </c>
    </row>
    <row r="1756" spans="2:3" ht="15" customHeight="1" x14ac:dyDescent="0.3">
      <c r="B1756" s="17" t="str">
        <f>IF('Marcación Workera'!G1756="","",INT('Marcación Workera'!G1756))</f>
        <v/>
      </c>
      <c r="C1756" s="18" t="str">
        <f>IF('Marcación Workera'!B1756="","",UPPER(SUBSTITUTE('Marcación Workera'!B1756,".","")))</f>
        <v/>
      </c>
    </row>
    <row r="1757" spans="2:3" ht="15" customHeight="1" x14ac:dyDescent="0.3">
      <c r="B1757" s="17" t="str">
        <f>IF('Marcación Workera'!G1757="","",INT('Marcación Workera'!G1757))</f>
        <v/>
      </c>
      <c r="C1757" s="18" t="str">
        <f>IF('Marcación Workera'!B1757="","",UPPER(SUBSTITUTE('Marcación Workera'!B1757,".","")))</f>
        <v/>
      </c>
    </row>
    <row r="1758" spans="2:3" ht="15" customHeight="1" x14ac:dyDescent="0.3">
      <c r="B1758" s="17" t="str">
        <f>IF('Marcación Workera'!G1758="","",INT('Marcación Workera'!G1758))</f>
        <v/>
      </c>
      <c r="C1758" s="18" t="str">
        <f>IF('Marcación Workera'!B1758="","",UPPER(SUBSTITUTE('Marcación Workera'!B1758,".","")))</f>
        <v/>
      </c>
    </row>
    <row r="1759" spans="2:3" ht="15" customHeight="1" x14ac:dyDescent="0.3">
      <c r="B1759" s="17" t="str">
        <f>IF('Marcación Workera'!G1759="","",INT('Marcación Workera'!G1759))</f>
        <v/>
      </c>
      <c r="C1759" s="18" t="str">
        <f>IF('Marcación Workera'!B1759="","",UPPER(SUBSTITUTE('Marcación Workera'!B1759,".","")))</f>
        <v/>
      </c>
    </row>
    <row r="1760" spans="2:3" ht="15" customHeight="1" x14ac:dyDescent="0.3">
      <c r="B1760" s="17" t="str">
        <f>IF('Marcación Workera'!G1760="","",INT('Marcación Workera'!G1760))</f>
        <v/>
      </c>
      <c r="C1760" s="18" t="str">
        <f>IF('Marcación Workera'!B1760="","",UPPER(SUBSTITUTE('Marcación Workera'!B1760,".","")))</f>
        <v/>
      </c>
    </row>
    <row r="1761" spans="2:3" ht="15" customHeight="1" x14ac:dyDescent="0.3">
      <c r="B1761" s="17" t="str">
        <f>IF('Marcación Workera'!G1761="","",INT('Marcación Workera'!G1761))</f>
        <v/>
      </c>
      <c r="C1761" s="18" t="str">
        <f>IF('Marcación Workera'!B1761="","",UPPER(SUBSTITUTE('Marcación Workera'!B1761,".","")))</f>
        <v/>
      </c>
    </row>
    <row r="1762" spans="2:3" ht="15" customHeight="1" x14ac:dyDescent="0.3">
      <c r="B1762" s="17" t="str">
        <f>IF('Marcación Workera'!G1762="","",INT('Marcación Workera'!G1762))</f>
        <v/>
      </c>
      <c r="C1762" s="18" t="str">
        <f>IF('Marcación Workera'!B1762="","",UPPER(SUBSTITUTE('Marcación Workera'!B1762,".","")))</f>
        <v/>
      </c>
    </row>
    <row r="1763" spans="2:3" ht="15" customHeight="1" x14ac:dyDescent="0.3">
      <c r="B1763" s="17" t="str">
        <f>IF('Marcación Workera'!G1763="","",INT('Marcación Workera'!G1763))</f>
        <v/>
      </c>
      <c r="C1763" s="18" t="str">
        <f>IF('Marcación Workera'!B1763="","",UPPER(SUBSTITUTE('Marcación Workera'!B1763,".","")))</f>
        <v/>
      </c>
    </row>
    <row r="1764" spans="2:3" ht="15" customHeight="1" x14ac:dyDescent="0.3">
      <c r="B1764" s="17" t="str">
        <f>IF('Marcación Workera'!G1764="","",INT('Marcación Workera'!G1764))</f>
        <v/>
      </c>
      <c r="C1764" s="18" t="str">
        <f>IF('Marcación Workera'!B1764="","",UPPER(SUBSTITUTE('Marcación Workera'!B1764,".","")))</f>
        <v/>
      </c>
    </row>
    <row r="1765" spans="2:3" ht="15" customHeight="1" x14ac:dyDescent="0.3">
      <c r="B1765" s="17" t="str">
        <f>IF('Marcación Workera'!G1765="","",INT('Marcación Workera'!G1765))</f>
        <v/>
      </c>
      <c r="C1765" s="18" t="str">
        <f>IF('Marcación Workera'!B1765="","",UPPER(SUBSTITUTE('Marcación Workera'!B1765,".","")))</f>
        <v/>
      </c>
    </row>
    <row r="1766" spans="2:3" ht="15" customHeight="1" x14ac:dyDescent="0.3">
      <c r="B1766" s="17" t="str">
        <f>IF('Marcación Workera'!G1766="","",INT('Marcación Workera'!G1766))</f>
        <v/>
      </c>
      <c r="C1766" s="18" t="str">
        <f>IF('Marcación Workera'!B1766="","",UPPER(SUBSTITUTE('Marcación Workera'!B1766,".","")))</f>
        <v/>
      </c>
    </row>
    <row r="1767" spans="2:3" ht="15" customHeight="1" x14ac:dyDescent="0.3">
      <c r="B1767" s="17" t="str">
        <f>IF('Marcación Workera'!G1767="","",INT('Marcación Workera'!G1767))</f>
        <v/>
      </c>
      <c r="C1767" s="18" t="str">
        <f>IF('Marcación Workera'!B1767="","",UPPER(SUBSTITUTE('Marcación Workera'!B1767,".","")))</f>
        <v/>
      </c>
    </row>
    <row r="1768" spans="2:3" ht="15" customHeight="1" x14ac:dyDescent="0.3">
      <c r="B1768" s="17" t="str">
        <f>IF('Marcación Workera'!G1768="","",INT('Marcación Workera'!G1768))</f>
        <v/>
      </c>
      <c r="C1768" s="18" t="str">
        <f>IF('Marcación Workera'!B1768="","",UPPER(SUBSTITUTE('Marcación Workera'!B1768,".","")))</f>
        <v/>
      </c>
    </row>
    <row r="1769" spans="2:3" ht="15" customHeight="1" x14ac:dyDescent="0.3">
      <c r="B1769" s="17" t="str">
        <f>IF('Marcación Workera'!G1769="","",INT('Marcación Workera'!G1769))</f>
        <v/>
      </c>
      <c r="C1769" s="18" t="str">
        <f>IF('Marcación Workera'!B1769="","",UPPER(SUBSTITUTE('Marcación Workera'!B1769,".","")))</f>
        <v/>
      </c>
    </row>
    <row r="1770" spans="2:3" ht="15" customHeight="1" x14ac:dyDescent="0.3">
      <c r="B1770" s="17" t="str">
        <f>IF('Marcación Workera'!G1770="","",INT('Marcación Workera'!G1770))</f>
        <v/>
      </c>
      <c r="C1770" s="18" t="str">
        <f>IF('Marcación Workera'!B1770="","",UPPER(SUBSTITUTE('Marcación Workera'!B1770,".","")))</f>
        <v/>
      </c>
    </row>
    <row r="1771" spans="2:3" ht="15" customHeight="1" x14ac:dyDescent="0.3">
      <c r="B1771" s="17" t="str">
        <f>IF('Marcación Workera'!G1771="","",INT('Marcación Workera'!G1771))</f>
        <v/>
      </c>
      <c r="C1771" s="18" t="str">
        <f>IF('Marcación Workera'!B1771="","",UPPER(SUBSTITUTE('Marcación Workera'!B1771,".","")))</f>
        <v/>
      </c>
    </row>
    <row r="1772" spans="2:3" ht="15" customHeight="1" x14ac:dyDescent="0.3">
      <c r="B1772" s="17" t="str">
        <f>IF('Marcación Workera'!G1772="","",INT('Marcación Workera'!G1772))</f>
        <v/>
      </c>
      <c r="C1772" s="18" t="str">
        <f>IF('Marcación Workera'!B1772="","",UPPER(SUBSTITUTE('Marcación Workera'!B1772,".","")))</f>
        <v/>
      </c>
    </row>
    <row r="1773" spans="2:3" ht="15" customHeight="1" x14ac:dyDescent="0.3">
      <c r="B1773" s="17" t="str">
        <f>IF('Marcación Workera'!G1773="","",INT('Marcación Workera'!G1773))</f>
        <v/>
      </c>
      <c r="C1773" s="18" t="str">
        <f>IF('Marcación Workera'!B1773="","",UPPER(SUBSTITUTE('Marcación Workera'!B1773,".","")))</f>
        <v/>
      </c>
    </row>
    <row r="1774" spans="2:3" ht="15" customHeight="1" x14ac:dyDescent="0.3">
      <c r="B1774" s="17" t="str">
        <f>IF('Marcación Workera'!G1774="","",INT('Marcación Workera'!G1774))</f>
        <v/>
      </c>
      <c r="C1774" s="18" t="str">
        <f>IF('Marcación Workera'!B1774="","",UPPER(SUBSTITUTE('Marcación Workera'!B1774,".","")))</f>
        <v/>
      </c>
    </row>
    <row r="1775" spans="2:3" ht="15" customHeight="1" x14ac:dyDescent="0.3">
      <c r="B1775" s="17" t="str">
        <f>IF('Marcación Workera'!G1775="","",INT('Marcación Workera'!G1775))</f>
        <v/>
      </c>
      <c r="C1775" s="18" t="str">
        <f>IF('Marcación Workera'!B1775="","",UPPER(SUBSTITUTE('Marcación Workera'!B1775,".","")))</f>
        <v/>
      </c>
    </row>
    <row r="1776" spans="2:3" ht="15" customHeight="1" x14ac:dyDescent="0.3">
      <c r="B1776" s="17" t="str">
        <f>IF('Marcación Workera'!G1776="","",INT('Marcación Workera'!G1776))</f>
        <v/>
      </c>
      <c r="C1776" s="18" t="str">
        <f>IF('Marcación Workera'!B1776="","",UPPER(SUBSTITUTE('Marcación Workera'!B1776,".","")))</f>
        <v/>
      </c>
    </row>
    <row r="1777" spans="2:3" ht="15" customHeight="1" x14ac:dyDescent="0.3">
      <c r="B1777" s="17" t="str">
        <f>IF('Marcación Workera'!G1777="","",INT('Marcación Workera'!G1777))</f>
        <v/>
      </c>
      <c r="C1777" s="18" t="str">
        <f>IF('Marcación Workera'!B1777="","",UPPER(SUBSTITUTE('Marcación Workera'!B1777,".","")))</f>
        <v/>
      </c>
    </row>
    <row r="1778" spans="2:3" ht="15" customHeight="1" x14ac:dyDescent="0.3">
      <c r="B1778" s="17" t="str">
        <f>IF('Marcación Workera'!G1778="","",INT('Marcación Workera'!G1778))</f>
        <v/>
      </c>
      <c r="C1778" s="18" t="str">
        <f>IF('Marcación Workera'!B1778="","",UPPER(SUBSTITUTE('Marcación Workera'!B1778,".","")))</f>
        <v/>
      </c>
    </row>
    <row r="1779" spans="2:3" ht="15" customHeight="1" x14ac:dyDescent="0.3">
      <c r="B1779" s="17" t="str">
        <f>IF('Marcación Workera'!G1779="","",INT('Marcación Workera'!G1779))</f>
        <v/>
      </c>
      <c r="C1779" s="18" t="str">
        <f>IF('Marcación Workera'!B1779="","",UPPER(SUBSTITUTE('Marcación Workera'!B1779,".","")))</f>
        <v/>
      </c>
    </row>
    <row r="1780" spans="2:3" ht="15" customHeight="1" x14ac:dyDescent="0.3">
      <c r="B1780" s="17" t="str">
        <f>IF('Marcación Workera'!G1780="","",INT('Marcación Workera'!G1780))</f>
        <v/>
      </c>
      <c r="C1780" s="18" t="str">
        <f>IF('Marcación Workera'!B1780="","",UPPER(SUBSTITUTE('Marcación Workera'!B1780,".","")))</f>
        <v/>
      </c>
    </row>
    <row r="1781" spans="2:3" ht="15" customHeight="1" x14ac:dyDescent="0.3">
      <c r="B1781" s="17" t="str">
        <f>IF('Marcación Workera'!G1781="","",INT('Marcación Workera'!G1781))</f>
        <v/>
      </c>
      <c r="C1781" s="18" t="str">
        <f>IF('Marcación Workera'!B1781="","",UPPER(SUBSTITUTE('Marcación Workera'!B1781,".","")))</f>
        <v/>
      </c>
    </row>
    <row r="1782" spans="2:3" ht="15" customHeight="1" x14ac:dyDescent="0.3">
      <c r="B1782" s="17" t="str">
        <f>IF('Marcación Workera'!G1782="","",INT('Marcación Workera'!G1782))</f>
        <v/>
      </c>
      <c r="C1782" s="18" t="str">
        <f>IF('Marcación Workera'!B1782="","",UPPER(SUBSTITUTE('Marcación Workera'!B1782,".","")))</f>
        <v/>
      </c>
    </row>
    <row r="1783" spans="2:3" ht="15" customHeight="1" x14ac:dyDescent="0.3">
      <c r="B1783" s="17" t="str">
        <f>IF('Marcación Workera'!G1783="","",INT('Marcación Workera'!G1783))</f>
        <v/>
      </c>
      <c r="C1783" s="18" t="str">
        <f>IF('Marcación Workera'!B1783="","",UPPER(SUBSTITUTE('Marcación Workera'!B1783,".","")))</f>
        <v/>
      </c>
    </row>
    <row r="1784" spans="2:3" ht="15" customHeight="1" x14ac:dyDescent="0.3">
      <c r="B1784" s="17" t="str">
        <f>IF('Marcación Workera'!G1784="","",INT('Marcación Workera'!G1784))</f>
        <v/>
      </c>
      <c r="C1784" s="18" t="str">
        <f>IF('Marcación Workera'!B1784="","",UPPER(SUBSTITUTE('Marcación Workera'!B1784,".","")))</f>
        <v/>
      </c>
    </row>
    <row r="1785" spans="2:3" ht="15" customHeight="1" x14ac:dyDescent="0.3">
      <c r="B1785" s="17" t="str">
        <f>IF('Marcación Workera'!G1785="","",INT('Marcación Workera'!G1785))</f>
        <v/>
      </c>
      <c r="C1785" s="18" t="str">
        <f>IF('Marcación Workera'!B1785="","",UPPER(SUBSTITUTE('Marcación Workera'!B1785,".","")))</f>
        <v/>
      </c>
    </row>
    <row r="1786" spans="2:3" ht="15" customHeight="1" x14ac:dyDescent="0.3">
      <c r="B1786" s="17" t="str">
        <f>IF('Marcación Workera'!G1786="","",INT('Marcación Workera'!G1786))</f>
        <v/>
      </c>
      <c r="C1786" s="18" t="str">
        <f>IF('Marcación Workera'!B1786="","",UPPER(SUBSTITUTE('Marcación Workera'!B1786,".","")))</f>
        <v/>
      </c>
    </row>
    <row r="1787" spans="2:3" ht="15" customHeight="1" x14ac:dyDescent="0.3">
      <c r="B1787" s="17" t="str">
        <f>IF('Marcación Workera'!G1787="","",INT('Marcación Workera'!G1787))</f>
        <v/>
      </c>
      <c r="C1787" s="18" t="str">
        <f>IF('Marcación Workera'!B1787="","",UPPER(SUBSTITUTE('Marcación Workera'!B1787,".","")))</f>
        <v/>
      </c>
    </row>
    <row r="1788" spans="2:3" ht="15" customHeight="1" x14ac:dyDescent="0.3">
      <c r="B1788" s="17" t="str">
        <f>IF('Marcación Workera'!G1788="","",INT('Marcación Workera'!G1788))</f>
        <v/>
      </c>
      <c r="C1788" s="18" t="str">
        <f>IF('Marcación Workera'!B1788="","",UPPER(SUBSTITUTE('Marcación Workera'!B1788,".","")))</f>
        <v/>
      </c>
    </row>
    <row r="1789" spans="2:3" ht="15" customHeight="1" x14ac:dyDescent="0.3">
      <c r="B1789" s="17" t="str">
        <f>IF('Marcación Workera'!G1789="","",INT('Marcación Workera'!G1789))</f>
        <v/>
      </c>
      <c r="C1789" s="18" t="str">
        <f>IF('Marcación Workera'!B1789="","",UPPER(SUBSTITUTE('Marcación Workera'!B1789,".","")))</f>
        <v/>
      </c>
    </row>
    <row r="1790" spans="2:3" ht="15" customHeight="1" x14ac:dyDescent="0.3">
      <c r="B1790" s="17" t="str">
        <f>IF('Marcación Workera'!G1790="","",INT('Marcación Workera'!G1790))</f>
        <v/>
      </c>
      <c r="C1790" s="18" t="str">
        <f>IF('Marcación Workera'!B1790="","",UPPER(SUBSTITUTE('Marcación Workera'!B1790,".","")))</f>
        <v/>
      </c>
    </row>
    <row r="1791" spans="2:3" ht="15" customHeight="1" x14ac:dyDescent="0.3">
      <c r="B1791" s="17" t="str">
        <f>IF('Marcación Workera'!G1791="","",INT('Marcación Workera'!G1791))</f>
        <v/>
      </c>
      <c r="C1791" s="18" t="str">
        <f>IF('Marcación Workera'!B1791="","",UPPER(SUBSTITUTE('Marcación Workera'!B1791,".","")))</f>
        <v/>
      </c>
    </row>
    <row r="1792" spans="2:3" ht="15" customHeight="1" x14ac:dyDescent="0.3">
      <c r="B1792" s="17" t="str">
        <f>IF('Marcación Workera'!G1792="","",INT('Marcación Workera'!G1792))</f>
        <v/>
      </c>
      <c r="C1792" s="18" t="str">
        <f>IF('Marcación Workera'!B1792="","",UPPER(SUBSTITUTE('Marcación Workera'!B1792,".","")))</f>
        <v/>
      </c>
    </row>
    <row r="1793" spans="2:3" ht="15" customHeight="1" x14ac:dyDescent="0.3">
      <c r="B1793" s="17" t="str">
        <f>IF('Marcación Workera'!G1793="","",INT('Marcación Workera'!G1793))</f>
        <v/>
      </c>
      <c r="C1793" s="18" t="str">
        <f>IF('Marcación Workera'!B1793="","",UPPER(SUBSTITUTE('Marcación Workera'!B1793,".","")))</f>
        <v/>
      </c>
    </row>
    <row r="1794" spans="2:3" ht="15" customHeight="1" x14ac:dyDescent="0.3">
      <c r="B1794" s="17" t="str">
        <f>IF('Marcación Workera'!G1794="","",INT('Marcación Workera'!G1794))</f>
        <v/>
      </c>
      <c r="C1794" s="18" t="str">
        <f>IF('Marcación Workera'!B1794="","",UPPER(SUBSTITUTE('Marcación Workera'!B1794,".","")))</f>
        <v/>
      </c>
    </row>
    <row r="1795" spans="2:3" ht="15" customHeight="1" x14ac:dyDescent="0.3">
      <c r="B1795" s="17" t="str">
        <f>IF('Marcación Workera'!G1795="","",INT('Marcación Workera'!G1795))</f>
        <v/>
      </c>
      <c r="C1795" s="18" t="str">
        <f>IF('Marcación Workera'!B1795="","",UPPER(SUBSTITUTE('Marcación Workera'!B1795,".","")))</f>
        <v/>
      </c>
    </row>
    <row r="1796" spans="2:3" ht="15" customHeight="1" x14ac:dyDescent="0.3">
      <c r="B1796" s="17" t="str">
        <f>IF('Marcación Workera'!G1796="","",INT('Marcación Workera'!G1796))</f>
        <v/>
      </c>
      <c r="C1796" s="18" t="str">
        <f>IF('Marcación Workera'!B1796="","",UPPER(SUBSTITUTE('Marcación Workera'!B1796,".","")))</f>
        <v/>
      </c>
    </row>
    <row r="1797" spans="2:3" ht="15" customHeight="1" x14ac:dyDescent="0.3">
      <c r="B1797" s="17" t="str">
        <f>IF('Marcación Workera'!G1797="","",INT('Marcación Workera'!G1797))</f>
        <v/>
      </c>
      <c r="C1797" s="18" t="str">
        <f>IF('Marcación Workera'!B1797="","",UPPER(SUBSTITUTE('Marcación Workera'!B1797,".","")))</f>
        <v/>
      </c>
    </row>
    <row r="1798" spans="2:3" ht="15" customHeight="1" x14ac:dyDescent="0.3">
      <c r="B1798" s="17" t="str">
        <f>IF('Marcación Workera'!G1798="","",INT('Marcación Workera'!G1798))</f>
        <v/>
      </c>
      <c r="C1798" s="18" t="str">
        <f>IF('Marcación Workera'!B1798="","",UPPER(SUBSTITUTE('Marcación Workera'!B1798,".","")))</f>
        <v/>
      </c>
    </row>
    <row r="1799" spans="2:3" ht="15" customHeight="1" x14ac:dyDescent="0.3">
      <c r="B1799" s="17" t="str">
        <f>IF('Marcación Workera'!G1799="","",INT('Marcación Workera'!G1799))</f>
        <v/>
      </c>
      <c r="C1799" s="18" t="str">
        <f>IF('Marcación Workera'!B1799="","",UPPER(SUBSTITUTE('Marcación Workera'!B1799,".","")))</f>
        <v/>
      </c>
    </row>
    <row r="1800" spans="2:3" ht="15" customHeight="1" x14ac:dyDescent="0.3">
      <c r="B1800" s="17" t="str">
        <f>IF('Marcación Workera'!G1800="","",INT('Marcación Workera'!G1800))</f>
        <v/>
      </c>
      <c r="C1800" s="18" t="str">
        <f>IF('Marcación Workera'!B1800="","",UPPER(SUBSTITUTE('Marcación Workera'!B1800,".","")))</f>
        <v/>
      </c>
    </row>
    <row r="1801" spans="2:3" ht="15" customHeight="1" x14ac:dyDescent="0.3">
      <c r="B1801" s="17" t="str">
        <f>IF('Marcación Workera'!G1801="","",INT('Marcación Workera'!G1801))</f>
        <v/>
      </c>
      <c r="C1801" s="18" t="str">
        <f>IF('Marcación Workera'!B1801="","",UPPER(SUBSTITUTE('Marcación Workera'!B1801,".","")))</f>
        <v/>
      </c>
    </row>
    <row r="1802" spans="2:3" ht="15" customHeight="1" x14ac:dyDescent="0.3">
      <c r="B1802" s="17" t="str">
        <f>IF('Marcación Workera'!G1802="","",INT('Marcación Workera'!G1802))</f>
        <v/>
      </c>
      <c r="C1802" s="18" t="str">
        <f>IF('Marcación Workera'!B1802="","",UPPER(SUBSTITUTE('Marcación Workera'!B1802,".","")))</f>
        <v/>
      </c>
    </row>
    <row r="1803" spans="2:3" ht="15" customHeight="1" x14ac:dyDescent="0.3">
      <c r="B1803" s="17" t="str">
        <f>IF('Marcación Workera'!G1803="","",INT('Marcación Workera'!G1803))</f>
        <v/>
      </c>
      <c r="C1803" s="18" t="str">
        <f>IF('Marcación Workera'!B1803="","",UPPER(SUBSTITUTE('Marcación Workera'!B1803,".","")))</f>
        <v/>
      </c>
    </row>
    <row r="1804" spans="2:3" ht="15" customHeight="1" x14ac:dyDescent="0.3">
      <c r="B1804" s="17" t="str">
        <f>IF('Marcación Workera'!G1804="","",INT('Marcación Workera'!G1804))</f>
        <v/>
      </c>
      <c r="C1804" s="18" t="str">
        <f>IF('Marcación Workera'!B1804="","",UPPER(SUBSTITUTE('Marcación Workera'!B1804,".","")))</f>
        <v/>
      </c>
    </row>
    <row r="1805" spans="2:3" ht="15" customHeight="1" x14ac:dyDescent="0.3">
      <c r="B1805" s="17" t="str">
        <f>IF('Marcación Workera'!G1805="","",INT('Marcación Workera'!G1805))</f>
        <v/>
      </c>
      <c r="C1805" s="18" t="str">
        <f>IF('Marcación Workera'!B1805="","",UPPER(SUBSTITUTE('Marcación Workera'!B1805,".","")))</f>
        <v/>
      </c>
    </row>
    <row r="1806" spans="2:3" ht="15" customHeight="1" x14ac:dyDescent="0.3">
      <c r="B1806" s="17" t="str">
        <f>IF('Marcación Workera'!G1806="","",INT('Marcación Workera'!G1806))</f>
        <v/>
      </c>
      <c r="C1806" s="18" t="str">
        <f>IF('Marcación Workera'!B1806="","",UPPER(SUBSTITUTE('Marcación Workera'!B1806,".","")))</f>
        <v/>
      </c>
    </row>
    <row r="1807" spans="2:3" ht="15" customHeight="1" x14ac:dyDescent="0.3">
      <c r="B1807" s="17" t="str">
        <f>IF('Marcación Workera'!G1807="","",INT('Marcación Workera'!G1807))</f>
        <v/>
      </c>
      <c r="C1807" s="18" t="str">
        <f>IF('Marcación Workera'!B1807="","",UPPER(SUBSTITUTE('Marcación Workera'!B1807,".","")))</f>
        <v/>
      </c>
    </row>
    <row r="1808" spans="2:3" ht="15" customHeight="1" x14ac:dyDescent="0.3">
      <c r="B1808" s="17" t="str">
        <f>IF('Marcación Workera'!G1808="","",INT('Marcación Workera'!G1808))</f>
        <v/>
      </c>
      <c r="C1808" s="18" t="str">
        <f>IF('Marcación Workera'!B1808="","",UPPER(SUBSTITUTE('Marcación Workera'!B1808,".","")))</f>
        <v/>
      </c>
    </row>
    <row r="1809" spans="2:3" ht="15" customHeight="1" x14ac:dyDescent="0.3">
      <c r="B1809" s="17" t="str">
        <f>IF('Marcación Workera'!G1809="","",INT('Marcación Workera'!G1809))</f>
        <v/>
      </c>
      <c r="C1809" s="18" t="str">
        <f>IF('Marcación Workera'!B1809="","",UPPER(SUBSTITUTE('Marcación Workera'!B1809,".","")))</f>
        <v/>
      </c>
    </row>
    <row r="1810" spans="2:3" ht="15" customHeight="1" x14ac:dyDescent="0.3">
      <c r="B1810" s="17" t="str">
        <f>IF('Marcación Workera'!G1810="","",INT('Marcación Workera'!G1810))</f>
        <v/>
      </c>
      <c r="C1810" s="18" t="str">
        <f>IF('Marcación Workera'!B1810="","",UPPER(SUBSTITUTE('Marcación Workera'!B1810,".","")))</f>
        <v/>
      </c>
    </row>
    <row r="1811" spans="2:3" ht="15" customHeight="1" x14ac:dyDescent="0.3">
      <c r="B1811" s="17" t="str">
        <f>IF('Marcación Workera'!G1811="","",INT('Marcación Workera'!G1811))</f>
        <v/>
      </c>
      <c r="C1811" s="18" t="str">
        <f>IF('Marcación Workera'!B1811="","",UPPER(SUBSTITUTE('Marcación Workera'!B1811,".","")))</f>
        <v/>
      </c>
    </row>
    <row r="1812" spans="2:3" ht="15" customHeight="1" x14ac:dyDescent="0.3">
      <c r="B1812" s="17" t="str">
        <f>IF('Marcación Workera'!G1812="","",INT('Marcación Workera'!G1812))</f>
        <v/>
      </c>
      <c r="C1812" s="18" t="str">
        <f>IF('Marcación Workera'!B1812="","",UPPER(SUBSTITUTE('Marcación Workera'!B1812,".","")))</f>
        <v/>
      </c>
    </row>
    <row r="1813" spans="2:3" ht="15" customHeight="1" x14ac:dyDescent="0.3">
      <c r="B1813" s="17" t="str">
        <f>IF('Marcación Workera'!G1813="","",INT('Marcación Workera'!G1813))</f>
        <v/>
      </c>
      <c r="C1813" s="18" t="str">
        <f>IF('Marcación Workera'!B1813="","",UPPER(SUBSTITUTE('Marcación Workera'!B1813,".","")))</f>
        <v/>
      </c>
    </row>
    <row r="1814" spans="2:3" ht="15" customHeight="1" x14ac:dyDescent="0.3">
      <c r="B1814" s="17" t="str">
        <f>IF('Marcación Workera'!G1814="","",INT('Marcación Workera'!G1814))</f>
        <v/>
      </c>
      <c r="C1814" s="18" t="str">
        <f>IF('Marcación Workera'!B1814="","",UPPER(SUBSTITUTE('Marcación Workera'!B1814,".","")))</f>
        <v/>
      </c>
    </row>
    <row r="1815" spans="2:3" ht="15" customHeight="1" x14ac:dyDescent="0.3">
      <c r="B1815" s="17" t="str">
        <f>IF('Marcación Workera'!G1815="","",INT('Marcación Workera'!G1815))</f>
        <v/>
      </c>
      <c r="C1815" s="18" t="str">
        <f>IF('Marcación Workera'!B1815="","",UPPER(SUBSTITUTE('Marcación Workera'!B1815,".","")))</f>
        <v/>
      </c>
    </row>
    <row r="1816" spans="2:3" ht="15" customHeight="1" x14ac:dyDescent="0.3">
      <c r="B1816" s="17" t="str">
        <f>IF('Marcación Workera'!G1816="","",INT('Marcación Workera'!G1816))</f>
        <v/>
      </c>
      <c r="C1816" s="18" t="str">
        <f>IF('Marcación Workera'!B1816="","",UPPER(SUBSTITUTE('Marcación Workera'!B1816,".","")))</f>
        <v/>
      </c>
    </row>
    <row r="1817" spans="2:3" ht="15" customHeight="1" x14ac:dyDescent="0.3">
      <c r="B1817" s="17" t="str">
        <f>IF('Marcación Workera'!G1817="","",INT('Marcación Workera'!G1817))</f>
        <v/>
      </c>
      <c r="C1817" s="18" t="str">
        <f>IF('Marcación Workera'!B1817="","",UPPER(SUBSTITUTE('Marcación Workera'!B1817,".","")))</f>
        <v/>
      </c>
    </row>
    <row r="1818" spans="2:3" ht="15" customHeight="1" x14ac:dyDescent="0.3">
      <c r="B1818" s="17" t="str">
        <f>IF('Marcación Workera'!G1818="","",INT('Marcación Workera'!G1818))</f>
        <v/>
      </c>
      <c r="C1818" s="18" t="str">
        <f>IF('Marcación Workera'!B1818="","",UPPER(SUBSTITUTE('Marcación Workera'!B1818,".","")))</f>
        <v/>
      </c>
    </row>
    <row r="1819" spans="2:3" ht="15" customHeight="1" x14ac:dyDescent="0.3">
      <c r="B1819" s="17" t="str">
        <f>IF('Marcación Workera'!G1819="","",INT('Marcación Workera'!G1819))</f>
        <v/>
      </c>
      <c r="C1819" s="18" t="str">
        <f>IF('Marcación Workera'!B1819="","",UPPER(SUBSTITUTE('Marcación Workera'!B1819,".","")))</f>
        <v/>
      </c>
    </row>
    <row r="1820" spans="2:3" ht="15" customHeight="1" x14ac:dyDescent="0.3">
      <c r="B1820" s="17" t="str">
        <f>IF('Marcación Workera'!G1820="","",INT('Marcación Workera'!G1820))</f>
        <v/>
      </c>
      <c r="C1820" s="18" t="str">
        <f>IF('Marcación Workera'!B1820="","",UPPER(SUBSTITUTE('Marcación Workera'!B1820,".","")))</f>
        <v/>
      </c>
    </row>
    <row r="1821" spans="2:3" ht="15" customHeight="1" x14ac:dyDescent="0.3">
      <c r="B1821" s="17" t="str">
        <f>IF('Marcación Workera'!G1821="","",INT('Marcación Workera'!G1821))</f>
        <v/>
      </c>
      <c r="C1821" s="18" t="str">
        <f>IF('Marcación Workera'!B1821="","",UPPER(SUBSTITUTE('Marcación Workera'!B1821,".","")))</f>
        <v/>
      </c>
    </row>
    <row r="1822" spans="2:3" ht="15" customHeight="1" x14ac:dyDescent="0.3">
      <c r="B1822" s="17" t="str">
        <f>IF('Marcación Workera'!G1822="","",INT('Marcación Workera'!G1822))</f>
        <v/>
      </c>
      <c r="C1822" s="18" t="str">
        <f>IF('Marcación Workera'!B1822="","",UPPER(SUBSTITUTE('Marcación Workera'!B1822,".","")))</f>
        <v/>
      </c>
    </row>
    <row r="1823" spans="2:3" ht="15" customHeight="1" x14ac:dyDescent="0.3">
      <c r="B1823" s="17" t="str">
        <f>IF('Marcación Workera'!G1823="","",INT('Marcación Workera'!G1823))</f>
        <v/>
      </c>
      <c r="C1823" s="18" t="str">
        <f>IF('Marcación Workera'!B1823="","",UPPER(SUBSTITUTE('Marcación Workera'!B1823,".","")))</f>
        <v/>
      </c>
    </row>
    <row r="1824" spans="2:3" ht="15" customHeight="1" x14ac:dyDescent="0.3">
      <c r="B1824" s="17" t="str">
        <f>IF('Marcación Workera'!G1824="","",INT('Marcación Workera'!G1824))</f>
        <v/>
      </c>
      <c r="C1824" s="18" t="str">
        <f>IF('Marcación Workera'!B1824="","",UPPER(SUBSTITUTE('Marcación Workera'!B1824,".","")))</f>
        <v/>
      </c>
    </row>
    <row r="1825" spans="2:3" ht="15" customHeight="1" x14ac:dyDescent="0.3">
      <c r="B1825" s="17" t="str">
        <f>IF('Marcación Workera'!G1825="","",INT('Marcación Workera'!G1825))</f>
        <v/>
      </c>
      <c r="C1825" s="18" t="str">
        <f>IF('Marcación Workera'!B1825="","",UPPER(SUBSTITUTE('Marcación Workera'!B1825,".","")))</f>
        <v/>
      </c>
    </row>
    <row r="1826" spans="2:3" ht="15" customHeight="1" x14ac:dyDescent="0.3">
      <c r="B1826" s="17" t="str">
        <f>IF('Marcación Workera'!G1826="","",INT('Marcación Workera'!G1826))</f>
        <v/>
      </c>
      <c r="C1826" s="18" t="str">
        <f>IF('Marcación Workera'!B1826="","",UPPER(SUBSTITUTE('Marcación Workera'!B1826,".","")))</f>
        <v/>
      </c>
    </row>
    <row r="1827" spans="2:3" ht="15" customHeight="1" x14ac:dyDescent="0.3">
      <c r="B1827" s="17" t="str">
        <f>IF('Marcación Workera'!G1827="","",INT('Marcación Workera'!G1827))</f>
        <v/>
      </c>
      <c r="C1827" s="18" t="str">
        <f>IF('Marcación Workera'!B1827="","",UPPER(SUBSTITUTE('Marcación Workera'!B1827,".","")))</f>
        <v/>
      </c>
    </row>
    <row r="1828" spans="2:3" ht="15" customHeight="1" x14ac:dyDescent="0.3">
      <c r="B1828" s="17" t="str">
        <f>IF('Marcación Workera'!G1828="","",INT('Marcación Workera'!G1828))</f>
        <v/>
      </c>
      <c r="C1828" s="18" t="str">
        <f>IF('Marcación Workera'!B1828="","",UPPER(SUBSTITUTE('Marcación Workera'!B1828,".","")))</f>
        <v/>
      </c>
    </row>
    <row r="1829" spans="2:3" ht="15" customHeight="1" x14ac:dyDescent="0.3">
      <c r="B1829" s="17" t="str">
        <f>IF('Marcación Workera'!G1829="","",INT('Marcación Workera'!G1829))</f>
        <v/>
      </c>
      <c r="C1829" s="18" t="str">
        <f>IF('Marcación Workera'!B1829="","",UPPER(SUBSTITUTE('Marcación Workera'!B1829,".","")))</f>
        <v/>
      </c>
    </row>
    <row r="1830" spans="2:3" ht="15" customHeight="1" x14ac:dyDescent="0.3">
      <c r="B1830" s="17" t="str">
        <f>IF('Marcación Workera'!G1830="","",INT('Marcación Workera'!G1830))</f>
        <v/>
      </c>
      <c r="C1830" s="18" t="str">
        <f>IF('Marcación Workera'!B1830="","",UPPER(SUBSTITUTE('Marcación Workera'!B1830,".","")))</f>
        <v/>
      </c>
    </row>
    <row r="1831" spans="2:3" ht="15" customHeight="1" x14ac:dyDescent="0.3">
      <c r="B1831" s="17" t="str">
        <f>IF('Marcación Workera'!G1831="","",INT('Marcación Workera'!G1831))</f>
        <v/>
      </c>
      <c r="C1831" s="18" t="str">
        <f>IF('Marcación Workera'!B1831="","",UPPER(SUBSTITUTE('Marcación Workera'!B1831,".","")))</f>
        <v/>
      </c>
    </row>
    <row r="1832" spans="2:3" ht="15" customHeight="1" x14ac:dyDescent="0.3">
      <c r="B1832" s="17" t="str">
        <f>IF('Marcación Workera'!G1832="","",INT('Marcación Workera'!G1832))</f>
        <v/>
      </c>
      <c r="C1832" s="18" t="str">
        <f>IF('Marcación Workera'!B1832="","",UPPER(SUBSTITUTE('Marcación Workera'!B1832,".","")))</f>
        <v/>
      </c>
    </row>
    <row r="1833" spans="2:3" ht="15" customHeight="1" x14ac:dyDescent="0.3">
      <c r="B1833" s="17" t="str">
        <f>IF('Marcación Workera'!G1833="","",INT('Marcación Workera'!G1833))</f>
        <v/>
      </c>
      <c r="C1833" s="18" t="str">
        <f>IF('Marcación Workera'!B1833="","",UPPER(SUBSTITUTE('Marcación Workera'!B1833,".","")))</f>
        <v/>
      </c>
    </row>
    <row r="1834" spans="2:3" ht="15" customHeight="1" x14ac:dyDescent="0.3">
      <c r="B1834" s="17" t="str">
        <f>IF('Marcación Workera'!G1834="","",INT('Marcación Workera'!G1834))</f>
        <v/>
      </c>
      <c r="C1834" s="18" t="str">
        <f>IF('Marcación Workera'!B1834="","",UPPER(SUBSTITUTE('Marcación Workera'!B1834,".","")))</f>
        <v/>
      </c>
    </row>
    <row r="1835" spans="2:3" ht="15" customHeight="1" x14ac:dyDescent="0.3">
      <c r="B1835" s="17" t="str">
        <f>IF('Marcación Workera'!G1835="","",INT('Marcación Workera'!G1835))</f>
        <v/>
      </c>
      <c r="C1835" s="18" t="str">
        <f>IF('Marcación Workera'!B1835="","",UPPER(SUBSTITUTE('Marcación Workera'!B1835,".","")))</f>
        <v/>
      </c>
    </row>
    <row r="1836" spans="2:3" ht="15" customHeight="1" x14ac:dyDescent="0.3">
      <c r="B1836" s="17" t="str">
        <f>IF('Marcación Workera'!G1836="","",INT('Marcación Workera'!G1836))</f>
        <v/>
      </c>
      <c r="C1836" s="18" t="str">
        <f>IF('Marcación Workera'!B1836="","",UPPER(SUBSTITUTE('Marcación Workera'!B1836,".","")))</f>
        <v/>
      </c>
    </row>
    <row r="1837" spans="2:3" ht="15" customHeight="1" x14ac:dyDescent="0.3">
      <c r="B1837" s="17" t="str">
        <f>IF('Marcación Workera'!G1837="","",INT('Marcación Workera'!G1837))</f>
        <v/>
      </c>
      <c r="C1837" s="18" t="str">
        <f>IF('Marcación Workera'!B1837="","",UPPER(SUBSTITUTE('Marcación Workera'!B1837,".","")))</f>
        <v/>
      </c>
    </row>
    <row r="1838" spans="2:3" ht="15" customHeight="1" x14ac:dyDescent="0.3">
      <c r="B1838" s="17" t="str">
        <f>IF('Marcación Workera'!G1838="","",INT('Marcación Workera'!G1838))</f>
        <v/>
      </c>
      <c r="C1838" s="18" t="str">
        <f>IF('Marcación Workera'!B1838="","",UPPER(SUBSTITUTE('Marcación Workera'!B1838,".","")))</f>
        <v/>
      </c>
    </row>
    <row r="1839" spans="2:3" ht="15" customHeight="1" x14ac:dyDescent="0.3">
      <c r="B1839" s="17" t="str">
        <f>IF('Marcación Workera'!G1839="","",INT('Marcación Workera'!G1839))</f>
        <v/>
      </c>
      <c r="C1839" s="18" t="str">
        <f>IF('Marcación Workera'!B1839="","",UPPER(SUBSTITUTE('Marcación Workera'!B1839,".","")))</f>
        <v/>
      </c>
    </row>
    <row r="1840" spans="2:3" ht="15" customHeight="1" x14ac:dyDescent="0.3">
      <c r="B1840" s="17" t="str">
        <f>IF('Marcación Workera'!G1840="","",INT('Marcación Workera'!G1840))</f>
        <v/>
      </c>
      <c r="C1840" s="18" t="str">
        <f>IF('Marcación Workera'!B1840="","",UPPER(SUBSTITUTE('Marcación Workera'!B1840,".","")))</f>
        <v/>
      </c>
    </row>
    <row r="1841" spans="2:3" ht="15" customHeight="1" x14ac:dyDescent="0.3">
      <c r="B1841" s="17" t="str">
        <f>IF('Marcación Workera'!G1841="","",INT('Marcación Workera'!G1841))</f>
        <v/>
      </c>
      <c r="C1841" s="18" t="str">
        <f>IF('Marcación Workera'!B1841="","",UPPER(SUBSTITUTE('Marcación Workera'!B1841,".","")))</f>
        <v/>
      </c>
    </row>
    <row r="1842" spans="2:3" ht="15" customHeight="1" x14ac:dyDescent="0.3">
      <c r="B1842" s="17" t="str">
        <f>IF('Marcación Workera'!G1842="","",INT('Marcación Workera'!G1842))</f>
        <v/>
      </c>
      <c r="C1842" s="18" t="str">
        <f>IF('Marcación Workera'!B1842="","",UPPER(SUBSTITUTE('Marcación Workera'!B1842,".","")))</f>
        <v/>
      </c>
    </row>
    <row r="1843" spans="2:3" ht="15" customHeight="1" x14ac:dyDescent="0.3">
      <c r="B1843" s="17" t="str">
        <f>IF('Marcación Workera'!G1843="","",INT('Marcación Workera'!G1843))</f>
        <v/>
      </c>
      <c r="C1843" s="18" t="str">
        <f>IF('Marcación Workera'!B1843="","",UPPER(SUBSTITUTE('Marcación Workera'!B1843,".","")))</f>
        <v/>
      </c>
    </row>
    <row r="1844" spans="2:3" ht="15" customHeight="1" x14ac:dyDescent="0.3">
      <c r="B1844" s="17" t="str">
        <f>IF('Marcación Workera'!G1844="","",INT('Marcación Workera'!G1844))</f>
        <v/>
      </c>
      <c r="C1844" s="18" t="str">
        <f>IF('Marcación Workera'!B1844="","",UPPER(SUBSTITUTE('Marcación Workera'!B1844,".","")))</f>
        <v/>
      </c>
    </row>
    <row r="1845" spans="2:3" ht="15" customHeight="1" x14ac:dyDescent="0.3">
      <c r="B1845" s="17" t="str">
        <f>IF('Marcación Workera'!G1845="","",INT('Marcación Workera'!G1845))</f>
        <v/>
      </c>
      <c r="C1845" s="18" t="str">
        <f>IF('Marcación Workera'!B1845="","",UPPER(SUBSTITUTE('Marcación Workera'!B1845,".","")))</f>
        <v/>
      </c>
    </row>
    <row r="1846" spans="2:3" ht="15" customHeight="1" x14ac:dyDescent="0.3">
      <c r="B1846" s="17" t="str">
        <f>IF('Marcación Workera'!G1846="","",INT('Marcación Workera'!G1846))</f>
        <v/>
      </c>
      <c r="C1846" s="18" t="str">
        <f>IF('Marcación Workera'!B1846="","",UPPER(SUBSTITUTE('Marcación Workera'!B1846,".","")))</f>
        <v/>
      </c>
    </row>
    <row r="1847" spans="2:3" ht="15" customHeight="1" x14ac:dyDescent="0.3">
      <c r="B1847" s="17" t="str">
        <f>IF('Marcación Workera'!G1847="","",INT('Marcación Workera'!G1847))</f>
        <v/>
      </c>
      <c r="C1847" s="18" t="str">
        <f>IF('Marcación Workera'!B1847="","",UPPER(SUBSTITUTE('Marcación Workera'!B1847,".","")))</f>
        <v/>
      </c>
    </row>
    <row r="1848" spans="2:3" ht="15" customHeight="1" x14ac:dyDescent="0.3">
      <c r="B1848" s="17" t="str">
        <f>IF('Marcación Workera'!G1848="","",INT('Marcación Workera'!G1848))</f>
        <v/>
      </c>
      <c r="C1848" s="18" t="str">
        <f>IF('Marcación Workera'!B1848="","",UPPER(SUBSTITUTE('Marcación Workera'!B1848,".","")))</f>
        <v/>
      </c>
    </row>
    <row r="1849" spans="2:3" ht="15" customHeight="1" x14ac:dyDescent="0.3">
      <c r="B1849" s="17" t="str">
        <f>IF('Marcación Workera'!G1849="","",INT('Marcación Workera'!G1849))</f>
        <v/>
      </c>
      <c r="C1849" s="18" t="str">
        <f>IF('Marcación Workera'!B1849="","",UPPER(SUBSTITUTE('Marcación Workera'!B1849,".","")))</f>
        <v/>
      </c>
    </row>
    <row r="1850" spans="2:3" ht="15" customHeight="1" x14ac:dyDescent="0.3">
      <c r="B1850" s="17" t="str">
        <f>IF('Marcación Workera'!G1850="","",INT('Marcación Workera'!G1850))</f>
        <v/>
      </c>
      <c r="C1850" s="18" t="str">
        <f>IF('Marcación Workera'!B1850="","",UPPER(SUBSTITUTE('Marcación Workera'!B1850,".","")))</f>
        <v/>
      </c>
    </row>
    <row r="1851" spans="2:3" ht="15" customHeight="1" x14ac:dyDescent="0.3">
      <c r="B1851" s="17" t="str">
        <f>IF('Marcación Workera'!G1851="","",INT('Marcación Workera'!G1851))</f>
        <v/>
      </c>
      <c r="C1851" s="18" t="str">
        <f>IF('Marcación Workera'!B1851="","",UPPER(SUBSTITUTE('Marcación Workera'!B1851,".","")))</f>
        <v/>
      </c>
    </row>
    <row r="1852" spans="2:3" ht="15" customHeight="1" x14ac:dyDescent="0.3">
      <c r="B1852" s="17" t="str">
        <f>IF('Marcación Workera'!G1852="","",INT('Marcación Workera'!G1852))</f>
        <v/>
      </c>
      <c r="C1852" s="18" t="str">
        <f>IF('Marcación Workera'!B1852="","",UPPER(SUBSTITUTE('Marcación Workera'!B1852,".","")))</f>
        <v/>
      </c>
    </row>
    <row r="1853" spans="2:3" ht="15" customHeight="1" x14ac:dyDescent="0.3">
      <c r="B1853" s="17" t="str">
        <f>IF('Marcación Workera'!G1853="","",INT('Marcación Workera'!G1853))</f>
        <v/>
      </c>
      <c r="C1853" s="18" t="str">
        <f>IF('Marcación Workera'!B1853="","",UPPER(SUBSTITUTE('Marcación Workera'!B1853,".","")))</f>
        <v/>
      </c>
    </row>
    <row r="1854" spans="2:3" ht="15" customHeight="1" x14ac:dyDescent="0.3">
      <c r="B1854" s="17" t="str">
        <f>IF('Marcación Workera'!G1854="","",INT('Marcación Workera'!G1854))</f>
        <v/>
      </c>
      <c r="C1854" s="18" t="str">
        <f>IF('Marcación Workera'!B1854="","",UPPER(SUBSTITUTE('Marcación Workera'!B1854,".","")))</f>
        <v/>
      </c>
    </row>
    <row r="1855" spans="2:3" ht="15" customHeight="1" x14ac:dyDescent="0.3">
      <c r="B1855" s="17" t="str">
        <f>IF('Marcación Workera'!G1855="","",INT('Marcación Workera'!G1855))</f>
        <v/>
      </c>
      <c r="C1855" s="18" t="str">
        <f>IF('Marcación Workera'!B1855="","",UPPER(SUBSTITUTE('Marcación Workera'!B1855,".","")))</f>
        <v/>
      </c>
    </row>
    <row r="1856" spans="2:3" ht="15" customHeight="1" x14ac:dyDescent="0.3">
      <c r="B1856" s="17" t="str">
        <f>IF('Marcación Workera'!G1856="","",INT('Marcación Workera'!G1856))</f>
        <v/>
      </c>
      <c r="C1856" s="18" t="str">
        <f>IF('Marcación Workera'!B1856="","",UPPER(SUBSTITUTE('Marcación Workera'!B1856,".","")))</f>
        <v/>
      </c>
    </row>
    <row r="1857" spans="2:3" ht="15" customHeight="1" x14ac:dyDescent="0.3">
      <c r="B1857" s="17" t="str">
        <f>IF('Marcación Workera'!G1857="","",INT('Marcación Workera'!G1857))</f>
        <v/>
      </c>
      <c r="C1857" s="18" t="str">
        <f>IF('Marcación Workera'!B1857="","",UPPER(SUBSTITUTE('Marcación Workera'!B1857,".","")))</f>
        <v/>
      </c>
    </row>
    <row r="1858" spans="2:3" ht="15" customHeight="1" x14ac:dyDescent="0.3">
      <c r="B1858" s="17" t="str">
        <f>IF('Marcación Workera'!G1858="","",INT('Marcación Workera'!G1858))</f>
        <v/>
      </c>
      <c r="C1858" s="18" t="str">
        <f>IF('Marcación Workera'!B1858="","",UPPER(SUBSTITUTE('Marcación Workera'!B1858,".","")))</f>
        <v/>
      </c>
    </row>
    <row r="1859" spans="2:3" ht="15" customHeight="1" x14ac:dyDescent="0.3">
      <c r="B1859" s="17" t="str">
        <f>IF('Marcación Workera'!G1859="","",INT('Marcación Workera'!G1859))</f>
        <v/>
      </c>
      <c r="C1859" s="18" t="str">
        <f>IF('Marcación Workera'!B1859="","",UPPER(SUBSTITUTE('Marcación Workera'!B1859,".","")))</f>
        <v/>
      </c>
    </row>
    <row r="1860" spans="2:3" ht="15" customHeight="1" x14ac:dyDescent="0.3">
      <c r="B1860" s="17" t="str">
        <f>IF('Marcación Workera'!G1860="","",INT('Marcación Workera'!G1860))</f>
        <v/>
      </c>
      <c r="C1860" s="18" t="str">
        <f>IF('Marcación Workera'!B1860="","",UPPER(SUBSTITUTE('Marcación Workera'!B1860,".","")))</f>
        <v/>
      </c>
    </row>
    <row r="1861" spans="2:3" ht="15" customHeight="1" x14ac:dyDescent="0.3">
      <c r="B1861" s="17" t="str">
        <f>IF('Marcación Workera'!G1861="","",INT('Marcación Workera'!G1861))</f>
        <v/>
      </c>
      <c r="C1861" s="18" t="str">
        <f>IF('Marcación Workera'!B1861="","",UPPER(SUBSTITUTE('Marcación Workera'!B1861,".","")))</f>
        <v/>
      </c>
    </row>
    <row r="1862" spans="2:3" ht="15" customHeight="1" x14ac:dyDescent="0.3">
      <c r="B1862" s="17" t="str">
        <f>IF('Marcación Workera'!G1862="","",INT('Marcación Workera'!G1862))</f>
        <v/>
      </c>
      <c r="C1862" s="18" t="str">
        <f>IF('Marcación Workera'!B1862="","",UPPER(SUBSTITUTE('Marcación Workera'!B1862,".","")))</f>
        <v/>
      </c>
    </row>
    <row r="1863" spans="2:3" ht="15" customHeight="1" x14ac:dyDescent="0.3">
      <c r="B1863" s="17" t="str">
        <f>IF('Marcación Workera'!G1863="","",INT('Marcación Workera'!G1863))</f>
        <v/>
      </c>
      <c r="C1863" s="18" t="str">
        <f>IF('Marcación Workera'!B1863="","",UPPER(SUBSTITUTE('Marcación Workera'!B1863,".","")))</f>
        <v/>
      </c>
    </row>
    <row r="1864" spans="2:3" ht="15" customHeight="1" x14ac:dyDescent="0.3">
      <c r="B1864" s="17" t="str">
        <f>IF('Marcación Workera'!G1864="","",INT('Marcación Workera'!G1864))</f>
        <v/>
      </c>
      <c r="C1864" s="18" t="str">
        <f>IF('Marcación Workera'!B1864="","",UPPER(SUBSTITUTE('Marcación Workera'!B1864,".","")))</f>
        <v/>
      </c>
    </row>
    <row r="1865" spans="2:3" ht="15" customHeight="1" x14ac:dyDescent="0.3">
      <c r="B1865" s="17" t="str">
        <f>IF('Marcación Workera'!G1865="","",INT('Marcación Workera'!G1865))</f>
        <v/>
      </c>
      <c r="C1865" s="18" t="str">
        <f>IF('Marcación Workera'!B1865="","",UPPER(SUBSTITUTE('Marcación Workera'!B1865,".","")))</f>
        <v/>
      </c>
    </row>
    <row r="1866" spans="2:3" ht="15" customHeight="1" x14ac:dyDescent="0.3">
      <c r="B1866" s="17" t="str">
        <f>IF('Marcación Workera'!G1866="","",INT('Marcación Workera'!G1866))</f>
        <v/>
      </c>
      <c r="C1866" s="18" t="str">
        <f>IF('Marcación Workera'!B1866="","",UPPER(SUBSTITUTE('Marcación Workera'!B1866,".","")))</f>
        <v/>
      </c>
    </row>
    <row r="1867" spans="2:3" ht="15" customHeight="1" x14ac:dyDescent="0.3">
      <c r="B1867" s="17" t="str">
        <f>IF('Marcación Workera'!G1867="","",INT('Marcación Workera'!G1867))</f>
        <v/>
      </c>
      <c r="C1867" s="18" t="str">
        <f>IF('Marcación Workera'!B1867="","",UPPER(SUBSTITUTE('Marcación Workera'!B1867,".","")))</f>
        <v/>
      </c>
    </row>
    <row r="1868" spans="2:3" ht="15" customHeight="1" x14ac:dyDescent="0.3">
      <c r="B1868" s="17" t="str">
        <f>IF('Marcación Workera'!G1868="","",INT('Marcación Workera'!G1868))</f>
        <v/>
      </c>
      <c r="C1868" s="18" t="str">
        <f>IF('Marcación Workera'!B1868="","",UPPER(SUBSTITUTE('Marcación Workera'!B1868,".","")))</f>
        <v/>
      </c>
    </row>
    <row r="1869" spans="2:3" ht="15" customHeight="1" x14ac:dyDescent="0.3">
      <c r="B1869" s="17" t="str">
        <f>IF('Marcación Workera'!G1869="","",INT('Marcación Workera'!G1869))</f>
        <v/>
      </c>
      <c r="C1869" s="18" t="str">
        <f>IF('Marcación Workera'!B1869="","",UPPER(SUBSTITUTE('Marcación Workera'!B1869,".","")))</f>
        <v/>
      </c>
    </row>
    <row r="1870" spans="2:3" ht="15" customHeight="1" x14ac:dyDescent="0.3">
      <c r="B1870" s="17" t="str">
        <f>IF('Marcación Workera'!G1870="","",INT('Marcación Workera'!G1870))</f>
        <v/>
      </c>
      <c r="C1870" s="18" t="str">
        <f>IF('Marcación Workera'!B1870="","",UPPER(SUBSTITUTE('Marcación Workera'!B1870,".","")))</f>
        <v/>
      </c>
    </row>
    <row r="1871" spans="2:3" ht="15" customHeight="1" x14ac:dyDescent="0.3">
      <c r="B1871" s="17" t="str">
        <f>IF('Marcación Workera'!G1871="","",INT('Marcación Workera'!G1871))</f>
        <v/>
      </c>
      <c r="C1871" s="18" t="str">
        <f>IF('Marcación Workera'!B1871="","",UPPER(SUBSTITUTE('Marcación Workera'!B1871,".","")))</f>
        <v/>
      </c>
    </row>
    <row r="1872" spans="2:3" ht="15" customHeight="1" x14ac:dyDescent="0.3">
      <c r="B1872" s="17" t="str">
        <f>IF('Marcación Workera'!G1872="","",INT('Marcación Workera'!G1872))</f>
        <v/>
      </c>
      <c r="C1872" s="18" t="str">
        <f>IF('Marcación Workera'!B1872="","",UPPER(SUBSTITUTE('Marcación Workera'!B1872,".","")))</f>
        <v/>
      </c>
    </row>
    <row r="1873" spans="2:3" ht="15" customHeight="1" x14ac:dyDescent="0.3">
      <c r="B1873" s="17" t="str">
        <f>IF('Marcación Workera'!G1873="","",INT('Marcación Workera'!G1873))</f>
        <v/>
      </c>
      <c r="C1873" s="18" t="str">
        <f>IF('Marcación Workera'!B1873="","",UPPER(SUBSTITUTE('Marcación Workera'!B1873,".","")))</f>
        <v/>
      </c>
    </row>
    <row r="1874" spans="2:3" ht="15" customHeight="1" x14ac:dyDescent="0.3">
      <c r="B1874" s="17" t="str">
        <f>IF('Marcación Workera'!G1874="","",INT('Marcación Workera'!G1874))</f>
        <v/>
      </c>
      <c r="C1874" s="18" t="str">
        <f>IF('Marcación Workera'!B1874="","",UPPER(SUBSTITUTE('Marcación Workera'!B1874,".","")))</f>
        <v/>
      </c>
    </row>
    <row r="1875" spans="2:3" ht="15" customHeight="1" x14ac:dyDescent="0.3">
      <c r="B1875" s="17" t="str">
        <f>IF('Marcación Workera'!G1875="","",INT('Marcación Workera'!G1875))</f>
        <v/>
      </c>
      <c r="C1875" s="18" t="str">
        <f>IF('Marcación Workera'!B1875="","",UPPER(SUBSTITUTE('Marcación Workera'!B1875,".","")))</f>
        <v/>
      </c>
    </row>
    <row r="1876" spans="2:3" ht="15" customHeight="1" x14ac:dyDescent="0.3">
      <c r="B1876" s="17" t="str">
        <f>IF('Marcación Workera'!G1876="","",INT('Marcación Workera'!G1876))</f>
        <v/>
      </c>
      <c r="C1876" s="18" t="str">
        <f>IF('Marcación Workera'!B1876="","",UPPER(SUBSTITUTE('Marcación Workera'!B1876,".","")))</f>
        <v/>
      </c>
    </row>
    <row r="1877" spans="2:3" ht="15" customHeight="1" x14ac:dyDescent="0.3">
      <c r="B1877" s="17" t="str">
        <f>IF('Marcación Workera'!G1877="","",INT('Marcación Workera'!G1877))</f>
        <v/>
      </c>
      <c r="C1877" s="18" t="str">
        <f>IF('Marcación Workera'!B1877="","",UPPER(SUBSTITUTE('Marcación Workera'!B1877,".","")))</f>
        <v/>
      </c>
    </row>
    <row r="1878" spans="2:3" ht="15" customHeight="1" x14ac:dyDescent="0.3">
      <c r="B1878" s="17" t="str">
        <f>IF('Marcación Workera'!G1878="","",INT('Marcación Workera'!G1878))</f>
        <v/>
      </c>
      <c r="C1878" s="18" t="str">
        <f>IF('Marcación Workera'!B1878="","",UPPER(SUBSTITUTE('Marcación Workera'!B1878,".","")))</f>
        <v/>
      </c>
    </row>
    <row r="1879" spans="2:3" ht="15" customHeight="1" x14ac:dyDescent="0.3">
      <c r="B1879" s="17" t="str">
        <f>IF('Marcación Workera'!G1879="","",INT('Marcación Workera'!G1879))</f>
        <v/>
      </c>
      <c r="C1879" s="18" t="str">
        <f>IF('Marcación Workera'!B1879="","",UPPER(SUBSTITUTE('Marcación Workera'!B1879,".","")))</f>
        <v/>
      </c>
    </row>
    <row r="1880" spans="2:3" ht="15" customHeight="1" x14ac:dyDescent="0.3">
      <c r="B1880" s="17" t="str">
        <f>IF('Marcación Workera'!G1880="","",INT('Marcación Workera'!G1880))</f>
        <v/>
      </c>
      <c r="C1880" s="18" t="str">
        <f>IF('Marcación Workera'!B1880="","",UPPER(SUBSTITUTE('Marcación Workera'!B1880,".","")))</f>
        <v/>
      </c>
    </row>
    <row r="1881" spans="2:3" ht="15" customHeight="1" x14ac:dyDescent="0.3">
      <c r="B1881" s="17" t="str">
        <f>IF('Marcación Workera'!G1881="","",INT('Marcación Workera'!G1881))</f>
        <v/>
      </c>
      <c r="C1881" s="18" t="str">
        <f>IF('Marcación Workera'!B1881="","",UPPER(SUBSTITUTE('Marcación Workera'!B1881,".","")))</f>
        <v/>
      </c>
    </row>
    <row r="1882" spans="2:3" ht="15" customHeight="1" x14ac:dyDescent="0.3">
      <c r="B1882" s="17" t="str">
        <f>IF('Marcación Workera'!G1882="","",INT('Marcación Workera'!G1882))</f>
        <v/>
      </c>
      <c r="C1882" s="18" t="str">
        <f>IF('Marcación Workera'!B1882="","",UPPER(SUBSTITUTE('Marcación Workera'!B1882,".","")))</f>
        <v/>
      </c>
    </row>
    <row r="1883" spans="2:3" ht="15" customHeight="1" x14ac:dyDescent="0.3">
      <c r="B1883" s="17" t="str">
        <f>IF('Marcación Workera'!G1883="","",INT('Marcación Workera'!G1883))</f>
        <v/>
      </c>
      <c r="C1883" s="18" t="str">
        <f>IF('Marcación Workera'!B1883="","",UPPER(SUBSTITUTE('Marcación Workera'!B1883,".","")))</f>
        <v/>
      </c>
    </row>
    <row r="1884" spans="2:3" ht="15" customHeight="1" x14ac:dyDescent="0.3">
      <c r="B1884" s="17" t="str">
        <f>IF('Marcación Workera'!G1884="","",INT('Marcación Workera'!G1884))</f>
        <v/>
      </c>
      <c r="C1884" s="18" t="str">
        <f>IF('Marcación Workera'!B1884="","",UPPER(SUBSTITUTE('Marcación Workera'!B1884,".","")))</f>
        <v/>
      </c>
    </row>
    <row r="1885" spans="2:3" ht="15" customHeight="1" x14ac:dyDescent="0.3">
      <c r="B1885" s="17" t="str">
        <f>IF('Marcación Workera'!G1885="","",INT('Marcación Workera'!G1885))</f>
        <v/>
      </c>
      <c r="C1885" s="18" t="str">
        <f>IF('Marcación Workera'!B1885="","",UPPER(SUBSTITUTE('Marcación Workera'!B1885,".","")))</f>
        <v/>
      </c>
    </row>
    <row r="1886" spans="2:3" ht="15" customHeight="1" x14ac:dyDescent="0.3">
      <c r="B1886" s="17" t="str">
        <f>IF('Marcación Workera'!G1886="","",INT('Marcación Workera'!G1886))</f>
        <v/>
      </c>
      <c r="C1886" s="18" t="str">
        <f>IF('Marcación Workera'!B1886="","",UPPER(SUBSTITUTE('Marcación Workera'!B1886,".","")))</f>
        <v/>
      </c>
    </row>
    <row r="1887" spans="2:3" ht="15" customHeight="1" x14ac:dyDescent="0.3">
      <c r="B1887" s="17" t="str">
        <f>IF('Marcación Workera'!G1887="","",INT('Marcación Workera'!G1887))</f>
        <v/>
      </c>
      <c r="C1887" s="18" t="str">
        <f>IF('Marcación Workera'!B1887="","",UPPER(SUBSTITUTE('Marcación Workera'!B1887,".","")))</f>
        <v/>
      </c>
    </row>
    <row r="1888" spans="2:3" ht="15" customHeight="1" x14ac:dyDescent="0.3">
      <c r="B1888" s="17" t="str">
        <f>IF('Marcación Workera'!G1888="","",INT('Marcación Workera'!G1888))</f>
        <v/>
      </c>
      <c r="C1888" s="18" t="str">
        <f>IF('Marcación Workera'!B1888="","",UPPER(SUBSTITUTE('Marcación Workera'!B1888,".","")))</f>
        <v/>
      </c>
    </row>
    <row r="1889" spans="2:3" ht="15" customHeight="1" x14ac:dyDescent="0.3">
      <c r="B1889" s="17" t="str">
        <f>IF('Marcación Workera'!G1889="","",INT('Marcación Workera'!G1889))</f>
        <v/>
      </c>
      <c r="C1889" s="18" t="str">
        <f>IF('Marcación Workera'!B1889="","",UPPER(SUBSTITUTE('Marcación Workera'!B1889,".","")))</f>
        <v/>
      </c>
    </row>
    <row r="1890" spans="2:3" ht="15" customHeight="1" x14ac:dyDescent="0.3">
      <c r="B1890" s="17" t="str">
        <f>IF('Marcación Workera'!G1890="","",INT('Marcación Workera'!G1890))</f>
        <v/>
      </c>
      <c r="C1890" s="18" t="str">
        <f>IF('Marcación Workera'!B1890="","",UPPER(SUBSTITUTE('Marcación Workera'!B1890,".","")))</f>
        <v/>
      </c>
    </row>
    <row r="1891" spans="2:3" ht="15" customHeight="1" x14ac:dyDescent="0.3">
      <c r="B1891" s="17" t="str">
        <f>IF('Marcación Workera'!G1891="","",INT('Marcación Workera'!G1891))</f>
        <v/>
      </c>
      <c r="C1891" s="18" t="str">
        <f>IF('Marcación Workera'!B1891="","",UPPER(SUBSTITUTE('Marcación Workera'!B1891,".","")))</f>
        <v/>
      </c>
    </row>
    <row r="1892" spans="2:3" ht="15" customHeight="1" x14ac:dyDescent="0.3">
      <c r="B1892" s="17" t="str">
        <f>IF('Marcación Workera'!G1892="","",INT('Marcación Workera'!G1892))</f>
        <v/>
      </c>
      <c r="C1892" s="18" t="str">
        <f>IF('Marcación Workera'!B1892="","",UPPER(SUBSTITUTE('Marcación Workera'!B1892,".","")))</f>
        <v/>
      </c>
    </row>
    <row r="1893" spans="2:3" ht="15" customHeight="1" x14ac:dyDescent="0.3">
      <c r="B1893" s="17" t="str">
        <f>IF('Marcación Workera'!G1893="","",INT('Marcación Workera'!G1893))</f>
        <v/>
      </c>
      <c r="C1893" s="18" t="str">
        <f>IF('Marcación Workera'!B1893="","",UPPER(SUBSTITUTE('Marcación Workera'!B1893,".","")))</f>
        <v/>
      </c>
    </row>
    <row r="1894" spans="2:3" ht="15" customHeight="1" x14ac:dyDescent="0.3">
      <c r="B1894" s="17" t="str">
        <f>IF('Marcación Workera'!G1894="","",INT('Marcación Workera'!G1894))</f>
        <v/>
      </c>
      <c r="C1894" s="18" t="str">
        <f>IF('Marcación Workera'!B1894="","",UPPER(SUBSTITUTE('Marcación Workera'!B1894,".","")))</f>
        <v/>
      </c>
    </row>
    <row r="1895" spans="2:3" ht="15" customHeight="1" x14ac:dyDescent="0.3">
      <c r="B1895" s="17" t="str">
        <f>IF('Marcación Workera'!G1895="","",INT('Marcación Workera'!G1895))</f>
        <v/>
      </c>
      <c r="C1895" s="18" t="str">
        <f>IF('Marcación Workera'!B1895="","",UPPER(SUBSTITUTE('Marcación Workera'!B1895,".","")))</f>
        <v/>
      </c>
    </row>
    <row r="1896" spans="2:3" ht="15" customHeight="1" x14ac:dyDescent="0.3">
      <c r="B1896" s="17" t="str">
        <f>IF('Marcación Workera'!G1896="","",INT('Marcación Workera'!G1896))</f>
        <v/>
      </c>
      <c r="C1896" s="18" t="str">
        <f>IF('Marcación Workera'!B1896="","",UPPER(SUBSTITUTE('Marcación Workera'!B1896,".","")))</f>
        <v/>
      </c>
    </row>
    <row r="1897" spans="2:3" ht="15" customHeight="1" x14ac:dyDescent="0.3">
      <c r="B1897" s="17" t="str">
        <f>IF('Marcación Workera'!G1897="","",INT('Marcación Workera'!G1897))</f>
        <v/>
      </c>
      <c r="C1897" s="18" t="str">
        <f>IF('Marcación Workera'!B1897="","",UPPER(SUBSTITUTE('Marcación Workera'!B1897,".","")))</f>
        <v/>
      </c>
    </row>
    <row r="1898" spans="2:3" ht="15" customHeight="1" x14ac:dyDescent="0.3">
      <c r="B1898" s="17" t="str">
        <f>IF('Marcación Workera'!G1898="","",INT('Marcación Workera'!G1898))</f>
        <v/>
      </c>
      <c r="C1898" s="18" t="str">
        <f>IF('Marcación Workera'!B1898="","",UPPER(SUBSTITUTE('Marcación Workera'!B1898,".","")))</f>
        <v/>
      </c>
    </row>
    <row r="1899" spans="2:3" ht="15" customHeight="1" x14ac:dyDescent="0.3">
      <c r="B1899" s="17" t="str">
        <f>IF('Marcación Workera'!G1899="","",INT('Marcación Workera'!G1899))</f>
        <v/>
      </c>
      <c r="C1899" s="18" t="str">
        <f>IF('Marcación Workera'!B1899="","",UPPER(SUBSTITUTE('Marcación Workera'!B1899,".","")))</f>
        <v/>
      </c>
    </row>
    <row r="1900" spans="2:3" ht="15" customHeight="1" x14ac:dyDescent="0.3">
      <c r="B1900" s="17" t="str">
        <f>IF('Marcación Workera'!G1900="","",INT('Marcación Workera'!G1900))</f>
        <v/>
      </c>
      <c r="C1900" s="18" t="str">
        <f>IF('Marcación Workera'!B1900="","",UPPER(SUBSTITUTE('Marcación Workera'!B1900,".","")))</f>
        <v/>
      </c>
    </row>
    <row r="1901" spans="2:3" ht="15" customHeight="1" x14ac:dyDescent="0.3">
      <c r="B1901" s="17" t="str">
        <f>IF('Marcación Workera'!G1901="","",INT('Marcación Workera'!G1901))</f>
        <v/>
      </c>
      <c r="C1901" s="18" t="str">
        <f>IF('Marcación Workera'!B1901="","",UPPER(SUBSTITUTE('Marcación Workera'!B1901,".","")))</f>
        <v/>
      </c>
    </row>
    <row r="1902" spans="2:3" ht="15" customHeight="1" x14ac:dyDescent="0.3">
      <c r="B1902" s="17" t="str">
        <f>IF('Marcación Workera'!G1902="","",INT('Marcación Workera'!G1902))</f>
        <v/>
      </c>
      <c r="C1902" s="18" t="str">
        <f>IF('Marcación Workera'!B1902="","",UPPER(SUBSTITUTE('Marcación Workera'!B1902,".","")))</f>
        <v/>
      </c>
    </row>
    <row r="1903" spans="2:3" ht="15" customHeight="1" x14ac:dyDescent="0.3">
      <c r="B1903" s="17" t="str">
        <f>IF('Marcación Workera'!G1903="","",INT('Marcación Workera'!G1903))</f>
        <v/>
      </c>
      <c r="C1903" s="18" t="str">
        <f>IF('Marcación Workera'!B1903="","",UPPER(SUBSTITUTE('Marcación Workera'!B1903,".","")))</f>
        <v/>
      </c>
    </row>
    <row r="1904" spans="2:3" ht="15" customHeight="1" x14ac:dyDescent="0.3">
      <c r="B1904" s="17" t="str">
        <f>IF('Marcación Workera'!G1904="","",INT('Marcación Workera'!G1904))</f>
        <v/>
      </c>
      <c r="C1904" s="18" t="str">
        <f>IF('Marcación Workera'!B1904="","",UPPER(SUBSTITUTE('Marcación Workera'!B1904,".","")))</f>
        <v/>
      </c>
    </row>
    <row r="1905" spans="2:3" ht="15" customHeight="1" x14ac:dyDescent="0.3">
      <c r="B1905" s="17" t="str">
        <f>IF('Marcación Workera'!G1905="","",INT('Marcación Workera'!G1905))</f>
        <v/>
      </c>
      <c r="C1905" s="18" t="str">
        <f>IF('Marcación Workera'!B1905="","",UPPER(SUBSTITUTE('Marcación Workera'!B1905,".","")))</f>
        <v/>
      </c>
    </row>
    <row r="1906" spans="2:3" ht="15" customHeight="1" x14ac:dyDescent="0.3">
      <c r="B1906" s="17" t="str">
        <f>IF('Marcación Workera'!G1906="","",INT('Marcación Workera'!G1906))</f>
        <v/>
      </c>
      <c r="C1906" s="18" t="str">
        <f>IF('Marcación Workera'!B1906="","",UPPER(SUBSTITUTE('Marcación Workera'!B1906,".","")))</f>
        <v/>
      </c>
    </row>
    <row r="1907" spans="2:3" ht="15" customHeight="1" x14ac:dyDescent="0.3">
      <c r="B1907" s="17" t="str">
        <f>IF('Marcación Workera'!G1907="","",INT('Marcación Workera'!G1907))</f>
        <v/>
      </c>
      <c r="C1907" s="18" t="str">
        <f>IF('Marcación Workera'!B1907="","",UPPER(SUBSTITUTE('Marcación Workera'!B1907,".","")))</f>
        <v/>
      </c>
    </row>
    <row r="1908" spans="2:3" ht="15" customHeight="1" x14ac:dyDescent="0.3">
      <c r="B1908" s="17" t="str">
        <f>IF('Marcación Workera'!G1908="","",INT('Marcación Workera'!G1908))</f>
        <v/>
      </c>
      <c r="C1908" s="18" t="str">
        <f>IF('Marcación Workera'!B1908="","",UPPER(SUBSTITUTE('Marcación Workera'!B1908,".","")))</f>
        <v/>
      </c>
    </row>
    <row r="1909" spans="2:3" ht="15" customHeight="1" x14ac:dyDescent="0.3">
      <c r="B1909" s="17" t="str">
        <f>IF('Marcación Workera'!G1909="","",INT('Marcación Workera'!G1909))</f>
        <v/>
      </c>
      <c r="C1909" s="18" t="str">
        <f>IF('Marcación Workera'!B1909="","",UPPER(SUBSTITUTE('Marcación Workera'!B1909,".","")))</f>
        <v/>
      </c>
    </row>
    <row r="1910" spans="2:3" ht="15" customHeight="1" x14ac:dyDescent="0.3">
      <c r="B1910" s="17" t="str">
        <f>IF('Marcación Workera'!G1910="","",INT('Marcación Workera'!G1910))</f>
        <v/>
      </c>
      <c r="C1910" s="18" t="str">
        <f>IF('Marcación Workera'!B1910="","",UPPER(SUBSTITUTE('Marcación Workera'!B1910,".","")))</f>
        <v/>
      </c>
    </row>
    <row r="1911" spans="2:3" ht="15" customHeight="1" x14ac:dyDescent="0.3">
      <c r="B1911" s="17" t="str">
        <f>IF('Marcación Workera'!G1911="","",INT('Marcación Workera'!G1911))</f>
        <v/>
      </c>
      <c r="C1911" s="18" t="str">
        <f>IF('Marcación Workera'!B1911="","",UPPER(SUBSTITUTE('Marcación Workera'!B1911,".","")))</f>
        <v/>
      </c>
    </row>
    <row r="1912" spans="2:3" ht="15" customHeight="1" x14ac:dyDescent="0.3">
      <c r="B1912" s="17" t="str">
        <f>IF('Marcación Workera'!G1912="","",INT('Marcación Workera'!G1912))</f>
        <v/>
      </c>
      <c r="C1912" s="18" t="str">
        <f>IF('Marcación Workera'!B1912="","",UPPER(SUBSTITUTE('Marcación Workera'!B1912,".","")))</f>
        <v/>
      </c>
    </row>
    <row r="1913" spans="2:3" ht="15" customHeight="1" x14ac:dyDescent="0.3">
      <c r="B1913" s="17" t="str">
        <f>IF('Marcación Workera'!G1913="","",INT('Marcación Workera'!G1913))</f>
        <v/>
      </c>
      <c r="C1913" s="18" t="str">
        <f>IF('Marcación Workera'!B1913="","",UPPER(SUBSTITUTE('Marcación Workera'!B1913,".","")))</f>
        <v/>
      </c>
    </row>
    <row r="1914" spans="2:3" ht="15" customHeight="1" x14ac:dyDescent="0.3">
      <c r="B1914" s="17" t="str">
        <f>IF('Marcación Workera'!G1914="","",INT('Marcación Workera'!G1914))</f>
        <v/>
      </c>
      <c r="C1914" s="18" t="str">
        <f>IF('Marcación Workera'!B1914="","",UPPER(SUBSTITUTE('Marcación Workera'!B1914,".","")))</f>
        <v/>
      </c>
    </row>
    <row r="1915" spans="2:3" ht="15" customHeight="1" x14ac:dyDescent="0.3">
      <c r="B1915" s="17" t="str">
        <f>IF('Marcación Workera'!G1915="","",INT('Marcación Workera'!G1915))</f>
        <v/>
      </c>
      <c r="C1915" s="18" t="str">
        <f>IF('Marcación Workera'!B1915="","",UPPER(SUBSTITUTE('Marcación Workera'!B1915,".","")))</f>
        <v/>
      </c>
    </row>
    <row r="1916" spans="2:3" ht="15" customHeight="1" x14ac:dyDescent="0.3">
      <c r="B1916" s="17" t="str">
        <f>IF('Marcación Workera'!G1916="","",INT('Marcación Workera'!G1916))</f>
        <v/>
      </c>
      <c r="C1916" s="18" t="str">
        <f>IF('Marcación Workera'!B1916="","",UPPER(SUBSTITUTE('Marcación Workera'!B1916,".","")))</f>
        <v/>
      </c>
    </row>
    <row r="1917" spans="2:3" ht="15" customHeight="1" x14ac:dyDescent="0.3">
      <c r="B1917" s="17" t="str">
        <f>IF('Marcación Workera'!G1917="","",INT('Marcación Workera'!G1917))</f>
        <v/>
      </c>
      <c r="C1917" s="18" t="str">
        <f>IF('Marcación Workera'!B1917="","",UPPER(SUBSTITUTE('Marcación Workera'!B1917,".","")))</f>
        <v/>
      </c>
    </row>
    <row r="1918" spans="2:3" ht="15" customHeight="1" x14ac:dyDescent="0.3">
      <c r="B1918" s="17" t="str">
        <f>IF('Marcación Workera'!G1918="","",INT('Marcación Workera'!G1918))</f>
        <v/>
      </c>
      <c r="C1918" s="18" t="str">
        <f>IF('Marcación Workera'!B1918="","",UPPER(SUBSTITUTE('Marcación Workera'!B1918,".","")))</f>
        <v/>
      </c>
    </row>
    <row r="1919" spans="2:3" ht="15" customHeight="1" x14ac:dyDescent="0.3">
      <c r="B1919" s="17" t="str">
        <f>IF('Marcación Workera'!G1919="","",INT('Marcación Workera'!G1919))</f>
        <v/>
      </c>
      <c r="C1919" s="18" t="str">
        <f>IF('Marcación Workera'!B1919="","",UPPER(SUBSTITUTE('Marcación Workera'!B1919,".","")))</f>
        <v/>
      </c>
    </row>
    <row r="1920" spans="2:3" ht="15" customHeight="1" x14ac:dyDescent="0.3">
      <c r="B1920" s="17" t="str">
        <f>IF('Marcación Workera'!G1920="","",INT('Marcación Workera'!G1920))</f>
        <v/>
      </c>
      <c r="C1920" s="18" t="str">
        <f>IF('Marcación Workera'!B1920="","",UPPER(SUBSTITUTE('Marcación Workera'!B1920,".","")))</f>
        <v/>
      </c>
    </row>
    <row r="1921" spans="2:3" ht="15" customHeight="1" x14ac:dyDescent="0.3">
      <c r="B1921" s="17" t="str">
        <f>IF('Marcación Workera'!G1921="","",INT('Marcación Workera'!G1921))</f>
        <v/>
      </c>
      <c r="C1921" s="18" t="str">
        <f>IF('Marcación Workera'!B1921="","",UPPER(SUBSTITUTE('Marcación Workera'!B1921,".","")))</f>
        <v/>
      </c>
    </row>
    <row r="1922" spans="2:3" ht="15" customHeight="1" x14ac:dyDescent="0.3">
      <c r="B1922" s="17" t="str">
        <f>IF('Marcación Workera'!G1922="","",INT('Marcación Workera'!G1922))</f>
        <v/>
      </c>
      <c r="C1922" s="18" t="str">
        <f>IF('Marcación Workera'!B1922="","",UPPER(SUBSTITUTE('Marcación Workera'!B1922,".","")))</f>
        <v/>
      </c>
    </row>
    <row r="1923" spans="2:3" ht="15" customHeight="1" x14ac:dyDescent="0.3">
      <c r="B1923" s="17" t="str">
        <f>IF('Marcación Workera'!G1923="","",INT('Marcación Workera'!G1923))</f>
        <v/>
      </c>
      <c r="C1923" s="18" t="str">
        <f>IF('Marcación Workera'!B1923="","",UPPER(SUBSTITUTE('Marcación Workera'!B1923,".","")))</f>
        <v/>
      </c>
    </row>
    <row r="1924" spans="2:3" ht="15" customHeight="1" x14ac:dyDescent="0.3">
      <c r="B1924" s="17" t="str">
        <f>IF('Marcación Workera'!G1924="","",INT('Marcación Workera'!G1924))</f>
        <v/>
      </c>
      <c r="C1924" s="18" t="str">
        <f>IF('Marcación Workera'!B1924="","",UPPER(SUBSTITUTE('Marcación Workera'!B1924,".","")))</f>
        <v/>
      </c>
    </row>
    <row r="1925" spans="2:3" ht="15" customHeight="1" x14ac:dyDescent="0.3">
      <c r="B1925" s="17" t="str">
        <f>IF('Marcación Workera'!G1925="","",INT('Marcación Workera'!G1925))</f>
        <v/>
      </c>
      <c r="C1925" s="18" t="str">
        <f>IF('Marcación Workera'!B1925="","",UPPER(SUBSTITUTE('Marcación Workera'!B1925,".","")))</f>
        <v/>
      </c>
    </row>
    <row r="1926" spans="2:3" ht="15" customHeight="1" x14ac:dyDescent="0.3">
      <c r="B1926" s="17" t="str">
        <f>IF('Marcación Workera'!G1926="","",INT('Marcación Workera'!G1926))</f>
        <v/>
      </c>
      <c r="C1926" s="18" t="str">
        <f>IF('Marcación Workera'!B1926="","",UPPER(SUBSTITUTE('Marcación Workera'!B1926,".","")))</f>
        <v/>
      </c>
    </row>
    <row r="1927" spans="2:3" ht="15" customHeight="1" x14ac:dyDescent="0.3">
      <c r="B1927" s="17" t="str">
        <f>IF('Marcación Workera'!G1927="","",INT('Marcación Workera'!G1927))</f>
        <v/>
      </c>
      <c r="C1927" s="18" t="str">
        <f>IF('Marcación Workera'!B1927="","",UPPER(SUBSTITUTE('Marcación Workera'!B1927,".","")))</f>
        <v/>
      </c>
    </row>
    <row r="1928" spans="2:3" ht="15" customHeight="1" x14ac:dyDescent="0.3">
      <c r="B1928" s="17" t="str">
        <f>IF('Marcación Workera'!G1928="","",INT('Marcación Workera'!G1928))</f>
        <v/>
      </c>
      <c r="C1928" s="18" t="str">
        <f>IF('Marcación Workera'!B1928="","",UPPER(SUBSTITUTE('Marcación Workera'!B1928,".","")))</f>
        <v/>
      </c>
    </row>
    <row r="1929" spans="2:3" ht="15" customHeight="1" x14ac:dyDescent="0.3">
      <c r="B1929" s="17" t="str">
        <f>IF('Marcación Workera'!G1929="","",INT('Marcación Workera'!G1929))</f>
        <v/>
      </c>
      <c r="C1929" s="18" t="str">
        <f>IF('Marcación Workera'!B1929="","",UPPER(SUBSTITUTE('Marcación Workera'!B1929,".","")))</f>
        <v/>
      </c>
    </row>
    <row r="1930" spans="2:3" ht="15" customHeight="1" x14ac:dyDescent="0.3">
      <c r="B1930" s="17" t="str">
        <f>IF('Marcación Workera'!G1930="","",INT('Marcación Workera'!G1930))</f>
        <v/>
      </c>
      <c r="C1930" s="18" t="str">
        <f>IF('Marcación Workera'!B1930="","",UPPER(SUBSTITUTE('Marcación Workera'!B1930,".","")))</f>
        <v/>
      </c>
    </row>
    <row r="1931" spans="2:3" ht="15" customHeight="1" x14ac:dyDescent="0.3">
      <c r="B1931" s="17" t="str">
        <f>IF('Marcación Workera'!G1931="","",INT('Marcación Workera'!G1931))</f>
        <v/>
      </c>
      <c r="C1931" s="18" t="str">
        <f>IF('Marcación Workera'!B1931="","",UPPER(SUBSTITUTE('Marcación Workera'!B1931,".","")))</f>
        <v/>
      </c>
    </row>
    <row r="1932" spans="2:3" ht="15" customHeight="1" x14ac:dyDescent="0.3">
      <c r="B1932" s="17" t="str">
        <f>IF('Marcación Workera'!G1932="","",INT('Marcación Workera'!G1932))</f>
        <v/>
      </c>
      <c r="C1932" s="18" t="str">
        <f>IF('Marcación Workera'!B1932="","",UPPER(SUBSTITUTE('Marcación Workera'!B1932,".","")))</f>
        <v/>
      </c>
    </row>
    <row r="1933" spans="2:3" ht="15" customHeight="1" x14ac:dyDescent="0.3">
      <c r="B1933" s="17" t="str">
        <f>IF('Marcación Workera'!G1933="","",INT('Marcación Workera'!G1933))</f>
        <v/>
      </c>
      <c r="C1933" s="18" t="str">
        <f>IF('Marcación Workera'!B1933="","",UPPER(SUBSTITUTE('Marcación Workera'!B1933,".","")))</f>
        <v/>
      </c>
    </row>
    <row r="1934" spans="2:3" ht="15" customHeight="1" x14ac:dyDescent="0.3">
      <c r="B1934" s="17" t="str">
        <f>IF('Marcación Workera'!G1934="","",INT('Marcación Workera'!G1934))</f>
        <v/>
      </c>
      <c r="C1934" s="18" t="str">
        <f>IF('Marcación Workera'!B1934="","",UPPER(SUBSTITUTE('Marcación Workera'!B1934,".","")))</f>
        <v/>
      </c>
    </row>
    <row r="1935" spans="2:3" ht="15" customHeight="1" x14ac:dyDescent="0.3">
      <c r="B1935" s="17" t="str">
        <f>IF('Marcación Workera'!G1935="","",INT('Marcación Workera'!G1935))</f>
        <v/>
      </c>
      <c r="C1935" s="18" t="str">
        <f>IF('Marcación Workera'!B1935="","",UPPER(SUBSTITUTE('Marcación Workera'!B1935,".","")))</f>
        <v/>
      </c>
    </row>
    <row r="1936" spans="2:3" ht="15" customHeight="1" x14ac:dyDescent="0.3">
      <c r="B1936" s="17" t="str">
        <f>IF('Marcación Workera'!G1936="","",INT('Marcación Workera'!G1936))</f>
        <v/>
      </c>
      <c r="C1936" s="18" t="str">
        <f>IF('Marcación Workera'!B1936="","",UPPER(SUBSTITUTE('Marcación Workera'!B1936,".","")))</f>
        <v/>
      </c>
    </row>
    <row r="1937" spans="2:3" ht="15" customHeight="1" x14ac:dyDescent="0.3">
      <c r="B1937" s="17" t="str">
        <f>IF('Marcación Workera'!G1937="","",INT('Marcación Workera'!G1937))</f>
        <v/>
      </c>
      <c r="C1937" s="18" t="str">
        <f>IF('Marcación Workera'!B1937="","",UPPER(SUBSTITUTE('Marcación Workera'!B1937,".","")))</f>
        <v/>
      </c>
    </row>
    <row r="1938" spans="2:3" ht="15" customHeight="1" x14ac:dyDescent="0.3">
      <c r="B1938" s="17" t="str">
        <f>IF('Marcación Workera'!G1938="","",INT('Marcación Workera'!G1938))</f>
        <v/>
      </c>
      <c r="C1938" s="18" t="str">
        <f>IF('Marcación Workera'!B1938="","",UPPER(SUBSTITUTE('Marcación Workera'!B1938,".","")))</f>
        <v/>
      </c>
    </row>
    <row r="1939" spans="2:3" ht="15" customHeight="1" x14ac:dyDescent="0.3">
      <c r="B1939" s="17" t="str">
        <f>IF('Marcación Workera'!G1939="","",INT('Marcación Workera'!G1939))</f>
        <v/>
      </c>
      <c r="C1939" s="18" t="str">
        <f>IF('Marcación Workera'!B1939="","",UPPER(SUBSTITUTE('Marcación Workera'!B1939,".","")))</f>
        <v/>
      </c>
    </row>
    <row r="1940" spans="2:3" ht="15" customHeight="1" x14ac:dyDescent="0.3">
      <c r="B1940" s="17" t="str">
        <f>IF('Marcación Workera'!G1940="","",INT('Marcación Workera'!G1940))</f>
        <v/>
      </c>
      <c r="C1940" s="18" t="str">
        <f>IF('Marcación Workera'!B1940="","",UPPER(SUBSTITUTE('Marcación Workera'!B1940,".","")))</f>
        <v/>
      </c>
    </row>
    <row r="1941" spans="2:3" ht="15" customHeight="1" x14ac:dyDescent="0.3">
      <c r="B1941" s="17" t="str">
        <f>IF('Marcación Workera'!G1941="","",INT('Marcación Workera'!G1941))</f>
        <v/>
      </c>
      <c r="C1941" s="18" t="str">
        <f>IF('Marcación Workera'!B1941="","",UPPER(SUBSTITUTE('Marcación Workera'!B1941,".","")))</f>
        <v/>
      </c>
    </row>
    <row r="1942" spans="2:3" ht="15" customHeight="1" x14ac:dyDescent="0.3">
      <c r="B1942" s="17" t="str">
        <f>IF('Marcación Workera'!G1942="","",INT('Marcación Workera'!G1942))</f>
        <v/>
      </c>
      <c r="C1942" s="18" t="str">
        <f>IF('Marcación Workera'!B1942="","",UPPER(SUBSTITUTE('Marcación Workera'!B1942,".","")))</f>
        <v/>
      </c>
    </row>
    <row r="1943" spans="2:3" ht="15" customHeight="1" x14ac:dyDescent="0.3">
      <c r="B1943" s="17" t="str">
        <f>IF('Marcación Workera'!G1943="","",INT('Marcación Workera'!G1943))</f>
        <v/>
      </c>
      <c r="C1943" s="18" t="str">
        <f>IF('Marcación Workera'!B1943="","",UPPER(SUBSTITUTE('Marcación Workera'!B1943,".","")))</f>
        <v/>
      </c>
    </row>
    <row r="1944" spans="2:3" ht="15" customHeight="1" x14ac:dyDescent="0.3">
      <c r="B1944" s="17" t="str">
        <f>IF('Marcación Workera'!G1944="","",INT('Marcación Workera'!G1944))</f>
        <v/>
      </c>
      <c r="C1944" s="18" t="str">
        <f>IF('Marcación Workera'!B1944="","",UPPER(SUBSTITUTE('Marcación Workera'!B1944,".","")))</f>
        <v/>
      </c>
    </row>
    <row r="1945" spans="2:3" ht="15" customHeight="1" x14ac:dyDescent="0.3">
      <c r="B1945" s="17" t="str">
        <f>IF('Marcación Workera'!G1945="","",INT('Marcación Workera'!G1945))</f>
        <v/>
      </c>
      <c r="C1945" s="18" t="str">
        <f>IF('Marcación Workera'!B1945="","",UPPER(SUBSTITUTE('Marcación Workera'!B1945,".","")))</f>
        <v/>
      </c>
    </row>
    <row r="1946" spans="2:3" ht="15" customHeight="1" x14ac:dyDescent="0.3">
      <c r="B1946" s="17" t="str">
        <f>IF('Marcación Workera'!G1946="","",INT('Marcación Workera'!G1946))</f>
        <v/>
      </c>
      <c r="C1946" s="18" t="str">
        <f>IF('Marcación Workera'!B1946="","",UPPER(SUBSTITUTE('Marcación Workera'!B1946,".","")))</f>
        <v/>
      </c>
    </row>
    <row r="1947" spans="2:3" ht="15" customHeight="1" x14ac:dyDescent="0.3">
      <c r="B1947" s="17" t="str">
        <f>IF('Marcación Workera'!G1947="","",INT('Marcación Workera'!G1947))</f>
        <v/>
      </c>
      <c r="C1947" s="18" t="str">
        <f>IF('Marcación Workera'!B1947="","",UPPER(SUBSTITUTE('Marcación Workera'!B1947,".","")))</f>
        <v/>
      </c>
    </row>
    <row r="1948" spans="2:3" ht="15" customHeight="1" x14ac:dyDescent="0.3">
      <c r="B1948" s="17" t="str">
        <f>IF('Marcación Workera'!G1948="","",INT('Marcación Workera'!G1948))</f>
        <v/>
      </c>
      <c r="C1948" s="18" t="str">
        <f>IF('Marcación Workera'!B1948="","",UPPER(SUBSTITUTE('Marcación Workera'!B1948,".","")))</f>
        <v/>
      </c>
    </row>
    <row r="1949" spans="2:3" ht="15" customHeight="1" x14ac:dyDescent="0.3">
      <c r="B1949" s="17" t="str">
        <f>IF('Marcación Workera'!G1949="","",INT('Marcación Workera'!G1949))</f>
        <v/>
      </c>
      <c r="C1949" s="18" t="str">
        <f>IF('Marcación Workera'!B1949="","",UPPER(SUBSTITUTE('Marcación Workera'!B1949,".","")))</f>
        <v/>
      </c>
    </row>
    <row r="1950" spans="2:3" ht="15" customHeight="1" x14ac:dyDescent="0.3">
      <c r="B1950" s="17" t="str">
        <f>IF('Marcación Workera'!G1950="","",INT('Marcación Workera'!G1950))</f>
        <v/>
      </c>
      <c r="C1950" s="18" t="str">
        <f>IF('Marcación Workera'!B1950="","",UPPER(SUBSTITUTE('Marcación Workera'!B1950,".","")))</f>
        <v/>
      </c>
    </row>
    <row r="1951" spans="2:3" ht="15" customHeight="1" x14ac:dyDescent="0.3">
      <c r="B1951" s="17" t="str">
        <f>IF('Marcación Workera'!G1951="","",INT('Marcación Workera'!G1951))</f>
        <v/>
      </c>
      <c r="C1951" s="18" t="str">
        <f>IF('Marcación Workera'!B1951="","",UPPER(SUBSTITUTE('Marcación Workera'!B1951,".","")))</f>
        <v/>
      </c>
    </row>
    <row r="1952" spans="2:3" ht="15" customHeight="1" x14ac:dyDescent="0.3">
      <c r="B1952" s="17" t="str">
        <f>IF('Marcación Workera'!G1952="","",INT('Marcación Workera'!G1952))</f>
        <v/>
      </c>
      <c r="C1952" s="18" t="str">
        <f>IF('Marcación Workera'!B1952="","",UPPER(SUBSTITUTE('Marcación Workera'!B1952,".","")))</f>
        <v/>
      </c>
    </row>
    <row r="1953" spans="2:3" ht="15" customHeight="1" x14ac:dyDescent="0.3">
      <c r="B1953" s="17" t="str">
        <f>IF('Marcación Workera'!G1953="","",INT('Marcación Workera'!G1953))</f>
        <v/>
      </c>
      <c r="C1953" s="18" t="str">
        <f>IF('Marcación Workera'!B1953="","",UPPER(SUBSTITUTE('Marcación Workera'!B1953,".","")))</f>
        <v/>
      </c>
    </row>
    <row r="1954" spans="2:3" ht="15" customHeight="1" x14ac:dyDescent="0.3">
      <c r="B1954" s="17" t="str">
        <f>IF('Marcación Workera'!G1954="","",INT('Marcación Workera'!G1954))</f>
        <v/>
      </c>
      <c r="C1954" s="18" t="str">
        <f>IF('Marcación Workera'!B1954="","",UPPER(SUBSTITUTE('Marcación Workera'!B1954,".","")))</f>
        <v/>
      </c>
    </row>
    <row r="1955" spans="2:3" ht="15" customHeight="1" x14ac:dyDescent="0.3">
      <c r="B1955" s="17" t="str">
        <f>IF('Marcación Workera'!G1955="","",INT('Marcación Workera'!G1955))</f>
        <v/>
      </c>
      <c r="C1955" s="18" t="str">
        <f>IF('Marcación Workera'!B1955="","",UPPER(SUBSTITUTE('Marcación Workera'!B1955,".","")))</f>
        <v/>
      </c>
    </row>
    <row r="1956" spans="2:3" ht="15" customHeight="1" x14ac:dyDescent="0.3">
      <c r="B1956" s="17" t="str">
        <f>IF('Marcación Workera'!G1956="","",INT('Marcación Workera'!G1956))</f>
        <v/>
      </c>
      <c r="C1956" s="18" t="str">
        <f>IF('Marcación Workera'!B1956="","",UPPER(SUBSTITUTE('Marcación Workera'!B1956,".","")))</f>
        <v/>
      </c>
    </row>
    <row r="1957" spans="2:3" ht="15" customHeight="1" x14ac:dyDescent="0.3">
      <c r="B1957" s="17" t="str">
        <f>IF('Marcación Workera'!G1957="","",INT('Marcación Workera'!G1957))</f>
        <v/>
      </c>
      <c r="C1957" s="18" t="str">
        <f>IF('Marcación Workera'!B1957="","",UPPER(SUBSTITUTE('Marcación Workera'!B1957,".","")))</f>
        <v/>
      </c>
    </row>
    <row r="1958" spans="2:3" ht="15" customHeight="1" x14ac:dyDescent="0.3">
      <c r="B1958" s="17" t="str">
        <f>IF('Marcación Workera'!G1958="","",INT('Marcación Workera'!G1958))</f>
        <v/>
      </c>
      <c r="C1958" s="18" t="str">
        <f>IF('Marcación Workera'!B1958="","",UPPER(SUBSTITUTE('Marcación Workera'!B1958,".","")))</f>
        <v/>
      </c>
    </row>
    <row r="1959" spans="2:3" ht="15" customHeight="1" x14ac:dyDescent="0.3">
      <c r="B1959" s="17" t="str">
        <f>IF('Marcación Workera'!G1959="","",INT('Marcación Workera'!G1959))</f>
        <v/>
      </c>
      <c r="C1959" s="18" t="str">
        <f>IF('Marcación Workera'!B1959="","",UPPER(SUBSTITUTE('Marcación Workera'!B1959,".","")))</f>
        <v/>
      </c>
    </row>
    <row r="1960" spans="2:3" ht="15" customHeight="1" x14ac:dyDescent="0.3">
      <c r="B1960" s="17" t="str">
        <f>IF('Marcación Workera'!G1960="","",INT('Marcación Workera'!G1960))</f>
        <v/>
      </c>
      <c r="C1960" s="18" t="str">
        <f>IF('Marcación Workera'!B1960="","",UPPER(SUBSTITUTE('Marcación Workera'!B1960,".","")))</f>
        <v/>
      </c>
    </row>
    <row r="1961" spans="2:3" ht="15" customHeight="1" x14ac:dyDescent="0.3">
      <c r="B1961" s="17" t="str">
        <f>IF('Marcación Workera'!G1961="","",INT('Marcación Workera'!G1961))</f>
        <v/>
      </c>
      <c r="C1961" s="18" t="str">
        <f>IF('Marcación Workera'!B1961="","",UPPER(SUBSTITUTE('Marcación Workera'!B1961,".","")))</f>
        <v/>
      </c>
    </row>
    <row r="1962" spans="2:3" ht="15" customHeight="1" x14ac:dyDescent="0.3">
      <c r="B1962" s="17" t="str">
        <f>IF('Marcación Workera'!G1962="","",INT('Marcación Workera'!G1962))</f>
        <v/>
      </c>
      <c r="C1962" s="18" t="str">
        <f>IF('Marcación Workera'!B1962="","",UPPER(SUBSTITUTE('Marcación Workera'!B1962,".","")))</f>
        <v/>
      </c>
    </row>
    <row r="1963" spans="2:3" ht="15" customHeight="1" x14ac:dyDescent="0.3">
      <c r="B1963" s="17" t="str">
        <f>IF('Marcación Workera'!G1963="","",INT('Marcación Workera'!G1963))</f>
        <v/>
      </c>
      <c r="C1963" s="18" t="str">
        <f>IF('Marcación Workera'!B1963="","",UPPER(SUBSTITUTE('Marcación Workera'!B1963,".","")))</f>
        <v/>
      </c>
    </row>
    <row r="1964" spans="2:3" ht="15" customHeight="1" x14ac:dyDescent="0.3">
      <c r="B1964" s="17" t="str">
        <f>IF('Marcación Workera'!G1964="","",INT('Marcación Workera'!G1964))</f>
        <v/>
      </c>
      <c r="C1964" s="18" t="str">
        <f>IF('Marcación Workera'!B1964="","",UPPER(SUBSTITUTE('Marcación Workera'!B1964,".","")))</f>
        <v/>
      </c>
    </row>
    <row r="1965" spans="2:3" ht="15" customHeight="1" x14ac:dyDescent="0.3">
      <c r="B1965" s="17" t="str">
        <f>IF('Marcación Workera'!G1965="","",INT('Marcación Workera'!G1965))</f>
        <v/>
      </c>
      <c r="C1965" s="18" t="str">
        <f>IF('Marcación Workera'!B1965="","",UPPER(SUBSTITUTE('Marcación Workera'!B1965,".","")))</f>
        <v/>
      </c>
    </row>
    <row r="1966" spans="2:3" ht="15" customHeight="1" x14ac:dyDescent="0.3">
      <c r="B1966" s="17" t="str">
        <f>IF('Marcación Workera'!G1966="","",INT('Marcación Workera'!G1966))</f>
        <v/>
      </c>
      <c r="C1966" s="18" t="str">
        <f>IF('Marcación Workera'!B1966="","",UPPER(SUBSTITUTE('Marcación Workera'!B1966,".","")))</f>
        <v/>
      </c>
    </row>
    <row r="1967" spans="2:3" ht="15" customHeight="1" x14ac:dyDescent="0.3">
      <c r="B1967" s="17" t="str">
        <f>IF('Marcación Workera'!G1967="","",INT('Marcación Workera'!G1967))</f>
        <v/>
      </c>
      <c r="C1967" s="18" t="str">
        <f>IF('Marcación Workera'!B1967="","",UPPER(SUBSTITUTE('Marcación Workera'!B1967,".","")))</f>
        <v/>
      </c>
    </row>
    <row r="1968" spans="2:3" ht="15" customHeight="1" x14ac:dyDescent="0.3">
      <c r="B1968" s="17" t="str">
        <f>IF('Marcación Workera'!G1968="","",INT('Marcación Workera'!G1968))</f>
        <v/>
      </c>
      <c r="C1968" s="18" t="str">
        <f>IF('Marcación Workera'!B1968="","",UPPER(SUBSTITUTE('Marcación Workera'!B1968,".","")))</f>
        <v/>
      </c>
    </row>
    <row r="1969" spans="2:3" ht="15" customHeight="1" x14ac:dyDescent="0.3">
      <c r="B1969" s="17" t="str">
        <f>IF('Marcación Workera'!G1969="","",INT('Marcación Workera'!G1969))</f>
        <v/>
      </c>
      <c r="C1969" s="18" t="str">
        <f>IF('Marcación Workera'!B1969="","",UPPER(SUBSTITUTE('Marcación Workera'!B1969,".","")))</f>
        <v/>
      </c>
    </row>
    <row r="1970" spans="2:3" ht="15" customHeight="1" x14ac:dyDescent="0.3">
      <c r="B1970" s="17" t="str">
        <f>IF('Marcación Workera'!G1970="","",INT('Marcación Workera'!G1970))</f>
        <v/>
      </c>
      <c r="C1970" s="18" t="str">
        <f>IF('Marcación Workera'!B1970="","",UPPER(SUBSTITUTE('Marcación Workera'!B1970,".","")))</f>
        <v/>
      </c>
    </row>
    <row r="1971" spans="2:3" ht="15" customHeight="1" x14ac:dyDescent="0.3">
      <c r="B1971" s="17" t="str">
        <f>IF('Marcación Workera'!G1971="","",INT('Marcación Workera'!G1971))</f>
        <v/>
      </c>
      <c r="C1971" s="18" t="str">
        <f>IF('Marcación Workera'!B1971="","",UPPER(SUBSTITUTE('Marcación Workera'!B1971,".","")))</f>
        <v/>
      </c>
    </row>
    <row r="1972" spans="2:3" ht="15" customHeight="1" x14ac:dyDescent="0.3">
      <c r="B1972" s="17" t="str">
        <f>IF('Marcación Workera'!G1972="","",INT('Marcación Workera'!G1972))</f>
        <v/>
      </c>
      <c r="C1972" s="18" t="str">
        <f>IF('Marcación Workera'!B1972="","",UPPER(SUBSTITUTE('Marcación Workera'!B1972,".","")))</f>
        <v/>
      </c>
    </row>
    <row r="1973" spans="2:3" ht="15" customHeight="1" x14ac:dyDescent="0.3">
      <c r="B1973" s="17" t="str">
        <f>IF('Marcación Workera'!G1973="","",INT('Marcación Workera'!G1973))</f>
        <v/>
      </c>
      <c r="C1973" s="18" t="str">
        <f>IF('Marcación Workera'!B1973="","",UPPER(SUBSTITUTE('Marcación Workera'!B1973,".","")))</f>
        <v/>
      </c>
    </row>
    <row r="1974" spans="2:3" ht="15" customHeight="1" x14ac:dyDescent="0.3">
      <c r="B1974" s="17" t="str">
        <f>IF('Marcación Workera'!G1974="","",INT('Marcación Workera'!G1974))</f>
        <v/>
      </c>
      <c r="C1974" s="18" t="str">
        <f>IF('Marcación Workera'!B1974="","",UPPER(SUBSTITUTE('Marcación Workera'!B1974,".","")))</f>
        <v/>
      </c>
    </row>
    <row r="1975" spans="2:3" ht="15" customHeight="1" x14ac:dyDescent="0.3">
      <c r="B1975" s="17" t="str">
        <f>IF('Marcación Workera'!G1975="","",INT('Marcación Workera'!G1975))</f>
        <v/>
      </c>
      <c r="C1975" s="18" t="str">
        <f>IF('Marcación Workera'!B1975="","",UPPER(SUBSTITUTE('Marcación Workera'!B1975,".","")))</f>
        <v/>
      </c>
    </row>
    <row r="1976" spans="2:3" ht="15" customHeight="1" x14ac:dyDescent="0.3">
      <c r="B1976" s="17" t="str">
        <f>IF('Marcación Workera'!G1976="","",INT('Marcación Workera'!G1976))</f>
        <v/>
      </c>
      <c r="C1976" s="18" t="str">
        <f>IF('Marcación Workera'!B1976="","",UPPER(SUBSTITUTE('Marcación Workera'!B1976,".","")))</f>
        <v/>
      </c>
    </row>
    <row r="1977" spans="2:3" ht="15" customHeight="1" x14ac:dyDescent="0.3">
      <c r="B1977" s="17" t="str">
        <f>IF('Marcación Workera'!G1977="","",INT('Marcación Workera'!G1977))</f>
        <v/>
      </c>
      <c r="C1977" s="18" t="str">
        <f>IF('Marcación Workera'!B1977="","",UPPER(SUBSTITUTE('Marcación Workera'!B1977,".","")))</f>
        <v/>
      </c>
    </row>
    <row r="1978" spans="2:3" ht="15" customHeight="1" x14ac:dyDescent="0.3">
      <c r="B1978" s="17" t="str">
        <f>IF('Marcación Workera'!G1978="","",INT('Marcación Workera'!G1978))</f>
        <v/>
      </c>
      <c r="C1978" s="18" t="str">
        <f>IF('Marcación Workera'!B1978="","",UPPER(SUBSTITUTE('Marcación Workera'!B1978,".","")))</f>
        <v/>
      </c>
    </row>
    <row r="1979" spans="2:3" ht="15" customHeight="1" x14ac:dyDescent="0.3">
      <c r="B1979" s="17" t="str">
        <f>IF('Marcación Workera'!G1979="","",INT('Marcación Workera'!G1979))</f>
        <v/>
      </c>
      <c r="C1979" s="18" t="str">
        <f>IF('Marcación Workera'!B1979="","",UPPER(SUBSTITUTE('Marcación Workera'!B1979,".","")))</f>
        <v/>
      </c>
    </row>
    <row r="1980" spans="2:3" ht="15" customHeight="1" x14ac:dyDescent="0.3">
      <c r="B1980" s="17" t="str">
        <f>IF('Marcación Workera'!G1980="","",INT('Marcación Workera'!G1980))</f>
        <v/>
      </c>
      <c r="C1980" s="18" t="str">
        <f>IF('Marcación Workera'!B1980="","",UPPER(SUBSTITUTE('Marcación Workera'!B1980,".","")))</f>
        <v/>
      </c>
    </row>
    <row r="1981" spans="2:3" ht="15" customHeight="1" x14ac:dyDescent="0.3">
      <c r="B1981" s="17" t="str">
        <f>IF('Marcación Workera'!G1981="","",INT('Marcación Workera'!G1981))</f>
        <v/>
      </c>
      <c r="C1981" s="18" t="str">
        <f>IF('Marcación Workera'!B1981="","",UPPER(SUBSTITUTE('Marcación Workera'!B1981,".","")))</f>
        <v/>
      </c>
    </row>
    <row r="1982" spans="2:3" ht="15" customHeight="1" x14ac:dyDescent="0.3">
      <c r="B1982" s="17" t="str">
        <f>IF('Marcación Workera'!G1982="","",INT('Marcación Workera'!G1982))</f>
        <v/>
      </c>
      <c r="C1982" s="18" t="str">
        <f>IF('Marcación Workera'!B1982="","",UPPER(SUBSTITUTE('Marcación Workera'!B1982,".","")))</f>
        <v/>
      </c>
    </row>
    <row r="1983" spans="2:3" ht="15" customHeight="1" x14ac:dyDescent="0.3">
      <c r="B1983" s="17" t="str">
        <f>IF('Marcación Workera'!G1983="","",INT('Marcación Workera'!G1983))</f>
        <v/>
      </c>
      <c r="C1983" s="18" t="str">
        <f>IF('Marcación Workera'!B1983="","",UPPER(SUBSTITUTE('Marcación Workera'!B1983,".","")))</f>
        <v/>
      </c>
    </row>
    <row r="1984" spans="2:3" ht="15" customHeight="1" x14ac:dyDescent="0.3">
      <c r="B1984" s="17" t="str">
        <f>IF('Marcación Workera'!G1984="","",INT('Marcación Workera'!G1984))</f>
        <v/>
      </c>
      <c r="C1984" s="18" t="str">
        <f>IF('Marcación Workera'!B1984="","",UPPER(SUBSTITUTE('Marcación Workera'!B1984,".","")))</f>
        <v/>
      </c>
    </row>
    <row r="1985" spans="2:3" ht="15" customHeight="1" x14ac:dyDescent="0.3">
      <c r="B1985" s="17" t="str">
        <f>IF('Marcación Workera'!G1985="","",INT('Marcación Workera'!G1985))</f>
        <v/>
      </c>
      <c r="C1985" s="18" t="str">
        <f>IF('Marcación Workera'!B1985="","",UPPER(SUBSTITUTE('Marcación Workera'!B1985,".","")))</f>
        <v/>
      </c>
    </row>
    <row r="1986" spans="2:3" ht="15" customHeight="1" x14ac:dyDescent="0.3">
      <c r="B1986" s="17" t="str">
        <f>IF('Marcación Workera'!G1986="","",INT('Marcación Workera'!G1986))</f>
        <v/>
      </c>
      <c r="C1986" s="18" t="str">
        <f>IF('Marcación Workera'!B1986="","",UPPER(SUBSTITUTE('Marcación Workera'!B1986,".","")))</f>
        <v/>
      </c>
    </row>
    <row r="1987" spans="2:3" ht="15" customHeight="1" x14ac:dyDescent="0.3">
      <c r="B1987" s="17" t="str">
        <f>IF('Marcación Workera'!G1987="","",INT('Marcación Workera'!G1987))</f>
        <v/>
      </c>
      <c r="C1987" s="18" t="str">
        <f>IF('Marcación Workera'!B1987="","",UPPER(SUBSTITUTE('Marcación Workera'!B1987,".","")))</f>
        <v/>
      </c>
    </row>
    <row r="1988" spans="2:3" ht="15" customHeight="1" x14ac:dyDescent="0.3">
      <c r="B1988" s="17" t="str">
        <f>IF('Marcación Workera'!G1988="","",INT('Marcación Workera'!G1988))</f>
        <v/>
      </c>
      <c r="C1988" s="18" t="str">
        <f>IF('Marcación Workera'!B1988="","",UPPER(SUBSTITUTE('Marcación Workera'!B1988,".","")))</f>
        <v/>
      </c>
    </row>
    <row r="1989" spans="2:3" ht="15" customHeight="1" x14ac:dyDescent="0.3">
      <c r="B1989" s="17" t="str">
        <f>IF('Marcación Workera'!G1989="","",INT('Marcación Workera'!G1989))</f>
        <v/>
      </c>
      <c r="C1989" s="18" t="str">
        <f>IF('Marcación Workera'!B1989="","",UPPER(SUBSTITUTE('Marcación Workera'!B1989,".","")))</f>
        <v/>
      </c>
    </row>
    <row r="1990" spans="2:3" ht="15" customHeight="1" x14ac:dyDescent="0.3">
      <c r="B1990" s="17" t="str">
        <f>IF('Marcación Workera'!G1990="","",INT('Marcación Workera'!G1990))</f>
        <v/>
      </c>
      <c r="C1990" s="18" t="str">
        <f>IF('Marcación Workera'!B1990="","",UPPER(SUBSTITUTE('Marcación Workera'!B1990,".","")))</f>
        <v/>
      </c>
    </row>
    <row r="1991" spans="2:3" ht="15" customHeight="1" x14ac:dyDescent="0.3">
      <c r="B1991" s="17" t="str">
        <f>IF('Marcación Workera'!G1991="","",INT('Marcación Workera'!G1991))</f>
        <v/>
      </c>
      <c r="C1991" s="18" t="str">
        <f>IF('Marcación Workera'!B1991="","",UPPER(SUBSTITUTE('Marcación Workera'!B1991,".","")))</f>
        <v/>
      </c>
    </row>
    <row r="1992" spans="2:3" ht="15" customHeight="1" x14ac:dyDescent="0.3">
      <c r="B1992" s="17" t="str">
        <f>IF('Marcación Workera'!G1992="","",INT('Marcación Workera'!G1992))</f>
        <v/>
      </c>
      <c r="C1992" s="18" t="str">
        <f>IF('Marcación Workera'!B1992="","",UPPER(SUBSTITUTE('Marcación Workera'!B1992,".","")))</f>
        <v/>
      </c>
    </row>
    <row r="1993" spans="2:3" ht="15" customHeight="1" x14ac:dyDescent="0.3">
      <c r="B1993" s="17" t="str">
        <f>IF('Marcación Workera'!G1993="","",INT('Marcación Workera'!G1993))</f>
        <v/>
      </c>
      <c r="C1993" s="18" t="str">
        <f>IF('Marcación Workera'!B1993="","",UPPER(SUBSTITUTE('Marcación Workera'!B1993,".","")))</f>
        <v/>
      </c>
    </row>
    <row r="1994" spans="2:3" ht="15" customHeight="1" x14ac:dyDescent="0.3">
      <c r="B1994" s="17" t="str">
        <f>IF('Marcación Workera'!G1994="","",INT('Marcación Workera'!G1994))</f>
        <v/>
      </c>
      <c r="C1994" s="18" t="str">
        <f>IF('Marcación Workera'!B1994="","",UPPER(SUBSTITUTE('Marcación Workera'!B1994,".","")))</f>
        <v/>
      </c>
    </row>
    <row r="1995" spans="2:3" ht="15" customHeight="1" x14ac:dyDescent="0.3">
      <c r="B1995" s="17" t="str">
        <f>IF('Marcación Workera'!G1995="","",INT('Marcación Workera'!G1995))</f>
        <v/>
      </c>
      <c r="C1995" s="18" t="str">
        <f>IF('Marcación Workera'!B1995="","",UPPER(SUBSTITUTE('Marcación Workera'!B1995,".","")))</f>
        <v/>
      </c>
    </row>
    <row r="1996" spans="2:3" ht="15" customHeight="1" x14ac:dyDescent="0.3">
      <c r="B1996" s="17" t="str">
        <f>IF('Marcación Workera'!G1996="","",INT('Marcación Workera'!G1996))</f>
        <v/>
      </c>
      <c r="C1996" s="18" t="str">
        <f>IF('Marcación Workera'!B1996="","",UPPER(SUBSTITUTE('Marcación Workera'!B1996,".","")))</f>
        <v/>
      </c>
    </row>
    <row r="1997" spans="2:3" ht="15" customHeight="1" x14ac:dyDescent="0.3">
      <c r="B1997" s="17" t="str">
        <f>IF('Marcación Workera'!G1997="","",INT('Marcación Workera'!G1997))</f>
        <v/>
      </c>
      <c r="C1997" s="18" t="str">
        <f>IF('Marcación Workera'!B1997="","",UPPER(SUBSTITUTE('Marcación Workera'!B1997,".","")))</f>
        <v/>
      </c>
    </row>
    <row r="1998" spans="2:3" ht="15" customHeight="1" x14ac:dyDescent="0.3">
      <c r="B1998" s="17" t="str">
        <f>IF('Marcación Workera'!G1998="","",INT('Marcación Workera'!G1998))</f>
        <v/>
      </c>
      <c r="C1998" s="18" t="str">
        <f>IF('Marcación Workera'!B1998="","",UPPER(SUBSTITUTE('Marcación Workera'!B1998,".","")))</f>
        <v/>
      </c>
    </row>
    <row r="1999" spans="2:3" ht="15" customHeight="1" x14ac:dyDescent="0.3">
      <c r="B1999" s="17" t="str">
        <f>IF('Marcación Workera'!G1999="","",INT('Marcación Workera'!G1999))</f>
        <v/>
      </c>
      <c r="C1999" s="18" t="str">
        <f>IF('Marcación Workera'!B1999="","",UPPER(SUBSTITUTE('Marcación Workera'!B1999,".","")))</f>
        <v/>
      </c>
    </row>
    <row r="2000" spans="2:3" ht="15" customHeight="1" x14ac:dyDescent="0.3">
      <c r="B2000" s="17" t="str">
        <f>IF('Marcación Workera'!G2000="","",INT('Marcación Workera'!G2000))</f>
        <v/>
      </c>
      <c r="C2000" s="18" t="str">
        <f>IF('Marcación Workera'!B2000="","",UPPER(SUBSTITUTE('Marcación Workera'!B2000,".","")))</f>
        <v/>
      </c>
    </row>
    <row r="2001" spans="2:3" ht="15" customHeight="1" x14ac:dyDescent="0.3">
      <c r="B2001" s="17" t="str">
        <f>IF('Marcación Workera'!G2001="","",INT('Marcación Workera'!G2001))</f>
        <v/>
      </c>
      <c r="C2001" s="18" t="str">
        <f>IF('Marcación Workera'!B2001="","",UPPER(SUBSTITUTE('Marcación Workera'!B2001,".","")))</f>
        <v/>
      </c>
    </row>
    <row r="2002" spans="2:3" ht="15" customHeight="1" x14ac:dyDescent="0.3">
      <c r="B2002" s="17" t="str">
        <f>IF('Marcación Workera'!G2002="","",INT('Marcación Workera'!G2002))</f>
        <v/>
      </c>
      <c r="C2002" s="18" t="str">
        <f>IF('Marcación Workera'!B2002="","",UPPER(SUBSTITUTE('Marcación Workera'!B2002,".","")))</f>
        <v/>
      </c>
    </row>
    <row r="2003" spans="2:3" ht="15" customHeight="1" x14ac:dyDescent="0.3">
      <c r="B2003" s="17" t="str">
        <f>IF('Marcación Workera'!G2003="","",INT('Marcación Workera'!G2003))</f>
        <v/>
      </c>
      <c r="C2003" s="18" t="str">
        <f>IF('Marcación Workera'!B2003="","",UPPER(SUBSTITUTE('Marcación Workera'!B2003,".","")))</f>
        <v/>
      </c>
    </row>
    <row r="2004" spans="2:3" ht="15" customHeight="1" x14ac:dyDescent="0.3">
      <c r="B2004" s="17" t="str">
        <f>IF('Marcación Workera'!G2004="","",INT('Marcación Workera'!G2004))</f>
        <v/>
      </c>
      <c r="C2004" s="18" t="str">
        <f>IF('Marcación Workera'!B2004="","",UPPER(SUBSTITUTE('Marcación Workera'!B2004,".","")))</f>
        <v/>
      </c>
    </row>
    <row r="2005" spans="2:3" ht="15" customHeight="1" x14ac:dyDescent="0.3">
      <c r="B2005" s="17" t="str">
        <f>IF('Marcación Workera'!G2005="","",INT('Marcación Workera'!G2005))</f>
        <v/>
      </c>
      <c r="C2005" s="18" t="str">
        <f>IF('Marcación Workera'!B2005="","",UPPER(SUBSTITUTE('Marcación Workera'!B2005,".","")))</f>
        <v/>
      </c>
    </row>
    <row r="2006" spans="2:3" ht="15" customHeight="1" x14ac:dyDescent="0.3">
      <c r="B2006" s="17" t="str">
        <f>IF('Marcación Workera'!G2006="","",INT('Marcación Workera'!G2006))</f>
        <v/>
      </c>
      <c r="C2006" s="18" t="str">
        <f>IF('Marcación Workera'!B2006="","",UPPER(SUBSTITUTE('Marcación Workera'!B2006,".","")))</f>
        <v/>
      </c>
    </row>
    <row r="2007" spans="2:3" ht="15" customHeight="1" x14ac:dyDescent="0.3">
      <c r="B2007" s="17" t="str">
        <f>IF('Marcación Workera'!G2007="","",INT('Marcación Workera'!G2007))</f>
        <v/>
      </c>
      <c r="C2007" s="18" t="str">
        <f>IF('Marcación Workera'!B2007="","",UPPER(SUBSTITUTE('Marcación Workera'!B2007,".","")))</f>
        <v/>
      </c>
    </row>
    <row r="2008" spans="2:3" ht="15" customHeight="1" x14ac:dyDescent="0.3">
      <c r="B2008" s="17" t="str">
        <f>IF('Marcación Workera'!G2008="","",INT('Marcación Workera'!G2008))</f>
        <v/>
      </c>
      <c r="C2008" s="18" t="str">
        <f>IF('Marcación Workera'!B2008="","",UPPER(SUBSTITUTE('Marcación Workera'!B2008,".","")))</f>
        <v/>
      </c>
    </row>
    <row r="2009" spans="2:3" ht="15" customHeight="1" x14ac:dyDescent="0.3">
      <c r="B2009" s="17" t="str">
        <f>IF('Marcación Workera'!G2009="","",INT('Marcación Workera'!G2009))</f>
        <v/>
      </c>
      <c r="C2009" s="18" t="str">
        <f>IF('Marcación Workera'!B2009="","",UPPER(SUBSTITUTE('Marcación Workera'!B2009,".","")))</f>
        <v/>
      </c>
    </row>
    <row r="2010" spans="2:3" ht="15" customHeight="1" x14ac:dyDescent="0.3">
      <c r="B2010" s="17" t="str">
        <f>IF('Marcación Workera'!G2010="","",INT('Marcación Workera'!G2010))</f>
        <v/>
      </c>
      <c r="C2010" s="18" t="str">
        <f>IF('Marcación Workera'!B2010="","",UPPER(SUBSTITUTE('Marcación Workera'!B2010,".","")))</f>
        <v/>
      </c>
    </row>
    <row r="2011" spans="2:3" ht="15" customHeight="1" x14ac:dyDescent="0.3">
      <c r="B2011" s="17" t="str">
        <f>IF('Marcación Workera'!G2011="","",INT('Marcación Workera'!G2011))</f>
        <v/>
      </c>
      <c r="C2011" s="18" t="str">
        <f>IF('Marcación Workera'!B2011="","",UPPER(SUBSTITUTE('Marcación Workera'!B2011,".","")))</f>
        <v/>
      </c>
    </row>
    <row r="2012" spans="2:3" ht="15" customHeight="1" x14ac:dyDescent="0.3">
      <c r="B2012" s="17" t="str">
        <f>IF('Marcación Workera'!G2012="","",INT('Marcación Workera'!G2012))</f>
        <v/>
      </c>
      <c r="C2012" s="18" t="str">
        <f>IF('Marcación Workera'!B2012="","",UPPER(SUBSTITUTE('Marcación Workera'!B2012,".","")))</f>
        <v/>
      </c>
    </row>
    <row r="2013" spans="2:3" ht="15" customHeight="1" x14ac:dyDescent="0.3">
      <c r="B2013" s="17" t="str">
        <f>IF('Marcación Workera'!G2013="","",INT('Marcación Workera'!G2013))</f>
        <v/>
      </c>
      <c r="C2013" s="18" t="str">
        <f>IF('Marcación Workera'!B2013="","",UPPER(SUBSTITUTE('Marcación Workera'!B2013,".","")))</f>
        <v/>
      </c>
    </row>
    <row r="2014" spans="2:3" ht="15" customHeight="1" x14ac:dyDescent="0.3">
      <c r="B2014" s="17" t="str">
        <f>IF('Marcación Workera'!G2014="","",INT('Marcación Workera'!G2014))</f>
        <v/>
      </c>
      <c r="C2014" s="18" t="str">
        <f>IF('Marcación Workera'!B2014="","",UPPER(SUBSTITUTE('Marcación Workera'!B2014,".","")))</f>
        <v/>
      </c>
    </row>
    <row r="2015" spans="2:3" ht="15" customHeight="1" x14ac:dyDescent="0.3">
      <c r="B2015" s="17" t="str">
        <f>IF('Marcación Workera'!G2015="","",INT('Marcación Workera'!G2015))</f>
        <v/>
      </c>
      <c r="C2015" s="18" t="str">
        <f>IF('Marcación Workera'!B2015="","",UPPER(SUBSTITUTE('Marcación Workera'!B2015,".","")))</f>
        <v/>
      </c>
    </row>
    <row r="2016" spans="2:3" ht="15" customHeight="1" x14ac:dyDescent="0.3">
      <c r="B2016" s="17" t="str">
        <f>IF('Marcación Workera'!G2016="","",INT('Marcación Workera'!G2016))</f>
        <v/>
      </c>
      <c r="C2016" s="18" t="str">
        <f>IF('Marcación Workera'!B2016="","",UPPER(SUBSTITUTE('Marcación Workera'!B2016,".","")))</f>
        <v/>
      </c>
    </row>
    <row r="2017" spans="2:3" ht="15" customHeight="1" x14ac:dyDescent="0.3">
      <c r="B2017" s="17" t="str">
        <f>IF('Marcación Workera'!G2017="","",INT('Marcación Workera'!G2017))</f>
        <v/>
      </c>
      <c r="C2017" s="18" t="str">
        <f>IF('Marcación Workera'!B2017="","",UPPER(SUBSTITUTE('Marcación Workera'!B2017,".","")))</f>
        <v/>
      </c>
    </row>
    <row r="2018" spans="2:3" ht="15" customHeight="1" x14ac:dyDescent="0.3">
      <c r="B2018" s="17" t="str">
        <f>IF('Marcación Workera'!G2018="","",INT('Marcación Workera'!G2018))</f>
        <v/>
      </c>
      <c r="C2018" s="18" t="str">
        <f>IF('Marcación Workera'!B2018="","",UPPER(SUBSTITUTE('Marcación Workera'!B2018,".","")))</f>
        <v/>
      </c>
    </row>
    <row r="2019" spans="2:3" ht="15" customHeight="1" x14ac:dyDescent="0.3">
      <c r="B2019" s="17" t="str">
        <f>IF('Marcación Workera'!G2019="","",INT('Marcación Workera'!G2019))</f>
        <v/>
      </c>
      <c r="C2019" s="18" t="str">
        <f>IF('Marcación Workera'!B2019="","",UPPER(SUBSTITUTE('Marcación Workera'!B2019,".","")))</f>
        <v/>
      </c>
    </row>
    <row r="2020" spans="2:3" ht="15" customHeight="1" x14ac:dyDescent="0.3">
      <c r="B2020" s="17" t="str">
        <f>IF('Marcación Workera'!G2020="","",INT('Marcación Workera'!G2020))</f>
        <v/>
      </c>
      <c r="C2020" s="18" t="str">
        <f>IF('Marcación Workera'!B2020="","",UPPER(SUBSTITUTE('Marcación Workera'!B2020,".","")))</f>
        <v/>
      </c>
    </row>
    <row r="2021" spans="2:3" ht="15" customHeight="1" x14ac:dyDescent="0.3">
      <c r="B2021" s="17" t="str">
        <f>IF('Marcación Workera'!G2021="","",INT('Marcación Workera'!G2021))</f>
        <v/>
      </c>
      <c r="C2021" s="18" t="str">
        <f>IF('Marcación Workera'!B2021="","",UPPER(SUBSTITUTE('Marcación Workera'!B2021,".","")))</f>
        <v/>
      </c>
    </row>
    <row r="2022" spans="2:3" ht="15" customHeight="1" x14ac:dyDescent="0.3">
      <c r="B2022" s="17" t="str">
        <f>IF('Marcación Workera'!G2022="","",INT('Marcación Workera'!G2022))</f>
        <v/>
      </c>
      <c r="C2022" s="18" t="str">
        <f>IF('Marcación Workera'!B2022="","",UPPER(SUBSTITUTE('Marcación Workera'!B2022,".","")))</f>
        <v/>
      </c>
    </row>
    <row r="2023" spans="2:3" ht="15" customHeight="1" x14ac:dyDescent="0.3">
      <c r="B2023" s="17" t="str">
        <f>IF('Marcación Workera'!G2023="","",INT('Marcación Workera'!G2023))</f>
        <v/>
      </c>
      <c r="C2023" s="18" t="str">
        <f>IF('Marcación Workera'!B2023="","",UPPER(SUBSTITUTE('Marcación Workera'!B2023,".","")))</f>
        <v/>
      </c>
    </row>
    <row r="2024" spans="2:3" ht="15" customHeight="1" x14ac:dyDescent="0.3">
      <c r="B2024" s="17" t="str">
        <f>IF('Marcación Workera'!G2024="","",INT('Marcación Workera'!G2024))</f>
        <v/>
      </c>
      <c r="C2024" s="18" t="str">
        <f>IF('Marcación Workera'!B2024="","",UPPER(SUBSTITUTE('Marcación Workera'!B2024,".","")))</f>
        <v/>
      </c>
    </row>
    <row r="2025" spans="2:3" ht="15" customHeight="1" x14ac:dyDescent="0.3">
      <c r="B2025" s="17" t="str">
        <f>IF('Marcación Workera'!G2025="","",INT('Marcación Workera'!G2025))</f>
        <v/>
      </c>
      <c r="C2025" s="18" t="str">
        <f>IF('Marcación Workera'!B2025="","",UPPER(SUBSTITUTE('Marcación Workera'!B2025,".","")))</f>
        <v/>
      </c>
    </row>
    <row r="2026" spans="2:3" ht="15" customHeight="1" x14ac:dyDescent="0.3">
      <c r="B2026" s="17" t="str">
        <f>IF('Marcación Workera'!G2026="","",INT('Marcación Workera'!G2026))</f>
        <v/>
      </c>
      <c r="C2026" s="18" t="str">
        <f>IF('Marcación Workera'!B2026="","",UPPER(SUBSTITUTE('Marcación Workera'!B2026,".","")))</f>
        <v/>
      </c>
    </row>
    <row r="2027" spans="2:3" ht="15" customHeight="1" x14ac:dyDescent="0.3">
      <c r="B2027" s="17" t="str">
        <f>IF('Marcación Workera'!G2027="","",INT('Marcación Workera'!G2027))</f>
        <v/>
      </c>
      <c r="C2027" s="18" t="str">
        <f>IF('Marcación Workera'!B2027="","",UPPER(SUBSTITUTE('Marcación Workera'!B2027,".","")))</f>
        <v/>
      </c>
    </row>
    <row r="2028" spans="2:3" ht="15" customHeight="1" x14ac:dyDescent="0.3">
      <c r="B2028" s="17" t="str">
        <f>IF('Marcación Workera'!G2028="","",INT('Marcación Workera'!G2028))</f>
        <v/>
      </c>
      <c r="C2028" s="18" t="str">
        <f>IF('Marcación Workera'!B2028="","",UPPER(SUBSTITUTE('Marcación Workera'!B2028,".","")))</f>
        <v/>
      </c>
    </row>
    <row r="2029" spans="2:3" ht="15" customHeight="1" x14ac:dyDescent="0.3">
      <c r="B2029" s="17" t="str">
        <f>IF('Marcación Workera'!G2029="","",INT('Marcación Workera'!G2029))</f>
        <v/>
      </c>
      <c r="C2029" s="18" t="str">
        <f>IF('Marcación Workera'!B2029="","",UPPER(SUBSTITUTE('Marcación Workera'!B2029,".","")))</f>
        <v/>
      </c>
    </row>
    <row r="2030" spans="2:3" ht="15" customHeight="1" x14ac:dyDescent="0.3">
      <c r="B2030" s="17" t="str">
        <f>IF('Marcación Workera'!G2030="","",INT('Marcación Workera'!G2030))</f>
        <v/>
      </c>
      <c r="C2030" s="18" t="str">
        <f>IF('Marcación Workera'!B2030="","",UPPER(SUBSTITUTE('Marcación Workera'!B2030,".","")))</f>
        <v/>
      </c>
    </row>
    <row r="2031" spans="2:3" ht="15" customHeight="1" x14ac:dyDescent="0.3">
      <c r="B2031" s="17" t="str">
        <f>IF('Marcación Workera'!G2031="","",INT('Marcación Workera'!G2031))</f>
        <v/>
      </c>
      <c r="C2031" s="18" t="str">
        <f>IF('Marcación Workera'!B2031="","",UPPER(SUBSTITUTE('Marcación Workera'!B2031,".","")))</f>
        <v/>
      </c>
    </row>
    <row r="2032" spans="2:3" ht="15" customHeight="1" x14ac:dyDescent="0.3">
      <c r="B2032" s="17" t="str">
        <f>IF('Marcación Workera'!G2032="","",INT('Marcación Workera'!G2032))</f>
        <v/>
      </c>
      <c r="C2032" s="18" t="str">
        <f>IF('Marcación Workera'!B2032="","",UPPER(SUBSTITUTE('Marcación Workera'!B2032,".","")))</f>
        <v/>
      </c>
    </row>
    <row r="2033" spans="2:3" ht="15" customHeight="1" x14ac:dyDescent="0.3">
      <c r="B2033" s="17" t="str">
        <f>IF('Marcación Workera'!G2033="","",INT('Marcación Workera'!G2033))</f>
        <v/>
      </c>
      <c r="C2033" s="18" t="str">
        <f>IF('Marcación Workera'!B2033="","",UPPER(SUBSTITUTE('Marcación Workera'!B2033,".","")))</f>
        <v/>
      </c>
    </row>
    <row r="2034" spans="2:3" ht="15" customHeight="1" x14ac:dyDescent="0.3">
      <c r="B2034" s="17" t="str">
        <f>IF('Marcación Workera'!G2034="","",INT('Marcación Workera'!G2034))</f>
        <v/>
      </c>
      <c r="C2034" s="18" t="str">
        <f>IF('Marcación Workera'!B2034="","",UPPER(SUBSTITUTE('Marcación Workera'!B2034,".","")))</f>
        <v/>
      </c>
    </row>
    <row r="2035" spans="2:3" ht="15" customHeight="1" x14ac:dyDescent="0.3">
      <c r="B2035" s="17" t="str">
        <f>IF('Marcación Workera'!G2035="","",INT('Marcación Workera'!G2035))</f>
        <v/>
      </c>
      <c r="C2035" s="18" t="str">
        <f>IF('Marcación Workera'!B2035="","",UPPER(SUBSTITUTE('Marcación Workera'!B2035,".","")))</f>
        <v/>
      </c>
    </row>
    <row r="2036" spans="2:3" ht="15" customHeight="1" x14ac:dyDescent="0.3">
      <c r="B2036" s="17" t="str">
        <f>IF('Marcación Workera'!G2036="","",INT('Marcación Workera'!G2036))</f>
        <v/>
      </c>
      <c r="C2036" s="18" t="str">
        <f>IF('Marcación Workera'!B2036="","",UPPER(SUBSTITUTE('Marcación Workera'!B2036,".","")))</f>
        <v/>
      </c>
    </row>
    <row r="2037" spans="2:3" ht="15" customHeight="1" x14ac:dyDescent="0.3">
      <c r="B2037" s="17" t="str">
        <f>IF('Marcación Workera'!G2037="","",INT('Marcación Workera'!G2037))</f>
        <v/>
      </c>
      <c r="C2037" s="18" t="str">
        <f>IF('Marcación Workera'!B2037="","",UPPER(SUBSTITUTE('Marcación Workera'!B2037,".","")))</f>
        <v/>
      </c>
    </row>
    <row r="2038" spans="2:3" ht="15" customHeight="1" x14ac:dyDescent="0.3">
      <c r="B2038" s="17" t="str">
        <f>IF('Marcación Workera'!G2038="","",INT('Marcación Workera'!G2038))</f>
        <v/>
      </c>
      <c r="C2038" s="18" t="str">
        <f>IF('Marcación Workera'!B2038="","",UPPER(SUBSTITUTE('Marcación Workera'!B2038,".","")))</f>
        <v/>
      </c>
    </row>
    <row r="2039" spans="2:3" ht="15" customHeight="1" x14ac:dyDescent="0.3">
      <c r="B2039" s="17" t="str">
        <f>IF('Marcación Workera'!G2039="","",INT('Marcación Workera'!G2039))</f>
        <v/>
      </c>
      <c r="C2039" s="18" t="str">
        <f>IF('Marcación Workera'!B2039="","",UPPER(SUBSTITUTE('Marcación Workera'!B2039,".","")))</f>
        <v/>
      </c>
    </row>
    <row r="2040" spans="2:3" ht="15" customHeight="1" x14ac:dyDescent="0.3">
      <c r="B2040" s="17" t="str">
        <f>IF('Marcación Workera'!G2040="","",INT('Marcación Workera'!G2040))</f>
        <v/>
      </c>
      <c r="C2040" s="18" t="str">
        <f>IF('Marcación Workera'!B2040="","",UPPER(SUBSTITUTE('Marcación Workera'!B2040,".","")))</f>
        <v/>
      </c>
    </row>
    <row r="2041" spans="2:3" ht="15" customHeight="1" x14ac:dyDescent="0.3">
      <c r="B2041" s="17" t="str">
        <f>IF('Marcación Workera'!G2041="","",INT('Marcación Workera'!G2041))</f>
        <v/>
      </c>
      <c r="C2041" s="18" t="str">
        <f>IF('Marcación Workera'!B2041="","",UPPER(SUBSTITUTE('Marcación Workera'!B2041,".","")))</f>
        <v/>
      </c>
    </row>
    <row r="2042" spans="2:3" ht="15" customHeight="1" x14ac:dyDescent="0.3">
      <c r="B2042" s="17" t="str">
        <f>IF('Marcación Workera'!G2042="","",INT('Marcación Workera'!G2042))</f>
        <v/>
      </c>
      <c r="C2042" s="18" t="str">
        <f>IF('Marcación Workera'!B2042="","",UPPER(SUBSTITUTE('Marcación Workera'!B2042,".","")))</f>
        <v/>
      </c>
    </row>
    <row r="2043" spans="2:3" ht="15" customHeight="1" x14ac:dyDescent="0.3">
      <c r="B2043" s="17" t="str">
        <f>IF('Marcación Workera'!G2043="","",INT('Marcación Workera'!G2043))</f>
        <v/>
      </c>
      <c r="C2043" s="18" t="str">
        <f>IF('Marcación Workera'!B2043="","",UPPER(SUBSTITUTE('Marcación Workera'!B2043,".","")))</f>
        <v/>
      </c>
    </row>
    <row r="2044" spans="2:3" ht="15" customHeight="1" x14ac:dyDescent="0.3">
      <c r="B2044" s="17" t="str">
        <f>IF('Marcación Workera'!G2044="","",INT('Marcación Workera'!G2044))</f>
        <v/>
      </c>
      <c r="C2044" s="18" t="str">
        <f>IF('Marcación Workera'!B2044="","",UPPER(SUBSTITUTE('Marcación Workera'!B2044,".","")))</f>
        <v/>
      </c>
    </row>
    <row r="2045" spans="2:3" ht="15" customHeight="1" x14ac:dyDescent="0.3">
      <c r="B2045" s="17" t="str">
        <f>IF('Marcación Workera'!G2045="","",INT('Marcación Workera'!G2045))</f>
        <v/>
      </c>
      <c r="C2045" s="18" t="str">
        <f>IF('Marcación Workera'!B2045="","",UPPER(SUBSTITUTE('Marcación Workera'!B2045,".","")))</f>
        <v/>
      </c>
    </row>
    <row r="2046" spans="2:3" ht="15" customHeight="1" x14ac:dyDescent="0.3">
      <c r="B2046" s="17" t="str">
        <f>IF('Marcación Workera'!G2046="","",INT('Marcación Workera'!G2046))</f>
        <v/>
      </c>
      <c r="C2046" s="18" t="str">
        <f>IF('Marcación Workera'!B2046="","",UPPER(SUBSTITUTE('Marcación Workera'!B2046,".","")))</f>
        <v/>
      </c>
    </row>
    <row r="2047" spans="2:3" ht="15" customHeight="1" x14ac:dyDescent="0.3">
      <c r="B2047" s="17" t="str">
        <f>IF('Marcación Workera'!G2047="","",INT('Marcación Workera'!G2047))</f>
        <v/>
      </c>
      <c r="C2047" s="18" t="str">
        <f>IF('Marcación Workera'!B2047="","",UPPER(SUBSTITUTE('Marcación Workera'!B2047,".","")))</f>
        <v/>
      </c>
    </row>
    <row r="2048" spans="2:3" ht="15" customHeight="1" x14ac:dyDescent="0.3">
      <c r="B2048" s="17" t="str">
        <f>IF('Marcación Workera'!G2048="","",INT('Marcación Workera'!G2048))</f>
        <v/>
      </c>
      <c r="C2048" s="18" t="str">
        <f>IF('Marcación Workera'!B2048="","",UPPER(SUBSTITUTE('Marcación Workera'!B2048,".","")))</f>
        <v/>
      </c>
    </row>
    <row r="2049" spans="2:3" ht="15" customHeight="1" x14ac:dyDescent="0.3">
      <c r="B2049" s="17" t="str">
        <f>IF('Marcación Workera'!G2049="","",INT('Marcación Workera'!G2049))</f>
        <v/>
      </c>
      <c r="C2049" s="18" t="str">
        <f>IF('Marcación Workera'!B2049="","",UPPER(SUBSTITUTE('Marcación Workera'!B2049,".","")))</f>
        <v/>
      </c>
    </row>
    <row r="2050" spans="2:3" ht="15" customHeight="1" x14ac:dyDescent="0.3">
      <c r="B2050" s="17" t="str">
        <f>IF('Marcación Workera'!G2050="","",INT('Marcación Workera'!G2050))</f>
        <v/>
      </c>
      <c r="C2050" s="18" t="str">
        <f>IF('Marcación Workera'!B2050="","",UPPER(SUBSTITUTE('Marcación Workera'!B2050,".","")))</f>
        <v/>
      </c>
    </row>
    <row r="2051" spans="2:3" ht="15" customHeight="1" x14ac:dyDescent="0.3">
      <c r="B2051" s="17" t="str">
        <f>IF('Marcación Workera'!G2051="","",INT('Marcación Workera'!G2051))</f>
        <v/>
      </c>
      <c r="C2051" s="18" t="str">
        <f>IF('Marcación Workera'!B2051="","",UPPER(SUBSTITUTE('Marcación Workera'!B2051,".","")))</f>
        <v/>
      </c>
    </row>
    <row r="2052" spans="2:3" ht="15" customHeight="1" x14ac:dyDescent="0.3">
      <c r="B2052" s="17" t="str">
        <f>IF('Marcación Workera'!G2052="","",INT('Marcación Workera'!G2052))</f>
        <v/>
      </c>
      <c r="C2052" s="18" t="str">
        <f>IF('Marcación Workera'!B2052="","",UPPER(SUBSTITUTE('Marcación Workera'!B2052,".","")))</f>
        <v/>
      </c>
    </row>
    <row r="2053" spans="2:3" ht="15" customHeight="1" x14ac:dyDescent="0.3">
      <c r="B2053" s="17" t="str">
        <f>IF('Marcación Workera'!G2053="","",INT('Marcación Workera'!G2053))</f>
        <v/>
      </c>
      <c r="C2053" s="18" t="str">
        <f>IF('Marcación Workera'!B2053="","",UPPER(SUBSTITUTE('Marcación Workera'!B2053,".","")))</f>
        <v/>
      </c>
    </row>
    <row r="2054" spans="2:3" ht="15" customHeight="1" x14ac:dyDescent="0.3">
      <c r="B2054" s="17" t="str">
        <f>IF('Marcación Workera'!G2054="","",INT('Marcación Workera'!G2054))</f>
        <v/>
      </c>
      <c r="C2054" s="18" t="str">
        <f>IF('Marcación Workera'!B2054="","",UPPER(SUBSTITUTE('Marcación Workera'!B2054,".","")))</f>
        <v/>
      </c>
    </row>
    <row r="2055" spans="2:3" ht="15" customHeight="1" x14ac:dyDescent="0.3">
      <c r="B2055" s="17" t="str">
        <f>IF('Marcación Workera'!G2055="","",INT('Marcación Workera'!G2055))</f>
        <v/>
      </c>
      <c r="C2055" s="18" t="str">
        <f>IF('Marcación Workera'!B2055="","",UPPER(SUBSTITUTE('Marcación Workera'!B2055,".","")))</f>
        <v/>
      </c>
    </row>
    <row r="2056" spans="2:3" ht="15" customHeight="1" x14ac:dyDescent="0.3">
      <c r="B2056" s="17" t="str">
        <f>IF('Marcación Workera'!G2056="","",INT('Marcación Workera'!G2056))</f>
        <v/>
      </c>
      <c r="C2056" s="18" t="str">
        <f>IF('Marcación Workera'!B2056="","",UPPER(SUBSTITUTE('Marcación Workera'!B2056,".","")))</f>
        <v/>
      </c>
    </row>
    <row r="2057" spans="2:3" ht="15" customHeight="1" x14ac:dyDescent="0.3">
      <c r="B2057" s="17" t="str">
        <f>IF('Marcación Workera'!G2057="","",INT('Marcación Workera'!G2057))</f>
        <v/>
      </c>
      <c r="C2057" s="18" t="str">
        <f>IF('Marcación Workera'!B2057="","",UPPER(SUBSTITUTE('Marcación Workera'!B2057,".","")))</f>
        <v/>
      </c>
    </row>
    <row r="2058" spans="2:3" ht="15" customHeight="1" x14ac:dyDescent="0.3">
      <c r="B2058" s="17" t="str">
        <f>IF('Marcación Workera'!G2058="","",INT('Marcación Workera'!G2058))</f>
        <v/>
      </c>
      <c r="C2058" s="18" t="str">
        <f>IF('Marcación Workera'!B2058="","",UPPER(SUBSTITUTE('Marcación Workera'!B2058,".","")))</f>
        <v/>
      </c>
    </row>
    <row r="2059" spans="2:3" ht="15" customHeight="1" x14ac:dyDescent="0.3">
      <c r="B2059" s="17" t="str">
        <f>IF('Marcación Workera'!G2059="","",INT('Marcación Workera'!G2059))</f>
        <v/>
      </c>
      <c r="C2059" s="18" t="str">
        <f>IF('Marcación Workera'!B2059="","",UPPER(SUBSTITUTE('Marcación Workera'!B2059,".","")))</f>
        <v/>
      </c>
    </row>
    <row r="2060" spans="2:3" ht="15" customHeight="1" x14ac:dyDescent="0.3">
      <c r="B2060" s="17" t="str">
        <f>IF('Marcación Workera'!G2060="","",INT('Marcación Workera'!G2060))</f>
        <v/>
      </c>
      <c r="C2060" s="18" t="str">
        <f>IF('Marcación Workera'!B2060="","",UPPER(SUBSTITUTE('Marcación Workera'!B2060,".","")))</f>
        <v/>
      </c>
    </row>
    <row r="2061" spans="2:3" ht="15" customHeight="1" x14ac:dyDescent="0.3">
      <c r="B2061" s="17" t="str">
        <f>IF('Marcación Workera'!G2061="","",INT('Marcación Workera'!G2061))</f>
        <v/>
      </c>
      <c r="C2061" s="18" t="str">
        <f>IF('Marcación Workera'!B2061="","",UPPER(SUBSTITUTE('Marcación Workera'!B2061,".","")))</f>
        <v/>
      </c>
    </row>
    <row r="2062" spans="2:3" ht="15" customHeight="1" x14ac:dyDescent="0.3">
      <c r="B2062" s="17" t="str">
        <f>IF('Marcación Workera'!G2062="","",INT('Marcación Workera'!G2062))</f>
        <v/>
      </c>
      <c r="C2062" s="18" t="str">
        <f>IF('Marcación Workera'!B2062="","",UPPER(SUBSTITUTE('Marcación Workera'!B2062,".","")))</f>
        <v/>
      </c>
    </row>
    <row r="2063" spans="2:3" ht="15" customHeight="1" x14ac:dyDescent="0.3">
      <c r="B2063" s="17" t="str">
        <f>IF('Marcación Workera'!G2063="","",INT('Marcación Workera'!G2063))</f>
        <v/>
      </c>
      <c r="C2063" s="18" t="str">
        <f>IF('Marcación Workera'!B2063="","",UPPER(SUBSTITUTE('Marcación Workera'!B2063,".","")))</f>
        <v/>
      </c>
    </row>
    <row r="2064" spans="2:3" ht="15" customHeight="1" x14ac:dyDescent="0.3">
      <c r="B2064" s="17" t="str">
        <f>IF('Marcación Workera'!G2064="","",INT('Marcación Workera'!G2064))</f>
        <v/>
      </c>
      <c r="C2064" s="18" t="str">
        <f>IF('Marcación Workera'!B2064="","",UPPER(SUBSTITUTE('Marcación Workera'!B2064,".","")))</f>
        <v/>
      </c>
    </row>
    <row r="2065" spans="2:3" ht="15" customHeight="1" x14ac:dyDescent="0.3">
      <c r="B2065" s="17" t="str">
        <f>IF('Marcación Workera'!G2065="","",INT('Marcación Workera'!G2065))</f>
        <v/>
      </c>
      <c r="C2065" s="18" t="str">
        <f>IF('Marcación Workera'!B2065="","",UPPER(SUBSTITUTE('Marcación Workera'!B2065,".","")))</f>
        <v/>
      </c>
    </row>
    <row r="2066" spans="2:3" ht="15" customHeight="1" x14ac:dyDescent="0.3">
      <c r="B2066" s="17" t="str">
        <f>IF('Marcación Workera'!G2066="","",INT('Marcación Workera'!G2066))</f>
        <v/>
      </c>
      <c r="C2066" s="18" t="str">
        <f>IF('Marcación Workera'!B2066="","",UPPER(SUBSTITUTE('Marcación Workera'!B2066,".","")))</f>
        <v/>
      </c>
    </row>
    <row r="2067" spans="2:3" ht="15" customHeight="1" x14ac:dyDescent="0.3">
      <c r="B2067" s="17" t="str">
        <f>IF('Marcación Workera'!G2067="","",INT('Marcación Workera'!G2067))</f>
        <v/>
      </c>
      <c r="C2067" s="18" t="str">
        <f>IF('Marcación Workera'!B2067="","",UPPER(SUBSTITUTE('Marcación Workera'!B2067,".","")))</f>
        <v/>
      </c>
    </row>
    <row r="2068" spans="2:3" ht="15" customHeight="1" x14ac:dyDescent="0.3">
      <c r="B2068" s="17" t="str">
        <f>IF('Marcación Workera'!G2068="","",INT('Marcación Workera'!G2068))</f>
        <v/>
      </c>
      <c r="C2068" s="18" t="str">
        <f>IF('Marcación Workera'!B2068="","",UPPER(SUBSTITUTE('Marcación Workera'!B2068,".","")))</f>
        <v/>
      </c>
    </row>
    <row r="2069" spans="2:3" ht="15" customHeight="1" x14ac:dyDescent="0.3">
      <c r="B2069" s="17" t="str">
        <f>IF('Marcación Workera'!G2069="","",INT('Marcación Workera'!G2069))</f>
        <v/>
      </c>
      <c r="C2069" s="18" t="str">
        <f>IF('Marcación Workera'!B2069="","",UPPER(SUBSTITUTE('Marcación Workera'!B2069,".","")))</f>
        <v/>
      </c>
    </row>
    <row r="2070" spans="2:3" ht="15" customHeight="1" x14ac:dyDescent="0.3">
      <c r="B2070" s="17" t="str">
        <f>IF('Marcación Workera'!G2070="","",INT('Marcación Workera'!G2070))</f>
        <v/>
      </c>
      <c r="C2070" s="18" t="str">
        <f>IF('Marcación Workera'!B2070="","",UPPER(SUBSTITUTE('Marcación Workera'!B2070,".","")))</f>
        <v/>
      </c>
    </row>
    <row r="2071" spans="2:3" ht="15" customHeight="1" x14ac:dyDescent="0.3">
      <c r="B2071" s="17" t="str">
        <f>IF('Marcación Workera'!G2071="","",INT('Marcación Workera'!G2071))</f>
        <v/>
      </c>
      <c r="C2071" s="18" t="str">
        <f>IF('Marcación Workera'!B2071="","",UPPER(SUBSTITUTE('Marcación Workera'!B2071,".","")))</f>
        <v/>
      </c>
    </row>
    <row r="2072" spans="2:3" ht="15" customHeight="1" x14ac:dyDescent="0.3">
      <c r="B2072" s="17" t="str">
        <f>IF('Marcación Workera'!G2072="","",INT('Marcación Workera'!G2072))</f>
        <v/>
      </c>
      <c r="C2072" s="18" t="str">
        <f>IF('Marcación Workera'!B2072="","",UPPER(SUBSTITUTE('Marcación Workera'!B2072,".","")))</f>
        <v/>
      </c>
    </row>
    <row r="2073" spans="2:3" ht="15" customHeight="1" x14ac:dyDescent="0.3">
      <c r="B2073" s="17" t="str">
        <f>IF('Marcación Workera'!G2073="","",INT('Marcación Workera'!G2073))</f>
        <v/>
      </c>
      <c r="C2073" s="18" t="str">
        <f>IF('Marcación Workera'!B2073="","",UPPER(SUBSTITUTE('Marcación Workera'!B2073,".","")))</f>
        <v/>
      </c>
    </row>
    <row r="2074" spans="2:3" ht="15" customHeight="1" x14ac:dyDescent="0.3">
      <c r="B2074" s="17" t="str">
        <f>IF('Marcación Workera'!G2074="","",INT('Marcación Workera'!G2074))</f>
        <v/>
      </c>
      <c r="C2074" s="18" t="str">
        <f>IF('Marcación Workera'!B2074="","",UPPER(SUBSTITUTE('Marcación Workera'!B2074,".","")))</f>
        <v/>
      </c>
    </row>
    <row r="2075" spans="2:3" ht="15" customHeight="1" x14ac:dyDescent="0.3">
      <c r="B2075" s="17" t="str">
        <f>IF('Marcación Workera'!G2075="","",INT('Marcación Workera'!G2075))</f>
        <v/>
      </c>
      <c r="C2075" s="18" t="str">
        <f>IF('Marcación Workera'!B2075="","",UPPER(SUBSTITUTE('Marcación Workera'!B2075,".","")))</f>
        <v/>
      </c>
    </row>
    <row r="2076" spans="2:3" ht="15" customHeight="1" x14ac:dyDescent="0.3">
      <c r="B2076" s="17" t="str">
        <f>IF('Marcación Workera'!G2076="","",INT('Marcación Workera'!G2076))</f>
        <v/>
      </c>
      <c r="C2076" s="18" t="str">
        <f>IF('Marcación Workera'!B2076="","",UPPER(SUBSTITUTE('Marcación Workera'!B2076,".","")))</f>
        <v/>
      </c>
    </row>
    <row r="2077" spans="2:3" ht="15" customHeight="1" x14ac:dyDescent="0.3">
      <c r="B2077" s="17" t="str">
        <f>IF('Marcación Workera'!G2077="","",INT('Marcación Workera'!G2077))</f>
        <v/>
      </c>
      <c r="C2077" s="18" t="str">
        <f>IF('Marcación Workera'!B2077="","",UPPER(SUBSTITUTE('Marcación Workera'!B2077,".","")))</f>
        <v/>
      </c>
    </row>
    <row r="2078" spans="2:3" ht="15" customHeight="1" x14ac:dyDescent="0.3">
      <c r="B2078" s="17" t="str">
        <f>IF('Marcación Workera'!G2078="","",INT('Marcación Workera'!G2078))</f>
        <v/>
      </c>
      <c r="C2078" s="18" t="str">
        <f>IF('Marcación Workera'!B2078="","",UPPER(SUBSTITUTE('Marcación Workera'!B2078,".","")))</f>
        <v/>
      </c>
    </row>
    <row r="2079" spans="2:3" ht="15" customHeight="1" x14ac:dyDescent="0.3">
      <c r="B2079" s="17" t="str">
        <f>IF('Marcación Workera'!G2079="","",INT('Marcación Workera'!G2079))</f>
        <v/>
      </c>
      <c r="C2079" s="18" t="str">
        <f>IF('Marcación Workera'!B2079="","",UPPER(SUBSTITUTE('Marcación Workera'!B2079,".","")))</f>
        <v/>
      </c>
    </row>
    <row r="2080" spans="2:3" ht="15" customHeight="1" x14ac:dyDescent="0.3">
      <c r="B2080" s="17" t="str">
        <f>IF('Marcación Workera'!G2080="","",INT('Marcación Workera'!G2080))</f>
        <v/>
      </c>
      <c r="C2080" s="18" t="str">
        <f>IF('Marcación Workera'!B2080="","",UPPER(SUBSTITUTE('Marcación Workera'!B2080,".","")))</f>
        <v/>
      </c>
    </row>
    <row r="2081" spans="2:3" ht="15" customHeight="1" x14ac:dyDescent="0.3">
      <c r="B2081" s="17" t="str">
        <f>IF('Marcación Workera'!G2081="","",INT('Marcación Workera'!G2081))</f>
        <v/>
      </c>
      <c r="C2081" s="18" t="str">
        <f>IF('Marcación Workera'!B2081="","",UPPER(SUBSTITUTE('Marcación Workera'!B2081,".","")))</f>
        <v/>
      </c>
    </row>
    <row r="2082" spans="2:3" ht="15" customHeight="1" x14ac:dyDescent="0.3">
      <c r="B2082" s="17" t="str">
        <f>IF('Marcación Workera'!G2082="","",INT('Marcación Workera'!G2082))</f>
        <v/>
      </c>
      <c r="C2082" s="18" t="str">
        <f>IF('Marcación Workera'!B2082="","",UPPER(SUBSTITUTE('Marcación Workera'!B2082,".","")))</f>
        <v/>
      </c>
    </row>
    <row r="2083" spans="2:3" ht="15" customHeight="1" x14ac:dyDescent="0.3">
      <c r="B2083" s="17" t="str">
        <f>IF('Marcación Workera'!G2083="","",INT('Marcación Workera'!G2083))</f>
        <v/>
      </c>
      <c r="C2083" s="18" t="str">
        <f>IF('Marcación Workera'!B2083="","",UPPER(SUBSTITUTE('Marcación Workera'!B2083,".","")))</f>
        <v/>
      </c>
    </row>
    <row r="2084" spans="2:3" ht="15" customHeight="1" x14ac:dyDescent="0.3">
      <c r="B2084" s="17" t="str">
        <f>IF('Marcación Workera'!G2084="","",INT('Marcación Workera'!G2084))</f>
        <v/>
      </c>
      <c r="C2084" s="18" t="str">
        <f>IF('Marcación Workera'!B2084="","",UPPER(SUBSTITUTE('Marcación Workera'!B2084,".","")))</f>
        <v/>
      </c>
    </row>
    <row r="2085" spans="2:3" ht="15" customHeight="1" x14ac:dyDescent="0.3">
      <c r="B2085" s="17" t="str">
        <f>IF('Marcación Workera'!G2085="","",INT('Marcación Workera'!G2085))</f>
        <v/>
      </c>
      <c r="C2085" s="18" t="str">
        <f>IF('Marcación Workera'!B2085="","",UPPER(SUBSTITUTE('Marcación Workera'!B2085,".","")))</f>
        <v/>
      </c>
    </row>
    <row r="2086" spans="2:3" ht="15" customHeight="1" x14ac:dyDescent="0.3">
      <c r="B2086" s="17" t="str">
        <f>IF('Marcación Workera'!G2086="","",INT('Marcación Workera'!G2086))</f>
        <v/>
      </c>
      <c r="C2086" s="18" t="str">
        <f>IF('Marcación Workera'!B2086="","",UPPER(SUBSTITUTE('Marcación Workera'!B2086,".","")))</f>
        <v/>
      </c>
    </row>
    <row r="2087" spans="2:3" ht="15" customHeight="1" x14ac:dyDescent="0.3">
      <c r="B2087" s="17" t="str">
        <f>IF('Marcación Workera'!G2087="","",INT('Marcación Workera'!G2087))</f>
        <v/>
      </c>
      <c r="C2087" s="18" t="str">
        <f>IF('Marcación Workera'!B2087="","",UPPER(SUBSTITUTE('Marcación Workera'!B2087,".","")))</f>
        <v/>
      </c>
    </row>
    <row r="2088" spans="2:3" ht="15" customHeight="1" x14ac:dyDescent="0.3">
      <c r="B2088" s="17" t="str">
        <f>IF('Marcación Workera'!G2088="","",INT('Marcación Workera'!G2088))</f>
        <v/>
      </c>
      <c r="C2088" s="18" t="str">
        <f>IF('Marcación Workera'!B2088="","",UPPER(SUBSTITUTE('Marcación Workera'!B2088,".","")))</f>
        <v/>
      </c>
    </row>
    <row r="2089" spans="2:3" ht="15" customHeight="1" x14ac:dyDescent="0.3">
      <c r="B2089" s="17" t="str">
        <f>IF('Marcación Workera'!G2089="","",INT('Marcación Workera'!G2089))</f>
        <v/>
      </c>
      <c r="C2089" s="18" t="str">
        <f>IF('Marcación Workera'!B2089="","",UPPER(SUBSTITUTE('Marcación Workera'!B2089,".","")))</f>
        <v/>
      </c>
    </row>
    <row r="2090" spans="2:3" ht="15" customHeight="1" x14ac:dyDescent="0.3">
      <c r="B2090" s="17" t="str">
        <f>IF('Marcación Workera'!G2090="","",INT('Marcación Workera'!G2090))</f>
        <v/>
      </c>
      <c r="C2090" s="18" t="str">
        <f>IF('Marcación Workera'!B2090="","",UPPER(SUBSTITUTE('Marcación Workera'!B2090,".","")))</f>
        <v/>
      </c>
    </row>
    <row r="2091" spans="2:3" ht="15" customHeight="1" x14ac:dyDescent="0.3">
      <c r="B2091" s="17" t="str">
        <f>IF('Marcación Workera'!G2091="","",INT('Marcación Workera'!G2091))</f>
        <v/>
      </c>
      <c r="C2091" s="18" t="str">
        <f>IF('Marcación Workera'!B2091="","",UPPER(SUBSTITUTE('Marcación Workera'!B2091,".","")))</f>
        <v/>
      </c>
    </row>
    <row r="2092" spans="2:3" ht="15" customHeight="1" x14ac:dyDescent="0.3">
      <c r="B2092" s="17" t="str">
        <f>IF('Marcación Workera'!G2092="","",INT('Marcación Workera'!G2092))</f>
        <v/>
      </c>
      <c r="C2092" s="18" t="str">
        <f>IF('Marcación Workera'!B2092="","",UPPER(SUBSTITUTE('Marcación Workera'!B2092,".","")))</f>
        <v/>
      </c>
    </row>
    <row r="2093" spans="2:3" ht="15" customHeight="1" x14ac:dyDescent="0.3">
      <c r="B2093" s="17" t="str">
        <f>IF('Marcación Workera'!G2093="","",INT('Marcación Workera'!G2093))</f>
        <v/>
      </c>
      <c r="C2093" s="18" t="str">
        <f>IF('Marcación Workera'!B2093="","",UPPER(SUBSTITUTE('Marcación Workera'!B2093,".","")))</f>
        <v/>
      </c>
    </row>
    <row r="2094" spans="2:3" ht="15" customHeight="1" x14ac:dyDescent="0.3">
      <c r="B2094" s="17" t="str">
        <f>IF('Marcación Workera'!G2094="","",INT('Marcación Workera'!G2094))</f>
        <v/>
      </c>
      <c r="C2094" s="18" t="str">
        <f>IF('Marcación Workera'!B2094="","",UPPER(SUBSTITUTE('Marcación Workera'!B2094,".","")))</f>
        <v/>
      </c>
    </row>
    <row r="2095" spans="2:3" ht="15" customHeight="1" x14ac:dyDescent="0.3">
      <c r="B2095" s="17" t="str">
        <f>IF('Marcación Workera'!G2095="","",INT('Marcación Workera'!G2095))</f>
        <v/>
      </c>
      <c r="C2095" s="18" t="str">
        <f>IF('Marcación Workera'!B2095="","",UPPER(SUBSTITUTE('Marcación Workera'!B2095,".","")))</f>
        <v/>
      </c>
    </row>
    <row r="2096" spans="2:3" ht="15" customHeight="1" x14ac:dyDescent="0.3">
      <c r="B2096" s="17" t="str">
        <f>IF('Marcación Workera'!G2096="","",INT('Marcación Workera'!G2096))</f>
        <v/>
      </c>
      <c r="C2096" s="18" t="str">
        <f>IF('Marcación Workera'!B2096="","",UPPER(SUBSTITUTE('Marcación Workera'!B2096,".","")))</f>
        <v/>
      </c>
    </row>
    <row r="2097" spans="2:3" ht="15" customHeight="1" x14ac:dyDescent="0.3">
      <c r="B2097" s="17" t="str">
        <f>IF('Marcación Workera'!G2097="","",INT('Marcación Workera'!G2097))</f>
        <v/>
      </c>
      <c r="C2097" s="18" t="str">
        <f>IF('Marcación Workera'!B2097="","",UPPER(SUBSTITUTE('Marcación Workera'!B2097,".","")))</f>
        <v/>
      </c>
    </row>
    <row r="2098" spans="2:3" ht="15" customHeight="1" x14ac:dyDescent="0.3">
      <c r="B2098" s="17" t="str">
        <f>IF('Marcación Workera'!G2098="","",INT('Marcación Workera'!G2098))</f>
        <v/>
      </c>
      <c r="C2098" s="18" t="str">
        <f>IF('Marcación Workera'!B2098="","",UPPER(SUBSTITUTE('Marcación Workera'!B2098,".","")))</f>
        <v/>
      </c>
    </row>
    <row r="2099" spans="2:3" ht="15" customHeight="1" x14ac:dyDescent="0.3">
      <c r="B2099" s="17" t="str">
        <f>IF('Marcación Workera'!G2099="","",INT('Marcación Workera'!G2099))</f>
        <v/>
      </c>
      <c r="C2099" s="18" t="str">
        <f>IF('Marcación Workera'!B2099="","",UPPER(SUBSTITUTE('Marcación Workera'!B2099,".","")))</f>
        <v/>
      </c>
    </row>
    <row r="2100" spans="2:3" ht="15" customHeight="1" x14ac:dyDescent="0.3">
      <c r="B2100" s="17" t="str">
        <f>IF('Marcación Workera'!G2100="","",INT('Marcación Workera'!G2100))</f>
        <v/>
      </c>
      <c r="C2100" s="18" t="str">
        <f>IF('Marcación Workera'!B2100="","",UPPER(SUBSTITUTE('Marcación Workera'!B2100,".","")))</f>
        <v/>
      </c>
    </row>
    <row r="2101" spans="2:3" ht="15" customHeight="1" x14ac:dyDescent="0.3">
      <c r="B2101" s="17" t="str">
        <f>IF('Marcación Workera'!G2101="","",INT('Marcación Workera'!G2101))</f>
        <v/>
      </c>
      <c r="C2101" s="18" t="str">
        <f>IF('Marcación Workera'!B2101="","",UPPER(SUBSTITUTE('Marcación Workera'!B2101,".","")))</f>
        <v/>
      </c>
    </row>
    <row r="2102" spans="2:3" ht="15" customHeight="1" x14ac:dyDescent="0.3">
      <c r="B2102" s="17" t="str">
        <f>IF('Marcación Workera'!G2102="","",INT('Marcación Workera'!G2102))</f>
        <v/>
      </c>
      <c r="C2102" s="18" t="str">
        <f>IF('Marcación Workera'!B2102="","",UPPER(SUBSTITUTE('Marcación Workera'!B2102,".","")))</f>
        <v/>
      </c>
    </row>
    <row r="2103" spans="2:3" ht="15" customHeight="1" x14ac:dyDescent="0.3">
      <c r="B2103" s="17" t="str">
        <f>IF('Marcación Workera'!G2103="","",INT('Marcación Workera'!G2103))</f>
        <v/>
      </c>
      <c r="C2103" s="18" t="str">
        <f>IF('Marcación Workera'!B2103="","",UPPER(SUBSTITUTE('Marcación Workera'!B2103,".","")))</f>
        <v/>
      </c>
    </row>
    <row r="2104" spans="2:3" ht="15" customHeight="1" x14ac:dyDescent="0.3">
      <c r="B2104" s="17" t="str">
        <f>IF('Marcación Workera'!G2104="","",INT('Marcación Workera'!G2104))</f>
        <v/>
      </c>
      <c r="C2104" s="18" t="str">
        <f>IF('Marcación Workera'!B2104="","",UPPER(SUBSTITUTE('Marcación Workera'!B2104,".","")))</f>
        <v/>
      </c>
    </row>
    <row r="2105" spans="2:3" ht="15" customHeight="1" x14ac:dyDescent="0.3">
      <c r="B2105" s="17" t="str">
        <f>IF('Marcación Workera'!G2105="","",INT('Marcación Workera'!G2105))</f>
        <v/>
      </c>
      <c r="C2105" s="18" t="str">
        <f>IF('Marcación Workera'!B2105="","",UPPER(SUBSTITUTE('Marcación Workera'!B2105,".","")))</f>
        <v/>
      </c>
    </row>
    <row r="2106" spans="2:3" ht="15" customHeight="1" x14ac:dyDescent="0.3">
      <c r="B2106" s="17" t="str">
        <f>IF('Marcación Workera'!G2106="","",INT('Marcación Workera'!G2106))</f>
        <v/>
      </c>
      <c r="C2106" s="18" t="str">
        <f>IF('Marcación Workera'!B2106="","",UPPER(SUBSTITUTE('Marcación Workera'!B2106,".","")))</f>
        <v/>
      </c>
    </row>
    <row r="2107" spans="2:3" ht="15" customHeight="1" x14ac:dyDescent="0.3">
      <c r="B2107" s="17" t="str">
        <f>IF('Marcación Workera'!G2107="","",INT('Marcación Workera'!G2107))</f>
        <v/>
      </c>
      <c r="C2107" s="18" t="str">
        <f>IF('Marcación Workera'!B2107="","",UPPER(SUBSTITUTE('Marcación Workera'!B2107,".","")))</f>
        <v/>
      </c>
    </row>
    <row r="2108" spans="2:3" ht="15" customHeight="1" x14ac:dyDescent="0.3">
      <c r="B2108" s="17" t="str">
        <f>IF('Marcación Workera'!G2108="","",INT('Marcación Workera'!G2108))</f>
        <v/>
      </c>
      <c r="C2108" s="18" t="str">
        <f>IF('Marcación Workera'!B2108="","",UPPER(SUBSTITUTE('Marcación Workera'!B2108,".","")))</f>
        <v/>
      </c>
    </row>
    <row r="2109" spans="2:3" ht="15" customHeight="1" x14ac:dyDescent="0.3">
      <c r="B2109" s="17" t="str">
        <f>IF('Marcación Workera'!G2109="","",INT('Marcación Workera'!G2109))</f>
        <v/>
      </c>
      <c r="C2109" s="18" t="str">
        <f>IF('Marcación Workera'!B2109="","",UPPER(SUBSTITUTE('Marcación Workera'!B2109,".","")))</f>
        <v/>
      </c>
    </row>
    <row r="2110" spans="2:3" ht="15" customHeight="1" x14ac:dyDescent="0.3">
      <c r="B2110" s="17" t="str">
        <f>IF('Marcación Workera'!G2110="","",INT('Marcación Workera'!G2110))</f>
        <v/>
      </c>
      <c r="C2110" s="18" t="str">
        <f>IF('Marcación Workera'!B2110="","",UPPER(SUBSTITUTE('Marcación Workera'!B2110,".","")))</f>
        <v/>
      </c>
    </row>
    <row r="2111" spans="2:3" ht="15" customHeight="1" x14ac:dyDescent="0.3">
      <c r="B2111" s="17" t="str">
        <f>IF('Marcación Workera'!G2111="","",INT('Marcación Workera'!G2111))</f>
        <v/>
      </c>
      <c r="C2111" s="18" t="str">
        <f>IF('Marcación Workera'!B2111="","",UPPER(SUBSTITUTE('Marcación Workera'!B2111,".","")))</f>
        <v/>
      </c>
    </row>
    <row r="2112" spans="2:3" ht="15" customHeight="1" x14ac:dyDescent="0.3">
      <c r="B2112" s="17" t="str">
        <f>IF('Marcación Workera'!G2112="","",INT('Marcación Workera'!G2112))</f>
        <v/>
      </c>
      <c r="C2112" s="18" t="str">
        <f>IF('Marcación Workera'!B2112="","",UPPER(SUBSTITUTE('Marcación Workera'!B2112,".","")))</f>
        <v/>
      </c>
    </row>
    <row r="2113" spans="2:3" ht="15" customHeight="1" x14ac:dyDescent="0.3">
      <c r="B2113" s="17" t="str">
        <f>IF('Marcación Workera'!G2113="","",INT('Marcación Workera'!G2113))</f>
        <v/>
      </c>
      <c r="C2113" s="18" t="str">
        <f>IF('Marcación Workera'!B2113="","",UPPER(SUBSTITUTE('Marcación Workera'!B2113,".","")))</f>
        <v/>
      </c>
    </row>
    <row r="2114" spans="2:3" ht="15" customHeight="1" x14ac:dyDescent="0.3">
      <c r="B2114" s="17" t="str">
        <f>IF('Marcación Workera'!G2114="","",INT('Marcación Workera'!G2114))</f>
        <v/>
      </c>
      <c r="C2114" s="18" t="str">
        <f>IF('Marcación Workera'!B2114="","",UPPER(SUBSTITUTE('Marcación Workera'!B2114,".","")))</f>
        <v/>
      </c>
    </row>
    <row r="2115" spans="2:3" ht="15" customHeight="1" x14ac:dyDescent="0.3">
      <c r="B2115" s="17" t="str">
        <f>IF('Marcación Workera'!G2115="","",INT('Marcación Workera'!G2115))</f>
        <v/>
      </c>
      <c r="C2115" s="18" t="str">
        <f>IF('Marcación Workera'!B2115="","",UPPER(SUBSTITUTE('Marcación Workera'!B2115,".","")))</f>
        <v/>
      </c>
    </row>
    <row r="2116" spans="2:3" ht="15" customHeight="1" x14ac:dyDescent="0.3">
      <c r="B2116" s="17" t="str">
        <f>IF('Marcación Workera'!G2116="","",INT('Marcación Workera'!G2116))</f>
        <v/>
      </c>
      <c r="C2116" s="18" t="str">
        <f>IF('Marcación Workera'!B2116="","",UPPER(SUBSTITUTE('Marcación Workera'!B2116,".","")))</f>
        <v/>
      </c>
    </row>
    <row r="2117" spans="2:3" ht="15" customHeight="1" x14ac:dyDescent="0.3">
      <c r="B2117" s="17" t="str">
        <f>IF('Marcación Workera'!G2117="","",INT('Marcación Workera'!G2117))</f>
        <v/>
      </c>
      <c r="C2117" s="18" t="str">
        <f>IF('Marcación Workera'!B2117="","",UPPER(SUBSTITUTE('Marcación Workera'!B2117,".","")))</f>
        <v/>
      </c>
    </row>
    <row r="2118" spans="2:3" ht="15" customHeight="1" x14ac:dyDescent="0.3">
      <c r="B2118" s="17" t="str">
        <f>IF('Marcación Workera'!G2118="","",INT('Marcación Workera'!G2118))</f>
        <v/>
      </c>
      <c r="C2118" s="18" t="str">
        <f>IF('Marcación Workera'!B2118="","",UPPER(SUBSTITUTE('Marcación Workera'!B2118,".","")))</f>
        <v/>
      </c>
    </row>
    <row r="2119" spans="2:3" ht="15" customHeight="1" x14ac:dyDescent="0.3">
      <c r="B2119" s="17" t="str">
        <f>IF('Marcación Workera'!G2119="","",INT('Marcación Workera'!G2119))</f>
        <v/>
      </c>
      <c r="C2119" s="18" t="str">
        <f>IF('Marcación Workera'!B2119="","",UPPER(SUBSTITUTE('Marcación Workera'!B2119,".","")))</f>
        <v/>
      </c>
    </row>
    <row r="2120" spans="2:3" ht="15" customHeight="1" x14ac:dyDescent="0.3">
      <c r="B2120" s="17" t="str">
        <f>IF('Marcación Workera'!G2120="","",INT('Marcación Workera'!G2120))</f>
        <v/>
      </c>
      <c r="C2120" s="18" t="str">
        <f>IF('Marcación Workera'!B2120="","",UPPER(SUBSTITUTE('Marcación Workera'!B2120,".","")))</f>
        <v/>
      </c>
    </row>
    <row r="2121" spans="2:3" ht="15" customHeight="1" x14ac:dyDescent="0.3">
      <c r="B2121" s="17" t="str">
        <f>IF('Marcación Workera'!G2121="","",INT('Marcación Workera'!G2121))</f>
        <v/>
      </c>
      <c r="C2121" s="18" t="str">
        <f>IF('Marcación Workera'!B2121="","",UPPER(SUBSTITUTE('Marcación Workera'!B2121,".","")))</f>
        <v/>
      </c>
    </row>
    <row r="2122" spans="2:3" ht="15" customHeight="1" x14ac:dyDescent="0.3">
      <c r="B2122" s="17" t="str">
        <f>IF('Marcación Workera'!G2122="","",INT('Marcación Workera'!G2122))</f>
        <v/>
      </c>
      <c r="C2122" s="18" t="str">
        <f>IF('Marcación Workera'!B2122="","",UPPER(SUBSTITUTE('Marcación Workera'!B2122,".","")))</f>
        <v/>
      </c>
    </row>
    <row r="2123" spans="2:3" ht="15" customHeight="1" x14ac:dyDescent="0.3">
      <c r="B2123" s="17" t="str">
        <f>IF('Marcación Workera'!G2123="","",INT('Marcación Workera'!G2123))</f>
        <v/>
      </c>
      <c r="C2123" s="18" t="str">
        <f>IF('Marcación Workera'!B2123="","",UPPER(SUBSTITUTE('Marcación Workera'!B2123,".","")))</f>
        <v/>
      </c>
    </row>
    <row r="2124" spans="2:3" ht="15" customHeight="1" x14ac:dyDescent="0.3">
      <c r="B2124" s="17" t="str">
        <f>IF('Marcación Workera'!G2124="","",INT('Marcación Workera'!G2124))</f>
        <v/>
      </c>
      <c r="C2124" s="18" t="str">
        <f>IF('Marcación Workera'!B2124="","",UPPER(SUBSTITUTE('Marcación Workera'!B2124,".","")))</f>
        <v/>
      </c>
    </row>
    <row r="2125" spans="2:3" ht="15" customHeight="1" x14ac:dyDescent="0.3">
      <c r="B2125" s="17" t="str">
        <f>IF('Marcación Workera'!G2125="","",INT('Marcación Workera'!G2125))</f>
        <v/>
      </c>
      <c r="C2125" s="18" t="str">
        <f>IF('Marcación Workera'!B2125="","",UPPER(SUBSTITUTE('Marcación Workera'!B2125,".","")))</f>
        <v/>
      </c>
    </row>
    <row r="2126" spans="2:3" ht="15" customHeight="1" x14ac:dyDescent="0.3">
      <c r="B2126" s="17" t="str">
        <f>IF('Marcación Workera'!G2126="","",INT('Marcación Workera'!G2126))</f>
        <v/>
      </c>
      <c r="C2126" s="18" t="str">
        <f>IF('Marcación Workera'!B2126="","",UPPER(SUBSTITUTE('Marcación Workera'!B2126,".","")))</f>
        <v/>
      </c>
    </row>
    <row r="2127" spans="2:3" ht="15" customHeight="1" x14ac:dyDescent="0.3">
      <c r="B2127" s="17" t="str">
        <f>IF('Marcación Workera'!G2127="","",INT('Marcación Workera'!G2127))</f>
        <v/>
      </c>
      <c r="C2127" s="18" t="str">
        <f>IF('Marcación Workera'!B2127="","",UPPER(SUBSTITUTE('Marcación Workera'!B2127,".","")))</f>
        <v/>
      </c>
    </row>
    <row r="2128" spans="2:3" ht="15" customHeight="1" x14ac:dyDescent="0.3">
      <c r="B2128" s="17" t="str">
        <f>IF('Marcación Workera'!G2128="","",INT('Marcación Workera'!G2128))</f>
        <v/>
      </c>
      <c r="C2128" s="18" t="str">
        <f>IF('Marcación Workera'!B2128="","",UPPER(SUBSTITUTE('Marcación Workera'!B2128,".","")))</f>
        <v/>
      </c>
    </row>
    <row r="2129" spans="2:3" ht="15" customHeight="1" x14ac:dyDescent="0.3">
      <c r="B2129" s="17" t="str">
        <f>IF('Marcación Workera'!G2129="","",INT('Marcación Workera'!G2129))</f>
        <v/>
      </c>
      <c r="C2129" s="18" t="str">
        <f>IF('Marcación Workera'!B2129="","",UPPER(SUBSTITUTE('Marcación Workera'!B2129,".","")))</f>
        <v/>
      </c>
    </row>
    <row r="2130" spans="2:3" ht="15" customHeight="1" x14ac:dyDescent="0.3">
      <c r="B2130" s="17" t="str">
        <f>IF('Marcación Workera'!G2130="","",INT('Marcación Workera'!G2130))</f>
        <v/>
      </c>
      <c r="C2130" s="18" t="str">
        <f>IF('Marcación Workera'!B2130="","",UPPER(SUBSTITUTE('Marcación Workera'!B2130,".","")))</f>
        <v/>
      </c>
    </row>
    <row r="2131" spans="2:3" ht="15" customHeight="1" x14ac:dyDescent="0.3">
      <c r="B2131" s="17" t="str">
        <f>IF('Marcación Workera'!G2131="","",INT('Marcación Workera'!G2131))</f>
        <v/>
      </c>
      <c r="C2131" s="18" t="str">
        <f>IF('Marcación Workera'!B2131="","",UPPER(SUBSTITUTE('Marcación Workera'!B2131,".","")))</f>
        <v/>
      </c>
    </row>
    <row r="2132" spans="2:3" ht="15" customHeight="1" x14ac:dyDescent="0.3">
      <c r="B2132" s="17" t="str">
        <f>IF('Marcación Workera'!G2132="","",INT('Marcación Workera'!G2132))</f>
        <v/>
      </c>
      <c r="C2132" s="18" t="str">
        <f>IF('Marcación Workera'!B2132="","",UPPER(SUBSTITUTE('Marcación Workera'!B2132,".","")))</f>
        <v/>
      </c>
    </row>
    <row r="2133" spans="2:3" ht="15" customHeight="1" x14ac:dyDescent="0.3">
      <c r="B2133" s="17" t="str">
        <f>IF('Marcación Workera'!G2133="","",INT('Marcación Workera'!G2133))</f>
        <v/>
      </c>
      <c r="C2133" s="18" t="str">
        <f>IF('Marcación Workera'!B2133="","",UPPER(SUBSTITUTE('Marcación Workera'!B2133,".","")))</f>
        <v/>
      </c>
    </row>
    <row r="2134" spans="2:3" ht="15" customHeight="1" x14ac:dyDescent="0.3">
      <c r="B2134" s="17" t="str">
        <f>IF('Marcación Workera'!G2134="","",INT('Marcación Workera'!G2134))</f>
        <v/>
      </c>
      <c r="C2134" s="18" t="str">
        <f>IF('Marcación Workera'!B2134="","",UPPER(SUBSTITUTE('Marcación Workera'!B2134,".","")))</f>
        <v/>
      </c>
    </row>
    <row r="2135" spans="2:3" ht="15" customHeight="1" x14ac:dyDescent="0.3">
      <c r="B2135" s="17" t="str">
        <f>IF('Marcación Workera'!G2135="","",INT('Marcación Workera'!G2135))</f>
        <v/>
      </c>
      <c r="C2135" s="18" t="str">
        <f>IF('Marcación Workera'!B2135="","",UPPER(SUBSTITUTE('Marcación Workera'!B2135,".","")))</f>
        <v/>
      </c>
    </row>
    <row r="2136" spans="2:3" ht="15" customHeight="1" x14ac:dyDescent="0.3">
      <c r="B2136" s="17" t="str">
        <f>IF('Marcación Workera'!G2136="","",INT('Marcación Workera'!G2136))</f>
        <v/>
      </c>
      <c r="C2136" s="18" t="str">
        <f>IF('Marcación Workera'!B2136="","",UPPER(SUBSTITUTE('Marcación Workera'!B2136,".","")))</f>
        <v/>
      </c>
    </row>
    <row r="2137" spans="2:3" ht="15" customHeight="1" x14ac:dyDescent="0.3">
      <c r="B2137" s="17" t="str">
        <f>IF('Marcación Workera'!G2137="","",INT('Marcación Workera'!G2137))</f>
        <v/>
      </c>
      <c r="C2137" s="18" t="str">
        <f>IF('Marcación Workera'!B2137="","",UPPER(SUBSTITUTE('Marcación Workera'!B2137,".","")))</f>
        <v/>
      </c>
    </row>
    <row r="2138" spans="2:3" ht="15" customHeight="1" x14ac:dyDescent="0.3">
      <c r="B2138" s="17" t="str">
        <f>IF('Marcación Workera'!G2138="","",INT('Marcación Workera'!G2138))</f>
        <v/>
      </c>
      <c r="C2138" s="18" t="str">
        <f>IF('Marcación Workera'!B2138="","",UPPER(SUBSTITUTE('Marcación Workera'!B2138,".","")))</f>
        <v/>
      </c>
    </row>
    <row r="2139" spans="2:3" ht="15" customHeight="1" x14ac:dyDescent="0.3">
      <c r="B2139" s="17" t="str">
        <f>IF('Marcación Workera'!G2139="","",INT('Marcación Workera'!G2139))</f>
        <v/>
      </c>
      <c r="C2139" s="18" t="str">
        <f>IF('Marcación Workera'!B2139="","",UPPER(SUBSTITUTE('Marcación Workera'!B2139,".","")))</f>
        <v/>
      </c>
    </row>
    <row r="2140" spans="2:3" ht="15" customHeight="1" x14ac:dyDescent="0.3">
      <c r="B2140" s="17" t="str">
        <f>IF('Marcación Workera'!G2140="","",INT('Marcación Workera'!G2140))</f>
        <v/>
      </c>
      <c r="C2140" s="18" t="str">
        <f>IF('Marcación Workera'!B2140="","",UPPER(SUBSTITUTE('Marcación Workera'!B2140,".","")))</f>
        <v/>
      </c>
    </row>
    <row r="2141" spans="2:3" ht="15" customHeight="1" x14ac:dyDescent="0.3">
      <c r="B2141" s="17" t="str">
        <f>IF('Marcación Workera'!G2141="","",INT('Marcación Workera'!G2141))</f>
        <v/>
      </c>
      <c r="C2141" s="18" t="str">
        <f>IF('Marcación Workera'!B2141="","",UPPER(SUBSTITUTE('Marcación Workera'!B2141,".","")))</f>
        <v/>
      </c>
    </row>
    <row r="2142" spans="2:3" ht="15" customHeight="1" x14ac:dyDescent="0.3">
      <c r="B2142" s="17" t="str">
        <f>IF('Marcación Workera'!G2142="","",INT('Marcación Workera'!G2142))</f>
        <v/>
      </c>
      <c r="C2142" s="18" t="str">
        <f>IF('Marcación Workera'!B2142="","",UPPER(SUBSTITUTE('Marcación Workera'!B2142,".","")))</f>
        <v/>
      </c>
    </row>
    <row r="2143" spans="2:3" ht="15" customHeight="1" x14ac:dyDescent="0.3">
      <c r="B2143" s="17" t="str">
        <f>IF('Marcación Workera'!G2143="","",INT('Marcación Workera'!G2143))</f>
        <v/>
      </c>
      <c r="C2143" s="18" t="str">
        <f>IF('Marcación Workera'!B2143="","",UPPER(SUBSTITUTE('Marcación Workera'!B2143,".","")))</f>
        <v/>
      </c>
    </row>
    <row r="2144" spans="2:3" ht="15" customHeight="1" x14ac:dyDescent="0.3">
      <c r="B2144" s="17" t="str">
        <f>IF('Marcación Workera'!G2144="","",INT('Marcación Workera'!G2144))</f>
        <v/>
      </c>
      <c r="C2144" s="18" t="str">
        <f>IF('Marcación Workera'!B2144="","",UPPER(SUBSTITUTE('Marcación Workera'!B2144,".","")))</f>
        <v/>
      </c>
    </row>
    <row r="2145" spans="2:3" ht="15" customHeight="1" x14ac:dyDescent="0.3">
      <c r="B2145" s="17" t="str">
        <f>IF('Marcación Workera'!G2145="","",INT('Marcación Workera'!G2145))</f>
        <v/>
      </c>
      <c r="C2145" s="18" t="str">
        <f>IF('Marcación Workera'!B2145="","",UPPER(SUBSTITUTE('Marcación Workera'!B2145,".","")))</f>
        <v/>
      </c>
    </row>
    <row r="2146" spans="2:3" ht="15" customHeight="1" x14ac:dyDescent="0.3">
      <c r="B2146" s="17" t="str">
        <f>IF('Marcación Workera'!G2146="","",INT('Marcación Workera'!G2146))</f>
        <v/>
      </c>
      <c r="C2146" s="18" t="str">
        <f>IF('Marcación Workera'!B2146="","",UPPER(SUBSTITUTE('Marcación Workera'!B2146,".","")))</f>
        <v/>
      </c>
    </row>
    <row r="2147" spans="2:3" ht="15" customHeight="1" x14ac:dyDescent="0.3">
      <c r="B2147" s="17" t="str">
        <f>IF('Marcación Workera'!G2147="","",INT('Marcación Workera'!G2147))</f>
        <v/>
      </c>
      <c r="C2147" s="18" t="str">
        <f>IF('Marcación Workera'!B2147="","",UPPER(SUBSTITUTE('Marcación Workera'!B2147,".","")))</f>
        <v/>
      </c>
    </row>
    <row r="2148" spans="2:3" ht="15" customHeight="1" x14ac:dyDescent="0.3">
      <c r="B2148" s="17" t="str">
        <f>IF('Marcación Workera'!G2148="","",INT('Marcación Workera'!G2148))</f>
        <v/>
      </c>
      <c r="C2148" s="18" t="str">
        <f>IF('Marcación Workera'!B2148="","",UPPER(SUBSTITUTE('Marcación Workera'!B2148,".","")))</f>
        <v/>
      </c>
    </row>
    <row r="2149" spans="2:3" ht="15" customHeight="1" x14ac:dyDescent="0.3">
      <c r="B2149" s="17" t="str">
        <f>IF('Marcación Workera'!G2149="","",INT('Marcación Workera'!G2149))</f>
        <v/>
      </c>
      <c r="C2149" s="18" t="str">
        <f>IF('Marcación Workera'!B2149="","",UPPER(SUBSTITUTE('Marcación Workera'!B2149,".","")))</f>
        <v/>
      </c>
    </row>
    <row r="2150" spans="2:3" ht="15" customHeight="1" x14ac:dyDescent="0.3">
      <c r="B2150" s="17" t="str">
        <f>IF('Marcación Workera'!G2150="","",INT('Marcación Workera'!G2150))</f>
        <v/>
      </c>
      <c r="C2150" s="18" t="str">
        <f>IF('Marcación Workera'!B2150="","",UPPER(SUBSTITUTE('Marcación Workera'!B2150,".","")))</f>
        <v/>
      </c>
    </row>
    <row r="2151" spans="2:3" ht="15" customHeight="1" x14ac:dyDescent="0.3">
      <c r="B2151" s="17" t="str">
        <f>IF('Marcación Workera'!G2151="","",INT('Marcación Workera'!G2151))</f>
        <v/>
      </c>
      <c r="C2151" s="18" t="str">
        <f>IF('Marcación Workera'!B2151="","",UPPER(SUBSTITUTE('Marcación Workera'!B2151,".","")))</f>
        <v/>
      </c>
    </row>
    <row r="2152" spans="2:3" ht="15" customHeight="1" x14ac:dyDescent="0.3">
      <c r="B2152" s="17" t="str">
        <f>IF('Marcación Workera'!G2152="","",INT('Marcación Workera'!G2152))</f>
        <v/>
      </c>
      <c r="C2152" s="18" t="str">
        <f>IF('Marcación Workera'!B2152="","",UPPER(SUBSTITUTE('Marcación Workera'!B2152,".","")))</f>
        <v/>
      </c>
    </row>
    <row r="2153" spans="2:3" ht="15" customHeight="1" x14ac:dyDescent="0.3">
      <c r="B2153" s="17" t="str">
        <f>IF('Marcación Workera'!G2153="","",INT('Marcación Workera'!G2153))</f>
        <v/>
      </c>
      <c r="C2153" s="18" t="str">
        <f>IF('Marcación Workera'!B2153="","",UPPER(SUBSTITUTE('Marcación Workera'!B2153,".","")))</f>
        <v/>
      </c>
    </row>
    <row r="2154" spans="2:3" ht="15" customHeight="1" x14ac:dyDescent="0.3">
      <c r="B2154" s="17" t="str">
        <f>IF('Marcación Workera'!G2154="","",INT('Marcación Workera'!G2154))</f>
        <v/>
      </c>
      <c r="C2154" s="18" t="str">
        <f>IF('Marcación Workera'!B2154="","",UPPER(SUBSTITUTE('Marcación Workera'!B2154,".","")))</f>
        <v/>
      </c>
    </row>
    <row r="2155" spans="2:3" ht="15" customHeight="1" x14ac:dyDescent="0.3">
      <c r="B2155" s="17" t="str">
        <f>IF('Marcación Workera'!G2155="","",INT('Marcación Workera'!G2155))</f>
        <v/>
      </c>
      <c r="C2155" s="18" t="str">
        <f>IF('Marcación Workera'!B2155="","",UPPER(SUBSTITUTE('Marcación Workera'!B2155,".","")))</f>
        <v/>
      </c>
    </row>
    <row r="2156" spans="2:3" ht="15" customHeight="1" x14ac:dyDescent="0.3">
      <c r="B2156" s="17" t="str">
        <f>IF('Marcación Workera'!G2156="","",INT('Marcación Workera'!G2156))</f>
        <v/>
      </c>
      <c r="C2156" s="18" t="str">
        <f>IF('Marcación Workera'!B2156="","",UPPER(SUBSTITUTE('Marcación Workera'!B2156,".","")))</f>
        <v/>
      </c>
    </row>
    <row r="2157" spans="2:3" ht="15" customHeight="1" x14ac:dyDescent="0.3">
      <c r="B2157" s="17" t="str">
        <f>IF('Marcación Workera'!G2157="","",INT('Marcación Workera'!G2157))</f>
        <v/>
      </c>
      <c r="C2157" s="18" t="str">
        <f>IF('Marcación Workera'!B2157="","",UPPER(SUBSTITUTE('Marcación Workera'!B2157,".","")))</f>
        <v/>
      </c>
    </row>
    <row r="2158" spans="2:3" ht="15" customHeight="1" x14ac:dyDescent="0.3">
      <c r="B2158" s="17" t="str">
        <f>IF('Marcación Workera'!G2158="","",INT('Marcación Workera'!G2158))</f>
        <v/>
      </c>
      <c r="C2158" s="18" t="str">
        <f>IF('Marcación Workera'!B2158="","",UPPER(SUBSTITUTE('Marcación Workera'!B2158,".","")))</f>
        <v/>
      </c>
    </row>
    <row r="2159" spans="2:3" ht="15" customHeight="1" x14ac:dyDescent="0.3">
      <c r="B2159" s="17" t="str">
        <f>IF('Marcación Workera'!G2159="","",INT('Marcación Workera'!G2159))</f>
        <v/>
      </c>
      <c r="C2159" s="18" t="str">
        <f>IF('Marcación Workera'!B2159="","",UPPER(SUBSTITUTE('Marcación Workera'!B2159,".","")))</f>
        <v/>
      </c>
    </row>
    <row r="2160" spans="2:3" ht="15" customHeight="1" x14ac:dyDescent="0.3">
      <c r="B2160" s="17" t="str">
        <f>IF('Marcación Workera'!G2160="","",INT('Marcación Workera'!G2160))</f>
        <v/>
      </c>
      <c r="C2160" s="18" t="str">
        <f>IF('Marcación Workera'!B2160="","",UPPER(SUBSTITUTE('Marcación Workera'!B2160,".","")))</f>
        <v/>
      </c>
    </row>
    <row r="2161" spans="2:3" ht="15" customHeight="1" x14ac:dyDescent="0.3">
      <c r="B2161" s="17" t="str">
        <f>IF('Marcación Workera'!G2161="","",INT('Marcación Workera'!G2161))</f>
        <v/>
      </c>
      <c r="C2161" s="18" t="str">
        <f>IF('Marcación Workera'!B2161="","",UPPER(SUBSTITUTE('Marcación Workera'!B2161,".","")))</f>
        <v/>
      </c>
    </row>
    <row r="2162" spans="2:3" ht="15" customHeight="1" x14ac:dyDescent="0.3">
      <c r="B2162" s="17" t="str">
        <f>IF('Marcación Workera'!G2162="","",INT('Marcación Workera'!G2162))</f>
        <v/>
      </c>
      <c r="C2162" s="18" t="str">
        <f>IF('Marcación Workera'!B2162="","",UPPER(SUBSTITUTE('Marcación Workera'!B2162,".","")))</f>
        <v/>
      </c>
    </row>
    <row r="2163" spans="2:3" ht="15" customHeight="1" x14ac:dyDescent="0.3">
      <c r="B2163" s="17" t="str">
        <f>IF('Marcación Workera'!G2163="","",INT('Marcación Workera'!G2163))</f>
        <v/>
      </c>
      <c r="C2163" s="18" t="str">
        <f>IF('Marcación Workera'!B2163="","",UPPER(SUBSTITUTE('Marcación Workera'!B2163,".","")))</f>
        <v/>
      </c>
    </row>
    <row r="2164" spans="2:3" ht="15" customHeight="1" x14ac:dyDescent="0.3">
      <c r="B2164" s="17" t="str">
        <f>IF('Marcación Workera'!G2164="","",INT('Marcación Workera'!G2164))</f>
        <v/>
      </c>
      <c r="C2164" s="18" t="str">
        <f>IF('Marcación Workera'!B2164="","",UPPER(SUBSTITUTE('Marcación Workera'!B2164,".","")))</f>
        <v/>
      </c>
    </row>
    <row r="2165" spans="2:3" ht="15" customHeight="1" x14ac:dyDescent="0.3">
      <c r="B2165" s="17" t="str">
        <f>IF('Marcación Workera'!G2165="","",INT('Marcación Workera'!G2165))</f>
        <v/>
      </c>
      <c r="C2165" s="18" t="str">
        <f>IF('Marcación Workera'!B2165="","",UPPER(SUBSTITUTE('Marcación Workera'!B2165,".","")))</f>
        <v/>
      </c>
    </row>
    <row r="2166" spans="2:3" ht="15" customHeight="1" x14ac:dyDescent="0.3">
      <c r="B2166" s="17" t="str">
        <f>IF('Marcación Workera'!G2166="","",INT('Marcación Workera'!G2166))</f>
        <v/>
      </c>
      <c r="C2166" s="18" t="str">
        <f>IF('Marcación Workera'!B2166="","",UPPER(SUBSTITUTE('Marcación Workera'!B2166,".","")))</f>
        <v/>
      </c>
    </row>
    <row r="2167" spans="2:3" ht="15" customHeight="1" x14ac:dyDescent="0.3">
      <c r="B2167" s="17" t="str">
        <f>IF('Marcación Workera'!G2167="","",INT('Marcación Workera'!G2167))</f>
        <v/>
      </c>
      <c r="C2167" s="18" t="str">
        <f>IF('Marcación Workera'!B2167="","",UPPER(SUBSTITUTE('Marcación Workera'!B2167,".","")))</f>
        <v/>
      </c>
    </row>
    <row r="2168" spans="2:3" ht="15" customHeight="1" x14ac:dyDescent="0.3">
      <c r="B2168" s="17" t="str">
        <f>IF('Marcación Workera'!G2168="","",INT('Marcación Workera'!G2168))</f>
        <v/>
      </c>
      <c r="C2168" s="18" t="str">
        <f>IF('Marcación Workera'!B2168="","",UPPER(SUBSTITUTE('Marcación Workera'!B2168,".","")))</f>
        <v/>
      </c>
    </row>
    <row r="2169" spans="2:3" ht="15" customHeight="1" x14ac:dyDescent="0.3">
      <c r="B2169" s="17" t="str">
        <f>IF('Marcación Workera'!G2169="","",INT('Marcación Workera'!G2169))</f>
        <v/>
      </c>
      <c r="C2169" s="18" t="str">
        <f>IF('Marcación Workera'!B2169="","",UPPER(SUBSTITUTE('Marcación Workera'!B2169,".","")))</f>
        <v/>
      </c>
    </row>
    <row r="2170" spans="2:3" ht="15" customHeight="1" x14ac:dyDescent="0.3">
      <c r="B2170" s="17" t="str">
        <f>IF('Marcación Workera'!G2170="","",INT('Marcación Workera'!G2170))</f>
        <v/>
      </c>
      <c r="C2170" s="18" t="str">
        <f>IF('Marcación Workera'!B2170="","",UPPER(SUBSTITUTE('Marcación Workera'!B2170,".","")))</f>
        <v/>
      </c>
    </row>
    <row r="2171" spans="2:3" ht="15" customHeight="1" x14ac:dyDescent="0.3">
      <c r="B2171" s="17" t="str">
        <f>IF('Marcación Workera'!G2171="","",INT('Marcación Workera'!G2171))</f>
        <v/>
      </c>
      <c r="C2171" s="18" t="str">
        <f>IF('Marcación Workera'!B2171="","",UPPER(SUBSTITUTE('Marcación Workera'!B2171,".","")))</f>
        <v/>
      </c>
    </row>
    <row r="2172" spans="2:3" ht="15" customHeight="1" x14ac:dyDescent="0.3">
      <c r="B2172" s="17" t="str">
        <f>IF('Marcación Workera'!G2172="","",INT('Marcación Workera'!G2172))</f>
        <v/>
      </c>
      <c r="C2172" s="18" t="str">
        <f>IF('Marcación Workera'!B2172="","",UPPER(SUBSTITUTE('Marcación Workera'!B2172,".","")))</f>
        <v/>
      </c>
    </row>
    <row r="2173" spans="2:3" ht="15" customHeight="1" x14ac:dyDescent="0.3">
      <c r="B2173" s="17" t="str">
        <f>IF('Marcación Workera'!G2173="","",INT('Marcación Workera'!G2173))</f>
        <v/>
      </c>
      <c r="C2173" s="18" t="str">
        <f>IF('Marcación Workera'!B2173="","",UPPER(SUBSTITUTE('Marcación Workera'!B2173,".","")))</f>
        <v/>
      </c>
    </row>
    <row r="2174" spans="2:3" ht="15" customHeight="1" x14ac:dyDescent="0.3">
      <c r="B2174" s="17" t="str">
        <f>IF('Marcación Workera'!G2174="","",INT('Marcación Workera'!G2174))</f>
        <v/>
      </c>
      <c r="C2174" s="18" t="str">
        <f>IF('Marcación Workera'!B2174="","",UPPER(SUBSTITUTE('Marcación Workera'!B2174,".","")))</f>
        <v/>
      </c>
    </row>
    <row r="2175" spans="2:3" ht="15" customHeight="1" x14ac:dyDescent="0.3">
      <c r="B2175" s="17" t="str">
        <f>IF('Marcación Workera'!G2175="","",INT('Marcación Workera'!G2175))</f>
        <v/>
      </c>
      <c r="C2175" s="18" t="str">
        <f>IF('Marcación Workera'!B2175="","",UPPER(SUBSTITUTE('Marcación Workera'!B2175,".","")))</f>
        <v/>
      </c>
    </row>
    <row r="2176" spans="2:3" ht="15" customHeight="1" x14ac:dyDescent="0.3">
      <c r="B2176" s="17" t="str">
        <f>IF('Marcación Workera'!G2176="","",INT('Marcación Workera'!G2176))</f>
        <v/>
      </c>
      <c r="C2176" s="18" t="str">
        <f>IF('Marcación Workera'!B2176="","",UPPER(SUBSTITUTE('Marcación Workera'!B2176,".","")))</f>
        <v/>
      </c>
    </row>
    <row r="2177" spans="2:3" ht="15" customHeight="1" x14ac:dyDescent="0.3">
      <c r="B2177" s="17" t="str">
        <f>IF('Marcación Workera'!G2177="","",INT('Marcación Workera'!G2177))</f>
        <v/>
      </c>
      <c r="C2177" s="18" t="str">
        <f>IF('Marcación Workera'!B2177="","",UPPER(SUBSTITUTE('Marcación Workera'!B2177,".","")))</f>
        <v/>
      </c>
    </row>
    <row r="2178" spans="2:3" ht="15" customHeight="1" x14ac:dyDescent="0.3">
      <c r="B2178" s="17" t="str">
        <f>IF('Marcación Workera'!G2178="","",INT('Marcación Workera'!G2178))</f>
        <v/>
      </c>
      <c r="C2178" s="18" t="str">
        <f>IF('Marcación Workera'!B2178="","",UPPER(SUBSTITUTE('Marcación Workera'!B2178,".","")))</f>
        <v/>
      </c>
    </row>
    <row r="2179" spans="2:3" ht="15" customHeight="1" x14ac:dyDescent="0.3">
      <c r="B2179" s="17" t="str">
        <f>IF('Marcación Workera'!G2179="","",INT('Marcación Workera'!G2179))</f>
        <v/>
      </c>
      <c r="C2179" s="18" t="str">
        <f>IF('Marcación Workera'!B2179="","",UPPER(SUBSTITUTE('Marcación Workera'!B2179,".","")))</f>
        <v/>
      </c>
    </row>
    <row r="2180" spans="2:3" ht="15" customHeight="1" x14ac:dyDescent="0.3">
      <c r="B2180" s="17" t="str">
        <f>IF('Marcación Workera'!G2180="","",INT('Marcación Workera'!G2180))</f>
        <v/>
      </c>
      <c r="C2180" s="18" t="str">
        <f>IF('Marcación Workera'!B2180="","",UPPER(SUBSTITUTE('Marcación Workera'!B2180,".","")))</f>
        <v/>
      </c>
    </row>
    <row r="2181" spans="2:3" ht="15" customHeight="1" x14ac:dyDescent="0.3">
      <c r="B2181" s="17" t="str">
        <f>IF('Marcación Workera'!G2181="","",INT('Marcación Workera'!G2181))</f>
        <v/>
      </c>
      <c r="C2181" s="18" t="str">
        <f>IF('Marcación Workera'!B2181="","",UPPER(SUBSTITUTE('Marcación Workera'!B2181,".","")))</f>
        <v/>
      </c>
    </row>
    <row r="2182" spans="2:3" ht="15" customHeight="1" x14ac:dyDescent="0.3">
      <c r="B2182" s="17" t="str">
        <f>IF('Marcación Workera'!G2182="","",INT('Marcación Workera'!G2182))</f>
        <v/>
      </c>
      <c r="C2182" s="18" t="str">
        <f>IF('Marcación Workera'!B2182="","",UPPER(SUBSTITUTE('Marcación Workera'!B2182,".","")))</f>
        <v/>
      </c>
    </row>
    <row r="2183" spans="2:3" ht="15" customHeight="1" x14ac:dyDescent="0.3">
      <c r="B2183" s="17" t="str">
        <f>IF('Marcación Workera'!G2183="","",INT('Marcación Workera'!G2183))</f>
        <v/>
      </c>
      <c r="C2183" s="18" t="str">
        <f>IF('Marcación Workera'!B2183="","",UPPER(SUBSTITUTE('Marcación Workera'!B2183,".","")))</f>
        <v/>
      </c>
    </row>
    <row r="2184" spans="2:3" ht="15" customHeight="1" x14ac:dyDescent="0.3">
      <c r="B2184" s="17" t="str">
        <f>IF('Marcación Workera'!G2184="","",INT('Marcación Workera'!G2184))</f>
        <v/>
      </c>
      <c r="C2184" s="18" t="str">
        <f>IF('Marcación Workera'!B2184="","",UPPER(SUBSTITUTE('Marcación Workera'!B2184,".","")))</f>
        <v/>
      </c>
    </row>
    <row r="2185" spans="2:3" ht="15" customHeight="1" x14ac:dyDescent="0.3">
      <c r="B2185" s="17" t="str">
        <f>IF('Marcación Workera'!G2185="","",INT('Marcación Workera'!G2185))</f>
        <v/>
      </c>
      <c r="C2185" s="18" t="str">
        <f>IF('Marcación Workera'!B2185="","",UPPER(SUBSTITUTE('Marcación Workera'!B2185,".","")))</f>
        <v/>
      </c>
    </row>
    <row r="2186" spans="2:3" ht="15" customHeight="1" x14ac:dyDescent="0.3">
      <c r="B2186" s="17" t="str">
        <f>IF('Marcación Workera'!G2186="","",INT('Marcación Workera'!G2186))</f>
        <v/>
      </c>
      <c r="C2186" s="18" t="str">
        <f>IF('Marcación Workera'!B2186="","",UPPER(SUBSTITUTE('Marcación Workera'!B2186,".","")))</f>
        <v/>
      </c>
    </row>
    <row r="2187" spans="2:3" ht="15" customHeight="1" x14ac:dyDescent="0.3">
      <c r="B2187" s="17" t="str">
        <f>IF('Marcación Workera'!G2187="","",INT('Marcación Workera'!G2187))</f>
        <v/>
      </c>
      <c r="C2187" s="18" t="str">
        <f>IF('Marcación Workera'!B2187="","",UPPER(SUBSTITUTE('Marcación Workera'!B2187,".","")))</f>
        <v/>
      </c>
    </row>
    <row r="2188" spans="2:3" ht="15" customHeight="1" x14ac:dyDescent="0.3">
      <c r="B2188" s="17" t="str">
        <f>IF('Marcación Workera'!G2188="","",INT('Marcación Workera'!G2188))</f>
        <v/>
      </c>
      <c r="C2188" s="18" t="str">
        <f>IF('Marcación Workera'!B2188="","",UPPER(SUBSTITUTE('Marcación Workera'!B2188,".","")))</f>
        <v/>
      </c>
    </row>
    <row r="2189" spans="2:3" ht="15" customHeight="1" x14ac:dyDescent="0.3">
      <c r="B2189" s="17" t="str">
        <f>IF('Marcación Workera'!G2189="","",INT('Marcación Workera'!G2189))</f>
        <v/>
      </c>
      <c r="C2189" s="18" t="str">
        <f>IF('Marcación Workera'!B2189="","",UPPER(SUBSTITUTE('Marcación Workera'!B2189,".","")))</f>
        <v/>
      </c>
    </row>
    <row r="2190" spans="2:3" ht="15" customHeight="1" x14ac:dyDescent="0.3">
      <c r="B2190" s="17" t="str">
        <f>IF('Marcación Workera'!G2190="","",INT('Marcación Workera'!G2190))</f>
        <v/>
      </c>
      <c r="C2190" s="18" t="str">
        <f>IF('Marcación Workera'!B2190="","",UPPER(SUBSTITUTE('Marcación Workera'!B2190,".","")))</f>
        <v/>
      </c>
    </row>
    <row r="2191" spans="2:3" ht="15" customHeight="1" x14ac:dyDescent="0.3">
      <c r="B2191" s="17" t="str">
        <f>IF('Marcación Workera'!G2191="","",INT('Marcación Workera'!G2191))</f>
        <v/>
      </c>
      <c r="C2191" s="18" t="str">
        <f>IF('Marcación Workera'!B2191="","",UPPER(SUBSTITUTE('Marcación Workera'!B2191,".","")))</f>
        <v/>
      </c>
    </row>
    <row r="2192" spans="2:3" ht="15" customHeight="1" x14ac:dyDescent="0.3">
      <c r="B2192" s="17" t="str">
        <f>IF('Marcación Workera'!G2192="","",INT('Marcación Workera'!G2192))</f>
        <v/>
      </c>
      <c r="C2192" s="18" t="str">
        <f>IF('Marcación Workera'!B2192="","",UPPER(SUBSTITUTE('Marcación Workera'!B2192,".","")))</f>
        <v/>
      </c>
    </row>
    <row r="2193" spans="2:3" ht="15" customHeight="1" x14ac:dyDescent="0.3">
      <c r="B2193" s="17" t="str">
        <f>IF('Marcación Workera'!G2193="","",INT('Marcación Workera'!G2193))</f>
        <v/>
      </c>
      <c r="C2193" s="18" t="str">
        <f>IF('Marcación Workera'!B2193="","",UPPER(SUBSTITUTE('Marcación Workera'!B2193,".","")))</f>
        <v/>
      </c>
    </row>
    <row r="2194" spans="2:3" ht="15" customHeight="1" x14ac:dyDescent="0.3">
      <c r="B2194" s="17" t="str">
        <f>IF('Marcación Workera'!G2194="","",INT('Marcación Workera'!G2194))</f>
        <v/>
      </c>
      <c r="C2194" s="18" t="str">
        <f>IF('Marcación Workera'!B2194="","",UPPER(SUBSTITUTE('Marcación Workera'!B2194,".","")))</f>
        <v/>
      </c>
    </row>
    <row r="2195" spans="2:3" ht="15" customHeight="1" x14ac:dyDescent="0.3">
      <c r="B2195" s="17" t="str">
        <f>IF('Marcación Workera'!G2195="","",INT('Marcación Workera'!G2195))</f>
        <v/>
      </c>
      <c r="C2195" s="18" t="str">
        <f>IF('Marcación Workera'!B2195="","",UPPER(SUBSTITUTE('Marcación Workera'!B2195,".","")))</f>
        <v/>
      </c>
    </row>
    <row r="2196" spans="2:3" ht="15" customHeight="1" x14ac:dyDescent="0.3">
      <c r="B2196" s="17" t="str">
        <f>IF('Marcación Workera'!G2196="","",INT('Marcación Workera'!G2196))</f>
        <v/>
      </c>
      <c r="C2196" s="18" t="str">
        <f>IF('Marcación Workera'!B2196="","",UPPER(SUBSTITUTE('Marcación Workera'!B2196,".","")))</f>
        <v/>
      </c>
    </row>
    <row r="2197" spans="2:3" ht="15" customHeight="1" x14ac:dyDescent="0.3">
      <c r="B2197" s="17" t="str">
        <f>IF('Marcación Workera'!G2197="","",INT('Marcación Workera'!G2197))</f>
        <v/>
      </c>
      <c r="C2197" s="18" t="str">
        <f>IF('Marcación Workera'!B2197="","",UPPER(SUBSTITUTE('Marcación Workera'!B2197,".","")))</f>
        <v/>
      </c>
    </row>
    <row r="2198" spans="2:3" ht="15" customHeight="1" x14ac:dyDescent="0.3">
      <c r="B2198" s="17" t="str">
        <f>IF('Marcación Workera'!G2198="","",INT('Marcación Workera'!G2198))</f>
        <v/>
      </c>
      <c r="C2198" s="18" t="str">
        <f>IF('Marcación Workera'!B2198="","",UPPER(SUBSTITUTE('Marcación Workera'!B2198,".","")))</f>
        <v/>
      </c>
    </row>
    <row r="2199" spans="2:3" ht="15" customHeight="1" x14ac:dyDescent="0.3">
      <c r="B2199" s="17" t="str">
        <f>IF('Marcación Workera'!G2199="","",INT('Marcación Workera'!G2199))</f>
        <v/>
      </c>
      <c r="C2199" s="18" t="str">
        <f>IF('Marcación Workera'!B2199="","",UPPER(SUBSTITUTE('Marcación Workera'!B2199,".","")))</f>
        <v/>
      </c>
    </row>
    <row r="2200" spans="2:3" ht="15" customHeight="1" x14ac:dyDescent="0.3">
      <c r="B2200" s="17" t="str">
        <f>IF('Marcación Workera'!G2200="","",INT('Marcación Workera'!G2200))</f>
        <v/>
      </c>
      <c r="C2200" s="18" t="str">
        <f>IF('Marcación Workera'!B2200="","",UPPER(SUBSTITUTE('Marcación Workera'!B2200,".","")))</f>
        <v/>
      </c>
    </row>
    <row r="2201" spans="2:3" ht="15" customHeight="1" x14ac:dyDescent="0.3">
      <c r="B2201" s="17" t="str">
        <f>IF('Marcación Workera'!G2201="","",INT('Marcación Workera'!G2201))</f>
        <v/>
      </c>
      <c r="C2201" s="18" t="str">
        <f>IF('Marcación Workera'!B2201="","",UPPER(SUBSTITUTE('Marcación Workera'!B2201,".","")))</f>
        <v/>
      </c>
    </row>
    <row r="2202" spans="2:3" ht="15" customHeight="1" x14ac:dyDescent="0.3">
      <c r="B2202" s="17" t="str">
        <f>IF('Marcación Workera'!G2202="","",INT('Marcación Workera'!G2202))</f>
        <v/>
      </c>
      <c r="C2202" s="18" t="str">
        <f>IF('Marcación Workera'!B2202="","",UPPER(SUBSTITUTE('Marcación Workera'!B2202,".","")))</f>
        <v/>
      </c>
    </row>
    <row r="2203" spans="2:3" ht="15" customHeight="1" x14ac:dyDescent="0.3">
      <c r="B2203" s="17" t="str">
        <f>IF('Marcación Workera'!G2203="","",INT('Marcación Workera'!G2203))</f>
        <v/>
      </c>
      <c r="C2203" s="18" t="str">
        <f>IF('Marcación Workera'!B2203="","",UPPER(SUBSTITUTE('Marcación Workera'!B2203,".","")))</f>
        <v/>
      </c>
    </row>
    <row r="2204" spans="2:3" ht="15" customHeight="1" x14ac:dyDescent="0.3">
      <c r="B2204" s="17" t="str">
        <f>IF('Marcación Workera'!G2204="","",INT('Marcación Workera'!G2204))</f>
        <v/>
      </c>
      <c r="C2204" s="18" t="str">
        <f>IF('Marcación Workera'!B2204="","",UPPER(SUBSTITUTE('Marcación Workera'!B2204,".","")))</f>
        <v/>
      </c>
    </row>
    <row r="2205" spans="2:3" ht="15" customHeight="1" x14ac:dyDescent="0.3">
      <c r="B2205" s="17" t="str">
        <f>IF('Marcación Workera'!G2205="","",INT('Marcación Workera'!G2205))</f>
        <v/>
      </c>
      <c r="C2205" s="18" t="str">
        <f>IF('Marcación Workera'!B2205="","",UPPER(SUBSTITUTE('Marcación Workera'!B2205,".","")))</f>
        <v/>
      </c>
    </row>
    <row r="2206" spans="2:3" ht="15" customHeight="1" x14ac:dyDescent="0.3">
      <c r="B2206" s="17" t="str">
        <f>IF('Marcación Workera'!G2206="","",INT('Marcación Workera'!G2206))</f>
        <v/>
      </c>
      <c r="C2206" s="18" t="str">
        <f>IF('Marcación Workera'!B2206="","",UPPER(SUBSTITUTE('Marcación Workera'!B2206,".","")))</f>
        <v/>
      </c>
    </row>
    <row r="2207" spans="2:3" ht="15" customHeight="1" x14ac:dyDescent="0.3">
      <c r="B2207" s="17" t="str">
        <f>IF('Marcación Workera'!G2207="","",INT('Marcación Workera'!G2207))</f>
        <v/>
      </c>
      <c r="C2207" s="18" t="str">
        <f>IF('Marcación Workera'!B2207="","",UPPER(SUBSTITUTE('Marcación Workera'!B2207,".","")))</f>
        <v/>
      </c>
    </row>
    <row r="2208" spans="2:3" ht="15" customHeight="1" x14ac:dyDescent="0.3">
      <c r="B2208" s="17" t="str">
        <f>IF('Marcación Workera'!G2208="","",INT('Marcación Workera'!G2208))</f>
        <v/>
      </c>
      <c r="C2208" s="18" t="str">
        <f>IF('Marcación Workera'!B2208="","",UPPER(SUBSTITUTE('Marcación Workera'!B2208,".","")))</f>
        <v/>
      </c>
    </row>
    <row r="2209" spans="2:3" ht="15" customHeight="1" x14ac:dyDescent="0.3">
      <c r="B2209" s="17" t="str">
        <f>IF('Marcación Workera'!G2209="","",INT('Marcación Workera'!G2209))</f>
        <v/>
      </c>
      <c r="C2209" s="18" t="str">
        <f>IF('Marcación Workera'!B2209="","",UPPER(SUBSTITUTE('Marcación Workera'!B2209,".","")))</f>
        <v/>
      </c>
    </row>
    <row r="2210" spans="2:3" ht="15" customHeight="1" x14ac:dyDescent="0.3">
      <c r="B2210" s="17" t="str">
        <f>IF('Marcación Workera'!G2210="","",INT('Marcación Workera'!G2210))</f>
        <v/>
      </c>
      <c r="C2210" s="18" t="str">
        <f>IF('Marcación Workera'!B2210="","",UPPER(SUBSTITUTE('Marcación Workera'!B2210,".","")))</f>
        <v/>
      </c>
    </row>
    <row r="2211" spans="2:3" ht="15" customHeight="1" x14ac:dyDescent="0.3">
      <c r="B2211" s="17" t="str">
        <f>IF('Marcación Workera'!G2211="","",INT('Marcación Workera'!G2211))</f>
        <v/>
      </c>
      <c r="C2211" s="18" t="str">
        <f>IF('Marcación Workera'!B2211="","",UPPER(SUBSTITUTE('Marcación Workera'!B2211,".","")))</f>
        <v/>
      </c>
    </row>
    <row r="2212" spans="2:3" ht="15" customHeight="1" x14ac:dyDescent="0.3">
      <c r="B2212" s="17" t="str">
        <f>IF('Marcación Workera'!G2212="","",INT('Marcación Workera'!G2212))</f>
        <v/>
      </c>
      <c r="C2212" s="18" t="str">
        <f>IF('Marcación Workera'!B2212="","",UPPER(SUBSTITUTE('Marcación Workera'!B2212,".","")))</f>
        <v/>
      </c>
    </row>
    <row r="2213" spans="2:3" ht="15" customHeight="1" x14ac:dyDescent="0.3">
      <c r="B2213" s="17" t="str">
        <f>IF('Marcación Workera'!G2213="","",INT('Marcación Workera'!G2213))</f>
        <v/>
      </c>
      <c r="C2213" s="18" t="str">
        <f>IF('Marcación Workera'!B2213="","",UPPER(SUBSTITUTE('Marcación Workera'!B2213,".","")))</f>
        <v/>
      </c>
    </row>
    <row r="2214" spans="2:3" ht="15" customHeight="1" x14ac:dyDescent="0.3">
      <c r="B2214" s="17" t="str">
        <f>IF('Marcación Workera'!G2214="","",INT('Marcación Workera'!G2214))</f>
        <v/>
      </c>
      <c r="C2214" s="18" t="str">
        <f>IF('Marcación Workera'!B2214="","",UPPER(SUBSTITUTE('Marcación Workera'!B2214,".","")))</f>
        <v/>
      </c>
    </row>
    <row r="2215" spans="2:3" ht="15" customHeight="1" x14ac:dyDescent="0.3">
      <c r="B2215" s="17" t="str">
        <f>IF('Marcación Workera'!G2215="","",INT('Marcación Workera'!G2215))</f>
        <v/>
      </c>
      <c r="C2215" s="18" t="str">
        <f>IF('Marcación Workera'!B2215="","",UPPER(SUBSTITUTE('Marcación Workera'!B2215,".","")))</f>
        <v/>
      </c>
    </row>
    <row r="2216" spans="2:3" ht="15" customHeight="1" x14ac:dyDescent="0.3">
      <c r="B2216" s="17" t="str">
        <f>IF('Marcación Workera'!G2216="","",INT('Marcación Workera'!G2216))</f>
        <v/>
      </c>
      <c r="C2216" s="18" t="str">
        <f>IF('Marcación Workera'!B2216="","",UPPER(SUBSTITUTE('Marcación Workera'!B2216,".","")))</f>
        <v/>
      </c>
    </row>
    <row r="2217" spans="2:3" ht="15" customHeight="1" x14ac:dyDescent="0.3">
      <c r="B2217" s="17" t="str">
        <f>IF('Marcación Workera'!G2217="","",INT('Marcación Workera'!G2217))</f>
        <v/>
      </c>
      <c r="C2217" s="18" t="str">
        <f>IF('Marcación Workera'!B2217="","",UPPER(SUBSTITUTE('Marcación Workera'!B2217,".","")))</f>
        <v/>
      </c>
    </row>
    <row r="2218" spans="2:3" ht="15" customHeight="1" x14ac:dyDescent="0.3">
      <c r="B2218" s="17" t="str">
        <f>IF('Marcación Workera'!G2218="","",INT('Marcación Workera'!G2218))</f>
        <v/>
      </c>
      <c r="C2218" s="18" t="str">
        <f>IF('Marcación Workera'!B2218="","",UPPER(SUBSTITUTE('Marcación Workera'!B2218,".","")))</f>
        <v/>
      </c>
    </row>
    <row r="2219" spans="2:3" ht="15" customHeight="1" x14ac:dyDescent="0.3">
      <c r="B2219" s="17" t="str">
        <f>IF('Marcación Workera'!G2219="","",INT('Marcación Workera'!G2219))</f>
        <v/>
      </c>
      <c r="C2219" s="18" t="str">
        <f>IF('Marcación Workera'!B2219="","",UPPER(SUBSTITUTE('Marcación Workera'!B2219,".","")))</f>
        <v/>
      </c>
    </row>
    <row r="2220" spans="2:3" ht="15" customHeight="1" x14ac:dyDescent="0.3">
      <c r="B2220" s="17" t="str">
        <f>IF('Marcación Workera'!G2220="","",INT('Marcación Workera'!G2220))</f>
        <v/>
      </c>
      <c r="C2220" s="18" t="str">
        <f>IF('Marcación Workera'!B2220="","",UPPER(SUBSTITUTE('Marcación Workera'!B2220,".","")))</f>
        <v/>
      </c>
    </row>
    <row r="2221" spans="2:3" ht="15" customHeight="1" x14ac:dyDescent="0.3">
      <c r="B2221" s="17" t="str">
        <f>IF('Marcación Workera'!G2221="","",INT('Marcación Workera'!G2221))</f>
        <v/>
      </c>
      <c r="C2221" s="18" t="str">
        <f>IF('Marcación Workera'!B2221="","",UPPER(SUBSTITUTE('Marcación Workera'!B2221,".","")))</f>
        <v/>
      </c>
    </row>
    <row r="2222" spans="2:3" ht="15" customHeight="1" x14ac:dyDescent="0.3">
      <c r="B2222" s="17" t="str">
        <f>IF('Marcación Workera'!G2222="","",INT('Marcación Workera'!G2222))</f>
        <v/>
      </c>
      <c r="C2222" s="18" t="str">
        <f>IF('Marcación Workera'!B2222="","",UPPER(SUBSTITUTE('Marcación Workera'!B2222,".","")))</f>
        <v/>
      </c>
    </row>
    <row r="2223" spans="2:3" ht="15" customHeight="1" x14ac:dyDescent="0.3">
      <c r="B2223" s="17" t="str">
        <f>IF('Marcación Workera'!G2223="","",INT('Marcación Workera'!G2223))</f>
        <v/>
      </c>
      <c r="C2223" s="18" t="str">
        <f>IF('Marcación Workera'!B2223="","",UPPER(SUBSTITUTE('Marcación Workera'!B2223,".","")))</f>
        <v/>
      </c>
    </row>
    <row r="2224" spans="2:3" ht="15" customHeight="1" x14ac:dyDescent="0.3">
      <c r="B2224" s="17" t="str">
        <f>IF('Marcación Workera'!G2224="","",INT('Marcación Workera'!G2224))</f>
        <v/>
      </c>
      <c r="C2224" s="18" t="str">
        <f>IF('Marcación Workera'!B2224="","",UPPER(SUBSTITUTE('Marcación Workera'!B2224,".","")))</f>
        <v/>
      </c>
    </row>
    <row r="2225" spans="2:3" ht="15" customHeight="1" x14ac:dyDescent="0.3">
      <c r="B2225" s="17" t="str">
        <f>IF('Marcación Workera'!G2225="","",INT('Marcación Workera'!G2225))</f>
        <v/>
      </c>
      <c r="C2225" s="18" t="str">
        <f>IF('Marcación Workera'!B2225="","",UPPER(SUBSTITUTE('Marcación Workera'!B2225,".","")))</f>
        <v/>
      </c>
    </row>
    <row r="2226" spans="2:3" ht="15" customHeight="1" x14ac:dyDescent="0.3">
      <c r="B2226" s="17" t="str">
        <f>IF('Marcación Workera'!G2226="","",INT('Marcación Workera'!G2226))</f>
        <v/>
      </c>
      <c r="C2226" s="18" t="str">
        <f>IF('Marcación Workera'!B2226="","",UPPER(SUBSTITUTE('Marcación Workera'!B2226,".","")))</f>
        <v/>
      </c>
    </row>
    <row r="2227" spans="2:3" ht="15" customHeight="1" x14ac:dyDescent="0.3">
      <c r="B2227" s="17" t="str">
        <f>IF('Marcación Workera'!G2227="","",INT('Marcación Workera'!G2227))</f>
        <v/>
      </c>
      <c r="C2227" s="18" t="str">
        <f>IF('Marcación Workera'!B2227="","",UPPER(SUBSTITUTE('Marcación Workera'!B2227,".","")))</f>
        <v/>
      </c>
    </row>
    <row r="2228" spans="2:3" ht="15" customHeight="1" x14ac:dyDescent="0.3">
      <c r="B2228" s="17" t="str">
        <f>IF('Marcación Workera'!G2228="","",INT('Marcación Workera'!G2228))</f>
        <v/>
      </c>
      <c r="C2228" s="18" t="str">
        <f>IF('Marcación Workera'!B2228="","",UPPER(SUBSTITUTE('Marcación Workera'!B2228,".","")))</f>
        <v/>
      </c>
    </row>
    <row r="2229" spans="2:3" ht="15" customHeight="1" x14ac:dyDescent="0.3">
      <c r="B2229" s="17" t="str">
        <f>IF('Marcación Workera'!G2229="","",INT('Marcación Workera'!G2229))</f>
        <v/>
      </c>
      <c r="C2229" s="18" t="str">
        <f>IF('Marcación Workera'!B2229="","",UPPER(SUBSTITUTE('Marcación Workera'!B2229,".","")))</f>
        <v/>
      </c>
    </row>
    <row r="2230" spans="2:3" ht="15" customHeight="1" x14ac:dyDescent="0.3">
      <c r="B2230" s="17" t="str">
        <f>IF('Marcación Workera'!G2230="","",INT('Marcación Workera'!G2230))</f>
        <v/>
      </c>
      <c r="C2230" s="18" t="str">
        <f>IF('Marcación Workera'!B2230="","",UPPER(SUBSTITUTE('Marcación Workera'!B2230,".","")))</f>
        <v/>
      </c>
    </row>
    <row r="2231" spans="2:3" ht="15" customHeight="1" x14ac:dyDescent="0.3">
      <c r="B2231" s="17" t="str">
        <f>IF('Marcación Workera'!G2231="","",INT('Marcación Workera'!G2231))</f>
        <v/>
      </c>
      <c r="C2231" s="18" t="str">
        <f>IF('Marcación Workera'!B2231="","",UPPER(SUBSTITUTE('Marcación Workera'!B2231,".","")))</f>
        <v/>
      </c>
    </row>
    <row r="2232" spans="2:3" ht="15" customHeight="1" x14ac:dyDescent="0.3">
      <c r="B2232" s="17" t="str">
        <f>IF('Marcación Workera'!G2232="","",INT('Marcación Workera'!G2232))</f>
        <v/>
      </c>
      <c r="C2232" s="18" t="str">
        <f>IF('Marcación Workera'!B2232="","",UPPER(SUBSTITUTE('Marcación Workera'!B2232,".","")))</f>
        <v/>
      </c>
    </row>
    <row r="2233" spans="2:3" ht="15" customHeight="1" x14ac:dyDescent="0.3">
      <c r="B2233" s="17" t="str">
        <f>IF('Marcación Workera'!G2233="","",INT('Marcación Workera'!G2233))</f>
        <v/>
      </c>
      <c r="C2233" s="18" t="str">
        <f>IF('Marcación Workera'!B2233="","",UPPER(SUBSTITUTE('Marcación Workera'!B2233,".","")))</f>
        <v/>
      </c>
    </row>
    <row r="2234" spans="2:3" ht="15" customHeight="1" x14ac:dyDescent="0.3">
      <c r="B2234" s="17" t="str">
        <f>IF('Marcación Workera'!G2234="","",INT('Marcación Workera'!G2234))</f>
        <v/>
      </c>
      <c r="C2234" s="18" t="str">
        <f>IF('Marcación Workera'!B2234="","",UPPER(SUBSTITUTE('Marcación Workera'!B2234,".","")))</f>
        <v/>
      </c>
    </row>
    <row r="2235" spans="2:3" ht="15" customHeight="1" x14ac:dyDescent="0.3">
      <c r="B2235" s="17" t="str">
        <f>IF('Marcación Workera'!G2235="","",INT('Marcación Workera'!G2235))</f>
        <v/>
      </c>
      <c r="C2235" s="18" t="str">
        <f>IF('Marcación Workera'!B2235="","",UPPER(SUBSTITUTE('Marcación Workera'!B2235,".","")))</f>
        <v/>
      </c>
    </row>
    <row r="2236" spans="2:3" ht="15" customHeight="1" x14ac:dyDescent="0.3">
      <c r="B2236" s="17" t="str">
        <f>IF('Marcación Workera'!G2236="","",INT('Marcación Workera'!G2236))</f>
        <v/>
      </c>
      <c r="C2236" s="18" t="str">
        <f>IF('Marcación Workera'!B2236="","",UPPER(SUBSTITUTE('Marcación Workera'!B2236,".","")))</f>
        <v/>
      </c>
    </row>
    <row r="2237" spans="2:3" ht="15" customHeight="1" x14ac:dyDescent="0.3">
      <c r="B2237" s="17" t="str">
        <f>IF('Marcación Workera'!G2237="","",INT('Marcación Workera'!G2237))</f>
        <v/>
      </c>
      <c r="C2237" s="18" t="str">
        <f>IF('Marcación Workera'!B2237="","",UPPER(SUBSTITUTE('Marcación Workera'!B2237,".","")))</f>
        <v/>
      </c>
    </row>
    <row r="2238" spans="2:3" ht="15" customHeight="1" x14ac:dyDescent="0.3">
      <c r="B2238" s="17" t="str">
        <f>IF('Marcación Workera'!G2238="","",INT('Marcación Workera'!G2238))</f>
        <v/>
      </c>
      <c r="C2238" s="18" t="str">
        <f>IF('Marcación Workera'!B2238="","",UPPER(SUBSTITUTE('Marcación Workera'!B2238,".","")))</f>
        <v/>
      </c>
    </row>
    <row r="2239" spans="2:3" ht="15" customHeight="1" x14ac:dyDescent="0.3">
      <c r="B2239" s="17" t="str">
        <f>IF('Marcación Workera'!G2239="","",INT('Marcación Workera'!G2239))</f>
        <v/>
      </c>
      <c r="C2239" s="18" t="str">
        <f>IF('Marcación Workera'!B2239="","",UPPER(SUBSTITUTE('Marcación Workera'!B2239,".","")))</f>
        <v/>
      </c>
    </row>
    <row r="2240" spans="2:3" ht="15" customHeight="1" x14ac:dyDescent="0.3">
      <c r="B2240" s="17" t="str">
        <f>IF('Marcación Workera'!G2240="","",INT('Marcación Workera'!G2240))</f>
        <v/>
      </c>
      <c r="C2240" s="18" t="str">
        <f>IF('Marcación Workera'!B2240="","",UPPER(SUBSTITUTE('Marcación Workera'!B2240,".","")))</f>
        <v/>
      </c>
    </row>
    <row r="2241" spans="2:3" ht="15" customHeight="1" x14ac:dyDescent="0.3">
      <c r="B2241" s="17" t="str">
        <f>IF('Marcación Workera'!G2241="","",INT('Marcación Workera'!G2241))</f>
        <v/>
      </c>
      <c r="C2241" s="18" t="str">
        <f>IF('Marcación Workera'!B2241="","",UPPER(SUBSTITUTE('Marcación Workera'!B2241,".","")))</f>
        <v/>
      </c>
    </row>
    <row r="2242" spans="2:3" ht="15" customHeight="1" x14ac:dyDescent="0.3">
      <c r="B2242" s="17" t="str">
        <f>IF('Marcación Workera'!G2242="","",INT('Marcación Workera'!G2242))</f>
        <v/>
      </c>
      <c r="C2242" s="18" t="str">
        <f>IF('Marcación Workera'!B2242="","",UPPER(SUBSTITUTE('Marcación Workera'!B2242,".","")))</f>
        <v/>
      </c>
    </row>
    <row r="2243" spans="2:3" ht="15" customHeight="1" x14ac:dyDescent="0.3">
      <c r="B2243" s="17" t="str">
        <f>IF('Marcación Workera'!G2243="","",INT('Marcación Workera'!G2243))</f>
        <v/>
      </c>
      <c r="C2243" s="18" t="str">
        <f>IF('Marcación Workera'!B2243="","",UPPER(SUBSTITUTE('Marcación Workera'!B2243,".","")))</f>
        <v/>
      </c>
    </row>
    <row r="2244" spans="2:3" ht="15" customHeight="1" x14ac:dyDescent="0.3">
      <c r="B2244" s="17" t="str">
        <f>IF('Marcación Workera'!G2244="","",INT('Marcación Workera'!G2244))</f>
        <v/>
      </c>
      <c r="C2244" s="18" t="str">
        <f>IF('Marcación Workera'!B2244="","",UPPER(SUBSTITUTE('Marcación Workera'!B2244,".","")))</f>
        <v/>
      </c>
    </row>
    <row r="2245" spans="2:3" ht="15" customHeight="1" x14ac:dyDescent="0.3">
      <c r="B2245" s="17" t="str">
        <f>IF('Marcación Workera'!G2245="","",INT('Marcación Workera'!G2245))</f>
        <v/>
      </c>
      <c r="C2245" s="18" t="str">
        <f>IF('Marcación Workera'!B2245="","",UPPER(SUBSTITUTE('Marcación Workera'!B2245,".","")))</f>
        <v/>
      </c>
    </row>
    <row r="2246" spans="2:3" ht="15" customHeight="1" x14ac:dyDescent="0.3">
      <c r="B2246" s="17" t="str">
        <f>IF('Marcación Workera'!G2246="","",INT('Marcación Workera'!G2246))</f>
        <v/>
      </c>
      <c r="C2246" s="18" t="str">
        <f>IF('Marcación Workera'!B2246="","",UPPER(SUBSTITUTE('Marcación Workera'!B2246,".","")))</f>
        <v/>
      </c>
    </row>
    <row r="2247" spans="2:3" ht="15" customHeight="1" x14ac:dyDescent="0.3">
      <c r="B2247" s="17" t="str">
        <f>IF('Marcación Workera'!G2247="","",INT('Marcación Workera'!G2247))</f>
        <v/>
      </c>
      <c r="C2247" s="18" t="str">
        <f>IF('Marcación Workera'!B2247="","",UPPER(SUBSTITUTE('Marcación Workera'!B2247,".","")))</f>
        <v/>
      </c>
    </row>
    <row r="2248" spans="2:3" ht="15" customHeight="1" x14ac:dyDescent="0.3">
      <c r="B2248" s="17" t="str">
        <f>IF('Marcación Workera'!G2248="","",INT('Marcación Workera'!G2248))</f>
        <v/>
      </c>
      <c r="C2248" s="18" t="str">
        <f>IF('Marcación Workera'!B2248="","",UPPER(SUBSTITUTE('Marcación Workera'!B2248,".","")))</f>
        <v/>
      </c>
    </row>
    <row r="2249" spans="2:3" ht="15" customHeight="1" x14ac:dyDescent="0.3">
      <c r="B2249" s="17" t="str">
        <f>IF('Marcación Workera'!G2249="","",INT('Marcación Workera'!G2249))</f>
        <v/>
      </c>
      <c r="C2249" s="18" t="str">
        <f>IF('Marcación Workera'!B2249="","",UPPER(SUBSTITUTE('Marcación Workera'!B2249,".","")))</f>
        <v/>
      </c>
    </row>
    <row r="2250" spans="2:3" ht="15" customHeight="1" x14ac:dyDescent="0.3">
      <c r="B2250" s="17" t="str">
        <f>IF('Marcación Workera'!G2250="","",INT('Marcación Workera'!G2250))</f>
        <v/>
      </c>
      <c r="C2250" s="18" t="str">
        <f>IF('Marcación Workera'!B2250="","",UPPER(SUBSTITUTE('Marcación Workera'!B2250,".","")))</f>
        <v/>
      </c>
    </row>
    <row r="2251" spans="2:3" ht="15" customHeight="1" x14ac:dyDescent="0.3">
      <c r="B2251" s="17" t="str">
        <f>IF('Marcación Workera'!G2251="","",INT('Marcación Workera'!G2251))</f>
        <v/>
      </c>
      <c r="C2251" s="18" t="str">
        <f>IF('Marcación Workera'!B2251="","",UPPER(SUBSTITUTE('Marcación Workera'!B2251,".","")))</f>
        <v/>
      </c>
    </row>
    <row r="2252" spans="2:3" ht="15" customHeight="1" x14ac:dyDescent="0.3">
      <c r="B2252" s="17" t="str">
        <f>IF('Marcación Workera'!G2252="","",INT('Marcación Workera'!G2252))</f>
        <v/>
      </c>
      <c r="C2252" s="18" t="str">
        <f>IF('Marcación Workera'!B2252="","",UPPER(SUBSTITUTE('Marcación Workera'!B2252,".","")))</f>
        <v/>
      </c>
    </row>
    <row r="2253" spans="2:3" ht="15" customHeight="1" x14ac:dyDescent="0.3">
      <c r="B2253" s="17" t="str">
        <f>IF('Marcación Workera'!G2253="","",INT('Marcación Workera'!G2253))</f>
        <v/>
      </c>
      <c r="C2253" s="18" t="str">
        <f>IF('Marcación Workera'!B2253="","",UPPER(SUBSTITUTE('Marcación Workera'!B2253,".","")))</f>
        <v/>
      </c>
    </row>
    <row r="2254" spans="2:3" ht="15" customHeight="1" x14ac:dyDescent="0.3">
      <c r="B2254" s="17" t="str">
        <f>IF('Marcación Workera'!G2254="","",INT('Marcación Workera'!G2254))</f>
        <v/>
      </c>
      <c r="C2254" s="18" t="str">
        <f>IF('Marcación Workera'!B2254="","",UPPER(SUBSTITUTE('Marcación Workera'!B2254,".","")))</f>
        <v/>
      </c>
    </row>
    <row r="2255" spans="2:3" ht="15" customHeight="1" x14ac:dyDescent="0.3">
      <c r="B2255" s="17" t="str">
        <f>IF('Marcación Workera'!G2255="","",INT('Marcación Workera'!G2255))</f>
        <v/>
      </c>
      <c r="C2255" s="18" t="str">
        <f>IF('Marcación Workera'!B2255="","",UPPER(SUBSTITUTE('Marcación Workera'!B2255,".","")))</f>
        <v/>
      </c>
    </row>
    <row r="2256" spans="2:3" ht="15" customHeight="1" x14ac:dyDescent="0.3">
      <c r="B2256" s="17" t="str">
        <f>IF('Marcación Workera'!G2256="","",INT('Marcación Workera'!G2256))</f>
        <v/>
      </c>
      <c r="C2256" s="18" t="str">
        <f>IF('Marcación Workera'!B2256="","",UPPER(SUBSTITUTE('Marcación Workera'!B2256,".","")))</f>
        <v/>
      </c>
    </row>
    <row r="2257" spans="2:3" ht="15" customHeight="1" x14ac:dyDescent="0.3">
      <c r="B2257" s="17" t="str">
        <f>IF('Marcación Workera'!G2257="","",INT('Marcación Workera'!G2257))</f>
        <v/>
      </c>
      <c r="C2257" s="18" t="str">
        <f>IF('Marcación Workera'!B2257="","",UPPER(SUBSTITUTE('Marcación Workera'!B2257,".","")))</f>
        <v/>
      </c>
    </row>
    <row r="2258" spans="2:3" ht="15" customHeight="1" x14ac:dyDescent="0.3">
      <c r="B2258" s="17" t="str">
        <f>IF('Marcación Workera'!G2258="","",INT('Marcación Workera'!G2258))</f>
        <v/>
      </c>
      <c r="C2258" s="18" t="str">
        <f>IF('Marcación Workera'!B2258="","",UPPER(SUBSTITUTE('Marcación Workera'!B2258,".","")))</f>
        <v/>
      </c>
    </row>
    <row r="2259" spans="2:3" ht="15" customHeight="1" x14ac:dyDescent="0.3">
      <c r="B2259" s="17" t="str">
        <f>IF('Marcación Workera'!G2259="","",INT('Marcación Workera'!G2259))</f>
        <v/>
      </c>
      <c r="C2259" s="18" t="str">
        <f>IF('Marcación Workera'!B2259="","",UPPER(SUBSTITUTE('Marcación Workera'!B2259,".","")))</f>
        <v/>
      </c>
    </row>
    <row r="2260" spans="2:3" ht="15" customHeight="1" x14ac:dyDescent="0.3">
      <c r="B2260" s="17" t="str">
        <f>IF('Marcación Workera'!G2260="","",INT('Marcación Workera'!G2260))</f>
        <v/>
      </c>
      <c r="C2260" s="18" t="str">
        <f>IF('Marcación Workera'!B2260="","",UPPER(SUBSTITUTE('Marcación Workera'!B2260,".","")))</f>
        <v/>
      </c>
    </row>
    <row r="2261" spans="2:3" ht="15" customHeight="1" x14ac:dyDescent="0.3">
      <c r="B2261" s="17" t="str">
        <f>IF('Marcación Workera'!G2261="","",INT('Marcación Workera'!G2261))</f>
        <v/>
      </c>
      <c r="C2261" s="18" t="str">
        <f>IF('Marcación Workera'!B2261="","",UPPER(SUBSTITUTE('Marcación Workera'!B2261,".","")))</f>
        <v/>
      </c>
    </row>
    <row r="2262" spans="2:3" ht="15" customHeight="1" x14ac:dyDescent="0.3">
      <c r="B2262" s="17" t="str">
        <f>IF('Marcación Workera'!G2262="","",INT('Marcación Workera'!G2262))</f>
        <v/>
      </c>
      <c r="C2262" s="18" t="str">
        <f>IF('Marcación Workera'!B2262="","",UPPER(SUBSTITUTE('Marcación Workera'!B2262,".","")))</f>
        <v/>
      </c>
    </row>
    <row r="2263" spans="2:3" ht="15" customHeight="1" x14ac:dyDescent="0.3">
      <c r="B2263" s="17" t="str">
        <f>IF('Marcación Workera'!G2263="","",INT('Marcación Workera'!G2263))</f>
        <v/>
      </c>
      <c r="C2263" s="18" t="str">
        <f>IF('Marcación Workera'!B2263="","",UPPER(SUBSTITUTE('Marcación Workera'!B2263,".","")))</f>
        <v/>
      </c>
    </row>
    <row r="2264" spans="2:3" ht="15" customHeight="1" x14ac:dyDescent="0.3">
      <c r="B2264" s="17" t="str">
        <f>IF('Marcación Workera'!G2264="","",INT('Marcación Workera'!G2264))</f>
        <v/>
      </c>
      <c r="C2264" s="18" t="str">
        <f>IF('Marcación Workera'!B2264="","",UPPER(SUBSTITUTE('Marcación Workera'!B2264,".","")))</f>
        <v/>
      </c>
    </row>
    <row r="2265" spans="2:3" ht="15" customHeight="1" x14ac:dyDescent="0.3">
      <c r="B2265" s="17" t="str">
        <f>IF('Marcación Workera'!G2265="","",INT('Marcación Workera'!G2265))</f>
        <v/>
      </c>
      <c r="C2265" s="18" t="str">
        <f>IF('Marcación Workera'!B2265="","",UPPER(SUBSTITUTE('Marcación Workera'!B2265,".","")))</f>
        <v/>
      </c>
    </row>
    <row r="2266" spans="2:3" ht="15" customHeight="1" x14ac:dyDescent="0.3">
      <c r="B2266" s="17" t="str">
        <f>IF('Marcación Workera'!G2266="","",INT('Marcación Workera'!G2266))</f>
        <v/>
      </c>
      <c r="C2266" s="18" t="str">
        <f>IF('Marcación Workera'!B2266="","",UPPER(SUBSTITUTE('Marcación Workera'!B2266,".","")))</f>
        <v/>
      </c>
    </row>
    <row r="2267" spans="2:3" ht="15" customHeight="1" x14ac:dyDescent="0.3">
      <c r="B2267" s="17" t="str">
        <f>IF('Marcación Workera'!G2267="","",INT('Marcación Workera'!G2267))</f>
        <v/>
      </c>
      <c r="C2267" s="18" t="str">
        <f>IF('Marcación Workera'!B2267="","",UPPER(SUBSTITUTE('Marcación Workera'!B2267,".","")))</f>
        <v/>
      </c>
    </row>
    <row r="2268" spans="2:3" ht="15" customHeight="1" x14ac:dyDescent="0.3">
      <c r="B2268" s="17" t="str">
        <f>IF('Marcación Workera'!G2268="","",INT('Marcación Workera'!G2268))</f>
        <v/>
      </c>
      <c r="C2268" s="18" t="str">
        <f>IF('Marcación Workera'!B2268="","",UPPER(SUBSTITUTE('Marcación Workera'!B2268,".","")))</f>
        <v/>
      </c>
    </row>
    <row r="2269" spans="2:3" ht="15" customHeight="1" x14ac:dyDescent="0.3">
      <c r="B2269" s="17" t="str">
        <f>IF('Marcación Workera'!G2269="","",INT('Marcación Workera'!G2269))</f>
        <v/>
      </c>
      <c r="C2269" s="18" t="str">
        <f>IF('Marcación Workera'!B2269="","",UPPER(SUBSTITUTE('Marcación Workera'!B2269,".","")))</f>
        <v/>
      </c>
    </row>
    <row r="2270" spans="2:3" ht="15" customHeight="1" x14ac:dyDescent="0.3">
      <c r="B2270" s="17" t="str">
        <f>IF('Marcación Workera'!G2270="","",INT('Marcación Workera'!G2270))</f>
        <v/>
      </c>
      <c r="C2270" s="18" t="str">
        <f>IF('Marcación Workera'!B2270="","",UPPER(SUBSTITUTE('Marcación Workera'!B2270,".","")))</f>
        <v/>
      </c>
    </row>
    <row r="2271" spans="2:3" ht="15" customHeight="1" x14ac:dyDescent="0.3">
      <c r="B2271" s="17" t="str">
        <f>IF('Marcación Workera'!G2271="","",INT('Marcación Workera'!G2271))</f>
        <v/>
      </c>
      <c r="C2271" s="18" t="str">
        <f>IF('Marcación Workera'!B2271="","",UPPER(SUBSTITUTE('Marcación Workera'!B2271,".","")))</f>
        <v/>
      </c>
    </row>
    <row r="2272" spans="2:3" ht="15" customHeight="1" x14ac:dyDescent="0.3">
      <c r="B2272" s="17" t="str">
        <f>IF('Marcación Workera'!G2272="","",INT('Marcación Workera'!G2272))</f>
        <v/>
      </c>
      <c r="C2272" s="18" t="str">
        <f>IF('Marcación Workera'!B2272="","",UPPER(SUBSTITUTE('Marcación Workera'!B2272,".","")))</f>
        <v/>
      </c>
    </row>
    <row r="2273" spans="2:3" ht="15" customHeight="1" x14ac:dyDescent="0.3">
      <c r="B2273" s="17" t="str">
        <f>IF('Marcación Workera'!G2273="","",INT('Marcación Workera'!G2273))</f>
        <v/>
      </c>
      <c r="C2273" s="18" t="str">
        <f>IF('Marcación Workera'!B2273="","",UPPER(SUBSTITUTE('Marcación Workera'!B2273,".","")))</f>
        <v/>
      </c>
    </row>
    <row r="2274" spans="2:3" ht="15" customHeight="1" x14ac:dyDescent="0.3">
      <c r="B2274" s="17" t="str">
        <f>IF('Marcación Workera'!G2274="","",INT('Marcación Workera'!G2274))</f>
        <v/>
      </c>
      <c r="C2274" s="18" t="str">
        <f>IF('Marcación Workera'!B2274="","",UPPER(SUBSTITUTE('Marcación Workera'!B2274,".","")))</f>
        <v/>
      </c>
    </row>
    <row r="2275" spans="2:3" ht="15" customHeight="1" x14ac:dyDescent="0.3">
      <c r="B2275" s="17" t="str">
        <f>IF('Marcación Workera'!G2275="","",INT('Marcación Workera'!G2275))</f>
        <v/>
      </c>
      <c r="C2275" s="18" t="str">
        <f>IF('Marcación Workera'!B2275="","",UPPER(SUBSTITUTE('Marcación Workera'!B2275,".","")))</f>
        <v/>
      </c>
    </row>
    <row r="2276" spans="2:3" ht="15" customHeight="1" x14ac:dyDescent="0.3">
      <c r="B2276" s="17" t="str">
        <f>IF('Marcación Workera'!G2276="","",INT('Marcación Workera'!G2276))</f>
        <v/>
      </c>
      <c r="C2276" s="18" t="str">
        <f>IF('Marcación Workera'!B2276="","",UPPER(SUBSTITUTE('Marcación Workera'!B2276,".","")))</f>
        <v/>
      </c>
    </row>
    <row r="2277" spans="2:3" ht="15" customHeight="1" x14ac:dyDescent="0.3">
      <c r="B2277" s="17" t="str">
        <f>IF('Marcación Workera'!G2277="","",INT('Marcación Workera'!G2277))</f>
        <v/>
      </c>
      <c r="C2277" s="18" t="str">
        <f>IF('Marcación Workera'!B2277="","",UPPER(SUBSTITUTE('Marcación Workera'!B2277,".","")))</f>
        <v/>
      </c>
    </row>
    <row r="2278" spans="2:3" ht="15" customHeight="1" x14ac:dyDescent="0.3">
      <c r="B2278" s="17" t="str">
        <f>IF('Marcación Workera'!G2278="","",INT('Marcación Workera'!G2278))</f>
        <v/>
      </c>
      <c r="C2278" s="18" t="str">
        <f>IF('Marcación Workera'!B2278="","",UPPER(SUBSTITUTE('Marcación Workera'!B2278,".","")))</f>
        <v/>
      </c>
    </row>
    <row r="2279" spans="2:3" ht="15" customHeight="1" x14ac:dyDescent="0.3">
      <c r="B2279" s="17" t="str">
        <f>IF('Marcación Workera'!G2279="","",INT('Marcación Workera'!G2279))</f>
        <v/>
      </c>
      <c r="C2279" s="18" t="str">
        <f>IF('Marcación Workera'!B2279="","",UPPER(SUBSTITUTE('Marcación Workera'!B2279,".","")))</f>
        <v/>
      </c>
    </row>
    <row r="2280" spans="2:3" ht="15" customHeight="1" x14ac:dyDescent="0.3">
      <c r="B2280" s="17" t="str">
        <f>IF('Marcación Workera'!G2280="","",INT('Marcación Workera'!G2280))</f>
        <v/>
      </c>
      <c r="C2280" s="18" t="str">
        <f>IF('Marcación Workera'!B2280="","",UPPER(SUBSTITUTE('Marcación Workera'!B2280,".","")))</f>
        <v/>
      </c>
    </row>
    <row r="2281" spans="2:3" ht="15" customHeight="1" x14ac:dyDescent="0.3">
      <c r="B2281" s="17" t="str">
        <f>IF('Marcación Workera'!G2281="","",INT('Marcación Workera'!G2281))</f>
        <v/>
      </c>
      <c r="C2281" s="18" t="str">
        <f>IF('Marcación Workera'!B2281="","",UPPER(SUBSTITUTE('Marcación Workera'!B2281,".","")))</f>
        <v/>
      </c>
    </row>
    <row r="2282" spans="2:3" ht="15" customHeight="1" x14ac:dyDescent="0.3">
      <c r="B2282" s="17" t="str">
        <f>IF('Marcación Workera'!G2282="","",INT('Marcación Workera'!G2282))</f>
        <v/>
      </c>
      <c r="C2282" s="18" t="str">
        <f>IF('Marcación Workera'!B2282="","",UPPER(SUBSTITUTE('Marcación Workera'!B2282,".","")))</f>
        <v/>
      </c>
    </row>
    <row r="2283" spans="2:3" ht="15" customHeight="1" x14ac:dyDescent="0.3">
      <c r="B2283" s="17" t="str">
        <f>IF('Marcación Workera'!G2283="","",INT('Marcación Workera'!G2283))</f>
        <v/>
      </c>
      <c r="C2283" s="18" t="str">
        <f>IF('Marcación Workera'!B2283="","",UPPER(SUBSTITUTE('Marcación Workera'!B2283,".","")))</f>
        <v/>
      </c>
    </row>
    <row r="2284" spans="2:3" ht="15" customHeight="1" x14ac:dyDescent="0.3">
      <c r="B2284" s="17" t="str">
        <f>IF('Marcación Workera'!G2284="","",INT('Marcación Workera'!G2284))</f>
        <v/>
      </c>
      <c r="C2284" s="18" t="str">
        <f>IF('Marcación Workera'!B2284="","",UPPER(SUBSTITUTE('Marcación Workera'!B2284,".","")))</f>
        <v/>
      </c>
    </row>
    <row r="2285" spans="2:3" ht="15" customHeight="1" x14ac:dyDescent="0.3">
      <c r="B2285" s="17" t="str">
        <f>IF('Marcación Workera'!G2285="","",INT('Marcación Workera'!G2285))</f>
        <v/>
      </c>
      <c r="C2285" s="18" t="str">
        <f>IF('Marcación Workera'!B2285="","",UPPER(SUBSTITUTE('Marcación Workera'!B2285,".","")))</f>
        <v/>
      </c>
    </row>
    <row r="2286" spans="2:3" ht="15" customHeight="1" x14ac:dyDescent="0.3">
      <c r="B2286" s="17" t="str">
        <f>IF('Marcación Workera'!G2286="","",INT('Marcación Workera'!G2286))</f>
        <v/>
      </c>
      <c r="C2286" s="18" t="str">
        <f>IF('Marcación Workera'!B2286="","",UPPER(SUBSTITUTE('Marcación Workera'!B2286,".","")))</f>
        <v/>
      </c>
    </row>
    <row r="2287" spans="2:3" ht="15" customHeight="1" x14ac:dyDescent="0.3">
      <c r="B2287" s="17" t="str">
        <f>IF('Marcación Workera'!G2287="","",INT('Marcación Workera'!G2287))</f>
        <v/>
      </c>
      <c r="C2287" s="18" t="str">
        <f>IF('Marcación Workera'!B2287="","",UPPER(SUBSTITUTE('Marcación Workera'!B2287,".","")))</f>
        <v/>
      </c>
    </row>
    <row r="2288" spans="2:3" ht="15" customHeight="1" x14ac:dyDescent="0.3">
      <c r="B2288" s="17" t="str">
        <f>IF('Marcación Workera'!G2288="","",INT('Marcación Workera'!G2288))</f>
        <v/>
      </c>
      <c r="C2288" s="18" t="str">
        <f>IF('Marcación Workera'!B2288="","",UPPER(SUBSTITUTE('Marcación Workera'!B2288,".","")))</f>
        <v/>
      </c>
    </row>
    <row r="2289" spans="2:3" ht="15" customHeight="1" x14ac:dyDescent="0.3">
      <c r="B2289" s="17" t="str">
        <f>IF('Marcación Workera'!G2289="","",INT('Marcación Workera'!G2289))</f>
        <v/>
      </c>
      <c r="C2289" s="18" t="str">
        <f>IF('Marcación Workera'!B2289="","",UPPER(SUBSTITUTE('Marcación Workera'!B2289,".","")))</f>
        <v/>
      </c>
    </row>
    <row r="2290" spans="2:3" ht="15" customHeight="1" x14ac:dyDescent="0.3">
      <c r="B2290" s="17" t="str">
        <f>IF('Marcación Workera'!G2290="","",INT('Marcación Workera'!G2290))</f>
        <v/>
      </c>
      <c r="C2290" s="18" t="str">
        <f>IF('Marcación Workera'!B2290="","",UPPER(SUBSTITUTE('Marcación Workera'!B2290,".","")))</f>
        <v/>
      </c>
    </row>
    <row r="2291" spans="2:3" ht="15" customHeight="1" x14ac:dyDescent="0.3">
      <c r="B2291" s="17" t="str">
        <f>IF('Marcación Workera'!G2291="","",INT('Marcación Workera'!G2291))</f>
        <v/>
      </c>
      <c r="C2291" s="18" t="str">
        <f>IF('Marcación Workera'!B2291="","",UPPER(SUBSTITUTE('Marcación Workera'!B2291,".","")))</f>
        <v/>
      </c>
    </row>
    <row r="2292" spans="2:3" ht="15" customHeight="1" x14ac:dyDescent="0.3">
      <c r="B2292" s="17" t="str">
        <f>IF('Marcación Workera'!G2292="","",INT('Marcación Workera'!G2292))</f>
        <v/>
      </c>
      <c r="C2292" s="18" t="str">
        <f>IF('Marcación Workera'!B2292="","",UPPER(SUBSTITUTE('Marcación Workera'!B2292,".","")))</f>
        <v/>
      </c>
    </row>
    <row r="2293" spans="2:3" ht="15" customHeight="1" x14ac:dyDescent="0.3">
      <c r="B2293" s="17" t="str">
        <f>IF('Marcación Workera'!G2293="","",INT('Marcación Workera'!G2293))</f>
        <v/>
      </c>
      <c r="C2293" s="18" t="str">
        <f>IF('Marcación Workera'!B2293="","",UPPER(SUBSTITUTE('Marcación Workera'!B2293,".","")))</f>
        <v/>
      </c>
    </row>
    <row r="2294" spans="2:3" ht="15" customHeight="1" x14ac:dyDescent="0.3">
      <c r="B2294" s="17" t="str">
        <f>IF('Marcación Workera'!G2294="","",INT('Marcación Workera'!G2294))</f>
        <v/>
      </c>
      <c r="C2294" s="18" t="str">
        <f>IF('Marcación Workera'!B2294="","",UPPER(SUBSTITUTE('Marcación Workera'!B2294,".","")))</f>
        <v/>
      </c>
    </row>
    <row r="2295" spans="2:3" ht="15" customHeight="1" x14ac:dyDescent="0.3">
      <c r="B2295" s="17" t="str">
        <f>IF('Marcación Workera'!G2295="","",INT('Marcación Workera'!G2295))</f>
        <v/>
      </c>
      <c r="C2295" s="18" t="str">
        <f>IF('Marcación Workera'!B2295="","",UPPER(SUBSTITUTE('Marcación Workera'!B2295,".","")))</f>
        <v/>
      </c>
    </row>
    <row r="2296" spans="2:3" ht="15" customHeight="1" x14ac:dyDescent="0.3">
      <c r="B2296" s="17" t="str">
        <f>IF('Marcación Workera'!G2296="","",INT('Marcación Workera'!G2296))</f>
        <v/>
      </c>
      <c r="C2296" s="18" t="str">
        <f>IF('Marcación Workera'!B2296="","",UPPER(SUBSTITUTE('Marcación Workera'!B2296,".","")))</f>
        <v/>
      </c>
    </row>
    <row r="2297" spans="2:3" ht="15" customHeight="1" x14ac:dyDescent="0.3">
      <c r="B2297" s="17" t="str">
        <f>IF('Marcación Workera'!G2297="","",INT('Marcación Workera'!G2297))</f>
        <v/>
      </c>
      <c r="C2297" s="18" t="str">
        <f>IF('Marcación Workera'!B2297="","",UPPER(SUBSTITUTE('Marcación Workera'!B2297,".","")))</f>
        <v/>
      </c>
    </row>
    <row r="2298" spans="2:3" ht="15" customHeight="1" x14ac:dyDescent="0.3">
      <c r="B2298" s="17" t="str">
        <f>IF('Marcación Workera'!G2298="","",INT('Marcación Workera'!G2298))</f>
        <v/>
      </c>
      <c r="C2298" s="18" t="str">
        <f>IF('Marcación Workera'!B2298="","",UPPER(SUBSTITUTE('Marcación Workera'!B2298,".","")))</f>
        <v/>
      </c>
    </row>
    <row r="2299" spans="2:3" ht="15" customHeight="1" x14ac:dyDescent="0.3">
      <c r="B2299" s="17" t="str">
        <f>IF('Marcación Workera'!G2299="","",INT('Marcación Workera'!G2299))</f>
        <v/>
      </c>
      <c r="C2299" s="18" t="str">
        <f>IF('Marcación Workera'!B2299="","",UPPER(SUBSTITUTE('Marcación Workera'!B2299,".","")))</f>
        <v/>
      </c>
    </row>
    <row r="2300" spans="2:3" ht="15" customHeight="1" x14ac:dyDescent="0.3">
      <c r="B2300" s="17" t="str">
        <f>IF('Marcación Workera'!G2300="","",INT('Marcación Workera'!G2300))</f>
        <v/>
      </c>
      <c r="C2300" s="18" t="str">
        <f>IF('Marcación Workera'!B2300="","",UPPER(SUBSTITUTE('Marcación Workera'!B2300,".","")))</f>
        <v/>
      </c>
    </row>
    <row r="2301" spans="2:3" ht="15" customHeight="1" x14ac:dyDescent="0.3">
      <c r="B2301" s="17" t="str">
        <f>IF('Marcación Workera'!G2301="","",INT('Marcación Workera'!G2301))</f>
        <v/>
      </c>
      <c r="C2301" s="18" t="str">
        <f>IF('Marcación Workera'!B2301="","",UPPER(SUBSTITUTE('Marcación Workera'!B2301,".","")))</f>
        <v/>
      </c>
    </row>
    <row r="2302" spans="2:3" ht="15" customHeight="1" x14ac:dyDescent="0.3">
      <c r="B2302" s="17" t="str">
        <f>IF('Marcación Workera'!G2302="","",INT('Marcación Workera'!G2302))</f>
        <v/>
      </c>
      <c r="C2302" s="18" t="str">
        <f>IF('Marcación Workera'!B2302="","",UPPER(SUBSTITUTE('Marcación Workera'!B2302,".","")))</f>
        <v/>
      </c>
    </row>
    <row r="2303" spans="2:3" ht="15" customHeight="1" x14ac:dyDescent="0.3">
      <c r="B2303" s="17" t="str">
        <f>IF('Marcación Workera'!G2303="","",INT('Marcación Workera'!G2303))</f>
        <v/>
      </c>
      <c r="C2303" s="18" t="str">
        <f>IF('Marcación Workera'!B2303="","",UPPER(SUBSTITUTE('Marcación Workera'!B2303,".","")))</f>
        <v/>
      </c>
    </row>
    <row r="2304" spans="2:3" ht="15" customHeight="1" x14ac:dyDescent="0.3">
      <c r="B2304" s="17" t="str">
        <f>IF('Marcación Workera'!G2304="","",INT('Marcación Workera'!G2304))</f>
        <v/>
      </c>
      <c r="C2304" s="18" t="str">
        <f>IF('Marcación Workera'!B2304="","",UPPER(SUBSTITUTE('Marcación Workera'!B2304,".","")))</f>
        <v/>
      </c>
    </row>
    <row r="2305" spans="2:3" ht="15" customHeight="1" x14ac:dyDescent="0.3">
      <c r="B2305" s="17" t="str">
        <f>IF('Marcación Workera'!G2305="","",INT('Marcación Workera'!G2305))</f>
        <v/>
      </c>
      <c r="C2305" s="18" t="str">
        <f>IF('Marcación Workera'!B2305="","",UPPER(SUBSTITUTE('Marcación Workera'!B2305,".","")))</f>
        <v/>
      </c>
    </row>
    <row r="2306" spans="2:3" ht="15" customHeight="1" x14ac:dyDescent="0.3">
      <c r="B2306" s="17" t="str">
        <f>IF('Marcación Workera'!G2306="","",INT('Marcación Workera'!G2306))</f>
        <v/>
      </c>
      <c r="C2306" s="18" t="str">
        <f>IF('Marcación Workera'!B2306="","",UPPER(SUBSTITUTE('Marcación Workera'!B2306,".","")))</f>
        <v/>
      </c>
    </row>
    <row r="2307" spans="2:3" ht="15" customHeight="1" x14ac:dyDescent="0.3">
      <c r="B2307" s="17" t="str">
        <f>IF('Marcación Workera'!G2307="","",INT('Marcación Workera'!G2307))</f>
        <v/>
      </c>
      <c r="C2307" s="18" t="str">
        <f>IF('Marcación Workera'!B2307="","",UPPER(SUBSTITUTE('Marcación Workera'!B2307,".","")))</f>
        <v/>
      </c>
    </row>
    <row r="2308" spans="2:3" ht="15" customHeight="1" x14ac:dyDescent="0.3">
      <c r="B2308" s="17" t="str">
        <f>IF('Marcación Workera'!G2308="","",INT('Marcación Workera'!G2308))</f>
        <v/>
      </c>
      <c r="C2308" s="18" t="str">
        <f>IF('Marcación Workera'!B2308="","",UPPER(SUBSTITUTE('Marcación Workera'!B2308,".","")))</f>
        <v/>
      </c>
    </row>
    <row r="2309" spans="2:3" ht="15" customHeight="1" x14ac:dyDescent="0.3">
      <c r="B2309" s="17" t="str">
        <f>IF('Marcación Workera'!G2309="","",INT('Marcación Workera'!G2309))</f>
        <v/>
      </c>
      <c r="C2309" s="18" t="str">
        <f>IF('Marcación Workera'!B2309="","",UPPER(SUBSTITUTE('Marcación Workera'!B2309,".","")))</f>
        <v/>
      </c>
    </row>
    <row r="2310" spans="2:3" ht="15" customHeight="1" x14ac:dyDescent="0.3">
      <c r="B2310" s="17" t="str">
        <f>IF('Marcación Workera'!G2310="","",INT('Marcación Workera'!G2310))</f>
        <v/>
      </c>
      <c r="C2310" s="18" t="str">
        <f>IF('Marcación Workera'!B2310="","",UPPER(SUBSTITUTE('Marcación Workera'!B2310,".","")))</f>
        <v/>
      </c>
    </row>
    <row r="2311" spans="2:3" ht="15" customHeight="1" x14ac:dyDescent="0.3">
      <c r="B2311" s="17" t="str">
        <f>IF('Marcación Workera'!G2311="","",INT('Marcación Workera'!G2311))</f>
        <v/>
      </c>
      <c r="C2311" s="18" t="str">
        <f>IF('Marcación Workera'!B2311="","",UPPER(SUBSTITUTE('Marcación Workera'!B2311,".","")))</f>
        <v/>
      </c>
    </row>
    <row r="2312" spans="2:3" ht="15" customHeight="1" x14ac:dyDescent="0.3">
      <c r="B2312" s="17" t="str">
        <f>IF('Marcación Workera'!G2312="","",INT('Marcación Workera'!G2312))</f>
        <v/>
      </c>
      <c r="C2312" s="18" t="str">
        <f>IF('Marcación Workera'!B2312="","",UPPER(SUBSTITUTE('Marcación Workera'!B2312,".","")))</f>
        <v/>
      </c>
    </row>
    <row r="2313" spans="2:3" ht="15" customHeight="1" x14ac:dyDescent="0.3">
      <c r="B2313" s="17" t="str">
        <f>IF('Marcación Workera'!G2313="","",INT('Marcación Workera'!G2313))</f>
        <v/>
      </c>
      <c r="C2313" s="18" t="str">
        <f>IF('Marcación Workera'!B2313="","",UPPER(SUBSTITUTE('Marcación Workera'!B2313,".","")))</f>
        <v/>
      </c>
    </row>
    <row r="2314" spans="2:3" ht="15" customHeight="1" x14ac:dyDescent="0.3">
      <c r="B2314" s="17" t="str">
        <f>IF('Marcación Workera'!G2314="","",INT('Marcación Workera'!G2314))</f>
        <v/>
      </c>
      <c r="C2314" s="18" t="str">
        <f>IF('Marcación Workera'!B2314="","",UPPER(SUBSTITUTE('Marcación Workera'!B2314,".","")))</f>
        <v/>
      </c>
    </row>
    <row r="2315" spans="2:3" ht="15" customHeight="1" x14ac:dyDescent="0.3">
      <c r="B2315" s="17" t="str">
        <f>IF('Marcación Workera'!G2315="","",INT('Marcación Workera'!G2315))</f>
        <v/>
      </c>
      <c r="C2315" s="18" t="str">
        <f>IF('Marcación Workera'!B2315="","",UPPER(SUBSTITUTE('Marcación Workera'!B2315,".","")))</f>
        <v/>
      </c>
    </row>
    <row r="2316" spans="2:3" ht="15" customHeight="1" x14ac:dyDescent="0.3">
      <c r="B2316" s="17" t="str">
        <f>IF('Marcación Workera'!G2316="","",INT('Marcación Workera'!G2316))</f>
        <v/>
      </c>
      <c r="C2316" s="18" t="str">
        <f>IF('Marcación Workera'!B2316="","",UPPER(SUBSTITUTE('Marcación Workera'!B2316,".","")))</f>
        <v/>
      </c>
    </row>
    <row r="2317" spans="2:3" ht="15" customHeight="1" x14ac:dyDescent="0.3">
      <c r="B2317" s="17" t="str">
        <f>IF('Marcación Workera'!G2317="","",INT('Marcación Workera'!G2317))</f>
        <v/>
      </c>
      <c r="C2317" s="18" t="str">
        <f>IF('Marcación Workera'!B2317="","",UPPER(SUBSTITUTE('Marcación Workera'!B2317,".","")))</f>
        <v/>
      </c>
    </row>
    <row r="2318" spans="2:3" ht="15" customHeight="1" x14ac:dyDescent="0.3">
      <c r="B2318" s="17" t="str">
        <f>IF('Marcación Workera'!G2318="","",INT('Marcación Workera'!G2318))</f>
        <v/>
      </c>
      <c r="C2318" s="18" t="str">
        <f>IF('Marcación Workera'!B2318="","",UPPER(SUBSTITUTE('Marcación Workera'!B2318,".","")))</f>
        <v/>
      </c>
    </row>
    <row r="2319" spans="2:3" ht="15" customHeight="1" x14ac:dyDescent="0.3">
      <c r="B2319" s="17" t="str">
        <f>IF('Marcación Workera'!G2319="","",INT('Marcación Workera'!G2319))</f>
        <v/>
      </c>
      <c r="C2319" s="18" t="str">
        <f>IF('Marcación Workera'!B2319="","",UPPER(SUBSTITUTE('Marcación Workera'!B2319,".","")))</f>
        <v/>
      </c>
    </row>
    <row r="2320" spans="2:3" ht="15" customHeight="1" x14ac:dyDescent="0.3">
      <c r="B2320" s="17" t="str">
        <f>IF('Marcación Workera'!G2320="","",INT('Marcación Workera'!G2320))</f>
        <v/>
      </c>
      <c r="C2320" s="18" t="str">
        <f>IF('Marcación Workera'!B2320="","",UPPER(SUBSTITUTE('Marcación Workera'!B2320,".","")))</f>
        <v/>
      </c>
    </row>
    <row r="2321" spans="2:3" ht="15" customHeight="1" x14ac:dyDescent="0.3">
      <c r="B2321" s="17" t="str">
        <f>IF('Marcación Workera'!G2321="","",INT('Marcación Workera'!G2321))</f>
        <v/>
      </c>
      <c r="C2321" s="18" t="str">
        <f>IF('Marcación Workera'!B2321="","",UPPER(SUBSTITUTE('Marcación Workera'!B2321,".","")))</f>
        <v/>
      </c>
    </row>
    <row r="2322" spans="2:3" ht="15" customHeight="1" x14ac:dyDescent="0.3">
      <c r="B2322" s="17" t="str">
        <f>IF('Marcación Workera'!G2322="","",INT('Marcación Workera'!G2322))</f>
        <v/>
      </c>
      <c r="C2322" s="18" t="str">
        <f>IF('Marcación Workera'!B2322="","",UPPER(SUBSTITUTE('Marcación Workera'!B2322,".","")))</f>
        <v/>
      </c>
    </row>
    <row r="2323" spans="2:3" ht="15" customHeight="1" x14ac:dyDescent="0.3">
      <c r="B2323" s="17" t="str">
        <f>IF('Marcación Workera'!G2323="","",INT('Marcación Workera'!G2323))</f>
        <v/>
      </c>
      <c r="C2323" s="18" t="str">
        <f>IF('Marcación Workera'!B2323="","",UPPER(SUBSTITUTE('Marcación Workera'!B2323,".","")))</f>
        <v/>
      </c>
    </row>
    <row r="2324" spans="2:3" ht="15" customHeight="1" x14ac:dyDescent="0.3">
      <c r="B2324" s="17" t="str">
        <f>IF('Marcación Workera'!G2324="","",INT('Marcación Workera'!G2324))</f>
        <v/>
      </c>
      <c r="C2324" s="18" t="str">
        <f>IF('Marcación Workera'!B2324="","",UPPER(SUBSTITUTE('Marcación Workera'!B2324,".","")))</f>
        <v/>
      </c>
    </row>
    <row r="2325" spans="2:3" ht="15" customHeight="1" x14ac:dyDescent="0.3">
      <c r="B2325" s="17" t="str">
        <f>IF('Marcación Workera'!G2325="","",INT('Marcación Workera'!G2325))</f>
        <v/>
      </c>
      <c r="C2325" s="18" t="str">
        <f>IF('Marcación Workera'!B2325="","",UPPER(SUBSTITUTE('Marcación Workera'!B2325,".","")))</f>
        <v/>
      </c>
    </row>
    <row r="2326" spans="2:3" ht="15" customHeight="1" x14ac:dyDescent="0.3">
      <c r="B2326" s="17" t="str">
        <f>IF('Marcación Workera'!G2326="","",INT('Marcación Workera'!G2326))</f>
        <v/>
      </c>
      <c r="C2326" s="18" t="str">
        <f>IF('Marcación Workera'!B2326="","",UPPER(SUBSTITUTE('Marcación Workera'!B2326,".","")))</f>
        <v/>
      </c>
    </row>
    <row r="2327" spans="2:3" ht="15" customHeight="1" x14ac:dyDescent="0.3">
      <c r="B2327" s="17" t="str">
        <f>IF('Marcación Workera'!G2327="","",INT('Marcación Workera'!G2327))</f>
        <v/>
      </c>
      <c r="C2327" s="18" t="str">
        <f>IF('Marcación Workera'!B2327="","",UPPER(SUBSTITUTE('Marcación Workera'!B2327,".","")))</f>
        <v/>
      </c>
    </row>
    <row r="2328" spans="2:3" ht="15" customHeight="1" x14ac:dyDescent="0.3">
      <c r="B2328" s="17" t="str">
        <f>IF('Marcación Workera'!G2328="","",INT('Marcación Workera'!G2328))</f>
        <v/>
      </c>
      <c r="C2328" s="18" t="str">
        <f>IF('Marcación Workera'!B2328="","",UPPER(SUBSTITUTE('Marcación Workera'!B2328,".","")))</f>
        <v/>
      </c>
    </row>
    <row r="2329" spans="2:3" ht="15" customHeight="1" x14ac:dyDescent="0.3">
      <c r="B2329" s="17" t="str">
        <f>IF('Marcación Workera'!G2329="","",INT('Marcación Workera'!G2329))</f>
        <v/>
      </c>
      <c r="C2329" s="18" t="str">
        <f>IF('Marcación Workera'!B2329="","",UPPER(SUBSTITUTE('Marcación Workera'!B2329,".","")))</f>
        <v/>
      </c>
    </row>
    <row r="2330" spans="2:3" ht="15" customHeight="1" x14ac:dyDescent="0.3">
      <c r="B2330" s="17" t="str">
        <f>IF('Marcación Workera'!G2330="","",INT('Marcación Workera'!G2330))</f>
        <v/>
      </c>
      <c r="C2330" s="18" t="str">
        <f>IF('Marcación Workera'!B2330="","",UPPER(SUBSTITUTE('Marcación Workera'!B2330,".","")))</f>
        <v/>
      </c>
    </row>
    <row r="2331" spans="2:3" ht="15" customHeight="1" x14ac:dyDescent="0.3">
      <c r="B2331" s="17" t="str">
        <f>IF('Marcación Workera'!G2331="","",INT('Marcación Workera'!G2331))</f>
        <v/>
      </c>
      <c r="C2331" s="18" t="str">
        <f>IF('Marcación Workera'!B2331="","",UPPER(SUBSTITUTE('Marcación Workera'!B2331,".","")))</f>
        <v/>
      </c>
    </row>
    <row r="2332" spans="2:3" ht="15" customHeight="1" x14ac:dyDescent="0.3">
      <c r="B2332" s="17" t="str">
        <f>IF('Marcación Workera'!G2332="","",INT('Marcación Workera'!G2332))</f>
        <v/>
      </c>
      <c r="C2332" s="18" t="str">
        <f>IF('Marcación Workera'!B2332="","",UPPER(SUBSTITUTE('Marcación Workera'!B2332,".","")))</f>
        <v/>
      </c>
    </row>
    <row r="2333" spans="2:3" ht="15" customHeight="1" x14ac:dyDescent="0.3">
      <c r="B2333" s="17" t="str">
        <f>IF('Marcación Workera'!G2333="","",INT('Marcación Workera'!G2333))</f>
        <v/>
      </c>
      <c r="C2333" s="18" t="str">
        <f>IF('Marcación Workera'!B2333="","",UPPER(SUBSTITUTE('Marcación Workera'!B2333,".","")))</f>
        <v/>
      </c>
    </row>
    <row r="2334" spans="2:3" ht="15" customHeight="1" x14ac:dyDescent="0.3">
      <c r="B2334" s="17" t="str">
        <f>IF('Marcación Workera'!G2334="","",INT('Marcación Workera'!G2334))</f>
        <v/>
      </c>
      <c r="C2334" s="18" t="str">
        <f>IF('Marcación Workera'!B2334="","",UPPER(SUBSTITUTE('Marcación Workera'!B2334,".","")))</f>
        <v/>
      </c>
    </row>
    <row r="2335" spans="2:3" ht="15" customHeight="1" x14ac:dyDescent="0.3">
      <c r="B2335" s="17" t="str">
        <f>IF('Marcación Workera'!G2335="","",INT('Marcación Workera'!G2335))</f>
        <v/>
      </c>
      <c r="C2335" s="18" t="str">
        <f>IF('Marcación Workera'!B2335="","",UPPER(SUBSTITUTE('Marcación Workera'!B2335,".","")))</f>
        <v/>
      </c>
    </row>
    <row r="2336" spans="2:3" ht="15" customHeight="1" x14ac:dyDescent="0.3">
      <c r="B2336" s="17" t="str">
        <f>IF('Marcación Workera'!G2336="","",INT('Marcación Workera'!G2336))</f>
        <v/>
      </c>
      <c r="C2336" s="18" t="str">
        <f>IF('Marcación Workera'!B2336="","",UPPER(SUBSTITUTE('Marcación Workera'!B2336,".","")))</f>
        <v/>
      </c>
    </row>
    <row r="2337" spans="2:3" ht="15" customHeight="1" x14ac:dyDescent="0.3">
      <c r="B2337" s="17" t="str">
        <f>IF('Marcación Workera'!G2337="","",INT('Marcación Workera'!G2337))</f>
        <v/>
      </c>
      <c r="C2337" s="18" t="str">
        <f>IF('Marcación Workera'!B2337="","",UPPER(SUBSTITUTE('Marcación Workera'!B2337,".","")))</f>
        <v/>
      </c>
    </row>
    <row r="2338" spans="2:3" ht="15" customHeight="1" x14ac:dyDescent="0.3">
      <c r="B2338" s="17" t="str">
        <f>IF('Marcación Workera'!G2338="","",INT('Marcación Workera'!G2338))</f>
        <v/>
      </c>
      <c r="C2338" s="18" t="str">
        <f>IF('Marcación Workera'!B2338="","",UPPER(SUBSTITUTE('Marcación Workera'!B2338,".","")))</f>
        <v/>
      </c>
    </row>
    <row r="2339" spans="2:3" ht="15" customHeight="1" x14ac:dyDescent="0.3">
      <c r="B2339" s="17" t="str">
        <f>IF('Marcación Workera'!G2339="","",INT('Marcación Workera'!G2339))</f>
        <v/>
      </c>
      <c r="C2339" s="18" t="str">
        <f>IF('Marcación Workera'!B2339="","",UPPER(SUBSTITUTE('Marcación Workera'!B2339,".","")))</f>
        <v/>
      </c>
    </row>
    <row r="2340" spans="2:3" ht="15" customHeight="1" x14ac:dyDescent="0.3">
      <c r="B2340" s="17" t="str">
        <f>IF('Marcación Workera'!G2340="","",INT('Marcación Workera'!G2340))</f>
        <v/>
      </c>
      <c r="C2340" s="18" t="str">
        <f>IF('Marcación Workera'!B2340="","",UPPER(SUBSTITUTE('Marcación Workera'!B2340,".","")))</f>
        <v/>
      </c>
    </row>
    <row r="2341" spans="2:3" ht="15" customHeight="1" x14ac:dyDescent="0.3">
      <c r="B2341" s="17" t="str">
        <f>IF('Marcación Workera'!G2341="","",INT('Marcación Workera'!G2341))</f>
        <v/>
      </c>
      <c r="C2341" s="18" t="str">
        <f>IF('Marcación Workera'!B2341="","",UPPER(SUBSTITUTE('Marcación Workera'!B2341,".","")))</f>
        <v/>
      </c>
    </row>
    <row r="2342" spans="2:3" ht="15" customHeight="1" x14ac:dyDescent="0.3">
      <c r="B2342" s="17" t="str">
        <f>IF('Marcación Workera'!G2342="","",INT('Marcación Workera'!G2342))</f>
        <v/>
      </c>
      <c r="C2342" s="18" t="str">
        <f>IF('Marcación Workera'!B2342="","",UPPER(SUBSTITUTE('Marcación Workera'!B2342,".","")))</f>
        <v/>
      </c>
    </row>
    <row r="2343" spans="2:3" ht="15" customHeight="1" x14ac:dyDescent="0.3">
      <c r="B2343" s="17" t="str">
        <f>IF('Marcación Workera'!G2343="","",INT('Marcación Workera'!G2343))</f>
        <v/>
      </c>
      <c r="C2343" s="18" t="str">
        <f>IF('Marcación Workera'!B2343="","",UPPER(SUBSTITUTE('Marcación Workera'!B2343,".","")))</f>
        <v/>
      </c>
    </row>
    <row r="2344" spans="2:3" ht="15" customHeight="1" x14ac:dyDescent="0.3">
      <c r="B2344" s="17" t="str">
        <f>IF('Marcación Workera'!G2344="","",INT('Marcación Workera'!G2344))</f>
        <v/>
      </c>
      <c r="C2344" s="18" t="str">
        <f>IF('Marcación Workera'!B2344="","",UPPER(SUBSTITUTE('Marcación Workera'!B2344,".","")))</f>
        <v/>
      </c>
    </row>
    <row r="2345" spans="2:3" ht="15" customHeight="1" x14ac:dyDescent="0.3">
      <c r="B2345" s="17" t="str">
        <f>IF('Marcación Workera'!G2345="","",INT('Marcación Workera'!G2345))</f>
        <v/>
      </c>
      <c r="C2345" s="18" t="str">
        <f>IF('Marcación Workera'!B2345="","",UPPER(SUBSTITUTE('Marcación Workera'!B2345,".","")))</f>
        <v/>
      </c>
    </row>
    <row r="2346" spans="2:3" ht="15" customHeight="1" x14ac:dyDescent="0.3">
      <c r="B2346" s="17" t="str">
        <f>IF('Marcación Workera'!G2346="","",INT('Marcación Workera'!G2346))</f>
        <v/>
      </c>
      <c r="C2346" s="18" t="str">
        <f>IF('Marcación Workera'!B2346="","",UPPER(SUBSTITUTE('Marcación Workera'!B2346,".","")))</f>
        <v/>
      </c>
    </row>
    <row r="2347" spans="2:3" ht="15" customHeight="1" x14ac:dyDescent="0.3">
      <c r="B2347" s="17" t="str">
        <f>IF('Marcación Workera'!G2347="","",INT('Marcación Workera'!G2347))</f>
        <v/>
      </c>
      <c r="C2347" s="18" t="str">
        <f>IF('Marcación Workera'!B2347="","",UPPER(SUBSTITUTE('Marcación Workera'!B2347,".","")))</f>
        <v/>
      </c>
    </row>
    <row r="2348" spans="2:3" ht="15" customHeight="1" x14ac:dyDescent="0.3">
      <c r="B2348" s="17" t="str">
        <f>IF('Marcación Workera'!G2348="","",INT('Marcación Workera'!G2348))</f>
        <v/>
      </c>
      <c r="C2348" s="18" t="str">
        <f>IF('Marcación Workera'!B2348="","",UPPER(SUBSTITUTE('Marcación Workera'!B2348,".","")))</f>
        <v/>
      </c>
    </row>
    <row r="2349" spans="2:3" ht="15" customHeight="1" x14ac:dyDescent="0.3">
      <c r="B2349" s="17" t="str">
        <f>IF('Marcación Workera'!G2349="","",INT('Marcación Workera'!G2349))</f>
        <v/>
      </c>
      <c r="C2349" s="18" t="str">
        <f>IF('Marcación Workera'!B2349="","",UPPER(SUBSTITUTE('Marcación Workera'!B2349,".","")))</f>
        <v/>
      </c>
    </row>
    <row r="2350" spans="2:3" ht="15" customHeight="1" x14ac:dyDescent="0.3">
      <c r="B2350" s="17" t="str">
        <f>IF('Marcación Workera'!G2350="","",INT('Marcación Workera'!G2350))</f>
        <v/>
      </c>
      <c r="C2350" s="18" t="str">
        <f>IF('Marcación Workera'!B2350="","",UPPER(SUBSTITUTE('Marcación Workera'!B2350,".","")))</f>
        <v/>
      </c>
    </row>
    <row r="2351" spans="2:3" ht="15" customHeight="1" x14ac:dyDescent="0.3">
      <c r="B2351" s="17" t="str">
        <f>IF('Marcación Workera'!G2351="","",INT('Marcación Workera'!G2351))</f>
        <v/>
      </c>
      <c r="C2351" s="18" t="str">
        <f>IF('Marcación Workera'!B2351="","",UPPER(SUBSTITUTE('Marcación Workera'!B2351,".","")))</f>
        <v/>
      </c>
    </row>
    <row r="2352" spans="2:3" ht="15" customHeight="1" x14ac:dyDescent="0.3">
      <c r="B2352" s="17" t="str">
        <f>IF('Marcación Workera'!G2352="","",INT('Marcación Workera'!G2352))</f>
        <v/>
      </c>
      <c r="C2352" s="18" t="str">
        <f>IF('Marcación Workera'!B2352="","",UPPER(SUBSTITUTE('Marcación Workera'!B2352,".","")))</f>
        <v/>
      </c>
    </row>
    <row r="2353" spans="2:3" ht="15" customHeight="1" x14ac:dyDescent="0.3">
      <c r="B2353" s="17" t="str">
        <f>IF('Marcación Workera'!G2353="","",INT('Marcación Workera'!G2353))</f>
        <v/>
      </c>
      <c r="C2353" s="18" t="str">
        <f>IF('Marcación Workera'!B2353="","",UPPER(SUBSTITUTE('Marcación Workera'!B2353,".","")))</f>
        <v/>
      </c>
    </row>
    <row r="2354" spans="2:3" ht="15" customHeight="1" x14ac:dyDescent="0.3">
      <c r="B2354" s="17" t="str">
        <f>IF('Marcación Workera'!G2354="","",INT('Marcación Workera'!G2354))</f>
        <v/>
      </c>
      <c r="C2354" s="18" t="str">
        <f>IF('Marcación Workera'!B2354="","",UPPER(SUBSTITUTE('Marcación Workera'!B2354,".","")))</f>
        <v/>
      </c>
    </row>
    <row r="2355" spans="2:3" ht="15" customHeight="1" x14ac:dyDescent="0.3">
      <c r="B2355" s="17" t="str">
        <f>IF('Marcación Workera'!G2355="","",INT('Marcación Workera'!G2355))</f>
        <v/>
      </c>
      <c r="C2355" s="18" t="str">
        <f>IF('Marcación Workera'!B2355="","",UPPER(SUBSTITUTE('Marcación Workera'!B2355,".","")))</f>
        <v/>
      </c>
    </row>
    <row r="2356" spans="2:3" ht="15" customHeight="1" x14ac:dyDescent="0.3">
      <c r="B2356" s="17" t="str">
        <f>IF('Marcación Workera'!G2356="","",INT('Marcación Workera'!G2356))</f>
        <v/>
      </c>
      <c r="C2356" s="18" t="str">
        <f>IF('Marcación Workera'!B2356="","",UPPER(SUBSTITUTE('Marcación Workera'!B2356,".","")))</f>
        <v/>
      </c>
    </row>
    <row r="2357" spans="2:3" ht="15" customHeight="1" x14ac:dyDescent="0.3">
      <c r="B2357" s="17" t="str">
        <f>IF('Marcación Workera'!G2357="","",INT('Marcación Workera'!G2357))</f>
        <v/>
      </c>
      <c r="C2357" s="18" t="str">
        <f>IF('Marcación Workera'!B2357="","",UPPER(SUBSTITUTE('Marcación Workera'!B2357,".","")))</f>
        <v/>
      </c>
    </row>
    <row r="2358" spans="2:3" ht="15" customHeight="1" x14ac:dyDescent="0.3">
      <c r="B2358" s="17" t="str">
        <f>IF('Marcación Workera'!G2358="","",INT('Marcación Workera'!G2358))</f>
        <v/>
      </c>
      <c r="C2358" s="18" t="str">
        <f>IF('Marcación Workera'!B2358="","",UPPER(SUBSTITUTE('Marcación Workera'!B2358,".","")))</f>
        <v/>
      </c>
    </row>
    <row r="2359" spans="2:3" ht="15" customHeight="1" x14ac:dyDescent="0.3">
      <c r="B2359" s="17" t="str">
        <f>IF('Marcación Workera'!G2359="","",INT('Marcación Workera'!G2359))</f>
        <v/>
      </c>
      <c r="C2359" s="18" t="str">
        <f>IF('Marcación Workera'!B2359="","",UPPER(SUBSTITUTE('Marcación Workera'!B2359,".","")))</f>
        <v/>
      </c>
    </row>
    <row r="2360" spans="2:3" ht="15" customHeight="1" x14ac:dyDescent="0.3">
      <c r="B2360" s="17" t="str">
        <f>IF('Marcación Workera'!G2360="","",INT('Marcación Workera'!G2360))</f>
        <v/>
      </c>
      <c r="C2360" s="18" t="str">
        <f>IF('Marcación Workera'!B2360="","",UPPER(SUBSTITUTE('Marcación Workera'!B2360,".","")))</f>
        <v/>
      </c>
    </row>
    <row r="2361" spans="2:3" ht="15" customHeight="1" x14ac:dyDescent="0.3">
      <c r="B2361" s="17" t="str">
        <f>IF('Marcación Workera'!G2361="","",INT('Marcación Workera'!G2361))</f>
        <v/>
      </c>
      <c r="C2361" s="18" t="str">
        <f>IF('Marcación Workera'!B2361="","",UPPER(SUBSTITUTE('Marcación Workera'!B2361,".","")))</f>
        <v/>
      </c>
    </row>
    <row r="2362" spans="2:3" ht="15" customHeight="1" x14ac:dyDescent="0.3">
      <c r="B2362" s="17" t="str">
        <f>IF('Marcación Workera'!G2362="","",INT('Marcación Workera'!G2362))</f>
        <v/>
      </c>
      <c r="C2362" s="18" t="str">
        <f>IF('Marcación Workera'!B2362="","",UPPER(SUBSTITUTE('Marcación Workera'!B2362,".","")))</f>
        <v/>
      </c>
    </row>
    <row r="2363" spans="2:3" ht="15" customHeight="1" x14ac:dyDescent="0.3">
      <c r="B2363" s="17" t="str">
        <f>IF('Marcación Workera'!G2363="","",INT('Marcación Workera'!G2363))</f>
        <v/>
      </c>
      <c r="C2363" s="18" t="str">
        <f>IF('Marcación Workera'!B2363="","",UPPER(SUBSTITUTE('Marcación Workera'!B2363,".","")))</f>
        <v/>
      </c>
    </row>
    <row r="2364" spans="2:3" ht="15" customHeight="1" x14ac:dyDescent="0.3">
      <c r="B2364" s="17" t="str">
        <f>IF('Marcación Workera'!G2364="","",INT('Marcación Workera'!G2364))</f>
        <v/>
      </c>
      <c r="C2364" s="18" t="str">
        <f>IF('Marcación Workera'!B2364="","",UPPER(SUBSTITUTE('Marcación Workera'!B2364,".","")))</f>
        <v/>
      </c>
    </row>
    <row r="2365" spans="2:3" ht="15" customHeight="1" x14ac:dyDescent="0.3">
      <c r="B2365" s="17" t="str">
        <f>IF('Marcación Workera'!G2365="","",INT('Marcación Workera'!G2365))</f>
        <v/>
      </c>
      <c r="C2365" s="18" t="str">
        <f>IF('Marcación Workera'!B2365="","",UPPER(SUBSTITUTE('Marcación Workera'!B2365,".","")))</f>
        <v/>
      </c>
    </row>
    <row r="2366" spans="2:3" ht="15" customHeight="1" x14ac:dyDescent="0.3">
      <c r="B2366" s="17" t="str">
        <f>IF('Marcación Workera'!G2366="","",INT('Marcación Workera'!G2366))</f>
        <v/>
      </c>
      <c r="C2366" s="18" t="str">
        <f>IF('Marcación Workera'!B2366="","",UPPER(SUBSTITUTE('Marcación Workera'!B2366,".","")))</f>
        <v/>
      </c>
    </row>
    <row r="2367" spans="2:3" ht="15" customHeight="1" x14ac:dyDescent="0.3">
      <c r="B2367" s="17" t="str">
        <f>IF('Marcación Workera'!G2367="","",INT('Marcación Workera'!G2367))</f>
        <v/>
      </c>
      <c r="C2367" s="18" t="str">
        <f>IF('Marcación Workera'!B2367="","",UPPER(SUBSTITUTE('Marcación Workera'!B2367,".","")))</f>
        <v/>
      </c>
    </row>
    <row r="2368" spans="2:3" ht="15" customHeight="1" x14ac:dyDescent="0.3">
      <c r="B2368" s="17" t="str">
        <f>IF('Marcación Workera'!G2368="","",INT('Marcación Workera'!G2368))</f>
        <v/>
      </c>
      <c r="C2368" s="18" t="str">
        <f>IF('Marcación Workera'!B2368="","",UPPER(SUBSTITUTE('Marcación Workera'!B2368,".","")))</f>
        <v/>
      </c>
    </row>
    <row r="2369" spans="2:3" ht="15" customHeight="1" x14ac:dyDescent="0.3">
      <c r="B2369" s="17" t="str">
        <f>IF('Marcación Workera'!G2369="","",INT('Marcación Workera'!G2369))</f>
        <v/>
      </c>
      <c r="C2369" s="18" t="str">
        <f>IF('Marcación Workera'!B2369="","",UPPER(SUBSTITUTE('Marcación Workera'!B2369,".","")))</f>
        <v/>
      </c>
    </row>
    <row r="2370" spans="2:3" ht="15" customHeight="1" x14ac:dyDescent="0.3">
      <c r="B2370" s="17" t="str">
        <f>IF('Marcación Workera'!G2370="","",INT('Marcación Workera'!G2370))</f>
        <v/>
      </c>
      <c r="C2370" s="18" t="str">
        <f>IF('Marcación Workera'!B2370="","",UPPER(SUBSTITUTE('Marcación Workera'!B2370,".","")))</f>
        <v/>
      </c>
    </row>
    <row r="2371" spans="2:3" ht="15" customHeight="1" x14ac:dyDescent="0.3">
      <c r="B2371" s="17" t="str">
        <f>IF('Marcación Workera'!G2371="","",INT('Marcación Workera'!G2371))</f>
        <v/>
      </c>
      <c r="C2371" s="18" t="str">
        <f>IF('Marcación Workera'!B2371="","",UPPER(SUBSTITUTE('Marcación Workera'!B2371,".","")))</f>
        <v/>
      </c>
    </row>
    <row r="2372" spans="2:3" ht="15" customHeight="1" x14ac:dyDescent="0.3">
      <c r="B2372" s="17" t="str">
        <f>IF('Marcación Workera'!G2372="","",INT('Marcación Workera'!G2372))</f>
        <v/>
      </c>
      <c r="C2372" s="18" t="str">
        <f>IF('Marcación Workera'!B2372="","",UPPER(SUBSTITUTE('Marcación Workera'!B2372,".","")))</f>
        <v/>
      </c>
    </row>
    <row r="2373" spans="2:3" ht="15" customHeight="1" x14ac:dyDescent="0.3">
      <c r="B2373" s="17" t="str">
        <f>IF('Marcación Workera'!G2373="","",INT('Marcación Workera'!G2373))</f>
        <v/>
      </c>
      <c r="C2373" s="18" t="str">
        <f>IF('Marcación Workera'!B2373="","",UPPER(SUBSTITUTE('Marcación Workera'!B2373,".","")))</f>
        <v/>
      </c>
    </row>
    <row r="2374" spans="2:3" ht="15" customHeight="1" x14ac:dyDescent="0.3">
      <c r="B2374" s="17" t="str">
        <f>IF('Marcación Workera'!G2374="","",INT('Marcación Workera'!G2374))</f>
        <v/>
      </c>
      <c r="C2374" s="18" t="str">
        <f>IF('Marcación Workera'!B2374="","",UPPER(SUBSTITUTE('Marcación Workera'!B2374,".","")))</f>
        <v/>
      </c>
    </row>
    <row r="2375" spans="2:3" ht="15" customHeight="1" x14ac:dyDescent="0.3">
      <c r="B2375" s="17" t="str">
        <f>IF('Marcación Workera'!G2375="","",INT('Marcación Workera'!G2375))</f>
        <v/>
      </c>
      <c r="C2375" s="18" t="str">
        <f>IF('Marcación Workera'!B2375="","",UPPER(SUBSTITUTE('Marcación Workera'!B2375,".","")))</f>
        <v/>
      </c>
    </row>
    <row r="2376" spans="2:3" ht="15" customHeight="1" x14ac:dyDescent="0.3">
      <c r="B2376" s="17" t="str">
        <f>IF('Marcación Workera'!G2376="","",INT('Marcación Workera'!G2376))</f>
        <v/>
      </c>
      <c r="C2376" s="18" t="str">
        <f>IF('Marcación Workera'!B2376="","",UPPER(SUBSTITUTE('Marcación Workera'!B2376,".","")))</f>
        <v/>
      </c>
    </row>
    <row r="2377" spans="2:3" ht="15" customHeight="1" x14ac:dyDescent="0.3">
      <c r="B2377" s="17" t="str">
        <f>IF('Marcación Workera'!G2377="","",INT('Marcación Workera'!G2377))</f>
        <v/>
      </c>
      <c r="C2377" s="18" t="str">
        <f>IF('Marcación Workera'!B2377="","",UPPER(SUBSTITUTE('Marcación Workera'!B2377,".","")))</f>
        <v/>
      </c>
    </row>
    <row r="2378" spans="2:3" ht="15" customHeight="1" x14ac:dyDescent="0.3">
      <c r="B2378" s="17" t="str">
        <f>IF('Marcación Workera'!G2378="","",INT('Marcación Workera'!G2378))</f>
        <v/>
      </c>
      <c r="C2378" s="18" t="str">
        <f>IF('Marcación Workera'!B2378="","",UPPER(SUBSTITUTE('Marcación Workera'!B2378,".","")))</f>
        <v/>
      </c>
    </row>
    <row r="2379" spans="2:3" ht="15" customHeight="1" x14ac:dyDescent="0.3">
      <c r="B2379" s="17" t="str">
        <f>IF('Marcación Workera'!G2379="","",INT('Marcación Workera'!G2379))</f>
        <v/>
      </c>
      <c r="C2379" s="18" t="str">
        <f>IF('Marcación Workera'!B2379="","",UPPER(SUBSTITUTE('Marcación Workera'!B2379,".","")))</f>
        <v/>
      </c>
    </row>
    <row r="2380" spans="2:3" ht="15" customHeight="1" x14ac:dyDescent="0.3">
      <c r="B2380" s="17" t="str">
        <f>IF('Marcación Workera'!G2380="","",INT('Marcación Workera'!G2380))</f>
        <v/>
      </c>
      <c r="C2380" s="18" t="str">
        <f>IF('Marcación Workera'!B2380="","",UPPER(SUBSTITUTE('Marcación Workera'!B2380,".","")))</f>
        <v/>
      </c>
    </row>
    <row r="2381" spans="2:3" ht="15" customHeight="1" x14ac:dyDescent="0.3">
      <c r="B2381" s="17" t="str">
        <f>IF('Marcación Workera'!G2381="","",INT('Marcación Workera'!G2381))</f>
        <v/>
      </c>
      <c r="C2381" s="18" t="str">
        <f>IF('Marcación Workera'!B2381="","",UPPER(SUBSTITUTE('Marcación Workera'!B2381,".","")))</f>
        <v/>
      </c>
    </row>
    <row r="2382" spans="2:3" ht="15" customHeight="1" x14ac:dyDescent="0.3">
      <c r="B2382" s="17" t="str">
        <f>IF('Marcación Workera'!G2382="","",INT('Marcación Workera'!G2382))</f>
        <v/>
      </c>
      <c r="C2382" s="18" t="str">
        <f>IF('Marcación Workera'!B2382="","",UPPER(SUBSTITUTE('Marcación Workera'!B2382,".","")))</f>
        <v/>
      </c>
    </row>
    <row r="2383" spans="2:3" ht="15" customHeight="1" x14ac:dyDescent="0.3">
      <c r="B2383" s="17" t="str">
        <f>IF('Marcación Workera'!G2383="","",INT('Marcación Workera'!G2383))</f>
        <v/>
      </c>
      <c r="C2383" s="18" t="str">
        <f>IF('Marcación Workera'!B2383="","",UPPER(SUBSTITUTE('Marcación Workera'!B2383,".","")))</f>
        <v/>
      </c>
    </row>
    <row r="2384" spans="2:3" ht="15" customHeight="1" x14ac:dyDescent="0.3">
      <c r="B2384" s="17" t="str">
        <f>IF('Marcación Workera'!G2384="","",INT('Marcación Workera'!G2384))</f>
        <v/>
      </c>
      <c r="C2384" s="18" t="str">
        <f>IF('Marcación Workera'!B2384="","",UPPER(SUBSTITUTE('Marcación Workera'!B2384,".","")))</f>
        <v/>
      </c>
    </row>
    <row r="2385" spans="2:3" ht="15" customHeight="1" x14ac:dyDescent="0.3">
      <c r="B2385" s="17" t="str">
        <f>IF('Marcación Workera'!G2385="","",INT('Marcación Workera'!G2385))</f>
        <v/>
      </c>
      <c r="C2385" s="18" t="str">
        <f>IF('Marcación Workera'!B2385="","",UPPER(SUBSTITUTE('Marcación Workera'!B2385,".","")))</f>
        <v/>
      </c>
    </row>
    <row r="2386" spans="2:3" ht="15" customHeight="1" x14ac:dyDescent="0.3">
      <c r="B2386" s="17" t="str">
        <f>IF('Marcación Workera'!G2386="","",INT('Marcación Workera'!G2386))</f>
        <v/>
      </c>
      <c r="C2386" s="18" t="str">
        <f>IF('Marcación Workera'!B2386="","",UPPER(SUBSTITUTE('Marcación Workera'!B2386,".","")))</f>
        <v/>
      </c>
    </row>
    <row r="2387" spans="2:3" ht="15" customHeight="1" x14ac:dyDescent="0.3">
      <c r="B2387" s="17" t="str">
        <f>IF('Marcación Workera'!G2387="","",INT('Marcación Workera'!G2387))</f>
        <v/>
      </c>
      <c r="C2387" s="18" t="str">
        <f>IF('Marcación Workera'!B2387="","",UPPER(SUBSTITUTE('Marcación Workera'!B2387,".","")))</f>
        <v/>
      </c>
    </row>
    <row r="2388" spans="2:3" ht="15" customHeight="1" x14ac:dyDescent="0.3">
      <c r="B2388" s="17" t="str">
        <f>IF('Marcación Workera'!G2388="","",INT('Marcación Workera'!G2388))</f>
        <v/>
      </c>
      <c r="C2388" s="18" t="str">
        <f>IF('Marcación Workera'!B2388="","",UPPER(SUBSTITUTE('Marcación Workera'!B2388,".","")))</f>
        <v/>
      </c>
    </row>
    <row r="2389" spans="2:3" ht="15" customHeight="1" x14ac:dyDescent="0.3">
      <c r="B2389" s="17" t="str">
        <f>IF('Marcación Workera'!G2389="","",INT('Marcación Workera'!G2389))</f>
        <v/>
      </c>
      <c r="C2389" s="18" t="str">
        <f>IF('Marcación Workera'!B2389="","",UPPER(SUBSTITUTE('Marcación Workera'!B2389,".","")))</f>
        <v/>
      </c>
    </row>
    <row r="2390" spans="2:3" ht="15" customHeight="1" x14ac:dyDescent="0.3">
      <c r="B2390" s="17" t="str">
        <f>IF('Marcación Workera'!G2390="","",INT('Marcación Workera'!G2390))</f>
        <v/>
      </c>
      <c r="C2390" s="18" t="str">
        <f>IF('Marcación Workera'!B2390="","",UPPER(SUBSTITUTE('Marcación Workera'!B2390,".","")))</f>
        <v/>
      </c>
    </row>
    <row r="2391" spans="2:3" ht="15" customHeight="1" x14ac:dyDescent="0.3">
      <c r="B2391" s="17" t="str">
        <f>IF('Marcación Workera'!G2391="","",INT('Marcación Workera'!G2391))</f>
        <v/>
      </c>
      <c r="C2391" s="18" t="str">
        <f>IF('Marcación Workera'!B2391="","",UPPER(SUBSTITUTE('Marcación Workera'!B2391,".","")))</f>
        <v/>
      </c>
    </row>
    <row r="2392" spans="2:3" ht="15" customHeight="1" x14ac:dyDescent="0.3">
      <c r="B2392" s="17" t="str">
        <f>IF('Marcación Workera'!G2392="","",INT('Marcación Workera'!G2392))</f>
        <v/>
      </c>
      <c r="C2392" s="18" t="str">
        <f>IF('Marcación Workera'!B2392="","",UPPER(SUBSTITUTE('Marcación Workera'!B2392,".","")))</f>
        <v/>
      </c>
    </row>
    <row r="2393" spans="2:3" ht="15" customHeight="1" x14ac:dyDescent="0.3">
      <c r="B2393" s="17" t="str">
        <f>IF('Marcación Workera'!G2393="","",INT('Marcación Workera'!G2393))</f>
        <v/>
      </c>
      <c r="C2393" s="18" t="str">
        <f>IF('Marcación Workera'!B2393="","",UPPER(SUBSTITUTE('Marcación Workera'!B2393,".","")))</f>
        <v/>
      </c>
    </row>
    <row r="2394" spans="2:3" ht="15" customHeight="1" x14ac:dyDescent="0.3">
      <c r="B2394" s="17" t="str">
        <f>IF('Marcación Workera'!G2394="","",INT('Marcación Workera'!G2394))</f>
        <v/>
      </c>
      <c r="C2394" s="18" t="str">
        <f>IF('Marcación Workera'!B2394="","",UPPER(SUBSTITUTE('Marcación Workera'!B2394,".","")))</f>
        <v/>
      </c>
    </row>
    <row r="2395" spans="2:3" ht="15" customHeight="1" x14ac:dyDescent="0.3">
      <c r="B2395" s="17" t="str">
        <f>IF('Marcación Workera'!G2395="","",INT('Marcación Workera'!G2395))</f>
        <v/>
      </c>
      <c r="C2395" s="18" t="str">
        <f>IF('Marcación Workera'!B2395="","",UPPER(SUBSTITUTE('Marcación Workera'!B2395,".","")))</f>
        <v/>
      </c>
    </row>
    <row r="2396" spans="2:3" ht="15" customHeight="1" x14ac:dyDescent="0.3">
      <c r="B2396" s="17" t="str">
        <f>IF('Marcación Workera'!G2396="","",INT('Marcación Workera'!G2396))</f>
        <v/>
      </c>
      <c r="C2396" s="18" t="str">
        <f>IF('Marcación Workera'!B2396="","",UPPER(SUBSTITUTE('Marcación Workera'!B2396,".","")))</f>
        <v/>
      </c>
    </row>
    <row r="2397" spans="2:3" ht="15" customHeight="1" x14ac:dyDescent="0.3">
      <c r="B2397" s="17" t="str">
        <f>IF('Marcación Workera'!G2397="","",INT('Marcación Workera'!G2397))</f>
        <v/>
      </c>
      <c r="C2397" s="18" t="str">
        <f>IF('Marcación Workera'!B2397="","",UPPER(SUBSTITUTE('Marcación Workera'!B2397,".","")))</f>
        <v/>
      </c>
    </row>
    <row r="2398" spans="2:3" ht="15" customHeight="1" x14ac:dyDescent="0.3">
      <c r="B2398" s="17" t="str">
        <f>IF('Marcación Workera'!G2398="","",INT('Marcación Workera'!G2398))</f>
        <v/>
      </c>
      <c r="C2398" s="18" t="str">
        <f>IF('Marcación Workera'!B2398="","",UPPER(SUBSTITUTE('Marcación Workera'!B2398,".","")))</f>
        <v/>
      </c>
    </row>
    <row r="2399" spans="2:3" ht="15" customHeight="1" x14ac:dyDescent="0.3">
      <c r="B2399" s="17" t="str">
        <f>IF('Marcación Workera'!G2399="","",INT('Marcación Workera'!G2399))</f>
        <v/>
      </c>
      <c r="C2399" s="18" t="str">
        <f>IF('Marcación Workera'!B2399="","",UPPER(SUBSTITUTE('Marcación Workera'!B2399,".","")))</f>
        <v/>
      </c>
    </row>
    <row r="2400" spans="2:3" ht="15" customHeight="1" x14ac:dyDescent="0.3">
      <c r="B2400" s="17" t="str">
        <f>IF('Marcación Workera'!G2400="","",INT('Marcación Workera'!G2400))</f>
        <v/>
      </c>
      <c r="C2400" s="18" t="str">
        <f>IF('Marcación Workera'!B2400="","",UPPER(SUBSTITUTE('Marcación Workera'!B2400,".","")))</f>
        <v/>
      </c>
    </row>
    <row r="2401" spans="2:3" ht="15" customHeight="1" x14ac:dyDescent="0.3">
      <c r="B2401" s="17" t="str">
        <f>IF('Marcación Workera'!G2401="","",INT('Marcación Workera'!G2401))</f>
        <v/>
      </c>
      <c r="C2401" s="18" t="str">
        <f>IF('Marcación Workera'!B2401="","",UPPER(SUBSTITUTE('Marcación Workera'!B2401,".","")))</f>
        <v/>
      </c>
    </row>
    <row r="2402" spans="2:3" ht="15" customHeight="1" x14ac:dyDescent="0.3">
      <c r="B2402" s="17" t="str">
        <f>IF('Marcación Workera'!G2402="","",INT('Marcación Workera'!G2402))</f>
        <v/>
      </c>
      <c r="C2402" s="18" t="str">
        <f>IF('Marcación Workera'!B2402="","",UPPER(SUBSTITUTE('Marcación Workera'!B2402,".","")))</f>
        <v/>
      </c>
    </row>
    <row r="2403" spans="2:3" ht="15" customHeight="1" x14ac:dyDescent="0.3">
      <c r="B2403" s="17" t="str">
        <f>IF('Marcación Workera'!G2403="","",INT('Marcación Workera'!G2403))</f>
        <v/>
      </c>
      <c r="C2403" s="18" t="str">
        <f>IF('Marcación Workera'!B2403="","",UPPER(SUBSTITUTE('Marcación Workera'!B2403,".","")))</f>
        <v/>
      </c>
    </row>
    <row r="2404" spans="2:3" ht="15" customHeight="1" x14ac:dyDescent="0.3">
      <c r="B2404" s="17" t="str">
        <f>IF('Marcación Workera'!G2404="","",INT('Marcación Workera'!G2404))</f>
        <v/>
      </c>
      <c r="C2404" s="18" t="str">
        <f>IF('Marcación Workera'!B2404="","",UPPER(SUBSTITUTE('Marcación Workera'!B2404,".","")))</f>
        <v/>
      </c>
    </row>
    <row r="2405" spans="2:3" ht="15" customHeight="1" x14ac:dyDescent="0.3">
      <c r="B2405" s="17" t="str">
        <f>IF('Marcación Workera'!G2405="","",INT('Marcación Workera'!G2405))</f>
        <v/>
      </c>
      <c r="C2405" s="18" t="str">
        <f>IF('Marcación Workera'!B2405="","",UPPER(SUBSTITUTE('Marcación Workera'!B2405,".","")))</f>
        <v/>
      </c>
    </row>
    <row r="2406" spans="2:3" ht="15" customHeight="1" x14ac:dyDescent="0.3">
      <c r="B2406" s="17" t="str">
        <f>IF('Marcación Workera'!G2406="","",INT('Marcación Workera'!G2406))</f>
        <v/>
      </c>
      <c r="C2406" s="18" t="str">
        <f>IF('Marcación Workera'!B2406="","",UPPER(SUBSTITUTE('Marcación Workera'!B2406,".","")))</f>
        <v/>
      </c>
    </row>
    <row r="2407" spans="2:3" ht="15" customHeight="1" x14ac:dyDescent="0.3">
      <c r="B2407" s="17" t="str">
        <f>IF('Marcación Workera'!G2407="","",INT('Marcación Workera'!G2407))</f>
        <v/>
      </c>
      <c r="C2407" s="18" t="str">
        <f>IF('Marcación Workera'!B2407="","",UPPER(SUBSTITUTE('Marcación Workera'!B2407,".","")))</f>
        <v/>
      </c>
    </row>
    <row r="2408" spans="2:3" ht="15" customHeight="1" x14ac:dyDescent="0.3">
      <c r="B2408" s="17" t="str">
        <f>IF('Marcación Workera'!G2408="","",INT('Marcación Workera'!G2408))</f>
        <v/>
      </c>
      <c r="C2408" s="18" t="str">
        <f>IF('Marcación Workera'!B2408="","",UPPER(SUBSTITUTE('Marcación Workera'!B2408,".","")))</f>
        <v/>
      </c>
    </row>
    <row r="2409" spans="2:3" ht="15" customHeight="1" x14ac:dyDescent="0.3">
      <c r="B2409" s="17" t="str">
        <f>IF('Marcación Workera'!G2409="","",INT('Marcación Workera'!G2409))</f>
        <v/>
      </c>
      <c r="C2409" s="18" t="str">
        <f>IF('Marcación Workera'!B2409="","",UPPER(SUBSTITUTE('Marcación Workera'!B2409,".","")))</f>
        <v/>
      </c>
    </row>
    <row r="2410" spans="2:3" ht="15" customHeight="1" x14ac:dyDescent="0.3">
      <c r="B2410" s="17" t="str">
        <f>IF('Marcación Workera'!G2410="","",INT('Marcación Workera'!G2410))</f>
        <v/>
      </c>
      <c r="C2410" s="18" t="str">
        <f>IF('Marcación Workera'!B2410="","",UPPER(SUBSTITUTE('Marcación Workera'!B2410,".","")))</f>
        <v/>
      </c>
    </row>
    <row r="2411" spans="2:3" ht="15" customHeight="1" x14ac:dyDescent="0.3">
      <c r="B2411" s="17" t="str">
        <f>IF('Marcación Workera'!G2411="","",INT('Marcación Workera'!G2411))</f>
        <v/>
      </c>
      <c r="C2411" s="18" t="str">
        <f>IF('Marcación Workera'!B2411="","",UPPER(SUBSTITUTE('Marcación Workera'!B2411,".","")))</f>
        <v/>
      </c>
    </row>
    <row r="2412" spans="2:3" ht="15" customHeight="1" x14ac:dyDescent="0.3">
      <c r="B2412" s="17" t="str">
        <f>IF('Marcación Workera'!G2412="","",INT('Marcación Workera'!G2412))</f>
        <v/>
      </c>
      <c r="C2412" s="18" t="str">
        <f>IF('Marcación Workera'!B2412="","",UPPER(SUBSTITUTE('Marcación Workera'!B2412,".","")))</f>
        <v/>
      </c>
    </row>
    <row r="2413" spans="2:3" ht="15" customHeight="1" x14ac:dyDescent="0.3">
      <c r="B2413" s="17" t="str">
        <f>IF('Marcación Workera'!G2413="","",INT('Marcación Workera'!G2413))</f>
        <v/>
      </c>
      <c r="C2413" s="18" t="str">
        <f>IF('Marcación Workera'!B2413="","",UPPER(SUBSTITUTE('Marcación Workera'!B2413,".","")))</f>
        <v/>
      </c>
    </row>
    <row r="2414" spans="2:3" ht="15" customHeight="1" x14ac:dyDescent="0.3">
      <c r="B2414" s="17" t="str">
        <f>IF('Marcación Workera'!G2414="","",INT('Marcación Workera'!G2414))</f>
        <v/>
      </c>
      <c r="C2414" s="18" t="str">
        <f>IF('Marcación Workera'!B2414="","",UPPER(SUBSTITUTE('Marcación Workera'!B2414,".","")))</f>
        <v/>
      </c>
    </row>
    <row r="2415" spans="2:3" ht="15" customHeight="1" x14ac:dyDescent="0.3">
      <c r="B2415" s="17" t="str">
        <f>IF('Marcación Workera'!G2415="","",INT('Marcación Workera'!G2415))</f>
        <v/>
      </c>
      <c r="C2415" s="18" t="str">
        <f>IF('Marcación Workera'!B2415="","",UPPER(SUBSTITUTE('Marcación Workera'!B2415,".","")))</f>
        <v/>
      </c>
    </row>
    <row r="2416" spans="2:3" ht="15" customHeight="1" x14ac:dyDescent="0.3">
      <c r="B2416" s="17" t="str">
        <f>IF('Marcación Workera'!G2416="","",INT('Marcación Workera'!G2416))</f>
        <v/>
      </c>
      <c r="C2416" s="18" t="str">
        <f>IF('Marcación Workera'!B2416="","",UPPER(SUBSTITUTE('Marcación Workera'!B2416,".","")))</f>
        <v/>
      </c>
    </row>
    <row r="2417" spans="2:3" ht="15" customHeight="1" x14ac:dyDescent="0.3">
      <c r="B2417" s="17" t="str">
        <f>IF('Marcación Workera'!G2417="","",INT('Marcación Workera'!G2417))</f>
        <v/>
      </c>
      <c r="C2417" s="18" t="str">
        <f>IF('Marcación Workera'!B2417="","",UPPER(SUBSTITUTE('Marcación Workera'!B2417,".","")))</f>
        <v/>
      </c>
    </row>
    <row r="2418" spans="2:3" ht="15" customHeight="1" x14ac:dyDescent="0.3">
      <c r="B2418" s="17" t="str">
        <f>IF('Marcación Workera'!G2418="","",INT('Marcación Workera'!G2418))</f>
        <v/>
      </c>
      <c r="C2418" s="18" t="str">
        <f>IF('Marcación Workera'!B2418="","",UPPER(SUBSTITUTE('Marcación Workera'!B2418,".","")))</f>
        <v/>
      </c>
    </row>
    <row r="2419" spans="2:3" ht="15" customHeight="1" x14ac:dyDescent="0.3">
      <c r="B2419" s="17" t="str">
        <f>IF('Marcación Workera'!G2419="","",INT('Marcación Workera'!G2419))</f>
        <v/>
      </c>
      <c r="C2419" s="18" t="str">
        <f>IF('Marcación Workera'!B2419="","",UPPER(SUBSTITUTE('Marcación Workera'!B2419,".","")))</f>
        <v/>
      </c>
    </row>
    <row r="2420" spans="2:3" ht="15" customHeight="1" x14ac:dyDescent="0.3">
      <c r="B2420" s="17" t="str">
        <f>IF('Marcación Workera'!G2420="","",INT('Marcación Workera'!G2420))</f>
        <v/>
      </c>
      <c r="C2420" s="18" t="str">
        <f>IF('Marcación Workera'!B2420="","",UPPER(SUBSTITUTE('Marcación Workera'!B2420,".","")))</f>
        <v/>
      </c>
    </row>
    <row r="2421" spans="2:3" ht="15" customHeight="1" x14ac:dyDescent="0.3">
      <c r="B2421" s="17" t="str">
        <f>IF('Marcación Workera'!G2421="","",INT('Marcación Workera'!G2421))</f>
        <v/>
      </c>
      <c r="C2421" s="18" t="str">
        <f>IF('Marcación Workera'!B2421="","",UPPER(SUBSTITUTE('Marcación Workera'!B2421,".","")))</f>
        <v/>
      </c>
    </row>
    <row r="2422" spans="2:3" ht="15" customHeight="1" x14ac:dyDescent="0.3">
      <c r="B2422" s="17" t="str">
        <f>IF('Marcación Workera'!G2422="","",INT('Marcación Workera'!G2422))</f>
        <v/>
      </c>
      <c r="C2422" s="18" t="str">
        <f>IF('Marcación Workera'!B2422="","",UPPER(SUBSTITUTE('Marcación Workera'!B2422,".","")))</f>
        <v/>
      </c>
    </row>
    <row r="2423" spans="2:3" ht="15" customHeight="1" x14ac:dyDescent="0.3">
      <c r="B2423" s="17" t="str">
        <f>IF('Marcación Workera'!G2423="","",INT('Marcación Workera'!G2423))</f>
        <v/>
      </c>
      <c r="C2423" s="18" t="str">
        <f>IF('Marcación Workera'!B2423="","",UPPER(SUBSTITUTE('Marcación Workera'!B2423,".","")))</f>
        <v/>
      </c>
    </row>
    <row r="2424" spans="2:3" ht="15" customHeight="1" x14ac:dyDescent="0.3">
      <c r="B2424" s="17" t="str">
        <f>IF('Marcación Workera'!G2424="","",INT('Marcación Workera'!G2424))</f>
        <v/>
      </c>
      <c r="C2424" s="18" t="str">
        <f>IF('Marcación Workera'!B2424="","",UPPER(SUBSTITUTE('Marcación Workera'!B2424,".","")))</f>
        <v/>
      </c>
    </row>
    <row r="2425" spans="2:3" ht="15" customHeight="1" x14ac:dyDescent="0.3">
      <c r="B2425" s="17" t="str">
        <f>IF('Marcación Workera'!G2425="","",INT('Marcación Workera'!G2425))</f>
        <v/>
      </c>
      <c r="C2425" s="18" t="str">
        <f>IF('Marcación Workera'!B2425="","",UPPER(SUBSTITUTE('Marcación Workera'!B2425,".","")))</f>
        <v/>
      </c>
    </row>
    <row r="2426" spans="2:3" ht="15" customHeight="1" x14ac:dyDescent="0.3">
      <c r="B2426" s="17" t="str">
        <f>IF('Marcación Workera'!G2426="","",INT('Marcación Workera'!G2426))</f>
        <v/>
      </c>
      <c r="C2426" s="18" t="str">
        <f>IF('Marcación Workera'!B2426="","",UPPER(SUBSTITUTE('Marcación Workera'!B2426,".","")))</f>
        <v/>
      </c>
    </row>
    <row r="2427" spans="2:3" ht="15" customHeight="1" x14ac:dyDescent="0.3">
      <c r="B2427" s="17" t="str">
        <f>IF('Marcación Workera'!G2427="","",INT('Marcación Workera'!G2427))</f>
        <v/>
      </c>
      <c r="C2427" s="18" t="str">
        <f>IF('Marcación Workera'!B2427="","",UPPER(SUBSTITUTE('Marcación Workera'!B2427,".","")))</f>
        <v/>
      </c>
    </row>
    <row r="2428" spans="2:3" ht="15" customHeight="1" x14ac:dyDescent="0.3">
      <c r="B2428" s="17" t="str">
        <f>IF('Marcación Workera'!G2428="","",INT('Marcación Workera'!G2428))</f>
        <v/>
      </c>
      <c r="C2428" s="18" t="str">
        <f>IF('Marcación Workera'!B2428="","",UPPER(SUBSTITUTE('Marcación Workera'!B2428,".","")))</f>
        <v/>
      </c>
    </row>
    <row r="2429" spans="2:3" ht="15" customHeight="1" x14ac:dyDescent="0.3">
      <c r="B2429" s="17" t="str">
        <f>IF('Marcación Workera'!G2429="","",INT('Marcación Workera'!G2429))</f>
        <v/>
      </c>
      <c r="C2429" s="18" t="str">
        <f>IF('Marcación Workera'!B2429="","",UPPER(SUBSTITUTE('Marcación Workera'!B2429,".","")))</f>
        <v/>
      </c>
    </row>
    <row r="2430" spans="2:3" ht="15" customHeight="1" x14ac:dyDescent="0.3">
      <c r="B2430" s="17" t="str">
        <f>IF('Marcación Workera'!G2430="","",INT('Marcación Workera'!G2430))</f>
        <v/>
      </c>
      <c r="C2430" s="18" t="str">
        <f>IF('Marcación Workera'!B2430="","",UPPER(SUBSTITUTE('Marcación Workera'!B2430,".","")))</f>
        <v/>
      </c>
    </row>
    <row r="2431" spans="2:3" ht="15" customHeight="1" x14ac:dyDescent="0.3">
      <c r="B2431" s="17" t="str">
        <f>IF('Marcación Workera'!G2431="","",INT('Marcación Workera'!G2431))</f>
        <v/>
      </c>
      <c r="C2431" s="18" t="str">
        <f>IF('Marcación Workera'!B2431="","",UPPER(SUBSTITUTE('Marcación Workera'!B2431,".","")))</f>
        <v/>
      </c>
    </row>
    <row r="2432" spans="2:3" ht="15" customHeight="1" x14ac:dyDescent="0.3">
      <c r="B2432" s="17" t="str">
        <f>IF('Marcación Workera'!G2432="","",INT('Marcación Workera'!G2432))</f>
        <v/>
      </c>
      <c r="C2432" s="18" t="str">
        <f>IF('Marcación Workera'!B2432="","",UPPER(SUBSTITUTE('Marcación Workera'!B2432,".","")))</f>
        <v/>
      </c>
    </row>
    <row r="2433" spans="2:3" ht="15" customHeight="1" x14ac:dyDescent="0.3">
      <c r="B2433" s="17" t="str">
        <f>IF('Marcación Workera'!G2433="","",INT('Marcación Workera'!G2433))</f>
        <v/>
      </c>
      <c r="C2433" s="18" t="str">
        <f>IF('Marcación Workera'!B2433="","",UPPER(SUBSTITUTE('Marcación Workera'!B2433,".","")))</f>
        <v/>
      </c>
    </row>
    <row r="2434" spans="2:3" ht="15" customHeight="1" x14ac:dyDescent="0.3">
      <c r="B2434" s="17" t="str">
        <f>IF('Marcación Workera'!G2434="","",INT('Marcación Workera'!G2434))</f>
        <v/>
      </c>
      <c r="C2434" s="18" t="str">
        <f>IF('Marcación Workera'!B2434="","",UPPER(SUBSTITUTE('Marcación Workera'!B2434,".","")))</f>
        <v/>
      </c>
    </row>
    <row r="2435" spans="2:3" ht="15" customHeight="1" x14ac:dyDescent="0.3">
      <c r="B2435" s="17" t="str">
        <f>IF('Marcación Workera'!G2435="","",INT('Marcación Workera'!G2435))</f>
        <v/>
      </c>
      <c r="C2435" s="18" t="str">
        <f>IF('Marcación Workera'!B2435="","",UPPER(SUBSTITUTE('Marcación Workera'!B2435,".","")))</f>
        <v/>
      </c>
    </row>
    <row r="2436" spans="2:3" ht="15" customHeight="1" x14ac:dyDescent="0.3">
      <c r="B2436" s="17" t="str">
        <f>IF('Marcación Workera'!G2436="","",INT('Marcación Workera'!G2436))</f>
        <v/>
      </c>
      <c r="C2436" s="18" t="str">
        <f>IF('Marcación Workera'!B2436="","",UPPER(SUBSTITUTE('Marcación Workera'!B2436,".","")))</f>
        <v/>
      </c>
    </row>
    <row r="2437" spans="2:3" ht="15" customHeight="1" x14ac:dyDescent="0.3">
      <c r="B2437" s="17" t="str">
        <f>IF('Marcación Workera'!G2437="","",INT('Marcación Workera'!G2437))</f>
        <v/>
      </c>
      <c r="C2437" s="18" t="str">
        <f>IF('Marcación Workera'!B2437="","",UPPER(SUBSTITUTE('Marcación Workera'!B2437,".","")))</f>
        <v/>
      </c>
    </row>
    <row r="2438" spans="2:3" ht="15" customHeight="1" x14ac:dyDescent="0.3">
      <c r="B2438" s="17" t="str">
        <f>IF('Marcación Workera'!G2438="","",INT('Marcación Workera'!G2438))</f>
        <v/>
      </c>
      <c r="C2438" s="18" t="str">
        <f>IF('Marcación Workera'!B2438="","",UPPER(SUBSTITUTE('Marcación Workera'!B2438,".","")))</f>
        <v/>
      </c>
    </row>
    <row r="2439" spans="2:3" ht="15" customHeight="1" x14ac:dyDescent="0.3">
      <c r="B2439" s="17" t="str">
        <f>IF('Marcación Workera'!G2439="","",INT('Marcación Workera'!G2439))</f>
        <v/>
      </c>
      <c r="C2439" s="18" t="str">
        <f>IF('Marcación Workera'!B2439="","",UPPER(SUBSTITUTE('Marcación Workera'!B2439,".","")))</f>
        <v/>
      </c>
    </row>
    <row r="2440" spans="2:3" ht="15" customHeight="1" x14ac:dyDescent="0.3">
      <c r="B2440" s="17" t="str">
        <f>IF('Marcación Workera'!G2440="","",INT('Marcación Workera'!G2440))</f>
        <v/>
      </c>
      <c r="C2440" s="18" t="str">
        <f>IF('Marcación Workera'!B2440="","",UPPER(SUBSTITUTE('Marcación Workera'!B2440,".","")))</f>
        <v/>
      </c>
    </row>
    <row r="2441" spans="2:3" ht="15" customHeight="1" x14ac:dyDescent="0.3">
      <c r="B2441" s="17" t="str">
        <f>IF('Marcación Workera'!G2441="","",INT('Marcación Workera'!G2441))</f>
        <v/>
      </c>
      <c r="C2441" s="18" t="str">
        <f>IF('Marcación Workera'!B2441="","",UPPER(SUBSTITUTE('Marcación Workera'!B2441,".","")))</f>
        <v/>
      </c>
    </row>
    <row r="2442" spans="2:3" ht="15" customHeight="1" x14ac:dyDescent="0.3">
      <c r="B2442" s="17" t="str">
        <f>IF('Marcación Workera'!G2442="","",INT('Marcación Workera'!G2442))</f>
        <v/>
      </c>
      <c r="C2442" s="18" t="str">
        <f>IF('Marcación Workera'!B2442="","",UPPER(SUBSTITUTE('Marcación Workera'!B2442,".","")))</f>
        <v/>
      </c>
    </row>
    <row r="2443" spans="2:3" ht="15" customHeight="1" x14ac:dyDescent="0.3">
      <c r="B2443" s="17" t="str">
        <f>IF('Marcación Workera'!G2443="","",INT('Marcación Workera'!G2443))</f>
        <v/>
      </c>
      <c r="C2443" s="18" t="str">
        <f>IF('Marcación Workera'!B2443="","",UPPER(SUBSTITUTE('Marcación Workera'!B2443,".","")))</f>
        <v/>
      </c>
    </row>
    <row r="2444" spans="2:3" ht="15" customHeight="1" x14ac:dyDescent="0.3">
      <c r="B2444" s="17" t="str">
        <f>IF('Marcación Workera'!G2444="","",INT('Marcación Workera'!G2444))</f>
        <v/>
      </c>
      <c r="C2444" s="18" t="str">
        <f>IF('Marcación Workera'!B2444="","",UPPER(SUBSTITUTE('Marcación Workera'!B2444,".","")))</f>
        <v/>
      </c>
    </row>
    <row r="2445" spans="2:3" ht="15" customHeight="1" x14ac:dyDescent="0.3">
      <c r="B2445" s="17" t="str">
        <f>IF('Marcación Workera'!G2445="","",INT('Marcación Workera'!G2445))</f>
        <v/>
      </c>
      <c r="C2445" s="18" t="str">
        <f>IF('Marcación Workera'!B2445="","",UPPER(SUBSTITUTE('Marcación Workera'!B2445,".","")))</f>
        <v/>
      </c>
    </row>
    <row r="2446" spans="2:3" ht="15" customHeight="1" x14ac:dyDescent="0.3">
      <c r="B2446" s="17" t="str">
        <f>IF('Marcación Workera'!G2446="","",INT('Marcación Workera'!G2446))</f>
        <v/>
      </c>
      <c r="C2446" s="18" t="str">
        <f>IF('Marcación Workera'!B2446="","",UPPER(SUBSTITUTE('Marcación Workera'!B2446,".","")))</f>
        <v/>
      </c>
    </row>
    <row r="2447" spans="2:3" ht="15" customHeight="1" x14ac:dyDescent="0.3">
      <c r="B2447" s="17" t="str">
        <f>IF('Marcación Workera'!G2447="","",INT('Marcación Workera'!G2447))</f>
        <v/>
      </c>
      <c r="C2447" s="18" t="str">
        <f>IF('Marcación Workera'!B2447="","",UPPER(SUBSTITUTE('Marcación Workera'!B2447,".","")))</f>
        <v/>
      </c>
    </row>
    <row r="2448" spans="2:3" ht="15" customHeight="1" x14ac:dyDescent="0.3">
      <c r="B2448" s="17" t="str">
        <f>IF('Marcación Workera'!G2448="","",INT('Marcación Workera'!G2448))</f>
        <v/>
      </c>
      <c r="C2448" s="18" t="str">
        <f>IF('Marcación Workera'!B2448="","",UPPER(SUBSTITUTE('Marcación Workera'!B2448,".","")))</f>
        <v/>
      </c>
    </row>
    <row r="2449" spans="2:3" ht="15" customHeight="1" x14ac:dyDescent="0.3">
      <c r="B2449" s="17" t="str">
        <f>IF('Marcación Workera'!G2449="","",INT('Marcación Workera'!G2449))</f>
        <v/>
      </c>
      <c r="C2449" s="18" t="str">
        <f>IF('Marcación Workera'!B2449="","",UPPER(SUBSTITUTE('Marcación Workera'!B2449,".","")))</f>
        <v/>
      </c>
    </row>
    <row r="2450" spans="2:3" ht="15" customHeight="1" x14ac:dyDescent="0.3">
      <c r="B2450" s="17" t="str">
        <f>IF('Marcación Workera'!G2450="","",INT('Marcación Workera'!G2450))</f>
        <v/>
      </c>
      <c r="C2450" s="18" t="str">
        <f>IF('Marcación Workera'!B2450="","",UPPER(SUBSTITUTE('Marcación Workera'!B2450,".","")))</f>
        <v/>
      </c>
    </row>
    <row r="2451" spans="2:3" ht="15" customHeight="1" x14ac:dyDescent="0.3">
      <c r="B2451" s="17" t="str">
        <f>IF('Marcación Workera'!G2451="","",INT('Marcación Workera'!G2451))</f>
        <v/>
      </c>
      <c r="C2451" s="18" t="str">
        <f>IF('Marcación Workera'!B2451="","",UPPER(SUBSTITUTE('Marcación Workera'!B2451,".","")))</f>
        <v/>
      </c>
    </row>
    <row r="2452" spans="2:3" ht="15" customHeight="1" x14ac:dyDescent="0.3">
      <c r="B2452" s="17" t="str">
        <f>IF('Marcación Workera'!G2452="","",INT('Marcación Workera'!G2452))</f>
        <v/>
      </c>
      <c r="C2452" s="18" t="str">
        <f>IF('Marcación Workera'!B2452="","",UPPER(SUBSTITUTE('Marcación Workera'!B2452,".","")))</f>
        <v/>
      </c>
    </row>
    <row r="2453" spans="2:3" ht="15" customHeight="1" x14ac:dyDescent="0.3">
      <c r="B2453" s="17" t="str">
        <f>IF('Marcación Workera'!G2453="","",INT('Marcación Workera'!G2453))</f>
        <v/>
      </c>
      <c r="C2453" s="18" t="str">
        <f>IF('Marcación Workera'!B2453="","",UPPER(SUBSTITUTE('Marcación Workera'!B2453,".","")))</f>
        <v/>
      </c>
    </row>
    <row r="2454" spans="2:3" ht="15" customHeight="1" x14ac:dyDescent="0.3">
      <c r="B2454" s="17" t="str">
        <f>IF('Marcación Workera'!G2454="","",INT('Marcación Workera'!G2454))</f>
        <v/>
      </c>
      <c r="C2454" s="18" t="str">
        <f>IF('Marcación Workera'!B2454="","",UPPER(SUBSTITUTE('Marcación Workera'!B2454,".","")))</f>
        <v/>
      </c>
    </row>
    <row r="2455" spans="2:3" ht="15" customHeight="1" x14ac:dyDescent="0.3">
      <c r="B2455" s="17" t="str">
        <f>IF('Marcación Workera'!G2455="","",INT('Marcación Workera'!G2455))</f>
        <v/>
      </c>
      <c r="C2455" s="18" t="str">
        <f>IF('Marcación Workera'!B2455="","",UPPER(SUBSTITUTE('Marcación Workera'!B2455,".","")))</f>
        <v/>
      </c>
    </row>
    <row r="2456" spans="2:3" ht="15" customHeight="1" x14ac:dyDescent="0.3">
      <c r="B2456" s="17" t="str">
        <f>IF('Marcación Workera'!G2456="","",INT('Marcación Workera'!G2456))</f>
        <v/>
      </c>
      <c r="C2456" s="18" t="str">
        <f>IF('Marcación Workera'!B2456="","",UPPER(SUBSTITUTE('Marcación Workera'!B2456,".","")))</f>
        <v/>
      </c>
    </row>
    <row r="2457" spans="2:3" ht="15" customHeight="1" x14ac:dyDescent="0.3">
      <c r="B2457" s="17" t="str">
        <f>IF('Marcación Workera'!G2457="","",INT('Marcación Workera'!G2457))</f>
        <v/>
      </c>
      <c r="C2457" s="18" t="str">
        <f>IF('Marcación Workera'!B2457="","",UPPER(SUBSTITUTE('Marcación Workera'!B2457,".","")))</f>
        <v/>
      </c>
    </row>
    <row r="2458" spans="2:3" ht="15" customHeight="1" x14ac:dyDescent="0.3">
      <c r="B2458" s="17" t="str">
        <f>IF('Marcación Workera'!G2458="","",INT('Marcación Workera'!G2458))</f>
        <v/>
      </c>
      <c r="C2458" s="18" t="str">
        <f>IF('Marcación Workera'!B2458="","",UPPER(SUBSTITUTE('Marcación Workera'!B2458,".","")))</f>
        <v/>
      </c>
    </row>
    <row r="2459" spans="2:3" ht="15" customHeight="1" x14ac:dyDescent="0.3">
      <c r="B2459" s="17" t="str">
        <f>IF('Marcación Workera'!G2459="","",INT('Marcación Workera'!G2459))</f>
        <v/>
      </c>
      <c r="C2459" s="18" t="str">
        <f>IF('Marcación Workera'!B2459="","",UPPER(SUBSTITUTE('Marcación Workera'!B2459,".","")))</f>
        <v/>
      </c>
    </row>
    <row r="2460" spans="2:3" ht="15" customHeight="1" x14ac:dyDescent="0.3">
      <c r="B2460" s="17" t="str">
        <f>IF('Marcación Workera'!G2460="","",INT('Marcación Workera'!G2460))</f>
        <v/>
      </c>
      <c r="C2460" s="18" t="str">
        <f>IF('Marcación Workera'!B2460="","",UPPER(SUBSTITUTE('Marcación Workera'!B2460,".","")))</f>
        <v/>
      </c>
    </row>
    <row r="2461" spans="2:3" ht="15" customHeight="1" x14ac:dyDescent="0.3">
      <c r="B2461" s="17" t="str">
        <f>IF('Marcación Workera'!G2461="","",INT('Marcación Workera'!G2461))</f>
        <v/>
      </c>
      <c r="C2461" s="18" t="str">
        <f>IF('Marcación Workera'!B2461="","",UPPER(SUBSTITUTE('Marcación Workera'!B2461,".","")))</f>
        <v/>
      </c>
    </row>
    <row r="2462" spans="2:3" ht="15" customHeight="1" x14ac:dyDescent="0.3">
      <c r="B2462" s="17" t="str">
        <f>IF('Marcación Workera'!G2462="","",INT('Marcación Workera'!G2462))</f>
        <v/>
      </c>
      <c r="C2462" s="18" t="str">
        <f>IF('Marcación Workera'!B2462="","",UPPER(SUBSTITUTE('Marcación Workera'!B2462,".","")))</f>
        <v/>
      </c>
    </row>
    <row r="2463" spans="2:3" ht="15" customHeight="1" x14ac:dyDescent="0.3">
      <c r="B2463" s="17" t="str">
        <f>IF('Marcación Workera'!G2463="","",INT('Marcación Workera'!G2463))</f>
        <v/>
      </c>
      <c r="C2463" s="18" t="str">
        <f>IF('Marcación Workera'!B2463="","",UPPER(SUBSTITUTE('Marcación Workera'!B2463,".","")))</f>
        <v/>
      </c>
    </row>
    <row r="2464" spans="2:3" ht="15" customHeight="1" x14ac:dyDescent="0.3">
      <c r="B2464" s="17" t="str">
        <f>IF('Marcación Workera'!G2464="","",INT('Marcación Workera'!G2464))</f>
        <v/>
      </c>
      <c r="C2464" s="18" t="str">
        <f>IF('Marcación Workera'!B2464="","",UPPER(SUBSTITUTE('Marcación Workera'!B2464,".","")))</f>
        <v/>
      </c>
    </row>
    <row r="2465" spans="2:3" ht="15" customHeight="1" x14ac:dyDescent="0.3">
      <c r="B2465" s="17" t="str">
        <f>IF('Marcación Workera'!G2465="","",INT('Marcación Workera'!G2465))</f>
        <v/>
      </c>
      <c r="C2465" s="18" t="str">
        <f>IF('Marcación Workera'!B2465="","",UPPER(SUBSTITUTE('Marcación Workera'!B2465,".","")))</f>
        <v/>
      </c>
    </row>
    <row r="2466" spans="2:3" ht="15" customHeight="1" x14ac:dyDescent="0.3">
      <c r="B2466" s="17" t="str">
        <f>IF('Marcación Workera'!G2466="","",INT('Marcación Workera'!G2466))</f>
        <v/>
      </c>
      <c r="C2466" s="18" t="str">
        <f>IF('Marcación Workera'!B2466="","",UPPER(SUBSTITUTE('Marcación Workera'!B2466,".","")))</f>
        <v/>
      </c>
    </row>
    <row r="2467" spans="2:3" ht="15" customHeight="1" x14ac:dyDescent="0.3">
      <c r="B2467" s="17" t="str">
        <f>IF('Marcación Workera'!G2467="","",INT('Marcación Workera'!G2467))</f>
        <v/>
      </c>
      <c r="C2467" s="18" t="str">
        <f>IF('Marcación Workera'!B2467="","",UPPER(SUBSTITUTE('Marcación Workera'!B2467,".","")))</f>
        <v/>
      </c>
    </row>
    <row r="2468" spans="2:3" ht="15" customHeight="1" x14ac:dyDescent="0.3">
      <c r="B2468" s="17" t="str">
        <f>IF('Marcación Workera'!G2468="","",INT('Marcación Workera'!G2468))</f>
        <v/>
      </c>
      <c r="C2468" s="18" t="str">
        <f>IF('Marcación Workera'!B2468="","",UPPER(SUBSTITUTE('Marcación Workera'!B2468,".","")))</f>
        <v/>
      </c>
    </row>
    <row r="2469" spans="2:3" ht="15" customHeight="1" x14ac:dyDescent="0.3">
      <c r="B2469" s="17" t="str">
        <f>IF('Marcación Workera'!G2469="","",INT('Marcación Workera'!G2469))</f>
        <v/>
      </c>
      <c r="C2469" s="18" t="str">
        <f>IF('Marcación Workera'!B2469="","",UPPER(SUBSTITUTE('Marcación Workera'!B2469,".","")))</f>
        <v/>
      </c>
    </row>
    <row r="2470" spans="2:3" ht="15" customHeight="1" x14ac:dyDescent="0.3">
      <c r="B2470" s="17" t="str">
        <f>IF('Marcación Workera'!G2470="","",INT('Marcación Workera'!G2470))</f>
        <v/>
      </c>
      <c r="C2470" s="18" t="str">
        <f>IF('Marcación Workera'!B2470="","",UPPER(SUBSTITUTE('Marcación Workera'!B2470,".","")))</f>
        <v/>
      </c>
    </row>
    <row r="2471" spans="2:3" ht="15" customHeight="1" x14ac:dyDescent="0.3">
      <c r="B2471" s="17" t="str">
        <f>IF('Marcación Workera'!G2471="","",INT('Marcación Workera'!G2471))</f>
        <v/>
      </c>
      <c r="C2471" s="18" t="str">
        <f>IF('Marcación Workera'!B2471="","",UPPER(SUBSTITUTE('Marcación Workera'!B2471,".","")))</f>
        <v/>
      </c>
    </row>
    <row r="2472" spans="2:3" ht="15" customHeight="1" x14ac:dyDescent="0.3">
      <c r="B2472" s="17" t="str">
        <f>IF('Marcación Workera'!G2472="","",INT('Marcación Workera'!G2472))</f>
        <v/>
      </c>
      <c r="C2472" s="18" t="str">
        <f>IF('Marcación Workera'!B2472="","",UPPER(SUBSTITUTE('Marcación Workera'!B2472,".","")))</f>
        <v/>
      </c>
    </row>
    <row r="2473" spans="2:3" ht="15" customHeight="1" x14ac:dyDescent="0.3">
      <c r="B2473" s="17" t="str">
        <f>IF('Marcación Workera'!G2473="","",INT('Marcación Workera'!G2473))</f>
        <v/>
      </c>
      <c r="C2473" s="18" t="str">
        <f>IF('Marcación Workera'!B2473="","",UPPER(SUBSTITUTE('Marcación Workera'!B2473,".","")))</f>
        <v/>
      </c>
    </row>
    <row r="2474" spans="2:3" ht="15" customHeight="1" x14ac:dyDescent="0.3">
      <c r="B2474" s="17" t="str">
        <f>IF('Marcación Workera'!G2474="","",INT('Marcación Workera'!G2474))</f>
        <v/>
      </c>
      <c r="C2474" s="18" t="str">
        <f>IF('Marcación Workera'!B2474="","",UPPER(SUBSTITUTE('Marcación Workera'!B2474,".","")))</f>
        <v/>
      </c>
    </row>
    <row r="2475" spans="2:3" ht="15" customHeight="1" x14ac:dyDescent="0.3">
      <c r="B2475" s="17" t="str">
        <f>IF('Marcación Workera'!G2475="","",INT('Marcación Workera'!G2475))</f>
        <v/>
      </c>
      <c r="C2475" s="18" t="str">
        <f>IF('Marcación Workera'!B2475="","",UPPER(SUBSTITUTE('Marcación Workera'!B2475,".","")))</f>
        <v/>
      </c>
    </row>
    <row r="2476" spans="2:3" ht="15" customHeight="1" x14ac:dyDescent="0.3">
      <c r="B2476" s="17" t="str">
        <f>IF('Marcación Workera'!G2476="","",INT('Marcación Workera'!G2476))</f>
        <v/>
      </c>
      <c r="C2476" s="18" t="str">
        <f>IF('Marcación Workera'!B2476="","",UPPER(SUBSTITUTE('Marcación Workera'!B2476,".","")))</f>
        <v/>
      </c>
    </row>
    <row r="2477" spans="2:3" ht="15" customHeight="1" x14ac:dyDescent="0.3">
      <c r="B2477" s="17" t="str">
        <f>IF('Marcación Workera'!G2477="","",INT('Marcación Workera'!G2477))</f>
        <v/>
      </c>
      <c r="C2477" s="18" t="str">
        <f>IF('Marcación Workera'!B2477="","",UPPER(SUBSTITUTE('Marcación Workera'!B2477,".","")))</f>
        <v/>
      </c>
    </row>
    <row r="2478" spans="2:3" ht="15" customHeight="1" x14ac:dyDescent="0.3">
      <c r="B2478" s="17" t="str">
        <f>IF('Marcación Workera'!G2478="","",INT('Marcación Workera'!G2478))</f>
        <v/>
      </c>
      <c r="C2478" s="18" t="str">
        <f>IF('Marcación Workera'!B2478="","",UPPER(SUBSTITUTE('Marcación Workera'!B2478,".","")))</f>
        <v/>
      </c>
    </row>
    <row r="2479" spans="2:3" ht="15" customHeight="1" x14ac:dyDescent="0.3">
      <c r="B2479" s="17" t="str">
        <f>IF('Marcación Workera'!G2479="","",INT('Marcación Workera'!G2479))</f>
        <v/>
      </c>
      <c r="C2479" s="18" t="str">
        <f>IF('Marcación Workera'!B2479="","",UPPER(SUBSTITUTE('Marcación Workera'!B2479,".","")))</f>
        <v/>
      </c>
    </row>
    <row r="2480" spans="2:3" ht="15" customHeight="1" x14ac:dyDescent="0.3">
      <c r="B2480" s="17" t="str">
        <f>IF('Marcación Workera'!G2480="","",INT('Marcación Workera'!G2480))</f>
        <v/>
      </c>
      <c r="C2480" s="18" t="str">
        <f>IF('Marcación Workera'!B2480="","",UPPER(SUBSTITUTE('Marcación Workera'!B2480,".","")))</f>
        <v/>
      </c>
    </row>
    <row r="2481" spans="2:3" ht="15" customHeight="1" x14ac:dyDescent="0.3">
      <c r="B2481" s="17" t="str">
        <f>IF('Marcación Workera'!G2481="","",INT('Marcación Workera'!G2481))</f>
        <v/>
      </c>
      <c r="C2481" s="18" t="str">
        <f>IF('Marcación Workera'!B2481="","",UPPER(SUBSTITUTE('Marcación Workera'!B2481,".","")))</f>
        <v/>
      </c>
    </row>
    <row r="2482" spans="2:3" ht="15" customHeight="1" x14ac:dyDescent="0.3">
      <c r="B2482" s="17" t="str">
        <f>IF('Marcación Workera'!G2482="","",INT('Marcación Workera'!G2482))</f>
        <v/>
      </c>
      <c r="C2482" s="18" t="str">
        <f>IF('Marcación Workera'!B2482="","",UPPER(SUBSTITUTE('Marcación Workera'!B2482,".","")))</f>
        <v/>
      </c>
    </row>
    <row r="2483" spans="2:3" ht="15" customHeight="1" x14ac:dyDescent="0.3">
      <c r="B2483" s="17" t="str">
        <f>IF('Marcación Workera'!G2483="","",INT('Marcación Workera'!G2483))</f>
        <v/>
      </c>
      <c r="C2483" s="18" t="str">
        <f>IF('Marcación Workera'!B2483="","",UPPER(SUBSTITUTE('Marcación Workera'!B2483,".","")))</f>
        <v/>
      </c>
    </row>
    <row r="2484" spans="2:3" ht="15" customHeight="1" x14ac:dyDescent="0.3">
      <c r="B2484" s="17" t="str">
        <f>IF('Marcación Workera'!G2484="","",INT('Marcación Workera'!G2484))</f>
        <v/>
      </c>
      <c r="C2484" s="18" t="str">
        <f>IF('Marcación Workera'!B2484="","",UPPER(SUBSTITUTE('Marcación Workera'!B2484,".","")))</f>
        <v/>
      </c>
    </row>
    <row r="2485" spans="2:3" ht="15" customHeight="1" x14ac:dyDescent="0.3">
      <c r="B2485" s="17" t="str">
        <f>IF('Marcación Workera'!G2485="","",INT('Marcación Workera'!G2485))</f>
        <v/>
      </c>
      <c r="C2485" s="18" t="str">
        <f>IF('Marcación Workera'!B2485="","",UPPER(SUBSTITUTE('Marcación Workera'!B2485,".","")))</f>
        <v/>
      </c>
    </row>
    <row r="2486" spans="2:3" ht="15" customHeight="1" x14ac:dyDescent="0.3">
      <c r="B2486" s="17" t="str">
        <f>IF('Marcación Workera'!G2486="","",INT('Marcación Workera'!G2486))</f>
        <v/>
      </c>
      <c r="C2486" s="18" t="str">
        <f>IF('Marcación Workera'!B2486="","",UPPER(SUBSTITUTE('Marcación Workera'!B2486,".","")))</f>
        <v/>
      </c>
    </row>
    <row r="2487" spans="2:3" ht="15" customHeight="1" x14ac:dyDescent="0.3">
      <c r="B2487" s="17" t="str">
        <f>IF('Marcación Workera'!G2487="","",INT('Marcación Workera'!G2487))</f>
        <v/>
      </c>
      <c r="C2487" s="18" t="str">
        <f>IF('Marcación Workera'!B2487="","",UPPER(SUBSTITUTE('Marcación Workera'!B2487,".","")))</f>
        <v/>
      </c>
    </row>
    <row r="2488" spans="2:3" ht="15" customHeight="1" x14ac:dyDescent="0.3">
      <c r="B2488" s="17" t="str">
        <f>IF('Marcación Workera'!G2488="","",INT('Marcación Workera'!G2488))</f>
        <v/>
      </c>
      <c r="C2488" s="18" t="str">
        <f>IF('Marcación Workera'!B2488="","",UPPER(SUBSTITUTE('Marcación Workera'!B2488,".","")))</f>
        <v/>
      </c>
    </row>
    <row r="2489" spans="2:3" ht="15" customHeight="1" x14ac:dyDescent="0.3">
      <c r="B2489" s="17" t="str">
        <f>IF('Marcación Workera'!G2489="","",INT('Marcación Workera'!G2489))</f>
        <v/>
      </c>
      <c r="C2489" s="18" t="str">
        <f>IF('Marcación Workera'!B2489="","",UPPER(SUBSTITUTE('Marcación Workera'!B2489,".","")))</f>
        <v/>
      </c>
    </row>
    <row r="2490" spans="2:3" ht="15" customHeight="1" x14ac:dyDescent="0.3">
      <c r="B2490" s="17" t="str">
        <f>IF('Marcación Workera'!G2490="","",INT('Marcación Workera'!G2490))</f>
        <v/>
      </c>
      <c r="C2490" s="18" t="str">
        <f>IF('Marcación Workera'!B2490="","",UPPER(SUBSTITUTE('Marcación Workera'!B2490,".","")))</f>
        <v/>
      </c>
    </row>
    <row r="2491" spans="2:3" ht="15" customHeight="1" x14ac:dyDescent="0.3">
      <c r="B2491" s="17" t="str">
        <f>IF('Marcación Workera'!G2491="","",INT('Marcación Workera'!G2491))</f>
        <v/>
      </c>
      <c r="C2491" s="18" t="str">
        <f>IF('Marcación Workera'!B2491="","",UPPER(SUBSTITUTE('Marcación Workera'!B2491,".","")))</f>
        <v/>
      </c>
    </row>
    <row r="2492" spans="2:3" ht="15" customHeight="1" x14ac:dyDescent="0.3">
      <c r="B2492" s="17" t="str">
        <f>IF('Marcación Workera'!G2492="","",INT('Marcación Workera'!G2492))</f>
        <v/>
      </c>
      <c r="C2492" s="18" t="str">
        <f>IF('Marcación Workera'!B2492="","",UPPER(SUBSTITUTE('Marcación Workera'!B2492,".","")))</f>
        <v/>
      </c>
    </row>
    <row r="2493" spans="2:3" ht="15" customHeight="1" x14ac:dyDescent="0.3">
      <c r="B2493" s="17" t="str">
        <f>IF('Marcación Workera'!G2493="","",INT('Marcación Workera'!G2493))</f>
        <v/>
      </c>
      <c r="C2493" s="18" t="str">
        <f>IF('Marcación Workera'!B2493="","",UPPER(SUBSTITUTE('Marcación Workera'!B2493,".","")))</f>
        <v/>
      </c>
    </row>
    <row r="2494" spans="2:3" ht="15" customHeight="1" x14ac:dyDescent="0.3">
      <c r="B2494" s="17" t="str">
        <f>IF('Marcación Workera'!G2494="","",INT('Marcación Workera'!G2494))</f>
        <v/>
      </c>
      <c r="C2494" s="18" t="str">
        <f>IF('Marcación Workera'!B2494="","",UPPER(SUBSTITUTE('Marcación Workera'!B2494,".","")))</f>
        <v/>
      </c>
    </row>
    <row r="2495" spans="2:3" ht="15" customHeight="1" x14ac:dyDescent="0.3">
      <c r="B2495" s="17" t="str">
        <f>IF('Marcación Workera'!G2495="","",INT('Marcación Workera'!G2495))</f>
        <v/>
      </c>
      <c r="C2495" s="18" t="str">
        <f>IF('Marcación Workera'!B2495="","",UPPER(SUBSTITUTE('Marcación Workera'!B2495,".","")))</f>
        <v/>
      </c>
    </row>
    <row r="2496" spans="2:3" ht="15" customHeight="1" x14ac:dyDescent="0.3">
      <c r="B2496" s="17" t="str">
        <f>IF('Marcación Workera'!G2496="","",INT('Marcación Workera'!G2496))</f>
        <v/>
      </c>
      <c r="C2496" s="18" t="str">
        <f>IF('Marcación Workera'!B2496="","",UPPER(SUBSTITUTE('Marcación Workera'!B2496,".","")))</f>
        <v/>
      </c>
    </row>
    <row r="2497" spans="2:3" ht="15" customHeight="1" x14ac:dyDescent="0.3">
      <c r="B2497" s="17" t="str">
        <f>IF('Marcación Workera'!G2497="","",INT('Marcación Workera'!G2497))</f>
        <v/>
      </c>
      <c r="C2497" s="18" t="str">
        <f>IF('Marcación Workera'!B2497="","",UPPER(SUBSTITUTE('Marcación Workera'!B2497,".","")))</f>
        <v/>
      </c>
    </row>
    <row r="2498" spans="2:3" ht="15" customHeight="1" x14ac:dyDescent="0.3">
      <c r="B2498" s="17" t="str">
        <f>IF('Marcación Workera'!G2498="","",INT('Marcación Workera'!G2498))</f>
        <v/>
      </c>
      <c r="C2498" s="18" t="str">
        <f>IF('Marcación Workera'!B2498="","",UPPER(SUBSTITUTE('Marcación Workera'!B2498,".","")))</f>
        <v/>
      </c>
    </row>
    <row r="2499" spans="2:3" ht="15" customHeight="1" x14ac:dyDescent="0.3">
      <c r="B2499" s="17" t="str">
        <f>IF('Marcación Workera'!G2499="","",INT('Marcación Workera'!G2499))</f>
        <v/>
      </c>
      <c r="C2499" s="18" t="str">
        <f>IF('Marcación Workera'!B2499="","",UPPER(SUBSTITUTE('Marcación Workera'!B2499,".","")))</f>
        <v/>
      </c>
    </row>
    <row r="2500" spans="2:3" ht="15" customHeight="1" x14ac:dyDescent="0.3">
      <c r="B2500" s="17" t="str">
        <f>IF('Marcación Workera'!G2500="","",INT('Marcación Workera'!G2500))</f>
        <v/>
      </c>
      <c r="C2500" s="18" t="str">
        <f>IF('Marcación Workera'!B2500="","",UPPER(SUBSTITUTE('Marcación Workera'!B2500,".","")))</f>
        <v/>
      </c>
    </row>
    <row r="2501" spans="2:3" ht="15" customHeight="1" x14ac:dyDescent="0.3">
      <c r="B2501" s="17" t="str">
        <f>IF('Marcación Workera'!G2501="","",INT('Marcación Workera'!G2501))</f>
        <v/>
      </c>
      <c r="C2501" s="18" t="str">
        <f>IF('Marcación Workera'!B2501="","",UPPER(SUBSTITUTE('Marcación Workera'!B2501,".","")))</f>
        <v/>
      </c>
    </row>
    <row r="2502" spans="2:3" ht="15" customHeight="1" x14ac:dyDescent="0.3">
      <c r="B2502" s="17" t="str">
        <f>IF('Marcación Workera'!G2502="","",INT('Marcación Workera'!G2502))</f>
        <v/>
      </c>
      <c r="C2502" s="18" t="str">
        <f>IF('Marcación Workera'!B2502="","",UPPER(SUBSTITUTE('Marcación Workera'!B2502,".","")))</f>
        <v/>
      </c>
    </row>
    <row r="2503" spans="2:3" ht="15" customHeight="1" x14ac:dyDescent="0.3">
      <c r="B2503" s="17" t="str">
        <f>IF('Marcación Workera'!G2503="","",INT('Marcación Workera'!G2503))</f>
        <v/>
      </c>
      <c r="C2503" s="18" t="str">
        <f>IF('Marcación Workera'!B2503="","",UPPER(SUBSTITUTE('Marcación Workera'!B2503,".","")))</f>
        <v/>
      </c>
    </row>
    <row r="2504" spans="2:3" ht="15" customHeight="1" x14ac:dyDescent="0.3">
      <c r="B2504" s="17" t="str">
        <f>IF('Marcación Workera'!G2504="","",INT('Marcación Workera'!G2504))</f>
        <v/>
      </c>
      <c r="C2504" s="18" t="str">
        <f>IF('Marcación Workera'!B2504="","",UPPER(SUBSTITUTE('Marcación Workera'!B2504,".","")))</f>
        <v/>
      </c>
    </row>
    <row r="2505" spans="2:3" ht="15" customHeight="1" x14ac:dyDescent="0.3">
      <c r="B2505" s="17" t="str">
        <f>IF('Marcación Workera'!G2505="","",INT('Marcación Workera'!G2505))</f>
        <v/>
      </c>
      <c r="C2505" s="18" t="str">
        <f>IF('Marcación Workera'!B2505="","",UPPER(SUBSTITUTE('Marcación Workera'!B2505,".","")))</f>
        <v/>
      </c>
    </row>
    <row r="2506" spans="2:3" ht="15" customHeight="1" x14ac:dyDescent="0.3">
      <c r="B2506" s="17" t="str">
        <f>IF('Marcación Workera'!G2506="","",INT('Marcación Workera'!G2506))</f>
        <v/>
      </c>
      <c r="C2506" s="18" t="str">
        <f>IF('Marcación Workera'!B2506="","",UPPER(SUBSTITUTE('Marcación Workera'!B2506,".","")))</f>
        <v/>
      </c>
    </row>
    <row r="2507" spans="2:3" ht="15" customHeight="1" x14ac:dyDescent="0.3">
      <c r="B2507" s="17" t="str">
        <f>IF('Marcación Workera'!G2507="","",INT('Marcación Workera'!G2507))</f>
        <v/>
      </c>
      <c r="C2507" s="18" t="str">
        <f>IF('Marcación Workera'!B2507="","",UPPER(SUBSTITUTE('Marcación Workera'!B2507,".","")))</f>
        <v/>
      </c>
    </row>
    <row r="2508" spans="2:3" ht="15" customHeight="1" x14ac:dyDescent="0.3">
      <c r="B2508" s="17" t="str">
        <f>IF('Marcación Workera'!G2508="","",INT('Marcación Workera'!G2508))</f>
        <v/>
      </c>
      <c r="C2508" s="18" t="str">
        <f>IF('Marcación Workera'!B2508="","",UPPER(SUBSTITUTE('Marcación Workera'!B2508,".","")))</f>
        <v/>
      </c>
    </row>
    <row r="2509" spans="2:3" ht="15" customHeight="1" x14ac:dyDescent="0.3">
      <c r="B2509" s="17" t="str">
        <f>IF('Marcación Workera'!G2509="","",INT('Marcación Workera'!G2509))</f>
        <v/>
      </c>
      <c r="C2509" s="18" t="str">
        <f>IF('Marcación Workera'!B2509="","",UPPER(SUBSTITUTE('Marcación Workera'!B2509,".","")))</f>
        <v/>
      </c>
    </row>
    <row r="2510" spans="2:3" ht="15" customHeight="1" x14ac:dyDescent="0.3">
      <c r="B2510" s="17" t="str">
        <f>IF('Marcación Workera'!G2510="","",INT('Marcación Workera'!G2510))</f>
        <v/>
      </c>
      <c r="C2510" s="18" t="str">
        <f>IF('Marcación Workera'!B2510="","",UPPER(SUBSTITUTE('Marcación Workera'!B2510,".","")))</f>
        <v/>
      </c>
    </row>
    <row r="2511" spans="2:3" ht="15" customHeight="1" x14ac:dyDescent="0.3">
      <c r="B2511" s="17" t="str">
        <f>IF('Marcación Workera'!G2511="","",INT('Marcación Workera'!G2511))</f>
        <v/>
      </c>
      <c r="C2511" s="18" t="str">
        <f>IF('Marcación Workera'!B2511="","",UPPER(SUBSTITUTE('Marcación Workera'!B2511,".","")))</f>
        <v/>
      </c>
    </row>
    <row r="2512" spans="2:3" ht="15" customHeight="1" x14ac:dyDescent="0.3">
      <c r="B2512" s="17" t="str">
        <f>IF('Marcación Workera'!G2512="","",INT('Marcación Workera'!G2512))</f>
        <v/>
      </c>
      <c r="C2512" s="18" t="str">
        <f>IF('Marcación Workera'!B2512="","",UPPER(SUBSTITUTE('Marcación Workera'!B2512,".","")))</f>
        <v/>
      </c>
    </row>
    <row r="2513" spans="2:3" ht="15" customHeight="1" x14ac:dyDescent="0.3">
      <c r="B2513" s="17" t="str">
        <f>IF('Marcación Workera'!G2513="","",INT('Marcación Workera'!G2513))</f>
        <v/>
      </c>
      <c r="C2513" s="18" t="str">
        <f>IF('Marcación Workera'!B2513="","",UPPER(SUBSTITUTE('Marcación Workera'!B2513,".","")))</f>
        <v/>
      </c>
    </row>
    <row r="2514" spans="2:3" ht="15" customHeight="1" x14ac:dyDescent="0.3">
      <c r="B2514" s="17" t="str">
        <f>IF('Marcación Workera'!G2514="","",INT('Marcación Workera'!G2514))</f>
        <v/>
      </c>
      <c r="C2514" s="18" t="str">
        <f>IF('Marcación Workera'!B2514="","",UPPER(SUBSTITUTE('Marcación Workera'!B2514,".","")))</f>
        <v/>
      </c>
    </row>
    <row r="2515" spans="2:3" ht="15" customHeight="1" x14ac:dyDescent="0.3">
      <c r="B2515" s="17" t="str">
        <f>IF('Marcación Workera'!G2515="","",INT('Marcación Workera'!G2515))</f>
        <v/>
      </c>
      <c r="C2515" s="18" t="str">
        <f>IF('Marcación Workera'!B2515="","",UPPER(SUBSTITUTE('Marcación Workera'!B2515,".","")))</f>
        <v/>
      </c>
    </row>
    <row r="2516" spans="2:3" ht="15" customHeight="1" x14ac:dyDescent="0.3">
      <c r="B2516" s="17" t="str">
        <f>IF('Marcación Workera'!G2516="","",INT('Marcación Workera'!G2516))</f>
        <v/>
      </c>
      <c r="C2516" s="18" t="str">
        <f>IF('Marcación Workera'!B2516="","",UPPER(SUBSTITUTE('Marcación Workera'!B2516,".","")))</f>
        <v/>
      </c>
    </row>
    <row r="2517" spans="2:3" ht="15" customHeight="1" x14ac:dyDescent="0.3">
      <c r="B2517" s="17" t="str">
        <f>IF('Marcación Workera'!G2517="","",INT('Marcación Workera'!G2517))</f>
        <v/>
      </c>
      <c r="C2517" s="18" t="str">
        <f>IF('Marcación Workera'!B2517="","",UPPER(SUBSTITUTE('Marcación Workera'!B2517,".","")))</f>
        <v/>
      </c>
    </row>
    <row r="2518" spans="2:3" ht="15" customHeight="1" x14ac:dyDescent="0.3">
      <c r="B2518" s="17" t="str">
        <f>IF('Marcación Workera'!G2518="","",INT('Marcación Workera'!G2518))</f>
        <v/>
      </c>
      <c r="C2518" s="18" t="str">
        <f>IF('Marcación Workera'!B2518="","",UPPER(SUBSTITUTE('Marcación Workera'!B2518,".","")))</f>
        <v/>
      </c>
    </row>
    <row r="2519" spans="2:3" ht="15" customHeight="1" x14ac:dyDescent="0.3">
      <c r="B2519" s="17" t="str">
        <f>IF('Marcación Workera'!G2519="","",INT('Marcación Workera'!G2519))</f>
        <v/>
      </c>
      <c r="C2519" s="18" t="str">
        <f>IF('Marcación Workera'!B2519="","",UPPER(SUBSTITUTE('Marcación Workera'!B2519,".","")))</f>
        <v/>
      </c>
    </row>
    <row r="2520" spans="2:3" ht="15" customHeight="1" x14ac:dyDescent="0.3">
      <c r="B2520" s="17" t="str">
        <f>IF('Marcación Workera'!G2520="","",INT('Marcación Workera'!G2520))</f>
        <v/>
      </c>
      <c r="C2520" s="18" t="str">
        <f>IF('Marcación Workera'!B2520="","",UPPER(SUBSTITUTE('Marcación Workera'!B2520,".","")))</f>
        <v/>
      </c>
    </row>
    <row r="2521" spans="2:3" ht="15" customHeight="1" x14ac:dyDescent="0.3">
      <c r="B2521" s="17" t="str">
        <f>IF('Marcación Workera'!G2521="","",INT('Marcación Workera'!G2521))</f>
        <v/>
      </c>
      <c r="C2521" s="18" t="str">
        <f>IF('Marcación Workera'!B2521="","",UPPER(SUBSTITUTE('Marcación Workera'!B2521,".","")))</f>
        <v/>
      </c>
    </row>
    <row r="2522" spans="2:3" ht="15" customHeight="1" x14ac:dyDescent="0.3">
      <c r="B2522" s="17" t="str">
        <f>IF('Marcación Workera'!G2522="","",INT('Marcación Workera'!G2522))</f>
        <v/>
      </c>
      <c r="C2522" s="18" t="str">
        <f>IF('Marcación Workera'!B2522="","",UPPER(SUBSTITUTE('Marcación Workera'!B2522,".","")))</f>
        <v/>
      </c>
    </row>
    <row r="2523" spans="2:3" ht="15" customHeight="1" x14ac:dyDescent="0.3">
      <c r="B2523" s="17" t="str">
        <f>IF('Marcación Workera'!G2523="","",INT('Marcación Workera'!G2523))</f>
        <v/>
      </c>
      <c r="C2523" s="18" t="str">
        <f>IF('Marcación Workera'!B2523="","",UPPER(SUBSTITUTE('Marcación Workera'!B2523,".","")))</f>
        <v/>
      </c>
    </row>
    <row r="2524" spans="2:3" ht="15" customHeight="1" x14ac:dyDescent="0.3">
      <c r="B2524" s="17" t="str">
        <f>IF('Marcación Workera'!G2524="","",INT('Marcación Workera'!G2524))</f>
        <v/>
      </c>
      <c r="C2524" s="18" t="str">
        <f>IF('Marcación Workera'!B2524="","",UPPER(SUBSTITUTE('Marcación Workera'!B2524,".","")))</f>
        <v/>
      </c>
    </row>
    <row r="2525" spans="2:3" ht="15" customHeight="1" x14ac:dyDescent="0.3">
      <c r="B2525" s="17" t="str">
        <f>IF('Marcación Workera'!G2525="","",INT('Marcación Workera'!G2525))</f>
        <v/>
      </c>
      <c r="C2525" s="18" t="str">
        <f>IF('Marcación Workera'!B2525="","",UPPER(SUBSTITUTE('Marcación Workera'!B2525,".","")))</f>
        <v/>
      </c>
    </row>
    <row r="2526" spans="2:3" ht="15" customHeight="1" x14ac:dyDescent="0.3">
      <c r="B2526" s="17" t="str">
        <f>IF('Marcación Workera'!G2526="","",INT('Marcación Workera'!G2526))</f>
        <v/>
      </c>
      <c r="C2526" s="18" t="str">
        <f>IF('Marcación Workera'!B2526="","",UPPER(SUBSTITUTE('Marcación Workera'!B2526,".","")))</f>
        <v/>
      </c>
    </row>
    <row r="2527" spans="2:3" ht="15" customHeight="1" x14ac:dyDescent="0.3">
      <c r="B2527" s="17" t="str">
        <f>IF('Marcación Workera'!G2527="","",INT('Marcación Workera'!G2527))</f>
        <v/>
      </c>
      <c r="C2527" s="18" t="str">
        <f>IF('Marcación Workera'!B2527="","",UPPER(SUBSTITUTE('Marcación Workera'!B2527,".","")))</f>
        <v/>
      </c>
    </row>
    <row r="2528" spans="2:3" ht="15" customHeight="1" x14ac:dyDescent="0.3">
      <c r="B2528" s="17" t="str">
        <f>IF('Marcación Workera'!G2528="","",INT('Marcación Workera'!G2528))</f>
        <v/>
      </c>
      <c r="C2528" s="18" t="str">
        <f>IF('Marcación Workera'!B2528="","",UPPER(SUBSTITUTE('Marcación Workera'!B2528,".","")))</f>
        <v/>
      </c>
    </row>
    <row r="2529" spans="2:3" ht="15" customHeight="1" x14ac:dyDescent="0.3">
      <c r="B2529" s="17" t="str">
        <f>IF('Marcación Workera'!G2529="","",INT('Marcación Workera'!G2529))</f>
        <v/>
      </c>
      <c r="C2529" s="18" t="str">
        <f>IF('Marcación Workera'!B2529="","",UPPER(SUBSTITUTE('Marcación Workera'!B2529,".","")))</f>
        <v/>
      </c>
    </row>
    <row r="2530" spans="2:3" ht="15" customHeight="1" x14ac:dyDescent="0.3">
      <c r="B2530" s="17" t="str">
        <f>IF('Marcación Workera'!G2530="","",INT('Marcación Workera'!G2530))</f>
        <v/>
      </c>
      <c r="C2530" s="18" t="str">
        <f>IF('Marcación Workera'!B2530="","",UPPER(SUBSTITUTE('Marcación Workera'!B2530,".","")))</f>
        <v/>
      </c>
    </row>
    <row r="2531" spans="2:3" ht="15" customHeight="1" x14ac:dyDescent="0.3">
      <c r="B2531" s="17" t="str">
        <f>IF('Marcación Workera'!G2531="","",INT('Marcación Workera'!G2531))</f>
        <v/>
      </c>
      <c r="C2531" s="18" t="str">
        <f>IF('Marcación Workera'!B2531="","",UPPER(SUBSTITUTE('Marcación Workera'!B2531,".","")))</f>
        <v/>
      </c>
    </row>
    <row r="2532" spans="2:3" ht="15" customHeight="1" x14ac:dyDescent="0.3">
      <c r="B2532" s="17" t="str">
        <f>IF('Marcación Workera'!G2532="","",INT('Marcación Workera'!G2532))</f>
        <v/>
      </c>
      <c r="C2532" s="18" t="str">
        <f>IF('Marcación Workera'!B2532="","",UPPER(SUBSTITUTE('Marcación Workera'!B2532,".","")))</f>
        <v/>
      </c>
    </row>
    <row r="2533" spans="2:3" ht="15" customHeight="1" x14ac:dyDescent="0.3">
      <c r="B2533" s="17" t="str">
        <f>IF('Marcación Workera'!G2533="","",INT('Marcación Workera'!G2533))</f>
        <v/>
      </c>
      <c r="C2533" s="18" t="str">
        <f>IF('Marcación Workera'!B2533="","",UPPER(SUBSTITUTE('Marcación Workera'!B2533,".","")))</f>
        <v/>
      </c>
    </row>
    <row r="2534" spans="2:3" ht="15" customHeight="1" x14ac:dyDescent="0.3">
      <c r="B2534" s="17" t="str">
        <f>IF('Marcación Workera'!G2534="","",INT('Marcación Workera'!G2534))</f>
        <v/>
      </c>
      <c r="C2534" s="18" t="str">
        <f>IF('Marcación Workera'!B2534="","",UPPER(SUBSTITUTE('Marcación Workera'!B2534,".","")))</f>
        <v/>
      </c>
    </row>
    <row r="2535" spans="2:3" ht="15" customHeight="1" x14ac:dyDescent="0.3">
      <c r="B2535" s="17" t="str">
        <f>IF('Marcación Workera'!G2535="","",INT('Marcación Workera'!G2535))</f>
        <v/>
      </c>
      <c r="C2535" s="18" t="str">
        <f>IF('Marcación Workera'!B2535="","",UPPER(SUBSTITUTE('Marcación Workera'!B2535,".","")))</f>
        <v/>
      </c>
    </row>
    <row r="2536" spans="2:3" ht="15" customHeight="1" x14ac:dyDescent="0.3">
      <c r="B2536" s="17" t="str">
        <f>IF('Marcación Workera'!G2536="","",INT('Marcación Workera'!G2536))</f>
        <v/>
      </c>
      <c r="C2536" s="18" t="str">
        <f>IF('Marcación Workera'!B2536="","",UPPER(SUBSTITUTE('Marcación Workera'!B2536,".","")))</f>
        <v/>
      </c>
    </row>
    <row r="2537" spans="2:3" ht="15" customHeight="1" x14ac:dyDescent="0.3">
      <c r="B2537" s="17" t="str">
        <f>IF('Marcación Workera'!G2537="","",INT('Marcación Workera'!G2537))</f>
        <v/>
      </c>
      <c r="C2537" s="18" t="str">
        <f>IF('Marcación Workera'!B2537="","",UPPER(SUBSTITUTE('Marcación Workera'!B2537,".","")))</f>
        <v/>
      </c>
    </row>
    <row r="2538" spans="2:3" ht="15" customHeight="1" x14ac:dyDescent="0.3">
      <c r="B2538" s="17" t="str">
        <f>IF('Marcación Workera'!G2538="","",INT('Marcación Workera'!G2538))</f>
        <v/>
      </c>
      <c r="C2538" s="18" t="str">
        <f>IF('Marcación Workera'!B2538="","",UPPER(SUBSTITUTE('Marcación Workera'!B2538,".","")))</f>
        <v/>
      </c>
    </row>
    <row r="2539" spans="2:3" ht="15" customHeight="1" x14ac:dyDescent="0.3">
      <c r="B2539" s="17" t="str">
        <f>IF('Marcación Workera'!G2539="","",INT('Marcación Workera'!G2539))</f>
        <v/>
      </c>
      <c r="C2539" s="18" t="str">
        <f>IF('Marcación Workera'!B2539="","",UPPER(SUBSTITUTE('Marcación Workera'!B2539,".","")))</f>
        <v/>
      </c>
    </row>
    <row r="2540" spans="2:3" ht="15" customHeight="1" x14ac:dyDescent="0.3">
      <c r="B2540" s="17" t="str">
        <f>IF('Marcación Workera'!G2540="","",INT('Marcación Workera'!G2540))</f>
        <v/>
      </c>
      <c r="C2540" s="18" t="str">
        <f>IF('Marcación Workera'!B2540="","",UPPER(SUBSTITUTE('Marcación Workera'!B2540,".","")))</f>
        <v/>
      </c>
    </row>
    <row r="2541" spans="2:3" ht="15" customHeight="1" x14ac:dyDescent="0.3">
      <c r="B2541" s="17" t="str">
        <f>IF('Marcación Workera'!G2541="","",INT('Marcación Workera'!G2541))</f>
        <v/>
      </c>
      <c r="C2541" s="18" t="str">
        <f>IF('Marcación Workera'!B2541="","",UPPER(SUBSTITUTE('Marcación Workera'!B2541,".","")))</f>
        <v/>
      </c>
    </row>
    <row r="2542" spans="2:3" ht="15" customHeight="1" x14ac:dyDescent="0.3">
      <c r="B2542" s="17" t="str">
        <f>IF('Marcación Workera'!G2542="","",INT('Marcación Workera'!G2542))</f>
        <v/>
      </c>
      <c r="C2542" s="18" t="str">
        <f>IF('Marcación Workera'!B2542="","",UPPER(SUBSTITUTE('Marcación Workera'!B2542,".","")))</f>
        <v/>
      </c>
    </row>
    <row r="2543" spans="2:3" ht="15" customHeight="1" x14ac:dyDescent="0.3">
      <c r="B2543" s="17" t="str">
        <f>IF('Marcación Workera'!G2543="","",INT('Marcación Workera'!G2543))</f>
        <v/>
      </c>
      <c r="C2543" s="18" t="str">
        <f>IF('Marcación Workera'!B2543="","",UPPER(SUBSTITUTE('Marcación Workera'!B2543,".","")))</f>
        <v/>
      </c>
    </row>
    <row r="2544" spans="2:3" ht="15" customHeight="1" x14ac:dyDescent="0.3">
      <c r="B2544" s="17" t="str">
        <f>IF('Marcación Workera'!G2544="","",INT('Marcación Workera'!G2544))</f>
        <v/>
      </c>
      <c r="C2544" s="18" t="str">
        <f>IF('Marcación Workera'!B2544="","",UPPER(SUBSTITUTE('Marcación Workera'!B2544,".","")))</f>
        <v/>
      </c>
    </row>
    <row r="2545" spans="2:3" ht="15" customHeight="1" x14ac:dyDescent="0.3">
      <c r="B2545" s="17" t="str">
        <f>IF('Marcación Workera'!G2545="","",INT('Marcación Workera'!G2545))</f>
        <v/>
      </c>
      <c r="C2545" s="18" t="str">
        <f>IF('Marcación Workera'!B2545="","",UPPER(SUBSTITUTE('Marcación Workera'!B2545,".","")))</f>
        <v/>
      </c>
    </row>
    <row r="2546" spans="2:3" ht="15" customHeight="1" x14ac:dyDescent="0.3">
      <c r="B2546" s="17" t="str">
        <f>IF('Marcación Workera'!G2546="","",INT('Marcación Workera'!G2546))</f>
        <v/>
      </c>
      <c r="C2546" s="18" t="str">
        <f>IF('Marcación Workera'!B2546="","",UPPER(SUBSTITUTE('Marcación Workera'!B2546,".","")))</f>
        <v/>
      </c>
    </row>
    <row r="2547" spans="2:3" ht="15" customHeight="1" x14ac:dyDescent="0.3">
      <c r="B2547" s="17" t="str">
        <f>IF('Marcación Workera'!G2547="","",INT('Marcación Workera'!G2547))</f>
        <v/>
      </c>
      <c r="C2547" s="18" t="str">
        <f>IF('Marcación Workera'!B2547="","",UPPER(SUBSTITUTE('Marcación Workera'!B2547,".","")))</f>
        <v/>
      </c>
    </row>
    <row r="2548" spans="2:3" ht="15" customHeight="1" x14ac:dyDescent="0.3">
      <c r="B2548" s="17" t="str">
        <f>IF('Marcación Workera'!G2548="","",INT('Marcación Workera'!G2548))</f>
        <v/>
      </c>
      <c r="C2548" s="18" t="str">
        <f>IF('Marcación Workera'!B2548="","",UPPER(SUBSTITUTE('Marcación Workera'!B2548,".","")))</f>
        <v/>
      </c>
    </row>
    <row r="2549" spans="2:3" ht="15" customHeight="1" x14ac:dyDescent="0.3">
      <c r="B2549" s="17" t="str">
        <f>IF('Marcación Workera'!G2549="","",INT('Marcación Workera'!G2549))</f>
        <v/>
      </c>
      <c r="C2549" s="18" t="str">
        <f>IF('Marcación Workera'!B2549="","",UPPER(SUBSTITUTE('Marcación Workera'!B2549,".","")))</f>
        <v/>
      </c>
    </row>
    <row r="2550" spans="2:3" ht="15" customHeight="1" x14ac:dyDescent="0.3">
      <c r="B2550" s="17" t="str">
        <f>IF('Marcación Workera'!G2550="","",INT('Marcación Workera'!G2550))</f>
        <v/>
      </c>
      <c r="C2550" s="18" t="str">
        <f>IF('Marcación Workera'!B2550="","",UPPER(SUBSTITUTE('Marcación Workera'!B2550,".","")))</f>
        <v/>
      </c>
    </row>
    <row r="2551" spans="2:3" ht="15" customHeight="1" x14ac:dyDescent="0.3">
      <c r="B2551" s="17" t="str">
        <f>IF('Marcación Workera'!G2551="","",INT('Marcación Workera'!G2551))</f>
        <v/>
      </c>
      <c r="C2551" s="18" t="str">
        <f>IF('Marcación Workera'!B2551="","",UPPER(SUBSTITUTE('Marcación Workera'!B2551,".","")))</f>
        <v/>
      </c>
    </row>
    <row r="2552" spans="2:3" ht="15" customHeight="1" x14ac:dyDescent="0.3">
      <c r="B2552" s="17" t="str">
        <f>IF('Marcación Workera'!G2552="","",INT('Marcación Workera'!G2552))</f>
        <v/>
      </c>
      <c r="C2552" s="18" t="str">
        <f>IF('Marcación Workera'!B2552="","",UPPER(SUBSTITUTE('Marcación Workera'!B2552,".","")))</f>
        <v/>
      </c>
    </row>
    <row r="2553" spans="2:3" ht="15" customHeight="1" x14ac:dyDescent="0.3">
      <c r="B2553" s="17" t="str">
        <f>IF('Marcación Workera'!G2553="","",INT('Marcación Workera'!G2553))</f>
        <v/>
      </c>
      <c r="C2553" s="18" t="str">
        <f>IF('Marcación Workera'!B2553="","",UPPER(SUBSTITUTE('Marcación Workera'!B2553,".","")))</f>
        <v/>
      </c>
    </row>
    <row r="2554" spans="2:3" ht="15" customHeight="1" x14ac:dyDescent="0.3">
      <c r="B2554" s="17" t="str">
        <f>IF('Marcación Workera'!G2554="","",INT('Marcación Workera'!G2554))</f>
        <v/>
      </c>
      <c r="C2554" s="18" t="str">
        <f>IF('Marcación Workera'!B2554="","",UPPER(SUBSTITUTE('Marcación Workera'!B2554,".","")))</f>
        <v/>
      </c>
    </row>
    <row r="2555" spans="2:3" ht="15" customHeight="1" x14ac:dyDescent="0.3">
      <c r="B2555" s="17" t="str">
        <f>IF('Marcación Workera'!G2555="","",INT('Marcación Workera'!G2555))</f>
        <v/>
      </c>
      <c r="C2555" s="18" t="str">
        <f>IF('Marcación Workera'!B2555="","",UPPER(SUBSTITUTE('Marcación Workera'!B2555,".","")))</f>
        <v/>
      </c>
    </row>
    <row r="2556" spans="2:3" ht="15" customHeight="1" x14ac:dyDescent="0.3">
      <c r="B2556" s="17" t="str">
        <f>IF('Marcación Workera'!G2556="","",INT('Marcación Workera'!G2556))</f>
        <v/>
      </c>
      <c r="C2556" s="18" t="str">
        <f>IF('Marcación Workera'!B2556="","",UPPER(SUBSTITUTE('Marcación Workera'!B2556,".","")))</f>
        <v/>
      </c>
    </row>
    <row r="2557" spans="2:3" ht="15" customHeight="1" x14ac:dyDescent="0.3">
      <c r="B2557" s="17" t="str">
        <f>IF('Marcación Workera'!G2557="","",INT('Marcación Workera'!G2557))</f>
        <v/>
      </c>
      <c r="C2557" s="18" t="str">
        <f>IF('Marcación Workera'!B2557="","",UPPER(SUBSTITUTE('Marcación Workera'!B2557,".","")))</f>
        <v/>
      </c>
    </row>
    <row r="2558" spans="2:3" ht="15" customHeight="1" x14ac:dyDescent="0.3">
      <c r="B2558" s="17" t="str">
        <f>IF('Marcación Workera'!G2558="","",INT('Marcación Workera'!G2558))</f>
        <v/>
      </c>
      <c r="C2558" s="18" t="str">
        <f>IF('Marcación Workera'!B2558="","",UPPER(SUBSTITUTE('Marcación Workera'!B2558,".","")))</f>
        <v/>
      </c>
    </row>
    <row r="2559" spans="2:3" ht="15" customHeight="1" x14ac:dyDescent="0.3">
      <c r="B2559" s="17" t="str">
        <f>IF('Marcación Workera'!G2559="","",INT('Marcación Workera'!G2559))</f>
        <v/>
      </c>
      <c r="C2559" s="18" t="str">
        <f>IF('Marcación Workera'!B2559="","",UPPER(SUBSTITUTE('Marcación Workera'!B2559,".","")))</f>
        <v/>
      </c>
    </row>
    <row r="2560" spans="2:3" ht="15" customHeight="1" x14ac:dyDescent="0.3">
      <c r="B2560" s="17" t="str">
        <f>IF('Marcación Workera'!G2560="","",INT('Marcación Workera'!G2560))</f>
        <v/>
      </c>
      <c r="C2560" s="18" t="str">
        <f>IF('Marcación Workera'!B2560="","",UPPER(SUBSTITUTE('Marcación Workera'!B2560,".","")))</f>
        <v/>
      </c>
    </row>
    <row r="2561" spans="2:3" ht="15" customHeight="1" x14ac:dyDescent="0.3">
      <c r="B2561" s="17" t="str">
        <f>IF('Marcación Workera'!G2561="","",INT('Marcación Workera'!G2561))</f>
        <v/>
      </c>
      <c r="C2561" s="18" t="str">
        <f>IF('Marcación Workera'!B2561="","",UPPER(SUBSTITUTE('Marcación Workera'!B2561,".","")))</f>
        <v/>
      </c>
    </row>
    <row r="2562" spans="2:3" ht="15" customHeight="1" x14ac:dyDescent="0.3">
      <c r="B2562" s="17" t="str">
        <f>IF('Marcación Workera'!G2562="","",INT('Marcación Workera'!G2562))</f>
        <v/>
      </c>
      <c r="C2562" s="18" t="str">
        <f>IF('Marcación Workera'!B2562="","",UPPER(SUBSTITUTE('Marcación Workera'!B2562,".","")))</f>
        <v/>
      </c>
    </row>
    <row r="2563" spans="2:3" ht="15" customHeight="1" x14ac:dyDescent="0.3">
      <c r="B2563" s="17" t="str">
        <f>IF('Marcación Workera'!G2563="","",INT('Marcación Workera'!G2563))</f>
        <v/>
      </c>
      <c r="C2563" s="18" t="str">
        <f>IF('Marcación Workera'!B2563="","",UPPER(SUBSTITUTE('Marcación Workera'!B2563,".","")))</f>
        <v/>
      </c>
    </row>
    <row r="2564" spans="2:3" ht="15" customHeight="1" x14ac:dyDescent="0.3">
      <c r="B2564" s="17" t="str">
        <f>IF('Marcación Workera'!G2564="","",INT('Marcación Workera'!G2564))</f>
        <v/>
      </c>
      <c r="C2564" s="18" t="str">
        <f>IF('Marcación Workera'!B2564="","",UPPER(SUBSTITUTE('Marcación Workera'!B2564,".","")))</f>
        <v/>
      </c>
    </row>
    <row r="2565" spans="2:3" ht="15" customHeight="1" x14ac:dyDescent="0.3">
      <c r="B2565" s="17" t="str">
        <f>IF('Marcación Workera'!G2565="","",INT('Marcación Workera'!G2565))</f>
        <v/>
      </c>
      <c r="C2565" s="18" t="str">
        <f>IF('Marcación Workera'!B2565="","",UPPER(SUBSTITUTE('Marcación Workera'!B2565,".","")))</f>
        <v/>
      </c>
    </row>
    <row r="2566" spans="2:3" ht="15" customHeight="1" x14ac:dyDescent="0.3">
      <c r="B2566" s="17" t="str">
        <f>IF('Marcación Workera'!G2566="","",INT('Marcación Workera'!G2566))</f>
        <v/>
      </c>
      <c r="C2566" s="18" t="str">
        <f>IF('Marcación Workera'!B2566="","",UPPER(SUBSTITUTE('Marcación Workera'!B2566,".","")))</f>
        <v/>
      </c>
    </row>
    <row r="2567" spans="2:3" ht="15" customHeight="1" x14ac:dyDescent="0.3">
      <c r="B2567" s="17" t="str">
        <f>IF('Marcación Workera'!G2567="","",INT('Marcación Workera'!G2567))</f>
        <v/>
      </c>
      <c r="C2567" s="18" t="str">
        <f>IF('Marcación Workera'!B2567="","",UPPER(SUBSTITUTE('Marcación Workera'!B2567,".","")))</f>
        <v/>
      </c>
    </row>
    <row r="2568" spans="2:3" ht="15" customHeight="1" x14ac:dyDescent="0.3">
      <c r="B2568" s="17" t="str">
        <f>IF('Marcación Workera'!G2568="","",INT('Marcación Workera'!G2568))</f>
        <v/>
      </c>
      <c r="C2568" s="18" t="str">
        <f>IF('Marcación Workera'!B2568="","",UPPER(SUBSTITUTE('Marcación Workera'!B2568,".","")))</f>
        <v/>
      </c>
    </row>
    <row r="2569" spans="2:3" ht="15" customHeight="1" x14ac:dyDescent="0.3">
      <c r="B2569" s="17" t="str">
        <f>IF('Marcación Workera'!G2569="","",INT('Marcación Workera'!G2569))</f>
        <v/>
      </c>
      <c r="C2569" s="18" t="str">
        <f>IF('Marcación Workera'!B2569="","",UPPER(SUBSTITUTE('Marcación Workera'!B2569,".","")))</f>
        <v/>
      </c>
    </row>
    <row r="2570" spans="2:3" ht="15" customHeight="1" x14ac:dyDescent="0.3">
      <c r="B2570" s="17" t="str">
        <f>IF('Marcación Workera'!G2570="","",INT('Marcación Workera'!G2570))</f>
        <v/>
      </c>
      <c r="C2570" s="18" t="str">
        <f>IF('Marcación Workera'!B2570="","",UPPER(SUBSTITUTE('Marcación Workera'!B2570,".","")))</f>
        <v/>
      </c>
    </row>
    <row r="2571" spans="2:3" ht="15" customHeight="1" x14ac:dyDescent="0.3">
      <c r="B2571" s="17" t="str">
        <f>IF('Marcación Workera'!G2571="","",INT('Marcación Workera'!G2571))</f>
        <v/>
      </c>
      <c r="C2571" s="18" t="str">
        <f>IF('Marcación Workera'!B2571="","",UPPER(SUBSTITUTE('Marcación Workera'!B2571,".","")))</f>
        <v/>
      </c>
    </row>
    <row r="2572" spans="2:3" ht="15" customHeight="1" x14ac:dyDescent="0.3">
      <c r="B2572" s="17" t="str">
        <f>IF('Marcación Workera'!G2572="","",INT('Marcación Workera'!G2572))</f>
        <v/>
      </c>
      <c r="C2572" s="18" t="str">
        <f>IF('Marcación Workera'!B2572="","",UPPER(SUBSTITUTE('Marcación Workera'!B2572,".","")))</f>
        <v/>
      </c>
    </row>
    <row r="2573" spans="2:3" ht="15" customHeight="1" x14ac:dyDescent="0.3">
      <c r="B2573" s="17" t="str">
        <f>IF('Marcación Workera'!G2573="","",INT('Marcación Workera'!G2573))</f>
        <v/>
      </c>
      <c r="C2573" s="18" t="str">
        <f>IF('Marcación Workera'!B2573="","",UPPER(SUBSTITUTE('Marcación Workera'!B2573,".","")))</f>
        <v/>
      </c>
    </row>
    <row r="2574" spans="2:3" ht="15" customHeight="1" x14ac:dyDescent="0.3">
      <c r="B2574" s="17" t="str">
        <f>IF('Marcación Workera'!G2574="","",INT('Marcación Workera'!G2574))</f>
        <v/>
      </c>
      <c r="C2574" s="18" t="str">
        <f>IF('Marcación Workera'!B2574="","",UPPER(SUBSTITUTE('Marcación Workera'!B2574,".","")))</f>
        <v/>
      </c>
    </row>
    <row r="2575" spans="2:3" ht="15" customHeight="1" x14ac:dyDescent="0.3">
      <c r="B2575" s="17" t="str">
        <f>IF('Marcación Workera'!G2575="","",INT('Marcación Workera'!G2575))</f>
        <v/>
      </c>
      <c r="C2575" s="18" t="str">
        <f>IF('Marcación Workera'!B2575="","",UPPER(SUBSTITUTE('Marcación Workera'!B2575,".","")))</f>
        <v/>
      </c>
    </row>
    <row r="2576" spans="2:3" ht="15" customHeight="1" x14ac:dyDescent="0.3">
      <c r="B2576" s="17" t="str">
        <f>IF('Marcación Workera'!G2576="","",INT('Marcación Workera'!G2576))</f>
        <v/>
      </c>
      <c r="C2576" s="18" t="str">
        <f>IF('Marcación Workera'!B2576="","",UPPER(SUBSTITUTE('Marcación Workera'!B2576,".","")))</f>
        <v/>
      </c>
    </row>
    <row r="2577" spans="2:3" ht="15" customHeight="1" x14ac:dyDescent="0.3">
      <c r="B2577" s="17" t="str">
        <f>IF('Marcación Workera'!G2577="","",INT('Marcación Workera'!G2577))</f>
        <v/>
      </c>
      <c r="C2577" s="18" t="str">
        <f>IF('Marcación Workera'!B2577="","",UPPER(SUBSTITUTE('Marcación Workera'!B2577,".","")))</f>
        <v/>
      </c>
    </row>
    <row r="2578" spans="2:3" ht="15" customHeight="1" x14ac:dyDescent="0.3">
      <c r="B2578" s="17" t="str">
        <f>IF('Marcación Workera'!G2578="","",INT('Marcación Workera'!G2578))</f>
        <v/>
      </c>
      <c r="C2578" s="18" t="str">
        <f>IF('Marcación Workera'!B2578="","",UPPER(SUBSTITUTE('Marcación Workera'!B2578,".","")))</f>
        <v/>
      </c>
    </row>
    <row r="2579" spans="2:3" ht="15" customHeight="1" x14ac:dyDescent="0.3">
      <c r="B2579" s="17" t="str">
        <f>IF('Marcación Workera'!G2579="","",INT('Marcación Workera'!G2579))</f>
        <v/>
      </c>
      <c r="C2579" s="18" t="str">
        <f>IF('Marcación Workera'!B2579="","",UPPER(SUBSTITUTE('Marcación Workera'!B2579,".","")))</f>
        <v/>
      </c>
    </row>
    <row r="2580" spans="2:3" ht="15" customHeight="1" x14ac:dyDescent="0.3">
      <c r="B2580" s="17" t="str">
        <f>IF('Marcación Workera'!G2580="","",INT('Marcación Workera'!G2580))</f>
        <v/>
      </c>
      <c r="C2580" s="18" t="str">
        <f>IF('Marcación Workera'!B2580="","",UPPER(SUBSTITUTE('Marcación Workera'!B2580,".","")))</f>
        <v/>
      </c>
    </row>
    <row r="2581" spans="2:3" ht="15" customHeight="1" x14ac:dyDescent="0.3">
      <c r="B2581" s="17" t="str">
        <f>IF('Marcación Workera'!G2581="","",INT('Marcación Workera'!G2581))</f>
        <v/>
      </c>
      <c r="C2581" s="18" t="str">
        <f>IF('Marcación Workera'!B2581="","",UPPER(SUBSTITUTE('Marcación Workera'!B2581,".","")))</f>
        <v/>
      </c>
    </row>
    <row r="2582" spans="2:3" ht="15" customHeight="1" x14ac:dyDescent="0.3">
      <c r="B2582" s="17" t="str">
        <f>IF('Marcación Workera'!G2582="","",INT('Marcación Workera'!G2582))</f>
        <v/>
      </c>
      <c r="C2582" s="18" t="str">
        <f>IF('Marcación Workera'!B2582="","",UPPER(SUBSTITUTE('Marcación Workera'!B2582,".","")))</f>
        <v/>
      </c>
    </row>
    <row r="2583" spans="2:3" ht="15" customHeight="1" x14ac:dyDescent="0.3">
      <c r="B2583" s="17" t="str">
        <f>IF('Marcación Workera'!G2583="","",INT('Marcación Workera'!G2583))</f>
        <v/>
      </c>
      <c r="C2583" s="18" t="str">
        <f>IF('Marcación Workera'!B2583="","",UPPER(SUBSTITUTE('Marcación Workera'!B2583,".","")))</f>
        <v/>
      </c>
    </row>
    <row r="2584" spans="2:3" ht="15" customHeight="1" x14ac:dyDescent="0.3">
      <c r="B2584" s="17" t="str">
        <f>IF('Marcación Workera'!G2584="","",INT('Marcación Workera'!G2584))</f>
        <v/>
      </c>
      <c r="C2584" s="18" t="str">
        <f>IF('Marcación Workera'!B2584="","",UPPER(SUBSTITUTE('Marcación Workera'!B2584,".","")))</f>
        <v/>
      </c>
    </row>
    <row r="2585" spans="2:3" ht="15" customHeight="1" x14ac:dyDescent="0.3">
      <c r="B2585" s="17" t="str">
        <f>IF('Marcación Workera'!G2585="","",INT('Marcación Workera'!G2585))</f>
        <v/>
      </c>
      <c r="C2585" s="18" t="str">
        <f>IF('Marcación Workera'!B2585="","",UPPER(SUBSTITUTE('Marcación Workera'!B2585,".","")))</f>
        <v/>
      </c>
    </row>
    <row r="2586" spans="2:3" ht="15" customHeight="1" x14ac:dyDescent="0.3">
      <c r="B2586" s="17" t="str">
        <f>IF('Marcación Workera'!G2586="","",INT('Marcación Workera'!G2586))</f>
        <v/>
      </c>
      <c r="C2586" s="18" t="str">
        <f>IF('Marcación Workera'!B2586="","",UPPER(SUBSTITUTE('Marcación Workera'!B2586,".","")))</f>
        <v/>
      </c>
    </row>
    <row r="2587" spans="2:3" ht="15" customHeight="1" x14ac:dyDescent="0.3">
      <c r="B2587" s="17" t="str">
        <f>IF('Marcación Workera'!G2587="","",INT('Marcación Workera'!G2587))</f>
        <v/>
      </c>
      <c r="C2587" s="18" t="str">
        <f>IF('Marcación Workera'!B2587="","",UPPER(SUBSTITUTE('Marcación Workera'!B2587,".","")))</f>
        <v/>
      </c>
    </row>
    <row r="2588" spans="2:3" ht="15" customHeight="1" x14ac:dyDescent="0.3">
      <c r="B2588" s="17" t="str">
        <f>IF('Marcación Workera'!G2588="","",INT('Marcación Workera'!G2588))</f>
        <v/>
      </c>
      <c r="C2588" s="18" t="str">
        <f>IF('Marcación Workera'!B2588="","",UPPER(SUBSTITUTE('Marcación Workera'!B2588,".","")))</f>
        <v/>
      </c>
    </row>
    <row r="2589" spans="2:3" ht="15" customHeight="1" x14ac:dyDescent="0.3">
      <c r="B2589" s="17" t="str">
        <f>IF('Marcación Workera'!G2589="","",INT('Marcación Workera'!G2589))</f>
        <v/>
      </c>
      <c r="C2589" s="18" t="str">
        <f>IF('Marcación Workera'!B2589="","",UPPER(SUBSTITUTE('Marcación Workera'!B2589,".","")))</f>
        <v/>
      </c>
    </row>
    <row r="2590" spans="2:3" ht="15" customHeight="1" x14ac:dyDescent="0.3">
      <c r="B2590" s="17" t="str">
        <f>IF('Marcación Workera'!G2590="","",INT('Marcación Workera'!G2590))</f>
        <v/>
      </c>
      <c r="C2590" s="18" t="str">
        <f>IF('Marcación Workera'!B2590="","",UPPER(SUBSTITUTE('Marcación Workera'!B2590,".","")))</f>
        <v/>
      </c>
    </row>
    <row r="2591" spans="2:3" ht="15" customHeight="1" x14ac:dyDescent="0.3">
      <c r="B2591" s="17" t="str">
        <f>IF('Marcación Workera'!G2591="","",INT('Marcación Workera'!G2591))</f>
        <v/>
      </c>
      <c r="C2591" s="18" t="str">
        <f>IF('Marcación Workera'!B2591="","",UPPER(SUBSTITUTE('Marcación Workera'!B2591,".","")))</f>
        <v/>
      </c>
    </row>
    <row r="2592" spans="2:3" ht="15" customHeight="1" x14ac:dyDescent="0.3">
      <c r="B2592" s="17" t="str">
        <f>IF('Marcación Workera'!G2592="","",INT('Marcación Workera'!G2592))</f>
        <v/>
      </c>
      <c r="C2592" s="18" t="str">
        <f>IF('Marcación Workera'!B2592="","",UPPER(SUBSTITUTE('Marcación Workera'!B2592,".","")))</f>
        <v/>
      </c>
    </row>
    <row r="2593" spans="2:3" ht="15" customHeight="1" x14ac:dyDescent="0.3">
      <c r="B2593" s="17" t="str">
        <f>IF('Marcación Workera'!G2593="","",INT('Marcación Workera'!G2593))</f>
        <v/>
      </c>
      <c r="C2593" s="18" t="str">
        <f>IF('Marcación Workera'!B2593="","",UPPER(SUBSTITUTE('Marcación Workera'!B2593,".","")))</f>
        <v/>
      </c>
    </row>
    <row r="2594" spans="2:3" ht="15" customHeight="1" x14ac:dyDescent="0.3">
      <c r="B2594" s="17" t="str">
        <f>IF('Marcación Workera'!G2594="","",INT('Marcación Workera'!G2594))</f>
        <v/>
      </c>
      <c r="C2594" s="18" t="str">
        <f>IF('Marcación Workera'!B2594="","",UPPER(SUBSTITUTE('Marcación Workera'!B2594,".","")))</f>
        <v/>
      </c>
    </row>
    <row r="2595" spans="2:3" ht="15" customHeight="1" x14ac:dyDescent="0.3">
      <c r="B2595" s="17" t="str">
        <f>IF('Marcación Workera'!G2595="","",INT('Marcación Workera'!G2595))</f>
        <v/>
      </c>
      <c r="C2595" s="18" t="str">
        <f>IF('Marcación Workera'!B2595="","",UPPER(SUBSTITUTE('Marcación Workera'!B2595,".","")))</f>
        <v/>
      </c>
    </row>
    <row r="2596" spans="2:3" ht="15" customHeight="1" x14ac:dyDescent="0.3">
      <c r="B2596" s="17" t="str">
        <f>IF('Marcación Workera'!G2596="","",INT('Marcación Workera'!G2596))</f>
        <v/>
      </c>
      <c r="C2596" s="18" t="str">
        <f>IF('Marcación Workera'!B2596="","",UPPER(SUBSTITUTE('Marcación Workera'!B2596,".","")))</f>
        <v/>
      </c>
    </row>
    <row r="2597" spans="2:3" ht="15" customHeight="1" x14ac:dyDescent="0.3">
      <c r="B2597" s="17" t="str">
        <f>IF('Marcación Workera'!G2597="","",INT('Marcación Workera'!G2597))</f>
        <v/>
      </c>
      <c r="C2597" s="18" t="str">
        <f>IF('Marcación Workera'!B2597="","",UPPER(SUBSTITUTE('Marcación Workera'!B2597,".","")))</f>
        <v/>
      </c>
    </row>
    <row r="2598" spans="2:3" ht="15" customHeight="1" x14ac:dyDescent="0.3">
      <c r="B2598" s="17" t="str">
        <f>IF('Marcación Workera'!G2598="","",INT('Marcación Workera'!G2598))</f>
        <v/>
      </c>
      <c r="C2598" s="18" t="str">
        <f>IF('Marcación Workera'!B2598="","",UPPER(SUBSTITUTE('Marcación Workera'!B2598,".","")))</f>
        <v/>
      </c>
    </row>
    <row r="2599" spans="2:3" ht="15" customHeight="1" x14ac:dyDescent="0.3">
      <c r="B2599" s="17" t="str">
        <f>IF('Marcación Workera'!G2599="","",INT('Marcación Workera'!G2599))</f>
        <v/>
      </c>
      <c r="C2599" s="18" t="str">
        <f>IF('Marcación Workera'!B2599="","",UPPER(SUBSTITUTE('Marcación Workera'!B2599,".","")))</f>
        <v/>
      </c>
    </row>
    <row r="2600" spans="2:3" ht="15" customHeight="1" x14ac:dyDescent="0.3">
      <c r="B2600" s="17" t="str">
        <f>IF('Marcación Workera'!G2600="","",INT('Marcación Workera'!G2600))</f>
        <v/>
      </c>
      <c r="C2600" s="18" t="str">
        <f>IF('Marcación Workera'!B2600="","",UPPER(SUBSTITUTE('Marcación Workera'!B2600,".","")))</f>
        <v/>
      </c>
    </row>
    <row r="2601" spans="2:3" ht="15" customHeight="1" x14ac:dyDescent="0.3">
      <c r="B2601" s="17" t="str">
        <f>IF('Marcación Workera'!G2601="","",INT('Marcación Workera'!G2601))</f>
        <v/>
      </c>
      <c r="C2601" s="18" t="str">
        <f>IF('Marcación Workera'!B2601="","",UPPER(SUBSTITUTE('Marcación Workera'!B2601,".","")))</f>
        <v/>
      </c>
    </row>
    <row r="2602" spans="2:3" ht="15" customHeight="1" x14ac:dyDescent="0.3">
      <c r="B2602" s="17" t="str">
        <f>IF('Marcación Workera'!G2602="","",INT('Marcación Workera'!G2602))</f>
        <v/>
      </c>
      <c r="C2602" s="18" t="str">
        <f>IF('Marcación Workera'!B2602="","",UPPER(SUBSTITUTE('Marcación Workera'!B2602,".","")))</f>
        <v/>
      </c>
    </row>
    <row r="2603" spans="2:3" ht="15" customHeight="1" x14ac:dyDescent="0.3">
      <c r="B2603" s="17" t="str">
        <f>IF('Marcación Workera'!G2603="","",INT('Marcación Workera'!G2603))</f>
        <v/>
      </c>
      <c r="C2603" s="18" t="str">
        <f>IF('Marcación Workera'!B2603="","",UPPER(SUBSTITUTE('Marcación Workera'!B2603,".","")))</f>
        <v/>
      </c>
    </row>
    <row r="2604" spans="2:3" ht="15" customHeight="1" x14ac:dyDescent="0.3">
      <c r="B2604" s="17" t="str">
        <f>IF('Marcación Workera'!G2604="","",INT('Marcación Workera'!G2604))</f>
        <v/>
      </c>
      <c r="C2604" s="18" t="str">
        <f>IF('Marcación Workera'!B2604="","",UPPER(SUBSTITUTE('Marcación Workera'!B2604,".","")))</f>
        <v/>
      </c>
    </row>
    <row r="2605" spans="2:3" ht="15" customHeight="1" x14ac:dyDescent="0.3">
      <c r="B2605" s="17" t="str">
        <f>IF('Marcación Workera'!G2605="","",INT('Marcación Workera'!G2605))</f>
        <v/>
      </c>
      <c r="C2605" s="18" t="str">
        <f>IF('Marcación Workera'!B2605="","",UPPER(SUBSTITUTE('Marcación Workera'!B2605,".","")))</f>
        <v/>
      </c>
    </row>
    <row r="2606" spans="2:3" ht="15" customHeight="1" x14ac:dyDescent="0.3">
      <c r="B2606" s="17" t="str">
        <f>IF('Marcación Workera'!G2606="","",INT('Marcación Workera'!G2606))</f>
        <v/>
      </c>
      <c r="C2606" s="18" t="str">
        <f>IF('Marcación Workera'!B2606="","",UPPER(SUBSTITUTE('Marcación Workera'!B2606,".","")))</f>
        <v/>
      </c>
    </row>
    <row r="2607" spans="2:3" ht="15" customHeight="1" x14ac:dyDescent="0.3">
      <c r="B2607" s="17" t="str">
        <f>IF('Marcación Workera'!G2607="","",INT('Marcación Workera'!G2607))</f>
        <v/>
      </c>
      <c r="C2607" s="18" t="str">
        <f>IF('Marcación Workera'!B2607="","",UPPER(SUBSTITUTE('Marcación Workera'!B2607,".","")))</f>
        <v/>
      </c>
    </row>
    <row r="2608" spans="2:3" ht="15" customHeight="1" x14ac:dyDescent="0.3">
      <c r="B2608" s="17" t="str">
        <f>IF('Marcación Workera'!G2608="","",INT('Marcación Workera'!G2608))</f>
        <v/>
      </c>
      <c r="C2608" s="18" t="str">
        <f>IF('Marcación Workera'!B2608="","",UPPER(SUBSTITUTE('Marcación Workera'!B2608,".","")))</f>
        <v/>
      </c>
    </row>
    <row r="2609" spans="2:3" ht="15" customHeight="1" x14ac:dyDescent="0.3">
      <c r="B2609" s="17" t="str">
        <f>IF('Marcación Workera'!G2609="","",INT('Marcación Workera'!G2609))</f>
        <v/>
      </c>
      <c r="C2609" s="18" t="str">
        <f>IF('Marcación Workera'!B2609="","",UPPER(SUBSTITUTE('Marcación Workera'!B2609,".","")))</f>
        <v/>
      </c>
    </row>
    <row r="2610" spans="2:3" ht="15" customHeight="1" x14ac:dyDescent="0.3">
      <c r="B2610" s="17" t="str">
        <f>IF('Marcación Workera'!G2610="","",INT('Marcación Workera'!G2610))</f>
        <v/>
      </c>
      <c r="C2610" s="18" t="str">
        <f>IF('Marcación Workera'!B2610="","",UPPER(SUBSTITUTE('Marcación Workera'!B2610,".","")))</f>
        <v/>
      </c>
    </row>
    <row r="2611" spans="2:3" ht="15" customHeight="1" x14ac:dyDescent="0.3">
      <c r="B2611" s="17" t="str">
        <f>IF('Marcación Workera'!G2611="","",INT('Marcación Workera'!G2611))</f>
        <v/>
      </c>
      <c r="C2611" s="18" t="str">
        <f>IF('Marcación Workera'!B2611="","",UPPER(SUBSTITUTE('Marcación Workera'!B2611,".","")))</f>
        <v/>
      </c>
    </row>
    <row r="2612" spans="2:3" ht="15" customHeight="1" x14ac:dyDescent="0.3">
      <c r="B2612" s="17" t="str">
        <f>IF('Marcación Workera'!G2612="","",INT('Marcación Workera'!G2612))</f>
        <v/>
      </c>
      <c r="C2612" s="18" t="str">
        <f>IF('Marcación Workera'!B2612="","",UPPER(SUBSTITUTE('Marcación Workera'!B2612,".","")))</f>
        <v/>
      </c>
    </row>
    <row r="2613" spans="2:3" ht="15" customHeight="1" x14ac:dyDescent="0.3">
      <c r="B2613" s="17" t="str">
        <f>IF('Marcación Workera'!G2613="","",INT('Marcación Workera'!G2613))</f>
        <v/>
      </c>
      <c r="C2613" s="18" t="str">
        <f>IF('Marcación Workera'!B2613="","",UPPER(SUBSTITUTE('Marcación Workera'!B2613,".","")))</f>
        <v/>
      </c>
    </row>
    <row r="2614" spans="2:3" ht="15" customHeight="1" x14ac:dyDescent="0.3">
      <c r="B2614" s="17" t="str">
        <f>IF('Marcación Workera'!G2614="","",INT('Marcación Workera'!G2614))</f>
        <v/>
      </c>
      <c r="C2614" s="18" t="str">
        <f>IF('Marcación Workera'!B2614="","",UPPER(SUBSTITUTE('Marcación Workera'!B2614,".","")))</f>
        <v/>
      </c>
    </row>
    <row r="2615" spans="2:3" ht="15" customHeight="1" x14ac:dyDescent="0.3">
      <c r="B2615" s="17" t="str">
        <f>IF('Marcación Workera'!G2615="","",INT('Marcación Workera'!G2615))</f>
        <v/>
      </c>
      <c r="C2615" s="18" t="str">
        <f>IF('Marcación Workera'!B2615="","",UPPER(SUBSTITUTE('Marcación Workera'!B2615,".","")))</f>
        <v/>
      </c>
    </row>
    <row r="2616" spans="2:3" ht="15" customHeight="1" x14ac:dyDescent="0.3">
      <c r="B2616" s="17" t="str">
        <f>IF('Marcación Workera'!G2616="","",INT('Marcación Workera'!G2616))</f>
        <v/>
      </c>
      <c r="C2616" s="18" t="str">
        <f>IF('Marcación Workera'!B2616="","",UPPER(SUBSTITUTE('Marcación Workera'!B2616,".","")))</f>
        <v/>
      </c>
    </row>
    <row r="2617" spans="2:3" ht="15" customHeight="1" x14ac:dyDescent="0.3">
      <c r="B2617" s="17" t="str">
        <f>IF('Marcación Workera'!G2617="","",INT('Marcación Workera'!G2617))</f>
        <v/>
      </c>
      <c r="C2617" s="18" t="str">
        <f>IF('Marcación Workera'!B2617="","",UPPER(SUBSTITUTE('Marcación Workera'!B2617,".","")))</f>
        <v/>
      </c>
    </row>
    <row r="2618" spans="2:3" ht="15" customHeight="1" x14ac:dyDescent="0.3">
      <c r="B2618" s="17" t="str">
        <f>IF('Marcación Workera'!G2618="","",INT('Marcación Workera'!G2618))</f>
        <v/>
      </c>
      <c r="C2618" s="18" t="str">
        <f>IF('Marcación Workera'!B2618="","",UPPER(SUBSTITUTE('Marcación Workera'!B2618,".","")))</f>
        <v/>
      </c>
    </row>
    <row r="2619" spans="2:3" ht="15" customHeight="1" x14ac:dyDescent="0.3">
      <c r="B2619" s="17" t="str">
        <f>IF('Marcación Workera'!G2619="","",INT('Marcación Workera'!G2619))</f>
        <v/>
      </c>
      <c r="C2619" s="18" t="str">
        <f>IF('Marcación Workera'!B2619="","",UPPER(SUBSTITUTE('Marcación Workera'!B2619,".","")))</f>
        <v/>
      </c>
    </row>
    <row r="2620" spans="2:3" ht="15" customHeight="1" x14ac:dyDescent="0.3">
      <c r="B2620" s="17" t="str">
        <f>IF('Marcación Workera'!G2620="","",INT('Marcación Workera'!G2620))</f>
        <v/>
      </c>
      <c r="C2620" s="18" t="str">
        <f>IF('Marcación Workera'!B2620="","",UPPER(SUBSTITUTE('Marcación Workera'!B2620,".","")))</f>
        <v/>
      </c>
    </row>
    <row r="2621" spans="2:3" ht="15" customHeight="1" x14ac:dyDescent="0.3">
      <c r="B2621" s="17" t="str">
        <f>IF('Marcación Workera'!G2621="","",INT('Marcación Workera'!G2621))</f>
        <v/>
      </c>
      <c r="C2621" s="18" t="str">
        <f>IF('Marcación Workera'!B2621="","",UPPER(SUBSTITUTE('Marcación Workera'!B2621,".","")))</f>
        <v/>
      </c>
    </row>
    <row r="2622" spans="2:3" ht="15" customHeight="1" x14ac:dyDescent="0.3">
      <c r="B2622" s="17" t="str">
        <f>IF('Marcación Workera'!G2622="","",INT('Marcación Workera'!G2622))</f>
        <v/>
      </c>
      <c r="C2622" s="18" t="str">
        <f>IF('Marcación Workera'!B2622="","",UPPER(SUBSTITUTE('Marcación Workera'!B2622,".","")))</f>
        <v/>
      </c>
    </row>
    <row r="2623" spans="2:3" ht="15" customHeight="1" x14ac:dyDescent="0.3">
      <c r="B2623" s="17" t="str">
        <f>IF('Marcación Workera'!G2623="","",INT('Marcación Workera'!G2623))</f>
        <v/>
      </c>
      <c r="C2623" s="18" t="str">
        <f>IF('Marcación Workera'!B2623="","",UPPER(SUBSTITUTE('Marcación Workera'!B2623,".","")))</f>
        <v/>
      </c>
    </row>
    <row r="2624" spans="2:3" ht="15" customHeight="1" x14ac:dyDescent="0.3">
      <c r="B2624" s="17" t="str">
        <f>IF('Marcación Workera'!G2624="","",INT('Marcación Workera'!G2624))</f>
        <v/>
      </c>
      <c r="C2624" s="18" t="str">
        <f>IF('Marcación Workera'!B2624="","",UPPER(SUBSTITUTE('Marcación Workera'!B2624,".","")))</f>
        <v/>
      </c>
    </row>
    <row r="2625" spans="2:3" ht="15" customHeight="1" x14ac:dyDescent="0.3">
      <c r="B2625" s="17" t="str">
        <f>IF('Marcación Workera'!G2625="","",INT('Marcación Workera'!G2625))</f>
        <v/>
      </c>
      <c r="C2625" s="18" t="str">
        <f>IF('Marcación Workera'!B2625="","",UPPER(SUBSTITUTE('Marcación Workera'!B2625,".","")))</f>
        <v/>
      </c>
    </row>
    <row r="2626" spans="2:3" ht="15" customHeight="1" x14ac:dyDescent="0.3">
      <c r="B2626" s="17" t="str">
        <f>IF('Marcación Workera'!G2626="","",INT('Marcación Workera'!G2626))</f>
        <v/>
      </c>
      <c r="C2626" s="18" t="str">
        <f>IF('Marcación Workera'!B2626="","",UPPER(SUBSTITUTE('Marcación Workera'!B2626,".","")))</f>
        <v/>
      </c>
    </row>
    <row r="2627" spans="2:3" ht="15" customHeight="1" x14ac:dyDescent="0.3">
      <c r="B2627" s="17" t="str">
        <f>IF('Marcación Workera'!G2627="","",INT('Marcación Workera'!G2627))</f>
        <v/>
      </c>
      <c r="C2627" s="18" t="str">
        <f>IF('Marcación Workera'!B2627="","",UPPER(SUBSTITUTE('Marcación Workera'!B2627,".","")))</f>
        <v/>
      </c>
    </row>
    <row r="2628" spans="2:3" ht="15" customHeight="1" x14ac:dyDescent="0.3">
      <c r="B2628" s="17" t="str">
        <f>IF('Marcación Workera'!G2628="","",INT('Marcación Workera'!G2628))</f>
        <v/>
      </c>
      <c r="C2628" s="18" t="str">
        <f>IF('Marcación Workera'!B2628="","",UPPER(SUBSTITUTE('Marcación Workera'!B2628,".","")))</f>
        <v/>
      </c>
    </row>
    <row r="2629" spans="2:3" ht="15" customHeight="1" x14ac:dyDescent="0.3">
      <c r="B2629" s="17" t="str">
        <f>IF('Marcación Workera'!G2629="","",INT('Marcación Workera'!G2629))</f>
        <v/>
      </c>
      <c r="C2629" s="18" t="str">
        <f>IF('Marcación Workera'!B2629="","",UPPER(SUBSTITUTE('Marcación Workera'!B2629,".","")))</f>
        <v/>
      </c>
    </row>
    <row r="2630" spans="2:3" ht="15" customHeight="1" x14ac:dyDescent="0.3">
      <c r="B2630" s="17" t="str">
        <f>IF('Marcación Workera'!G2630="","",INT('Marcación Workera'!G2630))</f>
        <v/>
      </c>
      <c r="C2630" s="18" t="str">
        <f>IF('Marcación Workera'!B2630="","",UPPER(SUBSTITUTE('Marcación Workera'!B2630,".","")))</f>
        <v/>
      </c>
    </row>
    <row r="2631" spans="2:3" ht="15" customHeight="1" x14ac:dyDescent="0.3">
      <c r="B2631" s="17" t="str">
        <f>IF('Marcación Workera'!G2631="","",INT('Marcación Workera'!G2631))</f>
        <v/>
      </c>
      <c r="C2631" s="18" t="str">
        <f>IF('Marcación Workera'!B2631="","",UPPER(SUBSTITUTE('Marcación Workera'!B2631,".","")))</f>
        <v/>
      </c>
    </row>
    <row r="2632" spans="2:3" ht="15" customHeight="1" x14ac:dyDescent="0.3">
      <c r="B2632" s="17" t="str">
        <f>IF('Marcación Workera'!G2632="","",INT('Marcación Workera'!G2632))</f>
        <v/>
      </c>
      <c r="C2632" s="18" t="str">
        <f>IF('Marcación Workera'!B2632="","",UPPER(SUBSTITUTE('Marcación Workera'!B2632,".","")))</f>
        <v/>
      </c>
    </row>
    <row r="2633" spans="2:3" ht="15" customHeight="1" x14ac:dyDescent="0.3">
      <c r="B2633" s="17" t="str">
        <f>IF('Marcación Workera'!G2633="","",INT('Marcación Workera'!G2633))</f>
        <v/>
      </c>
      <c r="C2633" s="18" t="str">
        <f>IF('Marcación Workera'!B2633="","",UPPER(SUBSTITUTE('Marcación Workera'!B2633,".","")))</f>
        <v/>
      </c>
    </row>
    <row r="2634" spans="2:3" ht="15" customHeight="1" x14ac:dyDescent="0.3">
      <c r="B2634" s="17" t="str">
        <f>IF('Marcación Workera'!G2634="","",INT('Marcación Workera'!G2634))</f>
        <v/>
      </c>
      <c r="C2634" s="18" t="str">
        <f>IF('Marcación Workera'!B2634="","",UPPER(SUBSTITUTE('Marcación Workera'!B2634,".","")))</f>
        <v/>
      </c>
    </row>
    <row r="2635" spans="2:3" ht="15" customHeight="1" x14ac:dyDescent="0.3">
      <c r="B2635" s="17" t="str">
        <f>IF('Marcación Workera'!G2635="","",INT('Marcación Workera'!G2635))</f>
        <v/>
      </c>
      <c r="C2635" s="18" t="str">
        <f>IF('Marcación Workera'!B2635="","",UPPER(SUBSTITUTE('Marcación Workera'!B2635,".","")))</f>
        <v/>
      </c>
    </row>
    <row r="2636" spans="2:3" ht="15" customHeight="1" x14ac:dyDescent="0.3">
      <c r="B2636" s="17" t="str">
        <f>IF('Marcación Workera'!G2636="","",INT('Marcación Workera'!G2636))</f>
        <v/>
      </c>
      <c r="C2636" s="18" t="str">
        <f>IF('Marcación Workera'!B2636="","",UPPER(SUBSTITUTE('Marcación Workera'!B2636,".","")))</f>
        <v/>
      </c>
    </row>
    <row r="2637" spans="2:3" ht="15" customHeight="1" x14ac:dyDescent="0.3">
      <c r="B2637" s="17" t="str">
        <f>IF('Marcación Workera'!G2637="","",INT('Marcación Workera'!G2637))</f>
        <v/>
      </c>
      <c r="C2637" s="18" t="str">
        <f>IF('Marcación Workera'!B2637="","",UPPER(SUBSTITUTE('Marcación Workera'!B2637,".","")))</f>
        <v/>
      </c>
    </row>
    <row r="2638" spans="2:3" ht="15" customHeight="1" x14ac:dyDescent="0.3">
      <c r="B2638" s="17" t="str">
        <f>IF('Marcación Workera'!G2638="","",INT('Marcación Workera'!G2638))</f>
        <v/>
      </c>
      <c r="C2638" s="18" t="str">
        <f>IF('Marcación Workera'!B2638="","",UPPER(SUBSTITUTE('Marcación Workera'!B2638,".","")))</f>
        <v/>
      </c>
    </row>
    <row r="2639" spans="2:3" ht="15" customHeight="1" x14ac:dyDescent="0.3">
      <c r="B2639" s="17" t="str">
        <f>IF('Marcación Workera'!G2639="","",INT('Marcación Workera'!G2639))</f>
        <v/>
      </c>
      <c r="C2639" s="18" t="str">
        <f>IF('Marcación Workera'!B2639="","",UPPER(SUBSTITUTE('Marcación Workera'!B2639,".","")))</f>
        <v/>
      </c>
    </row>
    <row r="2640" spans="2:3" ht="15" customHeight="1" x14ac:dyDescent="0.3">
      <c r="B2640" s="17" t="str">
        <f>IF('Marcación Workera'!G2640="","",INT('Marcación Workera'!G2640))</f>
        <v/>
      </c>
      <c r="C2640" s="18" t="str">
        <f>IF('Marcación Workera'!B2640="","",UPPER(SUBSTITUTE('Marcación Workera'!B2640,".","")))</f>
        <v/>
      </c>
    </row>
    <row r="2641" spans="2:3" ht="15" customHeight="1" x14ac:dyDescent="0.3">
      <c r="B2641" s="17" t="str">
        <f>IF('Marcación Workera'!G2641="","",INT('Marcación Workera'!G2641))</f>
        <v/>
      </c>
      <c r="C2641" s="18" t="str">
        <f>IF('Marcación Workera'!B2641="","",UPPER(SUBSTITUTE('Marcación Workera'!B2641,".","")))</f>
        <v/>
      </c>
    </row>
    <row r="2642" spans="2:3" ht="15" customHeight="1" x14ac:dyDescent="0.3">
      <c r="B2642" s="17" t="str">
        <f>IF('Marcación Workera'!G2642="","",INT('Marcación Workera'!G2642))</f>
        <v/>
      </c>
      <c r="C2642" s="18" t="str">
        <f>IF('Marcación Workera'!B2642="","",UPPER(SUBSTITUTE('Marcación Workera'!B2642,".","")))</f>
        <v/>
      </c>
    </row>
    <row r="2643" spans="2:3" ht="15" customHeight="1" x14ac:dyDescent="0.3">
      <c r="B2643" s="17" t="str">
        <f>IF('Marcación Workera'!G2643="","",INT('Marcación Workera'!G2643))</f>
        <v/>
      </c>
      <c r="C2643" s="18" t="str">
        <f>IF('Marcación Workera'!B2643="","",UPPER(SUBSTITUTE('Marcación Workera'!B2643,".","")))</f>
        <v/>
      </c>
    </row>
    <row r="2644" spans="2:3" ht="15" customHeight="1" x14ac:dyDescent="0.3">
      <c r="B2644" s="17" t="str">
        <f>IF('Marcación Workera'!G2644="","",INT('Marcación Workera'!G2644))</f>
        <v/>
      </c>
      <c r="C2644" s="18" t="str">
        <f>IF('Marcación Workera'!B2644="","",UPPER(SUBSTITUTE('Marcación Workera'!B2644,".","")))</f>
        <v/>
      </c>
    </row>
    <row r="2645" spans="2:3" ht="15" customHeight="1" x14ac:dyDescent="0.3">
      <c r="B2645" s="17" t="str">
        <f>IF('Marcación Workera'!G2645="","",INT('Marcación Workera'!G2645))</f>
        <v/>
      </c>
      <c r="C2645" s="18" t="str">
        <f>IF('Marcación Workera'!B2645="","",UPPER(SUBSTITUTE('Marcación Workera'!B2645,".","")))</f>
        <v/>
      </c>
    </row>
    <row r="2646" spans="2:3" ht="15" customHeight="1" x14ac:dyDescent="0.3">
      <c r="B2646" s="17" t="str">
        <f>IF('Marcación Workera'!G2646="","",INT('Marcación Workera'!G2646))</f>
        <v/>
      </c>
      <c r="C2646" s="18" t="str">
        <f>IF('Marcación Workera'!B2646="","",UPPER(SUBSTITUTE('Marcación Workera'!B2646,".","")))</f>
        <v/>
      </c>
    </row>
    <row r="2647" spans="2:3" ht="15" customHeight="1" x14ac:dyDescent="0.3">
      <c r="B2647" s="17" t="str">
        <f>IF('Marcación Workera'!G2647="","",INT('Marcación Workera'!G2647))</f>
        <v/>
      </c>
      <c r="C2647" s="18" t="str">
        <f>IF('Marcación Workera'!B2647="","",UPPER(SUBSTITUTE('Marcación Workera'!B2647,".","")))</f>
        <v/>
      </c>
    </row>
    <row r="2648" spans="2:3" ht="15" customHeight="1" x14ac:dyDescent="0.3">
      <c r="B2648" s="17" t="str">
        <f>IF('Marcación Workera'!G2648="","",INT('Marcación Workera'!G2648))</f>
        <v/>
      </c>
      <c r="C2648" s="18" t="str">
        <f>IF('Marcación Workera'!B2648="","",UPPER(SUBSTITUTE('Marcación Workera'!B2648,".","")))</f>
        <v/>
      </c>
    </row>
    <row r="2649" spans="2:3" ht="15" customHeight="1" x14ac:dyDescent="0.3">
      <c r="B2649" s="17" t="str">
        <f>IF('Marcación Workera'!G2649="","",INT('Marcación Workera'!G2649))</f>
        <v/>
      </c>
      <c r="C2649" s="18" t="str">
        <f>IF('Marcación Workera'!B2649="","",UPPER(SUBSTITUTE('Marcación Workera'!B2649,".","")))</f>
        <v/>
      </c>
    </row>
    <row r="2650" spans="2:3" ht="15" customHeight="1" x14ac:dyDescent="0.3">
      <c r="B2650" s="17" t="str">
        <f>IF('Marcación Workera'!G2650="","",INT('Marcación Workera'!G2650))</f>
        <v/>
      </c>
      <c r="C2650" s="18" t="str">
        <f>IF('Marcación Workera'!B2650="","",UPPER(SUBSTITUTE('Marcación Workera'!B2650,".","")))</f>
        <v/>
      </c>
    </row>
    <row r="2651" spans="2:3" ht="15" customHeight="1" x14ac:dyDescent="0.3">
      <c r="B2651" s="17" t="str">
        <f>IF('Marcación Workera'!G2651="","",INT('Marcación Workera'!G2651))</f>
        <v/>
      </c>
      <c r="C2651" s="18" t="str">
        <f>IF('Marcación Workera'!B2651="","",UPPER(SUBSTITUTE('Marcación Workera'!B2651,".","")))</f>
        <v/>
      </c>
    </row>
    <row r="2652" spans="2:3" ht="15" customHeight="1" x14ac:dyDescent="0.3">
      <c r="B2652" s="17" t="str">
        <f>IF('Marcación Workera'!G2652="","",INT('Marcación Workera'!G2652))</f>
        <v/>
      </c>
      <c r="C2652" s="18" t="str">
        <f>IF('Marcación Workera'!B2652="","",UPPER(SUBSTITUTE('Marcación Workera'!B2652,".","")))</f>
        <v/>
      </c>
    </row>
    <row r="2653" spans="2:3" ht="15" customHeight="1" x14ac:dyDescent="0.3">
      <c r="B2653" s="17" t="str">
        <f>IF('Marcación Workera'!G2653="","",INT('Marcación Workera'!G2653))</f>
        <v/>
      </c>
      <c r="C2653" s="18" t="str">
        <f>IF('Marcación Workera'!B2653="","",UPPER(SUBSTITUTE('Marcación Workera'!B2653,".","")))</f>
        <v/>
      </c>
    </row>
    <row r="2654" spans="2:3" ht="15" customHeight="1" x14ac:dyDescent="0.3">
      <c r="B2654" s="17" t="str">
        <f>IF('Marcación Workera'!G2654="","",INT('Marcación Workera'!G2654))</f>
        <v/>
      </c>
      <c r="C2654" s="18" t="str">
        <f>IF('Marcación Workera'!B2654="","",UPPER(SUBSTITUTE('Marcación Workera'!B2654,".","")))</f>
        <v/>
      </c>
    </row>
    <row r="2655" spans="2:3" ht="15" customHeight="1" x14ac:dyDescent="0.3">
      <c r="B2655" s="17" t="str">
        <f>IF('Marcación Workera'!G2655="","",INT('Marcación Workera'!G2655))</f>
        <v/>
      </c>
      <c r="C2655" s="18" t="str">
        <f>IF('Marcación Workera'!B2655="","",UPPER(SUBSTITUTE('Marcación Workera'!B2655,".","")))</f>
        <v/>
      </c>
    </row>
    <row r="2656" spans="2:3" ht="15" customHeight="1" x14ac:dyDescent="0.3">
      <c r="B2656" s="17" t="str">
        <f>IF('Marcación Workera'!G2656="","",INT('Marcación Workera'!G2656))</f>
        <v/>
      </c>
      <c r="C2656" s="18" t="str">
        <f>IF('Marcación Workera'!B2656="","",UPPER(SUBSTITUTE('Marcación Workera'!B2656,".","")))</f>
        <v/>
      </c>
    </row>
    <row r="2657" spans="2:3" ht="15" customHeight="1" x14ac:dyDescent="0.3">
      <c r="B2657" s="17" t="str">
        <f>IF('Marcación Workera'!G2657="","",INT('Marcación Workera'!G2657))</f>
        <v/>
      </c>
      <c r="C2657" s="18" t="str">
        <f>IF('Marcación Workera'!B2657="","",UPPER(SUBSTITUTE('Marcación Workera'!B2657,".","")))</f>
        <v/>
      </c>
    </row>
    <row r="2658" spans="2:3" ht="15" customHeight="1" x14ac:dyDescent="0.3">
      <c r="B2658" s="17" t="str">
        <f>IF('Marcación Workera'!G2658="","",INT('Marcación Workera'!G2658))</f>
        <v/>
      </c>
      <c r="C2658" s="18" t="str">
        <f>IF('Marcación Workera'!B2658="","",UPPER(SUBSTITUTE('Marcación Workera'!B2658,".","")))</f>
        <v/>
      </c>
    </row>
    <row r="2659" spans="2:3" ht="15" customHeight="1" x14ac:dyDescent="0.3">
      <c r="B2659" s="17" t="str">
        <f>IF('Marcación Workera'!G2659="","",INT('Marcación Workera'!G2659))</f>
        <v/>
      </c>
      <c r="C2659" s="18" t="str">
        <f>IF('Marcación Workera'!B2659="","",UPPER(SUBSTITUTE('Marcación Workera'!B2659,".","")))</f>
        <v/>
      </c>
    </row>
    <row r="2660" spans="2:3" ht="15" customHeight="1" x14ac:dyDescent="0.3">
      <c r="B2660" s="17" t="str">
        <f>IF('Marcación Workera'!G2660="","",INT('Marcación Workera'!G2660))</f>
        <v/>
      </c>
      <c r="C2660" s="18" t="str">
        <f>IF('Marcación Workera'!B2660="","",UPPER(SUBSTITUTE('Marcación Workera'!B2660,".","")))</f>
        <v/>
      </c>
    </row>
    <row r="2661" spans="2:3" ht="15" customHeight="1" x14ac:dyDescent="0.3">
      <c r="B2661" s="17" t="str">
        <f>IF('Marcación Workera'!G2661="","",INT('Marcación Workera'!G2661))</f>
        <v/>
      </c>
      <c r="C2661" s="18" t="str">
        <f>IF('Marcación Workera'!B2661="","",UPPER(SUBSTITUTE('Marcación Workera'!B2661,".","")))</f>
        <v/>
      </c>
    </row>
    <row r="2662" spans="2:3" ht="15" customHeight="1" x14ac:dyDescent="0.3">
      <c r="B2662" s="17" t="str">
        <f>IF('Marcación Workera'!G2662="","",INT('Marcación Workera'!G2662))</f>
        <v/>
      </c>
      <c r="C2662" s="18" t="str">
        <f>IF('Marcación Workera'!B2662="","",UPPER(SUBSTITUTE('Marcación Workera'!B2662,".","")))</f>
        <v/>
      </c>
    </row>
    <row r="2663" spans="2:3" ht="15" customHeight="1" x14ac:dyDescent="0.3">
      <c r="B2663" s="17" t="str">
        <f>IF('Marcación Workera'!G2663="","",INT('Marcación Workera'!G2663))</f>
        <v/>
      </c>
      <c r="C2663" s="18" t="str">
        <f>IF('Marcación Workera'!B2663="","",UPPER(SUBSTITUTE('Marcación Workera'!B2663,".","")))</f>
        <v/>
      </c>
    </row>
    <row r="2664" spans="2:3" ht="15" customHeight="1" x14ac:dyDescent="0.3">
      <c r="B2664" s="17" t="str">
        <f>IF('Marcación Workera'!G2664="","",INT('Marcación Workera'!G2664))</f>
        <v/>
      </c>
      <c r="C2664" s="18" t="str">
        <f>IF('Marcación Workera'!B2664="","",UPPER(SUBSTITUTE('Marcación Workera'!B2664,".","")))</f>
        <v/>
      </c>
    </row>
    <row r="2665" spans="2:3" ht="15" customHeight="1" x14ac:dyDescent="0.3">
      <c r="B2665" s="17" t="str">
        <f>IF('Marcación Workera'!G2665="","",INT('Marcación Workera'!G2665))</f>
        <v/>
      </c>
      <c r="C2665" s="18" t="str">
        <f>IF('Marcación Workera'!B2665="","",UPPER(SUBSTITUTE('Marcación Workera'!B2665,".","")))</f>
        <v/>
      </c>
    </row>
    <row r="2666" spans="2:3" ht="15" customHeight="1" x14ac:dyDescent="0.3">
      <c r="B2666" s="17" t="str">
        <f>IF('Marcación Workera'!G2666="","",INT('Marcación Workera'!G2666))</f>
        <v/>
      </c>
      <c r="C2666" s="18" t="str">
        <f>IF('Marcación Workera'!B2666="","",UPPER(SUBSTITUTE('Marcación Workera'!B2666,".","")))</f>
        <v/>
      </c>
    </row>
    <row r="2667" spans="2:3" ht="15" customHeight="1" x14ac:dyDescent="0.3">
      <c r="B2667" s="17" t="str">
        <f>IF('Marcación Workera'!G2667="","",INT('Marcación Workera'!G2667))</f>
        <v/>
      </c>
      <c r="C2667" s="18" t="str">
        <f>IF('Marcación Workera'!B2667="","",UPPER(SUBSTITUTE('Marcación Workera'!B2667,".","")))</f>
        <v/>
      </c>
    </row>
    <row r="2668" spans="2:3" ht="15" customHeight="1" x14ac:dyDescent="0.3">
      <c r="B2668" s="17" t="str">
        <f>IF('Marcación Workera'!G2668="","",INT('Marcación Workera'!G2668))</f>
        <v/>
      </c>
      <c r="C2668" s="18" t="str">
        <f>IF('Marcación Workera'!B2668="","",UPPER(SUBSTITUTE('Marcación Workera'!B2668,".","")))</f>
        <v/>
      </c>
    </row>
    <row r="2669" spans="2:3" ht="15" customHeight="1" x14ac:dyDescent="0.3">
      <c r="B2669" s="17" t="str">
        <f>IF('Marcación Workera'!G2669="","",INT('Marcación Workera'!G2669))</f>
        <v/>
      </c>
      <c r="C2669" s="18" t="str">
        <f>IF('Marcación Workera'!B2669="","",UPPER(SUBSTITUTE('Marcación Workera'!B2669,".","")))</f>
        <v/>
      </c>
    </row>
    <row r="2670" spans="2:3" ht="15" customHeight="1" x14ac:dyDescent="0.3">
      <c r="B2670" s="17" t="str">
        <f>IF('Marcación Workera'!G2670="","",INT('Marcación Workera'!G2670))</f>
        <v/>
      </c>
      <c r="C2670" s="18" t="str">
        <f>IF('Marcación Workera'!B2670="","",UPPER(SUBSTITUTE('Marcación Workera'!B2670,".","")))</f>
        <v/>
      </c>
    </row>
    <row r="2671" spans="2:3" ht="15" customHeight="1" x14ac:dyDescent="0.3">
      <c r="B2671" s="17" t="str">
        <f>IF('Marcación Workera'!G2671="","",INT('Marcación Workera'!G2671))</f>
        <v/>
      </c>
      <c r="C2671" s="18" t="str">
        <f>IF('Marcación Workera'!B2671="","",UPPER(SUBSTITUTE('Marcación Workera'!B2671,".","")))</f>
        <v/>
      </c>
    </row>
    <row r="2672" spans="2:3" ht="15" customHeight="1" x14ac:dyDescent="0.3">
      <c r="B2672" s="17" t="str">
        <f>IF('Marcación Workera'!G2672="","",INT('Marcación Workera'!G2672))</f>
        <v/>
      </c>
      <c r="C2672" s="18" t="str">
        <f>IF('Marcación Workera'!B2672="","",UPPER(SUBSTITUTE('Marcación Workera'!B2672,".","")))</f>
        <v/>
      </c>
    </row>
    <row r="2673" spans="2:3" ht="15" customHeight="1" x14ac:dyDescent="0.3">
      <c r="B2673" s="17" t="str">
        <f>IF('Marcación Workera'!G2673="","",INT('Marcación Workera'!G2673))</f>
        <v/>
      </c>
      <c r="C2673" s="18" t="str">
        <f>IF('Marcación Workera'!B2673="","",UPPER(SUBSTITUTE('Marcación Workera'!B2673,".","")))</f>
        <v/>
      </c>
    </row>
    <row r="2674" spans="2:3" ht="15" customHeight="1" x14ac:dyDescent="0.3">
      <c r="B2674" s="17" t="str">
        <f>IF('Marcación Workera'!G2674="","",INT('Marcación Workera'!G2674))</f>
        <v/>
      </c>
      <c r="C2674" s="18" t="str">
        <f>IF('Marcación Workera'!B2674="","",UPPER(SUBSTITUTE('Marcación Workera'!B2674,".","")))</f>
        <v/>
      </c>
    </row>
    <row r="2675" spans="2:3" ht="15" customHeight="1" x14ac:dyDescent="0.3">
      <c r="B2675" s="17" t="str">
        <f>IF('Marcación Workera'!G2675="","",INT('Marcación Workera'!G2675))</f>
        <v/>
      </c>
      <c r="C2675" s="18" t="str">
        <f>IF('Marcación Workera'!B2675="","",UPPER(SUBSTITUTE('Marcación Workera'!B2675,".","")))</f>
        <v/>
      </c>
    </row>
    <row r="2676" spans="2:3" ht="15" customHeight="1" x14ac:dyDescent="0.3">
      <c r="B2676" s="17" t="str">
        <f>IF('Marcación Workera'!G2676="","",INT('Marcación Workera'!G2676))</f>
        <v/>
      </c>
      <c r="C2676" s="18" t="str">
        <f>IF('Marcación Workera'!B2676="","",UPPER(SUBSTITUTE('Marcación Workera'!B2676,".","")))</f>
        <v/>
      </c>
    </row>
    <row r="2677" spans="2:3" ht="15" customHeight="1" x14ac:dyDescent="0.3">
      <c r="B2677" s="17" t="str">
        <f>IF('Marcación Workera'!G2677="","",INT('Marcación Workera'!G2677))</f>
        <v/>
      </c>
      <c r="C2677" s="18" t="str">
        <f>IF('Marcación Workera'!B2677="","",UPPER(SUBSTITUTE('Marcación Workera'!B2677,".","")))</f>
        <v/>
      </c>
    </row>
    <row r="2678" spans="2:3" ht="15" customHeight="1" x14ac:dyDescent="0.3">
      <c r="B2678" s="17" t="str">
        <f>IF('Marcación Workera'!G2678="","",INT('Marcación Workera'!G2678))</f>
        <v/>
      </c>
      <c r="C2678" s="18" t="str">
        <f>IF('Marcación Workera'!B2678="","",UPPER(SUBSTITUTE('Marcación Workera'!B2678,".","")))</f>
        <v/>
      </c>
    </row>
    <row r="2679" spans="2:3" ht="15" customHeight="1" x14ac:dyDescent="0.3">
      <c r="B2679" s="17" t="str">
        <f>IF('Marcación Workera'!G2679="","",INT('Marcación Workera'!G2679))</f>
        <v/>
      </c>
      <c r="C2679" s="18" t="str">
        <f>IF('Marcación Workera'!B2679="","",UPPER(SUBSTITUTE('Marcación Workera'!B2679,".","")))</f>
        <v/>
      </c>
    </row>
    <row r="2680" spans="2:3" ht="15" customHeight="1" x14ac:dyDescent="0.3">
      <c r="B2680" s="17" t="str">
        <f>IF('Marcación Workera'!G2680="","",INT('Marcación Workera'!G2680))</f>
        <v/>
      </c>
      <c r="C2680" s="18" t="str">
        <f>IF('Marcación Workera'!B2680="","",UPPER(SUBSTITUTE('Marcación Workera'!B2680,".","")))</f>
        <v/>
      </c>
    </row>
    <row r="2681" spans="2:3" ht="15" customHeight="1" x14ac:dyDescent="0.3">
      <c r="B2681" s="17" t="str">
        <f>IF('Marcación Workera'!G2681="","",INT('Marcación Workera'!G2681))</f>
        <v/>
      </c>
      <c r="C2681" s="18" t="str">
        <f>IF('Marcación Workera'!B2681="","",UPPER(SUBSTITUTE('Marcación Workera'!B2681,".","")))</f>
        <v/>
      </c>
    </row>
    <row r="2682" spans="2:3" ht="15" customHeight="1" x14ac:dyDescent="0.3">
      <c r="B2682" s="17" t="str">
        <f>IF('Marcación Workera'!G2682="","",INT('Marcación Workera'!G2682))</f>
        <v/>
      </c>
      <c r="C2682" s="18" t="str">
        <f>IF('Marcación Workera'!B2682="","",UPPER(SUBSTITUTE('Marcación Workera'!B2682,".","")))</f>
        <v/>
      </c>
    </row>
    <row r="2683" spans="2:3" ht="15" customHeight="1" x14ac:dyDescent="0.3">
      <c r="B2683" s="17" t="str">
        <f>IF('Marcación Workera'!G2683="","",INT('Marcación Workera'!G2683))</f>
        <v/>
      </c>
      <c r="C2683" s="18" t="str">
        <f>IF('Marcación Workera'!B2683="","",UPPER(SUBSTITUTE('Marcación Workera'!B2683,".","")))</f>
        <v/>
      </c>
    </row>
    <row r="2684" spans="2:3" ht="15" customHeight="1" x14ac:dyDescent="0.3">
      <c r="B2684" s="17" t="str">
        <f>IF('Marcación Workera'!G2684="","",INT('Marcación Workera'!G2684))</f>
        <v/>
      </c>
      <c r="C2684" s="18" t="str">
        <f>IF('Marcación Workera'!B2684="","",UPPER(SUBSTITUTE('Marcación Workera'!B2684,".","")))</f>
        <v/>
      </c>
    </row>
    <row r="2685" spans="2:3" ht="15" customHeight="1" x14ac:dyDescent="0.3">
      <c r="B2685" s="17" t="str">
        <f>IF('Marcación Workera'!G2685="","",INT('Marcación Workera'!G2685))</f>
        <v/>
      </c>
      <c r="C2685" s="18" t="str">
        <f>IF('Marcación Workera'!B2685="","",UPPER(SUBSTITUTE('Marcación Workera'!B2685,".","")))</f>
        <v/>
      </c>
    </row>
    <row r="2686" spans="2:3" ht="15" customHeight="1" x14ac:dyDescent="0.3">
      <c r="B2686" s="17" t="str">
        <f>IF('Marcación Workera'!G2686="","",INT('Marcación Workera'!G2686))</f>
        <v/>
      </c>
      <c r="C2686" s="18" t="str">
        <f>IF('Marcación Workera'!B2686="","",UPPER(SUBSTITUTE('Marcación Workera'!B2686,".","")))</f>
        <v/>
      </c>
    </row>
    <row r="2687" spans="2:3" ht="15" customHeight="1" x14ac:dyDescent="0.3">
      <c r="B2687" s="17" t="str">
        <f>IF('Marcación Workera'!G2687="","",INT('Marcación Workera'!G2687))</f>
        <v/>
      </c>
      <c r="C2687" s="18" t="str">
        <f>IF('Marcación Workera'!B2687="","",UPPER(SUBSTITUTE('Marcación Workera'!B2687,".","")))</f>
        <v/>
      </c>
    </row>
    <row r="2688" spans="2:3" ht="15" customHeight="1" x14ac:dyDescent="0.3">
      <c r="B2688" s="17" t="str">
        <f>IF('Marcación Workera'!G2688="","",INT('Marcación Workera'!G2688))</f>
        <v/>
      </c>
      <c r="C2688" s="18" t="str">
        <f>IF('Marcación Workera'!B2688="","",UPPER(SUBSTITUTE('Marcación Workera'!B2688,".","")))</f>
        <v/>
      </c>
    </row>
    <row r="2689" spans="2:3" ht="15" customHeight="1" x14ac:dyDescent="0.3">
      <c r="B2689" s="17" t="str">
        <f>IF('Marcación Workera'!G2689="","",INT('Marcación Workera'!G2689))</f>
        <v/>
      </c>
      <c r="C2689" s="18" t="str">
        <f>IF('Marcación Workera'!B2689="","",UPPER(SUBSTITUTE('Marcación Workera'!B2689,".","")))</f>
        <v/>
      </c>
    </row>
    <row r="2690" spans="2:3" ht="15" customHeight="1" x14ac:dyDescent="0.3">
      <c r="B2690" s="17" t="str">
        <f>IF('Marcación Workera'!G2690="","",INT('Marcación Workera'!G2690))</f>
        <v/>
      </c>
      <c r="C2690" s="18" t="str">
        <f>IF('Marcación Workera'!B2690="","",UPPER(SUBSTITUTE('Marcación Workera'!B2690,".","")))</f>
        <v/>
      </c>
    </row>
    <row r="2691" spans="2:3" ht="15" customHeight="1" x14ac:dyDescent="0.3">
      <c r="B2691" s="17" t="str">
        <f>IF('Marcación Workera'!G2691="","",INT('Marcación Workera'!G2691))</f>
        <v/>
      </c>
      <c r="C2691" s="18" t="str">
        <f>IF('Marcación Workera'!B2691="","",UPPER(SUBSTITUTE('Marcación Workera'!B2691,".","")))</f>
        <v/>
      </c>
    </row>
    <row r="2692" spans="2:3" ht="15" customHeight="1" x14ac:dyDescent="0.3">
      <c r="B2692" s="17" t="str">
        <f>IF('Marcación Workera'!G2692="","",INT('Marcación Workera'!G2692))</f>
        <v/>
      </c>
      <c r="C2692" s="18" t="str">
        <f>IF('Marcación Workera'!B2692="","",UPPER(SUBSTITUTE('Marcación Workera'!B2692,".","")))</f>
        <v/>
      </c>
    </row>
    <row r="2693" spans="2:3" ht="15" customHeight="1" x14ac:dyDescent="0.3">
      <c r="B2693" s="17" t="str">
        <f>IF('Marcación Workera'!G2693="","",INT('Marcación Workera'!G2693))</f>
        <v/>
      </c>
      <c r="C2693" s="18" t="str">
        <f>IF('Marcación Workera'!B2693="","",UPPER(SUBSTITUTE('Marcación Workera'!B2693,".","")))</f>
        <v/>
      </c>
    </row>
    <row r="2694" spans="2:3" ht="15" customHeight="1" x14ac:dyDescent="0.3">
      <c r="B2694" s="17" t="str">
        <f>IF('Marcación Workera'!G2694="","",INT('Marcación Workera'!G2694))</f>
        <v/>
      </c>
      <c r="C2694" s="18" t="str">
        <f>IF('Marcación Workera'!B2694="","",UPPER(SUBSTITUTE('Marcación Workera'!B2694,".","")))</f>
        <v/>
      </c>
    </row>
    <row r="2695" spans="2:3" ht="15" customHeight="1" x14ac:dyDescent="0.3">
      <c r="B2695" s="17" t="str">
        <f>IF('Marcación Workera'!G2695="","",INT('Marcación Workera'!G2695))</f>
        <v/>
      </c>
      <c r="C2695" s="18" t="str">
        <f>IF('Marcación Workera'!B2695="","",UPPER(SUBSTITUTE('Marcación Workera'!B2695,".","")))</f>
        <v/>
      </c>
    </row>
    <row r="2696" spans="2:3" ht="15" customHeight="1" x14ac:dyDescent="0.3">
      <c r="B2696" s="17" t="str">
        <f>IF('Marcación Workera'!G2696="","",INT('Marcación Workera'!G2696))</f>
        <v/>
      </c>
      <c r="C2696" s="18" t="str">
        <f>IF('Marcación Workera'!B2696="","",UPPER(SUBSTITUTE('Marcación Workera'!B2696,".","")))</f>
        <v/>
      </c>
    </row>
    <row r="2697" spans="2:3" ht="15" customHeight="1" x14ac:dyDescent="0.3">
      <c r="B2697" s="17" t="str">
        <f>IF('Marcación Workera'!G2697="","",INT('Marcación Workera'!G2697))</f>
        <v/>
      </c>
      <c r="C2697" s="18" t="str">
        <f>IF('Marcación Workera'!B2697="","",UPPER(SUBSTITUTE('Marcación Workera'!B2697,".","")))</f>
        <v/>
      </c>
    </row>
    <row r="2698" spans="2:3" ht="15" customHeight="1" x14ac:dyDescent="0.3">
      <c r="B2698" s="17" t="str">
        <f>IF('Marcación Workera'!G2698="","",INT('Marcación Workera'!G2698))</f>
        <v/>
      </c>
      <c r="C2698" s="18" t="str">
        <f>IF('Marcación Workera'!B2698="","",UPPER(SUBSTITUTE('Marcación Workera'!B2698,".","")))</f>
        <v/>
      </c>
    </row>
    <row r="2699" spans="2:3" ht="15" customHeight="1" x14ac:dyDescent="0.3">
      <c r="B2699" s="17" t="str">
        <f>IF('Marcación Workera'!G2699="","",INT('Marcación Workera'!G2699))</f>
        <v/>
      </c>
      <c r="C2699" s="18" t="str">
        <f>IF('Marcación Workera'!B2699="","",UPPER(SUBSTITUTE('Marcación Workera'!B2699,".","")))</f>
        <v/>
      </c>
    </row>
    <row r="2700" spans="2:3" ht="15" customHeight="1" x14ac:dyDescent="0.3">
      <c r="B2700" s="17" t="str">
        <f>IF('Marcación Workera'!G2700="","",INT('Marcación Workera'!G2700))</f>
        <v/>
      </c>
      <c r="C2700" s="18" t="str">
        <f>IF('Marcación Workera'!B2700="","",UPPER(SUBSTITUTE('Marcación Workera'!B2700,".","")))</f>
        <v/>
      </c>
    </row>
    <row r="2701" spans="2:3" ht="15" customHeight="1" x14ac:dyDescent="0.3">
      <c r="B2701" s="17" t="str">
        <f>IF('Marcación Workera'!G2701="","",INT('Marcación Workera'!G2701))</f>
        <v/>
      </c>
      <c r="C2701" s="18" t="str">
        <f>IF('Marcación Workera'!B2701="","",UPPER(SUBSTITUTE('Marcación Workera'!B2701,".","")))</f>
        <v/>
      </c>
    </row>
    <row r="2702" spans="2:3" ht="15" customHeight="1" x14ac:dyDescent="0.3">
      <c r="B2702" s="17" t="str">
        <f>IF('Marcación Workera'!G2702="","",INT('Marcación Workera'!G2702))</f>
        <v/>
      </c>
      <c r="C2702" s="18" t="str">
        <f>IF('Marcación Workera'!B2702="","",UPPER(SUBSTITUTE('Marcación Workera'!B2702,".","")))</f>
        <v/>
      </c>
    </row>
    <row r="2703" spans="2:3" ht="15" customHeight="1" x14ac:dyDescent="0.3">
      <c r="B2703" s="17" t="str">
        <f>IF('Marcación Workera'!G2703="","",INT('Marcación Workera'!G2703))</f>
        <v/>
      </c>
      <c r="C2703" s="18" t="str">
        <f>IF('Marcación Workera'!B2703="","",UPPER(SUBSTITUTE('Marcación Workera'!B2703,".","")))</f>
        <v/>
      </c>
    </row>
    <row r="2704" spans="2:3" ht="15" customHeight="1" x14ac:dyDescent="0.3">
      <c r="B2704" s="17" t="str">
        <f>IF('Marcación Workera'!G2704="","",INT('Marcación Workera'!G2704))</f>
        <v/>
      </c>
      <c r="C2704" s="18" t="str">
        <f>IF('Marcación Workera'!B2704="","",UPPER(SUBSTITUTE('Marcación Workera'!B2704,".","")))</f>
        <v/>
      </c>
    </row>
    <row r="2705" spans="2:3" ht="15" customHeight="1" x14ac:dyDescent="0.3">
      <c r="B2705" s="17" t="str">
        <f>IF('Marcación Workera'!G2705="","",INT('Marcación Workera'!G2705))</f>
        <v/>
      </c>
      <c r="C2705" s="18" t="str">
        <f>IF('Marcación Workera'!B2705="","",UPPER(SUBSTITUTE('Marcación Workera'!B2705,".","")))</f>
        <v/>
      </c>
    </row>
    <row r="2706" spans="2:3" ht="15" customHeight="1" x14ac:dyDescent="0.3">
      <c r="B2706" s="17" t="str">
        <f>IF('Marcación Workera'!G2706="","",INT('Marcación Workera'!G2706))</f>
        <v/>
      </c>
      <c r="C2706" s="18" t="str">
        <f>IF('Marcación Workera'!B2706="","",UPPER(SUBSTITUTE('Marcación Workera'!B2706,".","")))</f>
        <v/>
      </c>
    </row>
    <row r="2707" spans="2:3" ht="15" customHeight="1" x14ac:dyDescent="0.3">
      <c r="B2707" s="17" t="str">
        <f>IF('Marcación Workera'!G2707="","",INT('Marcación Workera'!G2707))</f>
        <v/>
      </c>
      <c r="C2707" s="18" t="str">
        <f>IF('Marcación Workera'!B2707="","",UPPER(SUBSTITUTE('Marcación Workera'!B2707,".","")))</f>
        <v/>
      </c>
    </row>
    <row r="2708" spans="2:3" ht="15" customHeight="1" x14ac:dyDescent="0.3">
      <c r="B2708" s="17" t="str">
        <f>IF('Marcación Workera'!G2708="","",INT('Marcación Workera'!G2708))</f>
        <v/>
      </c>
      <c r="C2708" s="18" t="str">
        <f>IF('Marcación Workera'!B2708="","",UPPER(SUBSTITUTE('Marcación Workera'!B2708,".","")))</f>
        <v/>
      </c>
    </row>
    <row r="2709" spans="2:3" ht="15" customHeight="1" x14ac:dyDescent="0.3">
      <c r="B2709" s="17" t="str">
        <f>IF('Marcación Workera'!G2709="","",INT('Marcación Workera'!G2709))</f>
        <v/>
      </c>
      <c r="C2709" s="18" t="str">
        <f>IF('Marcación Workera'!B2709="","",UPPER(SUBSTITUTE('Marcación Workera'!B2709,".","")))</f>
        <v/>
      </c>
    </row>
    <row r="2710" spans="2:3" ht="15" customHeight="1" x14ac:dyDescent="0.3">
      <c r="B2710" s="17" t="str">
        <f>IF('Marcación Workera'!G2710="","",INT('Marcación Workera'!G2710))</f>
        <v/>
      </c>
      <c r="C2710" s="18" t="str">
        <f>IF('Marcación Workera'!B2710="","",UPPER(SUBSTITUTE('Marcación Workera'!B2710,".","")))</f>
        <v/>
      </c>
    </row>
    <row r="2711" spans="2:3" ht="15" customHeight="1" x14ac:dyDescent="0.3">
      <c r="B2711" s="17" t="str">
        <f>IF('Marcación Workera'!G2711="","",INT('Marcación Workera'!G2711))</f>
        <v/>
      </c>
      <c r="C2711" s="18" t="str">
        <f>IF('Marcación Workera'!B2711="","",UPPER(SUBSTITUTE('Marcación Workera'!B2711,".","")))</f>
        <v/>
      </c>
    </row>
    <row r="2712" spans="2:3" ht="15" customHeight="1" x14ac:dyDescent="0.3">
      <c r="B2712" s="17" t="str">
        <f>IF('Marcación Workera'!G2712="","",INT('Marcación Workera'!G2712))</f>
        <v/>
      </c>
      <c r="C2712" s="18" t="str">
        <f>IF('Marcación Workera'!B2712="","",UPPER(SUBSTITUTE('Marcación Workera'!B2712,".","")))</f>
        <v/>
      </c>
    </row>
    <row r="2713" spans="2:3" ht="15" customHeight="1" x14ac:dyDescent="0.3">
      <c r="B2713" s="17" t="str">
        <f>IF('Marcación Workera'!G2713="","",INT('Marcación Workera'!G2713))</f>
        <v/>
      </c>
      <c r="C2713" s="18" t="str">
        <f>IF('Marcación Workera'!B2713="","",UPPER(SUBSTITUTE('Marcación Workera'!B2713,".","")))</f>
        <v/>
      </c>
    </row>
    <row r="2714" spans="2:3" ht="15" customHeight="1" x14ac:dyDescent="0.3">
      <c r="B2714" s="17" t="str">
        <f>IF('Marcación Workera'!G2714="","",INT('Marcación Workera'!G2714))</f>
        <v/>
      </c>
      <c r="C2714" s="18" t="str">
        <f>IF('Marcación Workera'!B2714="","",UPPER(SUBSTITUTE('Marcación Workera'!B2714,".","")))</f>
        <v/>
      </c>
    </row>
    <row r="2715" spans="2:3" ht="15" customHeight="1" x14ac:dyDescent="0.3">
      <c r="B2715" s="17" t="str">
        <f>IF('Marcación Workera'!G2715="","",INT('Marcación Workera'!G2715))</f>
        <v/>
      </c>
      <c r="C2715" s="18" t="str">
        <f>IF('Marcación Workera'!B2715="","",UPPER(SUBSTITUTE('Marcación Workera'!B2715,".","")))</f>
        <v/>
      </c>
    </row>
    <row r="2716" spans="2:3" ht="15" customHeight="1" x14ac:dyDescent="0.3">
      <c r="B2716" s="17" t="str">
        <f>IF('Marcación Workera'!G2716="","",INT('Marcación Workera'!G2716))</f>
        <v/>
      </c>
      <c r="C2716" s="18" t="str">
        <f>IF('Marcación Workera'!B2716="","",UPPER(SUBSTITUTE('Marcación Workera'!B2716,".","")))</f>
        <v/>
      </c>
    </row>
    <row r="2717" spans="2:3" ht="15" customHeight="1" x14ac:dyDescent="0.3">
      <c r="B2717" s="17" t="str">
        <f>IF('Marcación Workera'!G2717="","",INT('Marcación Workera'!G2717))</f>
        <v/>
      </c>
      <c r="C2717" s="18" t="str">
        <f>IF('Marcación Workera'!B2717="","",UPPER(SUBSTITUTE('Marcación Workera'!B2717,".","")))</f>
        <v/>
      </c>
    </row>
    <row r="2718" spans="2:3" ht="15" customHeight="1" x14ac:dyDescent="0.3">
      <c r="B2718" s="17" t="str">
        <f>IF('Marcación Workera'!G2718="","",INT('Marcación Workera'!G2718))</f>
        <v/>
      </c>
      <c r="C2718" s="18" t="str">
        <f>IF('Marcación Workera'!B2718="","",UPPER(SUBSTITUTE('Marcación Workera'!B2718,".","")))</f>
        <v/>
      </c>
    </row>
    <row r="2719" spans="2:3" ht="15" customHeight="1" x14ac:dyDescent="0.3">
      <c r="B2719" s="17" t="str">
        <f>IF('Marcación Workera'!G2719="","",INT('Marcación Workera'!G2719))</f>
        <v/>
      </c>
      <c r="C2719" s="18" t="str">
        <f>IF('Marcación Workera'!B2719="","",UPPER(SUBSTITUTE('Marcación Workera'!B2719,".","")))</f>
        <v/>
      </c>
    </row>
    <row r="2720" spans="2:3" ht="15" customHeight="1" x14ac:dyDescent="0.3">
      <c r="B2720" s="17" t="str">
        <f>IF('Marcación Workera'!G2720="","",INT('Marcación Workera'!G2720))</f>
        <v/>
      </c>
      <c r="C2720" s="18" t="str">
        <f>IF('Marcación Workera'!B2720="","",UPPER(SUBSTITUTE('Marcación Workera'!B2720,".","")))</f>
        <v/>
      </c>
    </row>
    <row r="2721" spans="2:3" ht="15" customHeight="1" x14ac:dyDescent="0.3">
      <c r="B2721" s="17" t="str">
        <f>IF('Marcación Workera'!G2721="","",INT('Marcación Workera'!G2721))</f>
        <v/>
      </c>
      <c r="C2721" s="18" t="str">
        <f>IF('Marcación Workera'!B2721="","",UPPER(SUBSTITUTE('Marcación Workera'!B2721,".","")))</f>
        <v/>
      </c>
    </row>
    <row r="2722" spans="2:3" ht="15" customHeight="1" x14ac:dyDescent="0.3">
      <c r="B2722" s="17" t="str">
        <f>IF('Marcación Workera'!G2722="","",INT('Marcación Workera'!G2722))</f>
        <v/>
      </c>
      <c r="C2722" s="18" t="str">
        <f>IF('Marcación Workera'!B2722="","",UPPER(SUBSTITUTE('Marcación Workera'!B2722,".","")))</f>
        <v/>
      </c>
    </row>
    <row r="2723" spans="2:3" ht="15" customHeight="1" x14ac:dyDescent="0.3">
      <c r="B2723" s="17" t="str">
        <f>IF('Marcación Workera'!G2723="","",INT('Marcación Workera'!G2723))</f>
        <v/>
      </c>
      <c r="C2723" s="18" t="str">
        <f>IF('Marcación Workera'!B2723="","",UPPER(SUBSTITUTE('Marcación Workera'!B2723,".","")))</f>
        <v/>
      </c>
    </row>
    <row r="2724" spans="2:3" ht="15" customHeight="1" x14ac:dyDescent="0.3">
      <c r="B2724" s="17" t="str">
        <f>IF('Marcación Workera'!G2724="","",INT('Marcación Workera'!G2724))</f>
        <v/>
      </c>
      <c r="C2724" s="18" t="str">
        <f>IF('Marcación Workera'!B2724="","",UPPER(SUBSTITUTE('Marcación Workera'!B2724,".","")))</f>
        <v/>
      </c>
    </row>
    <row r="2725" spans="2:3" ht="15" customHeight="1" x14ac:dyDescent="0.3">
      <c r="B2725" s="17" t="str">
        <f>IF('Marcación Workera'!G2725="","",INT('Marcación Workera'!G2725))</f>
        <v/>
      </c>
      <c r="C2725" s="18" t="str">
        <f>IF('Marcación Workera'!B2725="","",UPPER(SUBSTITUTE('Marcación Workera'!B2725,".","")))</f>
        <v/>
      </c>
    </row>
    <row r="2726" spans="2:3" ht="15" customHeight="1" x14ac:dyDescent="0.3">
      <c r="B2726" s="17" t="str">
        <f>IF('Marcación Workera'!G2726="","",INT('Marcación Workera'!G2726))</f>
        <v/>
      </c>
      <c r="C2726" s="18" t="str">
        <f>IF('Marcación Workera'!B2726="","",UPPER(SUBSTITUTE('Marcación Workera'!B2726,".","")))</f>
        <v/>
      </c>
    </row>
    <row r="2727" spans="2:3" ht="15" customHeight="1" x14ac:dyDescent="0.3">
      <c r="B2727" s="17" t="str">
        <f>IF('Marcación Workera'!G2727="","",INT('Marcación Workera'!G2727))</f>
        <v/>
      </c>
      <c r="C2727" s="18" t="str">
        <f>IF('Marcación Workera'!B2727="","",UPPER(SUBSTITUTE('Marcación Workera'!B2727,".","")))</f>
        <v/>
      </c>
    </row>
    <row r="2728" spans="2:3" ht="15" customHeight="1" x14ac:dyDescent="0.3">
      <c r="B2728" s="17" t="str">
        <f>IF('Marcación Workera'!G2728="","",INT('Marcación Workera'!G2728))</f>
        <v/>
      </c>
      <c r="C2728" s="18" t="str">
        <f>IF('Marcación Workera'!B2728="","",UPPER(SUBSTITUTE('Marcación Workera'!B2728,".","")))</f>
        <v/>
      </c>
    </row>
    <row r="2729" spans="2:3" ht="15" customHeight="1" x14ac:dyDescent="0.3">
      <c r="B2729" s="17" t="str">
        <f>IF('Marcación Workera'!G2729="","",INT('Marcación Workera'!G2729))</f>
        <v/>
      </c>
      <c r="C2729" s="18" t="str">
        <f>IF('Marcación Workera'!B2729="","",UPPER(SUBSTITUTE('Marcación Workera'!B2729,".","")))</f>
        <v/>
      </c>
    </row>
    <row r="2730" spans="2:3" ht="15" customHeight="1" x14ac:dyDescent="0.3">
      <c r="B2730" s="17" t="str">
        <f>IF('Marcación Workera'!G2730="","",INT('Marcación Workera'!G2730))</f>
        <v/>
      </c>
      <c r="C2730" s="18" t="str">
        <f>IF('Marcación Workera'!B2730="","",UPPER(SUBSTITUTE('Marcación Workera'!B2730,".","")))</f>
        <v/>
      </c>
    </row>
    <row r="2731" spans="2:3" ht="15" customHeight="1" x14ac:dyDescent="0.3">
      <c r="B2731" s="17" t="str">
        <f>IF('Marcación Workera'!G2731="","",INT('Marcación Workera'!G2731))</f>
        <v/>
      </c>
      <c r="C2731" s="18" t="str">
        <f>IF('Marcación Workera'!B2731="","",UPPER(SUBSTITUTE('Marcación Workera'!B2731,".","")))</f>
        <v/>
      </c>
    </row>
    <row r="2732" spans="2:3" ht="15" customHeight="1" x14ac:dyDescent="0.3">
      <c r="B2732" s="17" t="str">
        <f>IF('Marcación Workera'!G2732="","",INT('Marcación Workera'!G2732))</f>
        <v/>
      </c>
      <c r="C2732" s="18" t="str">
        <f>IF('Marcación Workera'!B2732="","",UPPER(SUBSTITUTE('Marcación Workera'!B2732,".","")))</f>
        <v/>
      </c>
    </row>
    <row r="2733" spans="2:3" ht="15" customHeight="1" x14ac:dyDescent="0.3">
      <c r="B2733" s="17" t="str">
        <f>IF('Marcación Workera'!G2733="","",INT('Marcación Workera'!G2733))</f>
        <v/>
      </c>
      <c r="C2733" s="18" t="str">
        <f>IF('Marcación Workera'!B2733="","",UPPER(SUBSTITUTE('Marcación Workera'!B2733,".","")))</f>
        <v/>
      </c>
    </row>
    <row r="2734" spans="2:3" ht="15" customHeight="1" x14ac:dyDescent="0.3">
      <c r="B2734" s="17" t="str">
        <f>IF('Marcación Workera'!G2734="","",INT('Marcación Workera'!G2734))</f>
        <v/>
      </c>
      <c r="C2734" s="18" t="str">
        <f>IF('Marcación Workera'!B2734="","",UPPER(SUBSTITUTE('Marcación Workera'!B2734,".","")))</f>
        <v/>
      </c>
    </row>
    <row r="2735" spans="2:3" ht="15" customHeight="1" x14ac:dyDescent="0.3">
      <c r="B2735" s="17" t="str">
        <f>IF('Marcación Workera'!G2735="","",INT('Marcación Workera'!G2735))</f>
        <v/>
      </c>
      <c r="C2735" s="18" t="str">
        <f>IF('Marcación Workera'!B2735="","",UPPER(SUBSTITUTE('Marcación Workera'!B2735,".","")))</f>
        <v/>
      </c>
    </row>
    <row r="2736" spans="2:3" ht="15" customHeight="1" x14ac:dyDescent="0.3">
      <c r="B2736" s="17" t="str">
        <f>IF('Marcación Workera'!G2736="","",INT('Marcación Workera'!G2736))</f>
        <v/>
      </c>
      <c r="C2736" s="18" t="str">
        <f>IF('Marcación Workera'!B2736="","",UPPER(SUBSTITUTE('Marcación Workera'!B2736,".","")))</f>
        <v/>
      </c>
    </row>
    <row r="2737" spans="2:3" ht="15" customHeight="1" x14ac:dyDescent="0.3">
      <c r="B2737" s="17" t="str">
        <f>IF('Marcación Workera'!G2737="","",INT('Marcación Workera'!G2737))</f>
        <v/>
      </c>
      <c r="C2737" s="18" t="str">
        <f>IF('Marcación Workera'!B2737="","",UPPER(SUBSTITUTE('Marcación Workera'!B2737,".","")))</f>
        <v/>
      </c>
    </row>
    <row r="2738" spans="2:3" ht="15" customHeight="1" x14ac:dyDescent="0.3">
      <c r="B2738" s="17" t="str">
        <f>IF('Marcación Workera'!G2738="","",INT('Marcación Workera'!G2738))</f>
        <v/>
      </c>
      <c r="C2738" s="18" t="str">
        <f>IF('Marcación Workera'!B2738="","",UPPER(SUBSTITUTE('Marcación Workera'!B2738,".","")))</f>
        <v/>
      </c>
    </row>
    <row r="2739" spans="2:3" ht="15" customHeight="1" x14ac:dyDescent="0.3">
      <c r="B2739" s="17" t="str">
        <f>IF('Marcación Workera'!G2739="","",INT('Marcación Workera'!G2739))</f>
        <v/>
      </c>
      <c r="C2739" s="18" t="str">
        <f>IF('Marcación Workera'!B2739="","",UPPER(SUBSTITUTE('Marcación Workera'!B2739,".","")))</f>
        <v/>
      </c>
    </row>
    <row r="2740" spans="2:3" ht="15" customHeight="1" x14ac:dyDescent="0.3">
      <c r="B2740" s="17" t="str">
        <f>IF('Marcación Workera'!G2740="","",INT('Marcación Workera'!G2740))</f>
        <v/>
      </c>
      <c r="C2740" s="18" t="str">
        <f>IF('Marcación Workera'!B2740="","",UPPER(SUBSTITUTE('Marcación Workera'!B2740,".","")))</f>
        <v/>
      </c>
    </row>
    <row r="2741" spans="2:3" ht="15" customHeight="1" x14ac:dyDescent="0.3">
      <c r="B2741" s="17" t="str">
        <f>IF('Marcación Workera'!G2741="","",INT('Marcación Workera'!G2741))</f>
        <v/>
      </c>
      <c r="C2741" s="18" t="str">
        <f>IF('Marcación Workera'!B2741="","",UPPER(SUBSTITUTE('Marcación Workera'!B2741,".","")))</f>
        <v/>
      </c>
    </row>
    <row r="2742" spans="2:3" ht="15" customHeight="1" x14ac:dyDescent="0.3">
      <c r="B2742" s="17" t="str">
        <f>IF('Marcación Workera'!G2742="","",INT('Marcación Workera'!G2742))</f>
        <v/>
      </c>
      <c r="C2742" s="18" t="str">
        <f>IF('Marcación Workera'!B2742="","",UPPER(SUBSTITUTE('Marcación Workera'!B2742,".","")))</f>
        <v/>
      </c>
    </row>
    <row r="2743" spans="2:3" ht="15" customHeight="1" x14ac:dyDescent="0.3">
      <c r="B2743" s="17" t="str">
        <f>IF('Marcación Workera'!G2743="","",INT('Marcación Workera'!G2743))</f>
        <v/>
      </c>
      <c r="C2743" s="18" t="str">
        <f>IF('Marcación Workera'!B2743="","",UPPER(SUBSTITUTE('Marcación Workera'!B2743,".","")))</f>
        <v/>
      </c>
    </row>
    <row r="2744" spans="2:3" ht="15" customHeight="1" x14ac:dyDescent="0.3">
      <c r="B2744" s="17" t="str">
        <f>IF('Marcación Workera'!G2744="","",INT('Marcación Workera'!G2744))</f>
        <v/>
      </c>
      <c r="C2744" s="18" t="str">
        <f>IF('Marcación Workera'!B2744="","",UPPER(SUBSTITUTE('Marcación Workera'!B2744,".","")))</f>
        <v/>
      </c>
    </row>
    <row r="2745" spans="2:3" ht="15" customHeight="1" x14ac:dyDescent="0.3">
      <c r="B2745" s="17" t="str">
        <f>IF('Marcación Workera'!G2745="","",INT('Marcación Workera'!G2745))</f>
        <v/>
      </c>
      <c r="C2745" s="18" t="str">
        <f>IF('Marcación Workera'!B2745="","",UPPER(SUBSTITUTE('Marcación Workera'!B2745,".","")))</f>
        <v/>
      </c>
    </row>
    <row r="2746" spans="2:3" ht="15" customHeight="1" x14ac:dyDescent="0.3">
      <c r="B2746" s="17" t="str">
        <f>IF('Marcación Workera'!G2746="","",INT('Marcación Workera'!G2746))</f>
        <v/>
      </c>
      <c r="C2746" s="18" t="str">
        <f>IF('Marcación Workera'!B2746="","",UPPER(SUBSTITUTE('Marcación Workera'!B2746,".","")))</f>
        <v/>
      </c>
    </row>
    <row r="2747" spans="2:3" ht="15" customHeight="1" x14ac:dyDescent="0.3">
      <c r="B2747" s="17" t="str">
        <f>IF('Marcación Workera'!G2747="","",INT('Marcación Workera'!G2747))</f>
        <v/>
      </c>
      <c r="C2747" s="18" t="str">
        <f>IF('Marcación Workera'!B2747="","",UPPER(SUBSTITUTE('Marcación Workera'!B2747,".","")))</f>
        <v/>
      </c>
    </row>
    <row r="2748" spans="2:3" ht="15" customHeight="1" x14ac:dyDescent="0.3">
      <c r="B2748" s="17" t="str">
        <f>IF('Marcación Workera'!G2748="","",INT('Marcación Workera'!G2748))</f>
        <v/>
      </c>
      <c r="C2748" s="18" t="str">
        <f>IF('Marcación Workera'!B2748="","",UPPER(SUBSTITUTE('Marcación Workera'!B2748,".","")))</f>
        <v/>
      </c>
    </row>
    <row r="2749" spans="2:3" ht="15" customHeight="1" x14ac:dyDescent="0.3">
      <c r="B2749" s="17" t="str">
        <f>IF('Marcación Workera'!G2749="","",INT('Marcación Workera'!G2749))</f>
        <v/>
      </c>
      <c r="C2749" s="18" t="str">
        <f>IF('Marcación Workera'!B2749="","",UPPER(SUBSTITUTE('Marcación Workera'!B2749,".","")))</f>
        <v/>
      </c>
    </row>
    <row r="2750" spans="2:3" ht="15" customHeight="1" x14ac:dyDescent="0.3">
      <c r="B2750" s="17" t="str">
        <f>IF('Marcación Workera'!G2750="","",INT('Marcación Workera'!G2750))</f>
        <v/>
      </c>
      <c r="C2750" s="18" t="str">
        <f>IF('Marcación Workera'!B2750="","",UPPER(SUBSTITUTE('Marcación Workera'!B2750,".","")))</f>
        <v/>
      </c>
    </row>
    <row r="2751" spans="2:3" ht="15" customHeight="1" x14ac:dyDescent="0.3">
      <c r="B2751" s="17" t="str">
        <f>IF('Marcación Workera'!G2751="","",INT('Marcación Workera'!G2751))</f>
        <v/>
      </c>
      <c r="C2751" s="18" t="str">
        <f>IF('Marcación Workera'!B2751="","",UPPER(SUBSTITUTE('Marcación Workera'!B2751,".","")))</f>
        <v/>
      </c>
    </row>
    <row r="2752" spans="2:3" ht="15" customHeight="1" x14ac:dyDescent="0.3">
      <c r="B2752" s="17" t="str">
        <f>IF('Marcación Workera'!G2752="","",INT('Marcación Workera'!G2752))</f>
        <v/>
      </c>
      <c r="C2752" s="18" t="str">
        <f>IF('Marcación Workera'!B2752="","",UPPER(SUBSTITUTE('Marcación Workera'!B2752,".","")))</f>
        <v/>
      </c>
    </row>
    <row r="2753" spans="2:3" ht="15" customHeight="1" x14ac:dyDescent="0.3">
      <c r="B2753" s="17" t="str">
        <f>IF('Marcación Workera'!G2753="","",INT('Marcación Workera'!G2753))</f>
        <v/>
      </c>
      <c r="C2753" s="18" t="str">
        <f>IF('Marcación Workera'!B2753="","",UPPER(SUBSTITUTE('Marcación Workera'!B2753,".","")))</f>
        <v/>
      </c>
    </row>
    <row r="2754" spans="2:3" ht="15" customHeight="1" x14ac:dyDescent="0.3">
      <c r="B2754" s="17" t="str">
        <f>IF('Marcación Workera'!G2754="","",INT('Marcación Workera'!G2754))</f>
        <v/>
      </c>
      <c r="C2754" s="18" t="str">
        <f>IF('Marcación Workera'!B2754="","",UPPER(SUBSTITUTE('Marcación Workera'!B2754,".","")))</f>
        <v/>
      </c>
    </row>
    <row r="2755" spans="2:3" ht="15" customHeight="1" x14ac:dyDescent="0.3">
      <c r="B2755" s="17" t="str">
        <f>IF('Marcación Workera'!G2755="","",INT('Marcación Workera'!G2755))</f>
        <v/>
      </c>
      <c r="C2755" s="18" t="str">
        <f>IF('Marcación Workera'!B2755="","",UPPER(SUBSTITUTE('Marcación Workera'!B2755,".","")))</f>
        <v/>
      </c>
    </row>
    <row r="2756" spans="2:3" ht="15" customHeight="1" x14ac:dyDescent="0.3">
      <c r="B2756" s="17" t="str">
        <f>IF('Marcación Workera'!G2756="","",INT('Marcación Workera'!G2756))</f>
        <v/>
      </c>
      <c r="C2756" s="18" t="str">
        <f>IF('Marcación Workera'!B2756="","",UPPER(SUBSTITUTE('Marcación Workera'!B2756,".","")))</f>
        <v/>
      </c>
    </row>
    <row r="2757" spans="2:3" ht="15" customHeight="1" x14ac:dyDescent="0.3">
      <c r="B2757" s="17" t="str">
        <f>IF('Marcación Workera'!G2757="","",INT('Marcación Workera'!G2757))</f>
        <v/>
      </c>
      <c r="C2757" s="18" t="str">
        <f>IF('Marcación Workera'!B2757="","",UPPER(SUBSTITUTE('Marcación Workera'!B2757,".","")))</f>
        <v/>
      </c>
    </row>
    <row r="2758" spans="2:3" ht="15" customHeight="1" x14ac:dyDescent="0.3">
      <c r="B2758" s="17" t="str">
        <f>IF('Marcación Workera'!G2758="","",INT('Marcación Workera'!G2758))</f>
        <v/>
      </c>
      <c r="C2758" s="18" t="str">
        <f>IF('Marcación Workera'!B2758="","",UPPER(SUBSTITUTE('Marcación Workera'!B2758,".","")))</f>
        <v/>
      </c>
    </row>
    <row r="2759" spans="2:3" ht="15" customHeight="1" x14ac:dyDescent="0.3">
      <c r="B2759" s="17" t="str">
        <f>IF('Marcación Workera'!G2759="","",INT('Marcación Workera'!G2759))</f>
        <v/>
      </c>
      <c r="C2759" s="18" t="str">
        <f>IF('Marcación Workera'!B2759="","",UPPER(SUBSTITUTE('Marcación Workera'!B2759,".","")))</f>
        <v/>
      </c>
    </row>
    <row r="2760" spans="2:3" ht="15" customHeight="1" x14ac:dyDescent="0.3">
      <c r="B2760" s="17" t="str">
        <f>IF('Marcación Workera'!G2760="","",INT('Marcación Workera'!G2760))</f>
        <v/>
      </c>
      <c r="C2760" s="18" t="str">
        <f>IF('Marcación Workera'!B2760="","",UPPER(SUBSTITUTE('Marcación Workera'!B2760,".","")))</f>
        <v/>
      </c>
    </row>
    <row r="2761" spans="2:3" ht="15" customHeight="1" x14ac:dyDescent="0.3">
      <c r="B2761" s="17" t="str">
        <f>IF('Marcación Workera'!G2761="","",INT('Marcación Workera'!G2761))</f>
        <v/>
      </c>
      <c r="C2761" s="18" t="str">
        <f>IF('Marcación Workera'!B2761="","",UPPER(SUBSTITUTE('Marcación Workera'!B2761,".","")))</f>
        <v/>
      </c>
    </row>
    <row r="2762" spans="2:3" ht="15" customHeight="1" x14ac:dyDescent="0.3">
      <c r="B2762" s="17" t="str">
        <f>IF('Marcación Workera'!G2762="","",INT('Marcación Workera'!G2762))</f>
        <v/>
      </c>
      <c r="C2762" s="18" t="str">
        <f>IF('Marcación Workera'!B2762="","",UPPER(SUBSTITUTE('Marcación Workera'!B2762,".","")))</f>
        <v/>
      </c>
    </row>
    <row r="2763" spans="2:3" ht="15" customHeight="1" x14ac:dyDescent="0.3">
      <c r="B2763" s="17" t="str">
        <f>IF('Marcación Workera'!G2763="","",INT('Marcación Workera'!G2763))</f>
        <v/>
      </c>
      <c r="C2763" s="18" t="str">
        <f>IF('Marcación Workera'!B2763="","",UPPER(SUBSTITUTE('Marcación Workera'!B2763,".","")))</f>
        <v/>
      </c>
    </row>
    <row r="2764" spans="2:3" ht="15" customHeight="1" x14ac:dyDescent="0.3">
      <c r="B2764" s="17" t="str">
        <f>IF('Marcación Workera'!G2764="","",INT('Marcación Workera'!G2764))</f>
        <v/>
      </c>
      <c r="C2764" s="18" t="str">
        <f>IF('Marcación Workera'!B2764="","",UPPER(SUBSTITUTE('Marcación Workera'!B2764,".","")))</f>
        <v/>
      </c>
    </row>
    <row r="2765" spans="2:3" ht="15" customHeight="1" x14ac:dyDescent="0.3">
      <c r="B2765" s="17" t="str">
        <f>IF('Marcación Workera'!G2765="","",INT('Marcación Workera'!G2765))</f>
        <v/>
      </c>
      <c r="C2765" s="18" t="str">
        <f>IF('Marcación Workera'!B2765="","",UPPER(SUBSTITUTE('Marcación Workera'!B2765,".","")))</f>
        <v/>
      </c>
    </row>
    <row r="2766" spans="2:3" ht="15" customHeight="1" x14ac:dyDescent="0.3">
      <c r="B2766" s="17" t="str">
        <f>IF('Marcación Workera'!G2766="","",INT('Marcación Workera'!G2766))</f>
        <v/>
      </c>
      <c r="C2766" s="18" t="str">
        <f>IF('Marcación Workera'!B2766="","",UPPER(SUBSTITUTE('Marcación Workera'!B2766,".","")))</f>
        <v/>
      </c>
    </row>
    <row r="2767" spans="2:3" ht="15" customHeight="1" x14ac:dyDescent="0.3">
      <c r="B2767" s="17" t="str">
        <f>IF('Marcación Workera'!G2767="","",INT('Marcación Workera'!G2767))</f>
        <v/>
      </c>
      <c r="C2767" s="18" t="str">
        <f>IF('Marcación Workera'!B2767="","",UPPER(SUBSTITUTE('Marcación Workera'!B2767,".","")))</f>
        <v/>
      </c>
    </row>
    <row r="2768" spans="2:3" ht="15" customHeight="1" x14ac:dyDescent="0.3">
      <c r="B2768" s="17" t="str">
        <f>IF('Marcación Workera'!G2768="","",INT('Marcación Workera'!G2768))</f>
        <v/>
      </c>
      <c r="C2768" s="18" t="str">
        <f>IF('Marcación Workera'!B2768="","",UPPER(SUBSTITUTE('Marcación Workera'!B2768,".","")))</f>
        <v/>
      </c>
    </row>
    <row r="2769" spans="2:3" ht="15" customHeight="1" x14ac:dyDescent="0.3">
      <c r="B2769" s="17" t="str">
        <f>IF('Marcación Workera'!G2769="","",INT('Marcación Workera'!G2769))</f>
        <v/>
      </c>
      <c r="C2769" s="18" t="str">
        <f>IF('Marcación Workera'!B2769="","",UPPER(SUBSTITUTE('Marcación Workera'!B2769,".","")))</f>
        <v/>
      </c>
    </row>
    <row r="2770" spans="2:3" ht="15" customHeight="1" x14ac:dyDescent="0.3">
      <c r="B2770" s="17" t="str">
        <f>IF('Marcación Workera'!G2770="","",INT('Marcación Workera'!G2770))</f>
        <v/>
      </c>
      <c r="C2770" s="18" t="str">
        <f>IF('Marcación Workera'!B2770="","",UPPER(SUBSTITUTE('Marcación Workera'!B2770,".","")))</f>
        <v/>
      </c>
    </row>
    <row r="2771" spans="2:3" ht="15" customHeight="1" x14ac:dyDescent="0.3">
      <c r="B2771" s="17" t="str">
        <f>IF('Marcación Workera'!G2771="","",INT('Marcación Workera'!G2771))</f>
        <v/>
      </c>
      <c r="C2771" s="18" t="str">
        <f>IF('Marcación Workera'!B2771="","",UPPER(SUBSTITUTE('Marcación Workera'!B2771,".","")))</f>
        <v/>
      </c>
    </row>
    <row r="2772" spans="2:3" ht="15" customHeight="1" x14ac:dyDescent="0.3">
      <c r="B2772" s="17" t="str">
        <f>IF('Marcación Workera'!G2772="","",INT('Marcación Workera'!G2772))</f>
        <v/>
      </c>
      <c r="C2772" s="18" t="str">
        <f>IF('Marcación Workera'!B2772="","",UPPER(SUBSTITUTE('Marcación Workera'!B2772,".","")))</f>
        <v/>
      </c>
    </row>
    <row r="2773" spans="2:3" ht="15" customHeight="1" x14ac:dyDescent="0.3">
      <c r="B2773" s="17" t="str">
        <f>IF('Marcación Workera'!G2773="","",INT('Marcación Workera'!G2773))</f>
        <v/>
      </c>
      <c r="C2773" s="18" t="str">
        <f>IF('Marcación Workera'!B2773="","",UPPER(SUBSTITUTE('Marcación Workera'!B2773,".","")))</f>
        <v/>
      </c>
    </row>
    <row r="2774" spans="2:3" ht="15" customHeight="1" x14ac:dyDescent="0.3">
      <c r="B2774" s="17" t="str">
        <f>IF('Marcación Workera'!G2774="","",INT('Marcación Workera'!G2774))</f>
        <v/>
      </c>
      <c r="C2774" s="18" t="str">
        <f>IF('Marcación Workera'!B2774="","",UPPER(SUBSTITUTE('Marcación Workera'!B2774,".","")))</f>
        <v/>
      </c>
    </row>
    <row r="2775" spans="2:3" ht="15" customHeight="1" x14ac:dyDescent="0.3">
      <c r="B2775" s="17" t="str">
        <f>IF('Marcación Workera'!G2775="","",INT('Marcación Workera'!G2775))</f>
        <v/>
      </c>
      <c r="C2775" s="18" t="str">
        <f>IF('Marcación Workera'!B2775="","",UPPER(SUBSTITUTE('Marcación Workera'!B2775,".","")))</f>
        <v/>
      </c>
    </row>
    <row r="2776" spans="2:3" ht="15" customHeight="1" x14ac:dyDescent="0.3">
      <c r="B2776" s="17" t="str">
        <f>IF('Marcación Workera'!G2776="","",INT('Marcación Workera'!G2776))</f>
        <v/>
      </c>
      <c r="C2776" s="18" t="str">
        <f>IF('Marcación Workera'!B2776="","",UPPER(SUBSTITUTE('Marcación Workera'!B2776,".","")))</f>
        <v/>
      </c>
    </row>
    <row r="2777" spans="2:3" ht="15" customHeight="1" x14ac:dyDescent="0.3">
      <c r="B2777" s="17" t="str">
        <f>IF('Marcación Workera'!G2777="","",INT('Marcación Workera'!G2777))</f>
        <v/>
      </c>
      <c r="C2777" s="18" t="str">
        <f>IF('Marcación Workera'!B2777="","",UPPER(SUBSTITUTE('Marcación Workera'!B2777,".","")))</f>
        <v/>
      </c>
    </row>
    <row r="2778" spans="2:3" ht="15" customHeight="1" x14ac:dyDescent="0.3">
      <c r="B2778" s="17" t="str">
        <f>IF('Marcación Workera'!G2778="","",INT('Marcación Workera'!G2778))</f>
        <v/>
      </c>
      <c r="C2778" s="18" t="str">
        <f>IF('Marcación Workera'!B2778="","",UPPER(SUBSTITUTE('Marcación Workera'!B2778,".","")))</f>
        <v/>
      </c>
    </row>
    <row r="2779" spans="2:3" ht="15" customHeight="1" x14ac:dyDescent="0.3">
      <c r="B2779" s="17" t="str">
        <f>IF('Marcación Workera'!G2779="","",INT('Marcación Workera'!G2779))</f>
        <v/>
      </c>
      <c r="C2779" s="18" t="str">
        <f>IF('Marcación Workera'!B2779="","",UPPER(SUBSTITUTE('Marcación Workera'!B2779,".","")))</f>
        <v/>
      </c>
    </row>
    <row r="2780" spans="2:3" ht="15" customHeight="1" x14ac:dyDescent="0.3">
      <c r="B2780" s="17" t="str">
        <f>IF('Marcación Workera'!G2780="","",INT('Marcación Workera'!G2780))</f>
        <v/>
      </c>
      <c r="C2780" s="18" t="str">
        <f>IF('Marcación Workera'!B2780="","",UPPER(SUBSTITUTE('Marcación Workera'!B2780,".","")))</f>
        <v/>
      </c>
    </row>
    <row r="2781" spans="2:3" ht="15" customHeight="1" x14ac:dyDescent="0.3">
      <c r="B2781" s="17" t="str">
        <f>IF('Marcación Workera'!G2781="","",INT('Marcación Workera'!G2781))</f>
        <v/>
      </c>
      <c r="C2781" s="18" t="str">
        <f>IF('Marcación Workera'!B2781="","",UPPER(SUBSTITUTE('Marcación Workera'!B2781,".","")))</f>
        <v/>
      </c>
    </row>
    <row r="2782" spans="2:3" ht="15" customHeight="1" x14ac:dyDescent="0.3">
      <c r="B2782" s="17" t="str">
        <f>IF('Marcación Workera'!G2782="","",INT('Marcación Workera'!G2782))</f>
        <v/>
      </c>
      <c r="C2782" s="18" t="str">
        <f>IF('Marcación Workera'!B2782="","",UPPER(SUBSTITUTE('Marcación Workera'!B2782,".","")))</f>
        <v/>
      </c>
    </row>
    <row r="2783" spans="2:3" ht="15" customHeight="1" x14ac:dyDescent="0.3">
      <c r="B2783" s="17" t="str">
        <f>IF('Marcación Workera'!G2783="","",INT('Marcación Workera'!G2783))</f>
        <v/>
      </c>
      <c r="C2783" s="18" t="str">
        <f>IF('Marcación Workera'!B2783="","",UPPER(SUBSTITUTE('Marcación Workera'!B2783,".","")))</f>
        <v/>
      </c>
    </row>
    <row r="2784" spans="2:3" ht="15" customHeight="1" x14ac:dyDescent="0.3">
      <c r="B2784" s="17" t="str">
        <f>IF('Marcación Workera'!G2784="","",INT('Marcación Workera'!G2784))</f>
        <v/>
      </c>
      <c r="C2784" s="18" t="str">
        <f>IF('Marcación Workera'!B2784="","",UPPER(SUBSTITUTE('Marcación Workera'!B2784,".","")))</f>
        <v/>
      </c>
    </row>
    <row r="2785" spans="2:3" ht="15" customHeight="1" x14ac:dyDescent="0.3">
      <c r="B2785" s="17" t="str">
        <f>IF('Marcación Workera'!G2785="","",INT('Marcación Workera'!G2785))</f>
        <v/>
      </c>
      <c r="C2785" s="18" t="str">
        <f>IF('Marcación Workera'!B2785="","",UPPER(SUBSTITUTE('Marcación Workera'!B2785,".","")))</f>
        <v/>
      </c>
    </row>
    <row r="2786" spans="2:3" ht="15" customHeight="1" x14ac:dyDescent="0.3">
      <c r="B2786" s="17" t="str">
        <f>IF('Marcación Workera'!G2786="","",INT('Marcación Workera'!G2786))</f>
        <v/>
      </c>
      <c r="C2786" s="18" t="str">
        <f>IF('Marcación Workera'!B2786="","",UPPER(SUBSTITUTE('Marcación Workera'!B2786,".","")))</f>
        <v/>
      </c>
    </row>
    <row r="2787" spans="2:3" ht="15" customHeight="1" x14ac:dyDescent="0.3">
      <c r="B2787" s="17" t="str">
        <f>IF('Marcación Workera'!G2787="","",INT('Marcación Workera'!G2787))</f>
        <v/>
      </c>
      <c r="C2787" s="18" t="str">
        <f>IF('Marcación Workera'!B2787="","",UPPER(SUBSTITUTE('Marcación Workera'!B2787,".","")))</f>
        <v/>
      </c>
    </row>
    <row r="2788" spans="2:3" ht="15" customHeight="1" x14ac:dyDescent="0.3">
      <c r="B2788" s="17" t="str">
        <f>IF('Marcación Workera'!G2788="","",INT('Marcación Workera'!G2788))</f>
        <v/>
      </c>
      <c r="C2788" s="18" t="str">
        <f>IF('Marcación Workera'!B2788="","",UPPER(SUBSTITUTE('Marcación Workera'!B2788,".","")))</f>
        <v/>
      </c>
    </row>
    <row r="2789" spans="2:3" ht="15" customHeight="1" x14ac:dyDescent="0.3">
      <c r="B2789" s="17" t="str">
        <f>IF('Marcación Workera'!G2789="","",INT('Marcación Workera'!G2789))</f>
        <v/>
      </c>
      <c r="C2789" s="18" t="str">
        <f>IF('Marcación Workera'!B2789="","",UPPER(SUBSTITUTE('Marcación Workera'!B2789,".","")))</f>
        <v/>
      </c>
    </row>
    <row r="2790" spans="2:3" ht="15" customHeight="1" x14ac:dyDescent="0.3">
      <c r="B2790" s="17" t="str">
        <f>IF('Marcación Workera'!G2790="","",INT('Marcación Workera'!G2790))</f>
        <v/>
      </c>
      <c r="C2790" s="18" t="str">
        <f>IF('Marcación Workera'!B2790="","",UPPER(SUBSTITUTE('Marcación Workera'!B2790,".","")))</f>
        <v/>
      </c>
    </row>
    <row r="2791" spans="2:3" ht="15" customHeight="1" x14ac:dyDescent="0.3">
      <c r="B2791" s="17" t="str">
        <f>IF('Marcación Workera'!G2791="","",INT('Marcación Workera'!G2791))</f>
        <v/>
      </c>
      <c r="C2791" s="18" t="str">
        <f>IF('Marcación Workera'!B2791="","",UPPER(SUBSTITUTE('Marcación Workera'!B2791,".","")))</f>
        <v/>
      </c>
    </row>
    <row r="2792" spans="2:3" ht="15" customHeight="1" x14ac:dyDescent="0.3">
      <c r="B2792" s="17" t="str">
        <f>IF('Marcación Workera'!G2792="","",INT('Marcación Workera'!G2792))</f>
        <v/>
      </c>
      <c r="C2792" s="18" t="str">
        <f>IF('Marcación Workera'!B2792="","",UPPER(SUBSTITUTE('Marcación Workera'!B2792,".","")))</f>
        <v/>
      </c>
    </row>
    <row r="2793" spans="2:3" ht="15" customHeight="1" x14ac:dyDescent="0.3">
      <c r="B2793" s="17" t="str">
        <f>IF('Marcación Workera'!G2793="","",INT('Marcación Workera'!G2793))</f>
        <v/>
      </c>
      <c r="C2793" s="18" t="str">
        <f>IF('Marcación Workera'!B2793="","",UPPER(SUBSTITUTE('Marcación Workera'!B2793,".","")))</f>
        <v/>
      </c>
    </row>
    <row r="2794" spans="2:3" ht="15" customHeight="1" x14ac:dyDescent="0.3">
      <c r="B2794" s="17" t="str">
        <f>IF('Marcación Workera'!G2794="","",INT('Marcación Workera'!G2794))</f>
        <v/>
      </c>
      <c r="C2794" s="18" t="str">
        <f>IF('Marcación Workera'!B2794="","",UPPER(SUBSTITUTE('Marcación Workera'!B2794,".","")))</f>
        <v/>
      </c>
    </row>
    <row r="2795" spans="2:3" ht="15" customHeight="1" x14ac:dyDescent="0.3">
      <c r="B2795" s="17" t="str">
        <f>IF('Marcación Workera'!G2795="","",INT('Marcación Workera'!G2795))</f>
        <v/>
      </c>
      <c r="C2795" s="18" t="str">
        <f>IF('Marcación Workera'!B2795="","",UPPER(SUBSTITUTE('Marcación Workera'!B2795,".","")))</f>
        <v/>
      </c>
    </row>
    <row r="2796" spans="2:3" ht="15" customHeight="1" x14ac:dyDescent="0.3">
      <c r="B2796" s="17" t="str">
        <f>IF('Marcación Workera'!G2796="","",INT('Marcación Workera'!G2796))</f>
        <v/>
      </c>
      <c r="C2796" s="18" t="str">
        <f>IF('Marcación Workera'!B2796="","",UPPER(SUBSTITUTE('Marcación Workera'!B2796,".","")))</f>
        <v/>
      </c>
    </row>
    <row r="2797" spans="2:3" ht="15" customHeight="1" x14ac:dyDescent="0.3">
      <c r="B2797" s="17" t="str">
        <f>IF('Marcación Workera'!G2797="","",INT('Marcación Workera'!G2797))</f>
        <v/>
      </c>
      <c r="C2797" s="18" t="str">
        <f>IF('Marcación Workera'!B2797="","",UPPER(SUBSTITUTE('Marcación Workera'!B2797,".","")))</f>
        <v/>
      </c>
    </row>
    <row r="2798" spans="2:3" ht="15" customHeight="1" x14ac:dyDescent="0.3">
      <c r="B2798" s="17" t="str">
        <f>IF('Marcación Workera'!G2798="","",INT('Marcación Workera'!G2798))</f>
        <v/>
      </c>
      <c r="C2798" s="18" t="str">
        <f>IF('Marcación Workera'!B2798="","",UPPER(SUBSTITUTE('Marcación Workera'!B2798,".","")))</f>
        <v/>
      </c>
    </row>
    <row r="2799" spans="2:3" ht="15" customHeight="1" x14ac:dyDescent="0.3">
      <c r="B2799" s="17" t="str">
        <f>IF('Marcación Workera'!G2799="","",INT('Marcación Workera'!G2799))</f>
        <v/>
      </c>
      <c r="C2799" s="18" t="str">
        <f>IF('Marcación Workera'!B2799="","",UPPER(SUBSTITUTE('Marcación Workera'!B2799,".","")))</f>
        <v/>
      </c>
    </row>
    <row r="2800" spans="2:3" ht="15" customHeight="1" x14ac:dyDescent="0.3">
      <c r="B2800" s="17" t="str">
        <f>IF('Marcación Workera'!G2800="","",INT('Marcación Workera'!G2800))</f>
        <v/>
      </c>
      <c r="C2800" s="18" t="str">
        <f>IF('Marcación Workera'!B2800="","",UPPER(SUBSTITUTE('Marcación Workera'!B2800,".","")))</f>
        <v/>
      </c>
    </row>
    <row r="2801" spans="2:3" ht="15" customHeight="1" x14ac:dyDescent="0.3">
      <c r="B2801" s="17" t="str">
        <f>IF('Marcación Workera'!G2801="","",INT('Marcación Workera'!G2801))</f>
        <v/>
      </c>
      <c r="C2801" s="18" t="str">
        <f>IF('Marcación Workera'!B2801="","",UPPER(SUBSTITUTE('Marcación Workera'!B2801,".","")))</f>
        <v/>
      </c>
    </row>
    <row r="2802" spans="2:3" ht="15" customHeight="1" x14ac:dyDescent="0.3">
      <c r="B2802" s="17" t="str">
        <f>IF('Marcación Workera'!G2802="","",INT('Marcación Workera'!G2802))</f>
        <v/>
      </c>
      <c r="C2802" s="18" t="str">
        <f>IF('Marcación Workera'!B2802="","",UPPER(SUBSTITUTE('Marcación Workera'!B2802,".","")))</f>
        <v/>
      </c>
    </row>
    <row r="2803" spans="2:3" ht="15" customHeight="1" x14ac:dyDescent="0.3">
      <c r="B2803" s="17" t="str">
        <f>IF('Marcación Workera'!G2803="","",INT('Marcación Workera'!G2803))</f>
        <v/>
      </c>
      <c r="C2803" s="18" t="str">
        <f>IF('Marcación Workera'!B2803="","",UPPER(SUBSTITUTE('Marcación Workera'!B2803,".","")))</f>
        <v/>
      </c>
    </row>
    <row r="2804" spans="2:3" ht="15" customHeight="1" x14ac:dyDescent="0.3">
      <c r="B2804" s="17" t="str">
        <f>IF('Marcación Workera'!G2804="","",INT('Marcación Workera'!G2804))</f>
        <v/>
      </c>
      <c r="C2804" s="18" t="str">
        <f>IF('Marcación Workera'!B2804="","",UPPER(SUBSTITUTE('Marcación Workera'!B2804,".","")))</f>
        <v/>
      </c>
    </row>
    <row r="2805" spans="2:3" ht="15" customHeight="1" x14ac:dyDescent="0.3">
      <c r="B2805" s="17" t="str">
        <f>IF('Marcación Workera'!G2805="","",INT('Marcación Workera'!G2805))</f>
        <v/>
      </c>
      <c r="C2805" s="18" t="str">
        <f>IF('Marcación Workera'!B2805="","",UPPER(SUBSTITUTE('Marcación Workera'!B2805,".","")))</f>
        <v/>
      </c>
    </row>
    <row r="2806" spans="2:3" ht="15" customHeight="1" x14ac:dyDescent="0.3">
      <c r="B2806" s="17" t="str">
        <f>IF('Marcación Workera'!G2806="","",INT('Marcación Workera'!G2806))</f>
        <v/>
      </c>
      <c r="C2806" s="18" t="str">
        <f>IF('Marcación Workera'!B2806="","",UPPER(SUBSTITUTE('Marcación Workera'!B2806,".","")))</f>
        <v/>
      </c>
    </row>
    <row r="2807" spans="2:3" ht="15" customHeight="1" x14ac:dyDescent="0.3">
      <c r="B2807" s="17" t="str">
        <f>IF('Marcación Workera'!G2807="","",INT('Marcación Workera'!G2807))</f>
        <v/>
      </c>
      <c r="C2807" s="18" t="str">
        <f>IF('Marcación Workera'!B2807="","",UPPER(SUBSTITUTE('Marcación Workera'!B2807,".","")))</f>
        <v/>
      </c>
    </row>
    <row r="2808" spans="2:3" ht="15" customHeight="1" x14ac:dyDescent="0.3">
      <c r="B2808" s="17" t="str">
        <f>IF('Marcación Workera'!G2808="","",INT('Marcación Workera'!G2808))</f>
        <v/>
      </c>
      <c r="C2808" s="18" t="str">
        <f>IF('Marcación Workera'!B2808="","",UPPER(SUBSTITUTE('Marcación Workera'!B2808,".","")))</f>
        <v/>
      </c>
    </row>
    <row r="2809" spans="2:3" ht="15" customHeight="1" x14ac:dyDescent="0.3">
      <c r="B2809" s="17" t="str">
        <f>IF('Marcación Workera'!G2809="","",INT('Marcación Workera'!G2809))</f>
        <v/>
      </c>
      <c r="C2809" s="18" t="str">
        <f>IF('Marcación Workera'!B2809="","",UPPER(SUBSTITUTE('Marcación Workera'!B2809,".","")))</f>
        <v/>
      </c>
    </row>
    <row r="2810" spans="2:3" ht="15" customHeight="1" x14ac:dyDescent="0.3">
      <c r="B2810" s="17" t="str">
        <f>IF('Marcación Workera'!G2810="","",INT('Marcación Workera'!G2810))</f>
        <v/>
      </c>
      <c r="C2810" s="18" t="str">
        <f>IF('Marcación Workera'!B2810="","",UPPER(SUBSTITUTE('Marcación Workera'!B2810,".","")))</f>
        <v/>
      </c>
    </row>
    <row r="2811" spans="2:3" ht="15" customHeight="1" x14ac:dyDescent="0.3">
      <c r="B2811" s="17" t="str">
        <f>IF('Marcación Workera'!G2811="","",INT('Marcación Workera'!G2811))</f>
        <v/>
      </c>
      <c r="C2811" s="18" t="str">
        <f>IF('Marcación Workera'!B2811="","",UPPER(SUBSTITUTE('Marcación Workera'!B2811,".","")))</f>
        <v/>
      </c>
    </row>
    <row r="2812" spans="2:3" ht="15" customHeight="1" x14ac:dyDescent="0.3">
      <c r="B2812" s="17" t="str">
        <f>IF('Marcación Workera'!G2812="","",INT('Marcación Workera'!G2812))</f>
        <v/>
      </c>
      <c r="C2812" s="18" t="str">
        <f>IF('Marcación Workera'!B2812="","",UPPER(SUBSTITUTE('Marcación Workera'!B2812,".","")))</f>
        <v/>
      </c>
    </row>
    <row r="2813" spans="2:3" ht="15" customHeight="1" x14ac:dyDescent="0.3">
      <c r="B2813" s="17" t="str">
        <f>IF('Marcación Workera'!G2813="","",INT('Marcación Workera'!G2813))</f>
        <v/>
      </c>
      <c r="C2813" s="18" t="str">
        <f>IF('Marcación Workera'!B2813="","",UPPER(SUBSTITUTE('Marcación Workera'!B2813,".","")))</f>
        <v/>
      </c>
    </row>
    <row r="2814" spans="2:3" ht="15" customHeight="1" x14ac:dyDescent="0.3">
      <c r="B2814" s="17" t="str">
        <f>IF('Marcación Workera'!G2814="","",INT('Marcación Workera'!G2814))</f>
        <v/>
      </c>
      <c r="C2814" s="18" t="str">
        <f>IF('Marcación Workera'!B2814="","",UPPER(SUBSTITUTE('Marcación Workera'!B2814,".","")))</f>
        <v/>
      </c>
    </row>
    <row r="2815" spans="2:3" ht="15" customHeight="1" x14ac:dyDescent="0.3">
      <c r="B2815" s="17" t="str">
        <f>IF('Marcación Workera'!G2815="","",INT('Marcación Workera'!G2815))</f>
        <v/>
      </c>
      <c r="C2815" s="18" t="str">
        <f>IF('Marcación Workera'!B2815="","",UPPER(SUBSTITUTE('Marcación Workera'!B2815,".","")))</f>
        <v/>
      </c>
    </row>
    <row r="2816" spans="2:3" ht="15" customHeight="1" x14ac:dyDescent="0.3">
      <c r="B2816" s="17" t="str">
        <f>IF('Marcación Workera'!G2816="","",INT('Marcación Workera'!G2816))</f>
        <v/>
      </c>
      <c r="C2816" s="18" t="str">
        <f>IF('Marcación Workera'!B2816="","",UPPER(SUBSTITUTE('Marcación Workera'!B2816,".","")))</f>
        <v/>
      </c>
    </row>
    <row r="2817" spans="2:3" ht="15" customHeight="1" x14ac:dyDescent="0.3">
      <c r="B2817" s="17" t="str">
        <f>IF('Marcación Workera'!G2817="","",INT('Marcación Workera'!G2817))</f>
        <v/>
      </c>
      <c r="C2817" s="18" t="str">
        <f>IF('Marcación Workera'!B2817="","",UPPER(SUBSTITUTE('Marcación Workera'!B2817,".","")))</f>
        <v/>
      </c>
    </row>
    <row r="2818" spans="2:3" ht="15" customHeight="1" x14ac:dyDescent="0.3">
      <c r="B2818" s="17" t="str">
        <f>IF('Marcación Workera'!G2818="","",INT('Marcación Workera'!G2818))</f>
        <v/>
      </c>
      <c r="C2818" s="18" t="str">
        <f>IF('Marcación Workera'!B2818="","",UPPER(SUBSTITUTE('Marcación Workera'!B2818,".","")))</f>
        <v/>
      </c>
    </row>
    <row r="2819" spans="2:3" ht="15" customHeight="1" x14ac:dyDescent="0.3">
      <c r="B2819" s="17" t="str">
        <f>IF('Marcación Workera'!G2819="","",INT('Marcación Workera'!G2819))</f>
        <v/>
      </c>
      <c r="C2819" s="18" t="str">
        <f>IF('Marcación Workera'!B2819="","",UPPER(SUBSTITUTE('Marcación Workera'!B2819,".","")))</f>
        <v/>
      </c>
    </row>
    <row r="2820" spans="2:3" ht="15" customHeight="1" x14ac:dyDescent="0.3">
      <c r="B2820" s="17" t="str">
        <f>IF('Marcación Workera'!G2820="","",INT('Marcación Workera'!G2820))</f>
        <v/>
      </c>
      <c r="C2820" s="18" t="str">
        <f>IF('Marcación Workera'!B2820="","",UPPER(SUBSTITUTE('Marcación Workera'!B2820,".","")))</f>
        <v/>
      </c>
    </row>
    <row r="2821" spans="2:3" ht="15" customHeight="1" x14ac:dyDescent="0.3">
      <c r="B2821" s="17" t="str">
        <f>IF('Marcación Workera'!G2821="","",INT('Marcación Workera'!G2821))</f>
        <v/>
      </c>
      <c r="C2821" s="18" t="str">
        <f>IF('Marcación Workera'!B2821="","",UPPER(SUBSTITUTE('Marcación Workera'!B2821,".","")))</f>
        <v/>
      </c>
    </row>
    <row r="2822" spans="2:3" ht="15" customHeight="1" x14ac:dyDescent="0.3">
      <c r="B2822" s="17" t="str">
        <f>IF('Marcación Workera'!G2822="","",INT('Marcación Workera'!G2822))</f>
        <v/>
      </c>
      <c r="C2822" s="18" t="str">
        <f>IF('Marcación Workera'!B2822="","",UPPER(SUBSTITUTE('Marcación Workera'!B2822,".","")))</f>
        <v/>
      </c>
    </row>
    <row r="2823" spans="2:3" ht="15" customHeight="1" x14ac:dyDescent="0.3">
      <c r="B2823" s="17" t="str">
        <f>IF('Marcación Workera'!G2823="","",INT('Marcación Workera'!G2823))</f>
        <v/>
      </c>
      <c r="C2823" s="18" t="str">
        <f>IF('Marcación Workera'!B2823="","",UPPER(SUBSTITUTE('Marcación Workera'!B2823,".","")))</f>
        <v/>
      </c>
    </row>
    <row r="2824" spans="2:3" ht="15" customHeight="1" x14ac:dyDescent="0.3">
      <c r="B2824" s="17" t="str">
        <f>IF('Marcación Workera'!G2824="","",INT('Marcación Workera'!G2824))</f>
        <v/>
      </c>
      <c r="C2824" s="18" t="str">
        <f>IF('Marcación Workera'!B2824="","",UPPER(SUBSTITUTE('Marcación Workera'!B2824,".","")))</f>
        <v/>
      </c>
    </row>
    <row r="2825" spans="2:3" ht="15" customHeight="1" x14ac:dyDescent="0.3">
      <c r="B2825" s="17" t="str">
        <f>IF('Marcación Workera'!G2825="","",INT('Marcación Workera'!G2825))</f>
        <v/>
      </c>
      <c r="C2825" s="18" t="str">
        <f>IF('Marcación Workera'!B2825="","",UPPER(SUBSTITUTE('Marcación Workera'!B2825,".","")))</f>
        <v/>
      </c>
    </row>
    <row r="2826" spans="2:3" ht="15" customHeight="1" x14ac:dyDescent="0.3">
      <c r="B2826" s="17" t="str">
        <f>IF('Marcación Workera'!G2826="","",INT('Marcación Workera'!G2826))</f>
        <v/>
      </c>
      <c r="C2826" s="18" t="str">
        <f>IF('Marcación Workera'!B2826="","",UPPER(SUBSTITUTE('Marcación Workera'!B2826,".","")))</f>
        <v/>
      </c>
    </row>
    <row r="2827" spans="2:3" ht="15" customHeight="1" x14ac:dyDescent="0.3">
      <c r="B2827" s="17" t="str">
        <f>IF('Marcación Workera'!G2827="","",INT('Marcación Workera'!G2827))</f>
        <v/>
      </c>
      <c r="C2827" s="18" t="str">
        <f>IF('Marcación Workera'!B2827="","",UPPER(SUBSTITUTE('Marcación Workera'!B2827,".","")))</f>
        <v/>
      </c>
    </row>
    <row r="2828" spans="2:3" ht="15" customHeight="1" x14ac:dyDescent="0.3">
      <c r="B2828" s="17" t="str">
        <f>IF('Marcación Workera'!G2828="","",INT('Marcación Workera'!G2828))</f>
        <v/>
      </c>
      <c r="C2828" s="18" t="str">
        <f>IF('Marcación Workera'!B2828="","",UPPER(SUBSTITUTE('Marcación Workera'!B2828,".","")))</f>
        <v/>
      </c>
    </row>
    <row r="2829" spans="2:3" ht="15" customHeight="1" x14ac:dyDescent="0.3">
      <c r="B2829" s="17" t="str">
        <f>IF('Marcación Workera'!G2829="","",INT('Marcación Workera'!G2829))</f>
        <v/>
      </c>
      <c r="C2829" s="18" t="str">
        <f>IF('Marcación Workera'!B2829="","",UPPER(SUBSTITUTE('Marcación Workera'!B2829,".","")))</f>
        <v/>
      </c>
    </row>
    <row r="2830" spans="2:3" ht="15" customHeight="1" x14ac:dyDescent="0.3">
      <c r="B2830" s="17" t="str">
        <f>IF('Marcación Workera'!G2830="","",INT('Marcación Workera'!G2830))</f>
        <v/>
      </c>
      <c r="C2830" s="18" t="str">
        <f>IF('Marcación Workera'!B2830="","",UPPER(SUBSTITUTE('Marcación Workera'!B2830,".","")))</f>
        <v/>
      </c>
    </row>
    <row r="2831" spans="2:3" ht="15" customHeight="1" x14ac:dyDescent="0.3">
      <c r="B2831" s="17" t="str">
        <f>IF('Marcación Workera'!G2831="","",INT('Marcación Workera'!G2831))</f>
        <v/>
      </c>
      <c r="C2831" s="18" t="str">
        <f>IF('Marcación Workera'!B2831="","",UPPER(SUBSTITUTE('Marcación Workera'!B2831,".","")))</f>
        <v/>
      </c>
    </row>
    <row r="2832" spans="2:3" ht="15" customHeight="1" x14ac:dyDescent="0.3">
      <c r="B2832" s="17" t="str">
        <f>IF('Marcación Workera'!G2832="","",INT('Marcación Workera'!G2832))</f>
        <v/>
      </c>
      <c r="C2832" s="18" t="str">
        <f>IF('Marcación Workera'!B2832="","",UPPER(SUBSTITUTE('Marcación Workera'!B2832,".","")))</f>
        <v/>
      </c>
    </row>
    <row r="2833" spans="2:3" ht="15" customHeight="1" x14ac:dyDescent="0.3">
      <c r="B2833" s="17" t="str">
        <f>IF('Marcación Workera'!G2833="","",INT('Marcación Workera'!G2833))</f>
        <v/>
      </c>
      <c r="C2833" s="18" t="str">
        <f>IF('Marcación Workera'!B2833="","",UPPER(SUBSTITUTE('Marcación Workera'!B2833,".","")))</f>
        <v/>
      </c>
    </row>
    <row r="2834" spans="2:3" ht="15" customHeight="1" x14ac:dyDescent="0.3">
      <c r="B2834" s="17" t="str">
        <f>IF('Marcación Workera'!G2834="","",INT('Marcación Workera'!G2834))</f>
        <v/>
      </c>
      <c r="C2834" s="18" t="str">
        <f>IF('Marcación Workera'!B2834="","",UPPER(SUBSTITUTE('Marcación Workera'!B2834,".","")))</f>
        <v/>
      </c>
    </row>
    <row r="2835" spans="2:3" ht="15" customHeight="1" x14ac:dyDescent="0.3">
      <c r="B2835" s="17" t="str">
        <f>IF('Marcación Workera'!G2835="","",INT('Marcación Workera'!G2835))</f>
        <v/>
      </c>
      <c r="C2835" s="18" t="str">
        <f>IF('Marcación Workera'!B2835="","",UPPER(SUBSTITUTE('Marcación Workera'!B2835,".","")))</f>
        <v/>
      </c>
    </row>
    <row r="2836" spans="2:3" ht="15" customHeight="1" x14ac:dyDescent="0.3">
      <c r="B2836" s="17" t="str">
        <f>IF('Marcación Workera'!G2836="","",INT('Marcación Workera'!G2836))</f>
        <v/>
      </c>
      <c r="C2836" s="18" t="str">
        <f>IF('Marcación Workera'!B2836="","",UPPER(SUBSTITUTE('Marcación Workera'!B2836,".","")))</f>
        <v/>
      </c>
    </row>
    <row r="2837" spans="2:3" ht="15" customHeight="1" x14ac:dyDescent="0.3">
      <c r="B2837" s="17" t="str">
        <f>IF('Marcación Workera'!G2837="","",INT('Marcación Workera'!G2837))</f>
        <v/>
      </c>
      <c r="C2837" s="18" t="str">
        <f>IF('Marcación Workera'!B2837="","",UPPER(SUBSTITUTE('Marcación Workera'!B2837,".","")))</f>
        <v/>
      </c>
    </row>
    <row r="2838" spans="2:3" ht="15" customHeight="1" x14ac:dyDescent="0.3">
      <c r="B2838" s="17" t="str">
        <f>IF('Marcación Workera'!G2838="","",INT('Marcación Workera'!G2838))</f>
        <v/>
      </c>
      <c r="C2838" s="18" t="str">
        <f>IF('Marcación Workera'!B2838="","",UPPER(SUBSTITUTE('Marcación Workera'!B2838,".","")))</f>
        <v/>
      </c>
    </row>
    <row r="2839" spans="2:3" ht="15" customHeight="1" x14ac:dyDescent="0.3">
      <c r="B2839" s="17" t="str">
        <f>IF('Marcación Workera'!G2839="","",INT('Marcación Workera'!G2839))</f>
        <v/>
      </c>
      <c r="C2839" s="18" t="str">
        <f>IF('Marcación Workera'!B2839="","",UPPER(SUBSTITUTE('Marcación Workera'!B2839,".","")))</f>
        <v/>
      </c>
    </row>
    <row r="2840" spans="2:3" ht="15" customHeight="1" x14ac:dyDescent="0.3">
      <c r="B2840" s="17" t="str">
        <f>IF('Marcación Workera'!G2840="","",INT('Marcación Workera'!G2840))</f>
        <v/>
      </c>
      <c r="C2840" s="18" t="str">
        <f>IF('Marcación Workera'!B2840="","",UPPER(SUBSTITUTE('Marcación Workera'!B2840,".","")))</f>
        <v/>
      </c>
    </row>
    <row r="2841" spans="2:3" ht="15" customHeight="1" x14ac:dyDescent="0.3">
      <c r="B2841" s="17" t="str">
        <f>IF('Marcación Workera'!G2841="","",INT('Marcación Workera'!G2841))</f>
        <v/>
      </c>
      <c r="C2841" s="18" t="str">
        <f>IF('Marcación Workera'!B2841="","",UPPER(SUBSTITUTE('Marcación Workera'!B2841,".","")))</f>
        <v/>
      </c>
    </row>
    <row r="2842" spans="2:3" ht="15" customHeight="1" x14ac:dyDescent="0.3">
      <c r="B2842" s="17" t="str">
        <f>IF('Marcación Workera'!G2842="","",INT('Marcación Workera'!G2842))</f>
        <v/>
      </c>
      <c r="C2842" s="18" t="str">
        <f>IF('Marcación Workera'!B2842="","",UPPER(SUBSTITUTE('Marcación Workera'!B2842,".","")))</f>
        <v/>
      </c>
    </row>
    <row r="2843" spans="2:3" ht="15" customHeight="1" x14ac:dyDescent="0.3">
      <c r="B2843" s="17" t="str">
        <f>IF('Marcación Workera'!G2843="","",INT('Marcación Workera'!G2843))</f>
        <v/>
      </c>
      <c r="C2843" s="18" t="str">
        <f>IF('Marcación Workera'!B2843="","",UPPER(SUBSTITUTE('Marcación Workera'!B2843,".","")))</f>
        <v/>
      </c>
    </row>
    <row r="2844" spans="2:3" ht="15" customHeight="1" x14ac:dyDescent="0.3">
      <c r="B2844" s="17" t="str">
        <f>IF('Marcación Workera'!G2844="","",INT('Marcación Workera'!G2844))</f>
        <v/>
      </c>
      <c r="C2844" s="18" t="str">
        <f>IF('Marcación Workera'!B2844="","",UPPER(SUBSTITUTE('Marcación Workera'!B2844,".","")))</f>
        <v/>
      </c>
    </row>
    <row r="2845" spans="2:3" ht="15" customHeight="1" x14ac:dyDescent="0.3">
      <c r="B2845" s="17" t="str">
        <f>IF('Marcación Workera'!G2845="","",INT('Marcación Workera'!G2845))</f>
        <v/>
      </c>
      <c r="C2845" s="18" t="str">
        <f>IF('Marcación Workera'!B2845="","",UPPER(SUBSTITUTE('Marcación Workera'!B2845,".","")))</f>
        <v/>
      </c>
    </row>
    <row r="2846" spans="2:3" ht="15" customHeight="1" x14ac:dyDescent="0.3">
      <c r="B2846" s="17" t="str">
        <f>IF('Marcación Workera'!G2846="","",INT('Marcación Workera'!G2846))</f>
        <v/>
      </c>
      <c r="C2846" s="18" t="str">
        <f>IF('Marcación Workera'!B2846="","",UPPER(SUBSTITUTE('Marcación Workera'!B2846,".","")))</f>
        <v/>
      </c>
    </row>
    <row r="2847" spans="2:3" ht="15" customHeight="1" x14ac:dyDescent="0.3">
      <c r="B2847" s="17" t="str">
        <f>IF('Marcación Workera'!G2847="","",INT('Marcación Workera'!G2847))</f>
        <v/>
      </c>
      <c r="C2847" s="18" t="str">
        <f>IF('Marcación Workera'!B2847="","",UPPER(SUBSTITUTE('Marcación Workera'!B2847,".","")))</f>
        <v/>
      </c>
    </row>
    <row r="2848" spans="2:3" ht="15" customHeight="1" x14ac:dyDescent="0.3">
      <c r="B2848" s="17" t="str">
        <f>IF('Marcación Workera'!G2848="","",INT('Marcación Workera'!G2848))</f>
        <v/>
      </c>
      <c r="C2848" s="18" t="str">
        <f>IF('Marcación Workera'!B2848="","",UPPER(SUBSTITUTE('Marcación Workera'!B2848,".","")))</f>
        <v/>
      </c>
    </row>
    <row r="2849" spans="2:3" ht="15" customHeight="1" x14ac:dyDescent="0.3">
      <c r="B2849" s="17" t="str">
        <f>IF('Marcación Workera'!G2849="","",INT('Marcación Workera'!G2849))</f>
        <v/>
      </c>
      <c r="C2849" s="18" t="str">
        <f>IF('Marcación Workera'!B2849="","",UPPER(SUBSTITUTE('Marcación Workera'!B2849,".","")))</f>
        <v/>
      </c>
    </row>
    <row r="2850" spans="2:3" ht="15" customHeight="1" x14ac:dyDescent="0.3">
      <c r="B2850" s="17" t="str">
        <f>IF('Marcación Workera'!G2850="","",INT('Marcación Workera'!G2850))</f>
        <v/>
      </c>
      <c r="C2850" s="18" t="str">
        <f>IF('Marcación Workera'!B2850="","",UPPER(SUBSTITUTE('Marcación Workera'!B2850,".","")))</f>
        <v/>
      </c>
    </row>
    <row r="2851" spans="2:3" ht="15" customHeight="1" x14ac:dyDescent="0.3">
      <c r="B2851" s="17" t="str">
        <f>IF('Marcación Workera'!G2851="","",INT('Marcación Workera'!G2851))</f>
        <v/>
      </c>
      <c r="C2851" s="18" t="str">
        <f>IF('Marcación Workera'!B2851="","",UPPER(SUBSTITUTE('Marcación Workera'!B2851,".","")))</f>
        <v/>
      </c>
    </row>
    <row r="2852" spans="2:3" ht="15" customHeight="1" x14ac:dyDescent="0.3">
      <c r="B2852" s="17" t="str">
        <f>IF('Marcación Workera'!G2852="","",INT('Marcación Workera'!G2852))</f>
        <v/>
      </c>
      <c r="C2852" s="18" t="str">
        <f>IF('Marcación Workera'!B2852="","",UPPER(SUBSTITUTE('Marcación Workera'!B2852,".","")))</f>
        <v/>
      </c>
    </row>
    <row r="2853" spans="2:3" ht="15" customHeight="1" x14ac:dyDescent="0.3">
      <c r="B2853" s="17" t="str">
        <f>IF('Marcación Workera'!G2853="","",INT('Marcación Workera'!G2853))</f>
        <v/>
      </c>
      <c r="C2853" s="18" t="str">
        <f>IF('Marcación Workera'!B2853="","",UPPER(SUBSTITUTE('Marcación Workera'!B2853,".","")))</f>
        <v/>
      </c>
    </row>
    <row r="2854" spans="2:3" ht="15" customHeight="1" x14ac:dyDescent="0.3">
      <c r="B2854" s="17" t="str">
        <f>IF('Marcación Workera'!G2854="","",INT('Marcación Workera'!G2854))</f>
        <v/>
      </c>
      <c r="C2854" s="18" t="str">
        <f>IF('Marcación Workera'!B2854="","",UPPER(SUBSTITUTE('Marcación Workera'!B2854,".","")))</f>
        <v/>
      </c>
    </row>
    <row r="2855" spans="2:3" ht="15" customHeight="1" x14ac:dyDescent="0.3">
      <c r="B2855" s="17" t="str">
        <f>IF('Marcación Workera'!G2855="","",INT('Marcación Workera'!G2855))</f>
        <v/>
      </c>
      <c r="C2855" s="18" t="str">
        <f>IF('Marcación Workera'!B2855="","",UPPER(SUBSTITUTE('Marcación Workera'!B2855,".","")))</f>
        <v/>
      </c>
    </row>
    <row r="2856" spans="2:3" ht="15" customHeight="1" x14ac:dyDescent="0.3">
      <c r="B2856" s="17" t="str">
        <f>IF('Marcación Workera'!G2856="","",INT('Marcación Workera'!G2856))</f>
        <v/>
      </c>
      <c r="C2856" s="18" t="str">
        <f>IF('Marcación Workera'!B2856="","",UPPER(SUBSTITUTE('Marcación Workera'!B2856,".","")))</f>
        <v/>
      </c>
    </row>
    <row r="2857" spans="2:3" ht="15" customHeight="1" x14ac:dyDescent="0.3">
      <c r="B2857" s="17" t="str">
        <f>IF('Marcación Workera'!G2857="","",INT('Marcación Workera'!G2857))</f>
        <v/>
      </c>
      <c r="C2857" s="18" t="str">
        <f>IF('Marcación Workera'!B2857="","",UPPER(SUBSTITUTE('Marcación Workera'!B2857,".","")))</f>
        <v/>
      </c>
    </row>
    <row r="2858" spans="2:3" ht="15" customHeight="1" x14ac:dyDescent="0.3">
      <c r="B2858" s="17" t="str">
        <f>IF('Marcación Workera'!G2858="","",INT('Marcación Workera'!G2858))</f>
        <v/>
      </c>
      <c r="C2858" s="18" t="str">
        <f>IF('Marcación Workera'!B2858="","",UPPER(SUBSTITUTE('Marcación Workera'!B2858,".","")))</f>
        <v/>
      </c>
    </row>
    <row r="2859" spans="2:3" ht="15" customHeight="1" x14ac:dyDescent="0.3">
      <c r="B2859" s="17" t="str">
        <f>IF('Marcación Workera'!G2859="","",INT('Marcación Workera'!G2859))</f>
        <v/>
      </c>
      <c r="C2859" s="18" t="str">
        <f>IF('Marcación Workera'!B2859="","",UPPER(SUBSTITUTE('Marcación Workera'!B2859,".","")))</f>
        <v/>
      </c>
    </row>
    <row r="2860" spans="2:3" ht="15" customHeight="1" x14ac:dyDescent="0.3">
      <c r="B2860" s="17" t="str">
        <f>IF('Marcación Workera'!G2860="","",INT('Marcación Workera'!G2860))</f>
        <v/>
      </c>
      <c r="C2860" s="18" t="str">
        <f>IF('Marcación Workera'!B2860="","",UPPER(SUBSTITUTE('Marcación Workera'!B2860,".","")))</f>
        <v/>
      </c>
    </row>
    <row r="2861" spans="2:3" ht="15" customHeight="1" x14ac:dyDescent="0.3">
      <c r="B2861" s="17" t="str">
        <f>IF('Marcación Workera'!G2861="","",INT('Marcación Workera'!G2861))</f>
        <v/>
      </c>
      <c r="C2861" s="18" t="str">
        <f>IF('Marcación Workera'!B2861="","",UPPER(SUBSTITUTE('Marcación Workera'!B2861,".","")))</f>
        <v/>
      </c>
    </row>
    <row r="2862" spans="2:3" ht="15" customHeight="1" x14ac:dyDescent="0.3">
      <c r="B2862" s="17" t="str">
        <f>IF('Marcación Workera'!G2862="","",INT('Marcación Workera'!G2862))</f>
        <v/>
      </c>
      <c r="C2862" s="18" t="str">
        <f>IF('Marcación Workera'!B2862="","",UPPER(SUBSTITUTE('Marcación Workera'!B2862,".","")))</f>
        <v/>
      </c>
    </row>
    <row r="2863" spans="2:3" ht="15" customHeight="1" x14ac:dyDescent="0.3">
      <c r="B2863" s="17" t="str">
        <f>IF('Marcación Workera'!G2863="","",INT('Marcación Workera'!G2863))</f>
        <v/>
      </c>
      <c r="C2863" s="18" t="str">
        <f>IF('Marcación Workera'!B2863="","",UPPER(SUBSTITUTE('Marcación Workera'!B2863,".","")))</f>
        <v/>
      </c>
    </row>
    <row r="2864" spans="2:3" ht="15" customHeight="1" x14ac:dyDescent="0.3">
      <c r="B2864" s="17" t="str">
        <f>IF('Marcación Workera'!G2864="","",INT('Marcación Workera'!G2864))</f>
        <v/>
      </c>
      <c r="C2864" s="18" t="str">
        <f>IF('Marcación Workera'!B2864="","",UPPER(SUBSTITUTE('Marcación Workera'!B2864,".","")))</f>
        <v/>
      </c>
    </row>
    <row r="2865" spans="2:3" ht="15" customHeight="1" x14ac:dyDescent="0.3">
      <c r="B2865" s="17" t="str">
        <f>IF('Marcación Workera'!G2865="","",INT('Marcación Workera'!G2865))</f>
        <v/>
      </c>
      <c r="C2865" s="18" t="str">
        <f>IF('Marcación Workera'!B2865="","",UPPER(SUBSTITUTE('Marcación Workera'!B2865,".","")))</f>
        <v/>
      </c>
    </row>
    <row r="2866" spans="2:3" ht="15" customHeight="1" x14ac:dyDescent="0.3">
      <c r="B2866" s="17" t="str">
        <f>IF('Marcación Workera'!G2866="","",INT('Marcación Workera'!G2866))</f>
        <v/>
      </c>
      <c r="C2866" s="18" t="str">
        <f>IF('Marcación Workera'!B2866="","",UPPER(SUBSTITUTE('Marcación Workera'!B2866,".","")))</f>
        <v/>
      </c>
    </row>
    <row r="2867" spans="2:3" ht="15" customHeight="1" x14ac:dyDescent="0.3">
      <c r="B2867" s="17" t="str">
        <f>IF('Marcación Workera'!G2867="","",INT('Marcación Workera'!G2867))</f>
        <v/>
      </c>
      <c r="C2867" s="18" t="str">
        <f>IF('Marcación Workera'!B2867="","",UPPER(SUBSTITUTE('Marcación Workera'!B2867,".","")))</f>
        <v/>
      </c>
    </row>
    <row r="2868" spans="2:3" ht="15" customHeight="1" x14ac:dyDescent="0.3">
      <c r="B2868" s="17" t="str">
        <f>IF('Marcación Workera'!G2868="","",INT('Marcación Workera'!G2868))</f>
        <v/>
      </c>
      <c r="C2868" s="18" t="str">
        <f>IF('Marcación Workera'!B2868="","",UPPER(SUBSTITUTE('Marcación Workera'!B2868,".","")))</f>
        <v/>
      </c>
    </row>
    <row r="2869" spans="2:3" ht="15" customHeight="1" x14ac:dyDescent="0.3">
      <c r="B2869" s="17" t="str">
        <f>IF('Marcación Workera'!G2869="","",INT('Marcación Workera'!G2869))</f>
        <v/>
      </c>
      <c r="C2869" s="18" t="str">
        <f>IF('Marcación Workera'!B2869="","",UPPER(SUBSTITUTE('Marcación Workera'!B2869,".","")))</f>
        <v/>
      </c>
    </row>
    <row r="2870" spans="2:3" ht="15" customHeight="1" x14ac:dyDescent="0.3">
      <c r="B2870" s="17" t="str">
        <f>IF('Marcación Workera'!G2870="","",INT('Marcación Workera'!G2870))</f>
        <v/>
      </c>
      <c r="C2870" s="18" t="str">
        <f>IF('Marcación Workera'!B2870="","",UPPER(SUBSTITUTE('Marcación Workera'!B2870,".","")))</f>
        <v/>
      </c>
    </row>
    <row r="2871" spans="2:3" ht="15" customHeight="1" x14ac:dyDescent="0.3">
      <c r="B2871" s="17" t="str">
        <f>IF('Marcación Workera'!G2871="","",INT('Marcación Workera'!G2871))</f>
        <v/>
      </c>
      <c r="C2871" s="18" t="str">
        <f>IF('Marcación Workera'!B2871="","",UPPER(SUBSTITUTE('Marcación Workera'!B2871,".","")))</f>
        <v/>
      </c>
    </row>
    <row r="2872" spans="2:3" ht="15" customHeight="1" x14ac:dyDescent="0.3">
      <c r="B2872" s="17" t="str">
        <f>IF('Marcación Workera'!G2872="","",INT('Marcación Workera'!G2872))</f>
        <v/>
      </c>
      <c r="C2872" s="18" t="str">
        <f>IF('Marcación Workera'!B2872="","",UPPER(SUBSTITUTE('Marcación Workera'!B2872,".","")))</f>
        <v/>
      </c>
    </row>
    <row r="2873" spans="2:3" ht="15" customHeight="1" x14ac:dyDescent="0.3">
      <c r="B2873" s="17" t="str">
        <f>IF('Marcación Workera'!G2873="","",INT('Marcación Workera'!G2873))</f>
        <v/>
      </c>
      <c r="C2873" s="18" t="str">
        <f>IF('Marcación Workera'!B2873="","",UPPER(SUBSTITUTE('Marcación Workera'!B2873,".","")))</f>
        <v/>
      </c>
    </row>
    <row r="2874" spans="2:3" ht="15" customHeight="1" x14ac:dyDescent="0.3">
      <c r="B2874" s="17" t="str">
        <f>IF('Marcación Workera'!G2874="","",INT('Marcación Workera'!G2874))</f>
        <v/>
      </c>
      <c r="C2874" s="18" t="str">
        <f>IF('Marcación Workera'!B2874="","",UPPER(SUBSTITUTE('Marcación Workera'!B2874,".","")))</f>
        <v/>
      </c>
    </row>
    <row r="2875" spans="2:3" ht="15" customHeight="1" x14ac:dyDescent="0.3">
      <c r="B2875" s="17" t="str">
        <f>IF('Marcación Workera'!G2875="","",INT('Marcación Workera'!G2875))</f>
        <v/>
      </c>
      <c r="C2875" s="18" t="str">
        <f>IF('Marcación Workera'!B2875="","",UPPER(SUBSTITUTE('Marcación Workera'!B2875,".","")))</f>
        <v/>
      </c>
    </row>
    <row r="2876" spans="2:3" ht="15" customHeight="1" x14ac:dyDescent="0.3">
      <c r="B2876" s="17" t="str">
        <f>IF('Marcación Workera'!G2876="","",INT('Marcación Workera'!G2876))</f>
        <v/>
      </c>
      <c r="C2876" s="18" t="str">
        <f>IF('Marcación Workera'!B2876="","",UPPER(SUBSTITUTE('Marcación Workera'!B2876,".","")))</f>
        <v/>
      </c>
    </row>
    <row r="2877" spans="2:3" ht="15" customHeight="1" x14ac:dyDescent="0.3">
      <c r="B2877" s="17" t="str">
        <f>IF('Marcación Workera'!G2877="","",INT('Marcación Workera'!G2877))</f>
        <v/>
      </c>
      <c r="C2877" s="18" t="str">
        <f>IF('Marcación Workera'!B2877="","",UPPER(SUBSTITUTE('Marcación Workera'!B2877,".","")))</f>
        <v/>
      </c>
    </row>
    <row r="2878" spans="2:3" ht="15" customHeight="1" x14ac:dyDescent="0.3">
      <c r="B2878" s="17" t="str">
        <f>IF('Marcación Workera'!G2878="","",INT('Marcación Workera'!G2878))</f>
        <v/>
      </c>
      <c r="C2878" s="18" t="str">
        <f>IF('Marcación Workera'!B2878="","",UPPER(SUBSTITUTE('Marcación Workera'!B2878,".","")))</f>
        <v/>
      </c>
    </row>
    <row r="2879" spans="2:3" ht="15" customHeight="1" x14ac:dyDescent="0.3">
      <c r="B2879" s="17" t="str">
        <f>IF('Marcación Workera'!G2879="","",INT('Marcación Workera'!G2879))</f>
        <v/>
      </c>
      <c r="C2879" s="18" t="str">
        <f>IF('Marcación Workera'!B2879="","",UPPER(SUBSTITUTE('Marcación Workera'!B2879,".","")))</f>
        <v/>
      </c>
    </row>
    <row r="2880" spans="2:3" ht="15" customHeight="1" x14ac:dyDescent="0.3">
      <c r="B2880" s="17" t="str">
        <f>IF('Marcación Workera'!G2880="","",INT('Marcación Workera'!G2880))</f>
        <v/>
      </c>
      <c r="C2880" s="18" t="str">
        <f>IF('Marcación Workera'!B2880="","",UPPER(SUBSTITUTE('Marcación Workera'!B2880,".","")))</f>
        <v/>
      </c>
    </row>
    <row r="2881" spans="2:3" ht="15" customHeight="1" x14ac:dyDescent="0.3">
      <c r="B2881" s="17" t="str">
        <f>IF('Marcación Workera'!G2881="","",INT('Marcación Workera'!G2881))</f>
        <v/>
      </c>
      <c r="C2881" s="18" t="str">
        <f>IF('Marcación Workera'!B2881="","",UPPER(SUBSTITUTE('Marcación Workera'!B2881,".","")))</f>
        <v/>
      </c>
    </row>
    <row r="2882" spans="2:3" ht="15" customHeight="1" x14ac:dyDescent="0.3">
      <c r="B2882" s="17" t="str">
        <f>IF('Marcación Workera'!G2882="","",INT('Marcación Workera'!G2882))</f>
        <v/>
      </c>
      <c r="C2882" s="18" t="str">
        <f>IF('Marcación Workera'!B2882="","",UPPER(SUBSTITUTE('Marcación Workera'!B2882,".","")))</f>
        <v/>
      </c>
    </row>
    <row r="2883" spans="2:3" ht="15" customHeight="1" x14ac:dyDescent="0.3">
      <c r="B2883" s="17" t="str">
        <f>IF('Marcación Workera'!G2883="","",INT('Marcación Workera'!G2883))</f>
        <v/>
      </c>
      <c r="C2883" s="18" t="str">
        <f>IF('Marcación Workera'!B2883="","",UPPER(SUBSTITUTE('Marcación Workera'!B2883,".","")))</f>
        <v/>
      </c>
    </row>
    <row r="2884" spans="2:3" ht="15" customHeight="1" x14ac:dyDescent="0.3">
      <c r="B2884" s="17" t="str">
        <f>IF('Marcación Workera'!G2884="","",INT('Marcación Workera'!G2884))</f>
        <v/>
      </c>
      <c r="C2884" s="18" t="str">
        <f>IF('Marcación Workera'!B2884="","",UPPER(SUBSTITUTE('Marcación Workera'!B2884,".","")))</f>
        <v/>
      </c>
    </row>
    <row r="2885" spans="2:3" ht="15" customHeight="1" x14ac:dyDescent="0.3">
      <c r="B2885" s="17" t="str">
        <f>IF('Marcación Workera'!G2885="","",INT('Marcación Workera'!G2885))</f>
        <v/>
      </c>
      <c r="C2885" s="18" t="str">
        <f>IF('Marcación Workera'!B2885="","",UPPER(SUBSTITUTE('Marcación Workera'!B2885,".","")))</f>
        <v/>
      </c>
    </row>
    <row r="2886" spans="2:3" ht="15" customHeight="1" x14ac:dyDescent="0.3">
      <c r="B2886" s="17" t="str">
        <f>IF('Marcación Workera'!G2886="","",INT('Marcación Workera'!G2886))</f>
        <v/>
      </c>
      <c r="C2886" s="18" t="str">
        <f>IF('Marcación Workera'!B2886="","",UPPER(SUBSTITUTE('Marcación Workera'!B2886,".","")))</f>
        <v/>
      </c>
    </row>
    <row r="2887" spans="2:3" ht="15" customHeight="1" x14ac:dyDescent="0.3">
      <c r="B2887" s="17" t="str">
        <f>IF('Marcación Workera'!G2887="","",INT('Marcación Workera'!G2887))</f>
        <v/>
      </c>
      <c r="C2887" s="18" t="str">
        <f>IF('Marcación Workera'!B2887="","",UPPER(SUBSTITUTE('Marcación Workera'!B2887,".","")))</f>
        <v/>
      </c>
    </row>
    <row r="2888" spans="2:3" ht="15" customHeight="1" x14ac:dyDescent="0.3">
      <c r="B2888" s="17" t="str">
        <f>IF('Marcación Workera'!G2888="","",INT('Marcación Workera'!G2888))</f>
        <v/>
      </c>
      <c r="C2888" s="18" t="str">
        <f>IF('Marcación Workera'!B2888="","",UPPER(SUBSTITUTE('Marcación Workera'!B2888,".","")))</f>
        <v/>
      </c>
    </row>
    <row r="2889" spans="2:3" ht="15" customHeight="1" x14ac:dyDescent="0.3">
      <c r="B2889" s="17" t="str">
        <f>IF('Marcación Workera'!G2889="","",INT('Marcación Workera'!G2889))</f>
        <v/>
      </c>
      <c r="C2889" s="18" t="str">
        <f>IF('Marcación Workera'!B2889="","",UPPER(SUBSTITUTE('Marcación Workera'!B2889,".","")))</f>
        <v/>
      </c>
    </row>
    <row r="2890" spans="2:3" ht="15" customHeight="1" x14ac:dyDescent="0.3">
      <c r="B2890" s="17" t="str">
        <f>IF('Marcación Workera'!G2890="","",INT('Marcación Workera'!G2890))</f>
        <v/>
      </c>
      <c r="C2890" s="18" t="str">
        <f>IF('Marcación Workera'!B2890="","",UPPER(SUBSTITUTE('Marcación Workera'!B2890,".","")))</f>
        <v/>
      </c>
    </row>
    <row r="2891" spans="2:3" ht="15" customHeight="1" x14ac:dyDescent="0.3">
      <c r="B2891" s="17" t="str">
        <f>IF('Marcación Workera'!G2891="","",INT('Marcación Workera'!G2891))</f>
        <v/>
      </c>
      <c r="C2891" s="18" t="str">
        <f>IF('Marcación Workera'!B2891="","",UPPER(SUBSTITUTE('Marcación Workera'!B2891,".","")))</f>
        <v/>
      </c>
    </row>
    <row r="2892" spans="2:3" ht="15" customHeight="1" x14ac:dyDescent="0.3">
      <c r="B2892" s="17" t="str">
        <f>IF('Marcación Workera'!G2892="","",INT('Marcación Workera'!G2892))</f>
        <v/>
      </c>
      <c r="C2892" s="18" t="str">
        <f>IF('Marcación Workera'!B2892="","",UPPER(SUBSTITUTE('Marcación Workera'!B2892,".","")))</f>
        <v/>
      </c>
    </row>
    <row r="2893" spans="2:3" ht="15" customHeight="1" x14ac:dyDescent="0.3">
      <c r="B2893" s="17" t="str">
        <f>IF('Marcación Workera'!G2893="","",INT('Marcación Workera'!G2893))</f>
        <v/>
      </c>
      <c r="C2893" s="18" t="str">
        <f>IF('Marcación Workera'!B2893="","",UPPER(SUBSTITUTE('Marcación Workera'!B2893,".","")))</f>
        <v/>
      </c>
    </row>
    <row r="2894" spans="2:3" ht="15" customHeight="1" x14ac:dyDescent="0.3">
      <c r="B2894" s="17" t="str">
        <f>IF('Marcación Workera'!G2894="","",INT('Marcación Workera'!G2894))</f>
        <v/>
      </c>
      <c r="C2894" s="18" t="str">
        <f>IF('Marcación Workera'!B2894="","",UPPER(SUBSTITUTE('Marcación Workera'!B2894,".","")))</f>
        <v/>
      </c>
    </row>
    <row r="2895" spans="2:3" ht="15" customHeight="1" x14ac:dyDescent="0.3">
      <c r="B2895" s="17" t="str">
        <f>IF('Marcación Workera'!G2895="","",INT('Marcación Workera'!G2895))</f>
        <v/>
      </c>
      <c r="C2895" s="18" t="str">
        <f>IF('Marcación Workera'!B2895="","",UPPER(SUBSTITUTE('Marcación Workera'!B2895,".","")))</f>
        <v/>
      </c>
    </row>
    <row r="2896" spans="2:3" ht="15" customHeight="1" x14ac:dyDescent="0.3">
      <c r="B2896" s="17" t="str">
        <f>IF('Marcación Workera'!G2896="","",INT('Marcación Workera'!G2896))</f>
        <v/>
      </c>
      <c r="C2896" s="18" t="str">
        <f>IF('Marcación Workera'!B2896="","",UPPER(SUBSTITUTE('Marcación Workera'!B2896,".","")))</f>
        <v/>
      </c>
    </row>
    <row r="2897" spans="2:3" ht="15" customHeight="1" x14ac:dyDescent="0.3">
      <c r="B2897" s="17" t="str">
        <f>IF('Marcación Workera'!G2897="","",INT('Marcación Workera'!G2897))</f>
        <v/>
      </c>
      <c r="C2897" s="18" t="str">
        <f>IF('Marcación Workera'!B2897="","",UPPER(SUBSTITUTE('Marcación Workera'!B2897,".","")))</f>
        <v/>
      </c>
    </row>
    <row r="2898" spans="2:3" ht="15" customHeight="1" x14ac:dyDescent="0.3">
      <c r="B2898" s="17" t="str">
        <f>IF('Marcación Workera'!G2898="","",INT('Marcación Workera'!G2898))</f>
        <v/>
      </c>
      <c r="C2898" s="18" t="str">
        <f>IF('Marcación Workera'!B2898="","",UPPER(SUBSTITUTE('Marcación Workera'!B2898,".","")))</f>
        <v/>
      </c>
    </row>
    <row r="2899" spans="2:3" ht="15" customHeight="1" x14ac:dyDescent="0.3">
      <c r="B2899" s="17" t="str">
        <f>IF('Marcación Workera'!G2899="","",INT('Marcación Workera'!G2899))</f>
        <v/>
      </c>
      <c r="C2899" s="18" t="str">
        <f>IF('Marcación Workera'!B2899="","",UPPER(SUBSTITUTE('Marcación Workera'!B2899,".","")))</f>
        <v/>
      </c>
    </row>
    <row r="2900" spans="2:3" ht="15" customHeight="1" x14ac:dyDescent="0.3">
      <c r="B2900" s="17" t="str">
        <f>IF('Marcación Workera'!G2900="","",INT('Marcación Workera'!G2900))</f>
        <v/>
      </c>
      <c r="C2900" s="18" t="str">
        <f>IF('Marcación Workera'!B2900="","",UPPER(SUBSTITUTE('Marcación Workera'!B2900,".","")))</f>
        <v/>
      </c>
    </row>
    <row r="2901" spans="2:3" ht="15" customHeight="1" x14ac:dyDescent="0.3">
      <c r="B2901" s="17" t="str">
        <f>IF('Marcación Workera'!G2901="","",INT('Marcación Workera'!G2901))</f>
        <v/>
      </c>
      <c r="C2901" s="18" t="str">
        <f>IF('Marcación Workera'!B2901="","",UPPER(SUBSTITUTE('Marcación Workera'!B2901,".","")))</f>
        <v/>
      </c>
    </row>
    <row r="2902" spans="2:3" ht="15" customHeight="1" x14ac:dyDescent="0.3">
      <c r="B2902" s="17" t="str">
        <f>IF('Marcación Workera'!G2902="","",INT('Marcación Workera'!G2902))</f>
        <v/>
      </c>
      <c r="C2902" s="18" t="str">
        <f>IF('Marcación Workera'!B2902="","",UPPER(SUBSTITUTE('Marcación Workera'!B2902,".","")))</f>
        <v/>
      </c>
    </row>
    <row r="2903" spans="2:3" ht="15" customHeight="1" x14ac:dyDescent="0.3">
      <c r="B2903" s="17" t="str">
        <f>IF('Marcación Workera'!G2903="","",INT('Marcación Workera'!G2903))</f>
        <v/>
      </c>
      <c r="C2903" s="18" t="str">
        <f>IF('Marcación Workera'!B2903="","",UPPER(SUBSTITUTE('Marcación Workera'!B2903,".","")))</f>
        <v/>
      </c>
    </row>
    <row r="2904" spans="2:3" ht="15" customHeight="1" x14ac:dyDescent="0.3">
      <c r="B2904" s="17" t="str">
        <f>IF('Marcación Workera'!G2904="","",INT('Marcación Workera'!G2904))</f>
        <v/>
      </c>
      <c r="C2904" s="18" t="str">
        <f>IF('Marcación Workera'!B2904="","",UPPER(SUBSTITUTE('Marcación Workera'!B2904,".","")))</f>
        <v/>
      </c>
    </row>
    <row r="2905" spans="2:3" ht="15" customHeight="1" x14ac:dyDescent="0.3">
      <c r="B2905" s="17" t="str">
        <f>IF('Marcación Workera'!G2905="","",INT('Marcación Workera'!G2905))</f>
        <v/>
      </c>
      <c r="C2905" s="18" t="str">
        <f>IF('Marcación Workera'!B2905="","",UPPER(SUBSTITUTE('Marcación Workera'!B2905,".","")))</f>
        <v/>
      </c>
    </row>
    <row r="2906" spans="2:3" ht="15" customHeight="1" x14ac:dyDescent="0.3">
      <c r="B2906" s="17" t="str">
        <f>IF('Marcación Workera'!G2906="","",INT('Marcación Workera'!G2906))</f>
        <v/>
      </c>
      <c r="C2906" s="18" t="str">
        <f>IF('Marcación Workera'!B2906="","",UPPER(SUBSTITUTE('Marcación Workera'!B2906,".","")))</f>
        <v/>
      </c>
    </row>
    <row r="2907" spans="2:3" ht="15" customHeight="1" x14ac:dyDescent="0.3">
      <c r="B2907" s="17" t="str">
        <f>IF('Marcación Workera'!G2907="","",INT('Marcación Workera'!G2907))</f>
        <v/>
      </c>
      <c r="C2907" s="18" t="str">
        <f>IF('Marcación Workera'!B2907="","",UPPER(SUBSTITUTE('Marcación Workera'!B2907,".","")))</f>
        <v/>
      </c>
    </row>
    <row r="2908" spans="2:3" ht="15" customHeight="1" x14ac:dyDescent="0.3">
      <c r="B2908" s="17" t="str">
        <f>IF('Marcación Workera'!G2908="","",INT('Marcación Workera'!G2908))</f>
        <v/>
      </c>
      <c r="C2908" s="18" t="str">
        <f>IF('Marcación Workera'!B2908="","",UPPER(SUBSTITUTE('Marcación Workera'!B2908,".","")))</f>
        <v/>
      </c>
    </row>
    <row r="2909" spans="2:3" ht="15" customHeight="1" x14ac:dyDescent="0.3">
      <c r="B2909" s="17" t="str">
        <f>IF('Marcación Workera'!G2909="","",INT('Marcación Workera'!G2909))</f>
        <v/>
      </c>
      <c r="C2909" s="18" t="str">
        <f>IF('Marcación Workera'!B2909="","",UPPER(SUBSTITUTE('Marcación Workera'!B2909,".","")))</f>
        <v/>
      </c>
    </row>
    <row r="2910" spans="2:3" ht="15" customHeight="1" x14ac:dyDescent="0.3">
      <c r="B2910" s="17" t="str">
        <f>IF('Marcación Workera'!G2910="","",INT('Marcación Workera'!G2910))</f>
        <v/>
      </c>
      <c r="C2910" s="18" t="str">
        <f>IF('Marcación Workera'!B2910="","",UPPER(SUBSTITUTE('Marcación Workera'!B2910,".","")))</f>
        <v/>
      </c>
    </row>
    <row r="2911" spans="2:3" ht="15" customHeight="1" x14ac:dyDescent="0.3">
      <c r="B2911" s="17" t="str">
        <f>IF('Marcación Workera'!G2911="","",INT('Marcación Workera'!G2911))</f>
        <v/>
      </c>
      <c r="C2911" s="18" t="str">
        <f>IF('Marcación Workera'!B2911="","",UPPER(SUBSTITUTE('Marcación Workera'!B2911,".","")))</f>
        <v/>
      </c>
    </row>
    <row r="2912" spans="2:3" ht="15" customHeight="1" x14ac:dyDescent="0.3">
      <c r="B2912" s="17" t="str">
        <f>IF('Marcación Workera'!G2912="","",INT('Marcación Workera'!G2912))</f>
        <v/>
      </c>
      <c r="C2912" s="18" t="str">
        <f>IF('Marcación Workera'!B2912="","",UPPER(SUBSTITUTE('Marcación Workera'!B2912,".","")))</f>
        <v/>
      </c>
    </row>
    <row r="2913" spans="2:3" ht="15" customHeight="1" x14ac:dyDescent="0.3">
      <c r="B2913" s="17" t="str">
        <f>IF('Marcación Workera'!G2913="","",INT('Marcación Workera'!G2913))</f>
        <v/>
      </c>
      <c r="C2913" s="18" t="str">
        <f>IF('Marcación Workera'!B2913="","",UPPER(SUBSTITUTE('Marcación Workera'!B2913,".","")))</f>
        <v/>
      </c>
    </row>
    <row r="2914" spans="2:3" ht="15" customHeight="1" x14ac:dyDescent="0.3">
      <c r="B2914" s="17" t="str">
        <f>IF('Marcación Workera'!G2914="","",INT('Marcación Workera'!G2914))</f>
        <v/>
      </c>
      <c r="C2914" s="18" t="str">
        <f>IF('Marcación Workera'!B2914="","",UPPER(SUBSTITUTE('Marcación Workera'!B2914,".","")))</f>
        <v/>
      </c>
    </row>
    <row r="2915" spans="2:3" ht="15" customHeight="1" x14ac:dyDescent="0.3">
      <c r="B2915" s="17" t="str">
        <f>IF('Marcación Workera'!G2915="","",INT('Marcación Workera'!G2915))</f>
        <v/>
      </c>
      <c r="C2915" s="18" t="str">
        <f>IF('Marcación Workera'!B2915="","",UPPER(SUBSTITUTE('Marcación Workera'!B2915,".","")))</f>
        <v/>
      </c>
    </row>
    <row r="2916" spans="2:3" ht="15" customHeight="1" x14ac:dyDescent="0.3">
      <c r="B2916" s="17" t="str">
        <f>IF('Marcación Workera'!G2916="","",INT('Marcación Workera'!G2916))</f>
        <v/>
      </c>
      <c r="C2916" s="18" t="str">
        <f>IF('Marcación Workera'!B2916="","",UPPER(SUBSTITUTE('Marcación Workera'!B2916,".","")))</f>
        <v/>
      </c>
    </row>
    <row r="2917" spans="2:3" ht="15" customHeight="1" x14ac:dyDescent="0.3">
      <c r="B2917" s="17" t="str">
        <f>IF('Marcación Workera'!G2917="","",INT('Marcación Workera'!G2917))</f>
        <v/>
      </c>
      <c r="C2917" s="18" t="str">
        <f>IF('Marcación Workera'!B2917="","",UPPER(SUBSTITUTE('Marcación Workera'!B2917,".","")))</f>
        <v/>
      </c>
    </row>
    <row r="2918" spans="2:3" ht="15" customHeight="1" x14ac:dyDescent="0.3">
      <c r="B2918" s="17" t="str">
        <f>IF('Marcación Workera'!G2918="","",INT('Marcación Workera'!G2918))</f>
        <v/>
      </c>
      <c r="C2918" s="18" t="str">
        <f>IF('Marcación Workera'!B2918="","",UPPER(SUBSTITUTE('Marcación Workera'!B2918,".","")))</f>
        <v/>
      </c>
    </row>
    <row r="2919" spans="2:3" ht="15" customHeight="1" x14ac:dyDescent="0.3">
      <c r="B2919" s="17" t="str">
        <f>IF('Marcación Workera'!G2919="","",INT('Marcación Workera'!G2919))</f>
        <v/>
      </c>
      <c r="C2919" s="18" t="str">
        <f>IF('Marcación Workera'!B2919="","",UPPER(SUBSTITUTE('Marcación Workera'!B2919,".","")))</f>
        <v/>
      </c>
    </row>
    <row r="2920" spans="2:3" ht="15" customHeight="1" x14ac:dyDescent="0.3">
      <c r="B2920" s="17" t="str">
        <f>IF('Marcación Workera'!G2920="","",INT('Marcación Workera'!G2920))</f>
        <v/>
      </c>
      <c r="C2920" s="18" t="str">
        <f>IF('Marcación Workera'!B2920="","",UPPER(SUBSTITUTE('Marcación Workera'!B2920,".","")))</f>
        <v/>
      </c>
    </row>
    <row r="2921" spans="2:3" ht="15" customHeight="1" x14ac:dyDescent="0.3">
      <c r="B2921" s="17" t="str">
        <f>IF('Marcación Workera'!G2921="","",INT('Marcación Workera'!G2921))</f>
        <v/>
      </c>
      <c r="C2921" s="18" t="str">
        <f>IF('Marcación Workera'!B2921="","",UPPER(SUBSTITUTE('Marcación Workera'!B2921,".","")))</f>
        <v/>
      </c>
    </row>
    <row r="2922" spans="2:3" ht="15" customHeight="1" x14ac:dyDescent="0.3">
      <c r="B2922" s="17" t="str">
        <f>IF('Marcación Workera'!G2922="","",INT('Marcación Workera'!G2922))</f>
        <v/>
      </c>
      <c r="C2922" s="18" t="str">
        <f>IF('Marcación Workera'!B2922="","",UPPER(SUBSTITUTE('Marcación Workera'!B2922,".","")))</f>
        <v/>
      </c>
    </row>
    <row r="2923" spans="2:3" ht="15" customHeight="1" x14ac:dyDescent="0.3">
      <c r="B2923" s="17" t="str">
        <f>IF('Marcación Workera'!G2923="","",INT('Marcación Workera'!G2923))</f>
        <v/>
      </c>
      <c r="C2923" s="18" t="str">
        <f>IF('Marcación Workera'!B2923="","",UPPER(SUBSTITUTE('Marcación Workera'!B2923,".","")))</f>
        <v/>
      </c>
    </row>
    <row r="2924" spans="2:3" ht="15" customHeight="1" x14ac:dyDescent="0.3">
      <c r="B2924" s="17" t="str">
        <f>IF('Marcación Workera'!G2924="","",INT('Marcación Workera'!G2924))</f>
        <v/>
      </c>
      <c r="C2924" s="18" t="str">
        <f>IF('Marcación Workera'!B2924="","",UPPER(SUBSTITUTE('Marcación Workera'!B2924,".","")))</f>
        <v/>
      </c>
    </row>
    <row r="2925" spans="2:3" ht="15" customHeight="1" x14ac:dyDescent="0.3">
      <c r="B2925" s="17" t="str">
        <f>IF('Marcación Workera'!G2925="","",INT('Marcación Workera'!G2925))</f>
        <v/>
      </c>
      <c r="C2925" s="18" t="str">
        <f>IF('Marcación Workera'!B2925="","",UPPER(SUBSTITUTE('Marcación Workera'!B2925,".","")))</f>
        <v/>
      </c>
    </row>
    <row r="2926" spans="2:3" ht="15" customHeight="1" x14ac:dyDescent="0.3">
      <c r="B2926" s="17" t="str">
        <f>IF('Marcación Workera'!G2926="","",INT('Marcación Workera'!G2926))</f>
        <v/>
      </c>
      <c r="C2926" s="18" t="str">
        <f>IF('Marcación Workera'!B2926="","",UPPER(SUBSTITUTE('Marcación Workera'!B2926,".","")))</f>
        <v/>
      </c>
    </row>
    <row r="2927" spans="2:3" ht="15" customHeight="1" x14ac:dyDescent="0.3">
      <c r="B2927" s="17" t="str">
        <f>IF('Marcación Workera'!G2927="","",INT('Marcación Workera'!G2927))</f>
        <v/>
      </c>
      <c r="C2927" s="18" t="str">
        <f>IF('Marcación Workera'!B2927="","",UPPER(SUBSTITUTE('Marcación Workera'!B2927,".","")))</f>
        <v/>
      </c>
    </row>
    <row r="2928" spans="2:3" ht="15" customHeight="1" x14ac:dyDescent="0.3">
      <c r="B2928" s="17" t="str">
        <f>IF('Marcación Workera'!G2928="","",INT('Marcación Workera'!G2928))</f>
        <v/>
      </c>
      <c r="C2928" s="18" t="str">
        <f>IF('Marcación Workera'!B2928="","",UPPER(SUBSTITUTE('Marcación Workera'!B2928,".","")))</f>
        <v/>
      </c>
    </row>
    <row r="2929" spans="2:3" ht="15" customHeight="1" x14ac:dyDescent="0.3">
      <c r="B2929" s="17" t="str">
        <f>IF('Marcación Workera'!G2929="","",INT('Marcación Workera'!G2929))</f>
        <v/>
      </c>
      <c r="C2929" s="18" t="str">
        <f>IF('Marcación Workera'!B2929="","",UPPER(SUBSTITUTE('Marcación Workera'!B2929,".","")))</f>
        <v/>
      </c>
    </row>
    <row r="2930" spans="2:3" ht="15" customHeight="1" x14ac:dyDescent="0.3">
      <c r="B2930" s="17" t="str">
        <f>IF('Marcación Workera'!G2930="","",INT('Marcación Workera'!G2930))</f>
        <v/>
      </c>
      <c r="C2930" s="18" t="str">
        <f>IF('Marcación Workera'!B2930="","",UPPER(SUBSTITUTE('Marcación Workera'!B2930,".","")))</f>
        <v/>
      </c>
    </row>
    <row r="2931" spans="2:3" ht="15" customHeight="1" x14ac:dyDescent="0.3">
      <c r="B2931" s="17" t="str">
        <f>IF('Marcación Workera'!G2931="","",INT('Marcación Workera'!G2931))</f>
        <v/>
      </c>
      <c r="C2931" s="18" t="str">
        <f>IF('Marcación Workera'!B2931="","",UPPER(SUBSTITUTE('Marcación Workera'!B2931,".","")))</f>
        <v/>
      </c>
    </row>
    <row r="2932" spans="2:3" ht="15" customHeight="1" x14ac:dyDescent="0.3">
      <c r="B2932" s="17" t="str">
        <f>IF('Marcación Workera'!G2932="","",INT('Marcación Workera'!G2932))</f>
        <v/>
      </c>
      <c r="C2932" s="18" t="str">
        <f>IF('Marcación Workera'!B2932="","",UPPER(SUBSTITUTE('Marcación Workera'!B2932,".","")))</f>
        <v/>
      </c>
    </row>
    <row r="2933" spans="2:3" ht="15" customHeight="1" x14ac:dyDescent="0.3">
      <c r="B2933" s="17" t="str">
        <f>IF('Marcación Workera'!G2933="","",INT('Marcación Workera'!G2933))</f>
        <v/>
      </c>
      <c r="C2933" s="18" t="str">
        <f>IF('Marcación Workera'!B2933="","",UPPER(SUBSTITUTE('Marcación Workera'!B2933,".","")))</f>
        <v/>
      </c>
    </row>
    <row r="2934" spans="2:3" ht="15" customHeight="1" x14ac:dyDescent="0.3">
      <c r="B2934" s="17" t="str">
        <f>IF('Marcación Workera'!G2934="","",INT('Marcación Workera'!G2934))</f>
        <v/>
      </c>
      <c r="C2934" s="18" t="str">
        <f>IF('Marcación Workera'!B2934="","",UPPER(SUBSTITUTE('Marcación Workera'!B2934,".","")))</f>
        <v/>
      </c>
    </row>
    <row r="2935" spans="2:3" ht="15" customHeight="1" x14ac:dyDescent="0.3">
      <c r="B2935" s="17" t="str">
        <f>IF('Marcación Workera'!G2935="","",INT('Marcación Workera'!G2935))</f>
        <v/>
      </c>
      <c r="C2935" s="18" t="str">
        <f>IF('Marcación Workera'!B2935="","",UPPER(SUBSTITUTE('Marcación Workera'!B2935,".","")))</f>
        <v/>
      </c>
    </row>
    <row r="2936" spans="2:3" ht="15" customHeight="1" x14ac:dyDescent="0.3">
      <c r="B2936" s="17" t="str">
        <f>IF('Marcación Workera'!G2936="","",INT('Marcación Workera'!G2936))</f>
        <v/>
      </c>
      <c r="C2936" s="18" t="str">
        <f>IF('Marcación Workera'!B2936="","",UPPER(SUBSTITUTE('Marcación Workera'!B2936,".","")))</f>
        <v/>
      </c>
    </row>
    <row r="2937" spans="2:3" ht="15" customHeight="1" x14ac:dyDescent="0.3">
      <c r="B2937" s="17" t="str">
        <f>IF('Marcación Workera'!G2937="","",INT('Marcación Workera'!G2937))</f>
        <v/>
      </c>
      <c r="C2937" s="18" t="str">
        <f>IF('Marcación Workera'!B2937="","",UPPER(SUBSTITUTE('Marcación Workera'!B2937,".","")))</f>
        <v/>
      </c>
    </row>
    <row r="2938" spans="2:3" ht="15" customHeight="1" x14ac:dyDescent="0.3">
      <c r="B2938" s="17" t="str">
        <f>IF('Marcación Workera'!G2938="","",INT('Marcación Workera'!G2938))</f>
        <v/>
      </c>
      <c r="C2938" s="18" t="str">
        <f>IF('Marcación Workera'!B2938="","",UPPER(SUBSTITUTE('Marcación Workera'!B2938,".","")))</f>
        <v/>
      </c>
    </row>
    <row r="2939" spans="2:3" ht="15" customHeight="1" x14ac:dyDescent="0.3">
      <c r="B2939" s="17" t="str">
        <f>IF('Marcación Workera'!G2939="","",INT('Marcación Workera'!G2939))</f>
        <v/>
      </c>
      <c r="C2939" s="18" t="str">
        <f>IF('Marcación Workera'!B2939="","",UPPER(SUBSTITUTE('Marcación Workera'!B2939,".","")))</f>
        <v/>
      </c>
    </row>
    <row r="2940" spans="2:3" ht="15" customHeight="1" x14ac:dyDescent="0.3">
      <c r="B2940" s="17" t="str">
        <f>IF('Marcación Workera'!G2940="","",INT('Marcación Workera'!G2940))</f>
        <v/>
      </c>
      <c r="C2940" s="18" t="str">
        <f>IF('Marcación Workera'!B2940="","",UPPER(SUBSTITUTE('Marcación Workera'!B2940,".","")))</f>
        <v/>
      </c>
    </row>
    <row r="2941" spans="2:3" ht="15" customHeight="1" x14ac:dyDescent="0.3">
      <c r="B2941" s="17" t="str">
        <f>IF('Marcación Workera'!G2941="","",INT('Marcación Workera'!G2941))</f>
        <v/>
      </c>
      <c r="C2941" s="18" t="str">
        <f>IF('Marcación Workera'!B2941="","",UPPER(SUBSTITUTE('Marcación Workera'!B2941,".","")))</f>
        <v/>
      </c>
    </row>
    <row r="2942" spans="2:3" ht="15" customHeight="1" x14ac:dyDescent="0.3">
      <c r="B2942" s="17" t="str">
        <f>IF('Marcación Workera'!G2942="","",INT('Marcación Workera'!G2942))</f>
        <v/>
      </c>
      <c r="C2942" s="18" t="str">
        <f>IF('Marcación Workera'!B2942="","",UPPER(SUBSTITUTE('Marcación Workera'!B2942,".","")))</f>
        <v/>
      </c>
    </row>
    <row r="2943" spans="2:3" ht="15" customHeight="1" x14ac:dyDescent="0.3">
      <c r="B2943" s="17" t="str">
        <f>IF('Marcación Workera'!G2943="","",INT('Marcación Workera'!G2943))</f>
        <v/>
      </c>
      <c r="C2943" s="18" t="str">
        <f>IF('Marcación Workera'!B2943="","",UPPER(SUBSTITUTE('Marcación Workera'!B2943,".","")))</f>
        <v/>
      </c>
    </row>
    <row r="2944" spans="2:3" ht="15" customHeight="1" x14ac:dyDescent="0.3">
      <c r="B2944" s="17" t="str">
        <f>IF('Marcación Workera'!G2944="","",INT('Marcación Workera'!G2944))</f>
        <v/>
      </c>
      <c r="C2944" s="18" t="str">
        <f>IF('Marcación Workera'!B2944="","",UPPER(SUBSTITUTE('Marcación Workera'!B2944,".","")))</f>
        <v/>
      </c>
    </row>
    <row r="2945" spans="2:3" ht="15" customHeight="1" x14ac:dyDescent="0.3">
      <c r="B2945" s="17" t="str">
        <f>IF('Marcación Workera'!G2945="","",INT('Marcación Workera'!G2945))</f>
        <v/>
      </c>
      <c r="C2945" s="18" t="str">
        <f>IF('Marcación Workera'!B2945="","",UPPER(SUBSTITUTE('Marcación Workera'!B2945,".","")))</f>
        <v/>
      </c>
    </row>
    <row r="2946" spans="2:3" ht="15" customHeight="1" x14ac:dyDescent="0.3">
      <c r="B2946" s="17" t="str">
        <f>IF('Marcación Workera'!G2946="","",INT('Marcación Workera'!G2946))</f>
        <v/>
      </c>
      <c r="C2946" s="18" t="str">
        <f>IF('Marcación Workera'!B2946="","",UPPER(SUBSTITUTE('Marcación Workera'!B2946,".","")))</f>
        <v/>
      </c>
    </row>
    <row r="2947" spans="2:3" ht="15" customHeight="1" x14ac:dyDescent="0.3">
      <c r="B2947" s="17" t="str">
        <f>IF('Marcación Workera'!G2947="","",INT('Marcación Workera'!G2947))</f>
        <v/>
      </c>
      <c r="C2947" s="18" t="str">
        <f>IF('Marcación Workera'!B2947="","",UPPER(SUBSTITUTE('Marcación Workera'!B2947,".","")))</f>
        <v/>
      </c>
    </row>
    <row r="2948" spans="2:3" ht="15" customHeight="1" x14ac:dyDescent="0.3">
      <c r="B2948" s="17" t="str">
        <f>IF('Marcación Workera'!G2948="","",INT('Marcación Workera'!G2948))</f>
        <v/>
      </c>
      <c r="C2948" s="18" t="str">
        <f>IF('Marcación Workera'!B2948="","",UPPER(SUBSTITUTE('Marcación Workera'!B2948,".","")))</f>
        <v/>
      </c>
    </row>
    <row r="2949" spans="2:3" ht="15" customHeight="1" x14ac:dyDescent="0.3">
      <c r="B2949" s="17" t="str">
        <f>IF('Marcación Workera'!G2949="","",INT('Marcación Workera'!G2949))</f>
        <v/>
      </c>
      <c r="C2949" s="18" t="str">
        <f>IF('Marcación Workera'!B2949="","",UPPER(SUBSTITUTE('Marcación Workera'!B2949,".","")))</f>
        <v/>
      </c>
    </row>
    <row r="2950" spans="2:3" ht="15" customHeight="1" x14ac:dyDescent="0.3">
      <c r="B2950" s="17" t="str">
        <f>IF('Marcación Workera'!G2950="","",INT('Marcación Workera'!G2950))</f>
        <v/>
      </c>
      <c r="C2950" s="18" t="str">
        <f>IF('Marcación Workera'!B2950="","",UPPER(SUBSTITUTE('Marcación Workera'!B2950,".","")))</f>
        <v/>
      </c>
    </row>
    <row r="2951" spans="2:3" ht="15" customHeight="1" x14ac:dyDescent="0.3">
      <c r="B2951" s="17" t="str">
        <f>IF('Marcación Workera'!G2951="","",INT('Marcación Workera'!G2951))</f>
        <v/>
      </c>
      <c r="C2951" s="18" t="str">
        <f>IF('Marcación Workera'!B2951="","",UPPER(SUBSTITUTE('Marcación Workera'!B2951,".","")))</f>
        <v/>
      </c>
    </row>
    <row r="2952" spans="2:3" ht="15" customHeight="1" x14ac:dyDescent="0.3">
      <c r="B2952" s="17" t="str">
        <f>IF('Marcación Workera'!G2952="","",INT('Marcación Workera'!G2952))</f>
        <v/>
      </c>
      <c r="C2952" s="18" t="str">
        <f>IF('Marcación Workera'!B2952="","",UPPER(SUBSTITUTE('Marcación Workera'!B2952,".","")))</f>
        <v/>
      </c>
    </row>
    <row r="2953" spans="2:3" ht="15" customHeight="1" x14ac:dyDescent="0.3">
      <c r="B2953" s="17" t="str">
        <f>IF('Marcación Workera'!G2953="","",INT('Marcación Workera'!G2953))</f>
        <v/>
      </c>
      <c r="C2953" s="18" t="str">
        <f>IF('Marcación Workera'!B2953="","",UPPER(SUBSTITUTE('Marcación Workera'!B2953,".","")))</f>
        <v/>
      </c>
    </row>
    <row r="2954" spans="2:3" ht="15" customHeight="1" x14ac:dyDescent="0.3">
      <c r="B2954" s="17" t="str">
        <f>IF('Marcación Workera'!G2954="","",INT('Marcación Workera'!G2954))</f>
        <v/>
      </c>
      <c r="C2954" s="18" t="str">
        <f>IF('Marcación Workera'!B2954="","",UPPER(SUBSTITUTE('Marcación Workera'!B2954,".","")))</f>
        <v/>
      </c>
    </row>
    <row r="2955" spans="2:3" ht="15" customHeight="1" x14ac:dyDescent="0.3">
      <c r="B2955" s="17" t="str">
        <f>IF('Marcación Workera'!G2955="","",INT('Marcación Workera'!G2955))</f>
        <v/>
      </c>
      <c r="C2955" s="18" t="str">
        <f>IF('Marcación Workera'!B2955="","",UPPER(SUBSTITUTE('Marcación Workera'!B2955,".","")))</f>
        <v/>
      </c>
    </row>
    <row r="2956" spans="2:3" ht="15" customHeight="1" x14ac:dyDescent="0.3">
      <c r="B2956" s="17" t="str">
        <f>IF('Marcación Workera'!G2956="","",INT('Marcación Workera'!G2956))</f>
        <v/>
      </c>
      <c r="C2956" s="18" t="str">
        <f>IF('Marcación Workera'!B2956="","",UPPER(SUBSTITUTE('Marcación Workera'!B2956,".","")))</f>
        <v/>
      </c>
    </row>
    <row r="2957" spans="2:3" ht="15" customHeight="1" x14ac:dyDescent="0.3">
      <c r="B2957" s="17" t="str">
        <f>IF('Marcación Workera'!G2957="","",INT('Marcación Workera'!G2957))</f>
        <v/>
      </c>
      <c r="C2957" s="18" t="str">
        <f>IF('Marcación Workera'!B2957="","",UPPER(SUBSTITUTE('Marcación Workera'!B2957,".","")))</f>
        <v/>
      </c>
    </row>
    <row r="2958" spans="2:3" ht="15" customHeight="1" x14ac:dyDescent="0.3">
      <c r="B2958" s="17" t="str">
        <f>IF('Marcación Workera'!G2958="","",INT('Marcación Workera'!G2958))</f>
        <v/>
      </c>
      <c r="C2958" s="18" t="str">
        <f>IF('Marcación Workera'!B2958="","",UPPER(SUBSTITUTE('Marcación Workera'!B2958,".","")))</f>
        <v/>
      </c>
    </row>
    <row r="2959" spans="2:3" ht="15" customHeight="1" x14ac:dyDescent="0.3">
      <c r="B2959" s="17" t="str">
        <f>IF('Marcación Workera'!G2959="","",INT('Marcación Workera'!G2959))</f>
        <v/>
      </c>
      <c r="C2959" s="18" t="str">
        <f>IF('Marcación Workera'!B2959="","",UPPER(SUBSTITUTE('Marcación Workera'!B2959,".","")))</f>
        <v/>
      </c>
    </row>
    <row r="2960" spans="2:3" ht="15" customHeight="1" x14ac:dyDescent="0.3">
      <c r="B2960" s="17" t="str">
        <f>IF('Marcación Workera'!G2960="","",INT('Marcación Workera'!G2960))</f>
        <v/>
      </c>
      <c r="C2960" s="18" t="str">
        <f>IF('Marcación Workera'!B2960="","",UPPER(SUBSTITUTE('Marcación Workera'!B2960,".","")))</f>
        <v/>
      </c>
    </row>
    <row r="2961" spans="2:3" ht="15" customHeight="1" x14ac:dyDescent="0.3">
      <c r="B2961" s="17" t="str">
        <f>IF('Marcación Workera'!G2961="","",INT('Marcación Workera'!G2961))</f>
        <v/>
      </c>
      <c r="C2961" s="18" t="str">
        <f>IF('Marcación Workera'!B2961="","",UPPER(SUBSTITUTE('Marcación Workera'!B2961,".","")))</f>
        <v/>
      </c>
    </row>
    <row r="2962" spans="2:3" ht="15" customHeight="1" x14ac:dyDescent="0.3">
      <c r="B2962" s="17" t="str">
        <f>IF('Marcación Workera'!G2962="","",INT('Marcación Workera'!G2962))</f>
        <v/>
      </c>
      <c r="C2962" s="18" t="str">
        <f>IF('Marcación Workera'!B2962="","",UPPER(SUBSTITUTE('Marcación Workera'!B2962,".","")))</f>
        <v/>
      </c>
    </row>
    <row r="2963" spans="2:3" ht="15" customHeight="1" x14ac:dyDescent="0.3">
      <c r="B2963" s="17" t="str">
        <f>IF('Marcación Workera'!G2963="","",INT('Marcación Workera'!G2963))</f>
        <v/>
      </c>
      <c r="C2963" s="18" t="str">
        <f>IF('Marcación Workera'!B2963="","",UPPER(SUBSTITUTE('Marcación Workera'!B2963,".","")))</f>
        <v/>
      </c>
    </row>
    <row r="2964" spans="2:3" ht="15" customHeight="1" x14ac:dyDescent="0.3">
      <c r="B2964" s="17" t="str">
        <f>IF('Marcación Workera'!G2964="","",INT('Marcación Workera'!G2964))</f>
        <v/>
      </c>
      <c r="C2964" s="18" t="str">
        <f>IF('Marcación Workera'!B2964="","",UPPER(SUBSTITUTE('Marcación Workera'!B2964,".","")))</f>
        <v/>
      </c>
    </row>
    <row r="2965" spans="2:3" ht="15" customHeight="1" x14ac:dyDescent="0.3">
      <c r="B2965" s="17" t="str">
        <f>IF('Marcación Workera'!G2965="","",INT('Marcación Workera'!G2965))</f>
        <v/>
      </c>
      <c r="C2965" s="18" t="str">
        <f>IF('Marcación Workera'!B2965="","",UPPER(SUBSTITUTE('Marcación Workera'!B2965,".","")))</f>
        <v/>
      </c>
    </row>
    <row r="2966" spans="2:3" ht="15" customHeight="1" x14ac:dyDescent="0.3">
      <c r="B2966" s="17" t="str">
        <f>IF('Marcación Workera'!G2966="","",INT('Marcación Workera'!G2966))</f>
        <v/>
      </c>
      <c r="C2966" s="18" t="str">
        <f>IF('Marcación Workera'!B2966="","",UPPER(SUBSTITUTE('Marcación Workera'!B2966,".","")))</f>
        <v/>
      </c>
    </row>
    <row r="2967" spans="2:3" ht="15" customHeight="1" x14ac:dyDescent="0.3">
      <c r="B2967" s="17" t="str">
        <f>IF('Marcación Workera'!G2967="","",INT('Marcación Workera'!G2967))</f>
        <v/>
      </c>
      <c r="C2967" s="18" t="str">
        <f>IF('Marcación Workera'!B2967="","",UPPER(SUBSTITUTE('Marcación Workera'!B2967,".","")))</f>
        <v/>
      </c>
    </row>
    <row r="2968" spans="2:3" ht="15" customHeight="1" x14ac:dyDescent="0.3">
      <c r="B2968" s="17" t="str">
        <f>IF('Marcación Workera'!G2968="","",INT('Marcación Workera'!G2968))</f>
        <v/>
      </c>
      <c r="C2968" s="18" t="str">
        <f>IF('Marcación Workera'!B2968="","",UPPER(SUBSTITUTE('Marcación Workera'!B2968,".","")))</f>
        <v/>
      </c>
    </row>
    <row r="2969" spans="2:3" ht="15" customHeight="1" x14ac:dyDescent="0.3">
      <c r="B2969" s="17" t="str">
        <f>IF('Marcación Workera'!G2969="","",INT('Marcación Workera'!G2969))</f>
        <v/>
      </c>
      <c r="C2969" s="18" t="str">
        <f>IF('Marcación Workera'!B2969="","",UPPER(SUBSTITUTE('Marcación Workera'!B2969,".","")))</f>
        <v/>
      </c>
    </row>
    <row r="2970" spans="2:3" ht="15" customHeight="1" x14ac:dyDescent="0.3">
      <c r="B2970" s="17" t="str">
        <f>IF('Marcación Workera'!G2970="","",INT('Marcación Workera'!G2970))</f>
        <v/>
      </c>
      <c r="C2970" s="18" t="str">
        <f>IF('Marcación Workera'!B2970="","",UPPER(SUBSTITUTE('Marcación Workera'!B2970,".","")))</f>
        <v/>
      </c>
    </row>
    <row r="2971" spans="2:3" ht="15" customHeight="1" x14ac:dyDescent="0.3">
      <c r="B2971" s="17" t="str">
        <f>IF('Marcación Workera'!G2971="","",INT('Marcación Workera'!G2971))</f>
        <v/>
      </c>
      <c r="C2971" s="18" t="str">
        <f>IF('Marcación Workera'!B2971="","",UPPER(SUBSTITUTE('Marcación Workera'!B2971,".","")))</f>
        <v/>
      </c>
    </row>
    <row r="2972" spans="2:3" ht="15" customHeight="1" x14ac:dyDescent="0.3">
      <c r="B2972" s="17" t="str">
        <f>IF('Marcación Workera'!G2972="","",INT('Marcación Workera'!G2972))</f>
        <v/>
      </c>
      <c r="C2972" s="18" t="str">
        <f>IF('Marcación Workera'!B2972="","",UPPER(SUBSTITUTE('Marcación Workera'!B2972,".","")))</f>
        <v/>
      </c>
    </row>
    <row r="2973" spans="2:3" ht="15" customHeight="1" x14ac:dyDescent="0.3">
      <c r="B2973" s="17" t="str">
        <f>IF('Marcación Workera'!G2973="","",INT('Marcación Workera'!G2973))</f>
        <v/>
      </c>
      <c r="C2973" s="18" t="str">
        <f>IF('Marcación Workera'!B2973="","",UPPER(SUBSTITUTE('Marcación Workera'!B2973,".","")))</f>
        <v/>
      </c>
    </row>
    <row r="2974" spans="2:3" ht="15" customHeight="1" x14ac:dyDescent="0.3">
      <c r="B2974" s="17" t="str">
        <f>IF('Marcación Workera'!G2974="","",INT('Marcación Workera'!G2974))</f>
        <v/>
      </c>
      <c r="C2974" s="18" t="str">
        <f>IF('Marcación Workera'!B2974="","",UPPER(SUBSTITUTE('Marcación Workera'!B2974,".","")))</f>
        <v/>
      </c>
    </row>
    <row r="2975" spans="2:3" ht="15" customHeight="1" x14ac:dyDescent="0.3">
      <c r="B2975" s="17" t="str">
        <f>IF('Marcación Workera'!G2975="","",INT('Marcación Workera'!G2975))</f>
        <v/>
      </c>
      <c r="C2975" s="18" t="str">
        <f>IF('Marcación Workera'!B2975="","",UPPER(SUBSTITUTE('Marcación Workera'!B2975,".","")))</f>
        <v/>
      </c>
    </row>
    <row r="2976" spans="2:3" ht="15" customHeight="1" x14ac:dyDescent="0.3">
      <c r="B2976" s="17" t="str">
        <f>IF('Marcación Workera'!G2976="","",INT('Marcación Workera'!G2976))</f>
        <v/>
      </c>
      <c r="C2976" s="18" t="str">
        <f>IF('Marcación Workera'!B2976="","",UPPER(SUBSTITUTE('Marcación Workera'!B2976,".","")))</f>
        <v/>
      </c>
    </row>
    <row r="2977" spans="2:3" ht="15" customHeight="1" x14ac:dyDescent="0.3">
      <c r="B2977" s="17" t="str">
        <f>IF('Marcación Workera'!G2977="","",INT('Marcación Workera'!G2977))</f>
        <v/>
      </c>
      <c r="C2977" s="18" t="str">
        <f>IF('Marcación Workera'!B2977="","",UPPER(SUBSTITUTE('Marcación Workera'!B2977,".","")))</f>
        <v/>
      </c>
    </row>
    <row r="2978" spans="2:3" ht="15" customHeight="1" x14ac:dyDescent="0.3">
      <c r="B2978" s="17" t="str">
        <f>IF('Marcación Workera'!G2978="","",INT('Marcación Workera'!G2978))</f>
        <v/>
      </c>
      <c r="C2978" s="18" t="str">
        <f>IF('Marcación Workera'!B2978="","",UPPER(SUBSTITUTE('Marcación Workera'!B2978,".","")))</f>
        <v/>
      </c>
    </row>
    <row r="2979" spans="2:3" ht="15" customHeight="1" x14ac:dyDescent="0.3">
      <c r="B2979" s="17" t="str">
        <f>IF('Marcación Workera'!G2979="","",INT('Marcación Workera'!G2979))</f>
        <v/>
      </c>
      <c r="C2979" s="18" t="str">
        <f>IF('Marcación Workera'!B2979="","",UPPER(SUBSTITUTE('Marcación Workera'!B2979,".","")))</f>
        <v/>
      </c>
    </row>
    <row r="2980" spans="2:3" ht="15" customHeight="1" x14ac:dyDescent="0.3">
      <c r="B2980" s="17" t="str">
        <f>IF('Marcación Workera'!G2980="","",INT('Marcación Workera'!G2980))</f>
        <v/>
      </c>
      <c r="C2980" s="18" t="str">
        <f>IF('Marcación Workera'!B2980="","",UPPER(SUBSTITUTE('Marcación Workera'!B2980,".","")))</f>
        <v/>
      </c>
    </row>
    <row r="2981" spans="2:3" ht="15" customHeight="1" x14ac:dyDescent="0.3">
      <c r="B2981" s="17" t="str">
        <f>IF('Marcación Workera'!G2981="","",INT('Marcación Workera'!G2981))</f>
        <v/>
      </c>
      <c r="C2981" s="18" t="str">
        <f>IF('Marcación Workera'!B2981="","",UPPER(SUBSTITUTE('Marcación Workera'!B2981,".","")))</f>
        <v/>
      </c>
    </row>
    <row r="2982" spans="2:3" ht="15" customHeight="1" x14ac:dyDescent="0.3">
      <c r="B2982" s="17" t="str">
        <f>IF('Marcación Workera'!G2982="","",INT('Marcación Workera'!G2982))</f>
        <v/>
      </c>
      <c r="C2982" s="18" t="str">
        <f>IF('Marcación Workera'!B2982="","",UPPER(SUBSTITUTE('Marcación Workera'!B2982,".","")))</f>
        <v/>
      </c>
    </row>
    <row r="2983" spans="2:3" ht="15" customHeight="1" x14ac:dyDescent="0.3">
      <c r="B2983" s="17" t="str">
        <f>IF('Marcación Workera'!G2983="","",INT('Marcación Workera'!G2983))</f>
        <v/>
      </c>
      <c r="C2983" s="18" t="str">
        <f>IF('Marcación Workera'!B2983="","",UPPER(SUBSTITUTE('Marcación Workera'!B2983,".","")))</f>
        <v/>
      </c>
    </row>
    <row r="2984" spans="2:3" ht="15" customHeight="1" x14ac:dyDescent="0.3">
      <c r="B2984" s="17" t="str">
        <f>IF('Marcación Workera'!G2984="","",INT('Marcación Workera'!G2984))</f>
        <v/>
      </c>
      <c r="C2984" s="18" t="str">
        <f>IF('Marcación Workera'!B2984="","",UPPER(SUBSTITUTE('Marcación Workera'!B2984,".","")))</f>
        <v/>
      </c>
    </row>
    <row r="2985" spans="2:3" ht="15" customHeight="1" x14ac:dyDescent="0.3">
      <c r="B2985" s="17" t="str">
        <f>IF('Marcación Workera'!G2985="","",INT('Marcación Workera'!G2985))</f>
        <v/>
      </c>
      <c r="C2985" s="18" t="str">
        <f>IF('Marcación Workera'!B2985="","",UPPER(SUBSTITUTE('Marcación Workera'!B2985,".","")))</f>
        <v/>
      </c>
    </row>
    <row r="2986" spans="2:3" ht="15" customHeight="1" x14ac:dyDescent="0.3">
      <c r="B2986" s="17" t="str">
        <f>IF('Marcación Workera'!G2986="","",INT('Marcación Workera'!G2986))</f>
        <v/>
      </c>
      <c r="C2986" s="18" t="str">
        <f>IF('Marcación Workera'!B2986="","",UPPER(SUBSTITUTE('Marcación Workera'!B2986,".","")))</f>
        <v/>
      </c>
    </row>
    <row r="2987" spans="2:3" ht="15" customHeight="1" x14ac:dyDescent="0.3">
      <c r="B2987" s="17" t="str">
        <f>IF('Marcación Workera'!G2987="","",INT('Marcación Workera'!G2987))</f>
        <v/>
      </c>
      <c r="C2987" s="18" t="str">
        <f>IF('Marcación Workera'!B2987="","",UPPER(SUBSTITUTE('Marcación Workera'!B2987,".","")))</f>
        <v/>
      </c>
    </row>
    <row r="2988" spans="2:3" ht="15" customHeight="1" x14ac:dyDescent="0.3">
      <c r="B2988" s="17" t="str">
        <f>IF('Marcación Workera'!G2988="","",INT('Marcación Workera'!G2988))</f>
        <v/>
      </c>
      <c r="C2988" s="18" t="str">
        <f>IF('Marcación Workera'!B2988="","",UPPER(SUBSTITUTE('Marcación Workera'!B2988,".","")))</f>
        <v/>
      </c>
    </row>
    <row r="2989" spans="2:3" ht="15" customHeight="1" x14ac:dyDescent="0.3">
      <c r="B2989" s="17" t="str">
        <f>IF('Marcación Workera'!G2989="","",INT('Marcación Workera'!G2989))</f>
        <v/>
      </c>
      <c r="C2989" s="18" t="str">
        <f>IF('Marcación Workera'!B2989="","",UPPER(SUBSTITUTE('Marcación Workera'!B2989,".","")))</f>
        <v/>
      </c>
    </row>
    <row r="2990" spans="2:3" ht="15" customHeight="1" x14ac:dyDescent="0.3">
      <c r="B2990" s="17" t="str">
        <f>IF('Marcación Workera'!G2990="","",INT('Marcación Workera'!G2990))</f>
        <v/>
      </c>
      <c r="C2990" s="18" t="str">
        <f>IF('Marcación Workera'!B2990="","",UPPER(SUBSTITUTE('Marcación Workera'!B2990,".","")))</f>
        <v/>
      </c>
    </row>
    <row r="2991" spans="2:3" ht="15" customHeight="1" x14ac:dyDescent="0.3">
      <c r="B2991" s="17" t="str">
        <f>IF('Marcación Workera'!G2991="","",INT('Marcación Workera'!G2991))</f>
        <v/>
      </c>
      <c r="C2991" s="18" t="str">
        <f>IF('Marcación Workera'!B2991="","",UPPER(SUBSTITUTE('Marcación Workera'!B2991,".","")))</f>
        <v/>
      </c>
    </row>
    <row r="2992" spans="2:3" ht="15" customHeight="1" x14ac:dyDescent="0.3">
      <c r="B2992" s="17" t="str">
        <f>IF('Marcación Workera'!G2992="","",INT('Marcación Workera'!G2992))</f>
        <v/>
      </c>
      <c r="C2992" s="18" t="str">
        <f>IF('Marcación Workera'!B2992="","",UPPER(SUBSTITUTE('Marcación Workera'!B2992,".","")))</f>
        <v/>
      </c>
    </row>
    <row r="2993" spans="2:3" ht="15" customHeight="1" x14ac:dyDescent="0.3">
      <c r="B2993" s="17" t="str">
        <f>IF('Marcación Workera'!G2993="","",INT('Marcación Workera'!G2993))</f>
        <v/>
      </c>
      <c r="C2993" s="18" t="str">
        <f>IF('Marcación Workera'!B2993="","",UPPER(SUBSTITUTE('Marcación Workera'!B2993,".","")))</f>
        <v/>
      </c>
    </row>
    <row r="2994" spans="2:3" ht="15" customHeight="1" x14ac:dyDescent="0.3">
      <c r="B2994" s="17" t="str">
        <f>IF('Marcación Workera'!G2994="","",INT('Marcación Workera'!G2994))</f>
        <v/>
      </c>
      <c r="C2994" s="18" t="str">
        <f>IF('Marcación Workera'!B2994="","",UPPER(SUBSTITUTE('Marcación Workera'!B2994,".","")))</f>
        <v/>
      </c>
    </row>
    <row r="2995" spans="2:3" ht="15" customHeight="1" x14ac:dyDescent="0.3">
      <c r="B2995" s="17" t="str">
        <f>IF('Marcación Workera'!G2995="","",INT('Marcación Workera'!G2995))</f>
        <v/>
      </c>
      <c r="C2995" s="18" t="str">
        <f>IF('Marcación Workera'!B2995="","",UPPER(SUBSTITUTE('Marcación Workera'!B2995,".","")))</f>
        <v/>
      </c>
    </row>
    <row r="2996" spans="2:3" ht="15" customHeight="1" x14ac:dyDescent="0.3">
      <c r="B2996" s="17" t="str">
        <f>IF('Marcación Workera'!G2996="","",INT('Marcación Workera'!G2996))</f>
        <v/>
      </c>
      <c r="C2996" s="18" t="str">
        <f>IF('Marcación Workera'!B2996="","",UPPER(SUBSTITUTE('Marcación Workera'!B2996,".","")))</f>
        <v/>
      </c>
    </row>
    <row r="2997" spans="2:3" ht="15" customHeight="1" x14ac:dyDescent="0.3">
      <c r="B2997" s="17" t="str">
        <f>IF('Marcación Workera'!G2997="","",INT('Marcación Workera'!G2997))</f>
        <v/>
      </c>
      <c r="C2997" s="18" t="str">
        <f>IF('Marcación Workera'!B2997="","",UPPER(SUBSTITUTE('Marcación Workera'!B2997,".","")))</f>
        <v/>
      </c>
    </row>
    <row r="2998" spans="2:3" ht="15" customHeight="1" x14ac:dyDescent="0.3">
      <c r="B2998" s="17" t="str">
        <f>IF('Marcación Workera'!G2998="","",INT('Marcación Workera'!G2998))</f>
        <v/>
      </c>
      <c r="C2998" s="18" t="str">
        <f>IF('Marcación Workera'!B2998="","",UPPER(SUBSTITUTE('Marcación Workera'!B2998,".","")))</f>
        <v/>
      </c>
    </row>
    <row r="2999" spans="2:3" ht="15" customHeight="1" x14ac:dyDescent="0.3">
      <c r="B2999" s="17" t="str">
        <f>IF('Marcación Workera'!G2999="","",INT('Marcación Workera'!G2999))</f>
        <v/>
      </c>
      <c r="C2999" s="18" t="str">
        <f>IF('Marcación Workera'!B2999="","",UPPER(SUBSTITUTE('Marcación Workera'!B2999,".","")))</f>
        <v/>
      </c>
    </row>
    <row r="3000" spans="2:3" ht="15" customHeight="1" x14ac:dyDescent="0.3">
      <c r="B3000" s="17" t="str">
        <f>IF('Marcación Workera'!G3000="","",INT('Marcación Workera'!G3000))</f>
        <v/>
      </c>
      <c r="C3000" s="18" t="str">
        <f>IF('Marcación Workera'!B3000="","",UPPER(SUBSTITUTE('Marcación Workera'!B3000,".","")))</f>
        <v/>
      </c>
    </row>
    <row r="3001" spans="2:3" ht="15" customHeight="1" x14ac:dyDescent="0.3">
      <c r="B3001" s="17" t="str">
        <f>IF('Marcación Workera'!G3001="","",INT('Marcación Workera'!G3001))</f>
        <v/>
      </c>
      <c r="C3001" s="18" t="str">
        <f>IF('Marcación Workera'!B3001="","",UPPER(SUBSTITUTE('Marcación Workera'!B3001,".","")))</f>
        <v/>
      </c>
    </row>
    <row r="3002" spans="2:3" ht="15" customHeight="1" x14ac:dyDescent="0.3">
      <c r="B3002" s="17" t="str">
        <f>IF('Marcación Workera'!G3002="","",INT('Marcación Workera'!G3002))</f>
        <v/>
      </c>
      <c r="C3002" s="18" t="str">
        <f>IF('Marcación Workera'!B3002="","",UPPER(SUBSTITUTE('Marcación Workera'!B3002,".","")))</f>
        <v/>
      </c>
    </row>
    <row r="3003" spans="2:3" ht="15" customHeight="1" x14ac:dyDescent="0.3">
      <c r="B3003" s="17" t="str">
        <f>IF('Marcación Workera'!G3003="","",INT('Marcación Workera'!G3003))</f>
        <v/>
      </c>
      <c r="C3003" s="18" t="str">
        <f>IF('Marcación Workera'!B3003="","",UPPER(SUBSTITUTE('Marcación Workera'!B3003,".","")))</f>
        <v/>
      </c>
    </row>
    <row r="3004" spans="2:3" ht="15" customHeight="1" x14ac:dyDescent="0.3">
      <c r="B3004" s="17" t="str">
        <f>IF('Marcación Workera'!G3004="","",INT('Marcación Workera'!G3004))</f>
        <v/>
      </c>
      <c r="C3004" s="18" t="str">
        <f>IF('Marcación Workera'!B3004="","",UPPER(SUBSTITUTE('Marcación Workera'!B3004,".","")))</f>
        <v/>
      </c>
    </row>
  </sheetData>
  <mergeCells count="2">
    <mergeCell ref="E1:I1"/>
    <mergeCell ref="E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357F-5A41-4EF4-9B25-1028118081D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67361D-51A3-4BD5-9290-CFCD7D9228E6}"/>
</file>

<file path=customXml/itemProps2.xml><?xml version="1.0" encoding="utf-8"?>
<ds:datastoreItem xmlns:ds="http://schemas.openxmlformats.org/officeDocument/2006/customXml" ds:itemID="{F7446C8B-B0CE-45E5-98BB-A9BB385E8914}"/>
</file>

<file path=customXml/itemProps3.xml><?xml version="1.0" encoding="utf-8"?>
<ds:datastoreItem xmlns:ds="http://schemas.openxmlformats.org/officeDocument/2006/customXml" ds:itemID="{2F0F6880-63E4-4217-AE1E-B3F27103B95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01-08-2026</vt:lpstr>
      <vt:lpstr>02-08-2026</vt:lpstr>
      <vt:lpstr>03-08-2026</vt:lpstr>
      <vt:lpstr>04-08-2026</vt:lpstr>
      <vt:lpstr>05-08-2026</vt:lpstr>
      <vt:lpstr>06-08-2026</vt:lpstr>
      <vt:lpstr>07-08-2026</vt:lpstr>
      <vt:lpstr>08-08-2026</vt:lpstr>
      <vt:lpstr>09-08-2026</vt:lpstr>
      <vt:lpstr>10-08-2026</vt:lpstr>
      <vt:lpstr>11-08-2026</vt:lpstr>
      <vt:lpstr>12-08-2026</vt:lpstr>
      <vt:lpstr>13-08-2026</vt:lpstr>
      <vt:lpstr>14-08-2026</vt:lpstr>
      <vt:lpstr>15-08-2026</vt:lpstr>
      <vt:lpstr>16-08-2026</vt:lpstr>
      <vt:lpstr>17-08-2026</vt:lpstr>
      <vt:lpstr>18-08-2026</vt:lpstr>
      <vt:lpstr>19-08-2026</vt:lpstr>
      <vt:lpstr>20-08-2026</vt:lpstr>
      <vt:lpstr>21-08-2026</vt:lpstr>
      <vt:lpstr>22-08-2026</vt:lpstr>
      <vt:lpstr>23-08-2026</vt:lpstr>
      <vt:lpstr>24-08-2026</vt:lpstr>
      <vt:lpstr>25-08-2026</vt:lpstr>
      <vt:lpstr>26-08-2026</vt:lpstr>
      <vt:lpstr>27-08-2026</vt:lpstr>
      <vt:lpstr>28-08-2026</vt:lpstr>
      <vt:lpstr>29-08-2026</vt:lpstr>
      <vt:lpstr>30-08-2026</vt:lpstr>
      <vt:lpstr>31-08-2026</vt:lpstr>
      <vt:lpstr>Dotación</vt:lpstr>
      <vt:lpstr>Marcación Workera</vt:lpstr>
      <vt:lpstr>Ayuda Workera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Faena La Coipa | Recondrilling</cp:lastModifiedBy>
  <cp:revision>0</cp:revision>
  <dcterms:created xsi:type="dcterms:W3CDTF">2026-09-09T23:41:16Z</dcterms:created>
  <dcterms:modified xsi:type="dcterms:W3CDTF">2026-09-16T11:51:00Z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</Properties>
</file>