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geodrillint-my.sharepoint.com/personal/adminlacoipa_recondrilling_com/Documents/Escritorio/ASISTENCIA/ASISTENCIA COIPA I/PLANILLA DIARIA ASISTENCIA/SEPTIEMBRE 2026/"/>
    </mc:Choice>
  </mc:AlternateContent>
  <xr:revisionPtr revIDLastSave="1406" documentId="8_{EE9869F8-F943-4842-8555-10BE34922B9C}" xr6:coauthVersionLast="47" xr6:coauthVersionMax="47" xr10:uidLastSave="{34379698-670D-4A00-8FAC-E5259D52F5B9}"/>
  <bookViews>
    <workbookView xWindow="-108" yWindow="-108" windowWidth="23256" windowHeight="12456" tabRatio="675" firstSheet="12" activeTab="29" xr2:uid="{00000000-000D-0000-FFFF-FFFF00000000}"/>
  </bookViews>
  <sheets>
    <sheet name="01" sheetId="7" r:id="rId1"/>
    <sheet name="02" sheetId="34" r:id="rId2"/>
    <sheet name="03" sheetId="35" r:id="rId3"/>
    <sheet name="04" sheetId="36" r:id="rId4"/>
    <sheet name="05" sheetId="40" r:id="rId5"/>
    <sheet name="06" sheetId="41" r:id="rId6"/>
    <sheet name="07" sheetId="42" r:id="rId7"/>
    <sheet name="08" sheetId="43" r:id="rId8"/>
    <sheet name="09" sheetId="44" r:id="rId9"/>
    <sheet name="10" sheetId="45" r:id="rId10"/>
    <sheet name="11" sheetId="46" r:id="rId11"/>
    <sheet name="12" sheetId="47" r:id="rId12"/>
    <sheet name="13" sheetId="48" r:id="rId13"/>
    <sheet name="14" sheetId="49" r:id="rId14"/>
    <sheet name="15" sheetId="50" r:id="rId15"/>
    <sheet name="16" sheetId="51" r:id="rId16"/>
    <sheet name="17" sheetId="52" r:id="rId17"/>
    <sheet name="18" sheetId="53" r:id="rId18"/>
    <sheet name="19" sheetId="54" r:id="rId19"/>
    <sheet name="20" sheetId="55" r:id="rId20"/>
    <sheet name="21" sheetId="56" r:id="rId21"/>
    <sheet name="22" sheetId="57" r:id="rId22"/>
    <sheet name="23" sheetId="58" r:id="rId23"/>
    <sheet name="24" sheetId="60" r:id="rId24"/>
    <sheet name="25" sheetId="61" r:id="rId25"/>
    <sheet name="26" sheetId="62" r:id="rId26"/>
    <sheet name="27" sheetId="63" r:id="rId27"/>
    <sheet name="28" sheetId="64" r:id="rId28"/>
    <sheet name="29" sheetId="65" r:id="rId29"/>
    <sheet name="30" sheetId="66" r:id="rId30"/>
    <sheet name="Lista desplegable" sheetId="33" r:id="rId31"/>
  </sheets>
  <definedNames>
    <definedName name="_xlnm._FilterDatabase" localSheetId="0" hidden="1">'01'!$C$7:$S$7</definedName>
    <definedName name="_xlnm._FilterDatabase" localSheetId="1" hidden="1">'02'!$C$7:$S$7</definedName>
    <definedName name="_xlnm._FilterDatabase" localSheetId="2" hidden="1">'03'!$C$7:$S$7</definedName>
    <definedName name="_xlnm._FilterDatabase" localSheetId="3" hidden="1">'04'!$C$7:$S$7</definedName>
    <definedName name="_xlnm._FilterDatabase" localSheetId="4" hidden="1">'05'!$C$7:$S$7</definedName>
    <definedName name="_xlnm._FilterDatabase" localSheetId="5" hidden="1">'06'!$C$7:$S$7</definedName>
    <definedName name="_xlnm._FilterDatabase" localSheetId="6" hidden="1">'07'!$C$7:$S$7</definedName>
    <definedName name="_xlnm._FilterDatabase" localSheetId="7" hidden="1">'08'!$C$7:$S$7</definedName>
    <definedName name="_xlnm._FilterDatabase" localSheetId="8" hidden="1">'09'!$C$7:$S$7</definedName>
    <definedName name="_xlnm._FilterDatabase" localSheetId="9" hidden="1">'10'!$C$7:$S$7</definedName>
    <definedName name="_xlnm._FilterDatabase" localSheetId="10" hidden="1">'11'!$C$7:$S$7</definedName>
    <definedName name="_xlnm._FilterDatabase" localSheetId="11" hidden="1">'12'!$C$7:$S$7</definedName>
    <definedName name="_xlnm._FilterDatabase" localSheetId="12" hidden="1">'13'!$C$7:$S$7</definedName>
    <definedName name="_xlnm._FilterDatabase" localSheetId="13" hidden="1">'14'!$C$7:$S$7</definedName>
    <definedName name="_xlnm._FilterDatabase" localSheetId="14" hidden="1">'15'!$C$7:$S$7</definedName>
    <definedName name="_xlnm._FilterDatabase" localSheetId="15" hidden="1">'16'!$C$7:$S$7</definedName>
    <definedName name="_xlnm._FilterDatabase" localSheetId="16" hidden="1">'17'!$C$7:$S$7</definedName>
    <definedName name="_xlnm._FilterDatabase" localSheetId="17" hidden="1">'18'!$C$7:$S$7</definedName>
    <definedName name="_xlnm._FilterDatabase" localSheetId="18" hidden="1">'19'!$C$7:$S$7</definedName>
    <definedName name="_xlnm._FilterDatabase" localSheetId="19" hidden="1">'20'!$C$7:$S$7</definedName>
    <definedName name="_xlnm._FilterDatabase" localSheetId="20" hidden="1">'21'!$C$7:$S$7</definedName>
    <definedName name="_xlnm._FilterDatabase" localSheetId="21" hidden="1">'22'!$C$7:$S$7</definedName>
    <definedName name="_xlnm._FilterDatabase" localSheetId="22" hidden="1">'23'!$C$7:$S$7</definedName>
    <definedName name="_xlnm._FilterDatabase" localSheetId="23" hidden="1">'24'!$C$7:$S$7</definedName>
    <definedName name="_xlnm._FilterDatabase" localSheetId="24" hidden="1">'25'!$C$7:$S$7</definedName>
    <definedName name="_xlnm._FilterDatabase" localSheetId="25" hidden="1">'26'!$C$7:$S$7</definedName>
    <definedName name="_xlnm._FilterDatabase" localSheetId="26" hidden="1">'27'!$C$7:$S$7</definedName>
    <definedName name="_xlnm._FilterDatabase" localSheetId="27" hidden="1">'28'!$C$7:$S$7</definedName>
    <definedName name="_xlnm._FilterDatabase" localSheetId="28" hidden="1">'29'!$C$7:$S$7</definedName>
    <definedName name="_xlnm._FilterDatabase" localSheetId="29" hidden="1">'30'!$C$7:$S$7</definedName>
    <definedName name="_xlnm._FilterDatabase" localSheetId="30" hidden="1">'Lista desplegable'!$B$1:$D$436</definedName>
    <definedName name="_xlnm.Print_Area" localSheetId="0">'01'!$C$41:$F$55</definedName>
    <definedName name="_xlnm.Print_Area" localSheetId="1">'02'!$C$41:$F$55</definedName>
    <definedName name="_xlnm.Print_Area" localSheetId="2">'03'!$C$41:$F$55</definedName>
    <definedName name="_xlnm.Print_Area" localSheetId="3">'04'!$C$41:$F$55</definedName>
    <definedName name="_xlnm.Print_Area" localSheetId="4">'05'!$C$41:$F$55</definedName>
    <definedName name="_xlnm.Print_Area" localSheetId="5">'06'!$C$41:$F$55</definedName>
    <definedName name="_xlnm.Print_Area" localSheetId="6">'07'!$C$41:$F$55</definedName>
    <definedName name="_xlnm.Print_Area" localSheetId="7">'08'!$C$41:$F$55</definedName>
    <definedName name="_xlnm.Print_Area" localSheetId="8">'09'!$C$41:$F$55</definedName>
    <definedName name="_xlnm.Print_Area" localSheetId="9">'10'!$C$41:$F$55</definedName>
    <definedName name="_xlnm.Print_Area" localSheetId="10">'11'!$C$41:$F$55</definedName>
    <definedName name="_xlnm.Print_Area" localSheetId="11">'12'!$C$41:$F$55</definedName>
    <definedName name="_xlnm.Print_Area" localSheetId="12">'13'!$C$41:$F$55</definedName>
    <definedName name="_xlnm.Print_Area" localSheetId="13">'14'!$C$41:$F$55</definedName>
    <definedName name="_xlnm.Print_Area" localSheetId="14">'15'!$C$41:$F$55</definedName>
    <definedName name="_xlnm.Print_Area" localSheetId="15">'16'!$C$41:$F$55</definedName>
    <definedName name="_xlnm.Print_Area" localSheetId="16">'17'!$C$41:$F$55</definedName>
    <definedName name="_xlnm.Print_Area" localSheetId="17">'18'!$C$41:$F$55</definedName>
    <definedName name="_xlnm.Print_Area" localSheetId="18">'19'!$C$41:$F$55</definedName>
    <definedName name="_xlnm.Print_Area" localSheetId="19">'20'!$C$41:$F$55</definedName>
    <definedName name="_xlnm.Print_Area" localSheetId="20">'21'!$C$41:$F$55</definedName>
    <definedName name="_xlnm.Print_Area" localSheetId="21">'22'!$C$41:$F$55</definedName>
    <definedName name="_xlnm.Print_Area" localSheetId="22">'23'!$C$41:$F$55</definedName>
    <definedName name="_xlnm.Print_Area" localSheetId="23">'24'!$C$41:$F$55</definedName>
    <definedName name="_xlnm.Print_Area" localSheetId="24">'25'!$C$41:$F$55</definedName>
    <definedName name="_xlnm.Print_Area" localSheetId="25">'26'!$C$41:$F$55</definedName>
    <definedName name="_xlnm.Print_Area" localSheetId="26">'27'!$C$41:$F$55</definedName>
    <definedName name="_xlnm.Print_Area" localSheetId="27">'28'!$C$41:$F$55</definedName>
    <definedName name="_xlnm.Print_Area" localSheetId="28">'29'!$C$41:$F$55</definedName>
    <definedName name="_xlnm.Print_Area" localSheetId="29">'30'!$C$41:$F$55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65" l="1"/>
  <c r="E22" i="65" s="1"/>
  <c r="D11" i="66" l="1"/>
  <c r="E11" i="66" s="1"/>
  <c r="D21" i="65"/>
  <c r="E21" i="65" s="1"/>
  <c r="D22" i="64"/>
  <c r="E22" i="64" s="1"/>
  <c r="D20" i="63"/>
  <c r="E20" i="63" s="1"/>
  <c r="D21" i="62"/>
  <c r="E21" i="62" s="1"/>
  <c r="D21" i="61"/>
  <c r="E21" i="61" s="1"/>
  <c r="D23" i="60"/>
  <c r="E23" i="60" s="1"/>
  <c r="D23" i="7"/>
  <c r="D42" i="7"/>
  <c r="D71" i="66"/>
  <c r="E71" i="66" s="1"/>
  <c r="D70" i="66"/>
  <c r="E70" i="66" s="1"/>
  <c r="D69" i="66"/>
  <c r="E69" i="66" s="1"/>
  <c r="D68" i="66"/>
  <c r="E68" i="66" s="1"/>
  <c r="D67" i="66"/>
  <c r="E67" i="66" s="1"/>
  <c r="D66" i="66"/>
  <c r="E66" i="66" s="1"/>
  <c r="D65" i="66"/>
  <c r="E65" i="66" s="1"/>
  <c r="D64" i="66"/>
  <c r="E64" i="66" s="1"/>
  <c r="D63" i="66"/>
  <c r="E63" i="66" s="1"/>
  <c r="D62" i="66"/>
  <c r="E62" i="66" s="1"/>
  <c r="D61" i="66"/>
  <c r="E61" i="66" s="1"/>
  <c r="D60" i="66"/>
  <c r="E60" i="66" s="1"/>
  <c r="D59" i="66"/>
  <c r="E59" i="66" s="1"/>
  <c r="D58" i="66"/>
  <c r="E58" i="66" s="1"/>
  <c r="D57" i="66"/>
  <c r="E57" i="66" s="1"/>
  <c r="D56" i="66"/>
  <c r="E56" i="66" s="1"/>
  <c r="D55" i="66"/>
  <c r="E55" i="66" s="1"/>
  <c r="D54" i="66"/>
  <c r="E54" i="66" s="1"/>
  <c r="D53" i="66"/>
  <c r="E53" i="66" s="1"/>
  <c r="D52" i="66"/>
  <c r="E52" i="66" s="1"/>
  <c r="D51" i="66"/>
  <c r="E51" i="66" s="1"/>
  <c r="D50" i="66"/>
  <c r="E50" i="66" s="1"/>
  <c r="D49" i="66"/>
  <c r="E49" i="66" s="1"/>
  <c r="D48" i="66"/>
  <c r="D47" i="66"/>
  <c r="E47" i="66" s="1"/>
  <c r="D46" i="66"/>
  <c r="E46" i="66" s="1"/>
  <c r="D45" i="66"/>
  <c r="E45" i="66" s="1"/>
  <c r="D44" i="66"/>
  <c r="E44" i="66" s="1"/>
  <c r="D43" i="66"/>
  <c r="E43" i="66" s="1"/>
  <c r="D42" i="66"/>
  <c r="E42" i="66" s="1"/>
  <c r="D37" i="66"/>
  <c r="E37" i="66" s="1"/>
  <c r="D36" i="66"/>
  <c r="E36" i="66" s="1"/>
  <c r="D35" i="66"/>
  <c r="E35" i="66" s="1"/>
  <c r="D34" i="66"/>
  <c r="E34" i="66" s="1"/>
  <c r="D33" i="66"/>
  <c r="E33" i="66" s="1"/>
  <c r="D32" i="66"/>
  <c r="E32" i="66" s="1"/>
  <c r="D31" i="66"/>
  <c r="E31" i="66" s="1"/>
  <c r="D30" i="66"/>
  <c r="E30" i="66" s="1"/>
  <c r="D29" i="66"/>
  <c r="E29" i="66" s="1"/>
  <c r="D28" i="66"/>
  <c r="E28" i="66" s="1"/>
  <c r="D27" i="66"/>
  <c r="E27" i="66" s="1"/>
  <c r="D26" i="66"/>
  <c r="E26" i="66" s="1"/>
  <c r="D25" i="66"/>
  <c r="E25" i="66" s="1"/>
  <c r="D24" i="66"/>
  <c r="E24" i="66" s="1"/>
  <c r="D23" i="66"/>
  <c r="E23" i="66" s="1"/>
  <c r="D22" i="66"/>
  <c r="E22" i="66" s="1"/>
  <c r="D21" i="66"/>
  <c r="E21" i="66" s="1"/>
  <c r="D20" i="66"/>
  <c r="E20" i="66" s="1"/>
  <c r="D19" i="66"/>
  <c r="E19" i="66" s="1"/>
  <c r="D18" i="66"/>
  <c r="E18" i="66" s="1"/>
  <c r="D17" i="66"/>
  <c r="E17" i="66" s="1"/>
  <c r="D16" i="66"/>
  <c r="E16" i="66" s="1"/>
  <c r="D15" i="66"/>
  <c r="E15" i="66" s="1"/>
  <c r="D14" i="66"/>
  <c r="E14" i="66" s="1"/>
  <c r="D13" i="66"/>
  <c r="E13" i="66" s="1"/>
  <c r="D12" i="66"/>
  <c r="E12" i="66" s="1"/>
  <c r="D10" i="66"/>
  <c r="E10" i="66" s="1"/>
  <c r="D9" i="66"/>
  <c r="E9" i="66" s="1"/>
  <c r="D8" i="66"/>
  <c r="E8" i="66" s="1"/>
  <c r="D71" i="65"/>
  <c r="E71" i="65" s="1"/>
  <c r="D70" i="65"/>
  <c r="E70" i="65" s="1"/>
  <c r="D69" i="65"/>
  <c r="E69" i="65" s="1"/>
  <c r="D68" i="65"/>
  <c r="E68" i="65" s="1"/>
  <c r="D67" i="65"/>
  <c r="E67" i="65" s="1"/>
  <c r="D66" i="65"/>
  <c r="E66" i="65" s="1"/>
  <c r="D65" i="65"/>
  <c r="E65" i="65" s="1"/>
  <c r="D64" i="65"/>
  <c r="E64" i="65" s="1"/>
  <c r="D63" i="65"/>
  <c r="E63" i="65" s="1"/>
  <c r="D62" i="65"/>
  <c r="E62" i="65" s="1"/>
  <c r="D61" i="65"/>
  <c r="E61" i="65" s="1"/>
  <c r="D60" i="65"/>
  <c r="E60" i="65" s="1"/>
  <c r="D59" i="65"/>
  <c r="E59" i="65" s="1"/>
  <c r="D58" i="65"/>
  <c r="E58" i="65" s="1"/>
  <c r="D57" i="65"/>
  <c r="E57" i="65" s="1"/>
  <c r="D56" i="65"/>
  <c r="E56" i="65" s="1"/>
  <c r="D55" i="65"/>
  <c r="E55" i="65" s="1"/>
  <c r="D54" i="65"/>
  <c r="E54" i="65" s="1"/>
  <c r="D53" i="65"/>
  <c r="E53" i="65" s="1"/>
  <c r="D52" i="65"/>
  <c r="E52" i="65" s="1"/>
  <c r="D51" i="65"/>
  <c r="E51" i="65" s="1"/>
  <c r="D50" i="65"/>
  <c r="E50" i="65" s="1"/>
  <c r="D49" i="65"/>
  <c r="E49" i="65" s="1"/>
  <c r="D48" i="65"/>
  <c r="E48" i="65" s="1"/>
  <c r="D47" i="65"/>
  <c r="E47" i="65" s="1"/>
  <c r="D46" i="65"/>
  <c r="E46" i="65" s="1"/>
  <c r="D45" i="65"/>
  <c r="E45" i="65" s="1"/>
  <c r="D44" i="65"/>
  <c r="E44" i="65" s="1"/>
  <c r="D43" i="65"/>
  <c r="E43" i="65" s="1"/>
  <c r="D42" i="65"/>
  <c r="E42" i="65" s="1"/>
  <c r="D37" i="65"/>
  <c r="E37" i="65" s="1"/>
  <c r="D36" i="65"/>
  <c r="E36" i="65" s="1"/>
  <c r="D35" i="65"/>
  <c r="E35" i="65" s="1"/>
  <c r="D34" i="65"/>
  <c r="E34" i="65" s="1"/>
  <c r="D33" i="65"/>
  <c r="E33" i="65" s="1"/>
  <c r="D32" i="65"/>
  <c r="E32" i="65" s="1"/>
  <c r="D31" i="65"/>
  <c r="E31" i="65" s="1"/>
  <c r="D30" i="65"/>
  <c r="E30" i="65" s="1"/>
  <c r="D29" i="65"/>
  <c r="E29" i="65" s="1"/>
  <c r="D28" i="65"/>
  <c r="E28" i="65" s="1"/>
  <c r="D27" i="65"/>
  <c r="E27" i="65" s="1"/>
  <c r="D26" i="65"/>
  <c r="E26" i="65" s="1"/>
  <c r="D25" i="65"/>
  <c r="E25" i="65" s="1"/>
  <c r="D24" i="65"/>
  <c r="E24" i="65" s="1"/>
  <c r="D23" i="65"/>
  <c r="E23" i="65" s="1"/>
  <c r="D20" i="65"/>
  <c r="E20" i="65" s="1"/>
  <c r="D19" i="65"/>
  <c r="E19" i="65" s="1"/>
  <c r="D18" i="65"/>
  <c r="E18" i="65" s="1"/>
  <c r="D17" i="65"/>
  <c r="E17" i="65" s="1"/>
  <c r="D16" i="65"/>
  <c r="E16" i="65" s="1"/>
  <c r="D15" i="65"/>
  <c r="E15" i="65" s="1"/>
  <c r="D14" i="65"/>
  <c r="E14" i="65" s="1"/>
  <c r="D13" i="65"/>
  <c r="E13" i="65" s="1"/>
  <c r="D12" i="65"/>
  <c r="E12" i="65" s="1"/>
  <c r="D11" i="65"/>
  <c r="E11" i="65" s="1"/>
  <c r="D10" i="65"/>
  <c r="E10" i="65" s="1"/>
  <c r="D9" i="65"/>
  <c r="E9" i="65" s="1"/>
  <c r="D8" i="65"/>
  <c r="E8" i="65" s="1"/>
  <c r="D71" i="64"/>
  <c r="E71" i="64" s="1"/>
  <c r="D70" i="64"/>
  <c r="E70" i="64" s="1"/>
  <c r="D69" i="64"/>
  <c r="E69" i="64" s="1"/>
  <c r="D68" i="64"/>
  <c r="E68" i="64" s="1"/>
  <c r="D67" i="64"/>
  <c r="E67" i="64" s="1"/>
  <c r="D66" i="64"/>
  <c r="E66" i="64" s="1"/>
  <c r="D65" i="64"/>
  <c r="E65" i="64" s="1"/>
  <c r="D64" i="64"/>
  <c r="E64" i="64" s="1"/>
  <c r="D63" i="64"/>
  <c r="E63" i="64" s="1"/>
  <c r="D62" i="64"/>
  <c r="E62" i="64" s="1"/>
  <c r="D61" i="64"/>
  <c r="E61" i="64" s="1"/>
  <c r="D60" i="64"/>
  <c r="E60" i="64" s="1"/>
  <c r="D59" i="64"/>
  <c r="E59" i="64" s="1"/>
  <c r="D58" i="64"/>
  <c r="E58" i="64" s="1"/>
  <c r="D57" i="64"/>
  <c r="E57" i="64" s="1"/>
  <c r="D56" i="64"/>
  <c r="E56" i="64" s="1"/>
  <c r="D55" i="64"/>
  <c r="E55" i="64" s="1"/>
  <c r="D54" i="64"/>
  <c r="E54" i="64" s="1"/>
  <c r="D53" i="64"/>
  <c r="E53" i="64" s="1"/>
  <c r="D52" i="64"/>
  <c r="E52" i="64" s="1"/>
  <c r="D51" i="64"/>
  <c r="E51" i="64" s="1"/>
  <c r="D50" i="64"/>
  <c r="E50" i="64" s="1"/>
  <c r="D49" i="64"/>
  <c r="E49" i="64" s="1"/>
  <c r="D48" i="64"/>
  <c r="E48" i="64" s="1"/>
  <c r="D47" i="64"/>
  <c r="E47" i="64" s="1"/>
  <c r="D46" i="64"/>
  <c r="E46" i="64" s="1"/>
  <c r="D45" i="64"/>
  <c r="E45" i="64" s="1"/>
  <c r="D44" i="64"/>
  <c r="E44" i="64" s="1"/>
  <c r="D43" i="64"/>
  <c r="E43" i="64" s="1"/>
  <c r="D42" i="64"/>
  <c r="E42" i="64" s="1"/>
  <c r="D37" i="64"/>
  <c r="E37" i="64" s="1"/>
  <c r="D36" i="64"/>
  <c r="E36" i="64" s="1"/>
  <c r="D35" i="64"/>
  <c r="E35" i="64" s="1"/>
  <c r="D34" i="64"/>
  <c r="E34" i="64" s="1"/>
  <c r="D33" i="64"/>
  <c r="E33" i="64" s="1"/>
  <c r="D32" i="64"/>
  <c r="E32" i="64" s="1"/>
  <c r="D31" i="64"/>
  <c r="E31" i="64" s="1"/>
  <c r="D30" i="64"/>
  <c r="E30" i="64" s="1"/>
  <c r="D29" i="64"/>
  <c r="E29" i="64" s="1"/>
  <c r="D28" i="64"/>
  <c r="E28" i="64" s="1"/>
  <c r="D27" i="64"/>
  <c r="E27" i="64" s="1"/>
  <c r="D26" i="64"/>
  <c r="E26" i="64" s="1"/>
  <c r="D25" i="64"/>
  <c r="E25" i="64" s="1"/>
  <c r="D24" i="64"/>
  <c r="E24" i="64" s="1"/>
  <c r="D23" i="64"/>
  <c r="E23" i="64" s="1"/>
  <c r="D21" i="64"/>
  <c r="E21" i="64" s="1"/>
  <c r="D20" i="64"/>
  <c r="E20" i="64" s="1"/>
  <c r="D19" i="64"/>
  <c r="E19" i="64" s="1"/>
  <c r="D18" i="64"/>
  <c r="E18" i="64" s="1"/>
  <c r="D17" i="64"/>
  <c r="E17" i="64" s="1"/>
  <c r="D16" i="64"/>
  <c r="E16" i="64" s="1"/>
  <c r="D15" i="64"/>
  <c r="E15" i="64" s="1"/>
  <c r="D14" i="64"/>
  <c r="E14" i="64" s="1"/>
  <c r="D13" i="64"/>
  <c r="E13" i="64" s="1"/>
  <c r="D12" i="64"/>
  <c r="E12" i="64" s="1"/>
  <c r="D11" i="64"/>
  <c r="E11" i="64" s="1"/>
  <c r="D10" i="64"/>
  <c r="E10" i="64" s="1"/>
  <c r="D9" i="64"/>
  <c r="E9" i="64" s="1"/>
  <c r="D8" i="64"/>
  <c r="E8" i="64" s="1"/>
  <c r="D71" i="63"/>
  <c r="E71" i="63" s="1"/>
  <c r="D70" i="63"/>
  <c r="E70" i="63" s="1"/>
  <c r="D69" i="63"/>
  <c r="E69" i="63" s="1"/>
  <c r="D68" i="63"/>
  <c r="E68" i="63" s="1"/>
  <c r="D67" i="63"/>
  <c r="E67" i="63" s="1"/>
  <c r="D66" i="63"/>
  <c r="E66" i="63" s="1"/>
  <c r="D65" i="63"/>
  <c r="E65" i="63" s="1"/>
  <c r="D64" i="63"/>
  <c r="E64" i="63" s="1"/>
  <c r="D63" i="63"/>
  <c r="E63" i="63" s="1"/>
  <c r="D62" i="63"/>
  <c r="E62" i="63" s="1"/>
  <c r="D61" i="63"/>
  <c r="E61" i="63" s="1"/>
  <c r="D60" i="63"/>
  <c r="E60" i="63" s="1"/>
  <c r="D59" i="63"/>
  <c r="E59" i="63" s="1"/>
  <c r="D58" i="63"/>
  <c r="E58" i="63" s="1"/>
  <c r="D57" i="63"/>
  <c r="E57" i="63" s="1"/>
  <c r="D56" i="63"/>
  <c r="E56" i="63" s="1"/>
  <c r="D55" i="63"/>
  <c r="E55" i="63" s="1"/>
  <c r="D54" i="63"/>
  <c r="E54" i="63" s="1"/>
  <c r="D53" i="63"/>
  <c r="E53" i="63" s="1"/>
  <c r="D52" i="63"/>
  <c r="E52" i="63" s="1"/>
  <c r="D51" i="63"/>
  <c r="E51" i="63" s="1"/>
  <c r="D50" i="63"/>
  <c r="E50" i="63" s="1"/>
  <c r="D49" i="63"/>
  <c r="E49" i="63" s="1"/>
  <c r="D48" i="63"/>
  <c r="E48" i="63" s="1"/>
  <c r="D47" i="63"/>
  <c r="E47" i="63" s="1"/>
  <c r="D46" i="63"/>
  <c r="E46" i="63" s="1"/>
  <c r="D45" i="63"/>
  <c r="E45" i="63" s="1"/>
  <c r="D44" i="63"/>
  <c r="E44" i="63" s="1"/>
  <c r="D43" i="63"/>
  <c r="E43" i="63" s="1"/>
  <c r="D42" i="63"/>
  <c r="E42" i="63" s="1"/>
  <c r="D37" i="63"/>
  <c r="E37" i="63" s="1"/>
  <c r="D36" i="63"/>
  <c r="E36" i="63" s="1"/>
  <c r="D35" i="63"/>
  <c r="E35" i="63" s="1"/>
  <c r="D34" i="63"/>
  <c r="E34" i="63" s="1"/>
  <c r="D33" i="63"/>
  <c r="E33" i="63" s="1"/>
  <c r="D32" i="63"/>
  <c r="E32" i="63" s="1"/>
  <c r="D31" i="63"/>
  <c r="E31" i="63" s="1"/>
  <c r="D30" i="63"/>
  <c r="E30" i="63" s="1"/>
  <c r="D29" i="63"/>
  <c r="E29" i="63" s="1"/>
  <c r="D28" i="63"/>
  <c r="E28" i="63" s="1"/>
  <c r="D27" i="63"/>
  <c r="E27" i="63" s="1"/>
  <c r="D26" i="63"/>
  <c r="E26" i="63" s="1"/>
  <c r="D25" i="63"/>
  <c r="E25" i="63" s="1"/>
  <c r="D24" i="63"/>
  <c r="E24" i="63" s="1"/>
  <c r="D23" i="63"/>
  <c r="E23" i="63" s="1"/>
  <c r="D22" i="63"/>
  <c r="D21" i="63"/>
  <c r="D19" i="63"/>
  <c r="E19" i="63" s="1"/>
  <c r="D18" i="63"/>
  <c r="E18" i="63" s="1"/>
  <c r="D17" i="63"/>
  <c r="E17" i="63" s="1"/>
  <c r="D16" i="63"/>
  <c r="E16" i="63" s="1"/>
  <c r="D15" i="63"/>
  <c r="E15" i="63" s="1"/>
  <c r="D14" i="63"/>
  <c r="E14" i="63" s="1"/>
  <c r="D13" i="63"/>
  <c r="E13" i="63" s="1"/>
  <c r="D12" i="63"/>
  <c r="E12" i="63" s="1"/>
  <c r="D11" i="63"/>
  <c r="E11" i="63" s="1"/>
  <c r="D10" i="63"/>
  <c r="E10" i="63" s="1"/>
  <c r="D9" i="63"/>
  <c r="E9" i="63" s="1"/>
  <c r="D8" i="63"/>
  <c r="E8" i="63" s="1"/>
  <c r="D71" i="62"/>
  <c r="E71" i="62" s="1"/>
  <c r="D70" i="62"/>
  <c r="E70" i="62" s="1"/>
  <c r="D69" i="62"/>
  <c r="E69" i="62" s="1"/>
  <c r="D68" i="62"/>
  <c r="E68" i="62" s="1"/>
  <c r="D67" i="62"/>
  <c r="E67" i="62" s="1"/>
  <c r="D66" i="62"/>
  <c r="E66" i="62" s="1"/>
  <c r="D65" i="62"/>
  <c r="E65" i="62" s="1"/>
  <c r="D64" i="62"/>
  <c r="E64" i="62" s="1"/>
  <c r="D63" i="62"/>
  <c r="E63" i="62" s="1"/>
  <c r="D62" i="62"/>
  <c r="E62" i="62" s="1"/>
  <c r="D61" i="62"/>
  <c r="E61" i="62" s="1"/>
  <c r="D60" i="62"/>
  <c r="E60" i="62" s="1"/>
  <c r="D59" i="62"/>
  <c r="E59" i="62" s="1"/>
  <c r="D58" i="62"/>
  <c r="E58" i="62" s="1"/>
  <c r="D57" i="62"/>
  <c r="E57" i="62" s="1"/>
  <c r="D56" i="62"/>
  <c r="E56" i="62" s="1"/>
  <c r="D55" i="62"/>
  <c r="E55" i="62" s="1"/>
  <c r="D54" i="62"/>
  <c r="E54" i="62" s="1"/>
  <c r="D53" i="62"/>
  <c r="E53" i="62" s="1"/>
  <c r="D52" i="62"/>
  <c r="E52" i="62" s="1"/>
  <c r="D51" i="62"/>
  <c r="E51" i="62" s="1"/>
  <c r="D50" i="62"/>
  <c r="E50" i="62" s="1"/>
  <c r="D49" i="62"/>
  <c r="E49" i="62" s="1"/>
  <c r="D48" i="62"/>
  <c r="E48" i="62" s="1"/>
  <c r="D47" i="62"/>
  <c r="E47" i="62" s="1"/>
  <c r="D46" i="62"/>
  <c r="E46" i="62" s="1"/>
  <c r="D45" i="62"/>
  <c r="E45" i="62" s="1"/>
  <c r="D44" i="62"/>
  <c r="E44" i="62" s="1"/>
  <c r="D43" i="62"/>
  <c r="E43" i="62" s="1"/>
  <c r="D42" i="62"/>
  <c r="E42" i="62" s="1"/>
  <c r="D37" i="62"/>
  <c r="E37" i="62" s="1"/>
  <c r="D36" i="62"/>
  <c r="E36" i="62" s="1"/>
  <c r="D35" i="62"/>
  <c r="E35" i="62" s="1"/>
  <c r="D34" i="62"/>
  <c r="E34" i="62" s="1"/>
  <c r="D33" i="62"/>
  <c r="E33" i="62" s="1"/>
  <c r="D32" i="62"/>
  <c r="E32" i="62" s="1"/>
  <c r="D31" i="62"/>
  <c r="E31" i="62" s="1"/>
  <c r="D30" i="62"/>
  <c r="E30" i="62" s="1"/>
  <c r="D29" i="62"/>
  <c r="E29" i="62" s="1"/>
  <c r="D28" i="62"/>
  <c r="E28" i="62" s="1"/>
  <c r="D27" i="62"/>
  <c r="E27" i="62" s="1"/>
  <c r="D26" i="62"/>
  <c r="E26" i="62" s="1"/>
  <c r="D25" i="62"/>
  <c r="E25" i="62" s="1"/>
  <c r="D24" i="62"/>
  <c r="E24" i="62" s="1"/>
  <c r="D23" i="62"/>
  <c r="E23" i="62" s="1"/>
  <c r="D22" i="62"/>
  <c r="D20" i="62"/>
  <c r="E20" i="62" s="1"/>
  <c r="D19" i="62"/>
  <c r="E19" i="62" s="1"/>
  <c r="D18" i="62"/>
  <c r="E18" i="62" s="1"/>
  <c r="D17" i="62"/>
  <c r="E17" i="62" s="1"/>
  <c r="D16" i="62"/>
  <c r="E16" i="62" s="1"/>
  <c r="D15" i="62"/>
  <c r="E15" i="62" s="1"/>
  <c r="D14" i="62"/>
  <c r="E14" i="62" s="1"/>
  <c r="D13" i="62"/>
  <c r="E13" i="62" s="1"/>
  <c r="D12" i="62"/>
  <c r="E12" i="62" s="1"/>
  <c r="D11" i="62"/>
  <c r="E11" i="62" s="1"/>
  <c r="D10" i="62"/>
  <c r="E10" i="62" s="1"/>
  <c r="D9" i="62"/>
  <c r="E9" i="62" s="1"/>
  <c r="D8" i="62"/>
  <c r="E8" i="62" s="1"/>
  <c r="D71" i="61"/>
  <c r="E71" i="61" s="1"/>
  <c r="D70" i="61"/>
  <c r="E70" i="61" s="1"/>
  <c r="D69" i="61"/>
  <c r="E69" i="61" s="1"/>
  <c r="D68" i="61"/>
  <c r="E68" i="61" s="1"/>
  <c r="D67" i="61"/>
  <c r="E67" i="61" s="1"/>
  <c r="D66" i="61"/>
  <c r="E66" i="61" s="1"/>
  <c r="D65" i="61"/>
  <c r="E65" i="61" s="1"/>
  <c r="D64" i="61"/>
  <c r="E64" i="61" s="1"/>
  <c r="D63" i="61"/>
  <c r="E63" i="61" s="1"/>
  <c r="D62" i="61"/>
  <c r="E62" i="61" s="1"/>
  <c r="D61" i="61"/>
  <c r="E61" i="61" s="1"/>
  <c r="D60" i="61"/>
  <c r="E60" i="61" s="1"/>
  <c r="D59" i="61"/>
  <c r="E59" i="61" s="1"/>
  <c r="D58" i="61"/>
  <c r="E58" i="61" s="1"/>
  <c r="D57" i="61"/>
  <c r="E57" i="61" s="1"/>
  <c r="D56" i="61"/>
  <c r="E56" i="61" s="1"/>
  <c r="D55" i="61"/>
  <c r="E55" i="61" s="1"/>
  <c r="D54" i="61"/>
  <c r="E54" i="61" s="1"/>
  <c r="D53" i="61"/>
  <c r="E53" i="61" s="1"/>
  <c r="D52" i="61"/>
  <c r="E52" i="61" s="1"/>
  <c r="D51" i="61"/>
  <c r="E51" i="61" s="1"/>
  <c r="D50" i="61"/>
  <c r="E50" i="61" s="1"/>
  <c r="D49" i="61"/>
  <c r="E49" i="61" s="1"/>
  <c r="D48" i="61"/>
  <c r="E48" i="61" s="1"/>
  <c r="D47" i="61"/>
  <c r="E47" i="61" s="1"/>
  <c r="D46" i="61"/>
  <c r="E46" i="61" s="1"/>
  <c r="D45" i="61"/>
  <c r="E45" i="61" s="1"/>
  <c r="D44" i="61"/>
  <c r="E44" i="61" s="1"/>
  <c r="D43" i="61"/>
  <c r="E43" i="61" s="1"/>
  <c r="D42" i="61"/>
  <c r="E42" i="61" s="1"/>
  <c r="D37" i="61"/>
  <c r="E37" i="61" s="1"/>
  <c r="D36" i="61"/>
  <c r="E36" i="61" s="1"/>
  <c r="D35" i="61"/>
  <c r="E35" i="61" s="1"/>
  <c r="D34" i="61"/>
  <c r="E34" i="61" s="1"/>
  <c r="D33" i="61"/>
  <c r="E33" i="61" s="1"/>
  <c r="D32" i="61"/>
  <c r="E32" i="61" s="1"/>
  <c r="D31" i="61"/>
  <c r="E31" i="61" s="1"/>
  <c r="D30" i="61"/>
  <c r="E30" i="61" s="1"/>
  <c r="D29" i="61"/>
  <c r="E29" i="61" s="1"/>
  <c r="D28" i="61"/>
  <c r="E28" i="61" s="1"/>
  <c r="D27" i="61"/>
  <c r="E27" i="61" s="1"/>
  <c r="D26" i="61"/>
  <c r="E26" i="61" s="1"/>
  <c r="D25" i="61"/>
  <c r="E25" i="61" s="1"/>
  <c r="D24" i="61"/>
  <c r="E24" i="61" s="1"/>
  <c r="D23" i="61"/>
  <c r="E23" i="61" s="1"/>
  <c r="D22" i="61"/>
  <c r="D20" i="61"/>
  <c r="E20" i="61" s="1"/>
  <c r="D19" i="61"/>
  <c r="E19" i="61" s="1"/>
  <c r="D18" i="61"/>
  <c r="E18" i="61" s="1"/>
  <c r="D17" i="61"/>
  <c r="E17" i="61" s="1"/>
  <c r="D16" i="61"/>
  <c r="E16" i="61" s="1"/>
  <c r="D15" i="61"/>
  <c r="E15" i="61" s="1"/>
  <c r="D14" i="61"/>
  <c r="E14" i="61" s="1"/>
  <c r="D13" i="61"/>
  <c r="E13" i="61" s="1"/>
  <c r="D12" i="61"/>
  <c r="E12" i="61" s="1"/>
  <c r="D11" i="61"/>
  <c r="E11" i="61" s="1"/>
  <c r="D10" i="61"/>
  <c r="E10" i="61" s="1"/>
  <c r="D9" i="61"/>
  <c r="E9" i="61" s="1"/>
  <c r="D8" i="61"/>
  <c r="E8" i="61" s="1"/>
  <c r="D71" i="60"/>
  <c r="E71" i="60" s="1"/>
  <c r="D70" i="60"/>
  <c r="E70" i="60" s="1"/>
  <c r="D69" i="60"/>
  <c r="E69" i="60" s="1"/>
  <c r="D68" i="60"/>
  <c r="E68" i="60" s="1"/>
  <c r="D67" i="60"/>
  <c r="E67" i="60" s="1"/>
  <c r="D66" i="60"/>
  <c r="E66" i="60" s="1"/>
  <c r="D65" i="60"/>
  <c r="E65" i="60" s="1"/>
  <c r="D64" i="60"/>
  <c r="E64" i="60" s="1"/>
  <c r="D63" i="60"/>
  <c r="E63" i="60" s="1"/>
  <c r="D62" i="60"/>
  <c r="E62" i="60" s="1"/>
  <c r="D61" i="60"/>
  <c r="E61" i="60" s="1"/>
  <c r="D60" i="60"/>
  <c r="E60" i="60" s="1"/>
  <c r="D59" i="60"/>
  <c r="E59" i="60" s="1"/>
  <c r="D58" i="60"/>
  <c r="E58" i="60" s="1"/>
  <c r="D57" i="60"/>
  <c r="E57" i="60" s="1"/>
  <c r="D56" i="60"/>
  <c r="E56" i="60" s="1"/>
  <c r="D55" i="60"/>
  <c r="E55" i="60" s="1"/>
  <c r="D54" i="60"/>
  <c r="E54" i="60" s="1"/>
  <c r="D53" i="60"/>
  <c r="E53" i="60" s="1"/>
  <c r="D52" i="60"/>
  <c r="E52" i="60" s="1"/>
  <c r="D51" i="60"/>
  <c r="E51" i="60" s="1"/>
  <c r="D50" i="60"/>
  <c r="E50" i="60" s="1"/>
  <c r="D49" i="60"/>
  <c r="E49" i="60" s="1"/>
  <c r="D48" i="60"/>
  <c r="E48" i="60" s="1"/>
  <c r="D47" i="60"/>
  <c r="E47" i="60" s="1"/>
  <c r="D46" i="60"/>
  <c r="E46" i="60" s="1"/>
  <c r="D45" i="60"/>
  <c r="E45" i="60" s="1"/>
  <c r="D44" i="60"/>
  <c r="E44" i="60" s="1"/>
  <c r="D43" i="60"/>
  <c r="E43" i="60" s="1"/>
  <c r="D42" i="60"/>
  <c r="E42" i="60" s="1"/>
  <c r="D37" i="60"/>
  <c r="E37" i="60" s="1"/>
  <c r="D36" i="60"/>
  <c r="E36" i="60" s="1"/>
  <c r="D35" i="60"/>
  <c r="E35" i="60" s="1"/>
  <c r="D34" i="60"/>
  <c r="E34" i="60" s="1"/>
  <c r="D33" i="60"/>
  <c r="E33" i="60" s="1"/>
  <c r="D32" i="60"/>
  <c r="E32" i="60" s="1"/>
  <c r="D31" i="60"/>
  <c r="E31" i="60" s="1"/>
  <c r="D30" i="60"/>
  <c r="E30" i="60" s="1"/>
  <c r="D29" i="60"/>
  <c r="E29" i="60" s="1"/>
  <c r="D28" i="60"/>
  <c r="E28" i="60" s="1"/>
  <c r="D27" i="60"/>
  <c r="E27" i="60" s="1"/>
  <c r="D26" i="60"/>
  <c r="E26" i="60" s="1"/>
  <c r="D25" i="60"/>
  <c r="E25" i="60" s="1"/>
  <c r="D24" i="60"/>
  <c r="E24" i="60" s="1"/>
  <c r="D22" i="60"/>
  <c r="E22" i="60" s="1"/>
  <c r="D21" i="60"/>
  <c r="E21" i="60" s="1"/>
  <c r="D20" i="60"/>
  <c r="E20" i="60" s="1"/>
  <c r="D19" i="60"/>
  <c r="E19" i="60" s="1"/>
  <c r="D18" i="60"/>
  <c r="E18" i="60" s="1"/>
  <c r="D17" i="60"/>
  <c r="E17" i="60" s="1"/>
  <c r="D16" i="60"/>
  <c r="E16" i="60" s="1"/>
  <c r="D15" i="60"/>
  <c r="E15" i="60" s="1"/>
  <c r="D14" i="60"/>
  <c r="E14" i="60" s="1"/>
  <c r="D13" i="60"/>
  <c r="E13" i="60" s="1"/>
  <c r="D12" i="60"/>
  <c r="E12" i="60" s="1"/>
  <c r="D11" i="60"/>
  <c r="E11" i="60" s="1"/>
  <c r="D10" i="60"/>
  <c r="E10" i="60" s="1"/>
  <c r="D9" i="60"/>
  <c r="E9" i="60" s="1"/>
  <c r="D8" i="60"/>
  <c r="E8" i="60" s="1"/>
  <c r="D71" i="58"/>
  <c r="E71" i="58" s="1"/>
  <c r="D70" i="58"/>
  <c r="E70" i="58" s="1"/>
  <c r="D69" i="58"/>
  <c r="E69" i="58" s="1"/>
  <c r="D68" i="58"/>
  <c r="E68" i="58" s="1"/>
  <c r="D67" i="58"/>
  <c r="E67" i="58" s="1"/>
  <c r="D66" i="58"/>
  <c r="E66" i="58" s="1"/>
  <c r="D65" i="58"/>
  <c r="E65" i="58" s="1"/>
  <c r="D64" i="58"/>
  <c r="E64" i="58" s="1"/>
  <c r="D63" i="58"/>
  <c r="E63" i="58" s="1"/>
  <c r="D62" i="58"/>
  <c r="E62" i="58" s="1"/>
  <c r="D61" i="58"/>
  <c r="E61" i="58" s="1"/>
  <c r="D60" i="58"/>
  <c r="E60" i="58" s="1"/>
  <c r="D59" i="58"/>
  <c r="E59" i="58" s="1"/>
  <c r="D58" i="58"/>
  <c r="E58" i="58" s="1"/>
  <c r="D57" i="58"/>
  <c r="E57" i="58" s="1"/>
  <c r="D56" i="58"/>
  <c r="E56" i="58" s="1"/>
  <c r="D55" i="58"/>
  <c r="E55" i="58" s="1"/>
  <c r="D54" i="58"/>
  <c r="E54" i="58" s="1"/>
  <c r="D53" i="58"/>
  <c r="E53" i="58" s="1"/>
  <c r="D52" i="58"/>
  <c r="E52" i="58" s="1"/>
  <c r="D51" i="58"/>
  <c r="E51" i="58" s="1"/>
  <c r="D50" i="58"/>
  <c r="E50" i="58" s="1"/>
  <c r="D49" i="58"/>
  <c r="E49" i="58" s="1"/>
  <c r="D48" i="58"/>
  <c r="E48" i="58" s="1"/>
  <c r="D47" i="58"/>
  <c r="E47" i="58" s="1"/>
  <c r="D46" i="58"/>
  <c r="E46" i="58" s="1"/>
  <c r="D45" i="58"/>
  <c r="E45" i="58" s="1"/>
  <c r="D44" i="58"/>
  <c r="E44" i="58" s="1"/>
  <c r="D43" i="58"/>
  <c r="E43" i="58" s="1"/>
  <c r="D42" i="58"/>
  <c r="E42" i="58" s="1"/>
  <c r="D37" i="58"/>
  <c r="E37" i="58" s="1"/>
  <c r="D36" i="58"/>
  <c r="E36" i="58" s="1"/>
  <c r="D35" i="58"/>
  <c r="E35" i="58" s="1"/>
  <c r="D34" i="58"/>
  <c r="E34" i="58" s="1"/>
  <c r="D33" i="58"/>
  <c r="E33" i="58" s="1"/>
  <c r="D32" i="58"/>
  <c r="E32" i="58" s="1"/>
  <c r="D31" i="58"/>
  <c r="E31" i="58" s="1"/>
  <c r="D30" i="58"/>
  <c r="E30" i="58" s="1"/>
  <c r="D29" i="58"/>
  <c r="E29" i="58" s="1"/>
  <c r="D28" i="58"/>
  <c r="E28" i="58" s="1"/>
  <c r="D27" i="58"/>
  <c r="E27" i="58" s="1"/>
  <c r="D26" i="58"/>
  <c r="E26" i="58" s="1"/>
  <c r="D25" i="58"/>
  <c r="E25" i="58" s="1"/>
  <c r="D24" i="58"/>
  <c r="E24" i="58" s="1"/>
  <c r="D23" i="58"/>
  <c r="E23" i="58" s="1"/>
  <c r="D22" i="58"/>
  <c r="E22" i="58" s="1"/>
  <c r="D21" i="58"/>
  <c r="E21" i="58" s="1"/>
  <c r="D20" i="58"/>
  <c r="E20" i="58" s="1"/>
  <c r="D19" i="58"/>
  <c r="E19" i="58" s="1"/>
  <c r="D18" i="58"/>
  <c r="E18" i="58" s="1"/>
  <c r="D17" i="58"/>
  <c r="E17" i="58" s="1"/>
  <c r="D16" i="58"/>
  <c r="E16" i="58" s="1"/>
  <c r="D15" i="58"/>
  <c r="E15" i="58" s="1"/>
  <c r="D14" i="58"/>
  <c r="E14" i="58" s="1"/>
  <c r="D13" i="58"/>
  <c r="E13" i="58" s="1"/>
  <c r="D12" i="58"/>
  <c r="E12" i="58" s="1"/>
  <c r="D11" i="58"/>
  <c r="E11" i="58" s="1"/>
  <c r="D10" i="58"/>
  <c r="E10" i="58" s="1"/>
  <c r="D9" i="58"/>
  <c r="E9" i="58" s="1"/>
  <c r="D8" i="58"/>
  <c r="E8" i="58" s="1"/>
  <c r="D71" i="57"/>
  <c r="E71" i="57" s="1"/>
  <c r="D70" i="57"/>
  <c r="E70" i="57" s="1"/>
  <c r="D69" i="57"/>
  <c r="E69" i="57" s="1"/>
  <c r="D68" i="57"/>
  <c r="E68" i="57" s="1"/>
  <c r="D67" i="57"/>
  <c r="E67" i="57" s="1"/>
  <c r="D66" i="57"/>
  <c r="E66" i="57" s="1"/>
  <c r="D65" i="57"/>
  <c r="E65" i="57" s="1"/>
  <c r="D64" i="57"/>
  <c r="E64" i="57" s="1"/>
  <c r="D63" i="57"/>
  <c r="E63" i="57" s="1"/>
  <c r="D62" i="57"/>
  <c r="E62" i="57" s="1"/>
  <c r="D61" i="57"/>
  <c r="E61" i="57" s="1"/>
  <c r="D60" i="57"/>
  <c r="E60" i="57" s="1"/>
  <c r="D59" i="57"/>
  <c r="E59" i="57" s="1"/>
  <c r="D58" i="57"/>
  <c r="E58" i="57" s="1"/>
  <c r="D57" i="57"/>
  <c r="E57" i="57" s="1"/>
  <c r="D56" i="57"/>
  <c r="E56" i="57" s="1"/>
  <c r="D55" i="57"/>
  <c r="E55" i="57" s="1"/>
  <c r="D54" i="57"/>
  <c r="E54" i="57" s="1"/>
  <c r="D53" i="57"/>
  <c r="E53" i="57" s="1"/>
  <c r="D52" i="57"/>
  <c r="E52" i="57" s="1"/>
  <c r="D51" i="57"/>
  <c r="E51" i="57" s="1"/>
  <c r="D50" i="57"/>
  <c r="E50" i="57" s="1"/>
  <c r="D49" i="57"/>
  <c r="E49" i="57" s="1"/>
  <c r="D48" i="57"/>
  <c r="E48" i="57" s="1"/>
  <c r="D47" i="57"/>
  <c r="E47" i="57" s="1"/>
  <c r="D46" i="57"/>
  <c r="E46" i="57" s="1"/>
  <c r="D45" i="57"/>
  <c r="E45" i="57" s="1"/>
  <c r="D44" i="57"/>
  <c r="E44" i="57" s="1"/>
  <c r="D43" i="57"/>
  <c r="E43" i="57" s="1"/>
  <c r="D42" i="57"/>
  <c r="E42" i="57" s="1"/>
  <c r="D37" i="57"/>
  <c r="E37" i="57" s="1"/>
  <c r="D36" i="57"/>
  <c r="E36" i="57" s="1"/>
  <c r="D35" i="57"/>
  <c r="E35" i="57" s="1"/>
  <c r="D34" i="57"/>
  <c r="E34" i="57" s="1"/>
  <c r="D33" i="57"/>
  <c r="E33" i="57" s="1"/>
  <c r="D32" i="57"/>
  <c r="E32" i="57" s="1"/>
  <c r="D31" i="57"/>
  <c r="E31" i="57" s="1"/>
  <c r="D30" i="57"/>
  <c r="E30" i="57" s="1"/>
  <c r="D29" i="57"/>
  <c r="E29" i="57" s="1"/>
  <c r="D28" i="57"/>
  <c r="E28" i="57" s="1"/>
  <c r="D27" i="57"/>
  <c r="E27" i="57" s="1"/>
  <c r="D26" i="57"/>
  <c r="E26" i="57" s="1"/>
  <c r="D25" i="57"/>
  <c r="E25" i="57" s="1"/>
  <c r="D24" i="57"/>
  <c r="E24" i="57" s="1"/>
  <c r="D23" i="57"/>
  <c r="E23" i="57" s="1"/>
  <c r="D22" i="57"/>
  <c r="E22" i="57" s="1"/>
  <c r="D21" i="57"/>
  <c r="E21" i="57" s="1"/>
  <c r="D20" i="57"/>
  <c r="E20" i="57" s="1"/>
  <c r="D19" i="57"/>
  <c r="E19" i="57" s="1"/>
  <c r="D18" i="57"/>
  <c r="E18" i="57" s="1"/>
  <c r="D17" i="57"/>
  <c r="E17" i="57" s="1"/>
  <c r="D16" i="57"/>
  <c r="E16" i="57" s="1"/>
  <c r="D15" i="57"/>
  <c r="E15" i="57" s="1"/>
  <c r="D14" i="57"/>
  <c r="E14" i="57" s="1"/>
  <c r="D13" i="57"/>
  <c r="E13" i="57" s="1"/>
  <c r="D12" i="57"/>
  <c r="E12" i="57" s="1"/>
  <c r="D11" i="57"/>
  <c r="E11" i="57" s="1"/>
  <c r="D10" i="57"/>
  <c r="E10" i="57" s="1"/>
  <c r="D9" i="57"/>
  <c r="E9" i="57" s="1"/>
  <c r="D8" i="57"/>
  <c r="E8" i="57" s="1"/>
  <c r="D71" i="56"/>
  <c r="E71" i="56" s="1"/>
  <c r="D70" i="56"/>
  <c r="E70" i="56" s="1"/>
  <c r="D69" i="56"/>
  <c r="E69" i="56" s="1"/>
  <c r="D68" i="56"/>
  <c r="E68" i="56" s="1"/>
  <c r="D67" i="56"/>
  <c r="E67" i="56" s="1"/>
  <c r="D66" i="56"/>
  <c r="E66" i="56" s="1"/>
  <c r="D65" i="56"/>
  <c r="E65" i="56" s="1"/>
  <c r="D64" i="56"/>
  <c r="E64" i="56" s="1"/>
  <c r="D63" i="56"/>
  <c r="E63" i="56" s="1"/>
  <c r="D62" i="56"/>
  <c r="E62" i="56" s="1"/>
  <c r="D61" i="56"/>
  <c r="E61" i="56" s="1"/>
  <c r="D60" i="56"/>
  <c r="E60" i="56" s="1"/>
  <c r="D59" i="56"/>
  <c r="E59" i="56" s="1"/>
  <c r="D58" i="56"/>
  <c r="E58" i="56" s="1"/>
  <c r="D57" i="56"/>
  <c r="E57" i="56" s="1"/>
  <c r="D56" i="56"/>
  <c r="E56" i="56" s="1"/>
  <c r="D55" i="56"/>
  <c r="E55" i="56" s="1"/>
  <c r="D54" i="56"/>
  <c r="E54" i="56" s="1"/>
  <c r="D53" i="56"/>
  <c r="E53" i="56" s="1"/>
  <c r="D52" i="56"/>
  <c r="E52" i="56" s="1"/>
  <c r="D51" i="56"/>
  <c r="E51" i="56" s="1"/>
  <c r="D50" i="56"/>
  <c r="E50" i="56" s="1"/>
  <c r="D49" i="56"/>
  <c r="E49" i="56" s="1"/>
  <c r="D48" i="56"/>
  <c r="E48" i="56" s="1"/>
  <c r="D47" i="56"/>
  <c r="E47" i="56" s="1"/>
  <c r="D46" i="56"/>
  <c r="E46" i="56" s="1"/>
  <c r="D45" i="56"/>
  <c r="E45" i="56" s="1"/>
  <c r="D44" i="56"/>
  <c r="E44" i="56" s="1"/>
  <c r="D43" i="56"/>
  <c r="E43" i="56" s="1"/>
  <c r="D42" i="56"/>
  <c r="E42" i="56" s="1"/>
  <c r="D37" i="56"/>
  <c r="E37" i="56" s="1"/>
  <c r="D36" i="56"/>
  <c r="E36" i="56" s="1"/>
  <c r="D35" i="56"/>
  <c r="E35" i="56" s="1"/>
  <c r="D34" i="56"/>
  <c r="E34" i="56" s="1"/>
  <c r="D33" i="56"/>
  <c r="E33" i="56" s="1"/>
  <c r="D32" i="56"/>
  <c r="E32" i="56" s="1"/>
  <c r="D31" i="56"/>
  <c r="E31" i="56" s="1"/>
  <c r="D30" i="56"/>
  <c r="E30" i="56" s="1"/>
  <c r="D29" i="56"/>
  <c r="E29" i="56" s="1"/>
  <c r="D28" i="56"/>
  <c r="E28" i="56" s="1"/>
  <c r="D27" i="56"/>
  <c r="E27" i="56" s="1"/>
  <c r="D26" i="56"/>
  <c r="E26" i="56" s="1"/>
  <c r="D25" i="56"/>
  <c r="E25" i="56" s="1"/>
  <c r="D24" i="56"/>
  <c r="E24" i="56" s="1"/>
  <c r="D23" i="56"/>
  <c r="E23" i="56" s="1"/>
  <c r="D22" i="56"/>
  <c r="E22" i="56" s="1"/>
  <c r="D21" i="56"/>
  <c r="E21" i="56" s="1"/>
  <c r="D20" i="56"/>
  <c r="E20" i="56" s="1"/>
  <c r="D19" i="56"/>
  <c r="E19" i="56" s="1"/>
  <c r="D18" i="56"/>
  <c r="E18" i="56" s="1"/>
  <c r="D17" i="56"/>
  <c r="E17" i="56" s="1"/>
  <c r="D16" i="56"/>
  <c r="E16" i="56" s="1"/>
  <c r="D15" i="56"/>
  <c r="E15" i="56" s="1"/>
  <c r="D14" i="56"/>
  <c r="E14" i="56" s="1"/>
  <c r="D13" i="56"/>
  <c r="E13" i="56" s="1"/>
  <c r="D12" i="56"/>
  <c r="E12" i="56" s="1"/>
  <c r="D11" i="56"/>
  <c r="E11" i="56" s="1"/>
  <c r="D10" i="56"/>
  <c r="E10" i="56" s="1"/>
  <c r="D9" i="56"/>
  <c r="E9" i="56" s="1"/>
  <c r="D8" i="56"/>
  <c r="E8" i="56" s="1"/>
  <c r="D71" i="55"/>
  <c r="E71" i="55" s="1"/>
  <c r="D70" i="55"/>
  <c r="E70" i="55" s="1"/>
  <c r="D69" i="55"/>
  <c r="E69" i="55" s="1"/>
  <c r="D68" i="55"/>
  <c r="E68" i="55" s="1"/>
  <c r="D67" i="55"/>
  <c r="E67" i="55" s="1"/>
  <c r="D66" i="55"/>
  <c r="E66" i="55" s="1"/>
  <c r="D65" i="55"/>
  <c r="E65" i="55" s="1"/>
  <c r="D64" i="55"/>
  <c r="E64" i="55" s="1"/>
  <c r="D63" i="55"/>
  <c r="E63" i="55" s="1"/>
  <c r="D62" i="55"/>
  <c r="E62" i="55" s="1"/>
  <c r="D61" i="55"/>
  <c r="E61" i="55" s="1"/>
  <c r="D60" i="55"/>
  <c r="E60" i="55" s="1"/>
  <c r="D59" i="55"/>
  <c r="E59" i="55" s="1"/>
  <c r="D58" i="55"/>
  <c r="E58" i="55" s="1"/>
  <c r="D57" i="55"/>
  <c r="E57" i="55" s="1"/>
  <c r="D56" i="55"/>
  <c r="E56" i="55" s="1"/>
  <c r="D55" i="55"/>
  <c r="E55" i="55" s="1"/>
  <c r="D54" i="55"/>
  <c r="E54" i="55" s="1"/>
  <c r="D53" i="55"/>
  <c r="E53" i="55" s="1"/>
  <c r="D52" i="55"/>
  <c r="E52" i="55" s="1"/>
  <c r="D51" i="55"/>
  <c r="E51" i="55" s="1"/>
  <c r="D50" i="55"/>
  <c r="E50" i="55" s="1"/>
  <c r="D49" i="55"/>
  <c r="E49" i="55" s="1"/>
  <c r="D48" i="55"/>
  <c r="E48" i="55" s="1"/>
  <c r="D47" i="55"/>
  <c r="E47" i="55" s="1"/>
  <c r="D46" i="55"/>
  <c r="E46" i="55" s="1"/>
  <c r="D45" i="55"/>
  <c r="E45" i="55" s="1"/>
  <c r="D44" i="55"/>
  <c r="E44" i="55" s="1"/>
  <c r="D43" i="55"/>
  <c r="E43" i="55" s="1"/>
  <c r="D42" i="55"/>
  <c r="E42" i="55" s="1"/>
  <c r="D37" i="55"/>
  <c r="E37" i="55" s="1"/>
  <c r="D36" i="55"/>
  <c r="E36" i="55" s="1"/>
  <c r="D35" i="55"/>
  <c r="E35" i="55" s="1"/>
  <c r="D34" i="55"/>
  <c r="E34" i="55" s="1"/>
  <c r="D33" i="55"/>
  <c r="E33" i="55" s="1"/>
  <c r="D32" i="55"/>
  <c r="E32" i="55" s="1"/>
  <c r="D31" i="55"/>
  <c r="E31" i="55" s="1"/>
  <c r="D30" i="55"/>
  <c r="E30" i="55" s="1"/>
  <c r="D29" i="55"/>
  <c r="E29" i="55" s="1"/>
  <c r="D28" i="55"/>
  <c r="E28" i="55" s="1"/>
  <c r="D27" i="55"/>
  <c r="E27" i="55" s="1"/>
  <c r="D26" i="55"/>
  <c r="E26" i="55" s="1"/>
  <c r="D25" i="55"/>
  <c r="E25" i="55" s="1"/>
  <c r="D24" i="55"/>
  <c r="E24" i="55" s="1"/>
  <c r="D23" i="55"/>
  <c r="E23" i="55" s="1"/>
  <c r="D22" i="55"/>
  <c r="E22" i="55" s="1"/>
  <c r="D21" i="55"/>
  <c r="E21" i="55" s="1"/>
  <c r="D20" i="55"/>
  <c r="E20" i="55" s="1"/>
  <c r="D19" i="55"/>
  <c r="E19" i="55" s="1"/>
  <c r="D18" i="55"/>
  <c r="E18" i="55" s="1"/>
  <c r="D17" i="55"/>
  <c r="E17" i="55" s="1"/>
  <c r="D16" i="55"/>
  <c r="E16" i="55" s="1"/>
  <c r="D15" i="55"/>
  <c r="E15" i="55" s="1"/>
  <c r="D14" i="55"/>
  <c r="E14" i="55" s="1"/>
  <c r="D13" i="55"/>
  <c r="E13" i="55" s="1"/>
  <c r="D12" i="55"/>
  <c r="E12" i="55" s="1"/>
  <c r="D11" i="55"/>
  <c r="E11" i="55" s="1"/>
  <c r="D10" i="55"/>
  <c r="E10" i="55" s="1"/>
  <c r="D9" i="55"/>
  <c r="E9" i="55" s="1"/>
  <c r="D8" i="55"/>
  <c r="E8" i="55" s="1"/>
  <c r="D71" i="54"/>
  <c r="E71" i="54" s="1"/>
  <c r="D70" i="54"/>
  <c r="E70" i="54" s="1"/>
  <c r="D69" i="54"/>
  <c r="E69" i="54" s="1"/>
  <c r="D68" i="54"/>
  <c r="E68" i="54" s="1"/>
  <c r="D67" i="54"/>
  <c r="E67" i="54" s="1"/>
  <c r="D66" i="54"/>
  <c r="E66" i="54" s="1"/>
  <c r="D65" i="54"/>
  <c r="E65" i="54" s="1"/>
  <c r="D64" i="54"/>
  <c r="E64" i="54" s="1"/>
  <c r="D63" i="54"/>
  <c r="E63" i="54" s="1"/>
  <c r="D62" i="54"/>
  <c r="E62" i="54" s="1"/>
  <c r="D61" i="54"/>
  <c r="E61" i="54" s="1"/>
  <c r="D60" i="54"/>
  <c r="E60" i="54" s="1"/>
  <c r="D59" i="54"/>
  <c r="E59" i="54" s="1"/>
  <c r="D58" i="54"/>
  <c r="E58" i="54" s="1"/>
  <c r="D57" i="54"/>
  <c r="E57" i="54" s="1"/>
  <c r="D56" i="54"/>
  <c r="E56" i="54" s="1"/>
  <c r="D55" i="54"/>
  <c r="E55" i="54" s="1"/>
  <c r="D54" i="54"/>
  <c r="E54" i="54" s="1"/>
  <c r="D53" i="54"/>
  <c r="E53" i="54" s="1"/>
  <c r="D52" i="54"/>
  <c r="E52" i="54" s="1"/>
  <c r="D51" i="54"/>
  <c r="E51" i="54" s="1"/>
  <c r="D50" i="54"/>
  <c r="E50" i="54" s="1"/>
  <c r="D49" i="54"/>
  <c r="E49" i="54" s="1"/>
  <c r="D48" i="54"/>
  <c r="E48" i="54" s="1"/>
  <c r="D47" i="54"/>
  <c r="E47" i="54" s="1"/>
  <c r="D46" i="54"/>
  <c r="E46" i="54" s="1"/>
  <c r="D45" i="54"/>
  <c r="E45" i="54" s="1"/>
  <c r="D44" i="54"/>
  <c r="E44" i="54" s="1"/>
  <c r="D43" i="54"/>
  <c r="E43" i="54" s="1"/>
  <c r="D42" i="54"/>
  <c r="E42" i="54" s="1"/>
  <c r="D37" i="54"/>
  <c r="E37" i="54" s="1"/>
  <c r="D36" i="54"/>
  <c r="E36" i="54" s="1"/>
  <c r="D35" i="54"/>
  <c r="E35" i="54" s="1"/>
  <c r="D34" i="54"/>
  <c r="E34" i="54" s="1"/>
  <c r="D33" i="54"/>
  <c r="E33" i="54" s="1"/>
  <c r="D32" i="54"/>
  <c r="E32" i="54" s="1"/>
  <c r="D31" i="54"/>
  <c r="E31" i="54" s="1"/>
  <c r="D30" i="54"/>
  <c r="E30" i="54" s="1"/>
  <c r="D29" i="54"/>
  <c r="E29" i="54" s="1"/>
  <c r="D28" i="54"/>
  <c r="E28" i="54" s="1"/>
  <c r="D27" i="54"/>
  <c r="E27" i="54" s="1"/>
  <c r="D26" i="54"/>
  <c r="E26" i="54" s="1"/>
  <c r="D25" i="54"/>
  <c r="E25" i="54" s="1"/>
  <c r="D24" i="54"/>
  <c r="E24" i="54" s="1"/>
  <c r="D23" i="54"/>
  <c r="E23" i="54" s="1"/>
  <c r="D22" i="54"/>
  <c r="E22" i="54" s="1"/>
  <c r="D21" i="54"/>
  <c r="E21" i="54" s="1"/>
  <c r="D20" i="54"/>
  <c r="E20" i="54" s="1"/>
  <c r="D19" i="54"/>
  <c r="E19" i="54" s="1"/>
  <c r="D18" i="54"/>
  <c r="E18" i="54" s="1"/>
  <c r="D17" i="54"/>
  <c r="E17" i="54" s="1"/>
  <c r="D16" i="54"/>
  <c r="E16" i="54" s="1"/>
  <c r="D15" i="54"/>
  <c r="E15" i="54" s="1"/>
  <c r="D14" i="54"/>
  <c r="E14" i="54" s="1"/>
  <c r="D13" i="54"/>
  <c r="E13" i="54" s="1"/>
  <c r="D12" i="54"/>
  <c r="E12" i="54" s="1"/>
  <c r="D11" i="54"/>
  <c r="E11" i="54" s="1"/>
  <c r="D10" i="54"/>
  <c r="E10" i="54" s="1"/>
  <c r="D9" i="54"/>
  <c r="E9" i="54" s="1"/>
  <c r="D8" i="54"/>
  <c r="E8" i="54" s="1"/>
  <c r="D71" i="53"/>
  <c r="E71" i="53" s="1"/>
  <c r="D70" i="53"/>
  <c r="E70" i="53" s="1"/>
  <c r="D69" i="53"/>
  <c r="E69" i="53" s="1"/>
  <c r="D68" i="53"/>
  <c r="E68" i="53" s="1"/>
  <c r="D67" i="53"/>
  <c r="E67" i="53" s="1"/>
  <c r="D66" i="53"/>
  <c r="E66" i="53" s="1"/>
  <c r="D65" i="53"/>
  <c r="E65" i="53" s="1"/>
  <c r="D64" i="53"/>
  <c r="E64" i="53" s="1"/>
  <c r="D63" i="53"/>
  <c r="E63" i="53" s="1"/>
  <c r="D62" i="53"/>
  <c r="E62" i="53" s="1"/>
  <c r="D61" i="53"/>
  <c r="E61" i="53" s="1"/>
  <c r="D60" i="53"/>
  <c r="E60" i="53" s="1"/>
  <c r="D59" i="53"/>
  <c r="E59" i="53" s="1"/>
  <c r="D58" i="53"/>
  <c r="E58" i="53" s="1"/>
  <c r="D57" i="53"/>
  <c r="E57" i="53" s="1"/>
  <c r="D56" i="53"/>
  <c r="E56" i="53" s="1"/>
  <c r="D55" i="53"/>
  <c r="E55" i="53" s="1"/>
  <c r="D54" i="53"/>
  <c r="E54" i="53" s="1"/>
  <c r="D53" i="53"/>
  <c r="E53" i="53" s="1"/>
  <c r="D52" i="53"/>
  <c r="E52" i="53" s="1"/>
  <c r="D51" i="53"/>
  <c r="E51" i="53" s="1"/>
  <c r="D50" i="53"/>
  <c r="E50" i="53" s="1"/>
  <c r="D49" i="53"/>
  <c r="E49" i="53" s="1"/>
  <c r="D48" i="53"/>
  <c r="E48" i="53" s="1"/>
  <c r="D47" i="53"/>
  <c r="E47" i="53" s="1"/>
  <c r="D46" i="53"/>
  <c r="E46" i="53" s="1"/>
  <c r="D45" i="53"/>
  <c r="E45" i="53" s="1"/>
  <c r="D44" i="53"/>
  <c r="E44" i="53" s="1"/>
  <c r="D43" i="53"/>
  <c r="E43" i="53" s="1"/>
  <c r="D42" i="53"/>
  <c r="E42" i="53" s="1"/>
  <c r="D37" i="53"/>
  <c r="E37" i="53" s="1"/>
  <c r="D36" i="53"/>
  <c r="E36" i="53" s="1"/>
  <c r="D35" i="53"/>
  <c r="E35" i="53" s="1"/>
  <c r="D34" i="53"/>
  <c r="E34" i="53" s="1"/>
  <c r="D33" i="53"/>
  <c r="E33" i="53" s="1"/>
  <c r="D32" i="53"/>
  <c r="E32" i="53" s="1"/>
  <c r="D31" i="53"/>
  <c r="E31" i="53" s="1"/>
  <c r="D30" i="53"/>
  <c r="E30" i="53" s="1"/>
  <c r="D29" i="53"/>
  <c r="E29" i="53" s="1"/>
  <c r="D28" i="53"/>
  <c r="E28" i="53" s="1"/>
  <c r="D27" i="53"/>
  <c r="E27" i="53" s="1"/>
  <c r="D26" i="53"/>
  <c r="E26" i="53" s="1"/>
  <c r="D25" i="53"/>
  <c r="E25" i="53" s="1"/>
  <c r="D24" i="53"/>
  <c r="E24" i="53" s="1"/>
  <c r="D23" i="53"/>
  <c r="E23" i="53" s="1"/>
  <c r="D22" i="53"/>
  <c r="E22" i="53" s="1"/>
  <c r="D21" i="53"/>
  <c r="E21" i="53" s="1"/>
  <c r="D20" i="53"/>
  <c r="E20" i="53" s="1"/>
  <c r="D19" i="53"/>
  <c r="E19" i="53" s="1"/>
  <c r="D18" i="53"/>
  <c r="E18" i="53" s="1"/>
  <c r="D17" i="53"/>
  <c r="E17" i="53" s="1"/>
  <c r="D16" i="53"/>
  <c r="E16" i="53" s="1"/>
  <c r="D15" i="53"/>
  <c r="E15" i="53" s="1"/>
  <c r="D14" i="53"/>
  <c r="E14" i="53" s="1"/>
  <c r="D13" i="53"/>
  <c r="E13" i="53" s="1"/>
  <c r="D12" i="53"/>
  <c r="E12" i="53" s="1"/>
  <c r="D11" i="53"/>
  <c r="E11" i="53" s="1"/>
  <c r="D10" i="53"/>
  <c r="E10" i="53" s="1"/>
  <c r="D9" i="53"/>
  <c r="E9" i="53" s="1"/>
  <c r="D8" i="53"/>
  <c r="E8" i="53" s="1"/>
  <c r="D71" i="52"/>
  <c r="E71" i="52" s="1"/>
  <c r="D70" i="52"/>
  <c r="E70" i="52" s="1"/>
  <c r="D69" i="52"/>
  <c r="E69" i="52" s="1"/>
  <c r="D68" i="52"/>
  <c r="E68" i="52" s="1"/>
  <c r="D67" i="52"/>
  <c r="E67" i="52" s="1"/>
  <c r="D66" i="52"/>
  <c r="E66" i="52" s="1"/>
  <c r="D65" i="52"/>
  <c r="E65" i="52" s="1"/>
  <c r="D64" i="52"/>
  <c r="E64" i="52" s="1"/>
  <c r="D63" i="52"/>
  <c r="E63" i="52" s="1"/>
  <c r="D62" i="52"/>
  <c r="E62" i="52" s="1"/>
  <c r="D61" i="52"/>
  <c r="E61" i="52" s="1"/>
  <c r="D60" i="52"/>
  <c r="E60" i="52" s="1"/>
  <c r="D59" i="52"/>
  <c r="E59" i="52" s="1"/>
  <c r="D58" i="52"/>
  <c r="E58" i="52" s="1"/>
  <c r="D57" i="52"/>
  <c r="E57" i="52" s="1"/>
  <c r="D56" i="52"/>
  <c r="E56" i="52" s="1"/>
  <c r="D55" i="52"/>
  <c r="E55" i="52" s="1"/>
  <c r="D54" i="52"/>
  <c r="E54" i="52" s="1"/>
  <c r="D53" i="52"/>
  <c r="E53" i="52" s="1"/>
  <c r="D52" i="52"/>
  <c r="E52" i="52" s="1"/>
  <c r="D51" i="52"/>
  <c r="E51" i="52" s="1"/>
  <c r="D50" i="52"/>
  <c r="E50" i="52" s="1"/>
  <c r="D49" i="52"/>
  <c r="E49" i="52" s="1"/>
  <c r="D48" i="52"/>
  <c r="E48" i="52" s="1"/>
  <c r="D47" i="52"/>
  <c r="E47" i="52" s="1"/>
  <c r="D46" i="52"/>
  <c r="E46" i="52" s="1"/>
  <c r="D45" i="52"/>
  <c r="E45" i="52" s="1"/>
  <c r="D44" i="52"/>
  <c r="E44" i="52" s="1"/>
  <c r="D43" i="52"/>
  <c r="E43" i="52" s="1"/>
  <c r="D42" i="52"/>
  <c r="E42" i="52" s="1"/>
  <c r="D37" i="52"/>
  <c r="E37" i="52" s="1"/>
  <c r="D36" i="52"/>
  <c r="E36" i="52" s="1"/>
  <c r="D35" i="52"/>
  <c r="E35" i="52" s="1"/>
  <c r="D34" i="52"/>
  <c r="E34" i="52" s="1"/>
  <c r="D33" i="52"/>
  <c r="E33" i="52" s="1"/>
  <c r="D32" i="52"/>
  <c r="E32" i="52" s="1"/>
  <c r="D31" i="52"/>
  <c r="E31" i="52" s="1"/>
  <c r="D30" i="52"/>
  <c r="E30" i="52" s="1"/>
  <c r="D29" i="52"/>
  <c r="E29" i="52" s="1"/>
  <c r="D28" i="52"/>
  <c r="E28" i="52" s="1"/>
  <c r="D27" i="52"/>
  <c r="E27" i="52" s="1"/>
  <c r="D26" i="52"/>
  <c r="E26" i="52" s="1"/>
  <c r="D25" i="52"/>
  <c r="E25" i="52" s="1"/>
  <c r="D24" i="52"/>
  <c r="E24" i="52" s="1"/>
  <c r="D23" i="52"/>
  <c r="E23" i="52" s="1"/>
  <c r="D22" i="52"/>
  <c r="E22" i="52" s="1"/>
  <c r="D21" i="52"/>
  <c r="E21" i="52" s="1"/>
  <c r="D20" i="52"/>
  <c r="E20" i="52" s="1"/>
  <c r="D19" i="52"/>
  <c r="E19" i="52" s="1"/>
  <c r="D18" i="52"/>
  <c r="E18" i="52" s="1"/>
  <c r="D17" i="52"/>
  <c r="E17" i="52" s="1"/>
  <c r="D16" i="52"/>
  <c r="E16" i="52" s="1"/>
  <c r="D15" i="52"/>
  <c r="E15" i="52" s="1"/>
  <c r="D14" i="52"/>
  <c r="E14" i="52" s="1"/>
  <c r="D13" i="52"/>
  <c r="E13" i="52" s="1"/>
  <c r="D12" i="52"/>
  <c r="E12" i="52" s="1"/>
  <c r="D11" i="52"/>
  <c r="E11" i="52" s="1"/>
  <c r="D10" i="52"/>
  <c r="E10" i="52" s="1"/>
  <c r="D9" i="52"/>
  <c r="E9" i="52" s="1"/>
  <c r="D8" i="52"/>
  <c r="E8" i="52" s="1"/>
  <c r="D71" i="51"/>
  <c r="E71" i="51" s="1"/>
  <c r="D70" i="51"/>
  <c r="E70" i="51" s="1"/>
  <c r="D69" i="51"/>
  <c r="E69" i="51" s="1"/>
  <c r="D68" i="51"/>
  <c r="E68" i="51" s="1"/>
  <c r="D67" i="51"/>
  <c r="E67" i="51" s="1"/>
  <c r="D66" i="51"/>
  <c r="E66" i="51" s="1"/>
  <c r="D65" i="51"/>
  <c r="E65" i="51" s="1"/>
  <c r="D64" i="51"/>
  <c r="E64" i="51" s="1"/>
  <c r="D63" i="51"/>
  <c r="E63" i="51" s="1"/>
  <c r="D62" i="51"/>
  <c r="E62" i="51" s="1"/>
  <c r="D61" i="51"/>
  <c r="E61" i="51" s="1"/>
  <c r="D60" i="51"/>
  <c r="E60" i="51" s="1"/>
  <c r="D59" i="51"/>
  <c r="E59" i="51" s="1"/>
  <c r="D58" i="51"/>
  <c r="E58" i="51" s="1"/>
  <c r="D57" i="51"/>
  <c r="E57" i="51" s="1"/>
  <c r="D56" i="51"/>
  <c r="E56" i="51" s="1"/>
  <c r="D55" i="51"/>
  <c r="E55" i="51" s="1"/>
  <c r="D54" i="51"/>
  <c r="E54" i="51" s="1"/>
  <c r="D53" i="51"/>
  <c r="E53" i="51" s="1"/>
  <c r="D52" i="51"/>
  <c r="E52" i="51" s="1"/>
  <c r="D51" i="51"/>
  <c r="E51" i="51" s="1"/>
  <c r="D50" i="51"/>
  <c r="E50" i="51" s="1"/>
  <c r="D49" i="51"/>
  <c r="E49" i="51" s="1"/>
  <c r="D48" i="51"/>
  <c r="E48" i="51" s="1"/>
  <c r="D47" i="51"/>
  <c r="E47" i="51" s="1"/>
  <c r="D46" i="51"/>
  <c r="E46" i="51" s="1"/>
  <c r="D45" i="51"/>
  <c r="E45" i="51" s="1"/>
  <c r="D44" i="51"/>
  <c r="E44" i="51" s="1"/>
  <c r="D43" i="51"/>
  <c r="E43" i="51" s="1"/>
  <c r="D42" i="51"/>
  <c r="E42" i="51" s="1"/>
  <c r="D37" i="51"/>
  <c r="E37" i="51" s="1"/>
  <c r="D36" i="51"/>
  <c r="E36" i="51" s="1"/>
  <c r="D35" i="51"/>
  <c r="E35" i="51" s="1"/>
  <c r="D34" i="51"/>
  <c r="E34" i="51" s="1"/>
  <c r="D33" i="51"/>
  <c r="E33" i="51" s="1"/>
  <c r="D32" i="51"/>
  <c r="E32" i="51" s="1"/>
  <c r="D31" i="51"/>
  <c r="E31" i="51" s="1"/>
  <c r="D30" i="51"/>
  <c r="E30" i="51" s="1"/>
  <c r="D29" i="51"/>
  <c r="E29" i="51" s="1"/>
  <c r="D28" i="51"/>
  <c r="E28" i="51" s="1"/>
  <c r="D27" i="51"/>
  <c r="E27" i="51" s="1"/>
  <c r="D26" i="51"/>
  <c r="E26" i="51" s="1"/>
  <c r="D25" i="51"/>
  <c r="E25" i="51" s="1"/>
  <c r="D24" i="51"/>
  <c r="E24" i="51" s="1"/>
  <c r="D23" i="51"/>
  <c r="E23" i="51" s="1"/>
  <c r="D22" i="51"/>
  <c r="E22" i="51" s="1"/>
  <c r="D21" i="51"/>
  <c r="E21" i="51" s="1"/>
  <c r="D20" i="51"/>
  <c r="E20" i="51" s="1"/>
  <c r="D19" i="51"/>
  <c r="E19" i="51" s="1"/>
  <c r="D18" i="51"/>
  <c r="E18" i="51" s="1"/>
  <c r="D17" i="51"/>
  <c r="E17" i="51" s="1"/>
  <c r="D16" i="51"/>
  <c r="E16" i="51" s="1"/>
  <c r="D15" i="51"/>
  <c r="E15" i="51" s="1"/>
  <c r="D14" i="51"/>
  <c r="E14" i="51" s="1"/>
  <c r="D13" i="51"/>
  <c r="E13" i="51" s="1"/>
  <c r="D12" i="51"/>
  <c r="E12" i="51" s="1"/>
  <c r="D11" i="51"/>
  <c r="E11" i="51" s="1"/>
  <c r="D10" i="51"/>
  <c r="E10" i="51" s="1"/>
  <c r="D9" i="51"/>
  <c r="E9" i="51" s="1"/>
  <c r="D8" i="51"/>
  <c r="E8" i="51" s="1"/>
  <c r="D71" i="50"/>
  <c r="E71" i="50" s="1"/>
  <c r="D70" i="50"/>
  <c r="E70" i="50" s="1"/>
  <c r="D69" i="50"/>
  <c r="E69" i="50" s="1"/>
  <c r="D68" i="50"/>
  <c r="E68" i="50" s="1"/>
  <c r="D67" i="50"/>
  <c r="E67" i="50" s="1"/>
  <c r="D66" i="50"/>
  <c r="E66" i="50" s="1"/>
  <c r="D65" i="50"/>
  <c r="E65" i="50" s="1"/>
  <c r="D64" i="50"/>
  <c r="E64" i="50" s="1"/>
  <c r="D63" i="50"/>
  <c r="E63" i="50" s="1"/>
  <c r="D62" i="50"/>
  <c r="E62" i="50" s="1"/>
  <c r="D61" i="50"/>
  <c r="E61" i="50" s="1"/>
  <c r="D60" i="50"/>
  <c r="E60" i="50" s="1"/>
  <c r="D59" i="50"/>
  <c r="E59" i="50" s="1"/>
  <c r="D58" i="50"/>
  <c r="E58" i="50" s="1"/>
  <c r="D57" i="50"/>
  <c r="E57" i="50" s="1"/>
  <c r="D56" i="50"/>
  <c r="E56" i="50" s="1"/>
  <c r="D55" i="50"/>
  <c r="E55" i="50" s="1"/>
  <c r="D54" i="50"/>
  <c r="E54" i="50" s="1"/>
  <c r="D53" i="50"/>
  <c r="E53" i="50" s="1"/>
  <c r="D52" i="50"/>
  <c r="E52" i="50" s="1"/>
  <c r="D51" i="50"/>
  <c r="E51" i="50" s="1"/>
  <c r="D50" i="50"/>
  <c r="E50" i="50" s="1"/>
  <c r="D49" i="50"/>
  <c r="E49" i="50" s="1"/>
  <c r="D48" i="50"/>
  <c r="E48" i="50" s="1"/>
  <c r="D47" i="50"/>
  <c r="E47" i="50" s="1"/>
  <c r="D46" i="50"/>
  <c r="E46" i="50" s="1"/>
  <c r="D45" i="50"/>
  <c r="E45" i="50" s="1"/>
  <c r="D44" i="50"/>
  <c r="E44" i="50" s="1"/>
  <c r="D43" i="50"/>
  <c r="E43" i="50" s="1"/>
  <c r="D42" i="50"/>
  <c r="E42" i="50" s="1"/>
  <c r="D37" i="50"/>
  <c r="E37" i="50" s="1"/>
  <c r="D36" i="50"/>
  <c r="E36" i="50" s="1"/>
  <c r="D35" i="50"/>
  <c r="E35" i="50" s="1"/>
  <c r="D34" i="50"/>
  <c r="E34" i="50" s="1"/>
  <c r="D33" i="50"/>
  <c r="E33" i="50" s="1"/>
  <c r="D32" i="50"/>
  <c r="E32" i="50" s="1"/>
  <c r="D31" i="50"/>
  <c r="E31" i="50" s="1"/>
  <c r="D30" i="50"/>
  <c r="E30" i="50" s="1"/>
  <c r="D29" i="50"/>
  <c r="E29" i="50" s="1"/>
  <c r="D28" i="50"/>
  <c r="E28" i="50" s="1"/>
  <c r="D27" i="50"/>
  <c r="E27" i="50" s="1"/>
  <c r="D26" i="50"/>
  <c r="E26" i="50" s="1"/>
  <c r="D25" i="50"/>
  <c r="E25" i="50" s="1"/>
  <c r="D24" i="50"/>
  <c r="E24" i="50" s="1"/>
  <c r="D23" i="50"/>
  <c r="E23" i="50" s="1"/>
  <c r="D22" i="50"/>
  <c r="E22" i="50" s="1"/>
  <c r="D21" i="50"/>
  <c r="E21" i="50" s="1"/>
  <c r="D20" i="50"/>
  <c r="E20" i="50" s="1"/>
  <c r="D19" i="50"/>
  <c r="E19" i="50" s="1"/>
  <c r="D18" i="50"/>
  <c r="E18" i="50" s="1"/>
  <c r="D17" i="50"/>
  <c r="E17" i="50" s="1"/>
  <c r="D16" i="50"/>
  <c r="E16" i="50" s="1"/>
  <c r="D15" i="50"/>
  <c r="E15" i="50" s="1"/>
  <c r="D14" i="50"/>
  <c r="E14" i="50" s="1"/>
  <c r="D13" i="50"/>
  <c r="E13" i="50" s="1"/>
  <c r="D12" i="50"/>
  <c r="E12" i="50" s="1"/>
  <c r="D11" i="50"/>
  <c r="E11" i="50" s="1"/>
  <c r="D10" i="50"/>
  <c r="E10" i="50" s="1"/>
  <c r="D9" i="50"/>
  <c r="E9" i="50" s="1"/>
  <c r="D8" i="50"/>
  <c r="E8" i="50" s="1"/>
  <c r="D71" i="49"/>
  <c r="E71" i="49" s="1"/>
  <c r="D70" i="49"/>
  <c r="E70" i="49" s="1"/>
  <c r="D69" i="49"/>
  <c r="E69" i="49" s="1"/>
  <c r="D68" i="49"/>
  <c r="E68" i="49" s="1"/>
  <c r="D67" i="49"/>
  <c r="E67" i="49" s="1"/>
  <c r="D66" i="49"/>
  <c r="E66" i="49" s="1"/>
  <c r="D65" i="49"/>
  <c r="E65" i="49" s="1"/>
  <c r="D64" i="49"/>
  <c r="E64" i="49" s="1"/>
  <c r="D63" i="49"/>
  <c r="E63" i="49" s="1"/>
  <c r="D62" i="49"/>
  <c r="E62" i="49" s="1"/>
  <c r="D61" i="49"/>
  <c r="E61" i="49" s="1"/>
  <c r="D60" i="49"/>
  <c r="E60" i="49" s="1"/>
  <c r="D59" i="49"/>
  <c r="E59" i="49" s="1"/>
  <c r="D58" i="49"/>
  <c r="E58" i="49" s="1"/>
  <c r="D57" i="49"/>
  <c r="E57" i="49" s="1"/>
  <c r="D56" i="49"/>
  <c r="E56" i="49" s="1"/>
  <c r="D55" i="49"/>
  <c r="E55" i="49" s="1"/>
  <c r="D54" i="49"/>
  <c r="E54" i="49" s="1"/>
  <c r="D53" i="49"/>
  <c r="E53" i="49" s="1"/>
  <c r="D52" i="49"/>
  <c r="E52" i="49" s="1"/>
  <c r="D51" i="49"/>
  <c r="E51" i="49" s="1"/>
  <c r="D50" i="49"/>
  <c r="E50" i="49" s="1"/>
  <c r="D49" i="49"/>
  <c r="E49" i="49" s="1"/>
  <c r="D48" i="49"/>
  <c r="E48" i="49" s="1"/>
  <c r="D47" i="49"/>
  <c r="E47" i="49" s="1"/>
  <c r="D46" i="49"/>
  <c r="E46" i="49" s="1"/>
  <c r="D45" i="49"/>
  <c r="E45" i="49" s="1"/>
  <c r="D44" i="49"/>
  <c r="E44" i="49" s="1"/>
  <c r="D43" i="49"/>
  <c r="E43" i="49" s="1"/>
  <c r="D42" i="49"/>
  <c r="E42" i="49" s="1"/>
  <c r="D37" i="49"/>
  <c r="E37" i="49" s="1"/>
  <c r="D36" i="49"/>
  <c r="E36" i="49" s="1"/>
  <c r="D35" i="49"/>
  <c r="E35" i="49" s="1"/>
  <c r="D34" i="49"/>
  <c r="E34" i="49" s="1"/>
  <c r="D33" i="49"/>
  <c r="E33" i="49" s="1"/>
  <c r="D32" i="49"/>
  <c r="E32" i="49" s="1"/>
  <c r="D31" i="49"/>
  <c r="E31" i="49" s="1"/>
  <c r="D30" i="49"/>
  <c r="E30" i="49" s="1"/>
  <c r="D29" i="49"/>
  <c r="E29" i="49" s="1"/>
  <c r="D28" i="49"/>
  <c r="E28" i="49" s="1"/>
  <c r="D27" i="49"/>
  <c r="E27" i="49" s="1"/>
  <c r="D26" i="49"/>
  <c r="E26" i="49" s="1"/>
  <c r="D25" i="49"/>
  <c r="E25" i="49" s="1"/>
  <c r="D24" i="49"/>
  <c r="E24" i="49" s="1"/>
  <c r="D23" i="49"/>
  <c r="E23" i="49" s="1"/>
  <c r="D22" i="49"/>
  <c r="E22" i="49" s="1"/>
  <c r="D21" i="49"/>
  <c r="E21" i="49" s="1"/>
  <c r="D20" i="49"/>
  <c r="E20" i="49" s="1"/>
  <c r="D19" i="49"/>
  <c r="E19" i="49" s="1"/>
  <c r="D18" i="49"/>
  <c r="E18" i="49" s="1"/>
  <c r="D17" i="49"/>
  <c r="E17" i="49" s="1"/>
  <c r="D16" i="49"/>
  <c r="E16" i="49" s="1"/>
  <c r="D15" i="49"/>
  <c r="E15" i="49" s="1"/>
  <c r="D14" i="49"/>
  <c r="E14" i="49" s="1"/>
  <c r="D13" i="49"/>
  <c r="E13" i="49" s="1"/>
  <c r="D12" i="49"/>
  <c r="E12" i="49" s="1"/>
  <c r="D11" i="49"/>
  <c r="E11" i="49" s="1"/>
  <c r="D10" i="49"/>
  <c r="E10" i="49" s="1"/>
  <c r="D9" i="49"/>
  <c r="E9" i="49" s="1"/>
  <c r="D8" i="49"/>
  <c r="E8" i="49" s="1"/>
  <c r="D71" i="48"/>
  <c r="E71" i="48" s="1"/>
  <c r="D70" i="48"/>
  <c r="E70" i="48" s="1"/>
  <c r="D69" i="48"/>
  <c r="E69" i="48" s="1"/>
  <c r="D68" i="48"/>
  <c r="E68" i="48" s="1"/>
  <c r="D67" i="48"/>
  <c r="E67" i="48" s="1"/>
  <c r="D66" i="48"/>
  <c r="E66" i="48" s="1"/>
  <c r="D65" i="48"/>
  <c r="E65" i="48" s="1"/>
  <c r="D64" i="48"/>
  <c r="E64" i="48" s="1"/>
  <c r="D63" i="48"/>
  <c r="E63" i="48" s="1"/>
  <c r="D62" i="48"/>
  <c r="E62" i="48" s="1"/>
  <c r="D61" i="48"/>
  <c r="E61" i="48" s="1"/>
  <c r="D60" i="48"/>
  <c r="E60" i="48" s="1"/>
  <c r="D59" i="48"/>
  <c r="E59" i="48" s="1"/>
  <c r="D58" i="48"/>
  <c r="E58" i="48" s="1"/>
  <c r="D57" i="48"/>
  <c r="E57" i="48" s="1"/>
  <c r="D56" i="48"/>
  <c r="E56" i="48" s="1"/>
  <c r="D55" i="48"/>
  <c r="E55" i="48" s="1"/>
  <c r="D54" i="48"/>
  <c r="E54" i="48" s="1"/>
  <c r="D53" i="48"/>
  <c r="E53" i="48" s="1"/>
  <c r="D52" i="48"/>
  <c r="E52" i="48" s="1"/>
  <c r="D51" i="48"/>
  <c r="E51" i="48" s="1"/>
  <c r="D50" i="48"/>
  <c r="E50" i="48" s="1"/>
  <c r="D49" i="48"/>
  <c r="E49" i="48" s="1"/>
  <c r="D48" i="48"/>
  <c r="E48" i="48" s="1"/>
  <c r="D47" i="48"/>
  <c r="E47" i="48" s="1"/>
  <c r="D46" i="48"/>
  <c r="E46" i="48" s="1"/>
  <c r="D45" i="48"/>
  <c r="E45" i="48" s="1"/>
  <c r="D44" i="48"/>
  <c r="E44" i="48" s="1"/>
  <c r="D43" i="48"/>
  <c r="E43" i="48" s="1"/>
  <c r="D42" i="48"/>
  <c r="E42" i="48" s="1"/>
  <c r="D37" i="48"/>
  <c r="E37" i="48" s="1"/>
  <c r="D36" i="48"/>
  <c r="E36" i="48" s="1"/>
  <c r="D35" i="48"/>
  <c r="E35" i="48" s="1"/>
  <c r="D34" i="48"/>
  <c r="E34" i="48" s="1"/>
  <c r="D33" i="48"/>
  <c r="E33" i="48" s="1"/>
  <c r="D32" i="48"/>
  <c r="E32" i="48" s="1"/>
  <c r="D31" i="48"/>
  <c r="E31" i="48" s="1"/>
  <c r="D30" i="48"/>
  <c r="E30" i="48" s="1"/>
  <c r="D29" i="48"/>
  <c r="E29" i="48" s="1"/>
  <c r="D28" i="48"/>
  <c r="E28" i="48" s="1"/>
  <c r="D27" i="48"/>
  <c r="E27" i="48" s="1"/>
  <c r="D26" i="48"/>
  <c r="E26" i="48" s="1"/>
  <c r="D25" i="48"/>
  <c r="E25" i="48" s="1"/>
  <c r="D24" i="48"/>
  <c r="E24" i="48" s="1"/>
  <c r="D23" i="48"/>
  <c r="E23" i="48" s="1"/>
  <c r="D22" i="48"/>
  <c r="E22" i="48" s="1"/>
  <c r="D21" i="48"/>
  <c r="E21" i="48" s="1"/>
  <c r="D20" i="48"/>
  <c r="E20" i="48" s="1"/>
  <c r="D19" i="48"/>
  <c r="E19" i="48" s="1"/>
  <c r="D18" i="48"/>
  <c r="E18" i="48" s="1"/>
  <c r="D17" i="48"/>
  <c r="E17" i="48" s="1"/>
  <c r="D16" i="48"/>
  <c r="E16" i="48" s="1"/>
  <c r="D15" i="48"/>
  <c r="E15" i="48" s="1"/>
  <c r="D14" i="48"/>
  <c r="E14" i="48" s="1"/>
  <c r="D13" i="48"/>
  <c r="E13" i="48" s="1"/>
  <c r="D12" i="48"/>
  <c r="E12" i="48" s="1"/>
  <c r="D11" i="48"/>
  <c r="E11" i="48" s="1"/>
  <c r="D10" i="48"/>
  <c r="E10" i="48" s="1"/>
  <c r="D9" i="48"/>
  <c r="E9" i="48" s="1"/>
  <c r="D8" i="48"/>
  <c r="E8" i="48" s="1"/>
  <c r="D71" i="47" l="1"/>
  <c r="E71" i="47" s="1"/>
  <c r="D70" i="47"/>
  <c r="E70" i="47" s="1"/>
  <c r="D69" i="47"/>
  <c r="E69" i="47" s="1"/>
  <c r="D68" i="47"/>
  <c r="E68" i="47" s="1"/>
  <c r="D67" i="47"/>
  <c r="E67" i="47" s="1"/>
  <c r="D66" i="47"/>
  <c r="E66" i="47" s="1"/>
  <c r="D65" i="47"/>
  <c r="E65" i="47" s="1"/>
  <c r="D64" i="47"/>
  <c r="E64" i="47" s="1"/>
  <c r="D63" i="47"/>
  <c r="E63" i="47" s="1"/>
  <c r="D62" i="47"/>
  <c r="E62" i="47" s="1"/>
  <c r="D61" i="47"/>
  <c r="E61" i="47" s="1"/>
  <c r="D60" i="47"/>
  <c r="E60" i="47" s="1"/>
  <c r="D59" i="47"/>
  <c r="E59" i="47" s="1"/>
  <c r="D58" i="47"/>
  <c r="E58" i="47" s="1"/>
  <c r="D57" i="47"/>
  <c r="E57" i="47" s="1"/>
  <c r="D56" i="47"/>
  <c r="E56" i="47" s="1"/>
  <c r="D55" i="47"/>
  <c r="E55" i="47" s="1"/>
  <c r="D54" i="47"/>
  <c r="E54" i="47" s="1"/>
  <c r="D53" i="47"/>
  <c r="E53" i="47" s="1"/>
  <c r="D52" i="47"/>
  <c r="E52" i="47" s="1"/>
  <c r="D51" i="47"/>
  <c r="E51" i="47" s="1"/>
  <c r="D50" i="47"/>
  <c r="E50" i="47" s="1"/>
  <c r="D49" i="47"/>
  <c r="E49" i="47" s="1"/>
  <c r="D48" i="47"/>
  <c r="E48" i="47" s="1"/>
  <c r="D47" i="47"/>
  <c r="E47" i="47" s="1"/>
  <c r="D46" i="47"/>
  <c r="E46" i="47" s="1"/>
  <c r="D45" i="47"/>
  <c r="E45" i="47" s="1"/>
  <c r="D44" i="47"/>
  <c r="E44" i="47" s="1"/>
  <c r="D43" i="47"/>
  <c r="E43" i="47" s="1"/>
  <c r="D42" i="47"/>
  <c r="E42" i="47" s="1"/>
  <c r="D37" i="47"/>
  <c r="E37" i="47" s="1"/>
  <c r="D36" i="47"/>
  <c r="E36" i="47" s="1"/>
  <c r="D35" i="47"/>
  <c r="E35" i="47" s="1"/>
  <c r="D34" i="47"/>
  <c r="E34" i="47" s="1"/>
  <c r="D33" i="47"/>
  <c r="E33" i="47" s="1"/>
  <c r="D32" i="47"/>
  <c r="E32" i="47" s="1"/>
  <c r="D31" i="47"/>
  <c r="E31" i="47" s="1"/>
  <c r="D30" i="47"/>
  <c r="E30" i="47" s="1"/>
  <c r="D29" i="47"/>
  <c r="E29" i="47" s="1"/>
  <c r="D28" i="47"/>
  <c r="E28" i="47" s="1"/>
  <c r="D27" i="47"/>
  <c r="E27" i="47" s="1"/>
  <c r="D26" i="47"/>
  <c r="E26" i="47" s="1"/>
  <c r="D25" i="47"/>
  <c r="E25" i="47" s="1"/>
  <c r="D24" i="47"/>
  <c r="E24" i="47" s="1"/>
  <c r="D71" i="46"/>
  <c r="E71" i="46" s="1"/>
  <c r="D70" i="46"/>
  <c r="E70" i="46" s="1"/>
  <c r="D69" i="46"/>
  <c r="E69" i="46" s="1"/>
  <c r="D68" i="46"/>
  <c r="E68" i="46" s="1"/>
  <c r="D67" i="46"/>
  <c r="E67" i="46" s="1"/>
  <c r="D66" i="46"/>
  <c r="E66" i="46" s="1"/>
  <c r="D65" i="46"/>
  <c r="E65" i="46" s="1"/>
  <c r="D64" i="46"/>
  <c r="E64" i="46" s="1"/>
  <c r="D63" i="46"/>
  <c r="E63" i="46" s="1"/>
  <c r="D62" i="46"/>
  <c r="E62" i="46" s="1"/>
  <c r="D61" i="46"/>
  <c r="E61" i="46" s="1"/>
  <c r="D60" i="46"/>
  <c r="E60" i="46" s="1"/>
  <c r="D59" i="46"/>
  <c r="E59" i="46" s="1"/>
  <c r="D58" i="46"/>
  <c r="E58" i="46" s="1"/>
  <c r="D57" i="46"/>
  <c r="E57" i="46" s="1"/>
  <c r="D56" i="46"/>
  <c r="E56" i="46" s="1"/>
  <c r="D55" i="46"/>
  <c r="E55" i="46" s="1"/>
  <c r="D54" i="46"/>
  <c r="E54" i="46" s="1"/>
  <c r="D53" i="46"/>
  <c r="E53" i="46" s="1"/>
  <c r="D52" i="46"/>
  <c r="E52" i="46" s="1"/>
  <c r="D51" i="46"/>
  <c r="E51" i="46" s="1"/>
  <c r="D50" i="46"/>
  <c r="E50" i="46" s="1"/>
  <c r="D49" i="46"/>
  <c r="E49" i="46" s="1"/>
  <c r="D48" i="46"/>
  <c r="E48" i="46" s="1"/>
  <c r="D47" i="46"/>
  <c r="E47" i="46" s="1"/>
  <c r="D46" i="46"/>
  <c r="E46" i="46" s="1"/>
  <c r="D45" i="46"/>
  <c r="E45" i="46" s="1"/>
  <c r="D44" i="46"/>
  <c r="E44" i="46" s="1"/>
  <c r="D43" i="46"/>
  <c r="E43" i="46" s="1"/>
  <c r="D42" i="46"/>
  <c r="E42" i="46" s="1"/>
  <c r="D37" i="46"/>
  <c r="E37" i="46" s="1"/>
  <c r="D36" i="46"/>
  <c r="E36" i="46" s="1"/>
  <c r="D35" i="46"/>
  <c r="E35" i="46" s="1"/>
  <c r="D34" i="46"/>
  <c r="E34" i="46" s="1"/>
  <c r="D33" i="46"/>
  <c r="E33" i="46" s="1"/>
  <c r="D32" i="46"/>
  <c r="E32" i="46" s="1"/>
  <c r="D31" i="46"/>
  <c r="E31" i="46" s="1"/>
  <c r="D30" i="46"/>
  <c r="E30" i="46" s="1"/>
  <c r="D29" i="46"/>
  <c r="E29" i="46" s="1"/>
  <c r="D28" i="46"/>
  <c r="E28" i="46" s="1"/>
  <c r="D27" i="46"/>
  <c r="E27" i="46" s="1"/>
  <c r="D26" i="46"/>
  <c r="E26" i="46" s="1"/>
  <c r="D25" i="46"/>
  <c r="E25" i="46" s="1"/>
  <c r="D24" i="46"/>
  <c r="E24" i="46" s="1"/>
  <c r="D23" i="46"/>
  <c r="E23" i="46" s="1"/>
  <c r="D22" i="46"/>
  <c r="E22" i="46" s="1"/>
  <c r="D21" i="46"/>
  <c r="E21" i="46" s="1"/>
  <c r="D20" i="46"/>
  <c r="E20" i="46" s="1"/>
  <c r="D19" i="46"/>
  <c r="E19" i="46" s="1"/>
  <c r="D18" i="46"/>
  <c r="E18" i="46" s="1"/>
  <c r="D17" i="46"/>
  <c r="E17" i="46" s="1"/>
  <c r="D16" i="46"/>
  <c r="E16" i="46" s="1"/>
  <c r="D15" i="46"/>
  <c r="E15" i="46" s="1"/>
  <c r="D14" i="46"/>
  <c r="E14" i="46" s="1"/>
  <c r="D13" i="46"/>
  <c r="E13" i="46" s="1"/>
  <c r="D12" i="46"/>
  <c r="E12" i="46" s="1"/>
  <c r="D11" i="46"/>
  <c r="E11" i="46" s="1"/>
  <c r="D10" i="46"/>
  <c r="E10" i="46" s="1"/>
  <c r="D9" i="46"/>
  <c r="E9" i="46" s="1"/>
  <c r="D8" i="46"/>
  <c r="E8" i="46" s="1"/>
  <c r="D71" i="45"/>
  <c r="E71" i="45" s="1"/>
  <c r="D70" i="45"/>
  <c r="E70" i="45" s="1"/>
  <c r="D69" i="45"/>
  <c r="E69" i="45" s="1"/>
  <c r="D68" i="45"/>
  <c r="E68" i="45" s="1"/>
  <c r="D67" i="45"/>
  <c r="E67" i="45" s="1"/>
  <c r="D66" i="45"/>
  <c r="E66" i="45" s="1"/>
  <c r="D65" i="45"/>
  <c r="E65" i="45" s="1"/>
  <c r="D64" i="45"/>
  <c r="E64" i="45" s="1"/>
  <c r="D63" i="45"/>
  <c r="E63" i="45" s="1"/>
  <c r="D62" i="45"/>
  <c r="E62" i="45" s="1"/>
  <c r="D61" i="45"/>
  <c r="E61" i="45" s="1"/>
  <c r="D60" i="45"/>
  <c r="E60" i="45" s="1"/>
  <c r="D59" i="45"/>
  <c r="E59" i="45" s="1"/>
  <c r="D58" i="45"/>
  <c r="E58" i="45" s="1"/>
  <c r="D57" i="45"/>
  <c r="E57" i="45" s="1"/>
  <c r="D56" i="45"/>
  <c r="E56" i="45" s="1"/>
  <c r="D55" i="45"/>
  <c r="E55" i="45" s="1"/>
  <c r="D54" i="45"/>
  <c r="E54" i="45" s="1"/>
  <c r="D53" i="45"/>
  <c r="E53" i="45" s="1"/>
  <c r="D52" i="45"/>
  <c r="E52" i="45" s="1"/>
  <c r="D51" i="45"/>
  <c r="E51" i="45" s="1"/>
  <c r="D50" i="45"/>
  <c r="E50" i="45" s="1"/>
  <c r="D49" i="45"/>
  <c r="E49" i="45" s="1"/>
  <c r="D48" i="45"/>
  <c r="E48" i="45" s="1"/>
  <c r="D47" i="45"/>
  <c r="E47" i="45" s="1"/>
  <c r="D46" i="45"/>
  <c r="E46" i="45" s="1"/>
  <c r="D45" i="45"/>
  <c r="E45" i="45" s="1"/>
  <c r="D44" i="45"/>
  <c r="E44" i="45" s="1"/>
  <c r="D43" i="45"/>
  <c r="E43" i="45" s="1"/>
  <c r="D42" i="45"/>
  <c r="E42" i="45" s="1"/>
  <c r="D37" i="45"/>
  <c r="E37" i="45" s="1"/>
  <c r="D36" i="45"/>
  <c r="E36" i="45" s="1"/>
  <c r="D35" i="45"/>
  <c r="E35" i="45" s="1"/>
  <c r="D34" i="45"/>
  <c r="E34" i="45" s="1"/>
  <c r="D33" i="45"/>
  <c r="E33" i="45" s="1"/>
  <c r="D32" i="45"/>
  <c r="E32" i="45" s="1"/>
  <c r="D31" i="45"/>
  <c r="E31" i="45" s="1"/>
  <c r="D30" i="45"/>
  <c r="E30" i="45" s="1"/>
  <c r="D29" i="45"/>
  <c r="E29" i="45" s="1"/>
  <c r="D28" i="45"/>
  <c r="E28" i="45" s="1"/>
  <c r="D27" i="45"/>
  <c r="E27" i="45" s="1"/>
  <c r="D26" i="45"/>
  <c r="E26" i="45" s="1"/>
  <c r="D25" i="45"/>
  <c r="E25" i="45" s="1"/>
  <c r="D24" i="45"/>
  <c r="E24" i="45" s="1"/>
  <c r="D23" i="45"/>
  <c r="E23" i="45" s="1"/>
  <c r="D22" i="45"/>
  <c r="E22" i="45" s="1"/>
  <c r="D21" i="45"/>
  <c r="E21" i="45" s="1"/>
  <c r="D20" i="45"/>
  <c r="E20" i="45" s="1"/>
  <c r="D19" i="45"/>
  <c r="E19" i="45" s="1"/>
  <c r="D18" i="45"/>
  <c r="E18" i="45" s="1"/>
  <c r="D17" i="45"/>
  <c r="E17" i="45" s="1"/>
  <c r="D16" i="45"/>
  <c r="E16" i="45" s="1"/>
  <c r="D15" i="45"/>
  <c r="E15" i="45" s="1"/>
  <c r="D14" i="45"/>
  <c r="E14" i="45" s="1"/>
  <c r="D13" i="45"/>
  <c r="E13" i="45" s="1"/>
  <c r="D12" i="45"/>
  <c r="E12" i="45" s="1"/>
  <c r="D11" i="45"/>
  <c r="E11" i="45" s="1"/>
  <c r="D10" i="45"/>
  <c r="E10" i="45" s="1"/>
  <c r="D9" i="45"/>
  <c r="E9" i="45" s="1"/>
  <c r="D8" i="45"/>
  <c r="E8" i="45" s="1"/>
  <c r="D71" i="44"/>
  <c r="E71" i="44" s="1"/>
  <c r="D70" i="44"/>
  <c r="E70" i="44" s="1"/>
  <c r="D69" i="44"/>
  <c r="E69" i="44" s="1"/>
  <c r="D68" i="44"/>
  <c r="E68" i="44" s="1"/>
  <c r="D67" i="44"/>
  <c r="E67" i="44" s="1"/>
  <c r="D66" i="44"/>
  <c r="E66" i="44" s="1"/>
  <c r="D65" i="44"/>
  <c r="E65" i="44" s="1"/>
  <c r="D64" i="44"/>
  <c r="E64" i="44" s="1"/>
  <c r="D63" i="44"/>
  <c r="E63" i="44" s="1"/>
  <c r="D62" i="44"/>
  <c r="E62" i="44" s="1"/>
  <c r="D61" i="44"/>
  <c r="E61" i="44" s="1"/>
  <c r="D60" i="44"/>
  <c r="E60" i="44" s="1"/>
  <c r="D59" i="44"/>
  <c r="E59" i="44" s="1"/>
  <c r="D58" i="44"/>
  <c r="E58" i="44" s="1"/>
  <c r="D57" i="44"/>
  <c r="E57" i="44" s="1"/>
  <c r="D56" i="44"/>
  <c r="E56" i="44" s="1"/>
  <c r="D55" i="44"/>
  <c r="E55" i="44" s="1"/>
  <c r="D54" i="44"/>
  <c r="E54" i="44" s="1"/>
  <c r="D53" i="44"/>
  <c r="E53" i="44" s="1"/>
  <c r="D52" i="44"/>
  <c r="E52" i="44" s="1"/>
  <c r="D51" i="44"/>
  <c r="E51" i="44" s="1"/>
  <c r="D50" i="44"/>
  <c r="E50" i="44" s="1"/>
  <c r="D49" i="44"/>
  <c r="E49" i="44" s="1"/>
  <c r="D48" i="44"/>
  <c r="E48" i="44" s="1"/>
  <c r="D47" i="44"/>
  <c r="E47" i="44" s="1"/>
  <c r="D46" i="44"/>
  <c r="E46" i="44" s="1"/>
  <c r="D45" i="44"/>
  <c r="E45" i="44" s="1"/>
  <c r="D44" i="44"/>
  <c r="E44" i="44" s="1"/>
  <c r="D43" i="44"/>
  <c r="E43" i="44" s="1"/>
  <c r="D42" i="44"/>
  <c r="E42" i="44" s="1"/>
  <c r="D37" i="44"/>
  <c r="E37" i="44" s="1"/>
  <c r="D36" i="44"/>
  <c r="E36" i="44" s="1"/>
  <c r="D35" i="44"/>
  <c r="E35" i="44" s="1"/>
  <c r="D34" i="44"/>
  <c r="E34" i="44" s="1"/>
  <c r="D33" i="44"/>
  <c r="E33" i="44" s="1"/>
  <c r="D32" i="44"/>
  <c r="E32" i="44" s="1"/>
  <c r="D31" i="44"/>
  <c r="E31" i="44" s="1"/>
  <c r="D30" i="44"/>
  <c r="E30" i="44" s="1"/>
  <c r="D29" i="44"/>
  <c r="E29" i="44" s="1"/>
  <c r="D28" i="44"/>
  <c r="E28" i="44" s="1"/>
  <c r="D27" i="44"/>
  <c r="E27" i="44" s="1"/>
  <c r="D26" i="44"/>
  <c r="E26" i="44" s="1"/>
  <c r="D25" i="44"/>
  <c r="E25" i="44" s="1"/>
  <c r="D24" i="44"/>
  <c r="E24" i="44" s="1"/>
  <c r="D23" i="44"/>
  <c r="E23" i="44" s="1"/>
  <c r="D22" i="44"/>
  <c r="E22" i="44" s="1"/>
  <c r="D21" i="44"/>
  <c r="E21" i="44" s="1"/>
  <c r="D20" i="44"/>
  <c r="E20" i="44" s="1"/>
  <c r="D19" i="44"/>
  <c r="E19" i="44" s="1"/>
  <c r="D18" i="44"/>
  <c r="E18" i="44" s="1"/>
  <c r="D17" i="44"/>
  <c r="E17" i="44" s="1"/>
  <c r="D16" i="44"/>
  <c r="E16" i="44" s="1"/>
  <c r="D15" i="44"/>
  <c r="E15" i="44" s="1"/>
  <c r="D14" i="44"/>
  <c r="E14" i="44" s="1"/>
  <c r="D13" i="44"/>
  <c r="E13" i="44" s="1"/>
  <c r="D12" i="44"/>
  <c r="E12" i="44" s="1"/>
  <c r="D11" i="44"/>
  <c r="E11" i="44" s="1"/>
  <c r="D10" i="44"/>
  <c r="E10" i="44" s="1"/>
  <c r="D9" i="44"/>
  <c r="E9" i="44" s="1"/>
  <c r="D8" i="44"/>
  <c r="E8" i="44" s="1"/>
  <c r="D71" i="43"/>
  <c r="E71" i="43" s="1"/>
  <c r="D70" i="43"/>
  <c r="E70" i="43" s="1"/>
  <c r="D69" i="43"/>
  <c r="E69" i="43" s="1"/>
  <c r="D68" i="43"/>
  <c r="E68" i="43" s="1"/>
  <c r="D67" i="43"/>
  <c r="E67" i="43" s="1"/>
  <c r="D66" i="43"/>
  <c r="E66" i="43" s="1"/>
  <c r="D65" i="43"/>
  <c r="E65" i="43" s="1"/>
  <c r="D64" i="43"/>
  <c r="E64" i="43" s="1"/>
  <c r="D63" i="43"/>
  <c r="E63" i="43" s="1"/>
  <c r="D62" i="43"/>
  <c r="E62" i="43" s="1"/>
  <c r="D61" i="43"/>
  <c r="E61" i="43" s="1"/>
  <c r="D60" i="43"/>
  <c r="E60" i="43" s="1"/>
  <c r="D59" i="43"/>
  <c r="E59" i="43" s="1"/>
  <c r="D58" i="43"/>
  <c r="E58" i="43" s="1"/>
  <c r="D57" i="43"/>
  <c r="E57" i="43" s="1"/>
  <c r="D56" i="43"/>
  <c r="E56" i="43" s="1"/>
  <c r="D55" i="43"/>
  <c r="E55" i="43" s="1"/>
  <c r="D54" i="43"/>
  <c r="E54" i="43" s="1"/>
  <c r="D53" i="43"/>
  <c r="E53" i="43" s="1"/>
  <c r="D52" i="43"/>
  <c r="E52" i="43" s="1"/>
  <c r="D51" i="43"/>
  <c r="E51" i="43" s="1"/>
  <c r="D50" i="43"/>
  <c r="E50" i="43" s="1"/>
  <c r="D49" i="43"/>
  <c r="E49" i="43" s="1"/>
  <c r="D48" i="43"/>
  <c r="E48" i="43" s="1"/>
  <c r="D47" i="43"/>
  <c r="E47" i="43" s="1"/>
  <c r="D46" i="43"/>
  <c r="E46" i="43" s="1"/>
  <c r="D45" i="43"/>
  <c r="E45" i="43" s="1"/>
  <c r="D44" i="43"/>
  <c r="E44" i="43" s="1"/>
  <c r="D43" i="43"/>
  <c r="E43" i="43" s="1"/>
  <c r="D42" i="43"/>
  <c r="E42" i="43" s="1"/>
  <c r="D37" i="43"/>
  <c r="E37" i="43" s="1"/>
  <c r="D36" i="43"/>
  <c r="E36" i="43" s="1"/>
  <c r="D35" i="43"/>
  <c r="E35" i="43" s="1"/>
  <c r="D34" i="43"/>
  <c r="E34" i="43" s="1"/>
  <c r="D33" i="43"/>
  <c r="E33" i="43" s="1"/>
  <c r="D32" i="43"/>
  <c r="E32" i="43" s="1"/>
  <c r="D31" i="43"/>
  <c r="E31" i="43" s="1"/>
  <c r="D30" i="43"/>
  <c r="E30" i="43" s="1"/>
  <c r="D29" i="43"/>
  <c r="E29" i="43" s="1"/>
  <c r="D28" i="43"/>
  <c r="E28" i="43" s="1"/>
  <c r="D27" i="43"/>
  <c r="E27" i="43" s="1"/>
  <c r="D26" i="43"/>
  <c r="E26" i="43" s="1"/>
  <c r="D25" i="43"/>
  <c r="E25" i="43" s="1"/>
  <c r="D24" i="43"/>
  <c r="E24" i="43" s="1"/>
  <c r="D23" i="43"/>
  <c r="E23" i="43" s="1"/>
  <c r="D22" i="43"/>
  <c r="E22" i="43" s="1"/>
  <c r="D21" i="43"/>
  <c r="E21" i="43" s="1"/>
  <c r="D20" i="43"/>
  <c r="E20" i="43" s="1"/>
  <c r="D19" i="43"/>
  <c r="E19" i="43" s="1"/>
  <c r="D18" i="43"/>
  <c r="E18" i="43" s="1"/>
  <c r="D17" i="43"/>
  <c r="E17" i="43" s="1"/>
  <c r="D16" i="43"/>
  <c r="E16" i="43" s="1"/>
  <c r="D15" i="43"/>
  <c r="E15" i="43" s="1"/>
  <c r="D14" i="43"/>
  <c r="E14" i="43" s="1"/>
  <c r="D13" i="43"/>
  <c r="E13" i="43" s="1"/>
  <c r="D12" i="43"/>
  <c r="E12" i="43" s="1"/>
  <c r="D11" i="43"/>
  <c r="E11" i="43" s="1"/>
  <c r="D10" i="43"/>
  <c r="E10" i="43" s="1"/>
  <c r="D9" i="43"/>
  <c r="E9" i="43" s="1"/>
  <c r="D8" i="43"/>
  <c r="E8" i="43" s="1"/>
  <c r="D71" i="42"/>
  <c r="E71" i="42" s="1"/>
  <c r="D70" i="42"/>
  <c r="E70" i="42" s="1"/>
  <c r="D69" i="42"/>
  <c r="E69" i="42" s="1"/>
  <c r="D68" i="42"/>
  <c r="E68" i="42" s="1"/>
  <c r="D67" i="42"/>
  <c r="E67" i="42" s="1"/>
  <c r="D66" i="42"/>
  <c r="E66" i="42" s="1"/>
  <c r="D65" i="42"/>
  <c r="E65" i="42" s="1"/>
  <c r="D64" i="42"/>
  <c r="E64" i="42" s="1"/>
  <c r="D63" i="42"/>
  <c r="E63" i="42" s="1"/>
  <c r="D62" i="42"/>
  <c r="E62" i="42" s="1"/>
  <c r="D61" i="42"/>
  <c r="E61" i="42" s="1"/>
  <c r="D60" i="42"/>
  <c r="E60" i="42" s="1"/>
  <c r="D59" i="42"/>
  <c r="E59" i="42" s="1"/>
  <c r="D58" i="42"/>
  <c r="E58" i="42" s="1"/>
  <c r="D57" i="42"/>
  <c r="E57" i="42" s="1"/>
  <c r="D56" i="42"/>
  <c r="E56" i="42" s="1"/>
  <c r="D55" i="42"/>
  <c r="E55" i="42" s="1"/>
  <c r="D54" i="42"/>
  <c r="E54" i="42" s="1"/>
  <c r="D53" i="42"/>
  <c r="E53" i="42" s="1"/>
  <c r="D52" i="42"/>
  <c r="E52" i="42" s="1"/>
  <c r="D51" i="42"/>
  <c r="E51" i="42" s="1"/>
  <c r="D50" i="42"/>
  <c r="E50" i="42" s="1"/>
  <c r="D49" i="42"/>
  <c r="E49" i="42" s="1"/>
  <c r="D48" i="42"/>
  <c r="E48" i="42" s="1"/>
  <c r="D47" i="42"/>
  <c r="E47" i="42" s="1"/>
  <c r="D46" i="42"/>
  <c r="E46" i="42" s="1"/>
  <c r="D45" i="42"/>
  <c r="E45" i="42" s="1"/>
  <c r="D44" i="42"/>
  <c r="E44" i="42" s="1"/>
  <c r="D43" i="42"/>
  <c r="E43" i="42" s="1"/>
  <c r="D42" i="42"/>
  <c r="E42" i="42" s="1"/>
  <c r="D37" i="42"/>
  <c r="E37" i="42" s="1"/>
  <c r="D36" i="42"/>
  <c r="E36" i="42" s="1"/>
  <c r="D35" i="42"/>
  <c r="E35" i="42" s="1"/>
  <c r="D34" i="42"/>
  <c r="E34" i="42" s="1"/>
  <c r="D33" i="42"/>
  <c r="E33" i="42" s="1"/>
  <c r="D32" i="42"/>
  <c r="E32" i="42" s="1"/>
  <c r="D31" i="42"/>
  <c r="E31" i="42" s="1"/>
  <c r="D30" i="42"/>
  <c r="E30" i="42" s="1"/>
  <c r="D29" i="42"/>
  <c r="E29" i="42" s="1"/>
  <c r="D28" i="42"/>
  <c r="E28" i="42" s="1"/>
  <c r="D27" i="42"/>
  <c r="E27" i="42" s="1"/>
  <c r="D26" i="42"/>
  <c r="E26" i="42" s="1"/>
  <c r="D25" i="42"/>
  <c r="E25" i="42" s="1"/>
  <c r="D24" i="42"/>
  <c r="E24" i="42" s="1"/>
  <c r="D23" i="42"/>
  <c r="E23" i="42" s="1"/>
  <c r="D22" i="42"/>
  <c r="E22" i="42" s="1"/>
  <c r="D21" i="42"/>
  <c r="E21" i="42" s="1"/>
  <c r="D20" i="42"/>
  <c r="E20" i="42" s="1"/>
  <c r="D19" i="42"/>
  <c r="E19" i="42" s="1"/>
  <c r="D18" i="42"/>
  <c r="E18" i="42" s="1"/>
  <c r="D17" i="42"/>
  <c r="E17" i="42" s="1"/>
  <c r="D16" i="42"/>
  <c r="E16" i="42" s="1"/>
  <c r="D15" i="42"/>
  <c r="E15" i="42" s="1"/>
  <c r="D14" i="42"/>
  <c r="E14" i="42" s="1"/>
  <c r="D13" i="42"/>
  <c r="E13" i="42" s="1"/>
  <c r="D12" i="42"/>
  <c r="E12" i="42" s="1"/>
  <c r="D11" i="42"/>
  <c r="E11" i="42" s="1"/>
  <c r="D10" i="42"/>
  <c r="E10" i="42" s="1"/>
  <c r="D9" i="42"/>
  <c r="E9" i="42" s="1"/>
  <c r="D8" i="42"/>
  <c r="E8" i="42" s="1"/>
  <c r="D71" i="41"/>
  <c r="E71" i="41" s="1"/>
  <c r="D70" i="41"/>
  <c r="E70" i="41" s="1"/>
  <c r="D69" i="41"/>
  <c r="E69" i="41" s="1"/>
  <c r="D68" i="41"/>
  <c r="E68" i="41" s="1"/>
  <c r="D67" i="41"/>
  <c r="E67" i="41" s="1"/>
  <c r="D66" i="41"/>
  <c r="E66" i="41" s="1"/>
  <c r="D65" i="41"/>
  <c r="E65" i="41" s="1"/>
  <c r="D64" i="41"/>
  <c r="E64" i="41" s="1"/>
  <c r="D63" i="41"/>
  <c r="E63" i="41" s="1"/>
  <c r="D62" i="41"/>
  <c r="E62" i="41" s="1"/>
  <c r="D61" i="41"/>
  <c r="E61" i="41" s="1"/>
  <c r="D60" i="41"/>
  <c r="E60" i="41" s="1"/>
  <c r="D59" i="41"/>
  <c r="E59" i="41" s="1"/>
  <c r="D58" i="41"/>
  <c r="E58" i="41" s="1"/>
  <c r="D57" i="41"/>
  <c r="E57" i="41" s="1"/>
  <c r="D56" i="41"/>
  <c r="E56" i="41" s="1"/>
  <c r="D55" i="41"/>
  <c r="E55" i="41" s="1"/>
  <c r="D54" i="41"/>
  <c r="E54" i="41" s="1"/>
  <c r="D53" i="41"/>
  <c r="E53" i="41" s="1"/>
  <c r="D52" i="41"/>
  <c r="E52" i="41" s="1"/>
  <c r="D51" i="41"/>
  <c r="E51" i="41" s="1"/>
  <c r="D50" i="41"/>
  <c r="E50" i="41" s="1"/>
  <c r="D49" i="41"/>
  <c r="E49" i="41" s="1"/>
  <c r="D48" i="41"/>
  <c r="E48" i="41" s="1"/>
  <c r="D47" i="41"/>
  <c r="E47" i="41" s="1"/>
  <c r="D46" i="41"/>
  <c r="E46" i="41" s="1"/>
  <c r="D45" i="41"/>
  <c r="E45" i="41" s="1"/>
  <c r="D44" i="41"/>
  <c r="E44" i="41" s="1"/>
  <c r="D43" i="41"/>
  <c r="E43" i="41" s="1"/>
  <c r="D42" i="41"/>
  <c r="E42" i="41" s="1"/>
  <c r="D37" i="41"/>
  <c r="E37" i="41" s="1"/>
  <c r="D36" i="41"/>
  <c r="E36" i="41" s="1"/>
  <c r="D35" i="41"/>
  <c r="E35" i="41" s="1"/>
  <c r="D34" i="41"/>
  <c r="E34" i="41" s="1"/>
  <c r="D33" i="41"/>
  <c r="E33" i="41" s="1"/>
  <c r="D32" i="41"/>
  <c r="E32" i="41" s="1"/>
  <c r="D31" i="41"/>
  <c r="E31" i="41" s="1"/>
  <c r="D30" i="41"/>
  <c r="E30" i="41" s="1"/>
  <c r="D29" i="41"/>
  <c r="E29" i="41" s="1"/>
  <c r="D28" i="41"/>
  <c r="E28" i="41" s="1"/>
  <c r="D27" i="41"/>
  <c r="E27" i="41" s="1"/>
  <c r="D26" i="41"/>
  <c r="E26" i="41" s="1"/>
  <c r="D25" i="41"/>
  <c r="E25" i="41" s="1"/>
  <c r="D24" i="41"/>
  <c r="E24" i="41" s="1"/>
  <c r="D23" i="41"/>
  <c r="E23" i="41" s="1"/>
  <c r="D22" i="41"/>
  <c r="E22" i="41" s="1"/>
  <c r="D21" i="41"/>
  <c r="E21" i="41" s="1"/>
  <c r="D20" i="41"/>
  <c r="E20" i="41" s="1"/>
  <c r="D19" i="41"/>
  <c r="E19" i="41" s="1"/>
  <c r="D18" i="41"/>
  <c r="E18" i="41" s="1"/>
  <c r="D17" i="41"/>
  <c r="E17" i="41" s="1"/>
  <c r="D16" i="41"/>
  <c r="E16" i="41" s="1"/>
  <c r="D15" i="41"/>
  <c r="E15" i="41" s="1"/>
  <c r="D14" i="41"/>
  <c r="E14" i="41" s="1"/>
  <c r="D13" i="41"/>
  <c r="E13" i="41" s="1"/>
  <c r="D12" i="41"/>
  <c r="E12" i="41" s="1"/>
  <c r="D11" i="41"/>
  <c r="E11" i="41" s="1"/>
  <c r="D10" i="41"/>
  <c r="E10" i="41" s="1"/>
  <c r="D9" i="41"/>
  <c r="E9" i="41" s="1"/>
  <c r="D8" i="41"/>
  <c r="E8" i="41" s="1"/>
  <c r="D71" i="40" l="1"/>
  <c r="E71" i="40" s="1"/>
  <c r="D70" i="40"/>
  <c r="E70" i="40" s="1"/>
  <c r="D69" i="40"/>
  <c r="E69" i="40" s="1"/>
  <c r="D68" i="40"/>
  <c r="E68" i="40" s="1"/>
  <c r="D67" i="40"/>
  <c r="E67" i="40" s="1"/>
  <c r="D66" i="40"/>
  <c r="E66" i="40" s="1"/>
  <c r="D65" i="40"/>
  <c r="E65" i="40" s="1"/>
  <c r="D64" i="40"/>
  <c r="E64" i="40" s="1"/>
  <c r="D63" i="40"/>
  <c r="E63" i="40" s="1"/>
  <c r="D62" i="40"/>
  <c r="E62" i="40" s="1"/>
  <c r="D61" i="40"/>
  <c r="E61" i="40" s="1"/>
  <c r="D60" i="40"/>
  <c r="E60" i="40" s="1"/>
  <c r="D59" i="40"/>
  <c r="E59" i="40" s="1"/>
  <c r="D58" i="40"/>
  <c r="E58" i="40" s="1"/>
  <c r="D57" i="40"/>
  <c r="E57" i="40" s="1"/>
  <c r="D56" i="40"/>
  <c r="E56" i="40" s="1"/>
  <c r="D55" i="40"/>
  <c r="E55" i="40" s="1"/>
  <c r="D54" i="40"/>
  <c r="E54" i="40" s="1"/>
  <c r="D53" i="40"/>
  <c r="E53" i="40" s="1"/>
  <c r="D52" i="40"/>
  <c r="E52" i="40" s="1"/>
  <c r="D51" i="40"/>
  <c r="E51" i="40" s="1"/>
  <c r="D50" i="40"/>
  <c r="E50" i="40" s="1"/>
  <c r="D49" i="40"/>
  <c r="E49" i="40" s="1"/>
  <c r="D48" i="40"/>
  <c r="E48" i="40" s="1"/>
  <c r="D47" i="40"/>
  <c r="E47" i="40" s="1"/>
  <c r="D46" i="40"/>
  <c r="E46" i="40" s="1"/>
  <c r="D45" i="40"/>
  <c r="E45" i="40" s="1"/>
  <c r="D44" i="40"/>
  <c r="E44" i="40" s="1"/>
  <c r="D43" i="40"/>
  <c r="E43" i="40" s="1"/>
  <c r="D42" i="40"/>
  <c r="E42" i="40" s="1"/>
  <c r="D37" i="40"/>
  <c r="E37" i="40" s="1"/>
  <c r="D36" i="40"/>
  <c r="E36" i="40" s="1"/>
  <c r="D35" i="40"/>
  <c r="E35" i="40" s="1"/>
  <c r="D34" i="40"/>
  <c r="E34" i="40" s="1"/>
  <c r="D33" i="40"/>
  <c r="E33" i="40" s="1"/>
  <c r="D32" i="40"/>
  <c r="E32" i="40" s="1"/>
  <c r="D31" i="40"/>
  <c r="E31" i="40" s="1"/>
  <c r="D30" i="40"/>
  <c r="E30" i="40" s="1"/>
  <c r="D29" i="40"/>
  <c r="E29" i="40" s="1"/>
  <c r="D28" i="40"/>
  <c r="E28" i="40" s="1"/>
  <c r="D27" i="40"/>
  <c r="E27" i="40" s="1"/>
  <c r="D26" i="40"/>
  <c r="E26" i="40" s="1"/>
  <c r="D25" i="40"/>
  <c r="E25" i="40" s="1"/>
  <c r="D24" i="40"/>
  <c r="E24" i="40" s="1"/>
  <c r="D23" i="40"/>
  <c r="E23" i="40" s="1"/>
  <c r="D22" i="40"/>
  <c r="E22" i="40" s="1"/>
  <c r="D21" i="40"/>
  <c r="E21" i="40" s="1"/>
  <c r="D20" i="40"/>
  <c r="E20" i="40" s="1"/>
  <c r="D19" i="40"/>
  <c r="E19" i="40" s="1"/>
  <c r="D18" i="40"/>
  <c r="E18" i="40" s="1"/>
  <c r="D17" i="40"/>
  <c r="E17" i="40" s="1"/>
  <c r="D16" i="40"/>
  <c r="E16" i="40" s="1"/>
  <c r="D15" i="40"/>
  <c r="E15" i="40" s="1"/>
  <c r="D14" i="40"/>
  <c r="E14" i="40" s="1"/>
  <c r="D13" i="40"/>
  <c r="E13" i="40" s="1"/>
  <c r="D12" i="40"/>
  <c r="E12" i="40" s="1"/>
  <c r="D11" i="40"/>
  <c r="E11" i="40" s="1"/>
  <c r="D10" i="40"/>
  <c r="E10" i="40" s="1"/>
  <c r="D9" i="40"/>
  <c r="E9" i="40" s="1"/>
  <c r="D8" i="40"/>
  <c r="E8" i="40" s="1"/>
  <c r="D44" i="34"/>
  <c r="E44" i="34" s="1"/>
  <c r="D71" i="36"/>
  <c r="E71" i="36" s="1"/>
  <c r="D70" i="36"/>
  <c r="E70" i="36" s="1"/>
  <c r="D69" i="36"/>
  <c r="E69" i="36" s="1"/>
  <c r="D68" i="36"/>
  <c r="E68" i="36" s="1"/>
  <c r="D67" i="36"/>
  <c r="E67" i="36" s="1"/>
  <c r="D66" i="36"/>
  <c r="E66" i="36" s="1"/>
  <c r="D65" i="36"/>
  <c r="E65" i="36" s="1"/>
  <c r="D64" i="36"/>
  <c r="E64" i="36" s="1"/>
  <c r="D63" i="36"/>
  <c r="E63" i="36" s="1"/>
  <c r="D62" i="36"/>
  <c r="E62" i="36" s="1"/>
  <c r="D61" i="36"/>
  <c r="E61" i="36" s="1"/>
  <c r="D60" i="36"/>
  <c r="E60" i="36" s="1"/>
  <c r="D59" i="36"/>
  <c r="E59" i="36" s="1"/>
  <c r="D58" i="36"/>
  <c r="E58" i="36" s="1"/>
  <c r="D57" i="36"/>
  <c r="E57" i="36" s="1"/>
  <c r="D56" i="36"/>
  <c r="E56" i="36" s="1"/>
  <c r="D55" i="36"/>
  <c r="E55" i="36" s="1"/>
  <c r="D54" i="36"/>
  <c r="E54" i="36" s="1"/>
  <c r="D53" i="36"/>
  <c r="E53" i="36" s="1"/>
  <c r="D52" i="36"/>
  <c r="E52" i="36" s="1"/>
  <c r="D51" i="36"/>
  <c r="E51" i="36" s="1"/>
  <c r="D50" i="36"/>
  <c r="E50" i="36" s="1"/>
  <c r="D49" i="36"/>
  <c r="E49" i="36" s="1"/>
  <c r="D48" i="36"/>
  <c r="E48" i="36" s="1"/>
  <c r="D47" i="36"/>
  <c r="E47" i="36" s="1"/>
  <c r="D46" i="36"/>
  <c r="E46" i="36" s="1"/>
  <c r="D45" i="36"/>
  <c r="E45" i="36" s="1"/>
  <c r="D44" i="36"/>
  <c r="E44" i="36" s="1"/>
  <c r="D43" i="36"/>
  <c r="E43" i="36" s="1"/>
  <c r="D42" i="36"/>
  <c r="E42" i="36" s="1"/>
  <c r="D37" i="36"/>
  <c r="E37" i="36" s="1"/>
  <c r="D36" i="36"/>
  <c r="E36" i="36" s="1"/>
  <c r="D35" i="36"/>
  <c r="E35" i="36" s="1"/>
  <c r="D34" i="36"/>
  <c r="E34" i="36" s="1"/>
  <c r="D33" i="36"/>
  <c r="E33" i="36" s="1"/>
  <c r="D32" i="36"/>
  <c r="E32" i="36" s="1"/>
  <c r="D31" i="36"/>
  <c r="E31" i="36" s="1"/>
  <c r="D30" i="36"/>
  <c r="E30" i="36" s="1"/>
  <c r="D29" i="36"/>
  <c r="E29" i="36" s="1"/>
  <c r="D28" i="36"/>
  <c r="E28" i="36" s="1"/>
  <c r="D27" i="36"/>
  <c r="E27" i="36" s="1"/>
  <c r="D26" i="36"/>
  <c r="E26" i="36" s="1"/>
  <c r="D25" i="36"/>
  <c r="E25" i="36" s="1"/>
  <c r="D24" i="36"/>
  <c r="E24" i="36" s="1"/>
  <c r="D23" i="36"/>
  <c r="E23" i="36" s="1"/>
  <c r="D22" i="36"/>
  <c r="E22" i="36" s="1"/>
  <c r="D71" i="35"/>
  <c r="E71" i="35" s="1"/>
  <c r="D70" i="35"/>
  <c r="E70" i="35" s="1"/>
  <c r="D69" i="35"/>
  <c r="E69" i="35" s="1"/>
  <c r="D68" i="35"/>
  <c r="E68" i="35" s="1"/>
  <c r="D67" i="35"/>
  <c r="E67" i="35" s="1"/>
  <c r="D66" i="35"/>
  <c r="E66" i="35" s="1"/>
  <c r="D65" i="35"/>
  <c r="E65" i="35" s="1"/>
  <c r="D64" i="35"/>
  <c r="E64" i="35" s="1"/>
  <c r="D63" i="35"/>
  <c r="E63" i="35" s="1"/>
  <c r="D62" i="35"/>
  <c r="E62" i="35" s="1"/>
  <c r="D61" i="35"/>
  <c r="E61" i="35" s="1"/>
  <c r="D60" i="35"/>
  <c r="E60" i="35" s="1"/>
  <c r="D59" i="35"/>
  <c r="E59" i="35" s="1"/>
  <c r="D58" i="35"/>
  <c r="E58" i="35" s="1"/>
  <c r="D57" i="35"/>
  <c r="E57" i="35" s="1"/>
  <c r="D56" i="35"/>
  <c r="E56" i="35" s="1"/>
  <c r="D55" i="35"/>
  <c r="E55" i="35" s="1"/>
  <c r="D54" i="35"/>
  <c r="E54" i="35" s="1"/>
  <c r="D53" i="35"/>
  <c r="E53" i="35" s="1"/>
  <c r="D52" i="35"/>
  <c r="E52" i="35" s="1"/>
  <c r="D51" i="35"/>
  <c r="E51" i="35" s="1"/>
  <c r="D50" i="35"/>
  <c r="E50" i="35" s="1"/>
  <c r="D49" i="35"/>
  <c r="E49" i="35" s="1"/>
  <c r="D48" i="35"/>
  <c r="E48" i="35" s="1"/>
  <c r="D47" i="35"/>
  <c r="E47" i="35" s="1"/>
  <c r="D46" i="35"/>
  <c r="E46" i="35" s="1"/>
  <c r="D45" i="35"/>
  <c r="E45" i="35" s="1"/>
  <c r="D44" i="35"/>
  <c r="E44" i="35" s="1"/>
  <c r="D43" i="35"/>
  <c r="E43" i="35" s="1"/>
  <c r="D42" i="35"/>
  <c r="E42" i="35" s="1"/>
  <c r="D37" i="35"/>
  <c r="E37" i="35" s="1"/>
  <c r="D36" i="35"/>
  <c r="E36" i="35" s="1"/>
  <c r="D35" i="35"/>
  <c r="E35" i="35" s="1"/>
  <c r="D34" i="35"/>
  <c r="E34" i="35" s="1"/>
  <c r="D33" i="35"/>
  <c r="E33" i="35" s="1"/>
  <c r="D32" i="35"/>
  <c r="E32" i="35" s="1"/>
  <c r="D31" i="35"/>
  <c r="E31" i="35" s="1"/>
  <c r="D30" i="35"/>
  <c r="E30" i="35" s="1"/>
  <c r="D29" i="35"/>
  <c r="E29" i="35" s="1"/>
  <c r="D28" i="35"/>
  <c r="E28" i="35" s="1"/>
  <c r="D27" i="35"/>
  <c r="E27" i="35" s="1"/>
  <c r="D26" i="35"/>
  <c r="E26" i="35" s="1"/>
  <c r="D25" i="35"/>
  <c r="E25" i="35" s="1"/>
  <c r="D24" i="35"/>
  <c r="E24" i="35" s="1"/>
  <c r="D23" i="35"/>
  <c r="E23" i="35" s="1"/>
  <c r="D22" i="35"/>
  <c r="E22" i="35" s="1"/>
  <c r="D21" i="35"/>
  <c r="E21" i="35" s="1"/>
  <c r="D20" i="35"/>
  <c r="E20" i="35" s="1"/>
  <c r="D19" i="35"/>
  <c r="E19" i="35" s="1"/>
  <c r="D18" i="35"/>
  <c r="E18" i="35" s="1"/>
  <c r="D17" i="35"/>
  <c r="E17" i="35" s="1"/>
  <c r="D16" i="35"/>
  <c r="E16" i="35" s="1"/>
  <c r="D15" i="35"/>
  <c r="E15" i="35" s="1"/>
  <c r="D14" i="35"/>
  <c r="E14" i="35" s="1"/>
  <c r="D13" i="35"/>
  <c r="E13" i="35" s="1"/>
  <c r="D12" i="35"/>
  <c r="E12" i="35" s="1"/>
  <c r="D11" i="35"/>
  <c r="E11" i="35" s="1"/>
  <c r="D10" i="35"/>
  <c r="E10" i="35" s="1"/>
  <c r="D9" i="35"/>
  <c r="E9" i="35" s="1"/>
  <c r="D8" i="35"/>
  <c r="E8" i="35" s="1"/>
  <c r="D71" i="34"/>
  <c r="E71" i="34" s="1"/>
  <c r="D70" i="34"/>
  <c r="E70" i="34" s="1"/>
  <c r="D69" i="34"/>
  <c r="E69" i="34" s="1"/>
  <c r="D68" i="34"/>
  <c r="E68" i="34" s="1"/>
  <c r="D67" i="34"/>
  <c r="E67" i="34" s="1"/>
  <c r="D66" i="34"/>
  <c r="E66" i="34" s="1"/>
  <c r="D65" i="34"/>
  <c r="E65" i="34" s="1"/>
  <c r="D64" i="34"/>
  <c r="E64" i="34" s="1"/>
  <c r="D63" i="34"/>
  <c r="E63" i="34" s="1"/>
  <c r="D62" i="34"/>
  <c r="E62" i="34" s="1"/>
  <c r="D61" i="34"/>
  <c r="E61" i="34" s="1"/>
  <c r="D60" i="34"/>
  <c r="E60" i="34" s="1"/>
  <c r="D59" i="34"/>
  <c r="E59" i="34" s="1"/>
  <c r="D58" i="34"/>
  <c r="E58" i="34" s="1"/>
  <c r="D57" i="34"/>
  <c r="E57" i="34" s="1"/>
  <c r="D56" i="34"/>
  <c r="E56" i="34" s="1"/>
  <c r="D55" i="34"/>
  <c r="E55" i="34" s="1"/>
  <c r="D54" i="34"/>
  <c r="E54" i="34" s="1"/>
  <c r="D53" i="34"/>
  <c r="E53" i="34" s="1"/>
  <c r="D52" i="34"/>
  <c r="E52" i="34" s="1"/>
  <c r="D51" i="34"/>
  <c r="E51" i="34" s="1"/>
  <c r="D50" i="34"/>
  <c r="E50" i="34" s="1"/>
  <c r="D49" i="34"/>
  <c r="D48" i="34"/>
  <c r="E48" i="34" s="1"/>
  <c r="D47" i="34"/>
  <c r="E47" i="34" s="1"/>
  <c r="D46" i="34"/>
  <c r="E46" i="34" s="1"/>
  <c r="D45" i="34"/>
  <c r="E45" i="34" s="1"/>
  <c r="D43" i="34"/>
  <c r="E43" i="34" s="1"/>
  <c r="D42" i="34"/>
  <c r="E42" i="34" s="1"/>
  <c r="D37" i="34"/>
  <c r="E37" i="34" s="1"/>
  <c r="D36" i="34"/>
  <c r="E36" i="34" s="1"/>
  <c r="D35" i="34"/>
  <c r="E35" i="34" s="1"/>
  <c r="D34" i="34"/>
  <c r="E34" i="34" s="1"/>
  <c r="D33" i="34"/>
  <c r="E33" i="34" s="1"/>
  <c r="D32" i="34"/>
  <c r="E32" i="34" s="1"/>
  <c r="D31" i="34"/>
  <c r="E31" i="34" s="1"/>
  <c r="D30" i="34"/>
  <c r="E30" i="34" s="1"/>
  <c r="D29" i="34"/>
  <c r="E29" i="34" s="1"/>
  <c r="D28" i="34"/>
  <c r="E28" i="34" s="1"/>
  <c r="D27" i="34"/>
  <c r="E27" i="34" s="1"/>
  <c r="D26" i="34"/>
  <c r="E26" i="34" s="1"/>
  <c r="D25" i="34"/>
  <c r="E25" i="34" s="1"/>
  <c r="D24" i="34"/>
  <c r="E24" i="34" s="1"/>
  <c r="D23" i="34"/>
  <c r="E23" i="34" s="1"/>
  <c r="D12" i="34"/>
  <c r="E12" i="34" s="1"/>
  <c r="D11" i="34"/>
  <c r="E11" i="34" s="1"/>
  <c r="D10" i="34"/>
  <c r="E10" i="34" s="1"/>
  <c r="D9" i="34"/>
  <c r="E9" i="34" s="1"/>
  <c r="D8" i="34"/>
  <c r="E8" i="34" s="1"/>
  <c r="D71" i="7" l="1"/>
  <c r="E71" i="7" s="1"/>
  <c r="D70" i="7"/>
  <c r="E70" i="7" s="1"/>
  <c r="D69" i="7"/>
  <c r="E69" i="7" s="1"/>
  <c r="D68" i="7"/>
  <c r="E68" i="7" s="1"/>
  <c r="D67" i="7"/>
  <c r="E67" i="7" s="1"/>
  <c r="D66" i="7"/>
  <c r="E66" i="7" s="1"/>
  <c r="D65" i="7"/>
  <c r="E65" i="7" s="1"/>
  <c r="D64" i="7"/>
  <c r="E64" i="7" s="1"/>
  <c r="D63" i="7"/>
  <c r="E63" i="7" s="1"/>
  <c r="D62" i="7"/>
  <c r="E62" i="7" s="1"/>
  <c r="D61" i="7"/>
  <c r="E61" i="7" s="1"/>
  <c r="D60" i="7"/>
  <c r="E60" i="7" s="1"/>
  <c r="D59" i="7"/>
  <c r="E59" i="7" s="1"/>
  <c r="D58" i="7"/>
  <c r="E58" i="7" s="1"/>
  <c r="D57" i="7"/>
  <c r="E57" i="7" s="1"/>
  <c r="D56" i="7"/>
  <c r="E56" i="7" s="1"/>
  <c r="D55" i="7"/>
  <c r="E55" i="7" s="1"/>
  <c r="D54" i="7"/>
  <c r="E54" i="7" s="1"/>
  <c r="D53" i="7"/>
  <c r="E53" i="7" s="1"/>
  <c r="D52" i="7"/>
  <c r="E52" i="7" s="1"/>
  <c r="D51" i="7"/>
  <c r="E51" i="7" s="1"/>
  <c r="D50" i="7"/>
  <c r="E50" i="7" s="1"/>
  <c r="E23" i="7"/>
  <c r="D24" i="7"/>
  <c r="E24" i="7" s="1"/>
  <c r="D25" i="7"/>
  <c r="E25" i="7" s="1"/>
  <c r="D26" i="7"/>
  <c r="E26" i="7" s="1"/>
  <c r="D27" i="7"/>
  <c r="E27" i="7" s="1"/>
  <c r="D28" i="7"/>
  <c r="E28" i="7" s="1"/>
  <c r="D29" i="7"/>
  <c r="E29" i="7" s="1"/>
  <c r="D30" i="7"/>
  <c r="E30" i="7" s="1"/>
  <c r="D31" i="7"/>
  <c r="E31" i="7" s="1"/>
  <c r="D32" i="7"/>
  <c r="E32" i="7" s="1"/>
  <c r="D33" i="7"/>
  <c r="E33" i="7" s="1"/>
  <c r="D34" i="7"/>
  <c r="E34" i="7" s="1"/>
  <c r="D35" i="7"/>
  <c r="E35" i="7" s="1"/>
  <c r="D36" i="7"/>
  <c r="E36" i="7" s="1"/>
  <c r="D37" i="7"/>
  <c r="E37" i="7" s="1"/>
  <c r="D15" i="7" l="1"/>
  <c r="E15" i="7" s="1"/>
  <c r="D8" i="7"/>
  <c r="E8" i="7" s="1"/>
  <c r="D16" i="7"/>
  <c r="E16" i="7" s="1"/>
  <c r="D9" i="7"/>
  <c r="E9" i="7" s="1"/>
  <c r="D17" i="7"/>
  <c r="E17" i="7" s="1"/>
  <c r="D10" i="7"/>
  <c r="E10" i="7" s="1"/>
  <c r="D18" i="7"/>
  <c r="E18" i="7" s="1"/>
  <c r="D11" i="7"/>
  <c r="E11" i="7" s="1"/>
  <c r="D12" i="7"/>
  <c r="E12" i="7" s="1"/>
  <c r="D13" i="7"/>
  <c r="E13" i="7" s="1"/>
  <c r="D21" i="7"/>
  <c r="E21" i="7" s="1"/>
  <c r="D19" i="7"/>
  <c r="E19" i="7" s="1"/>
  <c r="D20" i="7"/>
  <c r="E20" i="7" s="1"/>
  <c r="D14" i="7"/>
  <c r="E14" i="7" s="1"/>
  <c r="D22" i="7"/>
  <c r="E22" i="7" s="1"/>
  <c r="D43" i="7"/>
  <c r="E43" i="7" s="1"/>
  <c r="D45" i="7"/>
  <c r="E45" i="7" s="1"/>
  <c r="D46" i="7"/>
  <c r="E46" i="7" s="1"/>
  <c r="D47" i="7"/>
  <c r="E47" i="7" s="1"/>
  <c r="E42" i="7"/>
  <c r="D44" i="7"/>
  <c r="E44" i="7" s="1"/>
  <c r="D48" i="7"/>
  <c r="E48" i="7" s="1"/>
  <c r="D49" i="7"/>
  <c r="E49" i="7" s="1"/>
  <c r="D22" i="34"/>
  <c r="E22" i="34" s="1"/>
  <c r="D19" i="34"/>
  <c r="E19" i="34" s="1"/>
  <c r="D14" i="34"/>
  <c r="E14" i="34" s="1"/>
  <c r="D20" i="34"/>
  <c r="E20" i="34" s="1"/>
  <c r="D13" i="34"/>
  <c r="E13" i="34" s="1"/>
  <c r="D17" i="34"/>
  <c r="E17" i="34" s="1"/>
  <c r="D21" i="34"/>
  <c r="E21" i="34" s="1"/>
  <c r="D15" i="34"/>
  <c r="E15" i="34" s="1"/>
  <c r="D18" i="34"/>
  <c r="E18" i="34" s="1"/>
  <c r="D16" i="34"/>
  <c r="E16" i="34" s="1"/>
  <c r="D14" i="36"/>
  <c r="E14" i="36" s="1"/>
  <c r="D16" i="36"/>
  <c r="E16" i="36" s="1"/>
  <c r="D9" i="36"/>
  <c r="E9" i="36" s="1"/>
  <c r="D17" i="36"/>
  <c r="E17" i="36" s="1"/>
  <c r="D8" i="36"/>
  <c r="E8" i="36" s="1"/>
  <c r="D10" i="36"/>
  <c r="E10" i="36" s="1"/>
  <c r="D18" i="36"/>
  <c r="E18" i="36" s="1"/>
  <c r="D11" i="36"/>
  <c r="E11" i="36" s="1"/>
  <c r="D19" i="36"/>
  <c r="E19" i="36" s="1"/>
  <c r="D12" i="36"/>
  <c r="E12" i="36" s="1"/>
  <c r="D20" i="36"/>
  <c r="E20" i="36" s="1"/>
  <c r="D15" i="36"/>
  <c r="E15" i="36" s="1"/>
  <c r="D13" i="36"/>
  <c r="E13" i="36" s="1"/>
  <c r="D21" i="36"/>
  <c r="E21" i="36" s="1"/>
  <c r="D8" i="47"/>
  <c r="E8" i="47" s="1"/>
  <c r="D16" i="47"/>
  <c r="E16" i="47" s="1"/>
  <c r="D9" i="47"/>
  <c r="E9" i="47" s="1"/>
  <c r="D17" i="47"/>
  <c r="E17" i="47" s="1"/>
  <c r="D10" i="47"/>
  <c r="E10" i="47" s="1"/>
  <c r="D18" i="47"/>
  <c r="E18" i="47" s="1"/>
  <c r="D11" i="47"/>
  <c r="E11" i="47" s="1"/>
  <c r="D19" i="47"/>
  <c r="E19" i="47" s="1"/>
  <c r="D12" i="47"/>
  <c r="E12" i="47" s="1"/>
  <c r="D20" i="47"/>
  <c r="E20" i="47" s="1"/>
  <c r="D21" i="47"/>
  <c r="E21" i="47" s="1"/>
  <c r="D14" i="47"/>
  <c r="E14" i="47" s="1"/>
  <c r="D22" i="47"/>
  <c r="E22" i="47" s="1"/>
  <c r="D13" i="47"/>
  <c r="E13" i="47" s="1"/>
  <c r="D15" i="47"/>
  <c r="E15" i="47" s="1"/>
  <c r="D23" i="47"/>
  <c r="E23" i="47" s="1"/>
</calcChain>
</file>

<file path=xl/sharedStrings.xml><?xml version="1.0" encoding="utf-8"?>
<sst xmlns="http://schemas.openxmlformats.org/spreadsheetml/2006/main" count="6834" uniqueCount="1018">
  <si>
    <t>PROYECTO:</t>
  </si>
  <si>
    <t>DIA</t>
  </si>
  <si>
    <t>RUT</t>
  </si>
  <si>
    <t>CARGO</t>
  </si>
  <si>
    <t xml:space="preserve">MAQUINA </t>
  </si>
  <si>
    <t>ESCALA</t>
  </si>
  <si>
    <t>METROS</t>
  </si>
  <si>
    <t>PERFORISTA</t>
  </si>
  <si>
    <t>11934921-4</t>
  </si>
  <si>
    <t>44599981-4</t>
  </si>
  <si>
    <t>740-10</t>
  </si>
  <si>
    <t>17753119-7</t>
  </si>
  <si>
    <t>SUPERVISOR DE OPERACIONES</t>
  </si>
  <si>
    <t>18184052-8</t>
  </si>
  <si>
    <t>17580584-2</t>
  </si>
  <si>
    <t>740-3</t>
  </si>
  <si>
    <t>19753292-0</t>
  </si>
  <si>
    <t>18403269-4</t>
  </si>
  <si>
    <t>15742260-K</t>
  </si>
  <si>
    <t>15197539-9</t>
  </si>
  <si>
    <t>17721340-3</t>
  </si>
  <si>
    <t>44601894-9</t>
  </si>
  <si>
    <t>16053860-0</t>
  </si>
  <si>
    <t>15037843-5</t>
  </si>
  <si>
    <t>16755649-3</t>
  </si>
  <si>
    <t>14016356-2</t>
  </si>
  <si>
    <t>16491212-4</t>
  </si>
  <si>
    <t>14400090-0</t>
  </si>
  <si>
    <t>18520328-K</t>
  </si>
  <si>
    <t>16892085-7</t>
  </si>
  <si>
    <t>14090653-0</t>
  </si>
  <si>
    <t>20600531-9</t>
  </si>
  <si>
    <t>19506189-0</t>
  </si>
  <si>
    <t>16005822-6</t>
  </si>
  <si>
    <t>16290708-5</t>
  </si>
  <si>
    <t>18287449-3</t>
  </si>
  <si>
    <t>12363919-7</t>
  </si>
  <si>
    <t>16684239-5</t>
  </si>
  <si>
    <t>18751573-4</t>
  </si>
  <si>
    <t>12218170-7</t>
  </si>
  <si>
    <t>17388599-7</t>
  </si>
  <si>
    <t>17553475-K</t>
  </si>
  <si>
    <t>20774155-8</t>
  </si>
  <si>
    <t>15969452-6</t>
  </si>
  <si>
    <t>20976135-1</t>
  </si>
  <si>
    <t>AYUDANTE DE PERFORISTA</t>
  </si>
  <si>
    <t>ADMINISTRATIVO DE FAENA</t>
  </si>
  <si>
    <t>BODEGUERO</t>
  </si>
  <si>
    <t>DANIEL ANDRES VENEGAS CARRASCO</t>
  </si>
  <si>
    <t>SEBASTIAN ALEJANDRO ARANEDA MILLAR</t>
  </si>
  <si>
    <t>DENYS SAUL VERGARA TOCAS</t>
  </si>
  <si>
    <t>TURNO DIA - (A o B según fuera el caso)</t>
  </si>
  <si>
    <t>TURNO NOCHE - (A o B según fuera el caso)</t>
  </si>
  <si>
    <t>OBSERVACIONES</t>
  </si>
  <si>
    <t>CONTADOR</t>
  </si>
  <si>
    <t>CHOFER</t>
  </si>
  <si>
    <t>SOLDADOR</t>
  </si>
  <si>
    <t>ASISTENTE DE RECURSOS HUMANOS</t>
  </si>
  <si>
    <t>GERENTE DE HSEC</t>
  </si>
  <si>
    <t>PREVENCIONISTA DE RIESGOS</t>
  </si>
  <si>
    <t>SUPERINTENDENTE DE RECURSOS HUMANOS</t>
  </si>
  <si>
    <t>PLANIFICADOR</t>
  </si>
  <si>
    <t>COORDINADORA DE RECURSOS HUMANOS</t>
  </si>
  <si>
    <t>PROFESORA DE IDIOMAS</t>
  </si>
  <si>
    <t>JEFE DE FAENA</t>
  </si>
  <si>
    <t>AYUDANTE DE PINTOR</t>
  </si>
  <si>
    <t>CONTROLLER FINANCIERO Y COMERCIAL</t>
  </si>
  <si>
    <t>ADMINISTRADOR DE FLOTA</t>
  </si>
  <si>
    <t>RECEPCIONISTA</t>
  </si>
  <si>
    <t>ANALISTA CONTABLE</t>
  </si>
  <si>
    <t>INSTRUCTOR DE OPERACIONES</t>
  </si>
  <si>
    <t>COORDINADORA ADMINISTRATIVA</t>
  </si>
  <si>
    <t>CONTROLADORA DE CUENTAS EXPERTA</t>
  </si>
  <si>
    <t>PERFORISTA TRAINING</t>
  </si>
  <si>
    <t>CHOFER DE SERVICIOS</t>
  </si>
  <si>
    <t>GERENTE GENERAL</t>
  </si>
  <si>
    <t>SUPERVISOR DE SOLDADORES</t>
  </si>
  <si>
    <t>ADMINISTRADOR DE CONTRATOS</t>
  </si>
  <si>
    <t>JEFE DE TALLER</t>
  </si>
  <si>
    <t>ELECTROMECÁNICO</t>
  </si>
  <si>
    <t>GERENTE DE OPERACIONES</t>
  </si>
  <si>
    <t>SUPERINTENDENTE DE OPERACIONES</t>
  </si>
  <si>
    <t>INGENIERO DE PROYECTOS</t>
  </si>
  <si>
    <t>ANALISTA RECURSOS HUMANOS</t>
  </si>
  <si>
    <t>ENCARGADA DE ADMINISTRACIÓN Y CONTABILIDAD</t>
  </si>
  <si>
    <t>ADMINISTRATIVO AVANZADO</t>
  </si>
  <si>
    <t>COORDINADORA DE ACREDITACIÓN Y OPERACIÓN</t>
  </si>
  <si>
    <t>ASISTENTE DE BODEGA</t>
  </si>
  <si>
    <t>ADMINISTRATIVO SENIOR</t>
  </si>
  <si>
    <t>ADMINISTRADOR DE CONTRATO</t>
  </si>
  <si>
    <t>ALBERTO PATRICIO CALDERON CALDERON</t>
  </si>
  <si>
    <t>ALBERTO SEGUNDO CALLPA NUÑEZ</t>
  </si>
  <si>
    <t>ALDWIN CALAMBA REBUYA</t>
  </si>
  <si>
    <t>ALEJANDRO ALBERTO CAMPILLAY RUIZ</t>
  </si>
  <si>
    <t>ALEJANDRO ANTONIO ZEPEDA CHACC</t>
  </si>
  <si>
    <t>ALEJANDRO MIGUEL APABLAZA GUZMAN</t>
  </si>
  <si>
    <t>ALEX EDUARDO TABILO RIVERA</t>
  </si>
  <si>
    <t>ALEXIS RUBEN ARAYA JULIO</t>
  </si>
  <si>
    <t>ALEX ROBINSON VEJAR LOPEZ</t>
  </si>
  <si>
    <t>ALISSON AYLEEN VILLAGRA CABALLERO</t>
  </si>
  <si>
    <t>ALONSO EDUARDO SANCHEZ PINOCHET</t>
  </si>
  <si>
    <t>ALTANKHUNDAGA SUGLEGMAA .</t>
  </si>
  <si>
    <t>ALVARO ANDRES CONTRERAS MUNIZAGA</t>
  </si>
  <si>
    <t>ALVARO IGNACIO GODOY BRUNA</t>
  </si>
  <si>
    <t>ANDRES ALEJANDRO VALENCIA CAMPOS</t>
  </si>
  <si>
    <t>ANDRES MISAEL CARVAJAL CAMUS</t>
  </si>
  <si>
    <t>ANDRES ORLANDO VELIZ OLIVARES</t>
  </si>
  <si>
    <t>ANDRES SEBASTIAN CASTILLO ENCINA</t>
  </si>
  <si>
    <t>ANDREW JAMES WILSON .</t>
  </si>
  <si>
    <t>ANGELO GIOVANNI BIZAMA ORELLANA</t>
  </si>
  <si>
    <t>ANGELO IGNACIO GOMEZ PIZARRO</t>
  </si>
  <si>
    <t>ANGELO PATRICIO RIVERA HERRERA</t>
  </si>
  <si>
    <t>ANGELO SEBASTIAN ROJAS GARCIA</t>
  </si>
  <si>
    <t>ANTONIO ALEJANDRO SEPULVEDA QUIROZ</t>
  </si>
  <si>
    <t>ANTONIO HIPOLITO OTINIANO RUIZ</t>
  </si>
  <si>
    <t>ARIEL ANDRES SILVA RIQUELME</t>
  </si>
  <si>
    <t>ARIEL BENEDICTO LISBOA CASTRO</t>
  </si>
  <si>
    <t>ARIUNBOLD TSOGKHORKHOI .</t>
  </si>
  <si>
    <t>ASTRY ROCIO TAPIA ALLENDES</t>
  </si>
  <si>
    <t>BENIGNO EDUARDO PAEZ MENESES</t>
  </si>
  <si>
    <t>BENJAMIN EDUARDO ANJEL ZAMBRA</t>
  </si>
  <si>
    <t>BENJAMIN JOSEFATT ESPINOZA URIBE</t>
  </si>
  <si>
    <t>BENJAMIN NICOLAS BEORIZA BRICEÑO</t>
  </si>
  <si>
    <t>BERNARDO ELIAS BARRAZA ROJAS</t>
  </si>
  <si>
    <t>BORIS ALEXIS NOVOA TORO</t>
  </si>
  <si>
    <t>BORIS JULIAN JIMENEZ DIAZ</t>
  </si>
  <si>
    <t>BRENDA LIZETH LEON AVELLA</t>
  </si>
  <si>
    <t>BRIAN ANDRES MUNIZAGA GODOY</t>
  </si>
  <si>
    <t>BRIAN ANTONIO CAMPILLAY MENA</t>
  </si>
  <si>
    <t>BYAMBATSEREN TSERENDAVAA .</t>
  </si>
  <si>
    <t>CAMILA FERNANDA ALCERRECA ACEVEDO</t>
  </si>
  <si>
    <t>CAMILO FELIPE CRUZ MOLINA</t>
  </si>
  <si>
    <t>CARLA MARINA ARCE CONTRERAS</t>
  </si>
  <si>
    <t>CARLOS ALBERTO PIZARRO PIZARRO</t>
  </si>
  <si>
    <t>CARLOS ALBERTO RAMOS VELASQUEZ</t>
  </si>
  <si>
    <t>CARLOS ANDRES CORNEJO OSORIO</t>
  </si>
  <si>
    <t>CARLOS ANDRES VASQUEZ ESQUIVEL</t>
  </si>
  <si>
    <t>CARLOS ANDRES ZAPATA SEGUEL</t>
  </si>
  <si>
    <t>CARLOS ANTONIO OLIVARES GALLEGUILLOS</t>
  </si>
  <si>
    <t>CARLOS EDUARDO RODRIGUEZ HERNANDEZ</t>
  </si>
  <si>
    <t>CARLOS JAVIER ALVAREZ RIVERA</t>
  </si>
  <si>
    <t>CARLOS PATRICIO SANTELICES FUENTES</t>
  </si>
  <si>
    <t>CARLOS ROBINSON VALDES PAEZ</t>
  </si>
  <si>
    <t>CATALINA PAZ CARTAGENA YANES</t>
  </si>
  <si>
    <t>CELSO ANDRES ORREGO OLIVARES</t>
  </si>
  <si>
    <t>CESAR AGUSTIN RIVERA ROJAS</t>
  </si>
  <si>
    <t>CHRISTIAN DARIEM PIZARRO MUÑOZ</t>
  </si>
  <si>
    <t>CHRISTOFER HUESLY OLIVARES FERNANDEZ</t>
  </si>
  <si>
    <t>CHRISTOPHER FELIPE CASTILLO COLLARTE</t>
  </si>
  <si>
    <t>CLAUDIA ALEJANDRA TORRES ROJAS</t>
  </si>
  <si>
    <t>CLAUDIO ALEXI ELIZALDE OLAVARRIA</t>
  </si>
  <si>
    <t>CLAUDIO ANDRES MORALES CASTILLO</t>
  </si>
  <si>
    <t>CLAUDIO ANDRES FERNANDEZ CASTILLO</t>
  </si>
  <si>
    <t>CLAUDIO NICOLAS CORTES GUEVARA</t>
  </si>
  <si>
    <t>CRISTIAN ALBERTO MARIN CORTES</t>
  </si>
  <si>
    <t>CRISTIAN ALEJANDRO TOLEDO GONZALEZ</t>
  </si>
  <si>
    <t>CRISTIAN ALONSO SEGOVIA MOYA</t>
  </si>
  <si>
    <t>CRISTIAN EDUARDO CARVAJAL JAIME</t>
  </si>
  <si>
    <t>CRISTIAN EDUARDO VILLARROEL VASQUEZ</t>
  </si>
  <si>
    <t>CRISTIAN ESTEBAN DIAZ GUAJARDO</t>
  </si>
  <si>
    <t>CRISTIAN JOSE ANTONIO BRAVO RIVERA</t>
  </si>
  <si>
    <t>CRISTIAN NICOLAS SAMBRA TORRES</t>
  </si>
  <si>
    <t>CRISTIAN REINALDO VERDEJO CISTERNAS</t>
  </si>
  <si>
    <t>CRISTIAN ROGELIO PASTEN VERGARA</t>
  </si>
  <si>
    <t>CRISTOBAL ALEXIC SANDERSON SALCEDO</t>
  </si>
  <si>
    <t>CRISTOFER JESUS MALDONADO MONDACA</t>
  </si>
  <si>
    <t>DAMIAN NICOLAS ROMERO NUÑEZ</t>
  </si>
  <si>
    <t>DANIELA DE LOS ANGELES ROSA CORTES</t>
  </si>
  <si>
    <t>DANIEL ALEJANDRO YAÑEZ VARAS</t>
  </si>
  <si>
    <t>DANIEL ANDRES ANDRADE AGUILAR</t>
  </si>
  <si>
    <t>DANIEL ANDRES MARTINEZ GONZALEZ</t>
  </si>
  <si>
    <t>DANIEL ARMANDO LINDERMANN LINDERMANN</t>
  </si>
  <si>
    <t>DANIEL DE JESUS GARRIDO VILLANUEVA</t>
  </si>
  <si>
    <t>DANIEL EDUARDO JERALDO CORTES</t>
  </si>
  <si>
    <t>DANIEL OSVALDO ARAYA REYES</t>
  </si>
  <si>
    <t>DANIEL SEBASTIAN ARAYA GALLARDO</t>
  </si>
  <si>
    <t>DARIO EDUARDO MARCHANT ABALOS</t>
  </si>
  <si>
    <t>DAVID AUGUSTO MARSHALL FLORES</t>
  </si>
  <si>
    <t>DAVID JESUS CASSRA ORELLANA</t>
  </si>
  <si>
    <t>DAVID PATRICIO MOLINA VARAS</t>
  </si>
  <si>
    <t>DAYNE JEFFERY PASSMORE .</t>
  </si>
  <si>
    <t>DAYNNA DAHYIN SARAY HERNANDEZ HERNANDEZ</t>
  </si>
  <si>
    <t>DIANA CATALINA ANGEL MUNITA</t>
  </si>
  <si>
    <t>DIEGO ALEJANDRO ROJAS JOPIA</t>
  </si>
  <si>
    <t>DIEGO ANDRES DIAZ GALLEGUILLOS</t>
  </si>
  <si>
    <t>DIEGO ANDRES ROJAS DONAIRE</t>
  </si>
  <si>
    <t>DIEGO BRANCO BARRAZA CHAVEZ</t>
  </si>
  <si>
    <t>DIEGO  FELIPE GONZALEZ CASTILLO</t>
  </si>
  <si>
    <t>DIEGO NICOLAS GONZALEZ OLIVARES</t>
  </si>
  <si>
    <t>DUBAN ANDRES CONTRERAS BORDONES</t>
  </si>
  <si>
    <t>EDGARDO FABIAN GALVEZ CORDOVA</t>
  </si>
  <si>
    <t>EDINSON RODRIGO GONZALEZ CORTINEZ</t>
  </si>
  <si>
    <t>EDUARDO ALEXIS GONZALEZ MORALES</t>
  </si>
  <si>
    <t>EDUARDO ANTONIO CASTILLO VALENZUELA</t>
  </si>
  <si>
    <t>EDUARDO HERNAN HUNTER GUTIERREZ</t>
  </si>
  <si>
    <t>ELIAS NICOLAS CORTEZ CORTEZ</t>
  </si>
  <si>
    <t>ELMER RISCO RAMOS</t>
  </si>
  <si>
    <t>EMERSON GIOVANNY DONAIRE VADULLI</t>
  </si>
  <si>
    <t>EMIL EDGARDO VARGAS BORDONES</t>
  </si>
  <si>
    <t>EMILIO JOSE LEIVA PALMA</t>
  </si>
  <si>
    <t>ENKHZAYA GANBAATAR .</t>
  </si>
  <si>
    <t>ENRIQUE ALFONSO ROJAS MUÑOZ</t>
  </si>
  <si>
    <t>ENRIQUE ANTONIO CORTES SANTANA</t>
  </si>
  <si>
    <t>ERIC ALFONSO GALLEGUILLOS DIAZ</t>
  </si>
  <si>
    <t>ERIC LEONARDO FRIZ CASTRO</t>
  </si>
  <si>
    <t>ERNESTO HUAMANI HUAMAN</t>
  </si>
  <si>
    <t>ERNESTO ALIRO ZEPEDA SOTO</t>
  </si>
  <si>
    <t>ESLEMAN GONZALO MOHAMED MOHAMED</t>
  </si>
  <si>
    <t>ESTEBAN DAGOBERTO LOPEZ BARRIOS</t>
  </si>
  <si>
    <t>ESTEBAN ELIUT GONZALEZ JAQUE</t>
  </si>
  <si>
    <t>ESTEBAN RODRIGO DIAZ LILLO</t>
  </si>
  <si>
    <t>ESTEFANIA CONSTANZA NAETER QUIROZ</t>
  </si>
  <si>
    <t>FABIAN ANDRES CORTES CORTES</t>
  </si>
  <si>
    <t>FABIAN PATRICIO CABRERA GODOY</t>
  </si>
  <si>
    <t>FABIAN SEGUNDO ALVARADO MUÑOZ</t>
  </si>
  <si>
    <t>FANCY PILAR RIVERA VARGAS</t>
  </si>
  <si>
    <t>FEDERICO ARON OLIVARES OLIVARES</t>
  </si>
  <si>
    <t>FELIPE ANDRES PASTEN PIZARRO</t>
  </si>
  <si>
    <t>FELIPE ANDRES BOLBARAN ROJAS</t>
  </si>
  <si>
    <t>FELIPE DAVID SAAVEDRA CAMPOS</t>
  </si>
  <si>
    <t>FELIPE IVAN LUIS ZAMBRA GONZALEZ</t>
  </si>
  <si>
    <t>FELIX ALEJANDRO MERY ROBLEDO</t>
  </si>
  <si>
    <t>FELIX JOEL CASTILLO VALDIVIA</t>
  </si>
  <si>
    <t>FERNANDO ANDRES ARDILES PISAYA</t>
  </si>
  <si>
    <t>FRANCISCO ALEJANDRO ARAYA BARRAZA</t>
  </si>
  <si>
    <t>FRANCISCO JAVIER PICON ROJAS</t>
  </si>
  <si>
    <t>FRANCISCO JAVIER NAVARRO ESPINOZA</t>
  </si>
  <si>
    <t>FRANCISCO JAVIER LEIVA LEIVA</t>
  </si>
  <si>
    <t>FRANCISCO JAVIER ROJAS MARTINEZ</t>
  </si>
  <si>
    <t>FRANCISCO PEDRO BORNAZ DELGADO</t>
  </si>
  <si>
    <t>FRANCISCO REYNALDO DIAZ GUERRERO</t>
  </si>
  <si>
    <t>FRANCO HERNAN OLIVA CASTILLO</t>
  </si>
  <si>
    <t>FREDDY IGNACIO THOMPSON DIAZ</t>
  </si>
  <si>
    <t>GABRIEL ALEJANDRO GALLEGUILLOS ARANCIBIA</t>
  </si>
  <si>
    <t>GANTSOOJ KHISHIGBAYAR .</t>
  </si>
  <si>
    <t>GERARDO ANTONIO GAETE PAZ</t>
  </si>
  <si>
    <t>GERSON ANDRES SANDOVAL SEPULVEDA</t>
  </si>
  <si>
    <t>GLORIA GABRIELA LA HOZ SANCHEZ</t>
  </si>
  <si>
    <t>GONZALO EMILIO DIAZ ALVAREZ</t>
  </si>
  <si>
    <t>GONZALO FELIPE GALVEZ RIVERA</t>
  </si>
  <si>
    <t>GUILLERMO ALFREDO CASTRO ZUÑIGA</t>
  </si>
  <si>
    <t>GUILLERMO ANDRES NUÑEZ GALVEZ</t>
  </si>
  <si>
    <t>GUMERCINDO DEL ROSARIO PASTEN GUERRERO</t>
  </si>
  <si>
    <t>HANS YERKO MARQUEZ MUÑOZ</t>
  </si>
  <si>
    <t>HECTOR HUGO SEPULVEDA GAVILAN</t>
  </si>
  <si>
    <t>HECTOR ORLANDO RAMOS ROJAS</t>
  </si>
  <si>
    <t>HELMUTH ALVARO CIFUENTES ROCHA</t>
  </si>
  <si>
    <t>HUGO ITALO NUÑEZ PENDOLA</t>
  </si>
  <si>
    <t>IBAR ALEXIS BORQUEZ CARVAJAL</t>
  </si>
  <si>
    <t>IGNACIO ALEJANDRO ROBLES BARRIOS</t>
  </si>
  <si>
    <t>IGNACIO ANDRES BUENO TERRAZAS</t>
  </si>
  <si>
    <t>ISRAEL AARÓN VERGARA ELGUETA</t>
  </si>
  <si>
    <t>IVAN ALEJANDRO SAN FRANCISCO ARDILES</t>
  </si>
  <si>
    <t>IVAN ESTEBAN LOPEZ GARCIA</t>
  </si>
  <si>
    <t>JAIME ERNESTO ESPINOZA ALCAGAYA</t>
  </si>
  <si>
    <t>JAIME MARCELO ESCOBAR CORTES</t>
  </si>
  <si>
    <t>JAIME NICOLAS CARVAJAL ALVARADO</t>
  </si>
  <si>
    <t>JAVIERA ALEJANDRA VALDERRAMA BRAVO</t>
  </si>
  <si>
    <t>JAVIER ALEXIS ALVAREZ LOPEZ</t>
  </si>
  <si>
    <t>JAVIER AURELIO QUIROZ APABLAZA</t>
  </si>
  <si>
    <t>JAVIER EDUARDO CATALAN ESPINOZA</t>
  </si>
  <si>
    <t>JEAN CHARLES CERDA ORREGO</t>
  </si>
  <si>
    <t>JEAN MAXIMILIANO BAEZA ROJAS</t>
  </si>
  <si>
    <t>JEAN PIERRE WACHTENDORFF FERNANDEZ</t>
  </si>
  <si>
    <t>JENNIFER NAM-ON LAGBONA</t>
  </si>
  <si>
    <t>JENNIFER ALEJANDRA SOTO FLORES</t>
  </si>
  <si>
    <t>JILBERTO FRANCISCO ROJAS FERNANDEZ</t>
  </si>
  <si>
    <t>JITENDRA KHATRI .</t>
  </si>
  <si>
    <t>JOAQUIN IGNACIO TORO ALCAYAGA</t>
  </si>
  <si>
    <t>JOEL ANDRES CARO GALLARDO</t>
  </si>
  <si>
    <t>JOHN ALEXIS BRICEÑO HONORES</t>
  </si>
  <si>
    <t>JOHN BYRON VASQUEZ CARROZA</t>
  </si>
  <si>
    <t>JONATHAN ALEJANDRO BERENGUELA RIVEROS</t>
  </si>
  <si>
    <t>JONATHAN ALEXANDER OLIVARES NATES</t>
  </si>
  <si>
    <t>JONATHAN ANDRES GALLARDO MORGADO</t>
  </si>
  <si>
    <t>JONATHAN ANDRES ARDILES NUÑEZ</t>
  </si>
  <si>
    <t>JONATHAN FERNANDO BARRIOS GODOY</t>
  </si>
  <si>
    <t>JONATHAN SEBASTIAN CAYO CARVAJAL</t>
  </si>
  <si>
    <t>JORGE ALEXIS CORTES PAZ</t>
  </si>
  <si>
    <t>JORGE ANDRE GUERRA CUBILLOS</t>
  </si>
  <si>
    <t>JORGE ANDRES LICANQUEO PEREZ</t>
  </si>
  <si>
    <t>JORGE ARMANDO TINOCO OSPINO</t>
  </si>
  <si>
    <t>JORGE ENRIQUE CEBALLOS JOFRE</t>
  </si>
  <si>
    <t>JORGE ENRIQUE MACIAS JIMENEZ</t>
  </si>
  <si>
    <t>JORGE ERIKSON DURAND RUIZ</t>
  </si>
  <si>
    <t>JORGE ESTEBAN SAAVEDRA MENA</t>
  </si>
  <si>
    <t>JORGE IVAN SOTO FARIÑA</t>
  </si>
  <si>
    <t>JOSE CRISTIAN BASTIAS PEREZ</t>
  </si>
  <si>
    <t>JOSE IGNACIO HERNANDEZ ARAYA</t>
  </si>
  <si>
    <t>JOSE IGNACIO ALVAREZ GUEVARA</t>
  </si>
  <si>
    <t>JOSE LEANDRO PARRA SARAVIA</t>
  </si>
  <si>
    <t>JOSÉ LEONARDO RODRIGUEZ ROBLES</t>
  </si>
  <si>
    <t>JOSE LUIS FLORES FLORES</t>
  </si>
  <si>
    <t>JOSE LUIS GALLARDO VERGARA</t>
  </si>
  <si>
    <t>JOSE LUIS EDUARDO VASQUEZ SILVA</t>
  </si>
  <si>
    <t>JOSE MANUEL CASTILLO GARCIA</t>
  </si>
  <si>
    <t>JOSE MAURICIO TORO ARAYA</t>
  </si>
  <si>
    <t>JOSE MIGUEL ARDILES NUÑEZ</t>
  </si>
  <si>
    <t>JOSHUA MANN .</t>
  </si>
  <si>
    <t>JUAN ALBERTO PIZARRO CONTRERAS</t>
  </si>
  <si>
    <t>JUAN ALEXIS AVILEZ MOLINA</t>
  </si>
  <si>
    <t>JUAN ANTONIO VEGA ESPINOZA</t>
  </si>
  <si>
    <t>JUAN CARLOS YAMPARA YAMPARA</t>
  </si>
  <si>
    <t>JUAN CARLOS MAURICIO ARAYA CAMPAÑA</t>
  </si>
  <si>
    <t>JUAN EDUARDO GONZALEZ ROMERO</t>
  </si>
  <si>
    <t>JUAN FELIPE SANHUEZA CARVAJAL</t>
  </si>
  <si>
    <t>JUAN FRANCISCO LAMAS HIDALGO</t>
  </si>
  <si>
    <t>JUAN IGNACIO CORTES GONZALEZ</t>
  </si>
  <si>
    <t>JUAN MAURICIO TABILO ARAYA</t>
  </si>
  <si>
    <t>JUAN PABLO PIZARRO VILLALOBOS</t>
  </si>
  <si>
    <t>JUAN PABLO MORALES CAMPUSANO</t>
  </si>
  <si>
    <t>JUAN PATRICIO BARRIOS GUZMAN</t>
  </si>
  <si>
    <t>JULIO ANDRES CISTERNAS ROJAS</t>
  </si>
  <si>
    <t>KAZUKI CASTRO HOHMANN</t>
  </si>
  <si>
    <t>KEVIN ALEXIS NEYRA CORTES</t>
  </si>
  <si>
    <t>KEVIN ESTEBAN VALENZUELA VALENZUELA</t>
  </si>
  <si>
    <t>KRISHNA STEFANIA SEGOVIA CUBILLOS</t>
  </si>
  <si>
    <t>LEANDRO RUBEN BOSSA ZAMORANO</t>
  </si>
  <si>
    <t>LEONARDO ANDRES MENESES ARREDONDO</t>
  </si>
  <si>
    <t>LEONARDO IVAN MUNDACA PEREZ</t>
  </si>
  <si>
    <t>LEONARDO PATRICIO GATICA CASTRO</t>
  </si>
  <si>
    <t>LEONEL EUGENIO ARANCIBIA BRUNA</t>
  </si>
  <si>
    <t>LEONEL GUILLERMO CAMPUSANO DUBO</t>
  </si>
  <si>
    <t>LINO ANDRES OLIVARES CARRILLO</t>
  </si>
  <si>
    <t>LUCAS ALBERTO ROJAS DIAZ</t>
  </si>
  <si>
    <t>LUIS ALBERT CHAMBLAS CARTE</t>
  </si>
  <si>
    <t>LUIS ALEXIS CARO SILVA</t>
  </si>
  <si>
    <t>LUIS ALFREDO MORENO RIOS</t>
  </si>
  <si>
    <t>LUIS DAVID LORCA SANCHEZ</t>
  </si>
  <si>
    <t>LUIS ENRIQUE CHAVEZ HUAMAN</t>
  </si>
  <si>
    <t>LUIS GERARDO LOPEZ OLAVE</t>
  </si>
  <si>
    <t>LUIS HUMBERTO PEÑA AHUMADA</t>
  </si>
  <si>
    <t>LUIS MARCELO CHAURA VOGT</t>
  </si>
  <si>
    <t>LUIS RENATO DE JESUS JIMENEZ VEGA</t>
  </si>
  <si>
    <t>MAIKOL MANUEL ANTONIO CORTES OLIVARES</t>
  </si>
  <si>
    <t>MANUEL ALEJANDRO LISAMBARTH CARABANTES</t>
  </si>
  <si>
    <t>MANUEL ALEJANDRO TILLERIA SAAVEDRA</t>
  </si>
  <si>
    <t>MANUEL ALEJANDRO ROJAS VEGA</t>
  </si>
  <si>
    <t>MANUEL ANDRES LISAMBARTH CARABANTES</t>
  </si>
  <si>
    <t>MANUEL ANTONIO ESCALONA VERA</t>
  </si>
  <si>
    <t>MANUEL ARNOLDO ALISTE OLIVARES</t>
  </si>
  <si>
    <t>MANUEL OMAR ZAPATA AQUINO</t>
  </si>
  <si>
    <t>MARCELO ALEJANDRO INZUNZA ALARCON</t>
  </si>
  <si>
    <t>MARCELO DAVID VASQUEZ AVILEZ</t>
  </si>
  <si>
    <t>MARCELO GIOVANNI RAMIREZ BARRAZA</t>
  </si>
  <si>
    <t>MARCHS ANTHONY GALLEGUILLOS COFRE</t>
  </si>
  <si>
    <t>MARCO ANDRES ROJAS ROJAS</t>
  </si>
  <si>
    <t>MARCO ANTONIO VELASQUEZ CIFUENTES</t>
  </si>
  <si>
    <t>MARCOS ANDRES BEAS VALDIVIA</t>
  </si>
  <si>
    <t>MARCOS ANTONIO ALDEA BEROIZA</t>
  </si>
  <si>
    <t>MARCOS SEBASTIAN CORTES BORDON</t>
  </si>
  <si>
    <t>MARIO ALBERTO AQUEA GONZALEZ</t>
  </si>
  <si>
    <t>MARIO ANDRES PUCHI CORTEZ</t>
  </si>
  <si>
    <t>MARIO PATRICIO ARANCIBIA RAMIREZ</t>
  </si>
  <si>
    <t>MARK DARREN SCOLES .</t>
  </si>
  <si>
    <t>MARTIN ANDRES SILVA ARENAS</t>
  </si>
  <si>
    <t>MATIAS ALVAREZ CASTILLO</t>
  </si>
  <si>
    <t>MATIAS ALEJANDRO CORTES ROJAS</t>
  </si>
  <si>
    <t>MATIAS ANDRES PARRA PEÑA</t>
  </si>
  <si>
    <t>MATIAS IGNACIO HANNUCSH GRUNENWALD</t>
  </si>
  <si>
    <t>MATIAS VICENTE ROJAS ROJAS</t>
  </si>
  <si>
    <t>MATTHEW FRANK DICK .</t>
  </si>
  <si>
    <t>MAURICIO ANDRES OYARZUN SALAMANCA</t>
  </si>
  <si>
    <t>MAURICIO EDUARDO CAMPILLAY CORTINEZ</t>
  </si>
  <si>
    <t>MAURICIO ENRIQUE TAPIA CARVAJAL</t>
  </si>
  <si>
    <t>MAURICIO LEANDRO CASTILLO SAAVEDRA</t>
  </si>
  <si>
    <t>MAXIMILIANO ANDRES ARAYA CALDERON</t>
  </si>
  <si>
    <t>MEYLINE ANTONIA CIFUENTES ROJAS</t>
  </si>
  <si>
    <t>MICHAEL ANDRÉS GONZALEZ ACEVEDO</t>
  </si>
  <si>
    <t>MICHAEL IGNACIO VALENCIA MUÑOZ</t>
  </si>
  <si>
    <t>MIGUEL LLANOS CULQUI</t>
  </si>
  <si>
    <t>MIGUEL ANGEL CORTES MARAMBIO</t>
  </si>
  <si>
    <t>MIGUEL ANTONIO BEAS GONZALEZ</t>
  </si>
  <si>
    <t>MIGUEL EDUARDO LOPEZ CLAVERIA</t>
  </si>
  <si>
    <t>MILENCO ALEXIS MOYANO GUERRERO</t>
  </si>
  <si>
    <t>MOISES ARON DAZA CANALES</t>
  </si>
  <si>
    <t>NATALY ANTONIA SALAS ESCOBAR</t>
  </si>
  <si>
    <t>NELSON ANDRES CASTRO AVALOS</t>
  </si>
  <si>
    <t>NELSON PATRICIO FLORES SANHUEZA</t>
  </si>
  <si>
    <t>NESTOR RENE SUAREZ MORALES</t>
  </si>
  <si>
    <t>NIBALDO ENRIQUE CASTRO CORTES</t>
  </si>
  <si>
    <t>NICOLAS ADOLFO AGUIRRE DIAZ</t>
  </si>
  <si>
    <t>NICOLAS ALBERTO CARVAJAL PASTEN</t>
  </si>
  <si>
    <t>NICOLAS ANDRES GALVEZ CARMONA</t>
  </si>
  <si>
    <t>NICOLAS ENRIQUE GUTIERREZ GUTIERREZ</t>
  </si>
  <si>
    <t>NICOLAS FRANCISCO FLORES ZAPATA</t>
  </si>
  <si>
    <t>NICOLAS RODRIGO CASTILLO OCARANZA</t>
  </si>
  <si>
    <t>NICOLAS RONALDO ALVAREZ AHUMADA</t>
  </si>
  <si>
    <t>NICOLAS SEBASTIAN SALINAS BARRAZA</t>
  </si>
  <si>
    <t>NICOLAS ULISES ZUÑIGA HERNANDEZ</t>
  </si>
  <si>
    <t>NORA ALEXANDRA SALAS ROJAS</t>
  </si>
  <si>
    <t>OMAR ANDRES ARAYA ZUÑIGA</t>
  </si>
  <si>
    <t>ORLANDO PATRICIO CONTRERAS RIOS</t>
  </si>
  <si>
    <t>OSCAR ALEXIS JARA MEJIAS</t>
  </si>
  <si>
    <t>OSCAR ANTONIO GASTON ORELLANA MARTINEZ</t>
  </si>
  <si>
    <t>OSCAR MANUEL ESPINOZA ESPINOZA</t>
  </si>
  <si>
    <t>OSCAR RODRIGO ARIAS LEIVA</t>
  </si>
  <si>
    <t>PABLO ANDRES ALBARNEZ LOPEZ</t>
  </si>
  <si>
    <t>PABLO ANTONIO ALVAREZ CORTES</t>
  </si>
  <si>
    <t>PABLO LUCAS POBLETE KUHNE</t>
  </si>
  <si>
    <t>PABLO ROMARIO BOSSA ZAMORANO</t>
  </si>
  <si>
    <t>PAOLO ALEJANDRO MANRIQUEZ SILVA</t>
  </si>
  <si>
    <t>PATRICIA SOLLANGE LAHSEN TRUJILLO</t>
  </si>
  <si>
    <t>PATRICIO ALEJANDRO CASTILLO TRONCOSO</t>
  </si>
  <si>
    <t>PATRICIO COLLO VEGA GONZALEZ</t>
  </si>
  <si>
    <t>PATRICIO HERNAN PIMIENTO ARIAS</t>
  </si>
  <si>
    <t>PATRICIO JOEL ROJAS RAMIREZ</t>
  </si>
  <si>
    <t>PATRICIO RENAN GONZALEZ CABELLO</t>
  </si>
  <si>
    <t>PATRICIO RICARDO OETIKER OYARZUN</t>
  </si>
  <si>
    <t>PATRICK ALEJANDRO VILLALOBOS VARGAS</t>
  </si>
  <si>
    <t>PAUL GIOVANNI BRIONES BRIONES</t>
  </si>
  <si>
    <t>PAULO ANDRES RODRIGUEZ OPAZO</t>
  </si>
  <si>
    <t>PEDRO BALDOMERO LOPEZ ARAYA</t>
  </si>
  <si>
    <t>PEDRO ENRIQUE BOLBARAN ROJAS</t>
  </si>
  <si>
    <t>PEDRO GABRIEL NARANJO ACUÑA</t>
  </si>
  <si>
    <t>PEDRO OCTAVIO OLIVARES ALVAREZ</t>
  </si>
  <si>
    <t>RAMON ALEJANDRO RIVERA GONZALEZ</t>
  </si>
  <si>
    <t>RAUL ALEJANDRO RIVERO RIVERO</t>
  </si>
  <si>
    <t>RAUL ESTEBAN HERNANDEZ PIZARRO</t>
  </si>
  <si>
    <t>RAUL MANUEL BUSTAMANTE CERON</t>
  </si>
  <si>
    <t>RAUL SEBASTIAN PINOCHET VALDES</t>
  </si>
  <si>
    <t>REINALDO ENRIQUE PRADENAS CUEVAS</t>
  </si>
  <si>
    <t>REINALDO LIBER DIAZ CORTES</t>
  </si>
  <si>
    <t>RENE ALFREDO RIOS MALDONADO</t>
  </si>
  <si>
    <t>RENZO DENNIS MORALES CCALLA</t>
  </si>
  <si>
    <t>RICARDO ALEXIS LEMUS LOPEZ</t>
  </si>
  <si>
    <t>RICARDO DE LAS NIEVES GUTIERREZ FUENTES</t>
  </si>
  <si>
    <t>RICARDO ESTEBAN CRUCES RIQUELME</t>
  </si>
  <si>
    <t>RICARDO MAURICIO ARAYA BARRAZA</t>
  </si>
  <si>
    <t>RICARDO NICOLAS QUINTANA SANTANA</t>
  </si>
  <si>
    <t>RICHARD FABIAN RAMIREZ RAMIREZ</t>
  </si>
  <si>
    <t>RICHARD FERNANDO CONTRERAS FLORES</t>
  </si>
  <si>
    <t>RICHARD MAURICIO MALLA MAYA</t>
  </si>
  <si>
    <t>RICKY DONNELLY ARAVENA POBLETE</t>
  </si>
  <si>
    <t>ROBERT DASLA CORTES CORTES</t>
  </si>
  <si>
    <t>ROBERTO ANTONIO PINILLA PEREZ</t>
  </si>
  <si>
    <t>ROBERTO ANTONIO VILLALOBOS VILLALOBOS</t>
  </si>
  <si>
    <t>ROBERTO CARLOS SEGOVIA VALERA</t>
  </si>
  <si>
    <t>ROBERTO CARLOS NUÑEZ GONZALEZ</t>
  </si>
  <si>
    <t>ROBERTO JESUS PONCE MUÑOZ</t>
  </si>
  <si>
    <t>ROBERTO MARIO VARGAS RODRIGUEZ</t>
  </si>
  <si>
    <t>ROBERTO MAURICIO VERGARA NEGRETE</t>
  </si>
  <si>
    <t>RODRIGO ROMERO SOLANO</t>
  </si>
  <si>
    <t>RODRIGO ALEJANDRO GONZALEZ RODRIGUEZ</t>
  </si>
  <si>
    <t>RODRIGO ALEJANDRO FLORES ZEPEDA</t>
  </si>
  <si>
    <t>RODRIGO ALEJANDRO AVILES VERGARA</t>
  </si>
  <si>
    <t>RODRIGO ALEJANDRO SANCHEZ ACUÑA</t>
  </si>
  <si>
    <t>RODRIGO ANDRES DIAZ INOSTROZA</t>
  </si>
  <si>
    <t>RODRIGO ANDRES ARAYA ROJAS</t>
  </si>
  <si>
    <t>RODRIGO ANTONIO VERGARA GOMEZ</t>
  </si>
  <si>
    <t>RODRIGO ARMANDO FERNANDEZ BRICEÑO</t>
  </si>
  <si>
    <t>RODRIGO FERNANDO ALFARO VEAS</t>
  </si>
  <si>
    <t>RODRIGO OSVALDO GODOI GODOI</t>
  </si>
  <si>
    <t>ROLANDO MAURICIO FIGUEROA DE LA HOZ</t>
  </si>
  <si>
    <t>ROMEO ALEXANDRU SUCIU .</t>
  </si>
  <si>
    <t>RONALD SEBASTIAN BORQUEZ CAMPUSANO</t>
  </si>
  <si>
    <t>RUBEN ANDRES VALLEJOS ARDILES</t>
  </si>
  <si>
    <t>RUBEN IGNACIO CORTES BORBON</t>
  </si>
  <si>
    <t>SEBASTIAN RAMOS ESQUIVEL</t>
  </si>
  <si>
    <t>SEBASTIAN AARON PALMA RAMIREZ</t>
  </si>
  <si>
    <t>SEBASTIAN ALFONSO PERALTA CORTES</t>
  </si>
  <si>
    <t>SEBASTIAN ANDRES BRICEÑO GALLEGUILLOS</t>
  </si>
  <si>
    <t>SEBASTIAN ANTONIO VALDERRAMA HERRERA</t>
  </si>
  <si>
    <t>SEBASTIAN ANTONIO BADILLO SEURA</t>
  </si>
  <si>
    <t>SEBASTIAN ENRIQUE SILVA BELLO</t>
  </si>
  <si>
    <t>SEBASTIAN GONZALO ROJAS CLARO</t>
  </si>
  <si>
    <t>SEBASTIAN IGNACIO ORTEGA GOMEZ</t>
  </si>
  <si>
    <t>SEBASTIAN NICOLAS OYANEDEL FERNANDEZ</t>
  </si>
  <si>
    <t>SERGIO ALFONSO BRUNA LEDEZMA</t>
  </si>
  <si>
    <t>SHANNAN ELIZABETH DOBB .</t>
  </si>
  <si>
    <t>SHAYNE MATTHEW LUCAS .</t>
  </si>
  <si>
    <t>SIMONNE DE LA PAZ REYES BATLLE</t>
  </si>
  <si>
    <t>STEWART PHILLIP WHITEHURST MEJIA</t>
  </si>
  <si>
    <t>TIARE MACARENA MARQUEZ SIAS</t>
  </si>
  <si>
    <t>TIZZIANA STEPHANY MORGADO CORTES</t>
  </si>
  <si>
    <t>TOMAS ALBERTO GUTIERREZ ARANCIBIA</t>
  </si>
  <si>
    <t>TOMAS IGNACIO PINOCHET VALDES</t>
  </si>
  <si>
    <t>TRENT GEORGE MULLAN .</t>
  </si>
  <si>
    <t>TUGSBAYAR CHOIJILJAV .</t>
  </si>
  <si>
    <t>TUMENNASAN SANSRAI .</t>
  </si>
  <si>
    <t>ULINSON DIAZ CORTES</t>
  </si>
  <si>
    <t>ULISES MATIAS PACHECO PARRA</t>
  </si>
  <si>
    <t>ULZIIBADRAKH BAYANMUNKH .</t>
  </si>
  <si>
    <t>VALESKA DAYAN COVARRUBIAS NILO</t>
  </si>
  <si>
    <t>VANESSA BELEN SILVA ZAMORA</t>
  </si>
  <si>
    <t>VICENTE ANDRES LOPEZ MARTINEZ</t>
  </si>
  <si>
    <t>VICTOR ALEJANDRO VALENZUELA PASTEN</t>
  </si>
  <si>
    <t>VICTOR ALFONSO ALVAREZ CORTES</t>
  </si>
  <si>
    <t>VICTOR DANIEL MONTAÑO ARAYA</t>
  </si>
  <si>
    <t>VICTORIA DEL PILAR COFRE ROMERO</t>
  </si>
  <si>
    <t>VICTOR IGNACIO PEREZ LORCA</t>
  </si>
  <si>
    <t>VICTOR IGNACIO HENRIQUEZ VARGAS</t>
  </si>
  <si>
    <t>VICTOR MANUEL MONDACA VEGA</t>
  </si>
  <si>
    <t>VLADIMIR OMAR CASTRO ENCINA</t>
  </si>
  <si>
    <t>WALDO RAFAEL CASTRO PASTENE</t>
  </si>
  <si>
    <t>WALTER DEL CARMEN PIZARRO ALVAREZ</t>
  </si>
  <si>
    <t>WALTER LISANDRO SALAS MESA</t>
  </si>
  <si>
    <t>WILLIAM HERNAN ALVAREZ TRUJILLO</t>
  </si>
  <si>
    <t>WILLIAMS RENAN ASTROZA INOSTROZA</t>
  </si>
  <si>
    <t>WILSON OSVALDO AGUILAR MANQUEZ</t>
  </si>
  <si>
    <t>WILSON YUBANI RAMOS TORRES</t>
  </si>
  <si>
    <t>YEAMIR ANDRES VIZA CAMPILLAY</t>
  </si>
  <si>
    <t>YERKO HUMBERTO ARAYA MILLAÑIR</t>
  </si>
  <si>
    <t>YONATHAN ALBERTO MOROSO CORTES</t>
  </si>
  <si>
    <t>YULISA NATALY DIAZ TORO</t>
  </si>
  <si>
    <t>11345634-5</t>
  </si>
  <si>
    <t>16250239-5</t>
  </si>
  <si>
    <t>29067753-K</t>
  </si>
  <si>
    <t>13412582-9</t>
  </si>
  <si>
    <t>11819748-8</t>
  </si>
  <si>
    <t>12951196-6</t>
  </si>
  <si>
    <t>14313865-8</t>
  </si>
  <si>
    <t>17364005-6</t>
  </si>
  <si>
    <t>12732008-K</t>
  </si>
  <si>
    <t>18919440-4</t>
  </si>
  <si>
    <t>22565722-K</t>
  </si>
  <si>
    <t>44592663-9</t>
  </si>
  <si>
    <t>12842966-2</t>
  </si>
  <si>
    <t>20168605-9</t>
  </si>
  <si>
    <t>14903561-3</t>
  </si>
  <si>
    <t>19668391-7</t>
  </si>
  <si>
    <t>15885524-0</t>
  </si>
  <si>
    <t>44632507-8</t>
  </si>
  <si>
    <t>20037472-K</t>
  </si>
  <si>
    <t>19662155-5</t>
  </si>
  <si>
    <t>17998731-7</t>
  </si>
  <si>
    <t>13973699-0</t>
  </si>
  <si>
    <t>17453602-3</t>
  </si>
  <si>
    <t>15613806-1</t>
  </si>
  <si>
    <t>14156135-9</t>
  </si>
  <si>
    <t>28683244-K</t>
  </si>
  <si>
    <t>17277089-4</t>
  </si>
  <si>
    <t>17643998-K</t>
  </si>
  <si>
    <t>16308007-9</t>
  </si>
  <si>
    <t>17805184-9</t>
  </si>
  <si>
    <t>20780960-8</t>
  </si>
  <si>
    <t>15055697-K</t>
  </si>
  <si>
    <t>20111998-7</t>
  </si>
  <si>
    <t>11726306-1</t>
  </si>
  <si>
    <t>25073481-6</t>
  </si>
  <si>
    <t>20167936-2</t>
  </si>
  <si>
    <t>20302978-0</t>
  </si>
  <si>
    <t>44611876-5</t>
  </si>
  <si>
    <t>19860514-K</t>
  </si>
  <si>
    <t>44604917-8</t>
  </si>
  <si>
    <t>13049877-9</t>
  </si>
  <si>
    <t>15052220-K</t>
  </si>
  <si>
    <t>17775054-9</t>
  </si>
  <si>
    <t>10466549-7</t>
  </si>
  <si>
    <t>15593625-8</t>
  </si>
  <si>
    <t>18710376-2</t>
  </si>
  <si>
    <t>13937893-8</t>
  </si>
  <si>
    <t>15570854-9</t>
  </si>
  <si>
    <t>16792505-7</t>
  </si>
  <si>
    <t>15977589-5</t>
  </si>
  <si>
    <t>14401092-2</t>
  </si>
  <si>
    <t>20456853-7</t>
  </si>
  <si>
    <t>16876031-0</t>
  </si>
  <si>
    <t>18757602-4</t>
  </si>
  <si>
    <t>13874482-5</t>
  </si>
  <si>
    <t>19349275-4</t>
  </si>
  <si>
    <t>17118820-2</t>
  </si>
  <si>
    <t>17627031-4</t>
  </si>
  <si>
    <t>14615536-7</t>
  </si>
  <si>
    <t>15683698-2</t>
  </si>
  <si>
    <t>17712182-7</t>
  </si>
  <si>
    <t>12806491-5</t>
  </si>
  <si>
    <t>12873698-0</t>
  </si>
  <si>
    <t>16400165-2</t>
  </si>
  <si>
    <t>18759051-5</t>
  </si>
  <si>
    <t>19322282-K</t>
  </si>
  <si>
    <t>13186913-4</t>
  </si>
  <si>
    <t>16053497-4</t>
  </si>
  <si>
    <t>19910908-1</t>
  </si>
  <si>
    <t>18633143-5</t>
  </si>
  <si>
    <t>19983975-6</t>
  </si>
  <si>
    <t>18923902-5</t>
  </si>
  <si>
    <t>16772735-2</t>
  </si>
  <si>
    <t>17465056-K</t>
  </si>
  <si>
    <t>18665544-3</t>
  </si>
  <si>
    <t>18141318-2</t>
  </si>
  <si>
    <t>16597409-3</t>
  </si>
  <si>
    <t>13649993-9</t>
  </si>
  <si>
    <t>17294242-3</t>
  </si>
  <si>
    <t>13173870-6</t>
  </si>
  <si>
    <t>15785558-1</t>
  </si>
  <si>
    <t>18511756-1</t>
  </si>
  <si>
    <t>18328176-3</t>
  </si>
  <si>
    <t>17939732-3</t>
  </si>
  <si>
    <t>21874001-4</t>
  </si>
  <si>
    <t>44623904-K</t>
  </si>
  <si>
    <t>21396721-5</t>
  </si>
  <si>
    <t>21236457-6</t>
  </si>
  <si>
    <t>16442931-8</t>
  </si>
  <si>
    <t>21627890-9</t>
  </si>
  <si>
    <t>18316968-8</t>
  </si>
  <si>
    <t>20456931-2</t>
  </si>
  <si>
    <t>18178758-9</t>
  </si>
  <si>
    <t>20921611-6</t>
  </si>
  <si>
    <t>21480368-2</t>
  </si>
  <si>
    <t>17174083-5</t>
  </si>
  <si>
    <t>13818282-7</t>
  </si>
  <si>
    <t>20173381-2</t>
  </si>
  <si>
    <t>44598439-6</t>
  </si>
  <si>
    <t>19690710-6</t>
  </si>
  <si>
    <t>19394534-1</t>
  </si>
  <si>
    <t>15825949-4</t>
  </si>
  <si>
    <t>44601238-K</t>
  </si>
  <si>
    <t>14116898-3</t>
  </si>
  <si>
    <t>16892590-5</t>
  </si>
  <si>
    <t>15197846-0</t>
  </si>
  <si>
    <t>44602294-6</t>
  </si>
  <si>
    <t>17293877-9</t>
  </si>
  <si>
    <t>17542518-7</t>
  </si>
  <si>
    <t>13223287-3</t>
  </si>
  <si>
    <t>21372257-3</t>
  </si>
  <si>
    <t>15831074-0</t>
  </si>
  <si>
    <t>17734821-K</t>
  </si>
  <si>
    <t>19949787-1</t>
  </si>
  <si>
    <t>11210318-K</t>
  </si>
  <si>
    <t>15028051-6</t>
  </si>
  <si>
    <t>17620294-7</t>
  </si>
  <si>
    <t>18318346-K</t>
  </si>
  <si>
    <t>16755492-K</t>
  </si>
  <si>
    <t>18450168-6</t>
  </si>
  <si>
    <t>19507111-K</t>
  </si>
  <si>
    <t>15050755-3</t>
  </si>
  <si>
    <t>16581787-7</t>
  </si>
  <si>
    <t>10508202-9</t>
  </si>
  <si>
    <t>21028758-2</t>
  </si>
  <si>
    <t>17774126-4</t>
  </si>
  <si>
    <t>16281802-3</t>
  </si>
  <si>
    <t>12115176-6</t>
  </si>
  <si>
    <t>16463792-1</t>
  </si>
  <si>
    <t>44599978-4</t>
  </si>
  <si>
    <t>19864468-4</t>
  </si>
  <si>
    <t>18632466-8</t>
  </si>
  <si>
    <t>19167554-1</t>
  </si>
  <si>
    <t>15909798-6</t>
  </si>
  <si>
    <t>44591746-K</t>
  </si>
  <si>
    <t>19214178-8</t>
  </si>
  <si>
    <t>13804452-1</t>
  </si>
  <si>
    <t>29364834-4</t>
  </si>
  <si>
    <t>21854689-7</t>
  </si>
  <si>
    <t>13650378-2</t>
  </si>
  <si>
    <t>15134240-K</t>
  </si>
  <si>
    <t>17451740-1</t>
  </si>
  <si>
    <t>10792747-6</t>
  </si>
  <si>
    <t>18223319-6</t>
  </si>
  <si>
    <t>14071144-6</t>
  </si>
  <si>
    <t>15674651-7</t>
  </si>
  <si>
    <t>17381165-9</t>
  </si>
  <si>
    <t>13904830-K</t>
  </si>
  <si>
    <t>13011075-4</t>
  </si>
  <si>
    <t>20718093-9</t>
  </si>
  <si>
    <t>16426974-4</t>
  </si>
  <si>
    <t>15475908-5</t>
  </si>
  <si>
    <t>17295192-9</t>
  </si>
  <si>
    <t>18575188-0</t>
  </si>
  <si>
    <t>14161667-6</t>
  </si>
  <si>
    <t>13329197-0</t>
  </si>
  <si>
    <t>19911323-2</t>
  </si>
  <si>
    <t>19745779-1</t>
  </si>
  <si>
    <t>16780234-6</t>
  </si>
  <si>
    <t>11730786-7</t>
  </si>
  <si>
    <t>13775192-5</t>
  </si>
  <si>
    <t>19349619-9</t>
  </si>
  <si>
    <t>16688197-8</t>
  </si>
  <si>
    <t>16735381-9</t>
  </si>
  <si>
    <t>29224483-5</t>
  </si>
  <si>
    <t>19825638-2</t>
  </si>
  <si>
    <t>15521744-8</t>
  </si>
  <si>
    <t>21933915-1</t>
  </si>
  <si>
    <t>19189343-3</t>
  </si>
  <si>
    <t>18403993-1</t>
  </si>
  <si>
    <t>17979787-9</t>
  </si>
  <si>
    <t>19339512-0</t>
  </si>
  <si>
    <t>19347920-0</t>
  </si>
  <si>
    <t>20944055-5</t>
  </si>
  <si>
    <t>19163596-5</t>
  </si>
  <si>
    <t>15056140-K</t>
  </si>
  <si>
    <t>15031055-5</t>
  </si>
  <si>
    <t>17452188-3</t>
  </si>
  <si>
    <t>13541133-7</t>
  </si>
  <si>
    <t>14128763-K</t>
  </si>
  <si>
    <t>19518296-5</t>
  </si>
  <si>
    <t>23868099-9</t>
  </si>
  <si>
    <t>15596250-K</t>
  </si>
  <si>
    <t>11866830-8</t>
  </si>
  <si>
    <t>21254681-K</t>
  </si>
  <si>
    <t>12152241-1</t>
  </si>
  <si>
    <t>10726051-K</t>
  </si>
  <si>
    <t>14413231-9</t>
  </si>
  <si>
    <t>21746016-6</t>
  </si>
  <si>
    <t>13809180-5</t>
  </si>
  <si>
    <t>25832490-0</t>
  </si>
  <si>
    <t>15494173-8</t>
  </si>
  <si>
    <t>17016281-1</t>
  </si>
  <si>
    <t>15946640-K</t>
  </si>
  <si>
    <t>13745724-5</t>
  </si>
  <si>
    <t>16052742-0</t>
  </si>
  <si>
    <t>29379228-3</t>
  </si>
  <si>
    <t>11346903-K</t>
  </si>
  <si>
    <t>14043422-1</t>
  </si>
  <si>
    <t>16581290-5</t>
  </si>
  <si>
    <t>20406500-4</t>
  </si>
  <si>
    <t>17827549-6</t>
  </si>
  <si>
    <t>15870057-3</t>
  </si>
  <si>
    <t>17625404-1</t>
  </si>
  <si>
    <t>17629034-K</t>
  </si>
  <si>
    <t>14117235-2</t>
  </si>
  <si>
    <t>19948458-3</t>
  </si>
  <si>
    <t>18449925-8</t>
  </si>
  <si>
    <t>13742666-8</t>
  </si>
  <si>
    <t>15572472-2</t>
  </si>
  <si>
    <t>19454353-0</t>
  </si>
  <si>
    <t>20460401-0</t>
  </si>
  <si>
    <t>21474308-6</t>
  </si>
  <si>
    <t>20459052-4</t>
  </si>
  <si>
    <t>14043656-9</t>
  </si>
  <si>
    <t>12441529-2</t>
  </si>
  <si>
    <t>18520647-5</t>
  </si>
  <si>
    <t>8601991-4</t>
  </si>
  <si>
    <t>18889617-0</t>
  </si>
  <si>
    <t>17912884-5</t>
  </si>
  <si>
    <t>19468700-1</t>
  </si>
  <si>
    <t>13411442-8</t>
  </si>
  <si>
    <t>18318426-1</t>
  </si>
  <si>
    <t>18688482-5</t>
  </si>
  <si>
    <t>44595482-9</t>
  </si>
  <si>
    <t>17169171-0</t>
  </si>
  <si>
    <t>8851229-4</t>
  </si>
  <si>
    <t>13170930-7</t>
  </si>
  <si>
    <t>17294428-0</t>
  </si>
  <si>
    <t>19041873-1</t>
  </si>
  <si>
    <t>19804200-5</t>
  </si>
  <si>
    <t>15051760-5</t>
  </si>
  <si>
    <t>16892086-5</t>
  </si>
  <si>
    <t>16280454-5</t>
  </si>
  <si>
    <t>12807074-5</t>
  </si>
  <si>
    <t>25188298-3</t>
  </si>
  <si>
    <t>22455426-5</t>
  </si>
  <si>
    <t>19948246-7</t>
  </si>
  <si>
    <t>19661264-5</t>
  </si>
  <si>
    <t>16442547-9</t>
  </si>
  <si>
    <t>12982701-7</t>
  </si>
  <si>
    <t>14387333-1</t>
  </si>
  <si>
    <t>16981319-1</t>
  </si>
  <si>
    <t>18823676-6</t>
  </si>
  <si>
    <t>21637836-9</t>
  </si>
  <si>
    <t>20778520-2</t>
  </si>
  <si>
    <t>28342620-3</t>
  </si>
  <si>
    <t>22593795-8</t>
  </si>
  <si>
    <t>21123779-1</t>
  </si>
  <si>
    <t>21301397-1</t>
  </si>
  <si>
    <t>19526067-2</t>
  </si>
  <si>
    <t>21003892-2</t>
  </si>
  <si>
    <t>29263924-4</t>
  </si>
  <si>
    <t>17964013-9</t>
  </si>
  <si>
    <t>17626968-5</t>
  </si>
  <si>
    <t>20650374-2</t>
  </si>
  <si>
    <t>20006954-4</t>
  </si>
  <si>
    <t>13762337-4</t>
  </si>
  <si>
    <t>44601250-9</t>
  </si>
  <si>
    <t>19271442-7</t>
  </si>
  <si>
    <t>17210409-6</t>
  </si>
  <si>
    <t>15052994-8</t>
  </si>
  <si>
    <t>16550436-4</t>
  </si>
  <si>
    <t>11726428-9</t>
  </si>
  <si>
    <t>21516063-7</t>
  </si>
  <si>
    <t>17624527-1</t>
  </si>
  <si>
    <t>15196627-6</t>
  </si>
  <si>
    <t>15061835-5</t>
  </si>
  <si>
    <t>10362133-K</t>
  </si>
  <si>
    <t>20127405-2</t>
  </si>
  <si>
    <t>20308969-4</t>
  </si>
  <si>
    <t>20864085-2</t>
  </si>
  <si>
    <t>19754060-5</t>
  </si>
  <si>
    <t>20457007-8</t>
  </si>
  <si>
    <t>19770436-5</t>
  </si>
  <si>
    <t>20406355-9</t>
  </si>
  <si>
    <t>19205849-K</t>
  </si>
  <si>
    <t>17525035-2</t>
  </si>
  <si>
    <t>18352777-0</t>
  </si>
  <si>
    <t>16771866-3</t>
  </si>
  <si>
    <t>11778172-0</t>
  </si>
  <si>
    <t>14043436-1</t>
  </si>
  <si>
    <t>10452465-6</t>
  </si>
  <si>
    <t>18494069-8</t>
  </si>
  <si>
    <t>14117289-1</t>
  </si>
  <si>
    <t>19460207-3</t>
  </si>
  <si>
    <t>17521166-7</t>
  </si>
  <si>
    <t>13855440-6</t>
  </si>
  <si>
    <t>14359121-2</t>
  </si>
  <si>
    <t>13044962-K</t>
  </si>
  <si>
    <t>13743972-7</t>
  </si>
  <si>
    <t>10855160-7</t>
  </si>
  <si>
    <t>20261176-1</t>
  </si>
  <si>
    <t>17980395-K</t>
  </si>
  <si>
    <t>9528480-9</t>
  </si>
  <si>
    <t>17117299-3</t>
  </si>
  <si>
    <t>17626566-3</t>
  </si>
  <si>
    <t>14401561-4</t>
  </si>
  <si>
    <t>14310737-K</t>
  </si>
  <si>
    <t>13176765-K</t>
  </si>
  <si>
    <t>18219407-7</t>
  </si>
  <si>
    <t>18494463-4</t>
  </si>
  <si>
    <t>15966541-0</t>
  </si>
  <si>
    <t>13187958-K</t>
  </si>
  <si>
    <t>12619772-1</t>
  </si>
  <si>
    <t>17628970-8</t>
  </si>
  <si>
    <t>44602022-6</t>
  </si>
  <si>
    <t>12707776-2</t>
  </si>
  <si>
    <t>15743119-6</t>
  </si>
  <si>
    <t>12447356-K</t>
  </si>
  <si>
    <t>20898577-9</t>
  </si>
  <si>
    <t>18011716-4</t>
  </si>
  <si>
    <t>13425369-K</t>
  </si>
  <si>
    <t>12939165-0</t>
  </si>
  <si>
    <t>15608134-5</t>
  </si>
  <si>
    <t>17438924-1</t>
  </si>
  <si>
    <t>13176649-1</t>
  </si>
  <si>
    <t>14400786-7</t>
  </si>
  <si>
    <t>13648945-3</t>
  </si>
  <si>
    <t>12419789-9</t>
  </si>
  <si>
    <t>13704198-7</t>
  </si>
  <si>
    <t>14594999-8</t>
  </si>
  <si>
    <t>14154615-5</t>
  </si>
  <si>
    <t>17015679-K</t>
  </si>
  <si>
    <t>16188552-5</t>
  </si>
  <si>
    <t>15232639-4</t>
  </si>
  <si>
    <t>16603465-5</t>
  </si>
  <si>
    <t>17697158-4</t>
  </si>
  <si>
    <t>13423391-5</t>
  </si>
  <si>
    <t>16856897-5</t>
  </si>
  <si>
    <t>16058317-7</t>
  </si>
  <si>
    <t>12219201-6</t>
  </si>
  <si>
    <t>13750491-K</t>
  </si>
  <si>
    <t>15756807-8</t>
  </si>
  <si>
    <t>28821672-K</t>
  </si>
  <si>
    <t>19271256-4</t>
  </si>
  <si>
    <t>15000375-K</t>
  </si>
  <si>
    <t>19983747-8</t>
  </si>
  <si>
    <t>14099614-9</t>
  </si>
  <si>
    <t>15566589-0</t>
  </si>
  <si>
    <t>18987429-4</t>
  </si>
  <si>
    <t>19349419-6</t>
  </si>
  <si>
    <t>17643890-8</t>
  </si>
  <si>
    <t>16687597-8</t>
  </si>
  <si>
    <t>19677343-6</t>
  </si>
  <si>
    <t>26931695-0</t>
  </si>
  <si>
    <t>19460307-K</t>
  </si>
  <si>
    <t>20168072-7</t>
  </si>
  <si>
    <t>16687336-3</t>
  </si>
  <si>
    <t>44630339-2</t>
  </si>
  <si>
    <t>27565857-K</t>
  </si>
  <si>
    <t>18490734-8</t>
  </si>
  <si>
    <t>28935989-3</t>
  </si>
  <si>
    <t>19711901-2</t>
  </si>
  <si>
    <t>18574914-2</t>
  </si>
  <si>
    <t>20952428-7</t>
  </si>
  <si>
    <t>18088679-6</t>
  </si>
  <si>
    <t>44598957-6</t>
  </si>
  <si>
    <t>44596213-9</t>
  </si>
  <si>
    <t>28698456-8</t>
  </si>
  <si>
    <t>15814058-6</t>
  </si>
  <si>
    <t>19966314-3</t>
  </si>
  <si>
    <t>44601231-2</t>
  </si>
  <si>
    <t>17939371-9</t>
  </si>
  <si>
    <t>18968674-9</t>
  </si>
  <si>
    <t>21294612-5</t>
  </si>
  <si>
    <t>12802451-4</t>
  </si>
  <si>
    <t>11197049-1</t>
  </si>
  <si>
    <t>15446035-7</t>
  </si>
  <si>
    <t>21303273-9</t>
  </si>
  <si>
    <t>19347572-8</t>
  </si>
  <si>
    <t>16706064-1</t>
  </si>
  <si>
    <t>16441822-7</t>
  </si>
  <si>
    <t>13744310-4</t>
  </si>
  <si>
    <t>12814487-0</t>
  </si>
  <si>
    <t>15955871-1</t>
  </si>
  <si>
    <t>11508866-1</t>
  </si>
  <si>
    <t>10997323-8</t>
  </si>
  <si>
    <t>15610336-5</t>
  </si>
  <si>
    <t>26863739-7</t>
  </si>
  <si>
    <t>15745492-7</t>
  </si>
  <si>
    <t>15584254-7</t>
  </si>
  <si>
    <t>17112278-3</t>
  </si>
  <si>
    <t>20804293-9</t>
  </si>
  <si>
    <t>MAQUINAS</t>
  </si>
  <si>
    <t>EDM47K-2</t>
  </si>
  <si>
    <t>200-11</t>
  </si>
  <si>
    <t>200-13</t>
  </si>
  <si>
    <t>1200-2</t>
  </si>
  <si>
    <t>200-12</t>
  </si>
  <si>
    <t>740-9</t>
  </si>
  <si>
    <t>740-14</t>
  </si>
  <si>
    <t>740-7</t>
  </si>
  <si>
    <t>1200-1</t>
  </si>
  <si>
    <t>WORKERA
ENTRADA</t>
  </si>
  <si>
    <t>WORKERA
SALIDA</t>
  </si>
  <si>
    <t>TIPOS DE PERFORACIÓN</t>
  </si>
  <si>
    <t>PQ</t>
  </si>
  <si>
    <t>HQ</t>
  </si>
  <si>
    <t>NQ</t>
  </si>
  <si>
    <t>NAVI</t>
  </si>
  <si>
    <t>AIRE REVERSO</t>
  </si>
  <si>
    <t>DEVICO</t>
  </si>
  <si>
    <t>TRAMOS</t>
  </si>
  <si>
    <t>0-500</t>
  </si>
  <si>
    <t>500-1000</t>
  </si>
  <si>
    <t>1000-1500</t>
  </si>
  <si>
    <t>1500-2000</t>
  </si>
  <si>
    <t>2000-2500</t>
  </si>
  <si>
    <t>0-600</t>
  </si>
  <si>
    <t>0-200</t>
  </si>
  <si>
    <t>200-400</t>
  </si>
  <si>
    <t>400-600</t>
  </si>
  <si>
    <t>SI</t>
  </si>
  <si>
    <t>NO</t>
  </si>
  <si>
    <t>WORKERA</t>
  </si>
  <si>
    <t>EDM47K-1</t>
  </si>
  <si>
    <t>200-7</t>
  </si>
  <si>
    <t>EDMGH40K</t>
  </si>
  <si>
    <t>650-14</t>
  </si>
  <si>
    <t>740-5</t>
  </si>
  <si>
    <t>740-6</t>
  </si>
  <si>
    <t>740-11</t>
  </si>
  <si>
    <t>LM110-6</t>
  </si>
  <si>
    <t>NOMBRES Y APELLIDOS</t>
  </si>
  <si>
    <t>19353203-9</t>
  </si>
  <si>
    <t>ABRAHAM NATANAEL MORALES ARANEDA</t>
  </si>
  <si>
    <t>16442692-0</t>
  </si>
  <si>
    <t>ANITA FERNANDA AGUIRRE CASTILLO</t>
  </si>
  <si>
    <t>25361105-7</t>
  </si>
  <si>
    <t>CONCEPCION MORO RIOJA</t>
  </si>
  <si>
    <t>13533794-3</t>
  </si>
  <si>
    <t>CRISTIAN GUMERCINDO MUÑOZ PORTILLA</t>
  </si>
  <si>
    <t>20457549-5</t>
  </si>
  <si>
    <t>FELIPE ANTONIO CARMONA LEITON</t>
  </si>
  <si>
    <t>15594928-7</t>
  </si>
  <si>
    <t>FELIPE OCTAVIO VEGA ASTUDILLO</t>
  </si>
  <si>
    <t>18012671-6</t>
  </si>
  <si>
    <t>GUILLERMO NICOLAS GODOY CARVAJAL</t>
  </si>
  <si>
    <t>17293946-5</t>
  </si>
  <si>
    <t>HAMIR ALONSO GONZALEZ JERALDO</t>
  </si>
  <si>
    <t>44587973-8</t>
  </si>
  <si>
    <t>JASON NEIL FLETCHER .</t>
  </si>
  <si>
    <t>17818652-3</t>
  </si>
  <si>
    <t>JAVIER ANDRES MILLA PALACIOS</t>
  </si>
  <si>
    <t>10269976-9</t>
  </si>
  <si>
    <t>LEONIDAS LUIS ARCE OLIVARES</t>
  </si>
  <si>
    <t>18654215-0</t>
  </si>
  <si>
    <t>MANUEL ALEJANDRO SALAZAR GONZALEZ</t>
  </si>
  <si>
    <t>13274800-4</t>
  </si>
  <si>
    <t>MAURICIO ALEJANDRO LAGOS LAGOS</t>
  </si>
  <si>
    <t>16581882-2</t>
  </si>
  <si>
    <t>MIGUEL SEBASTIAN JUAREZ MORALES</t>
  </si>
  <si>
    <t>16732957-8</t>
  </si>
  <si>
    <t>NELCIO ANTONIO RAMIREZ PIZARRO</t>
  </si>
  <si>
    <t>20460277-8</t>
  </si>
  <si>
    <t>NICOLAS FELIPE TAPIA INOSTROZA</t>
  </si>
  <si>
    <t>16133155-4</t>
  </si>
  <si>
    <t>SEBASTIAN ENRIQUE SASSO ARAYA</t>
  </si>
  <si>
    <t>PUESTO</t>
  </si>
  <si>
    <t>ASISTENTE LOGISTICO</t>
  </si>
  <si>
    <t>MECANICO</t>
  </si>
  <si>
    <t>AYUDANTE MECANICO</t>
  </si>
  <si>
    <t>ASISTENTE DE CONTRATOS Y DOCUMENTACION</t>
  </si>
  <si>
    <t>LIDER DE PREVENCIÓN</t>
  </si>
  <si>
    <t>ELECTROMECANICO</t>
  </si>
  <si>
    <t>SUPERVISOR DE MANTENCION</t>
  </si>
  <si>
    <t>ASISTENTE AVANZADA DE LOGISTICA</t>
  </si>
  <si>
    <t>ADMINISTRADOR DE CONTRATO JUNIOR</t>
  </si>
  <si>
    <t>GERENTE DE ADMINISTRACION Y FINANZAS</t>
  </si>
  <si>
    <t>SUPERINTENDENTE DE MANTENCION</t>
  </si>
  <si>
    <t>MECANICO LIDER</t>
  </si>
  <si>
    <t>SUPERVISOR ELECTRICO</t>
  </si>
  <si>
    <t>ENCARGADA DE DOCUMENTACION</t>
  </si>
  <si>
    <t>GERENTE MANTENCION</t>
  </si>
  <si>
    <t>GERENTE DE LOGISTICA</t>
  </si>
  <si>
    <t>COORDINADOR DE LOGISTICA</t>
  </si>
  <si>
    <t>ASISTENCIA</t>
  </si>
  <si>
    <t>DIAMETRO</t>
  </si>
  <si>
    <t>PRESENTE</t>
  </si>
  <si>
    <t>AUSENTE</t>
  </si>
  <si>
    <t>OBSERVACIÓN</t>
  </si>
  <si>
    <t>DESCANSO</t>
  </si>
  <si>
    <t>N°</t>
  </si>
  <si>
    <t xml:space="preserve">LA COIPA </t>
  </si>
  <si>
    <t>17643998-k</t>
  </si>
  <si>
    <t>15596250-k</t>
  </si>
  <si>
    <t xml:space="preserve">Marca doble. </t>
  </si>
  <si>
    <t xml:space="preserve">Se corrigue marcación, marca dos entradas. </t>
  </si>
  <si>
    <t>Marca en turno de día.</t>
  </si>
  <si>
    <t xml:space="preserve">Marcaciones en coipa 2. </t>
  </si>
  <si>
    <t xml:space="preserve">Trasladada a dos amigos. </t>
  </si>
  <si>
    <t xml:space="preserve">Trasladada a dos amigos, </t>
  </si>
  <si>
    <t xml:space="preserve">Marcó de día. </t>
  </si>
  <si>
    <t>Marca de día</t>
  </si>
  <si>
    <t xml:space="preserve">Marca de día. </t>
  </si>
  <si>
    <t xml:space="preserve">Marcas en coipa 2. </t>
  </si>
  <si>
    <t>Marca de día.</t>
  </si>
  <si>
    <t xml:space="preserve">Marca en turno noche. </t>
  </si>
  <si>
    <t xml:space="preserve">Marca de noche. </t>
  </si>
  <si>
    <t xml:space="preserve">Trabajador desvinculado. </t>
  </si>
  <si>
    <t>Trabajador desvinculado.</t>
  </si>
  <si>
    <t>Marca en turno día.</t>
  </si>
  <si>
    <t>Marca doble entrada.</t>
  </si>
  <si>
    <t>Marca doble.</t>
  </si>
  <si>
    <t xml:space="preserve">Marca en turno día. </t>
  </si>
  <si>
    <t>Marca doble salida en turno de día.</t>
  </si>
  <si>
    <t>s</t>
  </si>
  <si>
    <t xml:space="preserve">Marca doble entrada. </t>
  </si>
  <si>
    <t xml:space="preserve">Marca doble salida. </t>
  </si>
  <si>
    <t xml:space="preserve">Primer día de turno noche. </t>
  </si>
  <si>
    <t xml:space="preserve">Baja de turno el día 17 y envía licencia médica. </t>
  </si>
  <si>
    <t xml:space="preserve">Marca dos salidas.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</si>
</sst>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44" formatCode="_ &quot;$&quot;* #,##0.00_ ;_ &quot;$&quot;* \-#,##0.00_ ;_ &quot;$&quot;* &quot;-&quot;??_ ;_ @_ 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ptos"/>
      <family val="2"/>
    </font>
    <font>
      <sz val="8"/>
      <name val="Arial"/>
      <family val="2"/>
    </font>
    <font>
      <sz val="11"/>
      <name val="Calibri"/>
      <family val="2"/>
    </font>
    <font>
      <b/>
      <sz val="10"/>
      <color theme="0"/>
      <name val="Arial"/>
      <family val="2"/>
    </font>
    <font>
      <b/>
      <sz val="15"/>
      <color theme="0"/>
      <name val="Arial"/>
      <family val="2"/>
    </font>
    <font>
      <b/>
      <sz val="11"/>
      <color rgb="FF000000"/>
      <name val="Calibri"/>
      <family val="2"/>
    </font>
    <font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6" fillId="0" borderId="0">
      <alignment vertical="center"/>
    </xf>
  </cellStyleXfs>
  <cellXfs count="35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/>
    <xf numFmtId="0" fontId="3" fillId="0" borderId="1" xfId="0" applyFont="1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20" fontId="3" fillId="0" borderId="1" xfId="1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9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6">
    <cellStyle name="Millares [0] 2" xfId="2" xr:uid="{00000000-0005-0000-0000-000001000000}"/>
    <cellStyle name="Moneda 2" xfId="4" xr:uid="{00000000-0005-0000-0000-000002000000}"/>
    <cellStyle name="Normal" xfId="0" builtinId="0"/>
    <cellStyle name="Normal 2" xfId="1" xr:uid="{00000000-0005-0000-0000-000004000000}"/>
    <cellStyle name="Normal 3" xfId="3" xr:uid="{00000000-0005-0000-0000-000005000000}"/>
    <cellStyle name="Normal 4" xfId="5" xr:uid="{6F9641A3-1A13-404A-8DB6-D5D1C9CBFAE9}"/>
  </cellStyles>
  <dxfs count="0"/>
  <tableStyles count="0" defaultTableStyle="TableStyleMedium9" defaultPivotStyle="PivotStyleLight16"/>
  <colors>
    <mruColors>
      <color rgb="FF00206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5ABE2C2D-3323-498A-9B48-F995A3803A80}"/>
            </a:ext>
          </a:extLst>
        </xdr:cNvPr>
        <xdr:cNvSpPr>
          <a:spLocks noChangeAspect="1" noChangeArrowheads="1"/>
        </xdr:cNvSpPr>
      </xdr:nvSpPr>
      <xdr:spPr bwMode="auto">
        <a:xfrm>
          <a:off x="10548938" y="1928813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CD476D0D-A1B2-4DEE-BC05-538B8BF060A8}"/>
            </a:ext>
          </a:extLst>
        </xdr:cNvPr>
        <xdr:cNvSpPr>
          <a:spLocks noChangeAspect="1" noChangeArrowheads="1"/>
        </xdr:cNvSpPr>
      </xdr:nvSpPr>
      <xdr:spPr bwMode="auto">
        <a:xfrm>
          <a:off x="10102850" y="1287780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7F2A214C-200F-4AF2-9F26-12B0479E1955}"/>
            </a:ext>
          </a:extLst>
        </xdr:cNvPr>
        <xdr:cNvSpPr>
          <a:spLocks noChangeAspect="1" noChangeArrowheads="1"/>
        </xdr:cNvSpPr>
      </xdr:nvSpPr>
      <xdr:spPr bwMode="auto">
        <a:xfrm>
          <a:off x="9850438" y="8802688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1185487</xdr:colOff>
      <xdr:row>4</xdr:row>
      <xdr:rowOff>19504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B3B2334-CD43-027D-6DC7-7B804388B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814" y="1"/>
          <a:ext cx="1420812" cy="6783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8B688C4-3953-4F93-8334-D211960BD231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8620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E3F8E34F-117D-4342-9DB3-B4C109FFDCAE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70204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7113B93D-F80E-44D3-9DFA-C92B841698EC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1185487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4786ECC-D79B-46AC-8B00-2DCA5DB5A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74" y="1"/>
          <a:ext cx="1408053" cy="6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D7D935B-1333-48BB-BE3C-2D6EBEC13825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8620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F807B2DE-AA92-4A58-A957-4ABEFA5955D0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70204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323E9C31-59CC-4257-BD18-491305227915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1185487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E2AAC05-4EF9-49D1-8DA0-DB3C80269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74" y="1"/>
          <a:ext cx="1408053" cy="6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428470E-ADF5-4151-9488-497C8C212E7F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8620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17741B4F-8A80-4323-8B18-D5818C9A4D64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70204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DAA8A605-A0B1-4F53-BB8E-4F894DC6EC04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1185487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5CB04F2-085E-4163-8E28-41B7FEF25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74" y="1"/>
          <a:ext cx="1408053" cy="6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88BE5BF-F974-4EF5-8364-3176CA1C9023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8620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24654528-57DB-40AE-8967-42B67E097A94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70204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67178826-561F-4F1C-A29C-FC1F199C1359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1185487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E038D00-B76D-4A7F-927E-C1CB0B02F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74" y="1"/>
          <a:ext cx="1408053" cy="6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3B2D12D-FBCD-418B-956A-6194F781F57B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8620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9BE0CDAC-1FF4-4B35-97A4-A19B535ED12F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70204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DE7A8072-4432-4C8D-B8E2-9C55A1A3958C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1185487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8950B71-F8CF-42C9-87FE-7CDEBD3CA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74" y="1"/>
          <a:ext cx="1408053" cy="6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160AE15-4952-468A-AE08-EFAE03179FB3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8620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382063B8-CA5B-47AF-BED6-227892E1471A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70204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C53F7775-B82D-49BF-8042-333E5AE1B155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1185487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5B14598-283A-40D0-9D1E-3732DB823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74" y="1"/>
          <a:ext cx="1408053" cy="6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C3151C0-2908-4B89-8EC9-36E2CF39BCE4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8620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3A9B7FF-73C3-4B46-8707-156CD2BC3460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70204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56FD9198-BF67-4B8F-ACBF-14BCD1906381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1185487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9FF42C5-A520-4737-B7C6-8F9F47C36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74" y="1"/>
          <a:ext cx="1408053" cy="6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D044CA1-3A2B-42A7-8150-6F1CB0C98F44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8620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D0419A4F-BB68-4600-A78D-4E9398226D18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70204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7A797E98-51BA-40AE-A10E-A64C97D740E1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1185487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56DFDB5-B4F2-4251-B69E-05CA75BE0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74" y="1"/>
          <a:ext cx="1408053" cy="6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963A9D1-5977-44A8-A611-AB4670250E4B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8620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48150FC9-8101-48E8-BD36-D700D79D6676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70204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66799E55-CD79-4DC1-92B1-B52D9FE86BC0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1185487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764FA7B-3AB7-4D7D-86F0-447412B2C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74" y="1"/>
          <a:ext cx="1408053" cy="6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C30D4487-BBD0-468E-BBBA-51209DFC2861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04FCA30-861A-4100-8B8E-2887DA543B88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8620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BCF6F9F3-F9EB-4F6C-BBFB-17FC4FB9332A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70204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9823539D-05B9-44A5-970F-55BD76A32EEB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1185487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018AD31-A6CB-4524-B714-58B52699A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74" y="1"/>
          <a:ext cx="1408053" cy="6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17C5BEA-41AD-45B0-829F-2E299BB576BA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8620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57722E55-CE53-41BE-B329-2961176BAEC8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70204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BA4DFB8C-07A7-4510-BE4C-765EE9BE0BDB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1185487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21B29FA-C5C6-48A8-A830-63CD21D06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74" y="1"/>
          <a:ext cx="1408053" cy="6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D37C43A-A12D-43AB-8098-C058DFDEA320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8620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4F0CA7BB-9CFD-472D-82E6-A879BCBC5419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70204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E8B4361B-BE2A-4A41-964F-087D04269768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1185487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5CCEA32-136A-4E0C-816F-CD919EE7D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74" y="1"/>
          <a:ext cx="1408053" cy="6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A87F729-15F9-4270-A5D4-D0E2869EF796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8620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60AAD3FC-37DE-4C8E-B053-BB2AAD88A3B1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70204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016E6B98-2B24-4AA1-A3D8-1E1BE32B101C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1185487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F7839C-7AFE-439F-BDDF-0C860B70F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74" y="1"/>
          <a:ext cx="1408053" cy="6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22BDF48-1B61-4D03-86E2-5E56457BB5D4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8620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13642E6-AA6D-4A76-9B88-9AB7773E1673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70204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8960473F-FF9E-445A-93F1-78CE2483661D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1185487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A8D2C86-B28B-4031-B9BB-29B4F841F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74" y="1"/>
          <a:ext cx="1408053" cy="6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1D0D7A9-0BF2-4261-AD6B-91AF056F5A25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8620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7455253A-CA7F-49A1-8279-BC485E40010A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70204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06F2809D-5446-43A1-9FF4-5124700723CD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1185487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3D4CFA1-9FBD-414D-B5D3-9E440BE70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74" y="1"/>
          <a:ext cx="1408053" cy="6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63C0914-B348-4406-BEA2-5DEFC2A68124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8620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1A1C55B7-0276-417D-B845-440D3AEAED69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70204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858C52B1-CD33-437F-9F37-1A43508C6D21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1185487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0857F2D-197F-41A4-A5CA-F8E4BA36E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74" y="1"/>
          <a:ext cx="1408053" cy="6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C5F2965-B12A-40F6-9113-213618046DFC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8620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4BC20751-28FB-4D6B-BBB5-CDE23DC115A0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70204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823FFC08-C2C3-4CD4-9993-E59525FD4AFE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1185487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38A59C0-0F94-43FB-9C6A-BED13CCD5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74" y="1"/>
          <a:ext cx="1408053" cy="6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AA8A630-5C97-46F1-B4F6-AEF80ED55708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8620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AF5CABE7-9617-490F-AEA5-77951C8A678F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70204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1E4F42C1-5A31-4FFB-8F55-37CCBF638308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1185487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46208B2-99C5-49AA-A457-0A82E8180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74" y="1"/>
          <a:ext cx="1408053" cy="6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C342D79-903C-46F0-97F1-7C35DB6A8FEA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8620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EF89F44-019B-4BEF-B356-A64D08092F23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70204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5DB9C4B3-076E-42E8-8C7F-0DD6F7B21A93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1185487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ABDC750-AEEF-45C3-B19B-565433A89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74" y="1"/>
          <a:ext cx="1408053" cy="6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6D98839-7C55-4B26-B5A0-DC653FFC63D9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8620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F47639FC-CD12-4E87-B171-A974E39EFC1F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70204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7E4C9C5B-E45E-42A8-9159-B67F40890E5F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1185487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4DA24EF-F402-47B7-B17C-F640403E7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74" y="1"/>
          <a:ext cx="1408053" cy="6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8D26723-D681-4FA6-ABB5-649391493138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8620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27DF7F20-050E-4D3D-9429-F5E860962842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70204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E7A6565F-CF42-4E1A-A2AF-8147A4657C60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1185487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FE1A413-F9EF-45FB-B408-47CE64C4C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74" y="1"/>
          <a:ext cx="1408053" cy="6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81FA7EA-0E0D-40E5-AAC6-C62D974EA5DE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8620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F71D261B-4460-4C9B-B32F-00AE17D9546B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70204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18AD0DDA-2A03-455E-9729-15870F665356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1185487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CBAEDE3-3794-4DA3-84B7-243D2A2BD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74" y="1"/>
          <a:ext cx="1408053" cy="6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197DB30-CD43-4DF2-A2EE-FE1B6D927052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8620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1FBB8BCB-0D81-4B77-9711-632051264FC2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70204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D1046F1A-FFF2-4BFD-A0EC-FF2AC02836B9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1185487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1CB9559-4115-4DCA-87B0-776E30F40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74" y="1"/>
          <a:ext cx="1408053" cy="6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90BCB20C-FCB3-4CED-A85A-C8961E9B211F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8620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812E6ED-7CBE-4AFF-8C03-60DC225B1BEB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70204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0D285119-A394-4140-8D70-CBB9D36BE81E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1185487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929BABE-CC5D-4FD8-A8D1-735B4B014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74" y="1"/>
          <a:ext cx="1408053" cy="6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D73D81D-8405-4E98-9CF3-D4E6086CD083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8620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1AB9F785-BE5A-4C9A-9568-BF3F012342B6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70204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CA15FFC0-1104-4BAD-89FC-4FFF465F116C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1189297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6ACF063-8CB3-4823-B1CE-BA3C14E1C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74" y="1"/>
          <a:ext cx="1408053" cy="6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7E44FA6-6227-4680-8A76-3DFFCD703C30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8620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E0526554-21C1-4621-9C43-DB57C5156CD7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70204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7E8547D5-3304-4300-8400-9DB0B5540014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1185487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97083CF-246B-42A8-92C7-60D53AE68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74" y="1"/>
          <a:ext cx="1408053" cy="6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914F978C-8C34-45BA-AFB6-7714BE0323B7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8620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5CB5B442-B66E-4BAA-AA42-48B5B6532236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70204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310219E6-494F-40E4-89F9-2FBC4B937E72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1185487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D9661A9-452E-43D6-842F-BA1E1FF89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74" y="1"/>
          <a:ext cx="1408053" cy="6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B536BC5-FBC1-41E2-92EF-4969C1375885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8620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89C6CEC1-AEC4-4131-9E64-A5927E13BE53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70204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5076EBF0-777E-4F5B-A957-213F7D22A1F3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1185487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7F81A0B-3D45-4093-A3B7-162162681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74" y="1"/>
          <a:ext cx="1408053" cy="6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50</xdr:row>
      <xdr:rowOff>0</xdr:rowOff>
    </xdr:from>
    <xdr:ext cx="304800" cy="31337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66BA0D8C-AC4F-4B71-933B-582A14A29918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86206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49</xdr:row>
      <xdr:rowOff>0</xdr:rowOff>
    </xdr:from>
    <xdr:ext cx="304800" cy="31337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A8BAC462-0137-4B51-849B-6CC251750BEE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70204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48</xdr:row>
      <xdr:rowOff>0</xdr:rowOff>
    </xdr:from>
    <xdr:ext cx="304800" cy="31337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5D6D3F36-E986-408B-B789-9606D74A0A27}"/>
            </a:ext>
          </a:extLst>
        </xdr:cNvPr>
        <xdr:cNvSpPr>
          <a:spLocks noChangeAspect="1" noChangeArrowheads="1"/>
        </xdr:cNvSpPr>
      </xdr:nvSpPr>
      <xdr:spPr bwMode="auto">
        <a:xfrm>
          <a:off x="12542520" y="8542020"/>
          <a:ext cx="304800" cy="313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531814</xdr:colOff>
      <xdr:row>0</xdr:row>
      <xdr:rowOff>1</xdr:rowOff>
    </xdr:from>
    <xdr:to>
      <xdr:col>3</xdr:col>
      <xdr:colOff>1185487</xdr:colOff>
      <xdr:row>4</xdr:row>
      <xdr:rowOff>19504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38A8E03-1532-46AE-940B-CEF4AF1A7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174" y="1"/>
          <a:ext cx="1408053" cy="69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A050C-8DE4-46C1-A867-B7072561D6BA}">
  <dimension ref="B1:M93"/>
  <sheetViews>
    <sheetView topLeftCell="A21" zoomScale="80" zoomScaleNormal="80" workbookViewId="0">
      <selection activeCell="D13" sqref="D13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0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38.5546875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46266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11" t="s">
        <v>692</v>
      </c>
      <c r="D8" s="7" t="str">
        <f>IFERROR(VLOOKUP(C8,'Lista desplegable'!B$1:C$436,2,FALSE),"")</f>
        <v>JOSE CRISTIAN BASTIAS PEREZ</v>
      </c>
      <c r="E8" s="7" t="str">
        <f>IFERROR(VLOOKUP(D8,'Lista desplegable'!C$1:D$436,2,FALSE),"")</f>
        <v>SUPERVISOR DE OPERACIONES</v>
      </c>
      <c r="F8" s="19" t="s">
        <v>890</v>
      </c>
      <c r="G8" s="11" t="s">
        <v>903</v>
      </c>
      <c r="H8" s="11" t="s">
        <v>911</v>
      </c>
      <c r="I8" s="11">
        <v>1.1499999999999999</v>
      </c>
      <c r="J8" s="11" t="s">
        <v>984</v>
      </c>
      <c r="K8" s="11" t="s">
        <v>918</v>
      </c>
      <c r="L8" s="11" t="s">
        <v>918</v>
      </c>
      <c r="M8" s="11" t="s">
        <v>992</v>
      </c>
    </row>
    <row r="9" spans="2:13" s="1" customFormat="1" ht="13.05" customHeight="1" x14ac:dyDescent="0.25">
      <c r="B9" s="24">
        <v>2</v>
      </c>
      <c r="C9" s="10" t="s">
        <v>590</v>
      </c>
      <c r="D9" s="7" t="str">
        <f>IFERROR(VLOOKUP(C9,'Lista desplegable'!B$1:C$436,2,FALSE),"")</f>
        <v>DAYNE JEFFERY PASSMORE .</v>
      </c>
      <c r="E9" s="7" t="str">
        <f>IFERROR(VLOOKUP(D9,'Lista desplegable'!C$1:D$436,2,FALSE),"")</f>
        <v>ADMINISTRADOR DE CONTRATO</v>
      </c>
      <c r="F9" s="19" t="s">
        <v>890</v>
      </c>
      <c r="G9" s="11" t="s">
        <v>903</v>
      </c>
      <c r="H9" s="11" t="s">
        <v>911</v>
      </c>
      <c r="I9" s="11">
        <v>1.1499999999999999</v>
      </c>
      <c r="J9" s="11" t="s">
        <v>984</v>
      </c>
      <c r="K9" s="11"/>
      <c r="L9" s="11"/>
      <c r="M9" s="11"/>
    </row>
    <row r="10" spans="2:13" s="1" customFormat="1" ht="13.05" customHeight="1" x14ac:dyDescent="0.25">
      <c r="B10" s="24">
        <v>3</v>
      </c>
      <c r="C10" s="11" t="s">
        <v>783</v>
      </c>
      <c r="D10" s="7" t="str">
        <f>IFERROR(VLOOKUP(C10,'Lista desplegable'!B$1:C$436,2,FALSE),"")</f>
        <v>NORA ALEXANDRA SALAS ROJAS</v>
      </c>
      <c r="E10" s="7" t="str">
        <f>IFERROR(VLOOKUP(D10,'Lista desplegable'!C$1:D$436,2,FALSE),"")</f>
        <v>PREVENCIONISTA DE RIESGOS</v>
      </c>
      <c r="F10" s="19" t="s">
        <v>890</v>
      </c>
      <c r="G10" s="11" t="s">
        <v>903</v>
      </c>
      <c r="H10" s="11" t="s">
        <v>911</v>
      </c>
      <c r="I10" s="11">
        <v>1.1499999999999999</v>
      </c>
      <c r="J10" s="11" t="s">
        <v>984</v>
      </c>
      <c r="K10" s="11" t="s">
        <v>918</v>
      </c>
      <c r="L10" s="11" t="s">
        <v>918</v>
      </c>
      <c r="M10" s="11" t="s">
        <v>997</v>
      </c>
    </row>
    <row r="11" spans="2:13" s="1" customFormat="1" ht="13.05" customHeight="1" x14ac:dyDescent="0.25">
      <c r="B11" s="24">
        <v>4</v>
      </c>
      <c r="C11" s="11" t="s">
        <v>769</v>
      </c>
      <c r="D11" s="7" t="str">
        <f>IFERROR(VLOOKUP(C11,'Lista desplegable'!B$1:C$436,2,FALSE),"")</f>
        <v>NATALY ANTONIA SALAS ESCOBAR</v>
      </c>
      <c r="E11" s="7" t="str">
        <f>IFERROR(VLOOKUP(D11,'Lista desplegable'!C$1:D$436,2,FALSE),"")</f>
        <v>ADMINISTRATIVO DE FAENA</v>
      </c>
      <c r="F11" s="19" t="s">
        <v>890</v>
      </c>
      <c r="G11" s="11" t="s">
        <v>903</v>
      </c>
      <c r="H11" s="11" t="s">
        <v>911</v>
      </c>
      <c r="I11" s="11">
        <v>1.1499999999999999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11" t="s">
        <v>792</v>
      </c>
      <c r="D12" s="7" t="str">
        <f>IFERROR(VLOOKUP(C12,'Lista desplegable'!B$1:C$436,2,FALSE),"")</f>
        <v>PAOLO ALEJANDRO MANRIQUEZ SILVA</v>
      </c>
      <c r="E12" s="7" t="str">
        <f>IFERROR(VLOOKUP(D12,'Lista desplegable'!C$1:D$436,2,FALSE),"")</f>
        <v>BODEGUERO</v>
      </c>
      <c r="F12" s="19" t="s">
        <v>890</v>
      </c>
      <c r="G12" s="11" t="s">
        <v>903</v>
      </c>
      <c r="H12" s="11" t="s">
        <v>911</v>
      </c>
      <c r="I12" s="11">
        <v>1.1499999999999999</v>
      </c>
      <c r="J12" s="11" t="s">
        <v>984</v>
      </c>
      <c r="K12" s="11" t="s">
        <v>918</v>
      </c>
      <c r="L12" s="11" t="s">
        <v>918</v>
      </c>
      <c r="M12" s="11"/>
    </row>
    <row r="13" spans="2:13" s="1" customFormat="1" ht="13.05" customHeight="1" x14ac:dyDescent="0.25">
      <c r="B13" s="24">
        <v>6</v>
      </c>
      <c r="C13" s="11" t="s">
        <v>549</v>
      </c>
      <c r="D13" s="7" t="str">
        <f>IFERROR(VLOOKUP(C13,'Lista desplegable'!B$1:C$436,2,FALSE),"")</f>
        <v>CARLOS EDUARDO RODRIGUEZ HERNANDEZ</v>
      </c>
      <c r="E13" s="7" t="str">
        <f>IFERROR(VLOOKUP(D13,'Lista desplegable'!C$1:D$436,2,FALSE),"")</f>
        <v>ADMINISTRADOR DE CONTRATO</v>
      </c>
      <c r="F13" s="19" t="s">
        <v>890</v>
      </c>
      <c r="G13" s="11" t="s">
        <v>903</v>
      </c>
      <c r="H13" s="11" t="s">
        <v>911</v>
      </c>
      <c r="I13" s="11">
        <v>1.1499999999999999</v>
      </c>
      <c r="J13" s="11" t="s">
        <v>984</v>
      </c>
      <c r="K13" s="11" t="s">
        <v>918</v>
      </c>
      <c r="L13" s="11" t="s">
        <v>918</v>
      </c>
      <c r="M13" s="11"/>
    </row>
    <row r="14" spans="2:13" s="1" customFormat="1" ht="13.05" customHeight="1" x14ac:dyDescent="0.25">
      <c r="B14" s="24">
        <v>7</v>
      </c>
      <c r="C14" s="11" t="s">
        <v>616</v>
      </c>
      <c r="D14" s="7" t="str">
        <f>IFERROR(VLOOKUP(C14,'Lista desplegable'!B$1:C$436,2,FALSE),"")</f>
        <v>ESTEFANIA CONSTANZA NAETER QUIROZ</v>
      </c>
      <c r="E14" s="7" t="str">
        <f>IFERROR(VLOOKUP(D14,'Lista desplegable'!C$1:D$436,2,FALSE),"")</f>
        <v>CHOFER</v>
      </c>
      <c r="F14" s="19" t="s">
        <v>890</v>
      </c>
      <c r="G14" s="11" t="s">
        <v>903</v>
      </c>
      <c r="H14" s="11" t="s">
        <v>911</v>
      </c>
      <c r="I14" s="11">
        <v>1.1499999999999999</v>
      </c>
      <c r="J14" s="11" t="s">
        <v>984</v>
      </c>
      <c r="K14" s="11" t="s">
        <v>918</v>
      </c>
      <c r="L14" s="11" t="s">
        <v>918</v>
      </c>
      <c r="M14" s="11"/>
    </row>
    <row r="15" spans="2:13" s="1" customFormat="1" ht="13.05" customHeight="1" x14ac:dyDescent="0.25">
      <c r="B15" s="24">
        <v>8</v>
      </c>
      <c r="C15" s="11" t="s">
        <v>879</v>
      </c>
      <c r="D15" s="7" t="str">
        <f>IFERROR(VLOOKUP(C15,'Lista desplegable'!B$1:C$436,2,FALSE),"")</f>
        <v>WALTER DEL CARMEN PIZARRO ALVAREZ</v>
      </c>
      <c r="E15" s="7" t="str">
        <f>IFERROR(VLOOKUP(D15,'Lista desplegable'!C$1:D$436,2,FALSE),"")</f>
        <v>CHOFER</v>
      </c>
      <c r="F15" s="19" t="s">
        <v>890</v>
      </c>
      <c r="G15" s="11" t="s">
        <v>903</v>
      </c>
      <c r="H15" s="11" t="s">
        <v>911</v>
      </c>
      <c r="I15" s="11">
        <v>1.1499999999999999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11" t="s">
        <v>990</v>
      </c>
      <c r="D16" s="7" t="str">
        <f>IFERROR(VLOOKUP(C16,'Lista desplegable'!B$1:C$436,2,FALSE),"")</f>
        <v>BENIGNO EDUARDO PAEZ MENESES</v>
      </c>
      <c r="E16" s="7" t="str">
        <f>IFERROR(VLOOKUP(D16,'Lista desplegable'!C$1:D$436,2,FALSE),"")</f>
        <v>CHOFER</v>
      </c>
      <c r="F16" s="19" t="s">
        <v>890</v>
      </c>
      <c r="G16" s="11" t="s">
        <v>903</v>
      </c>
      <c r="H16" s="11" t="s">
        <v>911</v>
      </c>
      <c r="I16" s="11">
        <v>1.1499999999999999</v>
      </c>
      <c r="J16" s="11" t="s">
        <v>984</v>
      </c>
      <c r="K16" s="11" t="s">
        <v>918</v>
      </c>
      <c r="L16" s="11" t="s">
        <v>918</v>
      </c>
      <c r="M16" s="11"/>
    </row>
    <row r="17" spans="2:13" s="1" customFormat="1" ht="13.05" customHeight="1" x14ac:dyDescent="0.25">
      <c r="B17" s="24">
        <v>10</v>
      </c>
      <c r="C17" s="11" t="s">
        <v>826</v>
      </c>
      <c r="D17" s="7" t="str">
        <f>IFERROR(VLOOKUP(C17,'Lista desplegable'!B$1:C$436,2,FALSE),"")</f>
        <v>ROBERTO MARIO VARGAS RODRIGUEZ</v>
      </c>
      <c r="E17" s="7" t="str">
        <f>IFERROR(VLOOKUP(D17,'Lista desplegable'!C$1:D$436,2,FALSE),"")</f>
        <v>MECANICO</v>
      </c>
      <c r="F17" s="19" t="s">
        <v>890</v>
      </c>
      <c r="G17" s="11" t="s">
        <v>903</v>
      </c>
      <c r="H17" s="11" t="s">
        <v>911</v>
      </c>
      <c r="I17" s="11">
        <v>1.1499999999999999</v>
      </c>
      <c r="J17" s="11" t="s">
        <v>984</v>
      </c>
      <c r="K17" s="11" t="s">
        <v>918</v>
      </c>
      <c r="L17" s="11" t="s">
        <v>918</v>
      </c>
      <c r="M17" s="11" t="s">
        <v>993</v>
      </c>
    </row>
    <row r="18" spans="2:13" s="1" customFormat="1" ht="13.05" customHeight="1" x14ac:dyDescent="0.25">
      <c r="B18" s="24">
        <v>11</v>
      </c>
      <c r="C18" s="11" t="s">
        <v>881</v>
      </c>
      <c r="D18" s="7" t="str">
        <f>IFERROR(VLOOKUP(C18,'Lista desplegable'!B$1:C$436,2,FALSE),"")</f>
        <v>WILLIAM HERNAN ALVAREZ TRUJILLO</v>
      </c>
      <c r="E18" s="7" t="str">
        <f>IFERROR(VLOOKUP(D18,'Lista desplegable'!C$1:D$436,2,FALSE),"")</f>
        <v>SOLDADOR</v>
      </c>
      <c r="F18" s="19" t="s">
        <v>890</v>
      </c>
      <c r="G18" s="11" t="s">
        <v>903</v>
      </c>
      <c r="H18" s="11" t="s">
        <v>911</v>
      </c>
      <c r="I18" s="11">
        <v>1.1499999999999999</v>
      </c>
      <c r="J18" s="11" t="s">
        <v>984</v>
      </c>
      <c r="K18" s="11" t="s">
        <v>918</v>
      </c>
      <c r="L18" s="11" t="s">
        <v>918</v>
      </c>
      <c r="M18" s="11"/>
    </row>
    <row r="19" spans="2:13" s="1" customFormat="1" ht="13.05" customHeight="1" x14ac:dyDescent="0.25">
      <c r="B19" s="24">
        <v>12</v>
      </c>
      <c r="C19" s="10" t="s">
        <v>639</v>
      </c>
      <c r="D19" s="7" t="str">
        <f>IFERROR(VLOOKUP(C19,'Lista desplegable'!B$1:C$436,2,FALSE),"")</f>
        <v>GANTSOOJ KHISHIGBAYAR .</v>
      </c>
      <c r="E19" s="7" t="str">
        <f>IFERROR(VLOOKUP(D19,'Lista desplegable'!C$1:D$436,2,FALSE),"")</f>
        <v>PERFORISTA</v>
      </c>
      <c r="F19" s="19" t="s">
        <v>890</v>
      </c>
      <c r="G19" s="11" t="s">
        <v>903</v>
      </c>
      <c r="H19" s="11" t="s">
        <v>911</v>
      </c>
      <c r="I19" s="11">
        <v>1.1499999999999999</v>
      </c>
      <c r="J19" s="11" t="s">
        <v>984</v>
      </c>
      <c r="K19" s="11"/>
      <c r="L19" s="11"/>
      <c r="M19" s="11"/>
    </row>
    <row r="20" spans="2:13" s="1" customFormat="1" ht="13.05" customHeight="1" x14ac:dyDescent="0.25">
      <c r="B20" s="24">
        <v>13</v>
      </c>
      <c r="C20" s="11" t="s">
        <v>654</v>
      </c>
      <c r="D20" s="7" t="str">
        <f>IFERROR(VLOOKUP(C20,'Lista desplegable'!B$1:C$436,2,FALSE),"")</f>
        <v>IGNACIO ALEJANDRO ROBLES BARRIOS</v>
      </c>
      <c r="E20" s="7" t="str">
        <f>IFERROR(VLOOKUP(D20,'Lista desplegable'!C$1:D$436,2,FALSE),"")</f>
        <v>AYUDANTE DE PERFORISTA</v>
      </c>
      <c r="F20" s="19" t="s">
        <v>890</v>
      </c>
      <c r="G20" s="11" t="s">
        <v>903</v>
      </c>
      <c r="H20" s="11" t="s">
        <v>911</v>
      </c>
      <c r="I20" s="11">
        <v>1.1499999999999999</v>
      </c>
      <c r="J20" s="11" t="s">
        <v>984</v>
      </c>
      <c r="K20" s="11" t="s">
        <v>918</v>
      </c>
      <c r="L20" s="11" t="s">
        <v>918</v>
      </c>
      <c r="M20" s="11"/>
    </row>
    <row r="21" spans="2:13" s="1" customFormat="1" ht="13.05" customHeight="1" x14ac:dyDescent="0.25">
      <c r="B21" s="24">
        <v>14</v>
      </c>
      <c r="C21" s="11" t="s">
        <v>829</v>
      </c>
      <c r="D21" s="7" t="str">
        <f>IFERROR(VLOOKUP(C21,'Lista desplegable'!B$1:C$436,2,FALSE),"")</f>
        <v>RODRIGO ALEJANDRO FLORES ZEPEDA</v>
      </c>
      <c r="E21" s="7" t="str">
        <f>IFERROR(VLOOKUP(D21,'Lista desplegable'!C$1:D$436,2,FALSE),"")</f>
        <v>AYUDANTE DE PERFORISTA</v>
      </c>
      <c r="F21" s="19" t="s">
        <v>890</v>
      </c>
      <c r="G21" s="11" t="s">
        <v>903</v>
      </c>
      <c r="H21" s="11" t="s">
        <v>911</v>
      </c>
      <c r="I21" s="11">
        <v>1.1499999999999999</v>
      </c>
      <c r="J21" s="11" t="s">
        <v>984</v>
      </c>
      <c r="K21" s="11" t="s">
        <v>918</v>
      </c>
      <c r="L21" s="11" t="s">
        <v>918</v>
      </c>
      <c r="M21" s="11"/>
    </row>
    <row r="22" spans="2:13" s="1" customFormat="1" ht="13.05" customHeight="1" x14ac:dyDescent="0.25">
      <c r="B22" s="24">
        <v>15</v>
      </c>
      <c r="C22" s="11" t="s">
        <v>618</v>
      </c>
      <c r="D22" s="7" t="str">
        <f>IFERROR(VLOOKUP(C22,'Lista desplegable'!B$1:C$436,2,FALSE),"")</f>
        <v>FABIAN PATRICIO CABRERA GODOY</v>
      </c>
      <c r="E22" s="7" t="str">
        <f>IFERROR(VLOOKUP(D22,'Lista desplegable'!C$1:D$436,2,FALSE),"")</f>
        <v>AYUDANTE DE PERFORISTA</v>
      </c>
      <c r="F22" s="19" t="s">
        <v>890</v>
      </c>
      <c r="G22" s="11" t="s">
        <v>903</v>
      </c>
      <c r="H22" s="11" t="s">
        <v>911</v>
      </c>
      <c r="I22" s="11">
        <v>1.1499999999999999</v>
      </c>
      <c r="J22" s="11" t="s">
        <v>984</v>
      </c>
      <c r="K22" s="11" t="s">
        <v>918</v>
      </c>
      <c r="L22" s="11" t="s">
        <v>918</v>
      </c>
      <c r="M22" s="11"/>
    </row>
    <row r="23" spans="2:13" s="1" customFormat="1" ht="13.05" customHeight="1" x14ac:dyDescent="0.25">
      <c r="B23" s="24">
        <v>16</v>
      </c>
      <c r="C23" s="11" t="s">
        <v>865</v>
      </c>
      <c r="D23" s="7" t="str">
        <f>IFERROR(VLOOKUP(C23,'Lista desplegable'!B$1:C$436,2,FALSE),"")</f>
        <v>ULINSON DIAZ CORTES</v>
      </c>
      <c r="E23" s="7" t="str">
        <f>IFERROR(VLOOKUP(D23,'Lista desplegable'!C$1:D$436,2,FALSE),"")</f>
        <v>SUPERVISOR DE OPERACIONES</v>
      </c>
      <c r="F23" s="19" t="s">
        <v>890</v>
      </c>
      <c r="G23" s="11" t="s">
        <v>903</v>
      </c>
      <c r="H23" s="11" t="s">
        <v>911</v>
      </c>
      <c r="I23" s="11">
        <v>1.1499999999999999</v>
      </c>
      <c r="J23" s="11" t="s">
        <v>984</v>
      </c>
      <c r="K23" s="11" t="s">
        <v>918</v>
      </c>
      <c r="L23" s="11" t="s">
        <v>918</v>
      </c>
      <c r="M23" s="11"/>
    </row>
    <row r="24" spans="2:13" s="1" customFormat="1" ht="13.05" customHeight="1" x14ac:dyDescent="0.25">
      <c r="B24" s="24">
        <v>17</v>
      </c>
      <c r="C24" s="11"/>
      <c r="D24" s="7" t="str">
        <f>IFERROR(VLOOKUP(C24,'Lista desplegable'!B$1:C$436,2,FALSE),"")</f>
        <v/>
      </c>
      <c r="E24" s="7" t="str">
        <f>IFERROR(VLOOKUP(D24,'Lista desplegable'!C$1:D$436,2,FALSE),"")</f>
        <v/>
      </c>
      <c r="F24" s="19"/>
      <c r="G24" s="11"/>
      <c r="H24" s="11"/>
      <c r="I24" s="11"/>
      <c r="J24" s="11"/>
      <c r="K24" s="11"/>
      <c r="L24" s="11"/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05" customHeight="1" x14ac:dyDescent="0.25">
      <c r="C38"/>
    </row>
    <row r="39" spans="2:13" ht="13.05" customHeight="1" x14ac:dyDescent="0.25">
      <c r="C39"/>
    </row>
    <row r="40" spans="2:13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3" ht="13.05" customHeight="1" x14ac:dyDescent="0.25">
      <c r="B42" s="24">
        <v>1</v>
      </c>
      <c r="C42" s="11" t="s">
        <v>719</v>
      </c>
      <c r="D42" s="7" t="str">
        <f>IFERROR(VLOOKUP(C42,'Lista desplegable'!B$1:C$436,2,FALSE),"")</f>
        <v>LEONARDO ANDRES MENESES ARREDONDO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>
        <v>0</v>
      </c>
      <c r="J42" s="11" t="s">
        <v>984</v>
      </c>
      <c r="K42" s="11" t="s">
        <v>918</v>
      </c>
      <c r="L42" s="11" t="s">
        <v>918</v>
      </c>
      <c r="M42" s="11"/>
    </row>
    <row r="43" spans="2:13" ht="13.05" customHeight="1" x14ac:dyDescent="0.25">
      <c r="B43" s="24">
        <v>2</v>
      </c>
      <c r="C43" s="11" t="s">
        <v>686</v>
      </c>
      <c r="D43" s="7" t="str">
        <f>IFERROR(VLOOKUP(C43,'Lista desplegable'!B$1:C$436,2,FALSE),"")</f>
        <v>JORGE ARMANDO TINOCO OSPINO</v>
      </c>
      <c r="E43" s="7" t="str">
        <f>IFERROR(VLOOKUP(D43,'Lista desplegable'!C$1:D$436,2,FALSE),"")</f>
        <v>CHOFER</v>
      </c>
      <c r="F43" s="19" t="s">
        <v>890</v>
      </c>
      <c r="G43" s="11" t="s">
        <v>903</v>
      </c>
      <c r="H43" s="11" t="s">
        <v>911</v>
      </c>
      <c r="I43" s="11">
        <v>0</v>
      </c>
      <c r="J43" s="11" t="s">
        <v>984</v>
      </c>
      <c r="K43" s="11" t="s">
        <v>918</v>
      </c>
      <c r="L43" s="11" t="s">
        <v>918</v>
      </c>
      <c r="M43" s="11"/>
    </row>
    <row r="44" spans="2:13" ht="13.05" customHeight="1" x14ac:dyDescent="0.25">
      <c r="B44" s="24">
        <v>3</v>
      </c>
      <c r="C44" s="11" t="s">
        <v>534</v>
      </c>
      <c r="D44" s="7" t="str">
        <f>IFERROR(VLOOKUP(C44,'Lista desplegable'!B$1:C$436,2,FALSE),"")</f>
        <v>BENJAMIN JOSEFATT ESPINOZA URIBE</v>
      </c>
      <c r="E44" s="7" t="str">
        <f>IFERROR(VLOOKUP(D44,'Lista desplegable'!C$1:D$436,2,FALSE),"")</f>
        <v>CHOFER</v>
      </c>
      <c r="F44" s="19" t="s">
        <v>890</v>
      </c>
      <c r="G44" s="11" t="s">
        <v>903</v>
      </c>
      <c r="H44" s="11" t="s">
        <v>911</v>
      </c>
      <c r="I44" s="11">
        <v>0</v>
      </c>
      <c r="J44" s="11" t="s">
        <v>984</v>
      </c>
      <c r="K44" s="11" t="s">
        <v>918</v>
      </c>
      <c r="L44" s="11" t="s">
        <v>918</v>
      </c>
      <c r="M44" s="11"/>
    </row>
    <row r="45" spans="2:13" ht="13.05" customHeight="1" x14ac:dyDescent="0.25">
      <c r="B45" s="24">
        <v>4</v>
      </c>
      <c r="C45" s="11" t="s">
        <v>534</v>
      </c>
      <c r="D45" s="7" t="str">
        <f>IFERROR(VLOOKUP(C45,'Lista desplegable'!B$1:C$436,2,FALSE),"")</f>
        <v>BENJAMIN JOSEFATT ESPINOZA URIBE</v>
      </c>
      <c r="E45" s="7" t="str">
        <f>IFERROR(VLOOKUP(D45,'Lista desplegable'!C$1:D$436,2,FALSE),"")</f>
        <v>CHOFER</v>
      </c>
      <c r="F45" s="19" t="s">
        <v>890</v>
      </c>
      <c r="G45" s="11" t="s">
        <v>903</v>
      </c>
      <c r="H45" s="11" t="s">
        <v>911</v>
      </c>
      <c r="I45" s="11">
        <v>0</v>
      </c>
      <c r="J45" s="11" t="s">
        <v>984</v>
      </c>
      <c r="K45" s="11" t="s">
        <v>918</v>
      </c>
      <c r="L45" s="11" t="s">
        <v>918</v>
      </c>
      <c r="M45" s="11"/>
    </row>
    <row r="46" spans="2:13" ht="13.05" customHeight="1" x14ac:dyDescent="0.25">
      <c r="B46" s="24">
        <v>5</v>
      </c>
      <c r="C46" s="11" t="s">
        <v>689</v>
      </c>
      <c r="D46" s="7" t="str">
        <f>IFERROR(VLOOKUP(C46,'Lista desplegable'!B$1:C$436,2,FALSE),"")</f>
        <v>JORGE ERIKSON DURAND RUIZ</v>
      </c>
      <c r="E46" s="7" t="str">
        <f>IFERROR(VLOOKUP(D46,'Lista desplegable'!C$1:D$436,2,FALSE),"")</f>
        <v>MECANICO</v>
      </c>
      <c r="F46" s="19" t="s">
        <v>890</v>
      </c>
      <c r="G46" s="11" t="s">
        <v>903</v>
      </c>
      <c r="H46" s="11" t="s">
        <v>911</v>
      </c>
      <c r="I46" s="11">
        <v>0</v>
      </c>
      <c r="J46" s="11" t="s">
        <v>984</v>
      </c>
      <c r="K46" s="11" t="s">
        <v>918</v>
      </c>
      <c r="L46" s="11" t="s">
        <v>918</v>
      </c>
      <c r="M46" s="11"/>
    </row>
    <row r="47" spans="2:13" ht="13.05" customHeight="1" x14ac:dyDescent="0.25">
      <c r="B47" s="24">
        <v>6</v>
      </c>
      <c r="C47" s="11" t="s">
        <v>530</v>
      </c>
      <c r="D47" s="7" t="str">
        <f>IFERROR(VLOOKUP(C47,'Lista desplegable'!B$1:C$436,2,FALSE),"")</f>
        <v>ARIUNBOLD TSOGKHORKHOI .</v>
      </c>
      <c r="E47" s="7" t="str">
        <f>IFERROR(VLOOKUP(D47,'Lista desplegable'!C$1:D$436,2,FALSE),"")</f>
        <v>PERFORISTA</v>
      </c>
      <c r="F47" s="19" t="s">
        <v>890</v>
      </c>
      <c r="G47" s="11" t="s">
        <v>903</v>
      </c>
      <c r="H47" s="11" t="s">
        <v>911</v>
      </c>
      <c r="I47" s="11">
        <v>0</v>
      </c>
      <c r="J47" s="11" t="s">
        <v>984</v>
      </c>
      <c r="K47" s="11"/>
      <c r="L47" s="11"/>
      <c r="M47" s="11"/>
    </row>
    <row r="48" spans="2:13" ht="13.05" customHeight="1" x14ac:dyDescent="0.25">
      <c r="B48" s="24">
        <v>7</v>
      </c>
      <c r="C48" s="11" t="s">
        <v>723</v>
      </c>
      <c r="D48" s="7" t="str">
        <f>IFERROR(VLOOKUP(C48,'Lista desplegable'!B$1:C$436,2,FALSE),"")</f>
        <v>LEONEL GUILLERMO CAMPUSANO DUBO</v>
      </c>
      <c r="E48" s="7" t="str">
        <f>IFERROR(VLOOKUP(D48,'Lista desplegable'!C$1:D$436,2,FALSE),"")</f>
        <v>AYUDANTE DE PERFORISTA</v>
      </c>
      <c r="F48" s="19" t="s">
        <v>890</v>
      </c>
      <c r="G48" s="11" t="s">
        <v>903</v>
      </c>
      <c r="H48" s="11" t="s">
        <v>911</v>
      </c>
      <c r="I48" s="11">
        <v>0</v>
      </c>
      <c r="J48" s="11" t="s">
        <v>984</v>
      </c>
      <c r="K48" s="11" t="s">
        <v>918</v>
      </c>
      <c r="L48" s="11" t="s">
        <v>918</v>
      </c>
      <c r="M48" s="11"/>
    </row>
    <row r="49" spans="2:13" ht="13.05" customHeight="1" x14ac:dyDescent="0.25">
      <c r="B49" s="24">
        <v>8</v>
      </c>
      <c r="C49" s="11" t="s">
        <v>876</v>
      </c>
      <c r="D49" s="7" t="str">
        <f>IFERROR(VLOOKUP(C49,'Lista desplegable'!B$1:C$436,2,FALSE),"")</f>
        <v>VICTOR MANUEL MONDACA VEGA</v>
      </c>
      <c r="E49" s="7" t="str">
        <f>IFERROR(VLOOKUP(D49,'Lista desplegable'!C$1:D$436,2,FALSE),"")</f>
        <v>AYUDANTE DE PERFORISTA</v>
      </c>
      <c r="F49" s="19" t="s">
        <v>890</v>
      </c>
      <c r="G49" s="11" t="s">
        <v>903</v>
      </c>
      <c r="H49" s="11" t="s">
        <v>911</v>
      </c>
      <c r="I49" s="11">
        <v>0</v>
      </c>
      <c r="J49" s="11" t="s">
        <v>984</v>
      </c>
      <c r="K49" s="11" t="s">
        <v>918</v>
      </c>
      <c r="L49" s="11" t="s">
        <v>918</v>
      </c>
      <c r="M49" s="11"/>
    </row>
    <row r="50" spans="2:13" ht="13.05" customHeight="1" x14ac:dyDescent="0.25">
      <c r="B50" s="24">
        <v>9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11"/>
      <c r="J50" s="11"/>
      <c r="K50" s="11"/>
      <c r="L50" s="11"/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3:I3"/>
    <mergeCell ref="C6:M6"/>
    <mergeCell ref="C40:M40"/>
    <mergeCell ref="G2:I2"/>
  </mergeCells>
  <phoneticPr fontId="5" type="noConversion"/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2B1F2800-D9B0-4795-96DF-A3E22C9E02D8}">
          <x14:formula1>
            <xm:f>'Lista desplegable'!$L$2:$L$3</xm:f>
          </x14:formula1>
          <xm:sqref>K8:L37 K42:L71</xm:sqref>
        </x14:dataValidation>
        <x14:dataValidation type="list" allowBlank="1" showInputMessage="1" showErrorMessage="1" xr:uid="{185E4357-C223-4F14-863D-B7FA5441A774}">
          <x14:formula1>
            <xm:f>'Lista desplegable'!$H$2:$H$7</xm:f>
          </x14:formula1>
          <xm:sqref>G8:G37 G42:G71</xm:sqref>
        </x14:dataValidation>
        <x14:dataValidation type="list" allowBlank="1" showInputMessage="1" showErrorMessage="1" xr:uid="{A8A5CE41-EF58-41CC-B4EB-559B9871B8F7}">
          <x14:formula1>
            <xm:f>'Lista desplegable'!$J$2:$J$10</xm:f>
          </x14:formula1>
          <xm:sqref>H8:H37 H42:H71</xm:sqref>
        </x14:dataValidation>
        <x14:dataValidation type="list" allowBlank="1" showInputMessage="1" showErrorMessage="1" xr:uid="{0157C8FF-454E-483F-AAD3-85309044943D}">
          <x14:formula1>
            <xm:f>'Lista desplegable'!$F$2:$F$19</xm:f>
          </x14:formula1>
          <xm:sqref>F8:F37 F42:F71</xm:sqref>
        </x14:dataValidation>
        <x14:dataValidation type="list" allowBlank="1" showInputMessage="1" showErrorMessage="1" xr:uid="{DC133A94-657B-4113-9887-77CA7FE9D0FD}">
          <x14:formula1>
            <xm:f>'Lista desplegable'!$B$2:$B$436</xm:f>
          </x14:formula1>
          <xm:sqref>C8:C37 C42:C71</xm:sqref>
        </x14:dataValidation>
        <x14:dataValidation type="list" allowBlank="1" showInputMessage="1" showErrorMessage="1" xr:uid="{F2FF1347-793B-417F-87B5-3BEAF594A095}">
          <x14:formula1>
            <xm:f>'Lista desplegable'!$N$2:$N$5</xm:f>
          </x14:formula1>
          <xm:sqref>J8:J37 J42:J71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31F9C-2912-4B2A-AA75-DA69162A9B09}">
  <dimension ref="B1:M93"/>
  <sheetViews>
    <sheetView topLeftCell="A20" zoomScale="80" zoomScaleNormal="80" workbookViewId="0">
      <selection activeCell="D13" sqref="D13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0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21.77734375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46267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25" t="s">
        <v>692</v>
      </c>
      <c r="D8" s="7" t="str">
        <f>IFERROR(VLOOKUP(C8,'Lista desplegable'!B$1:C$436,2,FALSE),"")</f>
        <v>JOSE CRISTIAN BASTIAS PEREZ</v>
      </c>
      <c r="E8" s="7" t="str">
        <f>IFERROR(VLOOKUP(D8,'Lista desplegable'!C$1:D$436,2,FALSE),"")</f>
        <v>SUPERVISOR DE OPERACIONES</v>
      </c>
      <c r="F8" s="19" t="s">
        <v>890</v>
      </c>
      <c r="G8" s="11" t="s">
        <v>903</v>
      </c>
      <c r="H8" s="11" t="s">
        <v>911</v>
      </c>
      <c r="I8" s="11">
        <v>10.3</v>
      </c>
      <c r="J8" s="11" t="s">
        <v>984</v>
      </c>
      <c r="K8" s="11" t="s">
        <v>918</v>
      </c>
      <c r="L8" s="11" t="s">
        <v>918</v>
      </c>
      <c r="M8" s="11" t="s">
        <v>992</v>
      </c>
    </row>
    <row r="9" spans="2:13" s="1" customFormat="1" ht="13.05" customHeight="1" x14ac:dyDescent="0.25">
      <c r="B9" s="24">
        <v>2</v>
      </c>
      <c r="C9" s="26" t="s">
        <v>590</v>
      </c>
      <c r="D9" s="7" t="str">
        <f>IFERROR(VLOOKUP(C9,'Lista desplegable'!B$1:C$436,2,FALSE),"")</f>
        <v>DAYNE JEFFERY PASSMORE .</v>
      </c>
      <c r="E9" s="7" t="str">
        <f>IFERROR(VLOOKUP(D9,'Lista desplegable'!C$1:D$436,2,FALSE),"")</f>
        <v>ADMINISTRADOR DE CONTRATO</v>
      </c>
      <c r="F9" s="19" t="s">
        <v>890</v>
      </c>
      <c r="G9" s="11" t="s">
        <v>903</v>
      </c>
      <c r="H9" s="11" t="s">
        <v>911</v>
      </c>
      <c r="I9" s="11">
        <v>10.3</v>
      </c>
      <c r="J9" s="11" t="s">
        <v>984</v>
      </c>
      <c r="K9" s="11"/>
      <c r="L9" s="11"/>
      <c r="M9" s="11"/>
    </row>
    <row r="10" spans="2:13" s="1" customFormat="1" ht="13.05" customHeight="1" x14ac:dyDescent="0.25">
      <c r="B10" s="24">
        <v>3</v>
      </c>
      <c r="C10" s="25" t="s">
        <v>783</v>
      </c>
      <c r="D10" s="7" t="str">
        <f>IFERROR(VLOOKUP(C10,'Lista desplegable'!B$1:C$436,2,FALSE),"")</f>
        <v>NORA ALEXANDRA SALAS ROJAS</v>
      </c>
      <c r="E10" s="7" t="str">
        <f>IFERROR(VLOOKUP(D10,'Lista desplegable'!C$1:D$436,2,FALSE),"")</f>
        <v>PREVENCIONISTA DE RIESGOS</v>
      </c>
      <c r="F10" s="19" t="s">
        <v>890</v>
      </c>
      <c r="G10" s="11" t="s">
        <v>903</v>
      </c>
      <c r="H10" s="11" t="s">
        <v>911</v>
      </c>
      <c r="I10" s="11">
        <v>10.3</v>
      </c>
      <c r="J10" s="11" t="s">
        <v>984</v>
      </c>
      <c r="K10" s="11" t="s">
        <v>918</v>
      </c>
      <c r="L10" s="11" t="s">
        <v>918</v>
      </c>
      <c r="M10" s="11" t="s">
        <v>996</v>
      </c>
    </row>
    <row r="11" spans="2:13" s="1" customFormat="1" ht="13.05" customHeight="1" x14ac:dyDescent="0.25">
      <c r="B11" s="24">
        <v>4</v>
      </c>
      <c r="C11" s="25" t="s">
        <v>769</v>
      </c>
      <c r="D11" s="7" t="str">
        <f>IFERROR(VLOOKUP(C11,'Lista desplegable'!B$1:C$436,2,FALSE),"")</f>
        <v>NATALY ANTONIA SALAS ESCOBAR</v>
      </c>
      <c r="E11" s="7" t="str">
        <f>IFERROR(VLOOKUP(D11,'Lista desplegable'!C$1:D$436,2,FALSE),"")</f>
        <v>ADMINISTRATIVO DE FAENA</v>
      </c>
      <c r="F11" s="19" t="s">
        <v>890</v>
      </c>
      <c r="G11" s="11" t="s">
        <v>903</v>
      </c>
      <c r="H11" s="11" t="s">
        <v>911</v>
      </c>
      <c r="I11" s="11">
        <v>10.3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25" t="s">
        <v>792</v>
      </c>
      <c r="D12" s="7" t="str">
        <f>IFERROR(VLOOKUP(C12,'Lista desplegable'!B$1:C$436,2,FALSE),"")</f>
        <v>PAOLO ALEJANDRO MANRIQUEZ SILVA</v>
      </c>
      <c r="E12" s="7" t="str">
        <f>IFERROR(VLOOKUP(D12,'Lista desplegable'!C$1:D$436,2,FALSE),"")</f>
        <v>BODEGUERO</v>
      </c>
      <c r="F12" s="19" t="s">
        <v>890</v>
      </c>
      <c r="G12" s="11" t="s">
        <v>903</v>
      </c>
      <c r="H12" s="11" t="s">
        <v>911</v>
      </c>
      <c r="I12" s="11">
        <v>10.3</v>
      </c>
      <c r="J12" s="11" t="s">
        <v>984</v>
      </c>
      <c r="K12" s="11" t="s">
        <v>918</v>
      </c>
      <c r="L12" s="11" t="s">
        <v>918</v>
      </c>
      <c r="M12" s="11" t="s">
        <v>992</v>
      </c>
    </row>
    <row r="13" spans="2:13" s="1" customFormat="1" ht="13.05" customHeight="1" x14ac:dyDescent="0.25">
      <c r="B13" s="24">
        <v>6</v>
      </c>
      <c r="C13" s="27" t="s">
        <v>549</v>
      </c>
      <c r="D13" s="7" t="str">
        <f>IFERROR(VLOOKUP(C13,'Lista desplegable'!B$1:C$436,2,FALSE),"")</f>
        <v>CARLOS EDUARDO RODRIGUEZ HERNANDEZ</v>
      </c>
      <c r="E13" s="7" t="str">
        <f>IFERROR(VLOOKUP(D13,'Lista desplegable'!C$1:D$436,2,FALSE),"")</f>
        <v>ADMINISTRADOR DE CONTRATO</v>
      </c>
      <c r="F13" s="19" t="s">
        <v>890</v>
      </c>
      <c r="G13" s="11" t="s">
        <v>903</v>
      </c>
      <c r="H13" s="11" t="s">
        <v>911</v>
      </c>
      <c r="I13" s="11">
        <v>10.3</v>
      </c>
      <c r="J13" s="11" t="s">
        <v>984</v>
      </c>
      <c r="K13" s="11" t="s">
        <v>918</v>
      </c>
      <c r="L13" s="11" t="s">
        <v>918</v>
      </c>
      <c r="M13" s="11"/>
    </row>
    <row r="14" spans="2:13" s="1" customFormat="1" ht="13.05" customHeight="1" x14ac:dyDescent="0.25">
      <c r="B14" s="24">
        <v>7</v>
      </c>
      <c r="C14" s="27" t="s">
        <v>695</v>
      </c>
      <c r="D14" s="7" t="str">
        <f>IFERROR(VLOOKUP(C14,'Lista desplegable'!B$1:C$436,2,FALSE),"")</f>
        <v>JOSÉ LEONARDO RODRIGUEZ ROBLES</v>
      </c>
      <c r="E14" s="7" t="str">
        <f>IFERROR(VLOOKUP(D14,'Lista desplegable'!C$1:D$436,2,FALSE),"")</f>
        <v>CHOFER</v>
      </c>
      <c r="F14" s="19" t="s">
        <v>890</v>
      </c>
      <c r="G14" s="11" t="s">
        <v>903</v>
      </c>
      <c r="H14" s="11" t="s">
        <v>911</v>
      </c>
      <c r="I14" s="11">
        <v>10.3</v>
      </c>
      <c r="J14" s="11" t="s">
        <v>984</v>
      </c>
      <c r="K14" s="11" t="s">
        <v>918</v>
      </c>
      <c r="L14" s="11" t="s">
        <v>918</v>
      </c>
      <c r="M14" s="11"/>
    </row>
    <row r="15" spans="2:13" s="1" customFormat="1" ht="13.05" customHeight="1" x14ac:dyDescent="0.25">
      <c r="B15" s="24">
        <v>8</v>
      </c>
      <c r="C15" s="27" t="s">
        <v>690</v>
      </c>
      <c r="D15" s="7" t="str">
        <f>IFERROR(VLOOKUP(C15,'Lista desplegable'!B$1:C$436,2,FALSE),"")</f>
        <v>JORGE ESTEBAN SAAVEDRA MENA</v>
      </c>
      <c r="E15" s="7" t="str">
        <f>IFERROR(VLOOKUP(D15,'Lista desplegable'!C$1:D$436,2,FALSE),"")</f>
        <v>CHOFER</v>
      </c>
      <c r="F15" s="19" t="s">
        <v>890</v>
      </c>
      <c r="G15" s="11" t="s">
        <v>903</v>
      </c>
      <c r="H15" s="11" t="s">
        <v>911</v>
      </c>
      <c r="I15" s="11">
        <v>10.3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27" t="s">
        <v>602</v>
      </c>
      <c r="D16" s="7" t="str">
        <f>IFERROR(VLOOKUP(C16,'Lista desplegable'!B$1:C$436,2,FALSE),"")</f>
        <v>ELIAS NICOLAS CORTEZ CORTEZ</v>
      </c>
      <c r="E16" s="7" t="str">
        <f>IFERROR(VLOOKUP(D16,'Lista desplegable'!C$1:D$436,2,FALSE),"")</f>
        <v>CHOFER</v>
      </c>
      <c r="F16" s="19" t="s">
        <v>890</v>
      </c>
      <c r="G16" s="11" t="s">
        <v>903</v>
      </c>
      <c r="H16" s="11" t="s">
        <v>911</v>
      </c>
      <c r="I16" s="11">
        <v>10.3</v>
      </c>
      <c r="J16" s="11" t="s">
        <v>984</v>
      </c>
      <c r="K16" s="11" t="s">
        <v>918</v>
      </c>
      <c r="L16" s="11" t="s">
        <v>918</v>
      </c>
      <c r="M16" s="11"/>
    </row>
    <row r="17" spans="2:13" s="1" customFormat="1" ht="13.05" customHeight="1" x14ac:dyDescent="0.25">
      <c r="B17" s="24">
        <v>10</v>
      </c>
      <c r="C17" s="27" t="s">
        <v>508</v>
      </c>
      <c r="D17" s="7" t="str">
        <f>IFERROR(VLOOKUP(C17,'Lista desplegable'!B$1:C$436,2,FALSE),"")</f>
        <v>ALEJANDRO ALBERTO CAMPILLAY RUIZ</v>
      </c>
      <c r="E17" s="7" t="str">
        <f>IFERROR(VLOOKUP(D17,'Lista desplegable'!C$1:D$436,2,FALSE),"")</f>
        <v>MECANICO</v>
      </c>
      <c r="F17" s="19" t="s">
        <v>890</v>
      </c>
      <c r="G17" s="11" t="s">
        <v>903</v>
      </c>
      <c r="H17" s="11" t="s">
        <v>911</v>
      </c>
      <c r="I17" s="11">
        <v>10.3</v>
      </c>
      <c r="J17" s="11" t="s">
        <v>984</v>
      </c>
      <c r="K17" s="11" t="s">
        <v>918</v>
      </c>
      <c r="L17" s="11" t="s">
        <v>918</v>
      </c>
      <c r="M17" s="11"/>
    </row>
    <row r="18" spans="2:13" s="1" customFormat="1" ht="13.05" customHeight="1" x14ac:dyDescent="0.25">
      <c r="B18" s="24">
        <v>11</v>
      </c>
      <c r="C18" s="27" t="s">
        <v>878</v>
      </c>
      <c r="D18" s="7" t="str">
        <f>IFERROR(VLOOKUP(C18,'Lista desplegable'!B$1:C$436,2,FALSE),"")</f>
        <v>WALDO RAFAEL CASTRO PASTENE</v>
      </c>
      <c r="E18" s="7" t="str">
        <f>IFERROR(VLOOKUP(D18,'Lista desplegable'!C$1:D$436,2,FALSE),"")</f>
        <v>SOLDADOR</v>
      </c>
      <c r="F18" s="19" t="s">
        <v>890</v>
      </c>
      <c r="G18" s="11" t="s">
        <v>903</v>
      </c>
      <c r="H18" s="11" t="s">
        <v>911</v>
      </c>
      <c r="I18" s="11">
        <v>10.3</v>
      </c>
      <c r="J18" s="11" t="s">
        <v>984</v>
      </c>
      <c r="K18" s="11" t="s">
        <v>918</v>
      </c>
      <c r="L18" s="11" t="s">
        <v>918</v>
      </c>
      <c r="M18" s="11" t="s">
        <v>992</v>
      </c>
    </row>
    <row r="19" spans="2:13" s="1" customFormat="1" ht="13.05" customHeight="1" x14ac:dyDescent="0.25">
      <c r="B19" s="24">
        <v>12</v>
      </c>
      <c r="C19" s="26" t="s">
        <v>639</v>
      </c>
      <c r="D19" s="7" t="str">
        <f>IFERROR(VLOOKUP(C19,'Lista desplegable'!B$1:C$436,2,FALSE),"")</f>
        <v>GANTSOOJ KHISHIGBAYAR .</v>
      </c>
      <c r="E19" s="7" t="str">
        <f>IFERROR(VLOOKUP(D19,'Lista desplegable'!C$1:D$436,2,FALSE),"")</f>
        <v>PERFORISTA</v>
      </c>
      <c r="F19" s="19" t="s">
        <v>890</v>
      </c>
      <c r="G19" s="11" t="s">
        <v>903</v>
      </c>
      <c r="H19" s="11" t="s">
        <v>911</v>
      </c>
      <c r="I19" s="11">
        <v>10.3</v>
      </c>
      <c r="J19" s="11" t="s">
        <v>984</v>
      </c>
      <c r="K19" s="11"/>
      <c r="L19" s="11"/>
      <c r="M19" s="11"/>
    </row>
    <row r="20" spans="2:13" s="1" customFormat="1" ht="13.05" customHeight="1" x14ac:dyDescent="0.25">
      <c r="B20" s="24">
        <v>13</v>
      </c>
      <c r="C20" s="27" t="s">
        <v>870</v>
      </c>
      <c r="D20" s="7" t="str">
        <f>IFERROR(VLOOKUP(C20,'Lista desplegable'!B$1:C$436,2,FALSE),"")</f>
        <v>VICENTE ANDRES LOPEZ MARTINEZ</v>
      </c>
      <c r="E20" s="7" t="str">
        <f>IFERROR(VLOOKUP(D20,'Lista desplegable'!C$1:D$436,2,FALSE),"")</f>
        <v>AYUDANTE DE PERFORISTA</v>
      </c>
      <c r="F20" s="19" t="s">
        <v>890</v>
      </c>
      <c r="G20" s="11" t="s">
        <v>903</v>
      </c>
      <c r="H20" s="11" t="s">
        <v>911</v>
      </c>
      <c r="I20" s="11">
        <v>10.3</v>
      </c>
      <c r="J20" s="11" t="s">
        <v>984</v>
      </c>
      <c r="K20" s="11" t="s">
        <v>918</v>
      </c>
      <c r="L20" s="11" t="s">
        <v>918</v>
      </c>
      <c r="M20" s="11"/>
    </row>
    <row r="21" spans="2:13" s="1" customFormat="1" ht="13.05" customHeight="1" x14ac:dyDescent="0.25">
      <c r="B21" s="24">
        <v>14</v>
      </c>
      <c r="C21" s="27" t="s">
        <v>20</v>
      </c>
      <c r="D21" s="7" t="str">
        <f>IFERROR(VLOOKUP(C21,'Lista desplegable'!B$1:C$436,2,FALSE),"")</f>
        <v>CARLOS ALBERTO PIZARRO PIZARRO</v>
      </c>
      <c r="E21" s="7" t="str">
        <f>IFERROR(VLOOKUP(D21,'Lista desplegable'!C$1:D$436,2,FALSE),"")</f>
        <v>AYUDANTE DE PERFORISTA</v>
      </c>
      <c r="F21" s="19" t="s">
        <v>890</v>
      </c>
      <c r="G21" s="11" t="s">
        <v>903</v>
      </c>
      <c r="H21" s="11" t="s">
        <v>911</v>
      </c>
      <c r="I21" s="11">
        <v>10.3</v>
      </c>
      <c r="J21" s="11" t="s">
        <v>984</v>
      </c>
      <c r="K21" s="11" t="s">
        <v>918</v>
      </c>
      <c r="L21" s="11" t="s">
        <v>918</v>
      </c>
      <c r="M21" s="11"/>
    </row>
    <row r="22" spans="2:13" s="1" customFormat="1" ht="13.05" customHeight="1" x14ac:dyDescent="0.25">
      <c r="B22" s="24">
        <v>15</v>
      </c>
      <c r="C22" s="27" t="s">
        <v>624</v>
      </c>
      <c r="D22" s="7" t="str">
        <f>IFERROR(VLOOKUP(C22,'Lista desplegable'!B$1:C$436,2,FALSE),"")</f>
        <v>FELIPE DAVID SAAVEDRA CAMPOS</v>
      </c>
      <c r="E22" s="7" t="str">
        <f>IFERROR(VLOOKUP(D22,'Lista desplegable'!C$1:D$436,2,FALSE),"")</f>
        <v>AYUDANTE DE PERFORISTA</v>
      </c>
      <c r="F22" s="19" t="s">
        <v>890</v>
      </c>
      <c r="G22" s="11" t="s">
        <v>903</v>
      </c>
      <c r="H22" s="11" t="s">
        <v>911</v>
      </c>
      <c r="I22" s="11">
        <v>10.3</v>
      </c>
      <c r="J22" s="11" t="s">
        <v>984</v>
      </c>
      <c r="K22" s="11" t="s">
        <v>918</v>
      </c>
      <c r="L22" s="11" t="s">
        <v>918</v>
      </c>
      <c r="M22" s="11"/>
    </row>
    <row r="23" spans="2:13" s="1" customFormat="1" ht="13.05" customHeight="1" x14ac:dyDescent="0.25">
      <c r="B23" s="24">
        <v>16</v>
      </c>
      <c r="C23" s="10" t="s">
        <v>731</v>
      </c>
      <c r="D23" s="7" t="str">
        <f>IFERROR(VLOOKUP(C23,'Lista desplegable'!B$1:C$436,2,FALSE),"")</f>
        <v>LUIS HUMBERTO PEÑA AHUMADA</v>
      </c>
      <c r="E23" s="7" t="str">
        <f>IFERROR(VLOOKUP(D23,'Lista desplegable'!C$1:D$436,2,FALSE),"")</f>
        <v>CHOFER</v>
      </c>
      <c r="F23" s="19" t="s">
        <v>890</v>
      </c>
      <c r="G23" s="11" t="s">
        <v>903</v>
      </c>
      <c r="H23" s="11" t="s">
        <v>911</v>
      </c>
      <c r="I23" s="11">
        <v>10.3</v>
      </c>
      <c r="J23" s="11" t="s">
        <v>984</v>
      </c>
      <c r="K23" s="11" t="s">
        <v>918</v>
      </c>
      <c r="L23" s="11" t="s">
        <v>918</v>
      </c>
      <c r="M23" s="11"/>
    </row>
    <row r="24" spans="2:13" s="1" customFormat="1" ht="13.05" customHeight="1" x14ac:dyDescent="0.25">
      <c r="B24" s="24">
        <v>17</v>
      </c>
      <c r="C24" s="11"/>
      <c r="D24" s="7" t="str">
        <f>IFERROR(VLOOKUP(C24,'Lista desplegable'!B$1:C$436,2,FALSE),"")</f>
        <v/>
      </c>
      <c r="E24" s="7" t="str">
        <f>IFERROR(VLOOKUP(D24,'Lista desplegable'!C$1:D$436,2,FALSE),"")</f>
        <v/>
      </c>
      <c r="F24" s="19"/>
      <c r="G24" s="11"/>
      <c r="H24" s="11"/>
      <c r="I24" s="11"/>
      <c r="J24" s="11"/>
      <c r="K24" s="11"/>
      <c r="L24" s="11"/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05" customHeight="1" x14ac:dyDescent="0.25">
      <c r="C38"/>
    </row>
    <row r="39" spans="2:13" ht="13.05" customHeight="1" x14ac:dyDescent="0.25">
      <c r="C39"/>
    </row>
    <row r="40" spans="2:13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3" ht="13.05" customHeight="1" x14ac:dyDescent="0.25">
      <c r="B42" s="24">
        <v>1</v>
      </c>
      <c r="C42" s="11" t="s">
        <v>528</v>
      </c>
      <c r="D42" s="7" t="str">
        <f>IFERROR(VLOOKUP(C42,'Lista desplegable'!B$1:C$436,2,FALSE),"")</f>
        <v>ARIEL ANDRES SILVA RIQUELME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>
        <v>8.9</v>
      </c>
      <c r="J42" s="11" t="s">
        <v>984</v>
      </c>
      <c r="K42" s="11" t="s">
        <v>918</v>
      </c>
      <c r="L42" s="11" t="s">
        <v>918</v>
      </c>
      <c r="M42" s="11"/>
    </row>
    <row r="43" spans="2:13" ht="13.05" customHeight="1" x14ac:dyDescent="0.25">
      <c r="B43" s="24">
        <v>2</v>
      </c>
      <c r="C43" s="11" t="s">
        <v>514</v>
      </c>
      <c r="D43" s="7" t="str">
        <f>IFERROR(VLOOKUP(C43,'Lista desplegable'!B$1:C$436,2,FALSE),"")</f>
        <v>ALISSON AYLEEN VILLAGRA CABALLERO</v>
      </c>
      <c r="E43" s="7" t="str">
        <f>IFERROR(VLOOKUP(D43,'Lista desplegable'!C$1:D$436,2,FALSE),"")</f>
        <v>CHOFER</v>
      </c>
      <c r="F43" s="19" t="s">
        <v>890</v>
      </c>
      <c r="G43" s="11" t="s">
        <v>903</v>
      </c>
      <c r="H43" s="11" t="s">
        <v>911</v>
      </c>
      <c r="I43" s="11">
        <v>8.9</v>
      </c>
      <c r="J43" s="11" t="s">
        <v>984</v>
      </c>
      <c r="K43" s="11" t="s">
        <v>918</v>
      </c>
      <c r="L43" s="11" t="s">
        <v>918</v>
      </c>
      <c r="M43" s="11"/>
    </row>
    <row r="44" spans="2:13" ht="13.05" customHeight="1" x14ac:dyDescent="0.25">
      <c r="B44" s="24">
        <v>3</v>
      </c>
      <c r="C44" s="11" t="s">
        <v>735</v>
      </c>
      <c r="D44" s="7" t="str">
        <f>IFERROR(VLOOKUP(C44,'Lista desplegable'!B$1:C$436,2,FALSE),"")</f>
        <v>MANUEL ALEJANDRO TILLERIA SAAVEDRA</v>
      </c>
      <c r="E44" s="7" t="str">
        <f>IFERROR(VLOOKUP(D44,'Lista desplegable'!C$1:D$436,2,FALSE),"")</f>
        <v>MECANICO</v>
      </c>
      <c r="F44" s="19" t="s">
        <v>890</v>
      </c>
      <c r="G44" s="11" t="s">
        <v>903</v>
      </c>
      <c r="H44" s="11" t="s">
        <v>911</v>
      </c>
      <c r="I44" s="11">
        <v>8.9</v>
      </c>
      <c r="J44" s="11" t="s">
        <v>984</v>
      </c>
      <c r="K44" s="11" t="s">
        <v>918</v>
      </c>
      <c r="L44" s="11" t="s">
        <v>918</v>
      </c>
      <c r="M44" s="11"/>
    </row>
    <row r="45" spans="2:13" ht="13.05" customHeight="1" x14ac:dyDescent="0.25">
      <c r="B45" s="24">
        <v>4</v>
      </c>
      <c r="C45" s="11" t="s">
        <v>530</v>
      </c>
      <c r="D45" s="7" t="str">
        <f>IFERROR(VLOOKUP(C45,'Lista desplegable'!B$1:C$436,2,FALSE),"")</f>
        <v>ARIUNBOLD TSOGKHORKHOI .</v>
      </c>
      <c r="E45" s="7" t="str">
        <f>IFERROR(VLOOKUP(D45,'Lista desplegable'!C$1:D$436,2,FALSE),"")</f>
        <v>PERFORISTA</v>
      </c>
      <c r="F45" s="19" t="s">
        <v>890</v>
      </c>
      <c r="G45" s="11" t="s">
        <v>903</v>
      </c>
      <c r="H45" s="11" t="s">
        <v>911</v>
      </c>
      <c r="I45" s="11">
        <v>8.9</v>
      </c>
      <c r="J45" s="11" t="s">
        <v>984</v>
      </c>
      <c r="K45" s="11"/>
      <c r="L45" s="11"/>
      <c r="M45" s="11"/>
    </row>
    <row r="46" spans="2:13" ht="13.05" customHeight="1" x14ac:dyDescent="0.25">
      <c r="B46" s="24">
        <v>5</v>
      </c>
      <c r="C46" s="11" t="s">
        <v>8</v>
      </c>
      <c r="D46" s="7" t="str">
        <f>IFERROR(VLOOKUP(C46,'Lista desplegable'!B$1:C$436,2,FALSE),"")</f>
        <v>EDINSON RODRIGO GONZALEZ CORTINEZ</v>
      </c>
      <c r="E46" s="7" t="str">
        <f>IFERROR(VLOOKUP(D46,'Lista desplegable'!C$1:D$436,2,FALSE),"")</f>
        <v>AYUDANTE DE PERFORISTA</v>
      </c>
      <c r="F46" s="19" t="s">
        <v>890</v>
      </c>
      <c r="G46" s="11" t="s">
        <v>903</v>
      </c>
      <c r="H46" s="11" t="s">
        <v>911</v>
      </c>
      <c r="I46" s="11">
        <v>8.9</v>
      </c>
      <c r="J46" s="11" t="s">
        <v>984</v>
      </c>
      <c r="K46" s="11" t="s">
        <v>918</v>
      </c>
      <c r="L46" s="11" t="s">
        <v>918</v>
      </c>
      <c r="M46" s="11" t="s">
        <v>995</v>
      </c>
    </row>
    <row r="47" spans="2:13" ht="13.05" customHeight="1" x14ac:dyDescent="0.25">
      <c r="B47" s="24">
        <v>6</v>
      </c>
      <c r="C47" s="11" t="s">
        <v>758</v>
      </c>
      <c r="D47" s="7" t="str">
        <f>IFERROR(VLOOKUP(C47,'Lista desplegable'!B$1:C$436,2,FALSE),"")</f>
        <v>MAURICIO ANDRES OYARZUN SALAMANCA</v>
      </c>
      <c r="E47" s="7" t="str">
        <f>IFERROR(VLOOKUP(D47,'Lista desplegable'!C$1:D$436,2,FALSE),"")</f>
        <v>AYUDANTE DE PERFORISTA</v>
      </c>
      <c r="F47" s="19" t="s">
        <v>890</v>
      </c>
      <c r="G47" s="11" t="s">
        <v>903</v>
      </c>
      <c r="H47" s="11" t="s">
        <v>911</v>
      </c>
      <c r="I47" s="11">
        <v>8.9</v>
      </c>
      <c r="J47" s="11" t="s">
        <v>984</v>
      </c>
      <c r="K47" s="11" t="s">
        <v>918</v>
      </c>
      <c r="L47" s="11" t="s">
        <v>918</v>
      </c>
      <c r="M47" s="11"/>
    </row>
    <row r="48" spans="2:13" ht="13.05" customHeight="1" x14ac:dyDescent="0.25">
      <c r="B48" s="24">
        <v>7</v>
      </c>
      <c r="C48" s="11" t="s">
        <v>676</v>
      </c>
      <c r="D48" s="7" t="str">
        <f>IFERROR(VLOOKUP(C48,'Lista desplegable'!B$1:C$436,2,FALSE),"")</f>
        <v>JOHN BYRON VASQUEZ CARROZA</v>
      </c>
      <c r="E48" s="7" t="str">
        <f>IFERROR(VLOOKUP(D48,'Lista desplegable'!C$1:D$436,2,FALSE),"")</f>
        <v>AYUDANTE DE PERFORISTA</v>
      </c>
      <c r="F48" s="19" t="s">
        <v>890</v>
      </c>
      <c r="G48" s="11" t="s">
        <v>903</v>
      </c>
      <c r="H48" s="11" t="s">
        <v>911</v>
      </c>
      <c r="I48" s="11">
        <v>8.9</v>
      </c>
      <c r="J48" s="11" t="s">
        <v>984</v>
      </c>
      <c r="K48" s="11" t="s">
        <v>918</v>
      </c>
      <c r="L48" s="11" t="s">
        <v>918</v>
      </c>
      <c r="M48" s="11"/>
    </row>
    <row r="49" spans="2:13" ht="13.05" customHeight="1" x14ac:dyDescent="0.25">
      <c r="B49" s="24">
        <v>8</v>
      </c>
      <c r="C49" s="11"/>
      <c r="D49" s="7" t="str">
        <f>IFERROR(VLOOKUP(C49,'Lista desplegable'!B$1:C$436,2,FALSE),"")</f>
        <v/>
      </c>
      <c r="E49" s="7"/>
      <c r="F49" s="19"/>
      <c r="G49" s="11"/>
      <c r="H49" s="11"/>
      <c r="I49" s="11"/>
      <c r="J49" s="11"/>
      <c r="K49" s="11"/>
      <c r="L49" s="11"/>
      <c r="M49" s="11"/>
    </row>
    <row r="50" spans="2:13" ht="13.05" customHeight="1" x14ac:dyDescent="0.25">
      <c r="B50" s="24">
        <v>9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11"/>
      <c r="J50" s="11"/>
      <c r="K50" s="11"/>
      <c r="L50" s="11"/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2:I2"/>
    <mergeCell ref="G3:I3"/>
    <mergeCell ref="C6:M6"/>
    <mergeCell ref="C40:M40"/>
  </mergeCell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6E0003E1-071A-4E13-8847-ADEF30EE1D39}">
          <x14:formula1>
            <xm:f>'Lista desplegable'!$N$2:$N$5</xm:f>
          </x14:formula1>
          <xm:sqref>J8:J37 J42:J71</xm:sqref>
        </x14:dataValidation>
        <x14:dataValidation type="list" allowBlank="1" showInputMessage="1" showErrorMessage="1" xr:uid="{C8265D96-FE6D-4CC4-A3CC-9200E848F258}">
          <x14:formula1>
            <xm:f>'Lista desplegable'!$B$2:$B$436</xm:f>
          </x14:formula1>
          <xm:sqref>C23:C37 C8:C12 C42:C71</xm:sqref>
        </x14:dataValidation>
        <x14:dataValidation type="list" allowBlank="1" showInputMessage="1" showErrorMessage="1" xr:uid="{35000788-6CD1-4957-845E-8AC0EBB5382E}">
          <x14:formula1>
            <xm:f>'Lista desplegable'!$F$2:$F$19</xm:f>
          </x14:formula1>
          <xm:sqref>F8:F37 F42:F71</xm:sqref>
        </x14:dataValidation>
        <x14:dataValidation type="list" allowBlank="1" showInputMessage="1" showErrorMessage="1" xr:uid="{BD17E851-741E-4285-8F49-26CA2A6BE9B9}">
          <x14:formula1>
            <xm:f>'Lista desplegable'!$J$2:$J$10</xm:f>
          </x14:formula1>
          <xm:sqref>H8:H37 H42:H71</xm:sqref>
        </x14:dataValidation>
        <x14:dataValidation type="list" allowBlank="1" showInputMessage="1" showErrorMessage="1" xr:uid="{5CE39DFD-B765-4C5A-8347-AE0B282753AA}">
          <x14:formula1>
            <xm:f>'Lista desplegable'!$H$2:$H$7</xm:f>
          </x14:formula1>
          <xm:sqref>G8:G37 G42:G71</xm:sqref>
        </x14:dataValidation>
        <x14:dataValidation type="list" allowBlank="1" showInputMessage="1" showErrorMessage="1" xr:uid="{59A9A794-CDEA-4266-94B9-DBA908B6F315}">
          <x14:formula1>
            <xm:f>'Lista desplegable'!$L$2:$L$3</xm:f>
          </x14:formula1>
          <xm:sqref>K8:L37 K42:L71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B649F-947B-40F9-A444-030913C80B6C}">
  <dimension ref="B1:M93"/>
  <sheetViews>
    <sheetView topLeftCell="A22" zoomScale="80" zoomScaleNormal="80" workbookViewId="0">
      <selection activeCell="D13" sqref="D13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0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21.77734375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46268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11" t="s">
        <v>692</v>
      </c>
      <c r="D8" s="7" t="str">
        <f>IFERROR(VLOOKUP(C8,'Lista desplegable'!B$1:C$436,2,FALSE),"")</f>
        <v>JOSE CRISTIAN BASTIAS PEREZ</v>
      </c>
      <c r="E8" s="7" t="str">
        <f>IFERROR(VLOOKUP(D8,'Lista desplegable'!C$1:D$436,2,FALSE),"")</f>
        <v>SUPERVISOR DE OPERACIONES</v>
      </c>
      <c r="F8" s="19" t="s">
        <v>890</v>
      </c>
      <c r="G8" s="11" t="s">
        <v>903</v>
      </c>
      <c r="H8" s="11" t="s">
        <v>911</v>
      </c>
      <c r="I8" s="11">
        <v>12.1</v>
      </c>
      <c r="J8" s="11" t="s">
        <v>984</v>
      </c>
      <c r="K8" s="11" t="s">
        <v>918</v>
      </c>
      <c r="L8" s="11" t="s">
        <v>918</v>
      </c>
      <c r="M8" s="11"/>
    </row>
    <row r="9" spans="2:13" s="1" customFormat="1" ht="13.05" customHeight="1" x14ac:dyDescent="0.25">
      <c r="B9" s="24">
        <v>2</v>
      </c>
      <c r="C9" s="10" t="s">
        <v>590</v>
      </c>
      <c r="D9" s="7" t="str">
        <f>IFERROR(VLOOKUP(C9,'Lista desplegable'!B$1:C$436,2,FALSE),"")</f>
        <v>DAYNE JEFFERY PASSMORE .</v>
      </c>
      <c r="E9" s="7" t="str">
        <f>IFERROR(VLOOKUP(D9,'Lista desplegable'!C$1:D$436,2,FALSE),"")</f>
        <v>ADMINISTRADOR DE CONTRATO</v>
      </c>
      <c r="F9" s="19" t="s">
        <v>890</v>
      </c>
      <c r="G9" s="11" t="s">
        <v>903</v>
      </c>
      <c r="H9" s="11" t="s">
        <v>911</v>
      </c>
      <c r="I9" s="11">
        <v>12.1</v>
      </c>
      <c r="J9" s="11" t="s">
        <v>984</v>
      </c>
      <c r="K9" s="11"/>
      <c r="L9" s="11"/>
      <c r="M9" s="11" t="s">
        <v>996</v>
      </c>
    </row>
    <row r="10" spans="2:13" s="1" customFormat="1" ht="13.05" customHeight="1" x14ac:dyDescent="0.25">
      <c r="B10" s="24">
        <v>3</v>
      </c>
      <c r="C10" s="11" t="s">
        <v>783</v>
      </c>
      <c r="D10" s="7" t="str">
        <f>IFERROR(VLOOKUP(C10,'Lista desplegable'!B$1:C$436,2,FALSE),"")</f>
        <v>NORA ALEXANDRA SALAS ROJAS</v>
      </c>
      <c r="E10" s="7" t="str">
        <f>IFERROR(VLOOKUP(D10,'Lista desplegable'!C$1:D$436,2,FALSE),"")</f>
        <v>PREVENCIONISTA DE RIESGOS</v>
      </c>
      <c r="F10" s="19" t="s">
        <v>890</v>
      </c>
      <c r="G10" s="11" t="s">
        <v>903</v>
      </c>
      <c r="H10" s="11" t="s">
        <v>911</v>
      </c>
      <c r="I10" s="11">
        <v>12.1</v>
      </c>
      <c r="J10" s="11" t="s">
        <v>984</v>
      </c>
      <c r="K10" s="11" t="s">
        <v>918</v>
      </c>
      <c r="L10" s="11" t="s">
        <v>918</v>
      </c>
      <c r="M10" s="11"/>
    </row>
    <row r="11" spans="2:13" s="1" customFormat="1" ht="13.05" customHeight="1" x14ac:dyDescent="0.25">
      <c r="B11" s="24">
        <v>4</v>
      </c>
      <c r="C11" s="11" t="s">
        <v>769</v>
      </c>
      <c r="D11" s="7" t="str">
        <f>IFERROR(VLOOKUP(C11,'Lista desplegable'!B$1:C$436,2,FALSE),"")</f>
        <v>NATALY ANTONIA SALAS ESCOBAR</v>
      </c>
      <c r="E11" s="7" t="str">
        <f>IFERROR(VLOOKUP(D11,'Lista desplegable'!C$1:D$436,2,FALSE),"")</f>
        <v>ADMINISTRATIVO DE FAENA</v>
      </c>
      <c r="F11" s="19" t="s">
        <v>890</v>
      </c>
      <c r="G11" s="11" t="s">
        <v>903</v>
      </c>
      <c r="H11" s="11" t="s">
        <v>911</v>
      </c>
      <c r="I11" s="11">
        <v>12.1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11" t="s">
        <v>792</v>
      </c>
      <c r="D12" s="7" t="str">
        <f>IFERROR(VLOOKUP(C12,'Lista desplegable'!B$1:C$436,2,FALSE),"")</f>
        <v>PAOLO ALEJANDRO MANRIQUEZ SILVA</v>
      </c>
      <c r="E12" s="7" t="str">
        <f>IFERROR(VLOOKUP(D12,'Lista desplegable'!C$1:D$436,2,FALSE),"")</f>
        <v>BODEGUERO</v>
      </c>
      <c r="F12" s="19" t="s">
        <v>890</v>
      </c>
      <c r="G12" s="11" t="s">
        <v>903</v>
      </c>
      <c r="H12" s="11" t="s">
        <v>911</v>
      </c>
      <c r="I12" s="11">
        <v>12.1</v>
      </c>
      <c r="J12" s="11" t="s">
        <v>984</v>
      </c>
      <c r="K12" s="11" t="s">
        <v>918</v>
      </c>
      <c r="L12" s="11" t="s">
        <v>918</v>
      </c>
      <c r="M12" s="11"/>
    </row>
    <row r="13" spans="2:13" s="1" customFormat="1" ht="13.05" customHeight="1" x14ac:dyDescent="0.25">
      <c r="B13" s="24">
        <v>6</v>
      </c>
      <c r="C13" s="11" t="s">
        <v>549</v>
      </c>
      <c r="D13" s="7" t="str">
        <f>IFERROR(VLOOKUP(C13,'Lista desplegable'!B$1:C$436,2,FALSE),"")</f>
        <v>CARLOS EDUARDO RODRIGUEZ HERNANDEZ</v>
      </c>
      <c r="E13" s="7" t="str">
        <f>IFERROR(VLOOKUP(D13,'Lista desplegable'!C$1:D$436,2,FALSE),"")</f>
        <v>ADMINISTRADOR DE CONTRATO</v>
      </c>
      <c r="F13" s="19" t="s">
        <v>890</v>
      </c>
      <c r="G13" s="11" t="s">
        <v>903</v>
      </c>
      <c r="H13" s="11" t="s">
        <v>911</v>
      </c>
      <c r="I13" s="11">
        <v>12.1</v>
      </c>
      <c r="J13" s="11" t="s">
        <v>984</v>
      </c>
      <c r="K13" s="11" t="s">
        <v>918</v>
      </c>
      <c r="L13" s="11" t="s">
        <v>918</v>
      </c>
      <c r="M13" s="11"/>
    </row>
    <row r="14" spans="2:13" s="1" customFormat="1" ht="13.05" customHeight="1" x14ac:dyDescent="0.25">
      <c r="B14" s="24">
        <v>7</v>
      </c>
      <c r="C14" s="11" t="s">
        <v>695</v>
      </c>
      <c r="D14" s="7" t="str">
        <f>IFERROR(VLOOKUP(C14,'Lista desplegable'!B$1:C$436,2,FALSE),"")</f>
        <v>JOSÉ LEONARDO RODRIGUEZ ROBLES</v>
      </c>
      <c r="E14" s="7" t="str">
        <f>IFERROR(VLOOKUP(D14,'Lista desplegable'!C$1:D$436,2,FALSE),"")</f>
        <v>CHOFER</v>
      </c>
      <c r="F14" s="19" t="s">
        <v>890</v>
      </c>
      <c r="G14" s="11" t="s">
        <v>903</v>
      </c>
      <c r="H14" s="11" t="s">
        <v>911</v>
      </c>
      <c r="I14" s="11">
        <v>12.1</v>
      </c>
      <c r="J14" s="11" t="s">
        <v>984</v>
      </c>
      <c r="K14" s="11" t="s">
        <v>918</v>
      </c>
      <c r="L14" s="11" t="s">
        <v>918</v>
      </c>
      <c r="M14" s="11"/>
    </row>
    <row r="15" spans="2:13" s="1" customFormat="1" ht="13.05" customHeight="1" x14ac:dyDescent="0.25">
      <c r="B15" s="24">
        <v>8</v>
      </c>
      <c r="C15" s="11" t="s">
        <v>690</v>
      </c>
      <c r="D15" s="7" t="str">
        <f>IFERROR(VLOOKUP(C15,'Lista desplegable'!B$1:C$436,2,FALSE),"")</f>
        <v>JORGE ESTEBAN SAAVEDRA MENA</v>
      </c>
      <c r="E15" s="7" t="str">
        <f>IFERROR(VLOOKUP(D15,'Lista desplegable'!C$1:D$436,2,FALSE),"")</f>
        <v>CHOFER</v>
      </c>
      <c r="F15" s="19" t="s">
        <v>890</v>
      </c>
      <c r="G15" s="11" t="s">
        <v>903</v>
      </c>
      <c r="H15" s="11" t="s">
        <v>911</v>
      </c>
      <c r="I15" s="11">
        <v>12.1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11" t="s">
        <v>602</v>
      </c>
      <c r="D16" s="7" t="str">
        <f>IFERROR(VLOOKUP(C16,'Lista desplegable'!B$1:C$436,2,FALSE),"")</f>
        <v>ELIAS NICOLAS CORTEZ CORTEZ</v>
      </c>
      <c r="E16" s="7" t="str">
        <f>IFERROR(VLOOKUP(D16,'Lista desplegable'!C$1:D$436,2,FALSE),"")</f>
        <v>CHOFER</v>
      </c>
      <c r="F16" s="19" t="s">
        <v>890</v>
      </c>
      <c r="G16" s="11" t="s">
        <v>903</v>
      </c>
      <c r="H16" s="11" t="s">
        <v>911</v>
      </c>
      <c r="I16" s="11">
        <v>12.1</v>
      </c>
      <c r="J16" s="11" t="s">
        <v>984</v>
      </c>
      <c r="K16" s="11" t="s">
        <v>918</v>
      </c>
      <c r="L16" s="11" t="s">
        <v>918</v>
      </c>
      <c r="M16" s="11"/>
    </row>
    <row r="17" spans="2:13" s="1" customFormat="1" ht="13.05" customHeight="1" x14ac:dyDescent="0.25">
      <c r="B17" s="24">
        <v>10</v>
      </c>
      <c r="C17" s="11" t="s">
        <v>508</v>
      </c>
      <c r="D17" s="7" t="str">
        <f>IFERROR(VLOOKUP(C17,'Lista desplegable'!B$1:C$436,2,FALSE),"")</f>
        <v>ALEJANDRO ALBERTO CAMPILLAY RUIZ</v>
      </c>
      <c r="E17" s="7" t="str">
        <f>IFERROR(VLOOKUP(D17,'Lista desplegable'!C$1:D$436,2,FALSE),"")</f>
        <v>MECANICO</v>
      </c>
      <c r="F17" s="19" t="s">
        <v>890</v>
      </c>
      <c r="G17" s="11" t="s">
        <v>903</v>
      </c>
      <c r="H17" s="11" t="s">
        <v>911</v>
      </c>
      <c r="I17" s="11">
        <v>12.1</v>
      </c>
      <c r="J17" s="11" t="s">
        <v>984</v>
      </c>
      <c r="K17" s="11" t="s">
        <v>918</v>
      </c>
      <c r="L17" s="11" t="s">
        <v>918</v>
      </c>
      <c r="M17" s="11"/>
    </row>
    <row r="18" spans="2:13" s="1" customFormat="1" ht="13.05" customHeight="1" x14ac:dyDescent="0.25">
      <c r="B18" s="24">
        <v>11</v>
      </c>
      <c r="C18" s="11" t="s">
        <v>878</v>
      </c>
      <c r="D18" s="7" t="str">
        <f>IFERROR(VLOOKUP(C18,'Lista desplegable'!B$1:C$436,2,FALSE),"")</f>
        <v>WALDO RAFAEL CASTRO PASTENE</v>
      </c>
      <c r="E18" s="7" t="str">
        <f>IFERROR(VLOOKUP(D18,'Lista desplegable'!C$1:D$436,2,FALSE),"")</f>
        <v>SOLDADOR</v>
      </c>
      <c r="F18" s="19" t="s">
        <v>890</v>
      </c>
      <c r="G18" s="11" t="s">
        <v>903</v>
      </c>
      <c r="H18" s="11" t="s">
        <v>911</v>
      </c>
      <c r="I18" s="11">
        <v>12.1</v>
      </c>
      <c r="J18" s="11" t="s">
        <v>984</v>
      </c>
      <c r="K18" s="11" t="s">
        <v>918</v>
      </c>
      <c r="L18" s="11" t="s">
        <v>918</v>
      </c>
      <c r="M18" s="11"/>
    </row>
    <row r="19" spans="2:13" s="1" customFormat="1" ht="13.05" customHeight="1" x14ac:dyDescent="0.25">
      <c r="B19" s="24">
        <v>12</v>
      </c>
      <c r="C19" s="10" t="s">
        <v>639</v>
      </c>
      <c r="D19" s="7" t="str">
        <f>IFERROR(VLOOKUP(C19,'Lista desplegable'!B$1:C$436,2,FALSE),"")</f>
        <v>GANTSOOJ KHISHIGBAYAR .</v>
      </c>
      <c r="E19" s="7" t="str">
        <f>IFERROR(VLOOKUP(D19,'Lista desplegable'!C$1:D$436,2,FALSE),"")</f>
        <v>PERFORISTA</v>
      </c>
      <c r="F19" s="19" t="s">
        <v>890</v>
      </c>
      <c r="G19" s="11" t="s">
        <v>903</v>
      </c>
      <c r="H19" s="11" t="s">
        <v>911</v>
      </c>
      <c r="I19" s="11">
        <v>12.1</v>
      </c>
      <c r="J19" s="11" t="s">
        <v>984</v>
      </c>
      <c r="K19" s="11"/>
      <c r="L19" s="11"/>
      <c r="M19" s="11"/>
    </row>
    <row r="20" spans="2:13" s="1" customFormat="1" ht="13.05" customHeight="1" x14ac:dyDescent="0.25">
      <c r="B20" s="24">
        <v>13</v>
      </c>
      <c r="C20" s="11" t="s">
        <v>870</v>
      </c>
      <c r="D20" s="7" t="str">
        <f>IFERROR(VLOOKUP(C20,'Lista desplegable'!B$1:C$436,2,FALSE),"")</f>
        <v>VICENTE ANDRES LOPEZ MARTINEZ</v>
      </c>
      <c r="E20" s="7" t="str">
        <f>IFERROR(VLOOKUP(D20,'Lista desplegable'!C$1:D$436,2,FALSE),"")</f>
        <v>AYUDANTE DE PERFORISTA</v>
      </c>
      <c r="F20" s="19" t="s">
        <v>890</v>
      </c>
      <c r="G20" s="11" t="s">
        <v>903</v>
      </c>
      <c r="H20" s="11" t="s">
        <v>911</v>
      </c>
      <c r="I20" s="11">
        <v>12.1</v>
      </c>
      <c r="J20" s="11" t="s">
        <v>984</v>
      </c>
      <c r="K20" s="11" t="s">
        <v>918</v>
      </c>
      <c r="L20" s="11" t="s">
        <v>918</v>
      </c>
      <c r="M20" s="11"/>
    </row>
    <row r="21" spans="2:13" s="1" customFormat="1" ht="13.05" customHeight="1" x14ac:dyDescent="0.25">
      <c r="B21" s="24">
        <v>14</v>
      </c>
      <c r="C21" s="11" t="s">
        <v>20</v>
      </c>
      <c r="D21" s="7" t="str">
        <f>IFERROR(VLOOKUP(C21,'Lista desplegable'!B$1:C$436,2,FALSE),"")</f>
        <v>CARLOS ALBERTO PIZARRO PIZARRO</v>
      </c>
      <c r="E21" s="7" t="str">
        <f>IFERROR(VLOOKUP(D21,'Lista desplegable'!C$1:D$436,2,FALSE),"")</f>
        <v>AYUDANTE DE PERFORISTA</v>
      </c>
      <c r="F21" s="19" t="s">
        <v>890</v>
      </c>
      <c r="G21" s="11" t="s">
        <v>903</v>
      </c>
      <c r="H21" s="11" t="s">
        <v>911</v>
      </c>
      <c r="I21" s="11">
        <v>12.1</v>
      </c>
      <c r="J21" s="11" t="s">
        <v>984</v>
      </c>
      <c r="K21" s="11" t="s">
        <v>918</v>
      </c>
      <c r="L21" s="11" t="s">
        <v>918</v>
      </c>
      <c r="M21" s="11"/>
    </row>
    <row r="22" spans="2:13" s="1" customFormat="1" ht="13.05" customHeight="1" x14ac:dyDescent="0.25">
      <c r="B22" s="24">
        <v>15</v>
      </c>
      <c r="C22" s="11" t="s">
        <v>624</v>
      </c>
      <c r="D22" s="7" t="str">
        <f>IFERROR(VLOOKUP(C22,'Lista desplegable'!B$1:C$436,2,FALSE),"")</f>
        <v>FELIPE DAVID SAAVEDRA CAMPOS</v>
      </c>
      <c r="E22" s="7" t="str">
        <f>IFERROR(VLOOKUP(D22,'Lista desplegable'!C$1:D$436,2,FALSE),"")</f>
        <v>AYUDANTE DE PERFORISTA</v>
      </c>
      <c r="F22" s="19" t="s">
        <v>890</v>
      </c>
      <c r="G22" s="11" t="s">
        <v>903</v>
      </c>
      <c r="H22" s="11" t="s">
        <v>911</v>
      </c>
      <c r="I22" s="11">
        <v>12.1</v>
      </c>
      <c r="J22" s="11" t="s">
        <v>984</v>
      </c>
      <c r="K22" s="11" t="s">
        <v>918</v>
      </c>
      <c r="L22" s="11" t="s">
        <v>918</v>
      </c>
      <c r="M22" s="11"/>
    </row>
    <row r="23" spans="2:13" s="1" customFormat="1" ht="13.05" customHeight="1" x14ac:dyDescent="0.25">
      <c r="B23" s="24">
        <v>16</v>
      </c>
      <c r="C23" s="10" t="s">
        <v>731</v>
      </c>
      <c r="D23" s="7" t="str">
        <f>IFERROR(VLOOKUP(C23,'Lista desplegable'!B$1:C$436,2,FALSE),"")</f>
        <v>LUIS HUMBERTO PEÑA AHUMADA</v>
      </c>
      <c r="E23" s="7" t="str">
        <f>IFERROR(VLOOKUP(D23,'Lista desplegable'!C$1:D$436,2,FALSE),"")</f>
        <v>CHOFER</v>
      </c>
      <c r="F23" s="19" t="s">
        <v>890</v>
      </c>
      <c r="G23" s="11" t="s">
        <v>903</v>
      </c>
      <c r="H23" s="11" t="s">
        <v>911</v>
      </c>
      <c r="I23" s="11">
        <v>12.1</v>
      </c>
      <c r="J23" s="11" t="s">
        <v>984</v>
      </c>
      <c r="K23" s="11" t="s">
        <v>918</v>
      </c>
      <c r="L23" s="11" t="s">
        <v>918</v>
      </c>
      <c r="M23" s="11"/>
    </row>
    <row r="24" spans="2:13" s="1" customFormat="1" ht="13.05" customHeight="1" x14ac:dyDescent="0.25">
      <c r="B24" s="24">
        <v>17</v>
      </c>
      <c r="C24" s="11"/>
      <c r="D24" s="7" t="str">
        <f>IFERROR(VLOOKUP(C24,'Lista desplegable'!B$1:C$436,2,FALSE),"")</f>
        <v/>
      </c>
      <c r="E24" s="7" t="str">
        <f>IFERROR(VLOOKUP(D24,'Lista desplegable'!C$1:D$436,2,FALSE),"")</f>
        <v/>
      </c>
      <c r="F24" s="19"/>
      <c r="G24" s="11"/>
      <c r="H24" s="11"/>
      <c r="I24" s="11"/>
      <c r="J24" s="11"/>
      <c r="K24" s="11"/>
      <c r="L24" s="11"/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05" customHeight="1" x14ac:dyDescent="0.25">
      <c r="C38"/>
    </row>
    <row r="39" spans="2:13" ht="13.05" customHeight="1" x14ac:dyDescent="0.25">
      <c r="C39"/>
    </row>
    <row r="40" spans="2:13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3" ht="13.05" customHeight="1" x14ac:dyDescent="0.25">
      <c r="B42" s="24">
        <v>1</v>
      </c>
      <c r="C42" s="11" t="s">
        <v>528</v>
      </c>
      <c r="D42" s="7" t="str">
        <f>IFERROR(VLOOKUP(C42,'Lista desplegable'!B$1:C$436,2,FALSE),"")</f>
        <v>ARIEL ANDRES SILVA RIQUELME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>
        <v>15</v>
      </c>
      <c r="J42" s="11" t="s">
        <v>984</v>
      </c>
      <c r="K42" s="11" t="s">
        <v>918</v>
      </c>
      <c r="L42" s="11" t="s">
        <v>918</v>
      </c>
      <c r="M42" s="11" t="s">
        <v>998</v>
      </c>
    </row>
    <row r="43" spans="2:13" ht="13.05" customHeight="1" x14ac:dyDescent="0.25">
      <c r="B43" s="24">
        <v>2</v>
      </c>
      <c r="C43" s="11" t="s">
        <v>514</v>
      </c>
      <c r="D43" s="7" t="str">
        <f>IFERROR(VLOOKUP(C43,'Lista desplegable'!B$1:C$436,2,FALSE),"")</f>
        <v>ALISSON AYLEEN VILLAGRA CABALLERO</v>
      </c>
      <c r="E43" s="7" t="str">
        <f>IFERROR(VLOOKUP(D43,'Lista desplegable'!C$1:D$436,2,FALSE),"")</f>
        <v>CHOFER</v>
      </c>
      <c r="F43" s="19" t="s">
        <v>890</v>
      </c>
      <c r="G43" s="11" t="s">
        <v>903</v>
      </c>
      <c r="H43" s="11" t="s">
        <v>911</v>
      </c>
      <c r="I43" s="11">
        <v>15</v>
      </c>
      <c r="J43" s="11" t="s">
        <v>984</v>
      </c>
      <c r="K43" s="11" t="s">
        <v>918</v>
      </c>
      <c r="L43" s="11" t="s">
        <v>918</v>
      </c>
      <c r="M43" s="11"/>
    </row>
    <row r="44" spans="2:13" ht="13.05" customHeight="1" x14ac:dyDescent="0.25">
      <c r="B44" s="24">
        <v>3</v>
      </c>
      <c r="C44" s="11" t="s">
        <v>735</v>
      </c>
      <c r="D44" s="7" t="str">
        <f>IFERROR(VLOOKUP(C44,'Lista desplegable'!B$1:C$436,2,FALSE),"")</f>
        <v>MANUEL ALEJANDRO TILLERIA SAAVEDRA</v>
      </c>
      <c r="E44" s="7" t="str">
        <f>IFERROR(VLOOKUP(D44,'Lista desplegable'!C$1:D$436,2,FALSE),"")</f>
        <v>MECANICO</v>
      </c>
      <c r="F44" s="19" t="s">
        <v>890</v>
      </c>
      <c r="G44" s="11" t="s">
        <v>903</v>
      </c>
      <c r="H44" s="11" t="s">
        <v>911</v>
      </c>
      <c r="I44" s="11">
        <v>15</v>
      </c>
      <c r="J44" s="11" t="s">
        <v>984</v>
      </c>
      <c r="K44" s="11" t="s">
        <v>918</v>
      </c>
      <c r="L44" s="11" t="s">
        <v>918</v>
      </c>
      <c r="M44" s="11"/>
    </row>
    <row r="45" spans="2:13" ht="13.05" customHeight="1" x14ac:dyDescent="0.25">
      <c r="B45" s="24">
        <v>4</v>
      </c>
      <c r="C45" s="11" t="s">
        <v>530</v>
      </c>
      <c r="D45" s="7" t="str">
        <f>IFERROR(VLOOKUP(C45,'Lista desplegable'!B$1:C$436,2,FALSE),"")</f>
        <v>ARIUNBOLD TSOGKHORKHOI .</v>
      </c>
      <c r="E45" s="7" t="str">
        <f>IFERROR(VLOOKUP(D45,'Lista desplegable'!C$1:D$436,2,FALSE),"")</f>
        <v>PERFORISTA</v>
      </c>
      <c r="F45" s="19" t="s">
        <v>890</v>
      </c>
      <c r="G45" s="11" t="s">
        <v>903</v>
      </c>
      <c r="H45" s="11" t="s">
        <v>911</v>
      </c>
      <c r="I45" s="11">
        <v>15</v>
      </c>
      <c r="J45" s="11" t="s">
        <v>984</v>
      </c>
      <c r="K45" s="11"/>
      <c r="L45" s="11"/>
      <c r="M45" s="11"/>
    </row>
    <row r="46" spans="2:13" ht="13.05" customHeight="1" x14ac:dyDescent="0.25">
      <c r="B46" s="24">
        <v>5</v>
      </c>
      <c r="C46" s="11" t="s">
        <v>8</v>
      </c>
      <c r="D46" s="7" t="str">
        <f>IFERROR(VLOOKUP(C46,'Lista desplegable'!B$1:C$436,2,FALSE),"")</f>
        <v>EDINSON RODRIGO GONZALEZ CORTINEZ</v>
      </c>
      <c r="E46" s="7" t="str">
        <f>IFERROR(VLOOKUP(D46,'Lista desplegable'!C$1:D$436,2,FALSE),"")</f>
        <v>AYUDANTE DE PERFORISTA</v>
      </c>
      <c r="F46" s="19" t="s">
        <v>890</v>
      </c>
      <c r="G46" s="11" t="s">
        <v>903</v>
      </c>
      <c r="H46" s="11" t="s">
        <v>911</v>
      </c>
      <c r="I46" s="11">
        <v>15</v>
      </c>
      <c r="J46" s="11" t="s">
        <v>984</v>
      </c>
      <c r="K46" s="11" t="s">
        <v>918</v>
      </c>
      <c r="L46" s="11" t="s">
        <v>918</v>
      </c>
      <c r="M46" s="11" t="s">
        <v>995</v>
      </c>
    </row>
    <row r="47" spans="2:13" ht="13.05" customHeight="1" x14ac:dyDescent="0.25">
      <c r="B47" s="24">
        <v>6</v>
      </c>
      <c r="C47" s="11" t="s">
        <v>758</v>
      </c>
      <c r="D47" s="7" t="str">
        <f>IFERROR(VLOOKUP(C47,'Lista desplegable'!B$1:C$436,2,FALSE),"")</f>
        <v>MAURICIO ANDRES OYARZUN SALAMANCA</v>
      </c>
      <c r="E47" s="7" t="str">
        <f>IFERROR(VLOOKUP(D47,'Lista desplegable'!C$1:D$436,2,FALSE),"")</f>
        <v>AYUDANTE DE PERFORISTA</v>
      </c>
      <c r="F47" s="19" t="s">
        <v>890</v>
      </c>
      <c r="G47" s="11" t="s">
        <v>903</v>
      </c>
      <c r="H47" s="11" t="s">
        <v>911</v>
      </c>
      <c r="I47" s="11">
        <v>15</v>
      </c>
      <c r="J47" s="11" t="s">
        <v>984</v>
      </c>
      <c r="K47" s="11" t="s">
        <v>918</v>
      </c>
      <c r="L47" s="11" t="s">
        <v>918</v>
      </c>
      <c r="M47" s="11"/>
    </row>
    <row r="48" spans="2:13" ht="13.05" customHeight="1" x14ac:dyDescent="0.25">
      <c r="B48" s="24">
        <v>7</v>
      </c>
      <c r="C48" s="11" t="s">
        <v>676</v>
      </c>
      <c r="D48" s="7" t="str">
        <f>IFERROR(VLOOKUP(C48,'Lista desplegable'!B$1:C$436,2,FALSE),"")</f>
        <v>JOHN BYRON VASQUEZ CARROZA</v>
      </c>
      <c r="E48" s="7" t="str">
        <f>IFERROR(VLOOKUP(D48,'Lista desplegable'!C$1:D$436,2,FALSE),"")</f>
        <v>AYUDANTE DE PERFORISTA</v>
      </c>
      <c r="F48" s="19" t="s">
        <v>890</v>
      </c>
      <c r="G48" s="11" t="s">
        <v>903</v>
      </c>
      <c r="H48" s="11" t="s">
        <v>911</v>
      </c>
      <c r="I48" s="11">
        <v>15</v>
      </c>
      <c r="J48" s="11" t="s">
        <v>984</v>
      </c>
      <c r="K48" s="11" t="s">
        <v>918</v>
      </c>
      <c r="L48" s="11" t="s">
        <v>918</v>
      </c>
      <c r="M48" s="11"/>
    </row>
    <row r="49" spans="2:13" ht="13.05" customHeight="1" x14ac:dyDescent="0.25">
      <c r="B49" s="24">
        <v>8</v>
      </c>
      <c r="C49" s="11"/>
      <c r="D49" s="7" t="str">
        <f>IFERROR(VLOOKUP(C49,'Lista desplegable'!B$1:C$436,2,FALSE),"")</f>
        <v/>
      </c>
      <c r="E49" s="7" t="str">
        <f>IFERROR(VLOOKUP(D49,'Lista desplegable'!C$1:D$436,2,FALSE),"")</f>
        <v/>
      </c>
      <c r="F49" s="19"/>
      <c r="G49" s="11"/>
      <c r="H49" s="11"/>
      <c r="I49" s="11"/>
      <c r="J49" s="11"/>
      <c r="K49" s="11"/>
      <c r="L49" s="11"/>
      <c r="M49" s="11"/>
    </row>
    <row r="50" spans="2:13" ht="13.05" customHeight="1" x14ac:dyDescent="0.25">
      <c r="B50" s="24">
        <v>9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11"/>
      <c r="J50" s="11"/>
      <c r="K50" s="11"/>
      <c r="L50" s="11"/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2:I2"/>
    <mergeCell ref="G3:I3"/>
    <mergeCell ref="C6:M6"/>
    <mergeCell ref="C40:M40"/>
  </mergeCell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6A17E920-AE55-4BEA-A2B2-5C7D13C2D24A}">
          <x14:formula1>
            <xm:f>'Lista desplegable'!$L$2:$L$3</xm:f>
          </x14:formula1>
          <xm:sqref>K8:L37 K42:L71</xm:sqref>
        </x14:dataValidation>
        <x14:dataValidation type="list" allowBlank="1" showInputMessage="1" showErrorMessage="1" xr:uid="{47BADB6A-E33F-4503-898A-26E006C63455}">
          <x14:formula1>
            <xm:f>'Lista desplegable'!$H$2:$H$7</xm:f>
          </x14:formula1>
          <xm:sqref>G8:G37 G42:G71</xm:sqref>
        </x14:dataValidation>
        <x14:dataValidation type="list" allowBlank="1" showInputMessage="1" showErrorMessage="1" xr:uid="{F2A6180E-D838-4C79-82DA-98D97CA4ECA7}">
          <x14:formula1>
            <xm:f>'Lista desplegable'!$J$2:$J$10</xm:f>
          </x14:formula1>
          <xm:sqref>H8:H37 H42:H71</xm:sqref>
        </x14:dataValidation>
        <x14:dataValidation type="list" allowBlank="1" showInputMessage="1" showErrorMessage="1" xr:uid="{9EA4A28A-51DB-484E-8600-74638D62C1D6}">
          <x14:formula1>
            <xm:f>'Lista desplegable'!$F$2:$F$19</xm:f>
          </x14:formula1>
          <xm:sqref>F8:F37 F42:F71</xm:sqref>
        </x14:dataValidation>
        <x14:dataValidation type="list" allowBlank="1" showInputMessage="1" showErrorMessage="1" xr:uid="{91A0CE3E-5423-47F2-990D-E6CD8C36CE62}">
          <x14:formula1>
            <xm:f>'Lista desplegable'!$B$2:$B$436</xm:f>
          </x14:formula1>
          <xm:sqref>C8:C37 C42:C71</xm:sqref>
        </x14:dataValidation>
        <x14:dataValidation type="list" allowBlank="1" showInputMessage="1" showErrorMessage="1" xr:uid="{6F4E63F5-9A14-41CF-AC6D-ADA2E5B4E2B0}">
          <x14:formula1>
            <xm:f>'Lista desplegable'!$N$2:$N$5</xm:f>
          </x14:formula1>
          <xm:sqref>J8:J37 J42:J71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B1CB5-1686-4B1C-BC34-CFFA83FA0004}">
  <dimension ref="B1:M93"/>
  <sheetViews>
    <sheetView topLeftCell="A23" zoomScale="80" zoomScaleNormal="80" workbookViewId="0">
      <selection activeCell="M10" sqref="M10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0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21.77734375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46269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11" t="s">
        <v>692</v>
      </c>
      <c r="D8" s="7" t="str">
        <f>IFERROR(VLOOKUP(C8,'Lista desplegable'!B$1:C$436,2,FALSE),"")</f>
        <v>JOSE CRISTIAN BASTIAS PEREZ</v>
      </c>
      <c r="E8" s="7" t="str">
        <f>IFERROR(VLOOKUP(D8,'Lista desplegable'!C$1:D$436,2,FALSE),"")</f>
        <v>SUPERVISOR DE OPERACIONES</v>
      </c>
      <c r="F8" s="19" t="s">
        <v>890</v>
      </c>
      <c r="G8" s="11" t="s">
        <v>903</v>
      </c>
      <c r="H8" s="11" t="s">
        <v>911</v>
      </c>
      <c r="I8" s="11">
        <v>24</v>
      </c>
      <c r="J8" s="11" t="s">
        <v>984</v>
      </c>
      <c r="K8" s="11" t="s">
        <v>918</v>
      </c>
      <c r="L8" s="11" t="s">
        <v>918</v>
      </c>
      <c r="M8" s="11"/>
    </row>
    <row r="9" spans="2:13" s="1" customFormat="1" ht="13.05" customHeight="1" x14ac:dyDescent="0.25">
      <c r="B9" s="24">
        <v>2</v>
      </c>
      <c r="C9" s="10" t="s">
        <v>590</v>
      </c>
      <c r="D9" s="7" t="str">
        <f>IFERROR(VLOOKUP(C9,'Lista desplegable'!B$1:C$436,2,FALSE),"")</f>
        <v>DAYNE JEFFERY PASSMORE .</v>
      </c>
      <c r="E9" s="7" t="str">
        <f>IFERROR(VLOOKUP(D9,'Lista desplegable'!C$1:D$436,2,FALSE),"")</f>
        <v>ADMINISTRADOR DE CONTRATO</v>
      </c>
      <c r="F9" s="19" t="s">
        <v>890</v>
      </c>
      <c r="G9" s="11" t="s">
        <v>903</v>
      </c>
      <c r="H9" s="11" t="s">
        <v>911</v>
      </c>
      <c r="I9" s="11">
        <v>24</v>
      </c>
      <c r="J9" s="11" t="s">
        <v>984</v>
      </c>
      <c r="K9" s="11"/>
      <c r="L9" s="11"/>
      <c r="M9" s="11"/>
    </row>
    <row r="10" spans="2:13" s="1" customFormat="1" ht="13.05" customHeight="1" x14ac:dyDescent="0.25">
      <c r="B10" s="24">
        <v>3</v>
      </c>
      <c r="C10" s="11" t="s">
        <v>783</v>
      </c>
      <c r="D10" s="7" t="str">
        <f>IFERROR(VLOOKUP(C10,'Lista desplegable'!B$1:C$436,2,FALSE),"")</f>
        <v>NORA ALEXANDRA SALAS ROJAS</v>
      </c>
      <c r="E10" s="7" t="str">
        <f>IFERROR(VLOOKUP(D10,'Lista desplegable'!C$1:D$436,2,FALSE),"")</f>
        <v>PREVENCIONISTA DE RIESGOS</v>
      </c>
      <c r="F10" s="19" t="s">
        <v>890</v>
      </c>
      <c r="G10" s="11" t="s">
        <v>903</v>
      </c>
      <c r="H10" s="11" t="s">
        <v>911</v>
      </c>
      <c r="I10" s="11">
        <v>24</v>
      </c>
      <c r="J10" s="11" t="s">
        <v>984</v>
      </c>
      <c r="K10" s="11" t="s">
        <v>918</v>
      </c>
      <c r="L10" s="11" t="s">
        <v>918</v>
      </c>
      <c r="M10" s="11" t="s">
        <v>996</v>
      </c>
    </row>
    <row r="11" spans="2:13" s="1" customFormat="1" ht="13.05" customHeight="1" x14ac:dyDescent="0.25">
      <c r="B11" s="24">
        <v>4</v>
      </c>
      <c r="C11" s="11" t="s">
        <v>769</v>
      </c>
      <c r="D11" s="7" t="str">
        <f>IFERROR(VLOOKUP(C11,'Lista desplegable'!B$1:C$436,2,FALSE),"")</f>
        <v>NATALY ANTONIA SALAS ESCOBAR</v>
      </c>
      <c r="E11" s="7" t="str">
        <f>IFERROR(VLOOKUP(D11,'Lista desplegable'!C$1:D$436,2,FALSE),"")</f>
        <v>ADMINISTRATIVO DE FAENA</v>
      </c>
      <c r="F11" s="19" t="s">
        <v>890</v>
      </c>
      <c r="G11" s="11" t="s">
        <v>903</v>
      </c>
      <c r="H11" s="11" t="s">
        <v>911</v>
      </c>
      <c r="I11" s="11">
        <v>24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11" t="s">
        <v>792</v>
      </c>
      <c r="D12" s="7" t="str">
        <f>IFERROR(VLOOKUP(C12,'Lista desplegable'!B$1:C$436,2,FALSE),"")</f>
        <v>PAOLO ALEJANDRO MANRIQUEZ SILVA</v>
      </c>
      <c r="E12" s="7" t="str">
        <f>IFERROR(VLOOKUP(D12,'Lista desplegable'!C$1:D$436,2,FALSE),"")</f>
        <v>BODEGUERO</v>
      </c>
      <c r="F12" s="19" t="s">
        <v>890</v>
      </c>
      <c r="G12" s="11" t="s">
        <v>903</v>
      </c>
      <c r="H12" s="11" t="s">
        <v>911</v>
      </c>
      <c r="I12" s="11">
        <v>24</v>
      </c>
      <c r="J12" s="11" t="s">
        <v>984</v>
      </c>
      <c r="K12" s="11" t="s">
        <v>918</v>
      </c>
      <c r="L12" s="11" t="s">
        <v>918</v>
      </c>
      <c r="M12" s="11"/>
    </row>
    <row r="13" spans="2:13" s="1" customFormat="1" ht="13.05" customHeight="1" x14ac:dyDescent="0.25">
      <c r="B13" s="24">
        <v>6</v>
      </c>
      <c r="C13" s="11" t="s">
        <v>695</v>
      </c>
      <c r="D13" s="7" t="str">
        <f>IFERROR(VLOOKUP(C13,'Lista desplegable'!B$1:C$436,2,FALSE),"")</f>
        <v>JOSÉ LEONARDO RODRIGUEZ ROBLES</v>
      </c>
      <c r="E13" s="7" t="str">
        <f>IFERROR(VLOOKUP(D13,'Lista desplegable'!C$1:D$436,2,FALSE),"")</f>
        <v>CHOFER</v>
      </c>
      <c r="F13" s="19" t="s">
        <v>890</v>
      </c>
      <c r="G13" s="11" t="s">
        <v>903</v>
      </c>
      <c r="H13" s="11" t="s">
        <v>911</v>
      </c>
      <c r="I13" s="11">
        <v>24</v>
      </c>
      <c r="J13" s="11" t="s">
        <v>984</v>
      </c>
      <c r="K13" s="11" t="s">
        <v>918</v>
      </c>
      <c r="L13" s="11" t="s">
        <v>918</v>
      </c>
      <c r="M13" s="11"/>
    </row>
    <row r="14" spans="2:13" s="1" customFormat="1" ht="13.05" customHeight="1" x14ac:dyDescent="0.25">
      <c r="B14" s="24">
        <v>7</v>
      </c>
      <c r="C14" s="11" t="s">
        <v>690</v>
      </c>
      <c r="D14" s="7" t="str">
        <f>IFERROR(VLOOKUP(C14,'Lista desplegable'!B$1:C$436,2,FALSE),"")</f>
        <v>JORGE ESTEBAN SAAVEDRA MENA</v>
      </c>
      <c r="E14" s="7" t="str">
        <f>IFERROR(VLOOKUP(D14,'Lista desplegable'!C$1:D$436,2,FALSE),"")</f>
        <v>CHOFER</v>
      </c>
      <c r="F14" s="19" t="s">
        <v>890</v>
      </c>
      <c r="G14" s="11" t="s">
        <v>903</v>
      </c>
      <c r="H14" s="11" t="s">
        <v>911</v>
      </c>
      <c r="I14" s="11">
        <v>24</v>
      </c>
      <c r="J14" s="11" t="s">
        <v>984</v>
      </c>
      <c r="K14" s="11" t="s">
        <v>918</v>
      </c>
      <c r="L14" s="11" t="s">
        <v>918</v>
      </c>
      <c r="M14" s="11"/>
    </row>
    <row r="15" spans="2:13" s="1" customFormat="1" ht="13.05" customHeight="1" x14ac:dyDescent="0.25">
      <c r="B15" s="24">
        <v>8</v>
      </c>
      <c r="C15" s="11" t="s">
        <v>602</v>
      </c>
      <c r="D15" s="7" t="str">
        <f>IFERROR(VLOOKUP(C15,'Lista desplegable'!B$1:C$436,2,FALSE),"")</f>
        <v>ELIAS NICOLAS CORTEZ CORTEZ</v>
      </c>
      <c r="E15" s="7" t="str">
        <f>IFERROR(VLOOKUP(D15,'Lista desplegable'!C$1:D$436,2,FALSE),"")</f>
        <v>CHOFER</v>
      </c>
      <c r="F15" s="19" t="s">
        <v>890</v>
      </c>
      <c r="G15" s="11" t="s">
        <v>903</v>
      </c>
      <c r="H15" s="11" t="s">
        <v>911</v>
      </c>
      <c r="I15" s="11">
        <v>24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11" t="s">
        <v>508</v>
      </c>
      <c r="D16" s="7" t="str">
        <f>IFERROR(VLOOKUP(C16,'Lista desplegable'!B$1:C$436,2,FALSE),"")</f>
        <v>ALEJANDRO ALBERTO CAMPILLAY RUIZ</v>
      </c>
      <c r="E16" s="7" t="str">
        <f>IFERROR(VLOOKUP(D16,'Lista desplegable'!C$1:D$436,2,FALSE),"")</f>
        <v>MECANICO</v>
      </c>
      <c r="F16" s="19" t="s">
        <v>890</v>
      </c>
      <c r="G16" s="11" t="s">
        <v>903</v>
      </c>
      <c r="H16" s="11" t="s">
        <v>911</v>
      </c>
      <c r="I16" s="11">
        <v>24</v>
      </c>
      <c r="J16" s="11" t="s">
        <v>984</v>
      </c>
      <c r="K16" s="11" t="s">
        <v>918</v>
      </c>
      <c r="L16" s="11" t="s">
        <v>918</v>
      </c>
      <c r="M16" s="11"/>
    </row>
    <row r="17" spans="2:13" s="1" customFormat="1" ht="13.05" customHeight="1" x14ac:dyDescent="0.25">
      <c r="B17" s="24">
        <v>10</v>
      </c>
      <c r="C17" s="11" t="s">
        <v>878</v>
      </c>
      <c r="D17" s="7" t="str">
        <f>IFERROR(VLOOKUP(C17,'Lista desplegable'!B$1:C$436,2,FALSE),"")</f>
        <v>WALDO RAFAEL CASTRO PASTENE</v>
      </c>
      <c r="E17" s="7" t="str">
        <f>IFERROR(VLOOKUP(D17,'Lista desplegable'!C$1:D$436,2,FALSE),"")</f>
        <v>SOLDADOR</v>
      </c>
      <c r="F17" s="19" t="s">
        <v>890</v>
      </c>
      <c r="G17" s="11" t="s">
        <v>903</v>
      </c>
      <c r="H17" s="11" t="s">
        <v>911</v>
      </c>
      <c r="I17" s="11">
        <v>24</v>
      </c>
      <c r="J17" s="11" t="s">
        <v>984</v>
      </c>
      <c r="K17" s="11" t="s">
        <v>918</v>
      </c>
      <c r="L17" s="11" t="s">
        <v>918</v>
      </c>
      <c r="M17" s="11"/>
    </row>
    <row r="18" spans="2:13" s="1" customFormat="1" ht="13.05" customHeight="1" x14ac:dyDescent="0.25">
      <c r="B18" s="24">
        <v>11</v>
      </c>
      <c r="C18" s="11" t="s">
        <v>607</v>
      </c>
      <c r="D18" s="7" t="str">
        <f>IFERROR(VLOOKUP(C18,'Lista desplegable'!B$1:C$436,2,FALSE),"")</f>
        <v>ENKHZAYA GANBAATAR .</v>
      </c>
      <c r="E18" s="7" t="str">
        <f>IFERROR(VLOOKUP(D18,'Lista desplegable'!C$1:D$436,2,FALSE),"")</f>
        <v>PERFORISTA</v>
      </c>
      <c r="F18" s="19" t="s">
        <v>890</v>
      </c>
      <c r="G18" s="11" t="s">
        <v>903</v>
      </c>
      <c r="H18" s="11" t="s">
        <v>911</v>
      </c>
      <c r="I18" s="11">
        <v>24</v>
      </c>
      <c r="J18" s="11" t="s">
        <v>984</v>
      </c>
      <c r="K18" s="11"/>
      <c r="L18" s="11"/>
      <c r="M18" s="11"/>
    </row>
    <row r="19" spans="2:13" s="1" customFormat="1" ht="13.05" customHeight="1" x14ac:dyDescent="0.25">
      <c r="B19" s="24">
        <v>12</v>
      </c>
      <c r="C19" s="10" t="s">
        <v>870</v>
      </c>
      <c r="D19" s="7" t="str">
        <f>IFERROR(VLOOKUP(C19,'Lista desplegable'!B$1:C$436,2,FALSE),"")</f>
        <v>VICENTE ANDRES LOPEZ MARTINEZ</v>
      </c>
      <c r="E19" s="7" t="str">
        <f>IFERROR(VLOOKUP(D19,'Lista desplegable'!C$1:D$436,2,FALSE),"")</f>
        <v>AYUDANTE DE PERFORISTA</v>
      </c>
      <c r="F19" s="19" t="s">
        <v>890</v>
      </c>
      <c r="G19" s="11" t="s">
        <v>903</v>
      </c>
      <c r="H19" s="11" t="s">
        <v>911</v>
      </c>
      <c r="I19" s="11">
        <v>24</v>
      </c>
      <c r="J19" s="11" t="s">
        <v>984</v>
      </c>
      <c r="K19" s="11" t="s">
        <v>918</v>
      </c>
      <c r="L19" s="11" t="s">
        <v>918</v>
      </c>
      <c r="M19" s="11"/>
    </row>
    <row r="20" spans="2:13" s="1" customFormat="1" ht="13.05" customHeight="1" x14ac:dyDescent="0.25">
      <c r="B20" s="24">
        <v>13</v>
      </c>
      <c r="C20" s="11" t="s">
        <v>20</v>
      </c>
      <c r="D20" s="7" t="str">
        <f>IFERROR(VLOOKUP(C20,'Lista desplegable'!B$1:C$436,2,FALSE),"")</f>
        <v>CARLOS ALBERTO PIZARRO PIZARRO</v>
      </c>
      <c r="E20" s="7" t="str">
        <f>IFERROR(VLOOKUP(D20,'Lista desplegable'!C$1:D$436,2,FALSE),"")</f>
        <v>AYUDANTE DE PERFORISTA</v>
      </c>
      <c r="F20" s="19" t="s">
        <v>890</v>
      </c>
      <c r="G20" s="11" t="s">
        <v>903</v>
      </c>
      <c r="H20" s="11" t="s">
        <v>911</v>
      </c>
      <c r="I20" s="11">
        <v>24</v>
      </c>
      <c r="J20" s="11" t="s">
        <v>984</v>
      </c>
      <c r="K20" s="11" t="s">
        <v>918</v>
      </c>
      <c r="L20" s="11" t="s">
        <v>918</v>
      </c>
      <c r="M20" s="11"/>
    </row>
    <row r="21" spans="2:13" s="1" customFormat="1" ht="13.05" customHeight="1" x14ac:dyDescent="0.25">
      <c r="B21" s="24">
        <v>14</v>
      </c>
      <c r="C21" s="11" t="s">
        <v>624</v>
      </c>
      <c r="D21" s="7" t="str">
        <f>IFERROR(VLOOKUP(C21,'Lista desplegable'!B$1:C$436,2,FALSE),"")</f>
        <v>FELIPE DAVID SAAVEDRA CAMPOS</v>
      </c>
      <c r="E21" s="7" t="str">
        <f>IFERROR(VLOOKUP(D21,'Lista desplegable'!C$1:D$436,2,FALSE),"")</f>
        <v>AYUDANTE DE PERFORISTA</v>
      </c>
      <c r="F21" s="19" t="s">
        <v>890</v>
      </c>
      <c r="G21" s="11" t="s">
        <v>903</v>
      </c>
      <c r="H21" s="11" t="s">
        <v>911</v>
      </c>
      <c r="I21" s="11">
        <v>24</v>
      </c>
      <c r="J21" s="11" t="s">
        <v>984</v>
      </c>
      <c r="K21" s="11" t="s">
        <v>918</v>
      </c>
      <c r="L21" s="11" t="s">
        <v>918</v>
      </c>
      <c r="M21" s="11"/>
    </row>
    <row r="22" spans="2:13" s="1" customFormat="1" ht="13.05" customHeight="1" x14ac:dyDescent="0.25">
      <c r="B22" s="24">
        <v>15</v>
      </c>
      <c r="C22" s="11" t="s">
        <v>731</v>
      </c>
      <c r="D22" s="7" t="str">
        <f>IFERROR(VLOOKUP(C22,'Lista desplegable'!B$1:C$436,2,FALSE),"")</f>
        <v>LUIS HUMBERTO PEÑA AHUMADA</v>
      </c>
      <c r="E22" s="7" t="str">
        <f>IFERROR(VLOOKUP(D22,'Lista desplegable'!C$1:D$436,2,FALSE),"")</f>
        <v>CHOFER</v>
      </c>
      <c r="F22" s="19" t="s">
        <v>890</v>
      </c>
      <c r="G22" s="11" t="s">
        <v>903</v>
      </c>
      <c r="H22" s="11" t="s">
        <v>911</v>
      </c>
      <c r="I22" s="11">
        <v>24</v>
      </c>
      <c r="J22" s="11" t="s">
        <v>984</v>
      </c>
      <c r="K22" s="11" t="s">
        <v>918</v>
      </c>
      <c r="L22" s="11" t="s">
        <v>918</v>
      </c>
      <c r="M22" s="11"/>
    </row>
    <row r="23" spans="2:13" s="1" customFormat="1" ht="13.05" customHeight="1" x14ac:dyDescent="0.25">
      <c r="B23" s="24">
        <v>16</v>
      </c>
      <c r="C23" s="11"/>
      <c r="D23" s="7" t="str">
        <f>IFERROR(VLOOKUP(C23,'Lista desplegable'!B$1:C$436,2,FALSE),"")</f>
        <v/>
      </c>
      <c r="E23" s="7" t="str">
        <f>IFERROR(VLOOKUP(D23,'Lista desplegable'!C$1:D$436,2,FALSE),"")</f>
        <v/>
      </c>
      <c r="F23" s="19"/>
      <c r="G23" s="11"/>
      <c r="H23" s="11"/>
      <c r="I23" s="11"/>
      <c r="J23" s="11"/>
      <c r="K23" s="11"/>
      <c r="L23" s="11"/>
      <c r="M23" s="11"/>
    </row>
    <row r="24" spans="2:13" s="1" customFormat="1" ht="13.05" customHeight="1" x14ac:dyDescent="0.25">
      <c r="B24" s="24">
        <v>17</v>
      </c>
      <c r="C24" s="11"/>
      <c r="D24" s="7" t="str">
        <f>IFERROR(VLOOKUP(C24,'Lista desplegable'!B$1:C$436,2,FALSE),"")</f>
        <v/>
      </c>
      <c r="E24" s="7" t="str">
        <f>IFERROR(VLOOKUP(D24,'Lista desplegable'!C$1:D$436,2,FALSE),"")</f>
        <v/>
      </c>
      <c r="F24" s="19"/>
      <c r="G24" s="11"/>
      <c r="H24" s="11"/>
      <c r="I24" s="11"/>
      <c r="J24" s="11"/>
      <c r="K24" s="11"/>
      <c r="L24" s="11"/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05" customHeight="1" x14ac:dyDescent="0.25">
      <c r="C38"/>
    </row>
    <row r="39" spans="2:13" ht="13.05" customHeight="1" x14ac:dyDescent="0.25">
      <c r="C39"/>
    </row>
    <row r="40" spans="2:13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3" ht="13.05" customHeight="1" x14ac:dyDescent="0.25">
      <c r="B42" s="24">
        <v>1</v>
      </c>
      <c r="C42" s="11" t="s">
        <v>528</v>
      </c>
      <c r="D42" s="7" t="str">
        <f>IFERROR(VLOOKUP(C42,'Lista desplegable'!B$1:C$436,2,FALSE),"")</f>
        <v>ARIEL ANDRES SILVA RIQUELME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>
        <v>24</v>
      </c>
      <c r="J42" s="11" t="s">
        <v>984</v>
      </c>
      <c r="K42" s="11" t="s">
        <v>918</v>
      </c>
      <c r="L42" s="11" t="s">
        <v>918</v>
      </c>
      <c r="M42" s="11" t="s">
        <v>998</v>
      </c>
    </row>
    <row r="43" spans="2:13" ht="13.05" customHeight="1" x14ac:dyDescent="0.25">
      <c r="B43" s="24">
        <v>2</v>
      </c>
      <c r="C43" s="11" t="s">
        <v>514</v>
      </c>
      <c r="D43" s="7" t="str">
        <f>IFERROR(VLOOKUP(C43,'Lista desplegable'!B$1:C$436,2,FALSE),"")</f>
        <v>ALISSON AYLEEN VILLAGRA CABALLERO</v>
      </c>
      <c r="E43" s="7" t="str">
        <f>IFERROR(VLOOKUP(D43,'Lista desplegable'!C$1:D$436,2,FALSE),"")</f>
        <v>CHOFER</v>
      </c>
      <c r="F43" s="19" t="s">
        <v>890</v>
      </c>
      <c r="G43" s="11" t="s">
        <v>903</v>
      </c>
      <c r="H43" s="11" t="s">
        <v>911</v>
      </c>
      <c r="I43" s="11">
        <v>24</v>
      </c>
      <c r="J43" s="11" t="s">
        <v>984</v>
      </c>
      <c r="K43" s="11" t="s">
        <v>918</v>
      </c>
      <c r="L43" s="11" t="s">
        <v>918</v>
      </c>
      <c r="M43" s="11"/>
    </row>
    <row r="44" spans="2:13" ht="13.05" customHeight="1" x14ac:dyDescent="0.25">
      <c r="B44" s="24">
        <v>3</v>
      </c>
      <c r="C44" s="11" t="s">
        <v>735</v>
      </c>
      <c r="D44" s="7" t="str">
        <f>IFERROR(VLOOKUP(C44,'Lista desplegable'!B$1:C$436,2,FALSE),"")</f>
        <v>MANUEL ALEJANDRO TILLERIA SAAVEDRA</v>
      </c>
      <c r="E44" s="7" t="str">
        <f>IFERROR(VLOOKUP(D44,'Lista desplegable'!C$1:D$436,2,FALSE),"")</f>
        <v>MECANICO</v>
      </c>
      <c r="F44" s="19" t="s">
        <v>890</v>
      </c>
      <c r="G44" s="11" t="s">
        <v>903</v>
      </c>
      <c r="H44" s="11" t="s">
        <v>911</v>
      </c>
      <c r="I44" s="11">
        <v>24</v>
      </c>
      <c r="J44" s="11" t="s">
        <v>984</v>
      </c>
      <c r="K44" s="11" t="s">
        <v>918</v>
      </c>
      <c r="L44" s="11" t="s">
        <v>918</v>
      </c>
      <c r="M44" s="11"/>
    </row>
    <row r="45" spans="2:13" ht="13.05" customHeight="1" x14ac:dyDescent="0.25">
      <c r="B45" s="24">
        <v>4</v>
      </c>
      <c r="C45" s="11" t="s">
        <v>530</v>
      </c>
      <c r="D45" s="7" t="str">
        <f>IFERROR(VLOOKUP(C45,'Lista desplegable'!B$1:C$436,2,FALSE),"")</f>
        <v>ARIUNBOLD TSOGKHORKHOI .</v>
      </c>
      <c r="E45" s="7" t="str">
        <f>IFERROR(VLOOKUP(D45,'Lista desplegable'!C$1:D$436,2,FALSE),"")</f>
        <v>PERFORISTA</v>
      </c>
      <c r="F45" s="19" t="s">
        <v>890</v>
      </c>
      <c r="G45" s="11" t="s">
        <v>903</v>
      </c>
      <c r="H45" s="11" t="s">
        <v>911</v>
      </c>
      <c r="I45" s="11">
        <v>24</v>
      </c>
      <c r="J45" s="11" t="s">
        <v>984</v>
      </c>
      <c r="K45" s="11"/>
      <c r="L45" s="11"/>
      <c r="M45" s="11"/>
    </row>
    <row r="46" spans="2:13" ht="13.05" customHeight="1" x14ac:dyDescent="0.25">
      <c r="B46" s="24">
        <v>5</v>
      </c>
      <c r="C46" s="11" t="s">
        <v>867</v>
      </c>
      <c r="D46" s="7" t="str">
        <f>IFERROR(VLOOKUP(C46,'Lista desplegable'!B$1:C$436,2,FALSE),"")</f>
        <v>ULZIIBADRAKH BAYANMUNKH .</v>
      </c>
      <c r="E46" s="7" t="str">
        <f>IFERROR(VLOOKUP(D46,'Lista desplegable'!C$1:D$436,2,FALSE),"")</f>
        <v>PERFORISTA</v>
      </c>
      <c r="F46" s="19" t="s">
        <v>890</v>
      </c>
      <c r="G46" s="11" t="s">
        <v>903</v>
      </c>
      <c r="H46" s="11" t="s">
        <v>911</v>
      </c>
      <c r="I46" s="11">
        <v>24</v>
      </c>
      <c r="J46" s="11" t="s">
        <v>984</v>
      </c>
      <c r="K46" s="11"/>
      <c r="L46" s="11"/>
      <c r="M46" s="11"/>
    </row>
    <row r="47" spans="2:13" ht="13.05" customHeight="1" x14ac:dyDescent="0.25">
      <c r="B47" s="24">
        <v>6</v>
      </c>
      <c r="C47" s="11" t="s">
        <v>8</v>
      </c>
      <c r="D47" s="7" t="str">
        <f>IFERROR(VLOOKUP(C47,'Lista desplegable'!B$1:C$436,2,FALSE),"")</f>
        <v>EDINSON RODRIGO GONZALEZ CORTINEZ</v>
      </c>
      <c r="E47" s="7" t="str">
        <f>IFERROR(VLOOKUP(D47,'Lista desplegable'!C$1:D$436,2,FALSE),"")</f>
        <v>AYUDANTE DE PERFORISTA</v>
      </c>
      <c r="F47" s="19" t="s">
        <v>890</v>
      </c>
      <c r="G47" s="11" t="s">
        <v>903</v>
      </c>
      <c r="H47" s="11" t="s">
        <v>911</v>
      </c>
      <c r="I47" s="11">
        <v>24</v>
      </c>
      <c r="J47" s="11" t="s">
        <v>984</v>
      </c>
      <c r="K47" s="11" t="s">
        <v>918</v>
      </c>
      <c r="L47" s="11" t="s">
        <v>918</v>
      </c>
      <c r="M47" s="11" t="s">
        <v>995</v>
      </c>
    </row>
    <row r="48" spans="2:13" ht="13.05" customHeight="1" x14ac:dyDescent="0.25">
      <c r="B48" s="24">
        <v>7</v>
      </c>
      <c r="C48" s="11" t="s">
        <v>758</v>
      </c>
      <c r="D48" s="7" t="str">
        <f>IFERROR(VLOOKUP(C48,'Lista desplegable'!B$1:C$436,2,FALSE),"")</f>
        <v>MAURICIO ANDRES OYARZUN SALAMANCA</v>
      </c>
      <c r="E48" s="7" t="str">
        <f>IFERROR(VLOOKUP(D48,'Lista desplegable'!C$1:D$436,2,FALSE),"")</f>
        <v>AYUDANTE DE PERFORISTA</v>
      </c>
      <c r="F48" s="19" t="s">
        <v>890</v>
      </c>
      <c r="G48" s="11" t="s">
        <v>903</v>
      </c>
      <c r="H48" s="11" t="s">
        <v>911</v>
      </c>
      <c r="I48" s="11">
        <v>24</v>
      </c>
      <c r="J48" s="11" t="s">
        <v>984</v>
      </c>
      <c r="K48" s="11" t="s">
        <v>918</v>
      </c>
      <c r="L48" s="11" t="s">
        <v>918</v>
      </c>
      <c r="M48" s="11"/>
    </row>
    <row r="49" spans="2:13" ht="13.05" customHeight="1" x14ac:dyDescent="0.25">
      <c r="B49" s="24">
        <v>8</v>
      </c>
      <c r="C49" s="11" t="s">
        <v>676</v>
      </c>
      <c r="D49" s="7" t="str">
        <f>IFERROR(VLOOKUP(C49,'Lista desplegable'!B$1:C$436,2,FALSE),"")</f>
        <v>JOHN BYRON VASQUEZ CARROZA</v>
      </c>
      <c r="E49" s="7" t="str">
        <f>IFERROR(VLOOKUP(D49,'Lista desplegable'!C$1:D$436,2,FALSE),"")</f>
        <v>AYUDANTE DE PERFORISTA</v>
      </c>
      <c r="F49" s="19" t="s">
        <v>890</v>
      </c>
      <c r="G49" s="11" t="s">
        <v>903</v>
      </c>
      <c r="H49" s="11" t="s">
        <v>911</v>
      </c>
      <c r="I49" s="11">
        <v>24</v>
      </c>
      <c r="J49" s="11" t="s">
        <v>984</v>
      </c>
      <c r="K49" s="11" t="s">
        <v>918</v>
      </c>
      <c r="L49" s="11" t="s">
        <v>918</v>
      </c>
      <c r="M49" s="11"/>
    </row>
    <row r="50" spans="2:13" ht="13.05" customHeight="1" x14ac:dyDescent="0.25">
      <c r="B50" s="24">
        <v>9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11"/>
      <c r="J50" s="11"/>
      <c r="K50" s="11"/>
      <c r="L50" s="11"/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2:I2"/>
    <mergeCell ref="G3:I3"/>
    <mergeCell ref="C6:M6"/>
    <mergeCell ref="C40:M40"/>
  </mergeCell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0FCDBC7-7DB2-4E4A-8D1A-22680786C6EE}">
          <x14:formula1>
            <xm:f>'Lista desplegable'!$N$2:$N$5</xm:f>
          </x14:formula1>
          <xm:sqref>J8:J37 J42:J71</xm:sqref>
        </x14:dataValidation>
        <x14:dataValidation type="list" allowBlank="1" showInputMessage="1" showErrorMessage="1" xr:uid="{145B3FDD-1ADD-4F86-9FEA-3D29338EF199}">
          <x14:formula1>
            <xm:f>'Lista desplegable'!$B$2:$B$436</xm:f>
          </x14:formula1>
          <xm:sqref>C8:C37 C42:C71</xm:sqref>
        </x14:dataValidation>
        <x14:dataValidation type="list" allowBlank="1" showInputMessage="1" showErrorMessage="1" xr:uid="{0D0F3E6C-EDEA-49E8-925F-CEF3D52A00E9}">
          <x14:formula1>
            <xm:f>'Lista desplegable'!$F$2:$F$19</xm:f>
          </x14:formula1>
          <xm:sqref>F8:F37 F42:F71</xm:sqref>
        </x14:dataValidation>
        <x14:dataValidation type="list" allowBlank="1" showInputMessage="1" showErrorMessage="1" xr:uid="{844EC44F-70A0-4036-923F-21A26A9D8AE0}">
          <x14:formula1>
            <xm:f>'Lista desplegable'!$J$2:$J$10</xm:f>
          </x14:formula1>
          <xm:sqref>H8:H37 H42:H71</xm:sqref>
        </x14:dataValidation>
        <x14:dataValidation type="list" allowBlank="1" showInputMessage="1" showErrorMessage="1" xr:uid="{45C85D06-7391-46C0-841A-1F1683344536}">
          <x14:formula1>
            <xm:f>'Lista desplegable'!$H$2:$H$7</xm:f>
          </x14:formula1>
          <xm:sqref>G8:G37 G42:G71</xm:sqref>
        </x14:dataValidation>
        <x14:dataValidation type="list" allowBlank="1" showInputMessage="1" showErrorMessage="1" xr:uid="{B82BD05A-73CC-4421-8E74-9D06E2DEC605}">
          <x14:formula1>
            <xm:f>'Lista desplegable'!$L$2:$L$3</xm:f>
          </x14:formula1>
          <xm:sqref>K8:L37 K42:L71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10FB-C4A0-4D11-9C6F-CA15152FCFEC}">
  <dimension ref="B1:M93"/>
  <sheetViews>
    <sheetView topLeftCell="A37" zoomScale="80" zoomScaleNormal="80" workbookViewId="0">
      <selection activeCell="M48" sqref="M48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0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21.77734375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46270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11" t="s">
        <v>692</v>
      </c>
      <c r="D8" s="7" t="str">
        <f>IFERROR(VLOOKUP(C8,'Lista desplegable'!B$1:C$436,2,FALSE),"")</f>
        <v>JOSE CRISTIAN BASTIAS PEREZ</v>
      </c>
      <c r="E8" s="7" t="str">
        <f>IFERROR(VLOOKUP(D8,'Lista desplegable'!C$1:D$436,2,FALSE),"")</f>
        <v>SUPERVISOR DE OPERACIONES</v>
      </c>
      <c r="F8" s="19" t="s">
        <v>890</v>
      </c>
      <c r="G8" s="11" t="s">
        <v>903</v>
      </c>
      <c r="H8" s="11" t="s">
        <v>911</v>
      </c>
      <c r="I8" s="11">
        <v>24</v>
      </c>
      <c r="J8" s="11" t="s">
        <v>984</v>
      </c>
      <c r="K8" s="11" t="s">
        <v>918</v>
      </c>
      <c r="L8" s="11" t="s">
        <v>918</v>
      </c>
      <c r="M8" s="11"/>
    </row>
    <row r="9" spans="2:13" s="1" customFormat="1" ht="13.05" customHeight="1" x14ac:dyDescent="0.25">
      <c r="B9" s="24">
        <v>2</v>
      </c>
      <c r="C9" s="10" t="s">
        <v>590</v>
      </c>
      <c r="D9" s="7" t="str">
        <f>IFERROR(VLOOKUP(C9,'Lista desplegable'!B$1:C$436,2,FALSE),"")</f>
        <v>DAYNE JEFFERY PASSMORE .</v>
      </c>
      <c r="E9" s="7" t="str">
        <f>IFERROR(VLOOKUP(D9,'Lista desplegable'!C$1:D$436,2,FALSE),"")</f>
        <v>ADMINISTRADOR DE CONTRATO</v>
      </c>
      <c r="F9" s="19" t="s">
        <v>890</v>
      </c>
      <c r="G9" s="11" t="s">
        <v>903</v>
      </c>
      <c r="H9" s="11" t="s">
        <v>911</v>
      </c>
      <c r="I9" s="11">
        <v>24</v>
      </c>
      <c r="J9" s="11" t="s">
        <v>984</v>
      </c>
      <c r="K9" s="11"/>
      <c r="L9" s="11"/>
      <c r="M9" s="11"/>
    </row>
    <row r="10" spans="2:13" s="1" customFormat="1" ht="13.05" customHeight="1" x14ac:dyDescent="0.25">
      <c r="B10" s="24">
        <v>3</v>
      </c>
      <c r="C10" s="11" t="s">
        <v>783</v>
      </c>
      <c r="D10" s="7" t="str">
        <f>IFERROR(VLOOKUP(C10,'Lista desplegable'!B$1:C$436,2,FALSE),"")</f>
        <v>NORA ALEXANDRA SALAS ROJAS</v>
      </c>
      <c r="E10" s="7" t="str">
        <f>IFERROR(VLOOKUP(D10,'Lista desplegable'!C$1:D$436,2,FALSE),"")</f>
        <v>PREVENCIONISTA DE RIESGOS</v>
      </c>
      <c r="F10" s="19" t="s">
        <v>890</v>
      </c>
      <c r="G10" s="11" t="s">
        <v>903</v>
      </c>
      <c r="H10" s="11" t="s">
        <v>911</v>
      </c>
      <c r="I10" s="11">
        <v>24</v>
      </c>
      <c r="J10" s="11" t="s">
        <v>984</v>
      </c>
      <c r="K10" s="11" t="s">
        <v>918</v>
      </c>
      <c r="L10" s="11" t="s">
        <v>918</v>
      </c>
      <c r="M10" s="11" t="s">
        <v>996</v>
      </c>
    </row>
    <row r="11" spans="2:13" s="1" customFormat="1" ht="13.05" customHeight="1" x14ac:dyDescent="0.25">
      <c r="B11" s="24">
        <v>4</v>
      </c>
      <c r="C11" s="11" t="s">
        <v>769</v>
      </c>
      <c r="D11" s="7" t="str">
        <f>IFERROR(VLOOKUP(C11,'Lista desplegable'!B$1:C$436,2,FALSE),"")</f>
        <v>NATALY ANTONIA SALAS ESCOBAR</v>
      </c>
      <c r="E11" s="7" t="str">
        <f>IFERROR(VLOOKUP(D11,'Lista desplegable'!C$1:D$436,2,FALSE),"")</f>
        <v>ADMINISTRATIVO DE FAENA</v>
      </c>
      <c r="F11" s="19" t="s">
        <v>890</v>
      </c>
      <c r="G11" s="11" t="s">
        <v>903</v>
      </c>
      <c r="H11" s="11" t="s">
        <v>911</v>
      </c>
      <c r="I11" s="11">
        <v>24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11" t="s">
        <v>792</v>
      </c>
      <c r="D12" s="7" t="str">
        <f>IFERROR(VLOOKUP(C12,'Lista desplegable'!B$1:C$436,2,FALSE),"")</f>
        <v>PAOLO ALEJANDRO MANRIQUEZ SILVA</v>
      </c>
      <c r="E12" s="7" t="str">
        <f>IFERROR(VLOOKUP(D12,'Lista desplegable'!C$1:D$436,2,FALSE),"")</f>
        <v>BODEGUERO</v>
      </c>
      <c r="F12" s="19" t="s">
        <v>890</v>
      </c>
      <c r="G12" s="11" t="s">
        <v>903</v>
      </c>
      <c r="H12" s="11" t="s">
        <v>911</v>
      </c>
      <c r="I12" s="11">
        <v>24</v>
      </c>
      <c r="J12" s="11" t="s">
        <v>984</v>
      </c>
      <c r="K12" s="11" t="s">
        <v>918</v>
      </c>
      <c r="L12" s="11" t="s">
        <v>918</v>
      </c>
      <c r="M12" s="11"/>
    </row>
    <row r="13" spans="2:13" s="1" customFormat="1" ht="13.05" customHeight="1" x14ac:dyDescent="0.25">
      <c r="B13" s="24">
        <v>6</v>
      </c>
      <c r="C13" s="11" t="s">
        <v>695</v>
      </c>
      <c r="D13" s="7" t="str">
        <f>IFERROR(VLOOKUP(C13,'Lista desplegable'!B$1:C$436,2,FALSE),"")</f>
        <v>JOSÉ LEONARDO RODRIGUEZ ROBLES</v>
      </c>
      <c r="E13" s="7" t="str">
        <f>IFERROR(VLOOKUP(D13,'Lista desplegable'!C$1:D$436,2,FALSE),"")</f>
        <v>CHOFER</v>
      </c>
      <c r="F13" s="19" t="s">
        <v>890</v>
      </c>
      <c r="G13" s="11" t="s">
        <v>903</v>
      </c>
      <c r="H13" s="11" t="s">
        <v>911</v>
      </c>
      <c r="I13" s="11">
        <v>24</v>
      </c>
      <c r="J13" s="11" t="s">
        <v>984</v>
      </c>
      <c r="K13" s="11" t="s">
        <v>918</v>
      </c>
      <c r="L13" s="11" t="s">
        <v>918</v>
      </c>
      <c r="M13" s="11"/>
    </row>
    <row r="14" spans="2:13" s="1" customFormat="1" ht="13.05" customHeight="1" x14ac:dyDescent="0.25">
      <c r="B14" s="24">
        <v>7</v>
      </c>
      <c r="C14" s="11" t="s">
        <v>690</v>
      </c>
      <c r="D14" s="7" t="str">
        <f>IFERROR(VLOOKUP(C14,'Lista desplegable'!B$1:C$436,2,FALSE),"")</f>
        <v>JORGE ESTEBAN SAAVEDRA MENA</v>
      </c>
      <c r="E14" s="7" t="str">
        <f>IFERROR(VLOOKUP(D14,'Lista desplegable'!C$1:D$436,2,FALSE),"")</f>
        <v>CHOFER</v>
      </c>
      <c r="F14" s="19" t="s">
        <v>890</v>
      </c>
      <c r="G14" s="11" t="s">
        <v>903</v>
      </c>
      <c r="H14" s="11" t="s">
        <v>911</v>
      </c>
      <c r="I14" s="11">
        <v>24</v>
      </c>
      <c r="J14" s="11" t="s">
        <v>984</v>
      </c>
      <c r="K14" s="11" t="s">
        <v>918</v>
      </c>
      <c r="L14" s="11" t="s">
        <v>918</v>
      </c>
      <c r="M14" s="11"/>
    </row>
    <row r="15" spans="2:13" s="1" customFormat="1" ht="13.05" customHeight="1" x14ac:dyDescent="0.25">
      <c r="B15" s="24">
        <v>8</v>
      </c>
      <c r="C15" s="11" t="s">
        <v>602</v>
      </c>
      <c r="D15" s="7" t="str">
        <f>IFERROR(VLOOKUP(C15,'Lista desplegable'!B$1:C$436,2,FALSE),"")</f>
        <v>ELIAS NICOLAS CORTEZ CORTEZ</v>
      </c>
      <c r="E15" s="7" t="str">
        <f>IFERROR(VLOOKUP(D15,'Lista desplegable'!C$1:D$436,2,FALSE),"")</f>
        <v>CHOFER</v>
      </c>
      <c r="F15" s="19" t="s">
        <v>890</v>
      </c>
      <c r="G15" s="11" t="s">
        <v>903</v>
      </c>
      <c r="H15" s="11" t="s">
        <v>911</v>
      </c>
      <c r="I15" s="11">
        <v>24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11" t="s">
        <v>508</v>
      </c>
      <c r="D16" s="7" t="str">
        <f>IFERROR(VLOOKUP(C16,'Lista desplegable'!B$1:C$436,2,FALSE),"")</f>
        <v>ALEJANDRO ALBERTO CAMPILLAY RUIZ</v>
      </c>
      <c r="E16" s="7" t="str">
        <f>IFERROR(VLOOKUP(D16,'Lista desplegable'!C$1:D$436,2,FALSE),"")</f>
        <v>MECANICO</v>
      </c>
      <c r="F16" s="19" t="s">
        <v>890</v>
      </c>
      <c r="G16" s="11" t="s">
        <v>903</v>
      </c>
      <c r="H16" s="11" t="s">
        <v>911</v>
      </c>
      <c r="I16" s="11">
        <v>24</v>
      </c>
      <c r="J16" s="11" t="s">
        <v>984</v>
      </c>
      <c r="K16" s="11" t="s">
        <v>918</v>
      </c>
      <c r="L16" s="11" t="s">
        <v>918</v>
      </c>
      <c r="M16" s="11"/>
    </row>
    <row r="17" spans="2:13" s="1" customFormat="1" ht="13.05" customHeight="1" x14ac:dyDescent="0.25">
      <c r="B17" s="24">
        <v>10</v>
      </c>
      <c r="C17" s="11" t="s">
        <v>878</v>
      </c>
      <c r="D17" s="7" t="str">
        <f>IFERROR(VLOOKUP(C17,'Lista desplegable'!B$1:C$436,2,FALSE),"")</f>
        <v>WALDO RAFAEL CASTRO PASTENE</v>
      </c>
      <c r="E17" s="7" t="str">
        <f>IFERROR(VLOOKUP(D17,'Lista desplegable'!C$1:D$436,2,FALSE),"")</f>
        <v>SOLDADOR</v>
      </c>
      <c r="F17" s="19" t="s">
        <v>890</v>
      </c>
      <c r="G17" s="11" t="s">
        <v>903</v>
      </c>
      <c r="H17" s="11" t="s">
        <v>911</v>
      </c>
      <c r="I17" s="11">
        <v>24</v>
      </c>
      <c r="J17" s="11" t="s">
        <v>984</v>
      </c>
      <c r="K17" s="11" t="s">
        <v>918</v>
      </c>
      <c r="L17" s="11" t="s">
        <v>918</v>
      </c>
      <c r="M17" s="11"/>
    </row>
    <row r="18" spans="2:13" s="1" customFormat="1" ht="13.05" customHeight="1" x14ac:dyDescent="0.25">
      <c r="B18" s="24">
        <v>11</v>
      </c>
      <c r="C18" s="11" t="s">
        <v>607</v>
      </c>
      <c r="D18" s="7" t="str">
        <f>IFERROR(VLOOKUP(C18,'Lista desplegable'!B$1:C$436,2,FALSE),"")</f>
        <v>ENKHZAYA GANBAATAR .</v>
      </c>
      <c r="E18" s="7" t="str">
        <f>IFERROR(VLOOKUP(D18,'Lista desplegable'!C$1:D$436,2,FALSE),"")</f>
        <v>PERFORISTA</v>
      </c>
      <c r="F18" s="19" t="s">
        <v>890</v>
      </c>
      <c r="G18" s="11" t="s">
        <v>903</v>
      </c>
      <c r="H18" s="11" t="s">
        <v>911</v>
      </c>
      <c r="I18" s="11">
        <v>24</v>
      </c>
      <c r="J18" s="11" t="s">
        <v>984</v>
      </c>
      <c r="K18" s="11"/>
      <c r="L18" s="11"/>
      <c r="M18" s="11"/>
    </row>
    <row r="19" spans="2:13" s="1" customFormat="1" ht="13.05" customHeight="1" x14ac:dyDescent="0.25">
      <c r="B19" s="24">
        <v>12</v>
      </c>
      <c r="C19" s="10" t="s">
        <v>870</v>
      </c>
      <c r="D19" s="7" t="str">
        <f>IFERROR(VLOOKUP(C19,'Lista desplegable'!B$1:C$436,2,FALSE),"")</f>
        <v>VICENTE ANDRES LOPEZ MARTINEZ</v>
      </c>
      <c r="E19" s="7" t="str">
        <f>IFERROR(VLOOKUP(D19,'Lista desplegable'!C$1:D$436,2,FALSE),"")</f>
        <v>AYUDANTE DE PERFORISTA</v>
      </c>
      <c r="F19" s="19" t="s">
        <v>890</v>
      </c>
      <c r="G19" s="11" t="s">
        <v>903</v>
      </c>
      <c r="H19" s="11" t="s">
        <v>911</v>
      </c>
      <c r="I19" s="11">
        <v>24</v>
      </c>
      <c r="J19" s="11" t="s">
        <v>984</v>
      </c>
      <c r="K19" s="11" t="s">
        <v>918</v>
      </c>
      <c r="L19" s="11" t="s">
        <v>918</v>
      </c>
      <c r="M19" s="11"/>
    </row>
    <row r="20" spans="2:13" s="1" customFormat="1" ht="13.05" customHeight="1" x14ac:dyDescent="0.25">
      <c r="B20" s="24">
        <v>13</v>
      </c>
      <c r="C20" s="11" t="s">
        <v>20</v>
      </c>
      <c r="D20" s="7" t="str">
        <f>IFERROR(VLOOKUP(C20,'Lista desplegable'!B$1:C$436,2,FALSE),"")</f>
        <v>CARLOS ALBERTO PIZARRO PIZARRO</v>
      </c>
      <c r="E20" s="7" t="str">
        <f>IFERROR(VLOOKUP(D20,'Lista desplegable'!C$1:D$436,2,FALSE),"")</f>
        <v>AYUDANTE DE PERFORISTA</v>
      </c>
      <c r="F20" s="19" t="s">
        <v>890</v>
      </c>
      <c r="G20" s="11" t="s">
        <v>903</v>
      </c>
      <c r="H20" s="11" t="s">
        <v>911</v>
      </c>
      <c r="I20" s="11">
        <v>24</v>
      </c>
      <c r="J20" s="11" t="s">
        <v>984</v>
      </c>
      <c r="K20" s="11" t="s">
        <v>918</v>
      </c>
      <c r="L20" s="11" t="s">
        <v>918</v>
      </c>
      <c r="M20" s="11"/>
    </row>
    <row r="21" spans="2:13" s="1" customFormat="1" ht="13.05" customHeight="1" x14ac:dyDescent="0.25">
      <c r="B21" s="24">
        <v>14</v>
      </c>
      <c r="C21" s="11" t="s">
        <v>624</v>
      </c>
      <c r="D21" s="7" t="str">
        <f>IFERROR(VLOOKUP(C21,'Lista desplegable'!B$1:C$436,2,FALSE),"")</f>
        <v>FELIPE DAVID SAAVEDRA CAMPOS</v>
      </c>
      <c r="E21" s="7" t="str">
        <f>IFERROR(VLOOKUP(D21,'Lista desplegable'!C$1:D$436,2,FALSE),"")</f>
        <v>AYUDANTE DE PERFORISTA</v>
      </c>
      <c r="F21" s="19" t="s">
        <v>890</v>
      </c>
      <c r="G21" s="11" t="s">
        <v>903</v>
      </c>
      <c r="H21" s="11" t="s">
        <v>911</v>
      </c>
      <c r="I21" s="11">
        <v>24</v>
      </c>
      <c r="J21" s="11" t="s">
        <v>984</v>
      </c>
      <c r="K21" s="11" t="s">
        <v>918</v>
      </c>
      <c r="L21" s="11" t="s">
        <v>918</v>
      </c>
      <c r="M21" s="11"/>
    </row>
    <row r="22" spans="2:13" s="1" customFormat="1" ht="13.05" customHeight="1" x14ac:dyDescent="0.25">
      <c r="B22" s="24">
        <v>15</v>
      </c>
      <c r="C22" s="11"/>
      <c r="D22" s="7" t="str">
        <f>IFERROR(VLOOKUP(C22,'Lista desplegable'!B$1:C$436,2,FALSE),"")</f>
        <v/>
      </c>
      <c r="E22" s="7" t="str">
        <f>IFERROR(VLOOKUP(D22,'Lista desplegable'!C$1:D$436,2,FALSE),"")</f>
        <v/>
      </c>
      <c r="F22" s="19"/>
      <c r="G22" s="11"/>
      <c r="H22" s="11"/>
      <c r="I22" s="11"/>
      <c r="J22" s="11"/>
      <c r="K22" s="11"/>
      <c r="L22" s="11"/>
      <c r="M22" s="11"/>
    </row>
    <row r="23" spans="2:13" s="1" customFormat="1" ht="13.05" customHeight="1" x14ac:dyDescent="0.25">
      <c r="B23" s="24">
        <v>16</v>
      </c>
      <c r="C23" s="11"/>
      <c r="D23" s="7" t="str">
        <f>IFERROR(VLOOKUP(C23,'Lista desplegable'!B$1:C$436,2,FALSE),"")</f>
        <v/>
      </c>
      <c r="E23" s="7" t="str">
        <f>IFERROR(VLOOKUP(D23,'Lista desplegable'!C$1:D$436,2,FALSE),"")</f>
        <v/>
      </c>
      <c r="F23" s="19"/>
      <c r="G23" s="11"/>
      <c r="H23" s="11"/>
      <c r="I23" s="11"/>
      <c r="J23" s="11"/>
      <c r="K23" s="11"/>
      <c r="L23" s="11"/>
      <c r="M23" s="11"/>
    </row>
    <row r="24" spans="2:13" s="1" customFormat="1" ht="13.05" customHeight="1" x14ac:dyDescent="0.25">
      <c r="B24" s="24">
        <v>17</v>
      </c>
      <c r="C24" s="11"/>
      <c r="D24" s="7" t="str">
        <f>IFERROR(VLOOKUP(C24,'Lista desplegable'!B$1:C$436,2,FALSE),"")</f>
        <v/>
      </c>
      <c r="E24" s="7" t="str">
        <f>IFERROR(VLOOKUP(D24,'Lista desplegable'!C$1:D$436,2,FALSE),"")</f>
        <v/>
      </c>
      <c r="F24" s="19"/>
      <c r="G24" s="11"/>
      <c r="H24" s="11"/>
      <c r="I24" s="11"/>
      <c r="J24" s="11"/>
      <c r="K24" s="11"/>
      <c r="L24" s="11"/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05" customHeight="1" x14ac:dyDescent="0.25">
      <c r="C38"/>
    </row>
    <row r="39" spans="2:13" ht="13.05" customHeight="1" x14ac:dyDescent="0.25">
      <c r="C39"/>
    </row>
    <row r="40" spans="2:13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3" ht="13.05" customHeight="1" x14ac:dyDescent="0.25">
      <c r="B42" s="24">
        <v>1</v>
      </c>
      <c r="C42" s="11" t="s">
        <v>528</v>
      </c>
      <c r="D42" s="7" t="str">
        <f>IFERROR(VLOOKUP(C42,'Lista desplegable'!B$1:C$436,2,FALSE),"")</f>
        <v>ARIEL ANDRES SILVA RIQUELME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>
        <v>24</v>
      </c>
      <c r="J42" s="11" t="s">
        <v>984</v>
      </c>
      <c r="K42" s="11" t="s">
        <v>918</v>
      </c>
      <c r="L42" s="11" t="s">
        <v>918</v>
      </c>
      <c r="M42" s="11" t="s">
        <v>999</v>
      </c>
    </row>
    <row r="43" spans="2:13" ht="13.05" customHeight="1" x14ac:dyDescent="0.25">
      <c r="B43" s="24">
        <v>2</v>
      </c>
      <c r="C43" s="11" t="s">
        <v>514</v>
      </c>
      <c r="D43" s="7" t="str">
        <f>IFERROR(VLOOKUP(C43,'Lista desplegable'!B$1:C$436,2,FALSE),"")</f>
        <v>ALISSON AYLEEN VILLAGRA CABALLERO</v>
      </c>
      <c r="E43" s="7" t="str">
        <f>IFERROR(VLOOKUP(D43,'Lista desplegable'!C$1:D$436,2,FALSE),"")</f>
        <v>CHOFER</v>
      </c>
      <c r="F43" s="19" t="s">
        <v>890</v>
      </c>
      <c r="G43" s="11" t="s">
        <v>903</v>
      </c>
      <c r="H43" s="11" t="s">
        <v>911</v>
      </c>
      <c r="I43" s="11">
        <v>24</v>
      </c>
      <c r="J43" s="11" t="s">
        <v>984</v>
      </c>
      <c r="K43" s="11" t="s">
        <v>918</v>
      </c>
      <c r="L43" s="11" t="s">
        <v>918</v>
      </c>
      <c r="M43" s="11"/>
    </row>
    <row r="44" spans="2:13" ht="13.05" customHeight="1" x14ac:dyDescent="0.25">
      <c r="B44" s="24">
        <v>3</v>
      </c>
      <c r="C44" s="11" t="s">
        <v>731</v>
      </c>
      <c r="D44" s="7" t="str">
        <f>IFERROR(VLOOKUP(C44,'Lista desplegable'!B$1:C$436,2,FALSE),"")</f>
        <v>LUIS HUMBERTO PEÑA AHUMADA</v>
      </c>
      <c r="E44" s="7" t="str">
        <f>IFERROR(VLOOKUP(D44,'Lista desplegable'!C$1:D$436,2,FALSE),"")</f>
        <v>CHOFER</v>
      </c>
      <c r="F44" s="19" t="s">
        <v>890</v>
      </c>
      <c r="G44" s="11" t="s">
        <v>903</v>
      </c>
      <c r="H44" s="11" t="s">
        <v>911</v>
      </c>
      <c r="I44" s="11">
        <v>24</v>
      </c>
      <c r="J44" s="11" t="s">
        <v>984</v>
      </c>
      <c r="K44" s="11" t="s">
        <v>918</v>
      </c>
      <c r="L44" s="11" t="s">
        <v>918</v>
      </c>
      <c r="M44" s="11" t="s">
        <v>999</v>
      </c>
    </row>
    <row r="45" spans="2:13" ht="13.05" customHeight="1" x14ac:dyDescent="0.25">
      <c r="B45" s="24">
        <v>4</v>
      </c>
      <c r="C45" s="11" t="s">
        <v>735</v>
      </c>
      <c r="D45" s="7" t="str">
        <f>IFERROR(VLOOKUP(C45,'Lista desplegable'!B$1:C$436,2,FALSE),"")</f>
        <v>MANUEL ALEJANDRO TILLERIA SAAVEDRA</v>
      </c>
      <c r="E45" s="7" t="str">
        <f>IFERROR(VLOOKUP(D45,'Lista desplegable'!C$1:D$436,2,FALSE),"")</f>
        <v>MECANICO</v>
      </c>
      <c r="F45" s="19" t="s">
        <v>890</v>
      </c>
      <c r="G45" s="11" t="s">
        <v>903</v>
      </c>
      <c r="H45" s="11" t="s">
        <v>911</v>
      </c>
      <c r="I45" s="11">
        <v>24</v>
      </c>
      <c r="J45" s="11" t="s">
        <v>984</v>
      </c>
      <c r="K45" s="11" t="s">
        <v>918</v>
      </c>
      <c r="L45" s="11" t="s">
        <v>918</v>
      </c>
      <c r="M45" s="11"/>
    </row>
    <row r="46" spans="2:13" ht="13.05" customHeight="1" x14ac:dyDescent="0.25">
      <c r="B46" s="24">
        <v>5</v>
      </c>
      <c r="C46" s="11" t="s">
        <v>530</v>
      </c>
      <c r="D46" s="7" t="str">
        <f>IFERROR(VLOOKUP(C46,'Lista desplegable'!B$1:C$436,2,FALSE),"")</f>
        <v>ARIUNBOLD TSOGKHORKHOI .</v>
      </c>
      <c r="E46" s="7" t="str">
        <f>IFERROR(VLOOKUP(D46,'Lista desplegable'!C$1:D$436,2,FALSE),"")</f>
        <v>PERFORISTA</v>
      </c>
      <c r="F46" s="19" t="s">
        <v>890</v>
      </c>
      <c r="G46" s="11" t="s">
        <v>903</v>
      </c>
      <c r="H46" s="11" t="s">
        <v>911</v>
      </c>
      <c r="I46" s="11">
        <v>24</v>
      </c>
      <c r="J46" s="11" t="s">
        <v>984</v>
      </c>
      <c r="K46" s="11"/>
      <c r="L46" s="11"/>
      <c r="M46" s="11"/>
    </row>
    <row r="47" spans="2:13" ht="13.05" customHeight="1" x14ac:dyDescent="0.25">
      <c r="B47" s="24">
        <v>6</v>
      </c>
      <c r="C47" s="11" t="s">
        <v>867</v>
      </c>
      <c r="D47" s="7" t="str">
        <f>IFERROR(VLOOKUP(C47,'Lista desplegable'!B$1:C$436,2,FALSE),"")</f>
        <v>ULZIIBADRAKH BAYANMUNKH .</v>
      </c>
      <c r="E47" s="7" t="str">
        <f>IFERROR(VLOOKUP(D47,'Lista desplegable'!C$1:D$436,2,FALSE),"")</f>
        <v>PERFORISTA</v>
      </c>
      <c r="F47" s="19" t="s">
        <v>890</v>
      </c>
      <c r="G47" s="11" t="s">
        <v>903</v>
      </c>
      <c r="H47" s="11" t="s">
        <v>911</v>
      </c>
      <c r="I47" s="11">
        <v>24</v>
      </c>
      <c r="J47" s="11" t="s">
        <v>984</v>
      </c>
      <c r="K47" s="11"/>
      <c r="L47" s="11"/>
      <c r="M47" s="11"/>
    </row>
    <row r="48" spans="2:13" ht="13.05" customHeight="1" x14ac:dyDescent="0.25">
      <c r="B48" s="24">
        <v>7</v>
      </c>
      <c r="C48" s="11" t="s">
        <v>8</v>
      </c>
      <c r="D48" s="7" t="str">
        <f>IFERROR(VLOOKUP(C48,'Lista desplegable'!B$1:C$436,2,FALSE),"")</f>
        <v>EDINSON RODRIGO GONZALEZ CORTINEZ</v>
      </c>
      <c r="E48" s="7" t="str">
        <f>IFERROR(VLOOKUP(D48,'Lista desplegable'!C$1:D$436,2,FALSE),"")</f>
        <v>AYUDANTE DE PERFORISTA</v>
      </c>
      <c r="F48" s="19" t="s">
        <v>890</v>
      </c>
      <c r="G48" s="11" t="s">
        <v>903</v>
      </c>
      <c r="H48" s="11" t="s">
        <v>911</v>
      </c>
      <c r="I48" s="11">
        <v>24</v>
      </c>
      <c r="J48" s="11" t="s">
        <v>984</v>
      </c>
      <c r="K48" s="11" t="s">
        <v>918</v>
      </c>
      <c r="L48" s="11" t="s">
        <v>918</v>
      </c>
      <c r="M48" s="11" t="s">
        <v>1001</v>
      </c>
    </row>
    <row r="49" spans="2:13" ht="13.05" customHeight="1" x14ac:dyDescent="0.25">
      <c r="B49" s="24">
        <v>8</v>
      </c>
      <c r="C49" s="11" t="s">
        <v>758</v>
      </c>
      <c r="D49" s="7" t="str">
        <f>IFERROR(VLOOKUP(C49,'Lista desplegable'!B$1:C$436,2,FALSE),"")</f>
        <v>MAURICIO ANDRES OYARZUN SALAMANCA</v>
      </c>
      <c r="E49" s="7" t="str">
        <f>IFERROR(VLOOKUP(D49,'Lista desplegable'!C$1:D$436,2,FALSE),"")</f>
        <v>AYUDANTE DE PERFORISTA</v>
      </c>
      <c r="F49" s="19" t="s">
        <v>890</v>
      </c>
      <c r="G49" s="11" t="s">
        <v>903</v>
      </c>
      <c r="H49" s="11" t="s">
        <v>911</v>
      </c>
      <c r="I49" s="11">
        <v>24</v>
      </c>
      <c r="J49" s="11" t="s">
        <v>984</v>
      </c>
      <c r="K49" s="11" t="s">
        <v>918</v>
      </c>
      <c r="L49" s="11" t="s">
        <v>918</v>
      </c>
      <c r="M49" s="11"/>
    </row>
    <row r="50" spans="2:13" ht="13.05" customHeight="1" x14ac:dyDescent="0.25">
      <c r="B50" s="24">
        <v>9</v>
      </c>
      <c r="C50" s="11" t="s">
        <v>676</v>
      </c>
      <c r="D50" s="7" t="str">
        <f>IFERROR(VLOOKUP(C50,'Lista desplegable'!B$1:C$436,2,FALSE),"")</f>
        <v>JOHN BYRON VASQUEZ CARROZA</v>
      </c>
      <c r="E50" s="7" t="str">
        <f>IFERROR(VLOOKUP(D50,'Lista desplegable'!C$1:D$436,2,FALSE),"")</f>
        <v>AYUDANTE DE PERFORISTA</v>
      </c>
      <c r="F50" s="19" t="s">
        <v>890</v>
      </c>
      <c r="G50" s="11" t="s">
        <v>903</v>
      </c>
      <c r="H50" s="11" t="s">
        <v>911</v>
      </c>
      <c r="I50" s="11">
        <v>24</v>
      </c>
      <c r="J50" s="11" t="s">
        <v>984</v>
      </c>
      <c r="K50" s="11" t="s">
        <v>918</v>
      </c>
      <c r="L50" s="11" t="s">
        <v>918</v>
      </c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2:I2"/>
    <mergeCell ref="G3:I3"/>
    <mergeCell ref="C6:M6"/>
    <mergeCell ref="C40:M40"/>
  </mergeCell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A4DFF6A6-3C5F-465C-A704-AE6813C32BD9}">
          <x14:formula1>
            <xm:f>'Lista desplegable'!$L$2:$L$3</xm:f>
          </x14:formula1>
          <xm:sqref>K8:L37 K42:L71</xm:sqref>
        </x14:dataValidation>
        <x14:dataValidation type="list" allowBlank="1" showInputMessage="1" showErrorMessage="1" xr:uid="{2D12453A-D7A5-415B-BEE2-0B34D0B04E6B}">
          <x14:formula1>
            <xm:f>'Lista desplegable'!$H$2:$H$7</xm:f>
          </x14:formula1>
          <xm:sqref>G8:G37 G42:G71</xm:sqref>
        </x14:dataValidation>
        <x14:dataValidation type="list" allowBlank="1" showInputMessage="1" showErrorMessage="1" xr:uid="{70018BDA-1097-4D2A-B3CA-41E820D957CC}">
          <x14:formula1>
            <xm:f>'Lista desplegable'!$J$2:$J$10</xm:f>
          </x14:formula1>
          <xm:sqref>H8:H37 H42:H71</xm:sqref>
        </x14:dataValidation>
        <x14:dataValidation type="list" allowBlank="1" showInputMessage="1" showErrorMessage="1" xr:uid="{86DB5C45-777D-4EF2-9D2A-E6FA74378F93}">
          <x14:formula1>
            <xm:f>'Lista desplegable'!$F$2:$F$19</xm:f>
          </x14:formula1>
          <xm:sqref>F8:F37 F42:F71</xm:sqref>
        </x14:dataValidation>
        <x14:dataValidation type="list" allowBlank="1" showInputMessage="1" showErrorMessage="1" xr:uid="{707DF364-9A78-49F7-BB81-E6CF83D4B33C}">
          <x14:formula1>
            <xm:f>'Lista desplegable'!$B$2:$B$436</xm:f>
          </x14:formula1>
          <xm:sqref>C8:C37 C42:C71</xm:sqref>
        </x14:dataValidation>
        <x14:dataValidation type="list" allowBlank="1" showInputMessage="1" showErrorMessage="1" xr:uid="{5588971E-1BB5-4EDC-B6C8-22BCFF2D495E}">
          <x14:formula1>
            <xm:f>'Lista desplegable'!$N$2:$N$5</xm:f>
          </x14:formula1>
          <xm:sqref>J8:J37 J42:J71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F13DF-AADA-40FE-B4D6-392428E93F43}">
  <dimension ref="B1:M93"/>
  <sheetViews>
    <sheetView topLeftCell="A7" zoomScale="80" zoomScaleNormal="80" workbookViewId="0">
      <selection activeCell="M48" sqref="M48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0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21.77734375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46271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11" t="s">
        <v>692</v>
      </c>
      <c r="D8" s="7" t="str">
        <f>IFERROR(VLOOKUP(C8,'Lista desplegable'!B$1:C$436,2,FALSE),"")</f>
        <v>JOSE CRISTIAN BASTIAS PEREZ</v>
      </c>
      <c r="E8" s="7" t="str">
        <f>IFERROR(VLOOKUP(D8,'Lista desplegable'!C$1:D$436,2,FALSE),"")</f>
        <v>SUPERVISOR DE OPERACIONES</v>
      </c>
      <c r="F8" s="19" t="s">
        <v>890</v>
      </c>
      <c r="G8" s="11" t="s">
        <v>903</v>
      </c>
      <c r="H8" s="11" t="s">
        <v>911</v>
      </c>
      <c r="I8" s="11">
        <v>24</v>
      </c>
      <c r="J8" s="11" t="s">
        <v>984</v>
      </c>
      <c r="K8" s="11" t="s">
        <v>918</v>
      </c>
      <c r="L8" s="11" t="s">
        <v>918</v>
      </c>
      <c r="M8" s="11"/>
    </row>
    <row r="9" spans="2:13" s="1" customFormat="1" ht="13.05" customHeight="1" x14ac:dyDescent="0.25">
      <c r="B9" s="24">
        <v>2</v>
      </c>
      <c r="C9" s="10" t="s">
        <v>590</v>
      </c>
      <c r="D9" s="7" t="str">
        <f>IFERROR(VLOOKUP(C9,'Lista desplegable'!B$1:C$436,2,FALSE),"")</f>
        <v>DAYNE JEFFERY PASSMORE .</v>
      </c>
      <c r="E9" s="7" t="str">
        <f>IFERROR(VLOOKUP(D9,'Lista desplegable'!C$1:D$436,2,FALSE),"")</f>
        <v>ADMINISTRADOR DE CONTRATO</v>
      </c>
      <c r="F9" s="19" t="s">
        <v>890</v>
      </c>
      <c r="G9" s="11" t="s">
        <v>903</v>
      </c>
      <c r="H9" s="11" t="s">
        <v>911</v>
      </c>
      <c r="I9" s="11">
        <v>24</v>
      </c>
      <c r="J9" s="11" t="s">
        <v>984</v>
      </c>
      <c r="K9" s="11"/>
      <c r="L9" s="11"/>
      <c r="M9" s="11"/>
    </row>
    <row r="10" spans="2:13" s="1" customFormat="1" ht="13.05" customHeight="1" x14ac:dyDescent="0.25">
      <c r="B10" s="24">
        <v>3</v>
      </c>
      <c r="C10" s="11" t="s">
        <v>783</v>
      </c>
      <c r="D10" s="7" t="str">
        <f>IFERROR(VLOOKUP(C10,'Lista desplegable'!B$1:C$436,2,FALSE),"")</f>
        <v>NORA ALEXANDRA SALAS ROJAS</v>
      </c>
      <c r="E10" s="7" t="str">
        <f>IFERROR(VLOOKUP(D10,'Lista desplegable'!C$1:D$436,2,FALSE),"")</f>
        <v>PREVENCIONISTA DE RIESGOS</v>
      </c>
      <c r="F10" s="19" t="s">
        <v>890</v>
      </c>
      <c r="G10" s="11" t="s">
        <v>903</v>
      </c>
      <c r="H10" s="11" t="s">
        <v>911</v>
      </c>
      <c r="I10" s="11">
        <v>24</v>
      </c>
      <c r="J10" s="11" t="s">
        <v>984</v>
      </c>
      <c r="K10" s="11" t="s">
        <v>918</v>
      </c>
      <c r="L10" s="11" t="s">
        <v>918</v>
      </c>
      <c r="M10" s="11" t="s">
        <v>996</v>
      </c>
    </row>
    <row r="11" spans="2:13" s="1" customFormat="1" ht="13.05" customHeight="1" x14ac:dyDescent="0.25">
      <c r="B11" s="24">
        <v>4</v>
      </c>
      <c r="C11" s="11" t="s">
        <v>769</v>
      </c>
      <c r="D11" s="7" t="str">
        <f>IFERROR(VLOOKUP(C11,'Lista desplegable'!B$1:C$436,2,FALSE),"")</f>
        <v>NATALY ANTONIA SALAS ESCOBAR</v>
      </c>
      <c r="E11" s="7" t="str">
        <f>IFERROR(VLOOKUP(D11,'Lista desplegable'!C$1:D$436,2,FALSE),"")</f>
        <v>ADMINISTRATIVO DE FAENA</v>
      </c>
      <c r="F11" s="19" t="s">
        <v>890</v>
      </c>
      <c r="G11" s="11" t="s">
        <v>903</v>
      </c>
      <c r="H11" s="11" t="s">
        <v>911</v>
      </c>
      <c r="I11" s="11">
        <v>24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11" t="s">
        <v>792</v>
      </c>
      <c r="D12" s="7" t="str">
        <f>IFERROR(VLOOKUP(C12,'Lista desplegable'!B$1:C$436,2,FALSE),"")</f>
        <v>PAOLO ALEJANDRO MANRIQUEZ SILVA</v>
      </c>
      <c r="E12" s="7" t="str">
        <f>IFERROR(VLOOKUP(D12,'Lista desplegable'!C$1:D$436,2,FALSE),"")</f>
        <v>BODEGUERO</v>
      </c>
      <c r="F12" s="19" t="s">
        <v>890</v>
      </c>
      <c r="G12" s="11" t="s">
        <v>903</v>
      </c>
      <c r="H12" s="11" t="s">
        <v>911</v>
      </c>
      <c r="I12" s="11">
        <v>24</v>
      </c>
      <c r="J12" s="11" t="s">
        <v>984</v>
      </c>
      <c r="K12" s="11" t="s">
        <v>918</v>
      </c>
      <c r="L12" s="11" t="s">
        <v>918</v>
      </c>
      <c r="M12" s="11"/>
    </row>
    <row r="13" spans="2:13" s="1" customFormat="1" ht="13.05" customHeight="1" x14ac:dyDescent="0.25">
      <c r="B13" s="24">
        <v>6</v>
      </c>
      <c r="C13" s="11" t="s">
        <v>695</v>
      </c>
      <c r="D13" s="7" t="str">
        <f>IFERROR(VLOOKUP(C13,'Lista desplegable'!B$1:C$436,2,FALSE),"")</f>
        <v>JOSÉ LEONARDO RODRIGUEZ ROBLES</v>
      </c>
      <c r="E13" s="7" t="str">
        <f>IFERROR(VLOOKUP(D13,'Lista desplegable'!C$1:D$436,2,FALSE),"")</f>
        <v>CHOFER</v>
      </c>
      <c r="F13" s="19" t="s">
        <v>890</v>
      </c>
      <c r="G13" s="11" t="s">
        <v>903</v>
      </c>
      <c r="H13" s="11" t="s">
        <v>911</v>
      </c>
      <c r="I13" s="11">
        <v>24</v>
      </c>
      <c r="J13" s="11" t="s">
        <v>984</v>
      </c>
      <c r="K13" s="11" t="s">
        <v>918</v>
      </c>
      <c r="L13" s="11" t="s">
        <v>918</v>
      </c>
      <c r="M13" s="11"/>
    </row>
    <row r="14" spans="2:13" s="1" customFormat="1" ht="13.05" customHeight="1" x14ac:dyDescent="0.25">
      <c r="B14" s="24">
        <v>7</v>
      </c>
      <c r="C14" s="11" t="s">
        <v>690</v>
      </c>
      <c r="D14" s="7" t="str">
        <f>IFERROR(VLOOKUP(C14,'Lista desplegable'!B$1:C$436,2,FALSE),"")</f>
        <v>JORGE ESTEBAN SAAVEDRA MENA</v>
      </c>
      <c r="E14" s="7" t="str">
        <f>IFERROR(VLOOKUP(D14,'Lista desplegable'!C$1:D$436,2,FALSE),"")</f>
        <v>CHOFER</v>
      </c>
      <c r="F14" s="19" t="s">
        <v>890</v>
      </c>
      <c r="G14" s="11" t="s">
        <v>903</v>
      </c>
      <c r="H14" s="11" t="s">
        <v>911</v>
      </c>
      <c r="I14" s="11">
        <v>24</v>
      </c>
      <c r="J14" s="11" t="s">
        <v>984</v>
      </c>
      <c r="K14" s="11" t="s">
        <v>918</v>
      </c>
      <c r="L14" s="11" t="s">
        <v>918</v>
      </c>
      <c r="M14" s="11"/>
    </row>
    <row r="15" spans="2:13" s="1" customFormat="1" ht="13.05" customHeight="1" x14ac:dyDescent="0.25">
      <c r="B15" s="24">
        <v>8</v>
      </c>
      <c r="C15" s="11" t="s">
        <v>602</v>
      </c>
      <c r="D15" s="7" t="str">
        <f>IFERROR(VLOOKUP(C15,'Lista desplegable'!B$1:C$436,2,FALSE),"")</f>
        <v>ELIAS NICOLAS CORTEZ CORTEZ</v>
      </c>
      <c r="E15" s="7" t="str">
        <f>IFERROR(VLOOKUP(D15,'Lista desplegable'!C$1:D$436,2,FALSE),"")</f>
        <v>CHOFER</v>
      </c>
      <c r="F15" s="19" t="s">
        <v>890</v>
      </c>
      <c r="G15" s="11" t="s">
        <v>903</v>
      </c>
      <c r="H15" s="11" t="s">
        <v>911</v>
      </c>
      <c r="I15" s="11">
        <v>24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11" t="s">
        <v>508</v>
      </c>
      <c r="D16" s="7" t="str">
        <f>IFERROR(VLOOKUP(C16,'Lista desplegable'!B$1:C$436,2,FALSE),"")</f>
        <v>ALEJANDRO ALBERTO CAMPILLAY RUIZ</v>
      </c>
      <c r="E16" s="7" t="str">
        <f>IFERROR(VLOOKUP(D16,'Lista desplegable'!C$1:D$436,2,FALSE),"")</f>
        <v>MECANICO</v>
      </c>
      <c r="F16" s="19" t="s">
        <v>890</v>
      </c>
      <c r="G16" s="11" t="s">
        <v>903</v>
      </c>
      <c r="H16" s="11" t="s">
        <v>911</v>
      </c>
      <c r="I16" s="11">
        <v>24</v>
      </c>
      <c r="J16" s="11" t="s">
        <v>984</v>
      </c>
      <c r="K16" s="11" t="s">
        <v>918</v>
      </c>
      <c r="L16" s="11" t="s">
        <v>918</v>
      </c>
      <c r="M16" s="11"/>
    </row>
    <row r="17" spans="2:13" s="1" customFormat="1" ht="13.05" customHeight="1" x14ac:dyDescent="0.25">
      <c r="B17" s="24">
        <v>10</v>
      </c>
      <c r="C17" s="11" t="s">
        <v>878</v>
      </c>
      <c r="D17" s="7" t="str">
        <f>IFERROR(VLOOKUP(C17,'Lista desplegable'!B$1:C$436,2,FALSE),"")</f>
        <v>WALDO RAFAEL CASTRO PASTENE</v>
      </c>
      <c r="E17" s="7" t="str">
        <f>IFERROR(VLOOKUP(D17,'Lista desplegable'!C$1:D$436,2,FALSE),"")</f>
        <v>SOLDADOR</v>
      </c>
      <c r="F17" s="19" t="s">
        <v>890</v>
      </c>
      <c r="G17" s="11" t="s">
        <v>903</v>
      </c>
      <c r="H17" s="11" t="s">
        <v>911</v>
      </c>
      <c r="I17" s="11">
        <v>24</v>
      </c>
      <c r="J17" s="11" t="s">
        <v>984</v>
      </c>
      <c r="K17" s="11" t="s">
        <v>918</v>
      </c>
      <c r="L17" s="11" t="s">
        <v>918</v>
      </c>
      <c r="M17" s="11"/>
    </row>
    <row r="18" spans="2:13" s="1" customFormat="1" ht="13.05" customHeight="1" x14ac:dyDescent="0.25">
      <c r="B18" s="24">
        <v>11</v>
      </c>
      <c r="C18" s="11" t="s">
        <v>607</v>
      </c>
      <c r="D18" s="7" t="str">
        <f>IFERROR(VLOOKUP(C18,'Lista desplegable'!B$1:C$436,2,FALSE),"")</f>
        <v>ENKHZAYA GANBAATAR .</v>
      </c>
      <c r="E18" s="7" t="str">
        <f>IFERROR(VLOOKUP(D18,'Lista desplegable'!C$1:D$436,2,FALSE),"")</f>
        <v>PERFORISTA</v>
      </c>
      <c r="F18" s="19" t="s">
        <v>890</v>
      </c>
      <c r="G18" s="11" t="s">
        <v>903</v>
      </c>
      <c r="H18" s="11" t="s">
        <v>911</v>
      </c>
      <c r="I18" s="11">
        <v>24</v>
      </c>
      <c r="J18" s="11" t="s">
        <v>984</v>
      </c>
      <c r="K18" s="11"/>
      <c r="L18" s="11"/>
      <c r="M18" s="11"/>
    </row>
    <row r="19" spans="2:13" s="1" customFormat="1" ht="13.05" customHeight="1" x14ac:dyDescent="0.25">
      <c r="B19" s="24">
        <v>12</v>
      </c>
      <c r="C19" s="10" t="s">
        <v>870</v>
      </c>
      <c r="D19" s="7" t="str">
        <f>IFERROR(VLOOKUP(C19,'Lista desplegable'!B$1:C$436,2,FALSE),"")</f>
        <v>VICENTE ANDRES LOPEZ MARTINEZ</v>
      </c>
      <c r="E19" s="7" t="str">
        <f>IFERROR(VLOOKUP(D19,'Lista desplegable'!C$1:D$436,2,FALSE),"")</f>
        <v>AYUDANTE DE PERFORISTA</v>
      </c>
      <c r="F19" s="19" t="s">
        <v>890</v>
      </c>
      <c r="G19" s="11" t="s">
        <v>903</v>
      </c>
      <c r="H19" s="11" t="s">
        <v>911</v>
      </c>
      <c r="I19" s="11">
        <v>24</v>
      </c>
      <c r="J19" s="11" t="s">
        <v>984</v>
      </c>
      <c r="K19" s="11" t="s">
        <v>918</v>
      </c>
      <c r="L19" s="11" t="s">
        <v>918</v>
      </c>
      <c r="M19" s="11"/>
    </row>
    <row r="20" spans="2:13" s="1" customFormat="1" ht="13.05" customHeight="1" x14ac:dyDescent="0.25">
      <c r="B20" s="24">
        <v>13</v>
      </c>
      <c r="C20" s="11" t="s">
        <v>20</v>
      </c>
      <c r="D20" s="7" t="str">
        <f>IFERROR(VLOOKUP(C20,'Lista desplegable'!B$1:C$436,2,FALSE),"")</f>
        <v>CARLOS ALBERTO PIZARRO PIZARRO</v>
      </c>
      <c r="E20" s="7" t="str">
        <f>IFERROR(VLOOKUP(D20,'Lista desplegable'!C$1:D$436,2,FALSE),"")</f>
        <v>AYUDANTE DE PERFORISTA</v>
      </c>
      <c r="F20" s="19" t="s">
        <v>890</v>
      </c>
      <c r="G20" s="11" t="s">
        <v>903</v>
      </c>
      <c r="H20" s="11" t="s">
        <v>911</v>
      </c>
      <c r="I20" s="11">
        <v>24</v>
      </c>
      <c r="J20" s="11" t="s">
        <v>984</v>
      </c>
      <c r="K20" s="11" t="s">
        <v>918</v>
      </c>
      <c r="L20" s="11" t="s">
        <v>918</v>
      </c>
      <c r="M20" s="11"/>
    </row>
    <row r="21" spans="2:13" s="1" customFormat="1" ht="13.05" customHeight="1" x14ac:dyDescent="0.25">
      <c r="B21" s="24">
        <v>14</v>
      </c>
      <c r="C21" s="11" t="s">
        <v>624</v>
      </c>
      <c r="D21" s="7" t="str">
        <f>IFERROR(VLOOKUP(C21,'Lista desplegable'!B$1:C$436,2,FALSE),"")</f>
        <v>FELIPE DAVID SAAVEDRA CAMPOS</v>
      </c>
      <c r="E21" s="7" t="str">
        <f>IFERROR(VLOOKUP(D21,'Lista desplegable'!C$1:D$436,2,FALSE),"")</f>
        <v>AYUDANTE DE PERFORISTA</v>
      </c>
      <c r="F21" s="19" t="s">
        <v>890</v>
      </c>
      <c r="G21" s="11" t="s">
        <v>903</v>
      </c>
      <c r="H21" s="11" t="s">
        <v>911</v>
      </c>
      <c r="I21" s="11">
        <v>24</v>
      </c>
      <c r="J21" s="11" t="s">
        <v>984</v>
      </c>
      <c r="K21" s="11" t="s">
        <v>918</v>
      </c>
      <c r="L21" s="11" t="s">
        <v>918</v>
      </c>
      <c r="M21" s="11"/>
    </row>
    <row r="22" spans="2:13" s="1" customFormat="1" ht="13.05" customHeight="1" x14ac:dyDescent="0.25">
      <c r="B22" s="24">
        <v>15</v>
      </c>
      <c r="C22" s="11"/>
      <c r="D22" s="7" t="str">
        <f>IFERROR(VLOOKUP(C22,'Lista desplegable'!B$1:C$436,2,FALSE),"")</f>
        <v/>
      </c>
      <c r="E22" s="7" t="str">
        <f>IFERROR(VLOOKUP(D22,'Lista desplegable'!C$1:D$436,2,FALSE),"")</f>
        <v/>
      </c>
      <c r="F22" s="19"/>
      <c r="G22" s="11"/>
      <c r="H22" s="11"/>
      <c r="I22" s="11"/>
      <c r="J22" s="11"/>
      <c r="K22" s="11"/>
      <c r="L22" s="11"/>
      <c r="M22" s="11"/>
    </row>
    <row r="23" spans="2:13" s="1" customFormat="1" ht="13.05" customHeight="1" x14ac:dyDescent="0.25">
      <c r="B23" s="24">
        <v>16</v>
      </c>
      <c r="C23" s="11"/>
      <c r="D23" s="7" t="str">
        <f>IFERROR(VLOOKUP(C23,'Lista desplegable'!B$1:C$436,2,FALSE),"")</f>
        <v/>
      </c>
      <c r="E23" s="7" t="str">
        <f>IFERROR(VLOOKUP(D23,'Lista desplegable'!C$1:D$436,2,FALSE),"")</f>
        <v/>
      </c>
      <c r="F23" s="19"/>
      <c r="G23" s="11"/>
      <c r="H23" s="11"/>
      <c r="I23" s="11"/>
      <c r="J23" s="11"/>
      <c r="K23" s="11"/>
      <c r="L23" s="11"/>
      <c r="M23" s="11"/>
    </row>
    <row r="24" spans="2:13" s="1" customFormat="1" ht="13.05" customHeight="1" x14ac:dyDescent="0.25">
      <c r="B24" s="24">
        <v>17</v>
      </c>
      <c r="C24" s="11"/>
      <c r="D24" s="7" t="str">
        <f>IFERROR(VLOOKUP(C24,'Lista desplegable'!B$1:C$436,2,FALSE),"")</f>
        <v/>
      </c>
      <c r="E24" s="7" t="str">
        <f>IFERROR(VLOOKUP(D24,'Lista desplegable'!C$1:D$436,2,FALSE),"")</f>
        <v/>
      </c>
      <c r="F24" s="19"/>
      <c r="G24" s="11"/>
      <c r="H24" s="11"/>
      <c r="I24" s="11"/>
      <c r="J24" s="11"/>
      <c r="K24" s="11"/>
      <c r="L24" s="11"/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05" customHeight="1" x14ac:dyDescent="0.25">
      <c r="C38"/>
    </row>
    <row r="39" spans="2:13" ht="13.05" customHeight="1" x14ac:dyDescent="0.25">
      <c r="C39"/>
    </row>
    <row r="40" spans="2:13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3" ht="13.05" customHeight="1" x14ac:dyDescent="0.25">
      <c r="B42" s="24">
        <v>1</v>
      </c>
      <c r="C42" s="11" t="s">
        <v>528</v>
      </c>
      <c r="D42" s="7" t="str">
        <f>IFERROR(VLOOKUP(C42,'Lista desplegable'!B$1:C$436,2,FALSE),"")</f>
        <v>ARIEL ANDRES SILVA RIQUELME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>
        <v>24</v>
      </c>
      <c r="J42" s="11" t="s">
        <v>984</v>
      </c>
      <c r="K42" s="11" t="s">
        <v>918</v>
      </c>
      <c r="L42" s="11" t="s">
        <v>918</v>
      </c>
      <c r="M42" s="11" t="s">
        <v>1000</v>
      </c>
    </row>
    <row r="43" spans="2:13" ht="13.05" customHeight="1" x14ac:dyDescent="0.25">
      <c r="B43" s="24">
        <v>2</v>
      </c>
      <c r="C43" s="11" t="s">
        <v>514</v>
      </c>
      <c r="D43" s="7" t="str">
        <f>IFERROR(VLOOKUP(C43,'Lista desplegable'!B$1:C$436,2,FALSE),"")</f>
        <v>ALISSON AYLEEN VILLAGRA CABALLERO</v>
      </c>
      <c r="E43" s="7" t="str">
        <f>IFERROR(VLOOKUP(D43,'Lista desplegable'!C$1:D$436,2,FALSE),"")</f>
        <v>CHOFER</v>
      </c>
      <c r="F43" s="19" t="s">
        <v>890</v>
      </c>
      <c r="G43" s="11" t="s">
        <v>903</v>
      </c>
      <c r="H43" s="11" t="s">
        <v>911</v>
      </c>
      <c r="I43" s="11">
        <v>24</v>
      </c>
      <c r="J43" s="11" t="s">
        <v>984</v>
      </c>
      <c r="K43" s="11" t="s">
        <v>918</v>
      </c>
      <c r="L43" s="11" t="s">
        <v>918</v>
      </c>
      <c r="M43" s="11"/>
    </row>
    <row r="44" spans="2:13" ht="13.05" customHeight="1" x14ac:dyDescent="0.25">
      <c r="B44" s="24">
        <v>3</v>
      </c>
      <c r="C44" s="11" t="s">
        <v>731</v>
      </c>
      <c r="D44" s="7" t="str">
        <f>IFERROR(VLOOKUP(C44,'Lista desplegable'!B$1:C$436,2,FALSE),"")</f>
        <v>LUIS HUMBERTO PEÑA AHUMADA</v>
      </c>
      <c r="E44" s="7" t="str">
        <f>IFERROR(VLOOKUP(D44,'Lista desplegable'!C$1:D$436,2,FALSE),"")</f>
        <v>CHOFER</v>
      </c>
      <c r="F44" s="19" t="s">
        <v>890</v>
      </c>
      <c r="G44" s="11" t="s">
        <v>903</v>
      </c>
      <c r="H44" s="11" t="s">
        <v>911</v>
      </c>
      <c r="I44" s="11">
        <v>24</v>
      </c>
      <c r="J44" s="11" t="s">
        <v>984</v>
      </c>
      <c r="K44" s="11" t="s">
        <v>918</v>
      </c>
      <c r="L44" s="11" t="s">
        <v>918</v>
      </c>
      <c r="M44" s="11" t="s">
        <v>1000</v>
      </c>
    </row>
    <row r="45" spans="2:13" ht="13.05" customHeight="1" x14ac:dyDescent="0.25">
      <c r="B45" s="24">
        <v>4</v>
      </c>
      <c r="C45" s="11" t="s">
        <v>735</v>
      </c>
      <c r="D45" s="7" t="str">
        <f>IFERROR(VLOOKUP(C45,'Lista desplegable'!B$1:C$436,2,FALSE),"")</f>
        <v>MANUEL ALEJANDRO TILLERIA SAAVEDRA</v>
      </c>
      <c r="E45" s="7" t="str">
        <f>IFERROR(VLOOKUP(D45,'Lista desplegable'!C$1:D$436,2,FALSE),"")</f>
        <v>MECANICO</v>
      </c>
      <c r="F45" s="19" t="s">
        <v>890</v>
      </c>
      <c r="G45" s="11" t="s">
        <v>903</v>
      </c>
      <c r="H45" s="11" t="s">
        <v>911</v>
      </c>
      <c r="I45" s="11">
        <v>24</v>
      </c>
      <c r="J45" s="11" t="s">
        <v>984</v>
      </c>
      <c r="K45" s="11" t="s">
        <v>918</v>
      </c>
      <c r="L45" s="11" t="s">
        <v>918</v>
      </c>
      <c r="M45" s="11"/>
    </row>
    <row r="46" spans="2:13" ht="13.05" customHeight="1" x14ac:dyDescent="0.25">
      <c r="B46" s="24">
        <v>5</v>
      </c>
      <c r="C46" s="11" t="s">
        <v>530</v>
      </c>
      <c r="D46" s="7" t="str">
        <f>IFERROR(VLOOKUP(C46,'Lista desplegable'!B$1:C$436,2,FALSE),"")</f>
        <v>ARIUNBOLD TSOGKHORKHOI .</v>
      </c>
      <c r="E46" s="7" t="str">
        <f>IFERROR(VLOOKUP(D46,'Lista desplegable'!C$1:D$436,2,FALSE),"")</f>
        <v>PERFORISTA</v>
      </c>
      <c r="F46" s="19" t="s">
        <v>890</v>
      </c>
      <c r="G46" s="11" t="s">
        <v>903</v>
      </c>
      <c r="H46" s="11" t="s">
        <v>911</v>
      </c>
      <c r="I46" s="11">
        <v>24</v>
      </c>
      <c r="J46" s="11" t="s">
        <v>984</v>
      </c>
      <c r="K46" s="11"/>
      <c r="L46" s="11"/>
      <c r="M46" s="11"/>
    </row>
    <row r="47" spans="2:13" ht="13.05" customHeight="1" x14ac:dyDescent="0.25">
      <c r="B47" s="24">
        <v>6</v>
      </c>
      <c r="C47" s="11" t="s">
        <v>867</v>
      </c>
      <c r="D47" s="7" t="str">
        <f>IFERROR(VLOOKUP(C47,'Lista desplegable'!B$1:C$436,2,FALSE),"")</f>
        <v>ULZIIBADRAKH BAYANMUNKH .</v>
      </c>
      <c r="E47" s="7" t="str">
        <f>IFERROR(VLOOKUP(D47,'Lista desplegable'!C$1:D$436,2,FALSE),"")</f>
        <v>PERFORISTA</v>
      </c>
      <c r="F47" s="19" t="s">
        <v>890</v>
      </c>
      <c r="G47" s="11" t="s">
        <v>903</v>
      </c>
      <c r="H47" s="11" t="s">
        <v>911</v>
      </c>
      <c r="I47" s="11">
        <v>24</v>
      </c>
      <c r="J47" s="11" t="s">
        <v>984</v>
      </c>
      <c r="K47" s="11"/>
      <c r="L47" s="11"/>
      <c r="M47" s="11"/>
    </row>
    <row r="48" spans="2:13" ht="13.05" customHeight="1" x14ac:dyDescent="0.25">
      <c r="B48" s="24">
        <v>7</v>
      </c>
      <c r="C48" s="11" t="s">
        <v>8</v>
      </c>
      <c r="D48" s="7" t="str">
        <f>IFERROR(VLOOKUP(C48,'Lista desplegable'!B$1:C$436,2,FALSE),"")</f>
        <v>EDINSON RODRIGO GONZALEZ CORTINEZ</v>
      </c>
      <c r="E48" s="7" t="str">
        <f>IFERROR(VLOOKUP(D48,'Lista desplegable'!C$1:D$436,2,FALSE),"")</f>
        <v>AYUDANTE DE PERFORISTA</v>
      </c>
      <c r="F48" s="19" t="s">
        <v>890</v>
      </c>
      <c r="G48" s="11" t="s">
        <v>903</v>
      </c>
      <c r="H48" s="11" t="s">
        <v>911</v>
      </c>
      <c r="I48" s="11">
        <v>24</v>
      </c>
      <c r="J48" s="11" t="s">
        <v>984</v>
      </c>
      <c r="K48" s="11" t="s">
        <v>918</v>
      </c>
      <c r="L48" s="11" t="s">
        <v>918</v>
      </c>
      <c r="M48" s="11" t="s">
        <v>1001</v>
      </c>
    </row>
    <row r="49" spans="2:13" ht="13.05" customHeight="1" x14ac:dyDescent="0.25">
      <c r="B49" s="24">
        <v>8</v>
      </c>
      <c r="C49" s="11" t="s">
        <v>758</v>
      </c>
      <c r="D49" s="7" t="str">
        <f>IFERROR(VLOOKUP(C49,'Lista desplegable'!B$1:C$436,2,FALSE),"")</f>
        <v>MAURICIO ANDRES OYARZUN SALAMANCA</v>
      </c>
      <c r="E49" s="7" t="str">
        <f>IFERROR(VLOOKUP(D49,'Lista desplegable'!C$1:D$436,2,FALSE),"")</f>
        <v>AYUDANTE DE PERFORISTA</v>
      </c>
      <c r="F49" s="19" t="s">
        <v>890</v>
      </c>
      <c r="G49" s="11" t="s">
        <v>903</v>
      </c>
      <c r="H49" s="11" t="s">
        <v>911</v>
      </c>
      <c r="I49" s="11">
        <v>24</v>
      </c>
      <c r="J49" s="11" t="s">
        <v>984</v>
      </c>
      <c r="K49" s="11" t="s">
        <v>918</v>
      </c>
      <c r="L49" s="11" t="s">
        <v>918</v>
      </c>
      <c r="M49" s="11"/>
    </row>
    <row r="50" spans="2:13" ht="13.05" customHeight="1" x14ac:dyDescent="0.25">
      <c r="B50" s="24">
        <v>9</v>
      </c>
      <c r="C50" s="11" t="s">
        <v>676</v>
      </c>
      <c r="D50" s="7" t="str">
        <f>IFERROR(VLOOKUP(C50,'Lista desplegable'!B$1:C$436,2,FALSE),"")</f>
        <v>JOHN BYRON VASQUEZ CARROZA</v>
      </c>
      <c r="E50" s="7" t="str">
        <f>IFERROR(VLOOKUP(D50,'Lista desplegable'!C$1:D$436,2,FALSE),"")</f>
        <v>AYUDANTE DE PERFORISTA</v>
      </c>
      <c r="F50" s="19" t="s">
        <v>890</v>
      </c>
      <c r="G50" s="11" t="s">
        <v>903</v>
      </c>
      <c r="H50" s="11" t="s">
        <v>911</v>
      </c>
      <c r="I50" s="11">
        <v>24</v>
      </c>
      <c r="J50" s="11" t="s">
        <v>984</v>
      </c>
      <c r="K50" s="11" t="s">
        <v>918</v>
      </c>
      <c r="L50" s="11" t="s">
        <v>918</v>
      </c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2:I2"/>
    <mergeCell ref="G3:I3"/>
    <mergeCell ref="C6:M6"/>
    <mergeCell ref="C40:M40"/>
  </mergeCell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24DBA2A2-B8EC-4337-9532-2E40468F55CC}">
          <x14:formula1>
            <xm:f>'Lista desplegable'!$N$2:$N$5</xm:f>
          </x14:formula1>
          <xm:sqref>J8:J37 J42:J71</xm:sqref>
        </x14:dataValidation>
        <x14:dataValidation type="list" allowBlank="1" showInputMessage="1" showErrorMessage="1" xr:uid="{FC766EFE-9B0A-49DD-84E8-CD5CA5A9E487}">
          <x14:formula1>
            <xm:f>'Lista desplegable'!$B$2:$B$436</xm:f>
          </x14:formula1>
          <xm:sqref>C8:C37 C42:C71</xm:sqref>
        </x14:dataValidation>
        <x14:dataValidation type="list" allowBlank="1" showInputMessage="1" showErrorMessage="1" xr:uid="{E505D2CD-8AE2-4DD0-A386-599A6FFECE61}">
          <x14:formula1>
            <xm:f>'Lista desplegable'!$F$2:$F$19</xm:f>
          </x14:formula1>
          <xm:sqref>F8:F37 F42:F71</xm:sqref>
        </x14:dataValidation>
        <x14:dataValidation type="list" allowBlank="1" showInputMessage="1" showErrorMessage="1" xr:uid="{ECD5CF10-BD1B-4B97-9C08-860650B6148B}">
          <x14:formula1>
            <xm:f>'Lista desplegable'!$J$2:$J$10</xm:f>
          </x14:formula1>
          <xm:sqref>H8:H37 H42:H71</xm:sqref>
        </x14:dataValidation>
        <x14:dataValidation type="list" allowBlank="1" showInputMessage="1" showErrorMessage="1" xr:uid="{AA648B5F-2DD2-4A7B-B9D9-0BC2E2D8FC32}">
          <x14:formula1>
            <xm:f>'Lista desplegable'!$H$2:$H$7</xm:f>
          </x14:formula1>
          <xm:sqref>G8:G37 G42:G71</xm:sqref>
        </x14:dataValidation>
        <x14:dataValidation type="list" allowBlank="1" showInputMessage="1" showErrorMessage="1" xr:uid="{05C12E38-EFDA-4CF6-B849-ED2B7942F930}">
          <x14:formula1>
            <xm:f>'Lista desplegable'!$L$2:$L$3</xm:f>
          </x14:formula1>
          <xm:sqref>K8:L37 K42:L71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B0467-6A85-449C-AFCE-7140E4E3242A}">
  <dimension ref="B1:M93"/>
  <sheetViews>
    <sheetView topLeftCell="A22" zoomScale="80" zoomScaleNormal="80" workbookViewId="0">
      <selection activeCell="D13" sqref="D13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0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21.77734375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46272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11" t="s">
        <v>692</v>
      </c>
      <c r="D8" s="7" t="str">
        <f>IFERROR(VLOOKUP(C8,'Lista desplegable'!B$1:C$436,2,FALSE),"")</f>
        <v>JOSE CRISTIAN BASTIAS PEREZ</v>
      </c>
      <c r="E8" s="7" t="str">
        <f>IFERROR(VLOOKUP(D8,'Lista desplegable'!C$1:D$436,2,FALSE),"")</f>
        <v>SUPERVISOR DE OPERACIONES</v>
      </c>
      <c r="F8" s="19" t="s">
        <v>890</v>
      </c>
      <c r="G8" s="11" t="s">
        <v>903</v>
      </c>
      <c r="H8" s="11" t="s">
        <v>911</v>
      </c>
      <c r="I8" s="11">
        <v>18</v>
      </c>
      <c r="J8" s="11" t="s">
        <v>984</v>
      </c>
      <c r="K8" s="11" t="s">
        <v>918</v>
      </c>
      <c r="L8" s="11" t="s">
        <v>918</v>
      </c>
      <c r="M8" s="11"/>
    </row>
    <row r="9" spans="2:13" s="1" customFormat="1" ht="13.05" customHeight="1" x14ac:dyDescent="0.25">
      <c r="B9" s="24">
        <v>2</v>
      </c>
      <c r="C9" s="10" t="s">
        <v>590</v>
      </c>
      <c r="D9" s="7" t="str">
        <f>IFERROR(VLOOKUP(C9,'Lista desplegable'!B$1:C$436,2,FALSE),"")</f>
        <v>DAYNE JEFFERY PASSMORE .</v>
      </c>
      <c r="E9" s="7" t="str">
        <f>IFERROR(VLOOKUP(D9,'Lista desplegable'!C$1:D$436,2,FALSE),"")</f>
        <v>ADMINISTRADOR DE CONTRATO</v>
      </c>
      <c r="F9" s="19" t="s">
        <v>890</v>
      </c>
      <c r="G9" s="11" t="s">
        <v>903</v>
      </c>
      <c r="H9" s="11" t="s">
        <v>911</v>
      </c>
      <c r="I9" s="11">
        <v>18</v>
      </c>
      <c r="J9" s="11" t="s">
        <v>984</v>
      </c>
      <c r="K9" s="11"/>
      <c r="L9" s="11"/>
      <c r="M9" s="11"/>
    </row>
    <row r="10" spans="2:13" s="1" customFormat="1" ht="13.05" customHeight="1" x14ac:dyDescent="0.25">
      <c r="B10" s="24">
        <v>3</v>
      </c>
      <c r="C10" s="11" t="s">
        <v>783</v>
      </c>
      <c r="D10" s="7" t="str">
        <f>IFERROR(VLOOKUP(C10,'Lista desplegable'!B$1:C$436,2,FALSE),"")</f>
        <v>NORA ALEXANDRA SALAS ROJAS</v>
      </c>
      <c r="E10" s="7" t="str">
        <f>IFERROR(VLOOKUP(D10,'Lista desplegable'!C$1:D$436,2,FALSE),"")</f>
        <v>PREVENCIONISTA DE RIESGOS</v>
      </c>
      <c r="F10" s="19" t="s">
        <v>890</v>
      </c>
      <c r="G10" s="11" t="s">
        <v>903</v>
      </c>
      <c r="H10" s="11" t="s">
        <v>911</v>
      </c>
      <c r="I10" s="11">
        <v>18</v>
      </c>
      <c r="J10" s="11" t="s">
        <v>984</v>
      </c>
      <c r="K10" s="11" t="s">
        <v>918</v>
      </c>
      <c r="L10" s="11" t="s">
        <v>918</v>
      </c>
      <c r="M10" s="11" t="s">
        <v>996</v>
      </c>
    </row>
    <row r="11" spans="2:13" s="1" customFormat="1" ht="13.05" customHeight="1" x14ac:dyDescent="0.25">
      <c r="B11" s="24">
        <v>4</v>
      </c>
      <c r="C11" s="11" t="s">
        <v>769</v>
      </c>
      <c r="D11" s="7" t="str">
        <f>IFERROR(VLOOKUP(C11,'Lista desplegable'!B$1:C$436,2,FALSE),"")</f>
        <v>NATALY ANTONIA SALAS ESCOBAR</v>
      </c>
      <c r="E11" s="7" t="str">
        <f>IFERROR(VLOOKUP(D11,'Lista desplegable'!C$1:D$436,2,FALSE),"")</f>
        <v>ADMINISTRATIVO DE FAENA</v>
      </c>
      <c r="F11" s="19" t="s">
        <v>890</v>
      </c>
      <c r="G11" s="11" t="s">
        <v>903</v>
      </c>
      <c r="H11" s="11" t="s">
        <v>911</v>
      </c>
      <c r="I11" s="11">
        <v>18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11" t="s">
        <v>792</v>
      </c>
      <c r="D12" s="7" t="str">
        <f>IFERROR(VLOOKUP(C12,'Lista desplegable'!B$1:C$436,2,FALSE),"")</f>
        <v>PAOLO ALEJANDRO MANRIQUEZ SILVA</v>
      </c>
      <c r="E12" s="7" t="str">
        <f>IFERROR(VLOOKUP(D12,'Lista desplegable'!C$1:D$436,2,FALSE),"")</f>
        <v>BODEGUERO</v>
      </c>
      <c r="F12" s="19" t="s">
        <v>890</v>
      </c>
      <c r="G12" s="11" t="s">
        <v>903</v>
      </c>
      <c r="H12" s="11" t="s">
        <v>911</v>
      </c>
      <c r="I12" s="11">
        <v>18</v>
      </c>
      <c r="J12" s="11" t="s">
        <v>984</v>
      </c>
      <c r="K12" s="11" t="s">
        <v>918</v>
      </c>
      <c r="L12" s="11" t="s">
        <v>918</v>
      </c>
      <c r="M12" s="11"/>
    </row>
    <row r="13" spans="2:13" s="1" customFormat="1" ht="13.05" customHeight="1" x14ac:dyDescent="0.25">
      <c r="B13" s="24">
        <v>6</v>
      </c>
      <c r="C13" s="11" t="s">
        <v>549</v>
      </c>
      <c r="D13" s="7" t="str">
        <f>IFERROR(VLOOKUP(C13,'Lista desplegable'!B$1:C$436,2,FALSE),"")</f>
        <v>CARLOS EDUARDO RODRIGUEZ HERNANDEZ</v>
      </c>
      <c r="E13" s="7" t="str">
        <f>IFERROR(VLOOKUP(D13,'Lista desplegable'!C$1:D$436,2,FALSE),"")</f>
        <v>ADMINISTRADOR DE CONTRATO</v>
      </c>
      <c r="F13" s="19" t="s">
        <v>890</v>
      </c>
      <c r="G13" s="11" t="s">
        <v>903</v>
      </c>
      <c r="H13" s="11" t="s">
        <v>911</v>
      </c>
      <c r="I13" s="11">
        <v>18</v>
      </c>
      <c r="J13" s="11" t="s">
        <v>984</v>
      </c>
      <c r="K13" s="11" t="s">
        <v>918</v>
      </c>
      <c r="L13" s="11" t="s">
        <v>918</v>
      </c>
      <c r="M13" s="11"/>
    </row>
    <row r="14" spans="2:13" s="1" customFormat="1" ht="13.05" customHeight="1" x14ac:dyDescent="0.25">
      <c r="B14" s="24">
        <v>7</v>
      </c>
      <c r="C14" s="11" t="s">
        <v>695</v>
      </c>
      <c r="D14" s="7" t="str">
        <f>IFERROR(VLOOKUP(C14,'Lista desplegable'!B$1:C$436,2,FALSE),"")</f>
        <v>JOSÉ LEONARDO RODRIGUEZ ROBLES</v>
      </c>
      <c r="E14" s="7" t="str">
        <f>IFERROR(VLOOKUP(D14,'Lista desplegable'!C$1:D$436,2,FALSE),"")</f>
        <v>CHOFER</v>
      </c>
      <c r="F14" s="19" t="s">
        <v>890</v>
      </c>
      <c r="G14" s="11" t="s">
        <v>903</v>
      </c>
      <c r="H14" s="11" t="s">
        <v>911</v>
      </c>
      <c r="I14" s="11">
        <v>18</v>
      </c>
      <c r="J14" s="11" t="s">
        <v>984</v>
      </c>
      <c r="K14" s="11" t="s">
        <v>918</v>
      </c>
      <c r="L14" s="11" t="s">
        <v>918</v>
      </c>
      <c r="M14" s="11"/>
    </row>
    <row r="15" spans="2:13" s="1" customFormat="1" ht="13.05" customHeight="1" x14ac:dyDescent="0.25">
      <c r="B15" s="24">
        <v>8</v>
      </c>
      <c r="C15" s="11" t="s">
        <v>690</v>
      </c>
      <c r="D15" s="7" t="str">
        <f>IFERROR(VLOOKUP(C15,'Lista desplegable'!B$1:C$436,2,FALSE),"")</f>
        <v>JORGE ESTEBAN SAAVEDRA MENA</v>
      </c>
      <c r="E15" s="7" t="str">
        <f>IFERROR(VLOOKUP(D15,'Lista desplegable'!C$1:D$436,2,FALSE),"")</f>
        <v>CHOFER</v>
      </c>
      <c r="F15" s="19" t="s">
        <v>890</v>
      </c>
      <c r="G15" s="11" t="s">
        <v>903</v>
      </c>
      <c r="H15" s="11" t="s">
        <v>911</v>
      </c>
      <c r="I15" s="11">
        <v>18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11" t="s">
        <v>602</v>
      </c>
      <c r="D16" s="7" t="str">
        <f>IFERROR(VLOOKUP(C16,'Lista desplegable'!B$1:C$436,2,FALSE),"")</f>
        <v>ELIAS NICOLAS CORTEZ CORTEZ</v>
      </c>
      <c r="E16" s="7" t="str">
        <f>IFERROR(VLOOKUP(D16,'Lista desplegable'!C$1:D$436,2,FALSE),"")</f>
        <v>CHOFER</v>
      </c>
      <c r="F16" s="19" t="s">
        <v>890</v>
      </c>
      <c r="G16" s="11" t="s">
        <v>903</v>
      </c>
      <c r="H16" s="11" t="s">
        <v>911</v>
      </c>
      <c r="I16" s="11">
        <v>18</v>
      </c>
      <c r="J16" s="11" t="s">
        <v>984</v>
      </c>
      <c r="K16" s="11" t="s">
        <v>918</v>
      </c>
      <c r="L16" s="11" t="s">
        <v>918</v>
      </c>
      <c r="M16" s="11"/>
    </row>
    <row r="17" spans="2:13" s="1" customFormat="1" ht="13.05" customHeight="1" x14ac:dyDescent="0.25">
      <c r="B17" s="24">
        <v>10</v>
      </c>
      <c r="C17" s="11" t="s">
        <v>508</v>
      </c>
      <c r="D17" s="7" t="str">
        <f>IFERROR(VLOOKUP(C17,'Lista desplegable'!B$1:C$436,2,FALSE),"")</f>
        <v>ALEJANDRO ALBERTO CAMPILLAY RUIZ</v>
      </c>
      <c r="E17" s="7" t="str">
        <f>IFERROR(VLOOKUP(D17,'Lista desplegable'!C$1:D$436,2,FALSE),"")</f>
        <v>MECANICO</v>
      </c>
      <c r="F17" s="19" t="s">
        <v>890</v>
      </c>
      <c r="G17" s="11" t="s">
        <v>903</v>
      </c>
      <c r="H17" s="11" t="s">
        <v>911</v>
      </c>
      <c r="I17" s="11">
        <v>18</v>
      </c>
      <c r="J17" s="11" t="s">
        <v>984</v>
      </c>
      <c r="K17" s="11" t="s">
        <v>918</v>
      </c>
      <c r="L17" s="11" t="s">
        <v>918</v>
      </c>
      <c r="M17" s="11"/>
    </row>
    <row r="18" spans="2:13" s="1" customFormat="1" ht="13.05" customHeight="1" x14ac:dyDescent="0.25">
      <c r="B18" s="24">
        <v>11</v>
      </c>
      <c r="C18" s="11" t="s">
        <v>878</v>
      </c>
      <c r="D18" s="7" t="str">
        <f>IFERROR(VLOOKUP(C18,'Lista desplegable'!B$1:C$436,2,FALSE),"")</f>
        <v>WALDO RAFAEL CASTRO PASTENE</v>
      </c>
      <c r="E18" s="7" t="str">
        <f>IFERROR(VLOOKUP(D18,'Lista desplegable'!C$1:D$436,2,FALSE),"")</f>
        <v>SOLDADOR</v>
      </c>
      <c r="F18" s="19" t="s">
        <v>890</v>
      </c>
      <c r="G18" s="11" t="s">
        <v>903</v>
      </c>
      <c r="H18" s="11" t="s">
        <v>911</v>
      </c>
      <c r="I18" s="11">
        <v>18</v>
      </c>
      <c r="J18" s="11" t="s">
        <v>984</v>
      </c>
      <c r="K18" s="11" t="s">
        <v>918</v>
      </c>
      <c r="L18" s="11" t="s">
        <v>918</v>
      </c>
      <c r="M18" s="11"/>
    </row>
    <row r="19" spans="2:13" s="1" customFormat="1" ht="13.05" customHeight="1" x14ac:dyDescent="0.25">
      <c r="B19" s="24">
        <v>12</v>
      </c>
      <c r="C19" s="10" t="s">
        <v>607</v>
      </c>
      <c r="D19" s="7" t="str">
        <f>IFERROR(VLOOKUP(C19,'Lista desplegable'!B$1:C$436,2,FALSE),"")</f>
        <v>ENKHZAYA GANBAATAR .</v>
      </c>
      <c r="E19" s="7" t="str">
        <f>IFERROR(VLOOKUP(D19,'Lista desplegable'!C$1:D$436,2,FALSE),"")</f>
        <v>PERFORISTA</v>
      </c>
      <c r="F19" s="19" t="s">
        <v>890</v>
      </c>
      <c r="G19" s="11" t="s">
        <v>903</v>
      </c>
      <c r="H19" s="11" t="s">
        <v>911</v>
      </c>
      <c r="I19" s="11">
        <v>18</v>
      </c>
      <c r="J19" s="11" t="s">
        <v>984</v>
      </c>
      <c r="K19" s="11"/>
      <c r="L19" s="11"/>
      <c r="M19" s="11"/>
    </row>
    <row r="20" spans="2:13" s="1" customFormat="1" ht="13.05" customHeight="1" x14ac:dyDescent="0.25">
      <c r="B20" s="24">
        <v>13</v>
      </c>
      <c r="C20" s="11" t="s">
        <v>870</v>
      </c>
      <c r="D20" s="7" t="str">
        <f>IFERROR(VLOOKUP(C20,'Lista desplegable'!B$1:C$436,2,FALSE),"")</f>
        <v>VICENTE ANDRES LOPEZ MARTINEZ</v>
      </c>
      <c r="E20" s="7" t="str">
        <f>IFERROR(VLOOKUP(D20,'Lista desplegable'!C$1:D$436,2,FALSE),"")</f>
        <v>AYUDANTE DE PERFORISTA</v>
      </c>
      <c r="F20" s="19" t="s">
        <v>890</v>
      </c>
      <c r="G20" s="11" t="s">
        <v>903</v>
      </c>
      <c r="H20" s="11" t="s">
        <v>911</v>
      </c>
      <c r="I20" s="11">
        <v>18</v>
      </c>
      <c r="J20" s="11" t="s">
        <v>984</v>
      </c>
      <c r="K20" s="11" t="s">
        <v>918</v>
      </c>
      <c r="L20" s="11" t="s">
        <v>918</v>
      </c>
      <c r="M20" s="11"/>
    </row>
    <row r="21" spans="2:13" s="1" customFormat="1" ht="13.05" customHeight="1" x14ac:dyDescent="0.25">
      <c r="B21" s="24">
        <v>14</v>
      </c>
      <c r="C21" s="11" t="s">
        <v>20</v>
      </c>
      <c r="D21" s="7" t="str">
        <f>IFERROR(VLOOKUP(C21,'Lista desplegable'!B$1:C$436,2,FALSE),"")</f>
        <v>CARLOS ALBERTO PIZARRO PIZARRO</v>
      </c>
      <c r="E21" s="7" t="str">
        <f>IFERROR(VLOOKUP(D21,'Lista desplegable'!C$1:D$436,2,FALSE),"")</f>
        <v>AYUDANTE DE PERFORISTA</v>
      </c>
      <c r="F21" s="19" t="s">
        <v>890</v>
      </c>
      <c r="G21" s="11" t="s">
        <v>903</v>
      </c>
      <c r="H21" s="11" t="s">
        <v>911</v>
      </c>
      <c r="I21" s="11">
        <v>18</v>
      </c>
      <c r="J21" s="11" t="s">
        <v>984</v>
      </c>
      <c r="K21" s="11" t="s">
        <v>918</v>
      </c>
      <c r="L21" s="11" t="s">
        <v>918</v>
      </c>
      <c r="M21" s="11"/>
    </row>
    <row r="22" spans="2:13" s="1" customFormat="1" ht="13.05" customHeight="1" x14ac:dyDescent="0.25">
      <c r="B22" s="24">
        <v>15</v>
      </c>
      <c r="C22" s="11" t="s">
        <v>624</v>
      </c>
      <c r="D22" s="7" t="str">
        <f>IFERROR(VLOOKUP(C22,'Lista desplegable'!B$1:C$436,2,FALSE),"")</f>
        <v>FELIPE DAVID SAAVEDRA CAMPOS</v>
      </c>
      <c r="E22" s="7" t="str">
        <f>IFERROR(VLOOKUP(D22,'Lista desplegable'!C$1:D$436,2,FALSE),"")</f>
        <v>AYUDANTE DE PERFORISTA</v>
      </c>
      <c r="F22" s="19" t="s">
        <v>890</v>
      </c>
      <c r="G22" s="11" t="s">
        <v>903</v>
      </c>
      <c r="H22" s="11" t="s">
        <v>911</v>
      </c>
      <c r="I22" s="11">
        <v>18</v>
      </c>
      <c r="J22" s="11" t="s">
        <v>984</v>
      </c>
      <c r="K22" s="11" t="s">
        <v>918</v>
      </c>
      <c r="L22" s="11" t="s">
        <v>918</v>
      </c>
      <c r="M22" s="11"/>
    </row>
    <row r="23" spans="2:13" s="1" customFormat="1" ht="13.05" customHeight="1" x14ac:dyDescent="0.25">
      <c r="B23" s="24">
        <v>16</v>
      </c>
      <c r="C23" s="11"/>
      <c r="D23" s="7" t="str">
        <f>IFERROR(VLOOKUP(C23,'Lista desplegable'!B$1:C$436,2,FALSE),"")</f>
        <v/>
      </c>
      <c r="E23" s="7" t="str">
        <f>IFERROR(VLOOKUP(D23,'Lista desplegable'!C$1:D$436,2,FALSE),"")</f>
        <v/>
      </c>
      <c r="F23" s="19"/>
      <c r="G23" s="11"/>
      <c r="H23" s="11"/>
      <c r="I23" s="11"/>
      <c r="J23" s="11"/>
      <c r="K23" s="11"/>
      <c r="L23" s="11"/>
      <c r="M23" s="11"/>
    </row>
    <row r="24" spans="2:13" s="1" customFormat="1" ht="13.05" customHeight="1" x14ac:dyDescent="0.25">
      <c r="B24" s="24">
        <v>17</v>
      </c>
      <c r="C24" s="11"/>
      <c r="D24" s="7" t="str">
        <f>IFERROR(VLOOKUP(C24,'Lista desplegable'!B$1:C$436,2,FALSE),"")</f>
        <v/>
      </c>
      <c r="E24" s="7" t="str">
        <f>IFERROR(VLOOKUP(D24,'Lista desplegable'!C$1:D$436,2,FALSE),"")</f>
        <v/>
      </c>
      <c r="F24" s="19"/>
      <c r="G24" s="11"/>
      <c r="H24" s="11"/>
      <c r="I24" s="11"/>
      <c r="J24" s="11"/>
      <c r="K24" s="11"/>
      <c r="L24" s="11"/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05" customHeight="1" x14ac:dyDescent="0.25">
      <c r="C38"/>
    </row>
    <row r="39" spans="2:13" ht="13.05" customHeight="1" x14ac:dyDescent="0.25">
      <c r="C39"/>
    </row>
    <row r="40" spans="2:13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3" ht="13.05" customHeight="1" x14ac:dyDescent="0.25">
      <c r="B42" s="24">
        <v>1</v>
      </c>
      <c r="C42" s="11" t="s">
        <v>528</v>
      </c>
      <c r="D42" s="7" t="str">
        <f>IFERROR(VLOOKUP(C42,'Lista desplegable'!B$1:C$436,2,FALSE),"")</f>
        <v>ARIEL ANDRES SILVA RIQUELME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>
        <v>24</v>
      </c>
      <c r="J42" s="11" t="s">
        <v>984</v>
      </c>
      <c r="K42" s="11" t="s">
        <v>918</v>
      </c>
      <c r="L42" s="11" t="s">
        <v>918</v>
      </c>
      <c r="M42" s="11" t="s">
        <v>1002</v>
      </c>
    </row>
    <row r="43" spans="2:13" ht="13.05" customHeight="1" x14ac:dyDescent="0.25">
      <c r="B43" s="24">
        <v>2</v>
      </c>
      <c r="C43" s="11" t="s">
        <v>514</v>
      </c>
      <c r="D43" s="7" t="str">
        <f>IFERROR(VLOOKUP(C43,'Lista desplegable'!B$1:C$436,2,FALSE),"")</f>
        <v>ALISSON AYLEEN VILLAGRA CABALLERO</v>
      </c>
      <c r="E43" s="7" t="str">
        <f>IFERROR(VLOOKUP(D43,'Lista desplegable'!C$1:D$436,2,FALSE),"")</f>
        <v>CHOFER</v>
      </c>
      <c r="F43" s="19" t="s">
        <v>890</v>
      </c>
      <c r="G43" s="11" t="s">
        <v>903</v>
      </c>
      <c r="H43" s="11" t="s">
        <v>911</v>
      </c>
      <c r="I43" s="11">
        <v>24</v>
      </c>
      <c r="J43" s="11" t="s">
        <v>984</v>
      </c>
      <c r="K43" s="11" t="s">
        <v>918</v>
      </c>
      <c r="L43" s="11" t="s">
        <v>918</v>
      </c>
      <c r="M43" s="11"/>
    </row>
    <row r="44" spans="2:13" ht="13.05" customHeight="1" x14ac:dyDescent="0.25">
      <c r="B44" s="24">
        <v>3</v>
      </c>
      <c r="C44" s="11" t="s">
        <v>731</v>
      </c>
      <c r="D44" s="7" t="str">
        <f>IFERROR(VLOOKUP(C44,'Lista desplegable'!B$1:C$436,2,FALSE),"")</f>
        <v>LUIS HUMBERTO PEÑA AHUMADA</v>
      </c>
      <c r="E44" s="7" t="str">
        <f>IFERROR(VLOOKUP(D44,'Lista desplegable'!C$1:D$436,2,FALSE),"")</f>
        <v>CHOFER</v>
      </c>
      <c r="F44" s="19" t="s">
        <v>890</v>
      </c>
      <c r="G44" s="11" t="s">
        <v>903</v>
      </c>
      <c r="H44" s="11" t="s">
        <v>911</v>
      </c>
      <c r="I44" s="11">
        <v>24</v>
      </c>
      <c r="J44" s="11" t="s">
        <v>984</v>
      </c>
      <c r="K44" s="11" t="s">
        <v>918</v>
      </c>
      <c r="L44" s="11" t="s">
        <v>918</v>
      </c>
      <c r="M44" s="11"/>
    </row>
    <row r="45" spans="2:13" ht="13.05" customHeight="1" x14ac:dyDescent="0.25">
      <c r="B45" s="24">
        <v>4</v>
      </c>
      <c r="C45" s="11" t="s">
        <v>735</v>
      </c>
      <c r="D45" s="7" t="str">
        <f>IFERROR(VLOOKUP(C45,'Lista desplegable'!B$1:C$436,2,FALSE),"")</f>
        <v>MANUEL ALEJANDRO TILLERIA SAAVEDRA</v>
      </c>
      <c r="E45" s="7" t="str">
        <f>IFERROR(VLOOKUP(D45,'Lista desplegable'!C$1:D$436,2,FALSE),"")</f>
        <v>MECANICO</v>
      </c>
      <c r="F45" s="19" t="s">
        <v>890</v>
      </c>
      <c r="G45" s="11" t="s">
        <v>903</v>
      </c>
      <c r="H45" s="11" t="s">
        <v>911</v>
      </c>
      <c r="I45" s="11">
        <v>24</v>
      </c>
      <c r="J45" s="11" t="s">
        <v>984</v>
      </c>
      <c r="K45" s="11" t="s">
        <v>918</v>
      </c>
      <c r="L45" s="11" t="s">
        <v>918</v>
      </c>
      <c r="M45" s="11" t="s">
        <v>1002</v>
      </c>
    </row>
    <row r="46" spans="2:13" ht="13.05" customHeight="1" x14ac:dyDescent="0.25">
      <c r="B46" s="24">
        <v>5</v>
      </c>
      <c r="C46" s="11" t="s">
        <v>867</v>
      </c>
      <c r="D46" s="7" t="str">
        <f>IFERROR(VLOOKUP(C46,'Lista desplegable'!B$1:C$436,2,FALSE),"")</f>
        <v>ULZIIBADRAKH BAYANMUNKH .</v>
      </c>
      <c r="E46" s="7" t="str">
        <f>IFERROR(VLOOKUP(D46,'Lista desplegable'!C$1:D$436,2,FALSE),"")</f>
        <v>PERFORISTA</v>
      </c>
      <c r="F46" s="19" t="s">
        <v>890</v>
      </c>
      <c r="G46" s="11" t="s">
        <v>903</v>
      </c>
      <c r="H46" s="11" t="s">
        <v>911</v>
      </c>
      <c r="I46" s="11">
        <v>24</v>
      </c>
      <c r="J46" s="11" t="s">
        <v>984</v>
      </c>
      <c r="K46" s="11"/>
      <c r="L46" s="11"/>
      <c r="M46" s="11"/>
    </row>
    <row r="47" spans="2:13" ht="13.05" customHeight="1" x14ac:dyDescent="0.25">
      <c r="B47" s="24">
        <v>6</v>
      </c>
      <c r="C47" s="11" t="s">
        <v>8</v>
      </c>
      <c r="D47" s="7" t="str">
        <f>IFERROR(VLOOKUP(C47,'Lista desplegable'!B$1:C$436,2,FALSE),"")</f>
        <v>EDINSON RODRIGO GONZALEZ CORTINEZ</v>
      </c>
      <c r="E47" s="7" t="str">
        <f>IFERROR(VLOOKUP(D47,'Lista desplegable'!C$1:D$436,2,FALSE),"")</f>
        <v>AYUDANTE DE PERFORISTA</v>
      </c>
      <c r="F47" s="19" t="s">
        <v>890</v>
      </c>
      <c r="G47" s="11" t="s">
        <v>903</v>
      </c>
      <c r="H47" s="11" t="s">
        <v>911</v>
      </c>
      <c r="I47" s="11">
        <v>24</v>
      </c>
      <c r="J47" s="11" t="s">
        <v>984</v>
      </c>
      <c r="K47" s="11"/>
      <c r="L47" s="11"/>
      <c r="M47" s="11" t="s">
        <v>1001</v>
      </c>
    </row>
    <row r="48" spans="2:13" ht="13.05" customHeight="1" x14ac:dyDescent="0.25">
      <c r="B48" s="24">
        <v>7</v>
      </c>
      <c r="C48" s="11" t="s">
        <v>758</v>
      </c>
      <c r="D48" s="7" t="str">
        <f>IFERROR(VLOOKUP(C48,'Lista desplegable'!B$1:C$436,2,FALSE),"")</f>
        <v>MAURICIO ANDRES OYARZUN SALAMANCA</v>
      </c>
      <c r="E48" s="7" t="str">
        <f>IFERROR(VLOOKUP(D48,'Lista desplegable'!C$1:D$436,2,FALSE),"")</f>
        <v>AYUDANTE DE PERFORISTA</v>
      </c>
      <c r="F48" s="19" t="s">
        <v>890</v>
      </c>
      <c r="G48" s="11" t="s">
        <v>903</v>
      </c>
      <c r="H48" s="11" t="s">
        <v>911</v>
      </c>
      <c r="I48" s="11">
        <v>24</v>
      </c>
      <c r="J48" s="11" t="s">
        <v>984</v>
      </c>
      <c r="K48" s="11" t="s">
        <v>918</v>
      </c>
      <c r="L48" s="11" t="s">
        <v>918</v>
      </c>
      <c r="M48" s="11"/>
    </row>
    <row r="49" spans="2:13" ht="13.05" customHeight="1" x14ac:dyDescent="0.25">
      <c r="B49" s="24">
        <v>8</v>
      </c>
      <c r="C49" s="11" t="s">
        <v>676</v>
      </c>
      <c r="D49" s="7" t="str">
        <f>IFERROR(VLOOKUP(C49,'Lista desplegable'!B$1:C$436,2,FALSE),"")</f>
        <v>JOHN BYRON VASQUEZ CARROZA</v>
      </c>
      <c r="E49" s="7" t="str">
        <f>IFERROR(VLOOKUP(D49,'Lista desplegable'!C$1:D$436,2,FALSE),"")</f>
        <v>AYUDANTE DE PERFORISTA</v>
      </c>
      <c r="F49" s="19" t="s">
        <v>890</v>
      </c>
      <c r="G49" s="11" t="s">
        <v>903</v>
      </c>
      <c r="H49" s="11" t="s">
        <v>911</v>
      </c>
      <c r="I49" s="11">
        <v>24</v>
      </c>
      <c r="J49" s="11" t="s">
        <v>984</v>
      </c>
      <c r="K49" s="11" t="s">
        <v>918</v>
      </c>
      <c r="L49" s="11" t="s">
        <v>918</v>
      </c>
      <c r="M49" s="11"/>
    </row>
    <row r="50" spans="2:13" ht="13.05" customHeight="1" x14ac:dyDescent="0.25">
      <c r="B50" s="24">
        <v>9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11"/>
      <c r="J50" s="11"/>
      <c r="K50" s="11"/>
      <c r="L50" s="11"/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2:I2"/>
    <mergeCell ref="G3:I3"/>
    <mergeCell ref="C6:M6"/>
    <mergeCell ref="C40:M40"/>
  </mergeCell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17DB518-2EC4-475F-ACAE-660C13AE16D2}">
          <x14:formula1>
            <xm:f>'Lista desplegable'!$L$2:$L$3</xm:f>
          </x14:formula1>
          <xm:sqref>K8:L37 K42:L71</xm:sqref>
        </x14:dataValidation>
        <x14:dataValidation type="list" allowBlank="1" showInputMessage="1" showErrorMessage="1" xr:uid="{D1618ED3-4362-4475-BB72-2525771D1C55}">
          <x14:formula1>
            <xm:f>'Lista desplegable'!$H$2:$H$7</xm:f>
          </x14:formula1>
          <xm:sqref>G8:G37 G42:G71</xm:sqref>
        </x14:dataValidation>
        <x14:dataValidation type="list" allowBlank="1" showInputMessage="1" showErrorMessage="1" xr:uid="{F52FF897-4C46-43A2-8045-3976783F23B6}">
          <x14:formula1>
            <xm:f>'Lista desplegable'!$J$2:$J$10</xm:f>
          </x14:formula1>
          <xm:sqref>H8:H37 H42:H71</xm:sqref>
        </x14:dataValidation>
        <x14:dataValidation type="list" allowBlank="1" showInputMessage="1" showErrorMessage="1" xr:uid="{3A5F106E-B935-45D2-AE12-5244ED14BD4B}">
          <x14:formula1>
            <xm:f>'Lista desplegable'!$F$2:$F$19</xm:f>
          </x14:formula1>
          <xm:sqref>F8:F37 F42:F71</xm:sqref>
        </x14:dataValidation>
        <x14:dataValidation type="list" allowBlank="1" showInputMessage="1" showErrorMessage="1" xr:uid="{73D0A51A-D6EB-4284-A93D-EB1B391CDFFA}">
          <x14:formula1>
            <xm:f>'Lista desplegable'!$B$2:$B$436</xm:f>
          </x14:formula1>
          <xm:sqref>C8:C37 C42:C71</xm:sqref>
        </x14:dataValidation>
        <x14:dataValidation type="list" allowBlank="1" showInputMessage="1" showErrorMessage="1" xr:uid="{2D724F15-3D3D-4220-9B16-55EAB0BCBBFC}">
          <x14:formula1>
            <xm:f>'Lista desplegable'!$N$2:$N$5</xm:f>
          </x14:formula1>
          <xm:sqref>J8:J37 J42:J71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0BE7-A877-423A-B8F2-B313F1C04B20}">
  <dimension ref="B1:M93"/>
  <sheetViews>
    <sheetView topLeftCell="A16" zoomScale="80" zoomScaleNormal="80" workbookViewId="0">
      <selection activeCell="D12" sqref="D12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0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21.77734375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46273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11" t="s">
        <v>692</v>
      </c>
      <c r="D8" s="7" t="str">
        <f>IFERROR(VLOOKUP(C8,'Lista desplegable'!B$1:C$436,2,FALSE),"")</f>
        <v>JOSE CRISTIAN BASTIAS PEREZ</v>
      </c>
      <c r="E8" s="7" t="str">
        <f>IFERROR(VLOOKUP(D8,'Lista desplegable'!C$1:D$436,2,FALSE),"")</f>
        <v>SUPERVISOR DE OPERACIONES</v>
      </c>
      <c r="F8" s="19" t="s">
        <v>890</v>
      </c>
      <c r="G8" s="11" t="s">
        <v>903</v>
      </c>
      <c r="H8" s="11" t="s">
        <v>911</v>
      </c>
      <c r="I8" s="11">
        <v>0</v>
      </c>
      <c r="J8" s="11" t="s">
        <v>984</v>
      </c>
      <c r="K8" s="11" t="s">
        <v>918</v>
      </c>
      <c r="L8" s="11" t="s">
        <v>918</v>
      </c>
      <c r="M8" s="11"/>
    </row>
    <row r="9" spans="2:13" s="1" customFormat="1" ht="13.05" customHeight="1" x14ac:dyDescent="0.25">
      <c r="B9" s="24">
        <v>2</v>
      </c>
      <c r="C9" s="10" t="s">
        <v>590</v>
      </c>
      <c r="D9" s="7" t="str">
        <f>IFERROR(VLOOKUP(C9,'Lista desplegable'!B$1:C$436,2,FALSE),"")</f>
        <v>DAYNE JEFFERY PASSMORE .</v>
      </c>
      <c r="E9" s="7" t="str">
        <f>IFERROR(VLOOKUP(D9,'Lista desplegable'!C$1:D$436,2,FALSE),"")</f>
        <v>ADMINISTRADOR DE CONTRATO</v>
      </c>
      <c r="F9" s="19" t="s">
        <v>890</v>
      </c>
      <c r="G9" s="11" t="s">
        <v>903</v>
      </c>
      <c r="H9" s="11" t="s">
        <v>911</v>
      </c>
      <c r="I9" s="11">
        <v>0</v>
      </c>
      <c r="J9" s="11" t="s">
        <v>984</v>
      </c>
      <c r="K9" s="11"/>
      <c r="L9" s="11"/>
      <c r="M9" s="11"/>
    </row>
    <row r="10" spans="2:13" s="1" customFormat="1" ht="13.05" customHeight="1" x14ac:dyDescent="0.25">
      <c r="B10" s="24">
        <v>3</v>
      </c>
      <c r="C10" s="11" t="s">
        <v>783</v>
      </c>
      <c r="D10" s="7" t="str">
        <f>IFERROR(VLOOKUP(C10,'Lista desplegable'!B$1:C$436,2,FALSE),"")</f>
        <v>NORA ALEXANDRA SALAS ROJAS</v>
      </c>
      <c r="E10" s="7" t="str">
        <f>IFERROR(VLOOKUP(D10,'Lista desplegable'!C$1:D$436,2,FALSE),"")</f>
        <v>PREVENCIONISTA DE RIESGOS</v>
      </c>
      <c r="F10" s="19" t="s">
        <v>890</v>
      </c>
      <c r="G10" s="11" t="s">
        <v>903</v>
      </c>
      <c r="H10" s="11" t="s">
        <v>911</v>
      </c>
      <c r="I10" s="11">
        <v>0</v>
      </c>
      <c r="J10" s="11" t="s">
        <v>984</v>
      </c>
      <c r="K10" s="11" t="s">
        <v>918</v>
      </c>
      <c r="L10" s="11" t="s">
        <v>918</v>
      </c>
      <c r="M10" s="11" t="s">
        <v>996</v>
      </c>
    </row>
    <row r="11" spans="2:13" s="1" customFormat="1" ht="13.05" customHeight="1" x14ac:dyDescent="0.25">
      <c r="B11" s="24">
        <v>4</v>
      </c>
      <c r="C11" s="11" t="s">
        <v>792</v>
      </c>
      <c r="D11" s="7" t="str">
        <f>IFERROR(VLOOKUP(C11,'Lista desplegable'!B$1:C$436,2,FALSE),"")</f>
        <v>PAOLO ALEJANDRO MANRIQUEZ SILVA</v>
      </c>
      <c r="E11" s="7" t="str">
        <f>IFERROR(VLOOKUP(D11,'Lista desplegable'!C$1:D$436,2,FALSE),"")</f>
        <v>BODEGUERO</v>
      </c>
      <c r="F11" s="19" t="s">
        <v>890</v>
      </c>
      <c r="G11" s="11" t="s">
        <v>903</v>
      </c>
      <c r="H11" s="11" t="s">
        <v>911</v>
      </c>
      <c r="I11" s="11">
        <v>0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11" t="s">
        <v>549</v>
      </c>
      <c r="D12" s="7" t="str">
        <f>IFERROR(VLOOKUP(C12,'Lista desplegable'!B$1:C$436,2,FALSE),"")</f>
        <v>CARLOS EDUARDO RODRIGUEZ HERNANDEZ</v>
      </c>
      <c r="E12" s="7" t="str">
        <f>IFERROR(VLOOKUP(D12,'Lista desplegable'!C$1:D$436,2,FALSE),"")</f>
        <v>ADMINISTRADOR DE CONTRATO</v>
      </c>
      <c r="F12" s="19" t="s">
        <v>890</v>
      </c>
      <c r="G12" s="11" t="s">
        <v>903</v>
      </c>
      <c r="H12" s="11" t="s">
        <v>911</v>
      </c>
      <c r="I12" s="11">
        <v>0</v>
      </c>
      <c r="J12" s="11" t="s">
        <v>984</v>
      </c>
      <c r="K12" s="11" t="s">
        <v>918</v>
      </c>
      <c r="L12" s="11" t="s">
        <v>918</v>
      </c>
      <c r="M12" s="11"/>
    </row>
    <row r="13" spans="2:13" s="1" customFormat="1" ht="13.05" customHeight="1" x14ac:dyDescent="0.25">
      <c r="B13" s="24">
        <v>6</v>
      </c>
      <c r="C13" s="11" t="s">
        <v>695</v>
      </c>
      <c r="D13" s="7" t="str">
        <f>IFERROR(VLOOKUP(C13,'Lista desplegable'!B$1:C$436,2,FALSE),"")</f>
        <v>JOSÉ LEONARDO RODRIGUEZ ROBLES</v>
      </c>
      <c r="E13" s="7" t="str">
        <f>IFERROR(VLOOKUP(D13,'Lista desplegable'!C$1:D$436,2,FALSE),"")</f>
        <v>CHOFER</v>
      </c>
      <c r="F13" s="19" t="s">
        <v>890</v>
      </c>
      <c r="G13" s="11" t="s">
        <v>903</v>
      </c>
      <c r="H13" s="11" t="s">
        <v>911</v>
      </c>
      <c r="I13" s="11">
        <v>0</v>
      </c>
      <c r="J13" s="11" t="s">
        <v>984</v>
      </c>
      <c r="K13" s="11" t="s">
        <v>918</v>
      </c>
      <c r="L13" s="11" t="s">
        <v>918</v>
      </c>
      <c r="M13" s="11"/>
    </row>
    <row r="14" spans="2:13" s="1" customFormat="1" ht="13.05" customHeight="1" x14ac:dyDescent="0.25">
      <c r="B14" s="24">
        <v>7</v>
      </c>
      <c r="C14" s="11" t="s">
        <v>602</v>
      </c>
      <c r="D14" s="7" t="str">
        <f>IFERROR(VLOOKUP(C14,'Lista desplegable'!B$1:C$436,2,FALSE),"")</f>
        <v>ELIAS NICOLAS CORTEZ CORTEZ</v>
      </c>
      <c r="E14" s="7" t="str">
        <f>IFERROR(VLOOKUP(D14,'Lista desplegable'!C$1:D$436,2,FALSE),"")</f>
        <v>CHOFER</v>
      </c>
      <c r="F14" s="19" t="s">
        <v>890</v>
      </c>
      <c r="G14" s="11" t="s">
        <v>903</v>
      </c>
      <c r="H14" s="11" t="s">
        <v>911</v>
      </c>
      <c r="I14" s="11">
        <v>0</v>
      </c>
      <c r="J14" s="11" t="s">
        <v>984</v>
      </c>
      <c r="K14" s="11" t="s">
        <v>918</v>
      </c>
      <c r="L14" s="11" t="s">
        <v>918</v>
      </c>
      <c r="M14" s="11"/>
    </row>
    <row r="15" spans="2:13" s="1" customFormat="1" ht="13.05" customHeight="1" x14ac:dyDescent="0.25">
      <c r="B15" s="24">
        <v>8</v>
      </c>
      <c r="C15" s="11" t="s">
        <v>694</v>
      </c>
      <c r="D15" s="7" t="str">
        <f>IFERROR(VLOOKUP(C15,'Lista desplegable'!B$1:C$436,2,FALSE),"")</f>
        <v>JOSE LEANDRO PARRA SARAVIA</v>
      </c>
      <c r="E15" s="7" t="str">
        <f>IFERROR(VLOOKUP(D15,'Lista desplegable'!C$1:D$436,2,FALSE),"")</f>
        <v>CHOFER</v>
      </c>
      <c r="F15" s="19" t="s">
        <v>890</v>
      </c>
      <c r="G15" s="11" t="s">
        <v>903</v>
      </c>
      <c r="H15" s="11" t="s">
        <v>911</v>
      </c>
      <c r="I15" s="11">
        <v>0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11" t="s">
        <v>790</v>
      </c>
      <c r="D16" s="7" t="str">
        <f>IFERROR(VLOOKUP(C16,'Lista desplegable'!B$1:C$436,2,FALSE),"")</f>
        <v>PABLO LUCAS POBLETE KUHNE</v>
      </c>
      <c r="E16" s="7" t="str">
        <f>IFERROR(VLOOKUP(D16,'Lista desplegable'!C$1:D$436,2,FALSE),"")</f>
        <v>CHOFER</v>
      </c>
      <c r="F16" s="19" t="s">
        <v>890</v>
      </c>
      <c r="G16" s="11" t="s">
        <v>903</v>
      </c>
      <c r="H16" s="11" t="s">
        <v>911</v>
      </c>
      <c r="I16" s="11">
        <v>0</v>
      </c>
      <c r="J16" s="11" t="s">
        <v>984</v>
      </c>
      <c r="K16" s="11" t="s">
        <v>918</v>
      </c>
      <c r="L16" s="11" t="s">
        <v>918</v>
      </c>
      <c r="M16" s="11" t="s">
        <v>1003</v>
      </c>
    </row>
    <row r="17" spans="2:13" s="1" customFormat="1" ht="13.05" customHeight="1" x14ac:dyDescent="0.25">
      <c r="B17" s="24">
        <v>10</v>
      </c>
      <c r="C17" s="11" t="s">
        <v>690</v>
      </c>
      <c r="D17" s="7" t="str">
        <f>IFERROR(VLOOKUP(C17,'Lista desplegable'!B$1:C$436,2,FALSE),"")</f>
        <v>JORGE ESTEBAN SAAVEDRA MENA</v>
      </c>
      <c r="E17" s="7" t="str">
        <f>IFERROR(VLOOKUP(D17,'Lista desplegable'!C$1:D$436,2,FALSE),"")</f>
        <v>CHOFER</v>
      </c>
      <c r="F17" s="19" t="s">
        <v>890</v>
      </c>
      <c r="G17" s="11" t="s">
        <v>903</v>
      </c>
      <c r="H17" s="11" t="s">
        <v>911</v>
      </c>
      <c r="I17" s="11">
        <v>0</v>
      </c>
      <c r="J17" s="11" t="s">
        <v>984</v>
      </c>
      <c r="K17" s="11" t="s">
        <v>918</v>
      </c>
      <c r="L17" s="11" t="s">
        <v>918</v>
      </c>
      <c r="M17" s="11"/>
    </row>
    <row r="18" spans="2:13" s="1" customFormat="1" ht="13.05" customHeight="1" x14ac:dyDescent="0.25">
      <c r="B18" s="24">
        <v>11</v>
      </c>
      <c r="C18" s="11" t="s">
        <v>508</v>
      </c>
      <c r="D18" s="7" t="str">
        <f>IFERROR(VLOOKUP(C18,'Lista desplegable'!B$1:C$436,2,FALSE),"")</f>
        <v>ALEJANDRO ALBERTO CAMPILLAY RUIZ</v>
      </c>
      <c r="E18" s="7" t="str">
        <f>IFERROR(VLOOKUP(D18,'Lista desplegable'!C$1:D$436,2,FALSE),"")</f>
        <v>MECANICO</v>
      </c>
      <c r="F18" s="19" t="s">
        <v>890</v>
      </c>
      <c r="G18" s="11" t="s">
        <v>903</v>
      </c>
      <c r="H18" s="11" t="s">
        <v>911</v>
      </c>
      <c r="I18" s="11">
        <v>0</v>
      </c>
      <c r="J18" s="11" t="s">
        <v>984</v>
      </c>
      <c r="K18" s="11" t="s">
        <v>918</v>
      </c>
      <c r="L18" s="11" t="s">
        <v>918</v>
      </c>
      <c r="M18" s="11"/>
    </row>
    <row r="19" spans="2:13" s="1" customFormat="1" ht="13.05" customHeight="1" x14ac:dyDescent="0.25">
      <c r="B19" s="24">
        <v>12</v>
      </c>
      <c r="C19" s="10" t="s">
        <v>878</v>
      </c>
      <c r="D19" s="7" t="str">
        <f>IFERROR(VLOOKUP(C19,'Lista desplegable'!B$1:C$436,2,FALSE),"")</f>
        <v>WALDO RAFAEL CASTRO PASTENE</v>
      </c>
      <c r="E19" s="7" t="str">
        <f>IFERROR(VLOOKUP(D19,'Lista desplegable'!C$1:D$436,2,FALSE),"")</f>
        <v>SOLDADOR</v>
      </c>
      <c r="F19" s="19" t="s">
        <v>890</v>
      </c>
      <c r="G19" s="11" t="s">
        <v>903</v>
      </c>
      <c r="H19" s="11" t="s">
        <v>911</v>
      </c>
      <c r="I19" s="11">
        <v>0</v>
      </c>
      <c r="J19" s="11" t="s">
        <v>984</v>
      </c>
      <c r="K19" s="11" t="s">
        <v>918</v>
      </c>
      <c r="L19" s="11" t="s">
        <v>918</v>
      </c>
      <c r="M19" s="11"/>
    </row>
    <row r="20" spans="2:13" s="1" customFormat="1" ht="13.05" customHeight="1" x14ac:dyDescent="0.25">
      <c r="B20" s="24">
        <v>13</v>
      </c>
      <c r="C20" s="11" t="s">
        <v>20</v>
      </c>
      <c r="D20" s="7" t="str">
        <f>IFERROR(VLOOKUP(C20,'Lista desplegable'!B$1:C$436,2,FALSE),"")</f>
        <v>CARLOS ALBERTO PIZARRO PIZARRO</v>
      </c>
      <c r="E20" s="7" t="str">
        <f>IFERROR(VLOOKUP(D20,'Lista desplegable'!C$1:D$436,2,FALSE),"")</f>
        <v>AYUDANTE DE PERFORISTA</v>
      </c>
      <c r="F20" s="19" t="s">
        <v>890</v>
      </c>
      <c r="G20" s="11" t="s">
        <v>903</v>
      </c>
      <c r="H20" s="11" t="s">
        <v>911</v>
      </c>
      <c r="I20" s="11">
        <v>0</v>
      </c>
      <c r="J20" s="11" t="s">
        <v>984</v>
      </c>
      <c r="K20" s="11" t="s">
        <v>918</v>
      </c>
      <c r="L20" s="11" t="s">
        <v>918</v>
      </c>
      <c r="M20" s="11"/>
    </row>
    <row r="21" spans="2:13" s="1" customFormat="1" ht="13.05" customHeight="1" x14ac:dyDescent="0.25">
      <c r="B21" s="24">
        <v>14</v>
      </c>
      <c r="C21" s="11" t="s">
        <v>624</v>
      </c>
      <c r="D21" s="7" t="str">
        <f>IFERROR(VLOOKUP(C21,'Lista desplegable'!B$1:C$436,2,FALSE),"")</f>
        <v>FELIPE DAVID SAAVEDRA CAMPOS</v>
      </c>
      <c r="E21" s="7" t="str">
        <f>IFERROR(VLOOKUP(D21,'Lista desplegable'!C$1:D$436,2,FALSE),"")</f>
        <v>AYUDANTE DE PERFORISTA</v>
      </c>
      <c r="F21" s="19" t="s">
        <v>890</v>
      </c>
      <c r="G21" s="11" t="s">
        <v>903</v>
      </c>
      <c r="H21" s="11" t="s">
        <v>911</v>
      </c>
      <c r="I21" s="11">
        <v>0</v>
      </c>
      <c r="J21" s="11" t="s">
        <v>984</v>
      </c>
      <c r="K21" s="11" t="s">
        <v>918</v>
      </c>
      <c r="L21" s="11" t="s">
        <v>918</v>
      </c>
      <c r="M21" s="11"/>
    </row>
    <row r="22" spans="2:13" s="1" customFormat="1" ht="13.05" customHeight="1" x14ac:dyDescent="0.25">
      <c r="B22" s="24">
        <v>15</v>
      </c>
      <c r="C22" s="11" t="s">
        <v>870</v>
      </c>
      <c r="D22" s="7" t="str">
        <f>IFERROR(VLOOKUP(C22,'Lista desplegable'!B$1:C$436,2,FALSE),"")</f>
        <v>VICENTE ANDRES LOPEZ MARTINEZ</v>
      </c>
      <c r="E22" s="7" t="str">
        <f>IFERROR(VLOOKUP(D22,'Lista desplegable'!C$1:D$436,2,FALSE),"")</f>
        <v>AYUDANTE DE PERFORISTA</v>
      </c>
      <c r="F22" s="19" t="s">
        <v>890</v>
      </c>
      <c r="G22" s="11" t="s">
        <v>903</v>
      </c>
      <c r="H22" s="11" t="s">
        <v>911</v>
      </c>
      <c r="I22" s="11">
        <v>0</v>
      </c>
      <c r="J22" s="11" t="s">
        <v>984</v>
      </c>
      <c r="K22" s="11" t="s">
        <v>918</v>
      </c>
      <c r="L22" s="11" t="s">
        <v>918</v>
      </c>
      <c r="M22" s="11"/>
    </row>
    <row r="23" spans="2:13" s="1" customFormat="1" ht="13.05" customHeight="1" x14ac:dyDescent="0.25">
      <c r="B23" s="24">
        <v>16</v>
      </c>
      <c r="C23" s="11" t="s">
        <v>769</v>
      </c>
      <c r="D23" s="7" t="str">
        <f>IFERROR(VLOOKUP(C23,'Lista desplegable'!B$1:C$436,2,FALSE),"")</f>
        <v>NATALY ANTONIA SALAS ESCOBAR</v>
      </c>
      <c r="E23" s="7" t="str">
        <f>IFERROR(VLOOKUP(D23,'Lista desplegable'!C$1:D$436,2,FALSE),"")</f>
        <v>ADMINISTRATIVO DE FAENA</v>
      </c>
      <c r="F23" s="19" t="s">
        <v>890</v>
      </c>
      <c r="G23" s="11" t="s">
        <v>903</v>
      </c>
      <c r="H23" s="11" t="s">
        <v>911</v>
      </c>
      <c r="I23" s="11">
        <v>0</v>
      </c>
      <c r="J23" s="11" t="s">
        <v>984</v>
      </c>
      <c r="K23" s="11" t="s">
        <v>918</v>
      </c>
      <c r="L23" s="11" t="s">
        <v>918</v>
      </c>
      <c r="M23" s="11"/>
    </row>
    <row r="24" spans="2:13" s="1" customFormat="1" ht="13.05" customHeight="1" x14ac:dyDescent="0.25">
      <c r="B24" s="24">
        <v>17</v>
      </c>
      <c r="C24" s="11"/>
      <c r="D24" s="7" t="str">
        <f>IFERROR(VLOOKUP(C24,'Lista desplegable'!B$1:C$436,2,FALSE),"")</f>
        <v/>
      </c>
      <c r="E24" s="7" t="str">
        <f>IFERROR(VLOOKUP(D24,'Lista desplegable'!C$1:D$436,2,FALSE),"")</f>
        <v/>
      </c>
      <c r="F24" s="19"/>
      <c r="G24" s="11"/>
      <c r="H24" s="11"/>
      <c r="I24" s="11"/>
      <c r="J24" s="11"/>
      <c r="K24" s="11"/>
      <c r="L24" s="11"/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05" customHeight="1" x14ac:dyDescent="0.25">
      <c r="C38"/>
    </row>
    <row r="39" spans="2:13" ht="13.05" customHeight="1" x14ac:dyDescent="0.25">
      <c r="C39"/>
    </row>
    <row r="40" spans="2:13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3" ht="13.05" customHeight="1" x14ac:dyDescent="0.25">
      <c r="B42" s="24">
        <v>1</v>
      </c>
      <c r="C42" s="11" t="s">
        <v>528</v>
      </c>
      <c r="D42" s="7" t="str">
        <f>IFERROR(VLOOKUP(C42,'Lista desplegable'!B$1:C$436,2,FALSE),"")</f>
        <v>ARIEL ANDRES SILVA RIQUELME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>
        <v>0</v>
      </c>
      <c r="J42" s="11" t="s">
        <v>984</v>
      </c>
      <c r="K42" s="11" t="s">
        <v>918</v>
      </c>
      <c r="L42" s="11" t="s">
        <v>918</v>
      </c>
      <c r="M42" s="11" t="s">
        <v>1002</v>
      </c>
    </row>
    <row r="43" spans="2:13" ht="13.05" customHeight="1" x14ac:dyDescent="0.25">
      <c r="B43" s="24">
        <v>2</v>
      </c>
      <c r="C43" s="11" t="s">
        <v>514</v>
      </c>
      <c r="D43" s="7" t="str">
        <f>IFERROR(VLOOKUP(C43,'Lista desplegable'!B$1:C$436,2,FALSE),"")</f>
        <v>ALISSON AYLEEN VILLAGRA CABALLERO</v>
      </c>
      <c r="E43" s="7" t="str">
        <f>IFERROR(VLOOKUP(D43,'Lista desplegable'!C$1:D$436,2,FALSE),"")</f>
        <v>CHOFER</v>
      </c>
      <c r="F43" s="19" t="s">
        <v>890</v>
      </c>
      <c r="G43" s="11" t="s">
        <v>903</v>
      </c>
      <c r="H43" s="11" t="s">
        <v>911</v>
      </c>
      <c r="I43" s="11">
        <v>0</v>
      </c>
      <c r="J43" s="11" t="s">
        <v>984</v>
      </c>
      <c r="K43" s="11" t="s">
        <v>918</v>
      </c>
      <c r="L43" s="11" t="s">
        <v>918</v>
      </c>
      <c r="M43" s="11"/>
    </row>
    <row r="44" spans="2:13" ht="13.05" customHeight="1" x14ac:dyDescent="0.25">
      <c r="B44" s="24">
        <v>3</v>
      </c>
      <c r="C44" s="11" t="s">
        <v>731</v>
      </c>
      <c r="D44" s="7" t="str">
        <f>IFERROR(VLOOKUP(C44,'Lista desplegable'!B$1:C$436,2,FALSE),"")</f>
        <v>LUIS HUMBERTO PEÑA AHUMADA</v>
      </c>
      <c r="E44" s="7" t="str">
        <f>IFERROR(VLOOKUP(D44,'Lista desplegable'!C$1:D$436,2,FALSE),"")</f>
        <v>CHOFER</v>
      </c>
      <c r="F44" s="19" t="s">
        <v>890</v>
      </c>
      <c r="G44" s="11" t="s">
        <v>903</v>
      </c>
      <c r="H44" s="11" t="s">
        <v>911</v>
      </c>
      <c r="I44" s="11">
        <v>0</v>
      </c>
      <c r="J44" s="11" t="s">
        <v>984</v>
      </c>
      <c r="K44" s="11" t="s">
        <v>918</v>
      </c>
      <c r="L44" s="11" t="s">
        <v>918</v>
      </c>
      <c r="M44" s="11" t="s">
        <v>1002</v>
      </c>
    </row>
    <row r="45" spans="2:13" ht="13.05" customHeight="1" x14ac:dyDescent="0.25">
      <c r="B45" s="24">
        <v>4</v>
      </c>
      <c r="C45" s="11" t="s">
        <v>735</v>
      </c>
      <c r="D45" s="7" t="str">
        <f>IFERROR(VLOOKUP(C45,'Lista desplegable'!B$1:C$436,2,FALSE),"")</f>
        <v>MANUEL ALEJANDRO TILLERIA SAAVEDRA</v>
      </c>
      <c r="E45" s="7" t="str">
        <f>IFERROR(VLOOKUP(D45,'Lista desplegable'!C$1:D$436,2,FALSE),"")</f>
        <v>MECANICO</v>
      </c>
      <c r="F45" s="19" t="s">
        <v>890</v>
      </c>
      <c r="G45" s="11" t="s">
        <v>903</v>
      </c>
      <c r="H45" s="11" t="s">
        <v>911</v>
      </c>
      <c r="I45" s="11">
        <v>0</v>
      </c>
      <c r="J45" s="11" t="s">
        <v>984</v>
      </c>
      <c r="K45" s="11" t="s">
        <v>918</v>
      </c>
      <c r="L45" s="11" t="s">
        <v>918</v>
      </c>
      <c r="M45" s="11"/>
    </row>
    <row r="46" spans="2:13" ht="13.05" customHeight="1" x14ac:dyDescent="0.25">
      <c r="B46" s="24">
        <v>5</v>
      </c>
      <c r="C46" s="11" t="s">
        <v>676</v>
      </c>
      <c r="D46" s="7" t="str">
        <f>IFERROR(VLOOKUP(C46,'Lista desplegable'!B$1:C$436,2,FALSE),"")</f>
        <v>JOHN BYRON VASQUEZ CARROZA</v>
      </c>
      <c r="E46" s="7" t="str">
        <f>IFERROR(VLOOKUP(D46,'Lista desplegable'!C$1:D$436,2,FALSE),"")</f>
        <v>AYUDANTE DE PERFORISTA</v>
      </c>
      <c r="F46" s="19" t="s">
        <v>890</v>
      </c>
      <c r="G46" s="11" t="s">
        <v>903</v>
      </c>
      <c r="H46" s="11" t="s">
        <v>911</v>
      </c>
      <c r="I46" s="11">
        <v>0</v>
      </c>
      <c r="J46" s="11" t="s">
        <v>984</v>
      </c>
      <c r="K46" s="11" t="s">
        <v>918</v>
      </c>
      <c r="L46" s="11" t="s">
        <v>918</v>
      </c>
      <c r="M46" s="11"/>
    </row>
    <row r="47" spans="2:13" ht="13.05" customHeight="1" x14ac:dyDescent="0.25">
      <c r="B47" s="24">
        <v>6</v>
      </c>
      <c r="C47" s="11" t="s">
        <v>758</v>
      </c>
      <c r="D47" s="7" t="str">
        <f>IFERROR(VLOOKUP(C47,'Lista desplegable'!B$1:C$436,2,FALSE),"")</f>
        <v>MAURICIO ANDRES OYARZUN SALAMANCA</v>
      </c>
      <c r="E47" s="7" t="str">
        <f>IFERROR(VLOOKUP(D47,'Lista desplegable'!C$1:D$436,2,FALSE),"")</f>
        <v>AYUDANTE DE PERFORISTA</v>
      </c>
      <c r="F47" s="19" t="s">
        <v>890</v>
      </c>
      <c r="G47" s="11" t="s">
        <v>903</v>
      </c>
      <c r="H47" s="11" t="s">
        <v>911</v>
      </c>
      <c r="I47" s="11">
        <v>0</v>
      </c>
      <c r="J47" s="11" t="s">
        <v>984</v>
      </c>
      <c r="K47" s="11" t="s">
        <v>918</v>
      </c>
      <c r="L47" s="11" t="s">
        <v>918</v>
      </c>
      <c r="M47" s="11"/>
    </row>
    <row r="48" spans="2:13" ht="13.05" customHeight="1" x14ac:dyDescent="0.25">
      <c r="B48" s="24">
        <v>7</v>
      </c>
      <c r="C48" s="11" t="s">
        <v>8</v>
      </c>
      <c r="D48" s="7" t="str">
        <f>IFERROR(VLOOKUP(C48,'Lista desplegable'!B$1:C$436,2,FALSE),"")</f>
        <v>EDINSON RODRIGO GONZALEZ CORTINEZ</v>
      </c>
      <c r="E48" s="7" t="str">
        <f>IFERROR(VLOOKUP(D48,'Lista desplegable'!C$1:D$436,2,FALSE),"")</f>
        <v>AYUDANTE DE PERFORISTA</v>
      </c>
      <c r="F48" s="19" t="s">
        <v>890</v>
      </c>
      <c r="G48" s="11" t="s">
        <v>903</v>
      </c>
      <c r="H48" s="11" t="s">
        <v>911</v>
      </c>
      <c r="I48" s="11">
        <v>0</v>
      </c>
      <c r="J48" s="11" t="s">
        <v>984</v>
      </c>
      <c r="K48" s="11" t="s">
        <v>918</v>
      </c>
      <c r="L48" s="11" t="s">
        <v>918</v>
      </c>
      <c r="M48" s="11" t="s">
        <v>1001</v>
      </c>
    </row>
    <row r="49" spans="2:13" ht="13.05" customHeight="1" x14ac:dyDescent="0.25">
      <c r="B49" s="24">
        <v>8</v>
      </c>
      <c r="C49" s="11"/>
      <c r="D49" s="7" t="str">
        <f>IFERROR(VLOOKUP(C49,'Lista desplegable'!B$1:C$436,2,FALSE),"")</f>
        <v/>
      </c>
      <c r="E49" s="7" t="str">
        <f>IFERROR(VLOOKUP(D49,'Lista desplegable'!C$1:D$436,2,FALSE),"")</f>
        <v/>
      </c>
      <c r="F49" s="19"/>
      <c r="G49" s="11"/>
      <c r="H49" s="11"/>
      <c r="I49" s="11"/>
      <c r="J49" s="11"/>
      <c r="K49" s="11"/>
      <c r="L49" s="11"/>
      <c r="M49" s="11"/>
    </row>
    <row r="50" spans="2:13" ht="13.05" customHeight="1" x14ac:dyDescent="0.25">
      <c r="B50" s="24">
        <v>9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11"/>
      <c r="J50" s="11"/>
      <c r="K50" s="11"/>
      <c r="L50" s="11"/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2:I2"/>
    <mergeCell ref="G3:I3"/>
    <mergeCell ref="C6:M6"/>
    <mergeCell ref="C40:M40"/>
  </mergeCell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D47BE760-1A3F-45C3-B7BC-3CF1DF97CAEB}">
          <x14:formula1>
            <xm:f>'Lista desplegable'!$N$2:$N$5</xm:f>
          </x14:formula1>
          <xm:sqref>J8:J37 J42:J71</xm:sqref>
        </x14:dataValidation>
        <x14:dataValidation type="list" allowBlank="1" showInputMessage="1" showErrorMessage="1" xr:uid="{F7F73D81-1242-48A8-8DE3-8AEFF12E7D13}">
          <x14:formula1>
            <xm:f>'Lista desplegable'!$B$2:$B$436</xm:f>
          </x14:formula1>
          <xm:sqref>C8:C37 C42:C71</xm:sqref>
        </x14:dataValidation>
        <x14:dataValidation type="list" allowBlank="1" showInputMessage="1" showErrorMessage="1" xr:uid="{43D03BE5-CD5F-467F-97DD-D4278639EB20}">
          <x14:formula1>
            <xm:f>'Lista desplegable'!$F$2:$F$19</xm:f>
          </x14:formula1>
          <xm:sqref>F8:F37 F42:F71</xm:sqref>
        </x14:dataValidation>
        <x14:dataValidation type="list" allowBlank="1" showInputMessage="1" showErrorMessage="1" xr:uid="{A31D483E-F94F-41AA-BF16-875C6B5624C4}">
          <x14:formula1>
            <xm:f>'Lista desplegable'!$J$2:$J$10</xm:f>
          </x14:formula1>
          <xm:sqref>H8:H37 H42:H71</xm:sqref>
        </x14:dataValidation>
        <x14:dataValidation type="list" allowBlank="1" showInputMessage="1" showErrorMessage="1" xr:uid="{08E173A1-334A-467D-B3B8-7DB2D0DABEC8}">
          <x14:formula1>
            <xm:f>'Lista desplegable'!$H$2:$H$7</xm:f>
          </x14:formula1>
          <xm:sqref>G8:G37 G42:G71</xm:sqref>
        </x14:dataValidation>
        <x14:dataValidation type="list" allowBlank="1" showInputMessage="1" showErrorMessage="1" xr:uid="{984DC1BC-DFDE-45AA-8E09-37C0943D5F79}">
          <x14:formula1>
            <xm:f>'Lista desplegable'!$L$2:$L$3</xm:f>
          </x14:formula1>
          <xm:sqref>K8:L37 K42:L71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B4719-5F46-4170-A350-5CC59167B63F}">
  <dimension ref="B1:M93"/>
  <sheetViews>
    <sheetView topLeftCell="A32" zoomScale="80" zoomScaleNormal="80" workbookViewId="0">
      <selection activeCell="C13" sqref="C13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0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21.77734375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46274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11" t="s">
        <v>572</v>
      </c>
      <c r="D8" s="7" t="str">
        <f>IFERROR(VLOOKUP(C8,'Lista desplegable'!B$1:C$436,2,FALSE),"")</f>
        <v>CRISTIAN ROGELIO PASTEN VERGARA</v>
      </c>
      <c r="E8" s="7" t="str">
        <f>IFERROR(VLOOKUP(D8,'Lista desplegable'!C$1:D$436,2,FALSE),"")</f>
        <v>JEFE DE FAENA</v>
      </c>
      <c r="F8" s="19" t="s">
        <v>890</v>
      </c>
      <c r="G8" s="11" t="s">
        <v>903</v>
      </c>
      <c r="H8" s="11" t="s">
        <v>911</v>
      </c>
      <c r="I8" s="11">
        <v>0</v>
      </c>
      <c r="J8" s="11" t="s">
        <v>984</v>
      </c>
      <c r="K8" s="11" t="s">
        <v>918</v>
      </c>
      <c r="L8" s="11" t="s">
        <v>918</v>
      </c>
      <c r="M8" s="11"/>
    </row>
    <row r="9" spans="2:13" s="1" customFormat="1" ht="13.05" customHeight="1" x14ac:dyDescent="0.25">
      <c r="B9" s="24">
        <v>2</v>
      </c>
      <c r="C9" s="10" t="s">
        <v>590</v>
      </c>
      <c r="D9" s="7" t="str">
        <f>IFERROR(VLOOKUP(C9,'Lista desplegable'!B$1:C$436,2,FALSE),"")</f>
        <v>DAYNE JEFFERY PASSMORE .</v>
      </c>
      <c r="E9" s="7" t="str">
        <f>IFERROR(VLOOKUP(D9,'Lista desplegable'!C$1:D$436,2,FALSE),"")</f>
        <v>ADMINISTRADOR DE CONTRATO</v>
      </c>
      <c r="F9" s="19" t="s">
        <v>890</v>
      </c>
      <c r="G9" s="11" t="s">
        <v>903</v>
      </c>
      <c r="H9" s="11" t="s">
        <v>911</v>
      </c>
      <c r="I9" s="11">
        <v>0</v>
      </c>
      <c r="J9" s="11" t="s">
        <v>984</v>
      </c>
      <c r="K9" s="11"/>
      <c r="L9" s="11"/>
      <c r="M9" s="11"/>
    </row>
    <row r="10" spans="2:13" s="1" customFormat="1" ht="13.05" customHeight="1" x14ac:dyDescent="0.25">
      <c r="B10" s="24">
        <v>3</v>
      </c>
      <c r="C10" s="11" t="s">
        <v>675</v>
      </c>
      <c r="D10" s="7" t="str">
        <f>IFERROR(VLOOKUP(C10,'Lista desplegable'!B$1:C$436,2,FALSE),"")</f>
        <v>JOHN ALEXIS BRICEÑO HONORES</v>
      </c>
      <c r="E10" s="7" t="str">
        <f>IFERROR(VLOOKUP(D10,'Lista desplegable'!C$1:D$436,2,FALSE),"")</f>
        <v>PREVENCIONISTA DE RIESGOS</v>
      </c>
      <c r="F10" s="19" t="s">
        <v>890</v>
      </c>
      <c r="G10" s="11" t="s">
        <v>903</v>
      </c>
      <c r="H10" s="11" t="s">
        <v>911</v>
      </c>
      <c r="I10" s="11">
        <v>0</v>
      </c>
      <c r="J10" s="11" t="s">
        <v>984</v>
      </c>
      <c r="K10" s="11" t="s">
        <v>918</v>
      </c>
      <c r="L10" s="11" t="s">
        <v>918</v>
      </c>
      <c r="M10" s="11"/>
    </row>
    <row r="11" spans="2:13" s="1" customFormat="1" ht="13.05" customHeight="1" x14ac:dyDescent="0.25">
      <c r="B11" s="24">
        <v>4</v>
      </c>
      <c r="C11" s="11" t="s">
        <v>810</v>
      </c>
      <c r="D11" s="7" t="str">
        <f>IFERROR(VLOOKUP(C11,'Lista desplegable'!B$1:C$436,2,FALSE),"")</f>
        <v>RENE ALFREDO RIOS MALDONADO</v>
      </c>
      <c r="E11" s="7" t="str">
        <f>IFERROR(VLOOKUP(D11,'Lista desplegable'!C$1:D$436,2,FALSE),"")</f>
        <v>ADMINISTRATIVO DE FAENA</v>
      </c>
      <c r="F11" s="19" t="s">
        <v>890</v>
      </c>
      <c r="G11" s="11" t="s">
        <v>903</v>
      </c>
      <c r="H11" s="11" t="s">
        <v>911</v>
      </c>
      <c r="I11" s="11">
        <v>0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11" t="s">
        <v>625</v>
      </c>
      <c r="D12" s="7" t="str">
        <f>IFERROR(VLOOKUP(C12,'Lista desplegable'!B$1:C$436,2,FALSE),"")</f>
        <v>FELIPE IVAN LUIS ZAMBRA GONZALEZ</v>
      </c>
      <c r="E12" s="7" t="str">
        <f>IFERROR(VLOOKUP(D12,'Lista desplegable'!C$1:D$436,2,FALSE),"")</f>
        <v>BODEGUERO</v>
      </c>
      <c r="F12" s="19" t="s">
        <v>890</v>
      </c>
      <c r="G12" s="11" t="s">
        <v>903</v>
      </c>
      <c r="H12" s="11" t="s">
        <v>911</v>
      </c>
      <c r="I12" s="11">
        <v>0</v>
      </c>
      <c r="J12" s="11" t="s">
        <v>984</v>
      </c>
      <c r="K12" s="11" t="s">
        <v>918</v>
      </c>
      <c r="L12" s="11" t="s">
        <v>919</v>
      </c>
      <c r="M12" s="11"/>
    </row>
    <row r="13" spans="2:13" s="1" customFormat="1" ht="13.05" customHeight="1" x14ac:dyDescent="0.25">
      <c r="B13" s="24">
        <v>6</v>
      </c>
      <c r="C13" s="11" t="s">
        <v>549</v>
      </c>
      <c r="D13" s="7" t="str">
        <f>IFERROR(VLOOKUP(C13,'Lista desplegable'!B$1:C$436,2,FALSE),"")</f>
        <v>CARLOS EDUARDO RODRIGUEZ HERNANDEZ</v>
      </c>
      <c r="E13" s="7" t="str">
        <f>IFERROR(VLOOKUP(D13,'Lista desplegable'!C$1:D$436,2,FALSE),"")</f>
        <v>ADMINISTRADOR DE CONTRATO</v>
      </c>
      <c r="F13" s="19" t="s">
        <v>890</v>
      </c>
      <c r="G13" s="11" t="s">
        <v>903</v>
      </c>
      <c r="H13" s="11" t="s">
        <v>911</v>
      </c>
      <c r="I13" s="11">
        <v>0</v>
      </c>
      <c r="J13" s="11" t="s">
        <v>984</v>
      </c>
      <c r="K13" s="11" t="s">
        <v>918</v>
      </c>
      <c r="L13" s="11" t="s">
        <v>918</v>
      </c>
      <c r="M13" s="11"/>
    </row>
    <row r="14" spans="2:13" s="1" customFormat="1" ht="13.05" customHeight="1" x14ac:dyDescent="0.25">
      <c r="B14" s="24">
        <v>7</v>
      </c>
      <c r="C14" s="11" t="s">
        <v>695</v>
      </c>
      <c r="D14" s="7" t="str">
        <f>IFERROR(VLOOKUP(C14,'Lista desplegable'!B$1:C$436,2,FALSE),"")</f>
        <v>JOSÉ LEONARDO RODRIGUEZ ROBLES</v>
      </c>
      <c r="E14" s="7" t="str">
        <f>IFERROR(VLOOKUP(D14,'Lista desplegable'!C$1:D$436,2,FALSE),"")</f>
        <v>CHOFER</v>
      </c>
      <c r="F14" s="19" t="s">
        <v>890</v>
      </c>
      <c r="G14" s="11" t="s">
        <v>903</v>
      </c>
      <c r="H14" s="11" t="s">
        <v>911</v>
      </c>
      <c r="I14" s="11">
        <v>0</v>
      </c>
      <c r="J14" s="11" t="s">
        <v>984</v>
      </c>
      <c r="K14" s="11" t="s">
        <v>918</v>
      </c>
      <c r="L14" s="11" t="s">
        <v>918</v>
      </c>
      <c r="M14" s="11"/>
    </row>
    <row r="15" spans="2:13" s="1" customFormat="1" ht="13.05" customHeight="1" x14ac:dyDescent="0.25">
      <c r="B15" s="24">
        <v>8</v>
      </c>
      <c r="C15" s="11" t="s">
        <v>602</v>
      </c>
      <c r="D15" s="7" t="str">
        <f>IFERROR(VLOOKUP(C15,'Lista desplegable'!B$1:C$436,2,FALSE),"")</f>
        <v>ELIAS NICOLAS CORTEZ CORTEZ</v>
      </c>
      <c r="E15" s="7" t="str">
        <f>IFERROR(VLOOKUP(D15,'Lista desplegable'!C$1:D$436,2,FALSE),"")</f>
        <v>CHOFER</v>
      </c>
      <c r="F15" s="19" t="s">
        <v>890</v>
      </c>
      <c r="G15" s="11" t="s">
        <v>903</v>
      </c>
      <c r="H15" s="11" t="s">
        <v>911</v>
      </c>
      <c r="I15" s="11">
        <v>0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11" t="s">
        <v>790</v>
      </c>
      <c r="D16" s="7" t="str">
        <f>IFERROR(VLOOKUP(C16,'Lista desplegable'!B$1:C$436,2,FALSE),"")</f>
        <v>PABLO LUCAS POBLETE KUHNE</v>
      </c>
      <c r="E16" s="7" t="str">
        <f>IFERROR(VLOOKUP(D16,'Lista desplegable'!C$1:D$436,2,FALSE),"")</f>
        <v>CHOFER</v>
      </c>
      <c r="F16" s="19" t="s">
        <v>890</v>
      </c>
      <c r="G16" s="11" t="s">
        <v>903</v>
      </c>
      <c r="H16" s="11" t="s">
        <v>911</v>
      </c>
      <c r="I16" s="11">
        <v>0</v>
      </c>
      <c r="J16" s="11" t="s">
        <v>984</v>
      </c>
      <c r="K16" s="11" t="s">
        <v>918</v>
      </c>
      <c r="L16" s="11" t="s">
        <v>919</v>
      </c>
      <c r="M16" s="11" t="s">
        <v>1004</v>
      </c>
    </row>
    <row r="17" spans="2:13" s="1" customFormat="1" ht="13.05" customHeight="1" x14ac:dyDescent="0.25">
      <c r="B17" s="24">
        <v>10</v>
      </c>
      <c r="C17" s="11" t="s">
        <v>690</v>
      </c>
      <c r="D17" s="7" t="str">
        <f>IFERROR(VLOOKUP(C17,'Lista desplegable'!B$1:C$436,2,FALSE),"")</f>
        <v>JORGE ESTEBAN SAAVEDRA MENA</v>
      </c>
      <c r="E17" s="7" t="str">
        <f>IFERROR(VLOOKUP(D17,'Lista desplegable'!C$1:D$436,2,FALSE),"")</f>
        <v>CHOFER</v>
      </c>
      <c r="F17" s="19" t="s">
        <v>890</v>
      </c>
      <c r="G17" s="11" t="s">
        <v>903</v>
      </c>
      <c r="H17" s="11" t="s">
        <v>911</v>
      </c>
      <c r="I17" s="11">
        <v>0</v>
      </c>
      <c r="J17" s="11" t="s">
        <v>984</v>
      </c>
      <c r="K17" s="11" t="s">
        <v>918</v>
      </c>
      <c r="L17" s="11" t="s">
        <v>918</v>
      </c>
      <c r="M17" s="11"/>
    </row>
    <row r="18" spans="2:13" s="1" customFormat="1" ht="13.05" customHeight="1" x14ac:dyDescent="0.25">
      <c r="B18" s="24">
        <v>11</v>
      </c>
      <c r="C18" s="11" t="s">
        <v>508</v>
      </c>
      <c r="D18" s="7" t="str">
        <f>IFERROR(VLOOKUP(C18,'Lista desplegable'!B$1:C$436,2,FALSE),"")</f>
        <v>ALEJANDRO ALBERTO CAMPILLAY RUIZ</v>
      </c>
      <c r="E18" s="7" t="str">
        <f>IFERROR(VLOOKUP(D18,'Lista desplegable'!C$1:D$436,2,FALSE),"")</f>
        <v>MECANICO</v>
      </c>
      <c r="F18" s="19" t="s">
        <v>890</v>
      </c>
      <c r="G18" s="11" t="s">
        <v>903</v>
      </c>
      <c r="H18" s="11" t="s">
        <v>911</v>
      </c>
      <c r="I18" s="11">
        <v>0</v>
      </c>
      <c r="J18" s="11" t="s">
        <v>984</v>
      </c>
      <c r="K18" s="11" t="s">
        <v>918</v>
      </c>
      <c r="L18" s="11" t="s">
        <v>918</v>
      </c>
      <c r="M18" s="11"/>
    </row>
    <row r="19" spans="2:13" s="1" customFormat="1" ht="13.05" customHeight="1" x14ac:dyDescent="0.25">
      <c r="B19" s="24">
        <v>12</v>
      </c>
      <c r="C19" s="10" t="s">
        <v>878</v>
      </c>
      <c r="D19" s="7" t="str">
        <f>IFERROR(VLOOKUP(C19,'Lista desplegable'!B$1:C$436,2,FALSE),"")</f>
        <v>WALDO RAFAEL CASTRO PASTENE</v>
      </c>
      <c r="E19" s="7" t="str">
        <f>IFERROR(VLOOKUP(D19,'Lista desplegable'!C$1:D$436,2,FALSE),"")</f>
        <v>SOLDADOR</v>
      </c>
      <c r="F19" s="19" t="s">
        <v>890</v>
      </c>
      <c r="G19" s="11" t="s">
        <v>903</v>
      </c>
      <c r="H19" s="11" t="s">
        <v>911</v>
      </c>
      <c r="I19" s="11">
        <v>0</v>
      </c>
      <c r="J19" s="11" t="s">
        <v>984</v>
      </c>
      <c r="K19" s="11" t="s">
        <v>918</v>
      </c>
      <c r="L19" s="11" t="s">
        <v>918</v>
      </c>
      <c r="M19" s="11"/>
    </row>
    <row r="20" spans="2:13" s="1" customFormat="1" ht="13.05" customHeight="1" x14ac:dyDescent="0.25">
      <c r="B20" s="24">
        <v>13</v>
      </c>
      <c r="C20" s="11" t="s">
        <v>607</v>
      </c>
      <c r="D20" s="7" t="str">
        <f>IFERROR(VLOOKUP(C20,'Lista desplegable'!B$1:C$436,2,FALSE),"")</f>
        <v>ENKHZAYA GANBAATAR .</v>
      </c>
      <c r="E20" s="7" t="str">
        <f>IFERROR(VLOOKUP(D20,'Lista desplegable'!C$1:D$436,2,FALSE),"")</f>
        <v>PERFORISTA</v>
      </c>
      <c r="F20" s="19" t="s">
        <v>890</v>
      </c>
      <c r="G20" s="11" t="s">
        <v>903</v>
      </c>
      <c r="H20" s="11" t="s">
        <v>911</v>
      </c>
      <c r="I20" s="11">
        <v>0</v>
      </c>
      <c r="J20" s="11" t="s">
        <v>984</v>
      </c>
      <c r="K20" s="11"/>
      <c r="L20" s="11"/>
      <c r="M20" s="11"/>
    </row>
    <row r="21" spans="2:13" s="1" customFormat="1" ht="13.05" customHeight="1" x14ac:dyDescent="0.25">
      <c r="B21" s="24">
        <v>14</v>
      </c>
      <c r="C21" s="11" t="s">
        <v>20</v>
      </c>
      <c r="D21" s="7" t="str">
        <f>IFERROR(VLOOKUP(C21,'Lista desplegable'!B$1:C$436,2,FALSE),"")</f>
        <v>CARLOS ALBERTO PIZARRO PIZARRO</v>
      </c>
      <c r="E21" s="7" t="str">
        <f>IFERROR(VLOOKUP(D21,'Lista desplegable'!C$1:D$436,2,FALSE),"")</f>
        <v>AYUDANTE DE PERFORISTA</v>
      </c>
      <c r="F21" s="19" t="s">
        <v>890</v>
      </c>
      <c r="G21" s="11" t="s">
        <v>903</v>
      </c>
      <c r="H21" s="11" t="s">
        <v>911</v>
      </c>
      <c r="I21" s="11">
        <v>0</v>
      </c>
      <c r="J21" s="11" t="s">
        <v>984</v>
      </c>
      <c r="K21" s="11" t="s">
        <v>918</v>
      </c>
      <c r="L21" s="11" t="s">
        <v>918</v>
      </c>
      <c r="M21" s="11"/>
    </row>
    <row r="22" spans="2:13" s="1" customFormat="1" ht="13.05" customHeight="1" x14ac:dyDescent="0.25">
      <c r="B22" s="24">
        <v>15</v>
      </c>
      <c r="C22" s="11" t="s">
        <v>624</v>
      </c>
      <c r="D22" s="7" t="str">
        <f>IFERROR(VLOOKUP(C22,'Lista desplegable'!B$1:C$436,2,FALSE),"")</f>
        <v>FELIPE DAVID SAAVEDRA CAMPOS</v>
      </c>
      <c r="E22" s="7" t="str">
        <f>IFERROR(VLOOKUP(D22,'Lista desplegable'!C$1:D$436,2,FALSE),"")</f>
        <v>AYUDANTE DE PERFORISTA</v>
      </c>
      <c r="F22" s="19" t="s">
        <v>890</v>
      </c>
      <c r="G22" s="11" t="s">
        <v>903</v>
      </c>
      <c r="H22" s="11" t="s">
        <v>911</v>
      </c>
      <c r="I22" s="11">
        <v>0</v>
      </c>
      <c r="J22" s="11" t="s">
        <v>984</v>
      </c>
      <c r="K22" s="11" t="s">
        <v>918</v>
      </c>
      <c r="L22" s="11" t="s">
        <v>918</v>
      </c>
      <c r="M22" s="11"/>
    </row>
    <row r="23" spans="2:13" s="1" customFormat="1" ht="13.05" customHeight="1" x14ac:dyDescent="0.25">
      <c r="B23" s="24">
        <v>16</v>
      </c>
      <c r="C23" s="11" t="s">
        <v>870</v>
      </c>
      <c r="D23" s="7" t="str">
        <f>IFERROR(VLOOKUP(C23,'Lista desplegable'!B$1:C$436,2,FALSE),"")</f>
        <v>VICENTE ANDRES LOPEZ MARTINEZ</v>
      </c>
      <c r="E23" s="7" t="str">
        <f>IFERROR(VLOOKUP(D23,'Lista desplegable'!C$1:D$436,2,FALSE),"")</f>
        <v>AYUDANTE DE PERFORISTA</v>
      </c>
      <c r="F23" s="19" t="s">
        <v>890</v>
      </c>
      <c r="G23" s="11" t="s">
        <v>903</v>
      </c>
      <c r="H23" s="11" t="s">
        <v>911</v>
      </c>
      <c r="I23" s="11">
        <v>0</v>
      </c>
      <c r="J23" s="11" t="s">
        <v>984</v>
      </c>
      <c r="K23" s="11" t="s">
        <v>918</v>
      </c>
      <c r="L23" s="11" t="s">
        <v>918</v>
      </c>
      <c r="M23" s="11"/>
    </row>
    <row r="24" spans="2:13" s="1" customFormat="1" ht="13.05" customHeight="1" x14ac:dyDescent="0.25">
      <c r="B24" s="24">
        <v>17</v>
      </c>
      <c r="C24" s="11"/>
      <c r="D24" s="7" t="str">
        <f>IFERROR(VLOOKUP(C24,'Lista desplegable'!B$1:C$436,2,FALSE),"")</f>
        <v/>
      </c>
      <c r="E24" s="7" t="str">
        <f>IFERROR(VLOOKUP(D24,'Lista desplegable'!C$1:D$436,2,FALSE),"")</f>
        <v/>
      </c>
      <c r="F24" s="19"/>
      <c r="G24" s="11"/>
      <c r="H24" s="11"/>
      <c r="I24" s="11"/>
      <c r="J24" s="11"/>
      <c r="K24" s="11"/>
      <c r="L24" s="11"/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05" customHeight="1" x14ac:dyDescent="0.25">
      <c r="C38"/>
    </row>
    <row r="39" spans="2:13" ht="13.05" customHeight="1" x14ac:dyDescent="0.25">
      <c r="C39"/>
    </row>
    <row r="40" spans="2:13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3" ht="13.05" customHeight="1" x14ac:dyDescent="0.25">
      <c r="B42" s="24">
        <v>1</v>
      </c>
      <c r="C42" s="11" t="s">
        <v>528</v>
      </c>
      <c r="D42" s="7" t="str">
        <f>IFERROR(VLOOKUP(C42,'Lista desplegable'!B$1:C$436,2,FALSE),"")</f>
        <v>ARIEL ANDRES SILVA RIQUELME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>
        <v>0</v>
      </c>
      <c r="J42" s="11" t="s">
        <v>984</v>
      </c>
      <c r="K42" s="11" t="s">
        <v>918</v>
      </c>
      <c r="L42" s="11" t="s">
        <v>918</v>
      </c>
      <c r="M42" s="11" t="s">
        <v>1002</v>
      </c>
    </row>
    <row r="43" spans="2:13" ht="13.05" customHeight="1" x14ac:dyDescent="0.25">
      <c r="B43" s="24">
        <v>2</v>
      </c>
      <c r="C43" s="11" t="s">
        <v>514</v>
      </c>
      <c r="D43" s="7" t="str">
        <f>IFERROR(VLOOKUP(C43,'Lista desplegable'!B$1:C$436,2,FALSE),"")</f>
        <v>ALISSON AYLEEN VILLAGRA CABALLERO</v>
      </c>
      <c r="E43" s="7" t="str">
        <f>IFERROR(VLOOKUP(D43,'Lista desplegable'!C$1:D$436,2,FALSE),"")</f>
        <v>CHOFER</v>
      </c>
      <c r="F43" s="19" t="s">
        <v>890</v>
      </c>
      <c r="G43" s="11" t="s">
        <v>903</v>
      </c>
      <c r="H43" s="11" t="s">
        <v>911</v>
      </c>
      <c r="I43" s="11">
        <v>0</v>
      </c>
      <c r="J43" s="11" t="s">
        <v>984</v>
      </c>
      <c r="K43" s="11" t="s">
        <v>918</v>
      </c>
      <c r="L43" s="11" t="s">
        <v>918</v>
      </c>
      <c r="M43" s="11"/>
    </row>
    <row r="44" spans="2:13" ht="13.05" customHeight="1" x14ac:dyDescent="0.25">
      <c r="B44" s="24">
        <v>3</v>
      </c>
      <c r="C44" s="11" t="s">
        <v>731</v>
      </c>
      <c r="D44" s="7" t="str">
        <f>IFERROR(VLOOKUP(C44,'Lista desplegable'!B$1:C$436,2,FALSE),"")</f>
        <v>LUIS HUMBERTO PEÑA AHUMADA</v>
      </c>
      <c r="E44" s="7" t="str">
        <f>IFERROR(VLOOKUP(D44,'Lista desplegable'!C$1:D$436,2,FALSE),"")</f>
        <v>CHOFER</v>
      </c>
      <c r="F44" s="19" t="s">
        <v>890</v>
      </c>
      <c r="G44" s="11" t="s">
        <v>903</v>
      </c>
      <c r="H44" s="11" t="s">
        <v>911</v>
      </c>
      <c r="I44" s="11">
        <v>0</v>
      </c>
      <c r="J44" s="11" t="s">
        <v>984</v>
      </c>
      <c r="K44" s="11" t="s">
        <v>918</v>
      </c>
      <c r="L44" s="11" t="s">
        <v>918</v>
      </c>
      <c r="M44" s="11" t="s">
        <v>1002</v>
      </c>
    </row>
    <row r="45" spans="2:13" ht="13.05" customHeight="1" x14ac:dyDescent="0.25">
      <c r="B45" s="24">
        <v>4</v>
      </c>
      <c r="C45" s="11" t="s">
        <v>735</v>
      </c>
      <c r="D45" s="7" t="str">
        <f>IFERROR(VLOOKUP(C45,'Lista desplegable'!B$1:C$436,2,FALSE),"")</f>
        <v>MANUEL ALEJANDRO TILLERIA SAAVEDRA</v>
      </c>
      <c r="E45" s="7" t="str">
        <f>IFERROR(VLOOKUP(D45,'Lista desplegable'!C$1:D$436,2,FALSE),"")</f>
        <v>MECANICO</v>
      </c>
      <c r="F45" s="19" t="s">
        <v>890</v>
      </c>
      <c r="G45" s="11" t="s">
        <v>903</v>
      </c>
      <c r="H45" s="11" t="s">
        <v>911</v>
      </c>
      <c r="I45" s="11">
        <v>0</v>
      </c>
      <c r="J45" s="11" t="s">
        <v>984</v>
      </c>
      <c r="K45" s="11" t="s">
        <v>918</v>
      </c>
      <c r="L45" s="11" t="s">
        <v>918</v>
      </c>
      <c r="M45" s="11"/>
    </row>
    <row r="46" spans="2:13" ht="13.05" customHeight="1" x14ac:dyDescent="0.25">
      <c r="B46" s="24">
        <v>5</v>
      </c>
      <c r="C46" s="11" t="s">
        <v>867</v>
      </c>
      <c r="D46" s="7" t="str">
        <f>IFERROR(VLOOKUP(C46,'Lista desplegable'!B$1:C$436,2,FALSE),"")</f>
        <v>ULZIIBADRAKH BAYANMUNKH .</v>
      </c>
      <c r="E46" s="7" t="str">
        <f>IFERROR(VLOOKUP(D46,'Lista desplegable'!C$1:D$436,2,FALSE),"")</f>
        <v>PERFORISTA</v>
      </c>
      <c r="F46" s="19" t="s">
        <v>890</v>
      </c>
      <c r="G46" s="11" t="s">
        <v>903</v>
      </c>
      <c r="H46" s="11" t="s">
        <v>911</v>
      </c>
      <c r="I46" s="11">
        <v>0</v>
      </c>
      <c r="J46" s="11" t="s">
        <v>984</v>
      </c>
      <c r="K46" s="11"/>
      <c r="L46" s="11"/>
      <c r="M46" s="11"/>
    </row>
    <row r="47" spans="2:13" ht="13.05" customHeight="1" x14ac:dyDescent="0.25">
      <c r="B47" s="24">
        <v>6</v>
      </c>
      <c r="C47" s="11" t="s">
        <v>676</v>
      </c>
      <c r="D47" s="7" t="str">
        <f>IFERROR(VLOOKUP(C47,'Lista desplegable'!B$1:C$436,2,FALSE),"")</f>
        <v>JOHN BYRON VASQUEZ CARROZA</v>
      </c>
      <c r="E47" s="7" t="str">
        <f>IFERROR(VLOOKUP(D47,'Lista desplegable'!C$1:D$436,2,FALSE),"")</f>
        <v>AYUDANTE DE PERFORISTA</v>
      </c>
      <c r="F47" s="19" t="s">
        <v>890</v>
      </c>
      <c r="G47" s="11" t="s">
        <v>903</v>
      </c>
      <c r="H47" s="11" t="s">
        <v>911</v>
      </c>
      <c r="I47" s="11">
        <v>0</v>
      </c>
      <c r="J47" s="11" t="s">
        <v>984</v>
      </c>
      <c r="K47" s="11" t="s">
        <v>918</v>
      </c>
      <c r="L47" s="11" t="s">
        <v>918</v>
      </c>
      <c r="M47" s="11"/>
    </row>
    <row r="48" spans="2:13" ht="13.05" customHeight="1" x14ac:dyDescent="0.25">
      <c r="B48" s="24">
        <v>7</v>
      </c>
      <c r="C48" s="11" t="s">
        <v>758</v>
      </c>
      <c r="D48" s="7" t="str">
        <f>IFERROR(VLOOKUP(C48,'Lista desplegable'!B$1:C$436,2,FALSE),"")</f>
        <v>MAURICIO ANDRES OYARZUN SALAMANCA</v>
      </c>
      <c r="E48" s="7" t="str">
        <f>IFERROR(VLOOKUP(D48,'Lista desplegable'!C$1:D$436,2,FALSE),"")</f>
        <v>AYUDANTE DE PERFORISTA</v>
      </c>
      <c r="F48" s="19" t="s">
        <v>890</v>
      </c>
      <c r="G48" s="11" t="s">
        <v>903</v>
      </c>
      <c r="H48" s="11" t="s">
        <v>911</v>
      </c>
      <c r="I48" s="11">
        <v>0</v>
      </c>
      <c r="J48" s="11" t="s">
        <v>984</v>
      </c>
      <c r="K48" s="11" t="s">
        <v>918</v>
      </c>
      <c r="L48" s="11" t="s">
        <v>918</v>
      </c>
      <c r="M48" s="11"/>
    </row>
    <row r="49" spans="2:13" ht="13.05" customHeight="1" x14ac:dyDescent="0.25">
      <c r="B49" s="24">
        <v>8</v>
      </c>
      <c r="C49" s="11" t="s">
        <v>8</v>
      </c>
      <c r="D49" s="7" t="str">
        <f>IFERROR(VLOOKUP(C49,'Lista desplegable'!B$1:C$436,2,FALSE),"")</f>
        <v>EDINSON RODRIGO GONZALEZ CORTINEZ</v>
      </c>
      <c r="E49" s="7" t="str">
        <f>IFERROR(VLOOKUP(D49,'Lista desplegable'!C$1:D$436,2,FALSE),"")</f>
        <v>AYUDANTE DE PERFORISTA</v>
      </c>
      <c r="F49" s="19" t="s">
        <v>890</v>
      </c>
      <c r="G49" s="11" t="s">
        <v>903</v>
      </c>
      <c r="H49" s="11" t="s">
        <v>911</v>
      </c>
      <c r="I49" s="11">
        <v>0</v>
      </c>
      <c r="J49" s="11" t="s">
        <v>984</v>
      </c>
      <c r="K49" s="11" t="s">
        <v>918</v>
      </c>
      <c r="L49" s="11" t="s">
        <v>918</v>
      </c>
      <c r="M49" s="11" t="s">
        <v>1001</v>
      </c>
    </row>
    <row r="50" spans="2:13" ht="13.05" customHeight="1" x14ac:dyDescent="0.25">
      <c r="B50" s="24">
        <v>9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11"/>
      <c r="J50" s="11"/>
      <c r="K50" s="11"/>
      <c r="L50" s="11"/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2:I2"/>
    <mergeCell ref="G3:I3"/>
    <mergeCell ref="C6:M6"/>
    <mergeCell ref="C40:M40"/>
  </mergeCell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D1D61AD-78E7-4439-8084-1A0C9E9D1C05}">
          <x14:formula1>
            <xm:f>'Lista desplegable'!$L$2:$L$3</xm:f>
          </x14:formula1>
          <xm:sqref>K8:L37 K42:L71</xm:sqref>
        </x14:dataValidation>
        <x14:dataValidation type="list" allowBlank="1" showInputMessage="1" showErrorMessage="1" xr:uid="{1A2DBE07-2F13-442C-97EC-E5141B0FBAEC}">
          <x14:formula1>
            <xm:f>'Lista desplegable'!$H$2:$H$7</xm:f>
          </x14:formula1>
          <xm:sqref>G8:G37 G42:G71</xm:sqref>
        </x14:dataValidation>
        <x14:dataValidation type="list" allowBlank="1" showInputMessage="1" showErrorMessage="1" xr:uid="{630BEA49-045D-4055-AF47-0FB412E0B3B4}">
          <x14:formula1>
            <xm:f>'Lista desplegable'!$J$2:$J$10</xm:f>
          </x14:formula1>
          <xm:sqref>H8:H37 H42:H71</xm:sqref>
        </x14:dataValidation>
        <x14:dataValidation type="list" allowBlank="1" showInputMessage="1" showErrorMessage="1" xr:uid="{60DD67E7-505C-462F-BD7E-32280F198806}">
          <x14:formula1>
            <xm:f>'Lista desplegable'!$F$2:$F$19</xm:f>
          </x14:formula1>
          <xm:sqref>F8:F37 F42:F71</xm:sqref>
        </x14:dataValidation>
        <x14:dataValidation type="list" allowBlank="1" showInputMessage="1" showErrorMessage="1" xr:uid="{EE7BFB8F-0811-4237-983E-E04FF3D3C59A}">
          <x14:formula1>
            <xm:f>'Lista desplegable'!$B$2:$B$436</xm:f>
          </x14:formula1>
          <xm:sqref>C8:C37 C42:C71</xm:sqref>
        </x14:dataValidation>
        <x14:dataValidation type="list" allowBlank="1" showInputMessage="1" showErrorMessage="1" xr:uid="{8927A4BA-9F88-4FDB-8F70-289E5A6014F5}">
          <x14:formula1>
            <xm:f>'Lista desplegable'!$N$2:$N$5</xm:f>
          </x14:formula1>
          <xm:sqref>J8:J37 J42:J71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E4FF2-4E68-419F-BD2B-20FA7B6855CD}">
  <dimension ref="B1:M93"/>
  <sheetViews>
    <sheetView topLeftCell="A20" zoomScale="80" zoomScaleNormal="80" workbookViewId="0">
      <selection activeCell="L13" sqref="L13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0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21.77734375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46275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11" t="s">
        <v>572</v>
      </c>
      <c r="D8" s="7" t="str">
        <f>IFERROR(VLOOKUP(C8,'Lista desplegable'!B$1:C$436,2,FALSE),"")</f>
        <v>CRISTIAN ROGELIO PASTEN VERGARA</v>
      </c>
      <c r="E8" s="7" t="str">
        <f>IFERROR(VLOOKUP(D8,'Lista desplegable'!C$1:D$436,2,FALSE),"")</f>
        <v>JEFE DE FAENA</v>
      </c>
      <c r="F8" s="19" t="s">
        <v>890</v>
      </c>
      <c r="G8" s="11" t="s">
        <v>903</v>
      </c>
      <c r="H8" s="11" t="s">
        <v>911</v>
      </c>
      <c r="I8" s="11">
        <v>0</v>
      </c>
      <c r="J8" s="11" t="s">
        <v>984</v>
      </c>
      <c r="K8" s="11" t="s">
        <v>919</v>
      </c>
      <c r="L8" s="11" t="s">
        <v>918</v>
      </c>
      <c r="M8" s="11"/>
    </row>
    <row r="9" spans="2:13" s="1" customFormat="1" ht="13.05" customHeight="1" x14ac:dyDescent="0.25">
      <c r="B9" s="24">
        <v>2</v>
      </c>
      <c r="C9" s="10" t="s">
        <v>590</v>
      </c>
      <c r="D9" s="7" t="str">
        <f>IFERROR(VLOOKUP(C9,'Lista desplegable'!B$1:C$436,2,FALSE),"")</f>
        <v>DAYNE JEFFERY PASSMORE .</v>
      </c>
      <c r="E9" s="7" t="str">
        <f>IFERROR(VLOOKUP(D9,'Lista desplegable'!C$1:D$436,2,FALSE),"")</f>
        <v>ADMINISTRADOR DE CONTRATO</v>
      </c>
      <c r="F9" s="19" t="s">
        <v>890</v>
      </c>
      <c r="G9" s="11" t="s">
        <v>903</v>
      </c>
      <c r="H9" s="11" t="s">
        <v>911</v>
      </c>
      <c r="I9" s="11">
        <v>0</v>
      </c>
      <c r="J9" s="11" t="s">
        <v>984</v>
      </c>
      <c r="K9" s="11"/>
      <c r="L9" s="11"/>
      <c r="M9" s="11"/>
    </row>
    <row r="10" spans="2:13" s="1" customFormat="1" ht="13.05" customHeight="1" x14ac:dyDescent="0.25">
      <c r="B10" s="24">
        <v>3</v>
      </c>
      <c r="C10" s="11" t="s">
        <v>950</v>
      </c>
      <c r="D10" s="7" t="str">
        <f>IFERROR(VLOOKUP(C10,'Lista desplegable'!B$1:C$436,2,FALSE),"")</f>
        <v>LEONIDAS LUIS ARCE OLIVARES</v>
      </c>
      <c r="E10" s="7" t="str">
        <f>IFERROR(VLOOKUP(D10,'Lista desplegable'!C$1:D$436,2,FALSE),"")</f>
        <v>SUPERVISOR DE OPERACIONES</v>
      </c>
      <c r="F10" s="19" t="s">
        <v>890</v>
      </c>
      <c r="G10" s="11" t="s">
        <v>903</v>
      </c>
      <c r="H10" s="11" t="s">
        <v>911</v>
      </c>
      <c r="I10" s="11">
        <v>0</v>
      </c>
      <c r="J10" s="11" t="s">
        <v>984</v>
      </c>
      <c r="K10" s="11" t="s">
        <v>918</v>
      </c>
      <c r="L10" s="11" t="s">
        <v>918</v>
      </c>
      <c r="M10" s="11" t="s">
        <v>1005</v>
      </c>
    </row>
    <row r="11" spans="2:13" s="1" customFormat="1" ht="13.05" customHeight="1" x14ac:dyDescent="0.25">
      <c r="B11" s="24">
        <v>4</v>
      </c>
      <c r="C11" s="11" t="s">
        <v>675</v>
      </c>
      <c r="D11" s="7" t="str">
        <f>IFERROR(VLOOKUP(C11,'Lista desplegable'!B$1:C$436,2,FALSE),"")</f>
        <v>JOHN ALEXIS BRICEÑO HONORES</v>
      </c>
      <c r="E11" s="7" t="str">
        <f>IFERROR(VLOOKUP(D11,'Lista desplegable'!C$1:D$436,2,FALSE),"")</f>
        <v>PREVENCIONISTA DE RIESGOS</v>
      </c>
      <c r="F11" s="19" t="s">
        <v>890</v>
      </c>
      <c r="G11" s="11" t="s">
        <v>903</v>
      </c>
      <c r="H11" s="11" t="s">
        <v>911</v>
      </c>
      <c r="I11" s="11">
        <v>0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11" t="s">
        <v>810</v>
      </c>
      <c r="D12" s="7" t="str">
        <f>IFERROR(VLOOKUP(C12,'Lista desplegable'!B$1:C$436,2,FALSE),"")</f>
        <v>RENE ALFREDO RIOS MALDONADO</v>
      </c>
      <c r="E12" s="7" t="str">
        <f>IFERROR(VLOOKUP(D12,'Lista desplegable'!C$1:D$436,2,FALSE),"")</f>
        <v>ADMINISTRATIVO DE FAENA</v>
      </c>
      <c r="F12" s="19" t="s">
        <v>890</v>
      </c>
      <c r="G12" s="11" t="s">
        <v>903</v>
      </c>
      <c r="H12" s="11" t="s">
        <v>911</v>
      </c>
      <c r="I12" s="11">
        <v>0</v>
      </c>
      <c r="J12" s="11" t="s">
        <v>984</v>
      </c>
      <c r="K12" s="11" t="s">
        <v>918</v>
      </c>
      <c r="L12" s="11" t="s">
        <v>918</v>
      </c>
      <c r="M12" s="11" t="s">
        <v>992</v>
      </c>
    </row>
    <row r="13" spans="2:13" s="1" customFormat="1" ht="13.05" customHeight="1" x14ac:dyDescent="0.25">
      <c r="B13" s="24">
        <v>6</v>
      </c>
      <c r="C13" s="11" t="s">
        <v>625</v>
      </c>
      <c r="D13" s="7" t="str">
        <f>IFERROR(VLOOKUP(C13,'Lista desplegable'!B$1:C$436,2,FALSE),"")</f>
        <v>FELIPE IVAN LUIS ZAMBRA GONZALEZ</v>
      </c>
      <c r="E13" s="7" t="str">
        <f>IFERROR(VLOOKUP(D13,'Lista desplegable'!C$1:D$436,2,FALSE),"")</f>
        <v>BODEGUERO</v>
      </c>
      <c r="F13" s="19" t="s">
        <v>890</v>
      </c>
      <c r="G13" s="11" t="s">
        <v>903</v>
      </c>
      <c r="H13" s="11" t="s">
        <v>911</v>
      </c>
      <c r="I13" s="11">
        <v>0</v>
      </c>
      <c r="J13" s="11" t="s">
        <v>984</v>
      </c>
      <c r="K13" s="11" t="s">
        <v>918</v>
      </c>
      <c r="L13" s="11" t="s">
        <v>918</v>
      </c>
      <c r="M13" s="11"/>
    </row>
    <row r="14" spans="2:13" s="1" customFormat="1" ht="13.05" customHeight="1" x14ac:dyDescent="0.25">
      <c r="B14" s="24">
        <v>7</v>
      </c>
      <c r="C14" s="11" t="s">
        <v>695</v>
      </c>
      <c r="D14" s="7" t="str">
        <f>IFERROR(VLOOKUP(C14,'Lista desplegable'!B$1:C$436,2,FALSE),"")</f>
        <v>JOSÉ LEONARDO RODRIGUEZ ROBLES</v>
      </c>
      <c r="E14" s="7" t="str">
        <f>IFERROR(VLOOKUP(D14,'Lista desplegable'!C$1:D$436,2,FALSE),"")</f>
        <v>CHOFER</v>
      </c>
      <c r="F14" s="19" t="s">
        <v>890</v>
      </c>
      <c r="G14" s="11" t="s">
        <v>903</v>
      </c>
      <c r="H14" s="11" t="s">
        <v>911</v>
      </c>
      <c r="I14" s="11">
        <v>0</v>
      </c>
      <c r="J14" s="11" t="s">
        <v>984</v>
      </c>
      <c r="K14" s="11" t="s">
        <v>918</v>
      </c>
      <c r="L14" s="11" t="s">
        <v>918</v>
      </c>
      <c r="M14" s="11"/>
    </row>
    <row r="15" spans="2:13" s="1" customFormat="1" ht="13.05" customHeight="1" x14ac:dyDescent="0.25">
      <c r="B15" s="24">
        <v>8</v>
      </c>
      <c r="C15" s="11" t="s">
        <v>602</v>
      </c>
      <c r="D15" s="7" t="str">
        <f>IFERROR(VLOOKUP(C15,'Lista desplegable'!B$1:C$436,2,FALSE),"")</f>
        <v>ELIAS NICOLAS CORTEZ CORTEZ</v>
      </c>
      <c r="E15" s="7" t="str">
        <f>IFERROR(VLOOKUP(D15,'Lista desplegable'!C$1:D$436,2,FALSE),"")</f>
        <v>CHOFER</v>
      </c>
      <c r="F15" s="19" t="s">
        <v>890</v>
      </c>
      <c r="G15" s="11" t="s">
        <v>903</v>
      </c>
      <c r="H15" s="11" t="s">
        <v>911</v>
      </c>
      <c r="I15" s="11">
        <v>0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11" t="s">
        <v>790</v>
      </c>
      <c r="D16" s="7" t="str">
        <f>IFERROR(VLOOKUP(C16,'Lista desplegable'!B$1:C$436,2,FALSE),"")</f>
        <v>PABLO LUCAS POBLETE KUHNE</v>
      </c>
      <c r="E16" s="7" t="str">
        <f>IFERROR(VLOOKUP(D16,'Lista desplegable'!C$1:D$436,2,FALSE),"")</f>
        <v>CHOFER</v>
      </c>
      <c r="F16" s="19" t="s">
        <v>890</v>
      </c>
      <c r="G16" s="11" t="s">
        <v>903</v>
      </c>
      <c r="H16" s="11" t="s">
        <v>911</v>
      </c>
      <c r="I16" s="11">
        <v>0</v>
      </c>
      <c r="J16" s="11" t="s">
        <v>984</v>
      </c>
      <c r="K16" s="11" t="s">
        <v>918</v>
      </c>
      <c r="L16" s="11" t="s">
        <v>918</v>
      </c>
      <c r="M16" s="11" t="s">
        <v>1004</v>
      </c>
    </row>
    <row r="17" spans="2:13" s="1" customFormat="1" ht="13.05" customHeight="1" x14ac:dyDescent="0.25">
      <c r="B17" s="24">
        <v>10</v>
      </c>
      <c r="C17" s="11" t="s">
        <v>690</v>
      </c>
      <c r="D17" s="7" t="str">
        <f>IFERROR(VLOOKUP(C17,'Lista desplegable'!B$1:C$436,2,FALSE),"")</f>
        <v>JORGE ESTEBAN SAAVEDRA MENA</v>
      </c>
      <c r="E17" s="7" t="str">
        <f>IFERROR(VLOOKUP(D17,'Lista desplegable'!C$1:D$436,2,FALSE),"")</f>
        <v>CHOFER</v>
      </c>
      <c r="F17" s="19" t="s">
        <v>890</v>
      </c>
      <c r="G17" s="11" t="s">
        <v>903</v>
      </c>
      <c r="H17" s="11" t="s">
        <v>911</v>
      </c>
      <c r="I17" s="11">
        <v>0</v>
      </c>
      <c r="J17" s="11" t="s">
        <v>984</v>
      </c>
      <c r="K17" s="11" t="s">
        <v>918</v>
      </c>
      <c r="L17" s="11" t="s">
        <v>918</v>
      </c>
      <c r="M17" s="11"/>
    </row>
    <row r="18" spans="2:13" s="1" customFormat="1" ht="13.05" customHeight="1" x14ac:dyDescent="0.25">
      <c r="B18" s="24">
        <v>11</v>
      </c>
      <c r="C18" s="11" t="s">
        <v>508</v>
      </c>
      <c r="D18" s="7" t="str">
        <f>IFERROR(VLOOKUP(C18,'Lista desplegable'!B$1:C$436,2,FALSE),"")</f>
        <v>ALEJANDRO ALBERTO CAMPILLAY RUIZ</v>
      </c>
      <c r="E18" s="7" t="str">
        <f>IFERROR(VLOOKUP(D18,'Lista desplegable'!C$1:D$436,2,FALSE),"")</f>
        <v>MECANICO</v>
      </c>
      <c r="F18" s="19" t="s">
        <v>890</v>
      </c>
      <c r="G18" s="11" t="s">
        <v>903</v>
      </c>
      <c r="H18" s="11" t="s">
        <v>911</v>
      </c>
      <c r="I18" s="11">
        <v>0</v>
      </c>
      <c r="J18" s="11" t="s">
        <v>984</v>
      </c>
      <c r="K18" s="11" t="s">
        <v>918</v>
      </c>
      <c r="L18" s="11" t="s">
        <v>918</v>
      </c>
      <c r="M18" s="11"/>
    </row>
    <row r="19" spans="2:13" s="1" customFormat="1" ht="13.05" customHeight="1" x14ac:dyDescent="0.25">
      <c r="B19" s="24">
        <v>12</v>
      </c>
      <c r="C19" s="10" t="s">
        <v>878</v>
      </c>
      <c r="D19" s="7" t="str">
        <f>IFERROR(VLOOKUP(C19,'Lista desplegable'!B$1:C$436,2,FALSE),"")</f>
        <v>WALDO RAFAEL CASTRO PASTENE</v>
      </c>
      <c r="E19" s="7" t="str">
        <f>IFERROR(VLOOKUP(D19,'Lista desplegable'!C$1:D$436,2,FALSE),"")</f>
        <v>SOLDADOR</v>
      </c>
      <c r="F19" s="19" t="s">
        <v>890</v>
      </c>
      <c r="G19" s="11" t="s">
        <v>903</v>
      </c>
      <c r="H19" s="11" t="s">
        <v>911</v>
      </c>
      <c r="I19" s="11">
        <v>0</v>
      </c>
      <c r="J19" s="11" t="s">
        <v>984</v>
      </c>
      <c r="K19" s="11" t="s">
        <v>918</v>
      </c>
      <c r="L19" s="11" t="s">
        <v>918</v>
      </c>
      <c r="M19" s="11"/>
    </row>
    <row r="20" spans="2:13" s="1" customFormat="1" ht="13.05" customHeight="1" x14ac:dyDescent="0.25">
      <c r="B20" s="24">
        <v>13</v>
      </c>
      <c r="C20" s="11" t="s">
        <v>607</v>
      </c>
      <c r="D20" s="7" t="str">
        <f>IFERROR(VLOOKUP(C20,'Lista desplegable'!B$1:C$436,2,FALSE),"")</f>
        <v>ENKHZAYA GANBAATAR .</v>
      </c>
      <c r="E20" s="7" t="str">
        <f>IFERROR(VLOOKUP(D20,'Lista desplegable'!C$1:D$436,2,FALSE),"")</f>
        <v>PERFORISTA</v>
      </c>
      <c r="F20" s="19" t="s">
        <v>890</v>
      </c>
      <c r="G20" s="11" t="s">
        <v>903</v>
      </c>
      <c r="H20" s="11" t="s">
        <v>911</v>
      </c>
      <c r="I20" s="11">
        <v>0</v>
      </c>
      <c r="J20" s="11" t="s">
        <v>984</v>
      </c>
      <c r="K20" s="11"/>
      <c r="L20" s="11"/>
      <c r="M20" s="11"/>
    </row>
    <row r="21" spans="2:13" s="1" customFormat="1" ht="13.05" customHeight="1" x14ac:dyDescent="0.25">
      <c r="B21" s="24">
        <v>14</v>
      </c>
      <c r="C21" s="11" t="s">
        <v>20</v>
      </c>
      <c r="D21" s="7" t="str">
        <f>IFERROR(VLOOKUP(C21,'Lista desplegable'!B$1:C$436,2,FALSE),"")</f>
        <v>CARLOS ALBERTO PIZARRO PIZARRO</v>
      </c>
      <c r="E21" s="7" t="str">
        <f>IFERROR(VLOOKUP(D21,'Lista desplegable'!C$1:D$436,2,FALSE),"")</f>
        <v>AYUDANTE DE PERFORISTA</v>
      </c>
      <c r="F21" s="19" t="s">
        <v>890</v>
      </c>
      <c r="G21" s="11" t="s">
        <v>903</v>
      </c>
      <c r="H21" s="11" t="s">
        <v>911</v>
      </c>
      <c r="I21" s="11">
        <v>0</v>
      </c>
      <c r="J21" s="11" t="s">
        <v>984</v>
      </c>
      <c r="K21" s="11" t="s">
        <v>918</v>
      </c>
      <c r="L21" s="11" t="s">
        <v>918</v>
      </c>
      <c r="M21" s="11"/>
    </row>
    <row r="22" spans="2:13" s="1" customFormat="1" ht="13.05" customHeight="1" x14ac:dyDescent="0.25">
      <c r="B22" s="24">
        <v>15</v>
      </c>
      <c r="C22" s="11" t="s">
        <v>624</v>
      </c>
      <c r="D22" s="7" t="str">
        <f>IFERROR(VLOOKUP(C22,'Lista desplegable'!B$1:C$436,2,FALSE),"")</f>
        <v>FELIPE DAVID SAAVEDRA CAMPOS</v>
      </c>
      <c r="E22" s="7" t="str">
        <f>IFERROR(VLOOKUP(D22,'Lista desplegable'!C$1:D$436,2,FALSE),"")</f>
        <v>AYUDANTE DE PERFORISTA</v>
      </c>
      <c r="F22" s="19" t="s">
        <v>890</v>
      </c>
      <c r="G22" s="11" t="s">
        <v>903</v>
      </c>
      <c r="H22" s="11" t="s">
        <v>911</v>
      </c>
      <c r="I22" s="11">
        <v>0</v>
      </c>
      <c r="J22" s="11" t="s">
        <v>984</v>
      </c>
      <c r="K22" s="11" t="s">
        <v>918</v>
      </c>
      <c r="L22" s="11" t="s">
        <v>918</v>
      </c>
      <c r="M22" s="11"/>
    </row>
    <row r="23" spans="2:13" s="1" customFormat="1" ht="13.05" customHeight="1" x14ac:dyDescent="0.25">
      <c r="B23" s="24">
        <v>16</v>
      </c>
      <c r="C23" s="11" t="s">
        <v>870</v>
      </c>
      <c r="D23" s="7" t="str">
        <f>IFERROR(VLOOKUP(C23,'Lista desplegable'!B$1:C$436,2,FALSE),"")</f>
        <v>VICENTE ANDRES LOPEZ MARTINEZ</v>
      </c>
      <c r="E23" s="7" t="str">
        <f>IFERROR(VLOOKUP(D23,'Lista desplegable'!C$1:D$436,2,FALSE),"")</f>
        <v>AYUDANTE DE PERFORISTA</v>
      </c>
      <c r="F23" s="19" t="s">
        <v>890</v>
      </c>
      <c r="G23" s="11" t="s">
        <v>903</v>
      </c>
      <c r="H23" s="11" t="s">
        <v>911</v>
      </c>
      <c r="I23" s="11">
        <v>0</v>
      </c>
      <c r="J23" s="11" t="s">
        <v>984</v>
      </c>
      <c r="K23" s="11" t="s">
        <v>918</v>
      </c>
      <c r="L23" s="11" t="s">
        <v>918</v>
      </c>
      <c r="M23" s="11"/>
    </row>
    <row r="24" spans="2:13" s="1" customFormat="1" ht="13.05" customHeight="1" x14ac:dyDescent="0.25">
      <c r="B24" s="24">
        <v>17</v>
      </c>
      <c r="C24" s="11" t="s">
        <v>549</v>
      </c>
      <c r="D24" s="7" t="str">
        <f>IFERROR(VLOOKUP(C24,'Lista desplegable'!B$1:C$436,2,FALSE),"")</f>
        <v>CARLOS EDUARDO RODRIGUEZ HERNANDEZ</v>
      </c>
      <c r="E24" s="7" t="str">
        <f>IFERROR(VLOOKUP(D24,'Lista desplegable'!C$1:D$436,2,FALSE),"")</f>
        <v>ADMINISTRADOR DE CONTRATO</v>
      </c>
      <c r="F24" s="19" t="s">
        <v>890</v>
      </c>
      <c r="G24" s="11" t="s">
        <v>903</v>
      </c>
      <c r="H24" s="11" t="s">
        <v>911</v>
      </c>
      <c r="I24" s="11">
        <v>0</v>
      </c>
      <c r="J24" s="11" t="s">
        <v>984</v>
      </c>
      <c r="K24" s="11" t="s">
        <v>918</v>
      </c>
      <c r="L24" s="11" t="s">
        <v>918</v>
      </c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05" customHeight="1" x14ac:dyDescent="0.25">
      <c r="C38"/>
    </row>
    <row r="39" spans="2:13" ht="13.05" customHeight="1" x14ac:dyDescent="0.25">
      <c r="C39"/>
    </row>
    <row r="40" spans="2:13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3" ht="13.05" customHeight="1" x14ac:dyDescent="0.25">
      <c r="B42" s="24">
        <v>1</v>
      </c>
      <c r="C42" s="11" t="s">
        <v>528</v>
      </c>
      <c r="D42" s="7" t="str">
        <f>IFERROR(VLOOKUP(C42,'Lista desplegable'!B$1:C$436,2,FALSE),"")</f>
        <v>ARIEL ANDRES SILVA RIQUELME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>
        <v>0</v>
      </c>
      <c r="J42" s="11" t="s">
        <v>984</v>
      </c>
      <c r="K42" s="11" t="s">
        <v>918</v>
      </c>
      <c r="L42" s="11" t="s">
        <v>918</v>
      </c>
      <c r="M42" s="11" t="s">
        <v>1000</v>
      </c>
    </row>
    <row r="43" spans="2:13" ht="13.05" customHeight="1" x14ac:dyDescent="0.25">
      <c r="B43" s="24">
        <v>2</v>
      </c>
      <c r="C43" s="11" t="s">
        <v>514</v>
      </c>
      <c r="D43" s="7" t="str">
        <f>IFERROR(VLOOKUP(C43,'Lista desplegable'!B$1:C$436,2,FALSE),"")</f>
        <v>ALISSON AYLEEN VILLAGRA CABALLERO</v>
      </c>
      <c r="E43" s="7" t="str">
        <f>IFERROR(VLOOKUP(D43,'Lista desplegable'!C$1:D$436,2,FALSE),"")</f>
        <v>CHOFER</v>
      </c>
      <c r="F43" s="19" t="s">
        <v>890</v>
      </c>
      <c r="G43" s="11" t="s">
        <v>903</v>
      </c>
      <c r="H43" s="11" t="s">
        <v>911</v>
      </c>
      <c r="I43" s="11">
        <v>0</v>
      </c>
      <c r="J43" s="11" t="s">
        <v>984</v>
      </c>
      <c r="K43" s="11" t="s">
        <v>918</v>
      </c>
      <c r="L43" s="11" t="s">
        <v>918</v>
      </c>
      <c r="M43" s="11"/>
    </row>
    <row r="44" spans="2:13" ht="13.05" customHeight="1" x14ac:dyDescent="0.25">
      <c r="B44" s="24">
        <v>3</v>
      </c>
      <c r="C44" s="11" t="s">
        <v>731</v>
      </c>
      <c r="D44" s="7" t="str">
        <f>IFERROR(VLOOKUP(C44,'Lista desplegable'!B$1:C$436,2,FALSE),"")</f>
        <v>LUIS HUMBERTO PEÑA AHUMADA</v>
      </c>
      <c r="E44" s="7" t="str">
        <f>IFERROR(VLOOKUP(D44,'Lista desplegable'!C$1:D$436,2,FALSE),"")</f>
        <v>CHOFER</v>
      </c>
      <c r="F44" s="19" t="s">
        <v>890</v>
      </c>
      <c r="G44" s="11" t="s">
        <v>903</v>
      </c>
      <c r="H44" s="11" t="s">
        <v>911</v>
      </c>
      <c r="I44" s="11">
        <v>0</v>
      </c>
      <c r="J44" s="11" t="s">
        <v>984</v>
      </c>
      <c r="K44" s="11" t="s">
        <v>918</v>
      </c>
      <c r="L44" s="11" t="s">
        <v>918</v>
      </c>
      <c r="M44" s="11" t="s">
        <v>1000</v>
      </c>
    </row>
    <row r="45" spans="2:13" ht="13.05" customHeight="1" x14ac:dyDescent="0.25">
      <c r="B45" s="24">
        <v>4</v>
      </c>
      <c r="C45" s="11" t="s">
        <v>735</v>
      </c>
      <c r="D45" s="7" t="str">
        <f>IFERROR(VLOOKUP(C45,'Lista desplegable'!B$1:C$436,2,FALSE),"")</f>
        <v>MANUEL ALEJANDRO TILLERIA SAAVEDRA</v>
      </c>
      <c r="E45" s="7" t="str">
        <f>IFERROR(VLOOKUP(D45,'Lista desplegable'!C$1:D$436,2,FALSE),"")</f>
        <v>MECANICO</v>
      </c>
      <c r="F45" s="19" t="s">
        <v>890</v>
      </c>
      <c r="G45" s="11" t="s">
        <v>903</v>
      </c>
      <c r="H45" s="11" t="s">
        <v>911</v>
      </c>
      <c r="I45" s="11">
        <v>0</v>
      </c>
      <c r="J45" s="11" t="s">
        <v>984</v>
      </c>
      <c r="K45" s="11" t="s">
        <v>918</v>
      </c>
      <c r="L45" s="11" t="s">
        <v>918</v>
      </c>
      <c r="M45" s="11"/>
    </row>
    <row r="46" spans="2:13" ht="13.05" customHeight="1" x14ac:dyDescent="0.25">
      <c r="B46" s="24">
        <v>5</v>
      </c>
      <c r="C46" s="11" t="s">
        <v>867</v>
      </c>
      <c r="D46" s="7" t="str">
        <f>IFERROR(VLOOKUP(C46,'Lista desplegable'!B$1:C$436,2,FALSE),"")</f>
        <v>ULZIIBADRAKH BAYANMUNKH .</v>
      </c>
      <c r="E46" s="7" t="str">
        <f>IFERROR(VLOOKUP(D46,'Lista desplegable'!C$1:D$436,2,FALSE),"")</f>
        <v>PERFORISTA</v>
      </c>
      <c r="F46" s="19" t="s">
        <v>890</v>
      </c>
      <c r="G46" s="11" t="s">
        <v>903</v>
      </c>
      <c r="H46" s="11" t="s">
        <v>911</v>
      </c>
      <c r="I46" s="11">
        <v>0</v>
      </c>
      <c r="J46" s="11" t="s">
        <v>984</v>
      </c>
      <c r="K46" s="11"/>
      <c r="L46" s="11"/>
      <c r="M46" s="11"/>
    </row>
    <row r="47" spans="2:13" ht="13.05" customHeight="1" x14ac:dyDescent="0.25">
      <c r="B47" s="24">
        <v>6</v>
      </c>
      <c r="C47" s="11" t="s">
        <v>676</v>
      </c>
      <c r="D47" s="7" t="str">
        <f>IFERROR(VLOOKUP(C47,'Lista desplegable'!B$1:C$436,2,FALSE),"")</f>
        <v>JOHN BYRON VASQUEZ CARROZA</v>
      </c>
      <c r="E47" s="7" t="str">
        <f>IFERROR(VLOOKUP(D47,'Lista desplegable'!C$1:D$436,2,FALSE),"")</f>
        <v>AYUDANTE DE PERFORISTA</v>
      </c>
      <c r="F47" s="19" t="s">
        <v>890</v>
      </c>
      <c r="G47" s="11" t="s">
        <v>903</v>
      </c>
      <c r="H47" s="11" t="s">
        <v>911</v>
      </c>
      <c r="I47" s="11">
        <v>0</v>
      </c>
      <c r="J47" s="11" t="s">
        <v>984</v>
      </c>
      <c r="K47" s="11" t="s">
        <v>918</v>
      </c>
      <c r="L47" s="11" t="s">
        <v>918</v>
      </c>
      <c r="M47" s="11"/>
    </row>
    <row r="48" spans="2:13" ht="13.05" customHeight="1" x14ac:dyDescent="0.25">
      <c r="B48" s="24">
        <v>7</v>
      </c>
      <c r="C48" s="11" t="s">
        <v>758</v>
      </c>
      <c r="D48" s="7" t="str">
        <f>IFERROR(VLOOKUP(C48,'Lista desplegable'!B$1:C$436,2,FALSE),"")</f>
        <v>MAURICIO ANDRES OYARZUN SALAMANCA</v>
      </c>
      <c r="E48" s="7" t="str">
        <f>IFERROR(VLOOKUP(D48,'Lista desplegable'!C$1:D$436,2,FALSE),"")</f>
        <v>AYUDANTE DE PERFORISTA</v>
      </c>
      <c r="F48" s="19" t="s">
        <v>890</v>
      </c>
      <c r="G48" s="11" t="s">
        <v>903</v>
      </c>
      <c r="H48" s="11" t="s">
        <v>911</v>
      </c>
      <c r="I48" s="11">
        <v>0</v>
      </c>
      <c r="J48" s="11" t="s">
        <v>984</v>
      </c>
      <c r="K48" s="11" t="s">
        <v>918</v>
      </c>
      <c r="L48" s="11" t="s">
        <v>918</v>
      </c>
      <c r="M48" s="11"/>
    </row>
    <row r="49" spans="2:13" ht="13.05" customHeight="1" x14ac:dyDescent="0.25">
      <c r="B49" s="24">
        <v>8</v>
      </c>
      <c r="C49" s="11" t="s">
        <v>8</v>
      </c>
      <c r="D49" s="7" t="str">
        <f>IFERROR(VLOOKUP(C49,'Lista desplegable'!B$1:C$436,2,FALSE),"")</f>
        <v>EDINSON RODRIGO GONZALEZ CORTINEZ</v>
      </c>
      <c r="E49" s="7" t="str">
        <f>IFERROR(VLOOKUP(D49,'Lista desplegable'!C$1:D$436,2,FALSE),"")</f>
        <v>AYUDANTE DE PERFORISTA</v>
      </c>
      <c r="F49" s="19" t="s">
        <v>890</v>
      </c>
      <c r="G49" s="11" t="s">
        <v>903</v>
      </c>
      <c r="H49" s="11" t="s">
        <v>911</v>
      </c>
      <c r="I49" s="11">
        <v>0</v>
      </c>
      <c r="J49" s="11" t="s">
        <v>984</v>
      </c>
      <c r="K49" s="11" t="s">
        <v>918</v>
      </c>
      <c r="L49" s="11" t="s">
        <v>918</v>
      </c>
      <c r="M49" s="11" t="s">
        <v>1001</v>
      </c>
    </row>
    <row r="50" spans="2:13" ht="13.05" customHeight="1" x14ac:dyDescent="0.25">
      <c r="B50" s="24">
        <v>9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11"/>
      <c r="J50" s="11"/>
      <c r="K50" s="11"/>
      <c r="L50" s="11"/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2:I2"/>
    <mergeCell ref="G3:I3"/>
    <mergeCell ref="C6:M6"/>
    <mergeCell ref="C40:M40"/>
  </mergeCell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F919836-FD5E-47EC-B028-331F332F8320}">
          <x14:formula1>
            <xm:f>'Lista desplegable'!$N$2:$N$5</xm:f>
          </x14:formula1>
          <xm:sqref>J8:J37 J42:J71</xm:sqref>
        </x14:dataValidation>
        <x14:dataValidation type="list" allowBlank="1" showInputMessage="1" showErrorMessage="1" xr:uid="{1ACE25E1-ABE6-4B27-A9FF-51FA04F71918}">
          <x14:formula1>
            <xm:f>'Lista desplegable'!$B$2:$B$436</xm:f>
          </x14:formula1>
          <xm:sqref>C42:C71 C8:C37</xm:sqref>
        </x14:dataValidation>
        <x14:dataValidation type="list" allowBlank="1" showInputMessage="1" showErrorMessage="1" xr:uid="{1D23C616-B13E-46FB-A6DE-7A2C41AB959D}">
          <x14:formula1>
            <xm:f>'Lista desplegable'!$F$2:$F$19</xm:f>
          </x14:formula1>
          <xm:sqref>F8:F37 F42:F71</xm:sqref>
        </x14:dataValidation>
        <x14:dataValidation type="list" allowBlank="1" showInputMessage="1" showErrorMessage="1" xr:uid="{EE4856F5-1E16-4EDE-B5CC-7960657DAE70}">
          <x14:formula1>
            <xm:f>'Lista desplegable'!$J$2:$J$10</xm:f>
          </x14:formula1>
          <xm:sqref>H8:H37 H42:H71</xm:sqref>
        </x14:dataValidation>
        <x14:dataValidation type="list" allowBlank="1" showInputMessage="1" showErrorMessage="1" xr:uid="{98DF6A78-FC87-4869-AD03-044B09A3A569}">
          <x14:formula1>
            <xm:f>'Lista desplegable'!$H$2:$H$7</xm:f>
          </x14:formula1>
          <xm:sqref>G8:G37 G42:G71</xm:sqref>
        </x14:dataValidation>
        <x14:dataValidation type="list" allowBlank="1" showInputMessage="1" showErrorMessage="1" xr:uid="{CAB23F69-1E61-4301-87CD-393D45374EB2}">
          <x14:formula1>
            <xm:f>'Lista desplegable'!$L$2:$L$3</xm:f>
          </x14:formula1>
          <xm:sqref>K8:L37 K42:L71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4DE2A-4770-427E-A311-915D8577AE5F}">
  <dimension ref="B1:M93"/>
  <sheetViews>
    <sheetView topLeftCell="A20" zoomScale="80" zoomScaleNormal="80" workbookViewId="0">
      <selection activeCell="M16" sqref="M16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0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21.77734375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46276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11" t="s">
        <v>572</v>
      </c>
      <c r="D8" s="7" t="str">
        <f>IFERROR(VLOOKUP(C8,'Lista desplegable'!B$1:C$436,2,FALSE),"")</f>
        <v>CRISTIAN ROGELIO PASTEN VERGARA</v>
      </c>
      <c r="E8" s="7" t="str">
        <f>IFERROR(VLOOKUP(D8,'Lista desplegable'!C$1:D$436,2,FALSE),"")</f>
        <v>JEFE DE FAENA</v>
      </c>
      <c r="F8" s="19" t="s">
        <v>890</v>
      </c>
      <c r="G8" s="11" t="s">
        <v>903</v>
      </c>
      <c r="H8" s="11" t="s">
        <v>911</v>
      </c>
      <c r="I8" s="11">
        <v>0</v>
      </c>
      <c r="J8" s="11" t="s">
        <v>984</v>
      </c>
      <c r="K8" s="11" t="s">
        <v>918</v>
      </c>
      <c r="L8" s="11" t="s">
        <v>918</v>
      </c>
      <c r="M8" s="11"/>
    </row>
    <row r="9" spans="2:13" s="1" customFormat="1" ht="13.05" customHeight="1" x14ac:dyDescent="0.25">
      <c r="B9" s="24">
        <v>2</v>
      </c>
      <c r="C9" s="10" t="s">
        <v>590</v>
      </c>
      <c r="D9" s="7" t="str">
        <f>IFERROR(VLOOKUP(C9,'Lista desplegable'!B$1:C$436,2,FALSE),"")</f>
        <v>DAYNE JEFFERY PASSMORE .</v>
      </c>
      <c r="E9" s="7" t="str">
        <f>IFERROR(VLOOKUP(D9,'Lista desplegable'!C$1:D$436,2,FALSE),"")</f>
        <v>ADMINISTRADOR DE CONTRATO</v>
      </c>
      <c r="F9" s="19" t="s">
        <v>890</v>
      </c>
      <c r="G9" s="11" t="s">
        <v>903</v>
      </c>
      <c r="H9" s="11" t="s">
        <v>911</v>
      </c>
      <c r="I9" s="11">
        <v>0</v>
      </c>
      <c r="J9" s="11" t="s">
        <v>984</v>
      </c>
      <c r="K9" s="11"/>
      <c r="L9" s="11"/>
      <c r="M9" s="11"/>
    </row>
    <row r="10" spans="2:13" s="1" customFormat="1" ht="13.05" customHeight="1" x14ac:dyDescent="0.25">
      <c r="B10" s="24">
        <v>3</v>
      </c>
      <c r="C10" s="11" t="s">
        <v>950</v>
      </c>
      <c r="D10" s="7" t="str">
        <f>IFERROR(VLOOKUP(C10,'Lista desplegable'!B$1:C$436,2,FALSE),"")</f>
        <v>LEONIDAS LUIS ARCE OLIVARES</v>
      </c>
      <c r="E10" s="7" t="str">
        <f>IFERROR(VLOOKUP(D10,'Lista desplegable'!C$1:D$436,2,FALSE),"")</f>
        <v>SUPERVISOR DE OPERACIONES</v>
      </c>
      <c r="F10" s="19" t="s">
        <v>890</v>
      </c>
      <c r="G10" s="11" t="s">
        <v>903</v>
      </c>
      <c r="H10" s="11" t="s">
        <v>911</v>
      </c>
      <c r="I10" s="11">
        <v>0</v>
      </c>
      <c r="J10" s="11" t="s">
        <v>984</v>
      </c>
      <c r="K10" s="11" t="s">
        <v>918</v>
      </c>
      <c r="L10" s="11" t="s">
        <v>918</v>
      </c>
      <c r="M10" s="11" t="s">
        <v>1005</v>
      </c>
    </row>
    <row r="11" spans="2:13" s="1" customFormat="1" ht="13.05" customHeight="1" x14ac:dyDescent="0.25">
      <c r="B11" s="24">
        <v>4</v>
      </c>
      <c r="C11" s="11" t="s">
        <v>675</v>
      </c>
      <c r="D11" s="7" t="str">
        <f>IFERROR(VLOOKUP(C11,'Lista desplegable'!B$1:C$436,2,FALSE),"")</f>
        <v>JOHN ALEXIS BRICEÑO HONORES</v>
      </c>
      <c r="E11" s="7" t="str">
        <f>IFERROR(VLOOKUP(D11,'Lista desplegable'!C$1:D$436,2,FALSE),"")</f>
        <v>PREVENCIONISTA DE RIESGOS</v>
      </c>
      <c r="F11" s="19" t="s">
        <v>890</v>
      </c>
      <c r="G11" s="11" t="s">
        <v>903</v>
      </c>
      <c r="H11" s="11" t="s">
        <v>911</v>
      </c>
      <c r="I11" s="11">
        <v>0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11" t="s">
        <v>810</v>
      </c>
      <c r="D12" s="7" t="str">
        <f>IFERROR(VLOOKUP(C12,'Lista desplegable'!B$1:C$436,2,FALSE),"")</f>
        <v>RENE ALFREDO RIOS MALDONADO</v>
      </c>
      <c r="E12" s="7" t="str">
        <f>IFERROR(VLOOKUP(D12,'Lista desplegable'!C$1:D$436,2,FALSE),"")</f>
        <v>ADMINISTRATIVO DE FAENA</v>
      </c>
      <c r="F12" s="19" t="s">
        <v>890</v>
      </c>
      <c r="G12" s="11" t="s">
        <v>903</v>
      </c>
      <c r="H12" s="11" t="s">
        <v>911</v>
      </c>
      <c r="I12" s="11">
        <v>0</v>
      </c>
      <c r="J12" s="11" t="s">
        <v>984</v>
      </c>
      <c r="K12" s="11" t="s">
        <v>918</v>
      </c>
      <c r="L12" s="11" t="s">
        <v>918</v>
      </c>
      <c r="M12" s="11" t="s">
        <v>992</v>
      </c>
    </row>
    <row r="13" spans="2:13" s="1" customFormat="1" ht="13.05" customHeight="1" x14ac:dyDescent="0.25">
      <c r="B13" s="24">
        <v>6</v>
      </c>
      <c r="C13" s="11" t="s">
        <v>625</v>
      </c>
      <c r="D13" s="7" t="str">
        <f>IFERROR(VLOOKUP(C13,'Lista desplegable'!B$1:C$436,2,FALSE),"")</f>
        <v>FELIPE IVAN LUIS ZAMBRA GONZALEZ</v>
      </c>
      <c r="E13" s="7" t="str">
        <f>IFERROR(VLOOKUP(D13,'Lista desplegable'!C$1:D$436,2,FALSE),"")</f>
        <v>BODEGUERO</v>
      </c>
      <c r="F13" s="19" t="s">
        <v>890</v>
      </c>
      <c r="G13" s="11" t="s">
        <v>903</v>
      </c>
      <c r="H13" s="11" t="s">
        <v>911</v>
      </c>
      <c r="I13" s="11">
        <v>0</v>
      </c>
      <c r="J13" s="11" t="s">
        <v>984</v>
      </c>
      <c r="K13" s="11" t="s">
        <v>918</v>
      </c>
      <c r="L13" s="11" t="s">
        <v>918</v>
      </c>
      <c r="M13" s="11"/>
    </row>
    <row r="14" spans="2:13" s="1" customFormat="1" ht="13.05" customHeight="1" x14ac:dyDescent="0.25">
      <c r="B14" s="24">
        <v>7</v>
      </c>
      <c r="C14" s="11" t="s">
        <v>695</v>
      </c>
      <c r="D14" s="7" t="str">
        <f>IFERROR(VLOOKUP(C14,'Lista desplegable'!B$1:C$436,2,FALSE),"")</f>
        <v>JOSÉ LEONARDO RODRIGUEZ ROBLES</v>
      </c>
      <c r="E14" s="7" t="str">
        <f>IFERROR(VLOOKUP(D14,'Lista desplegable'!C$1:D$436,2,FALSE),"")</f>
        <v>CHOFER</v>
      </c>
      <c r="F14" s="19" t="s">
        <v>890</v>
      </c>
      <c r="G14" s="11" t="s">
        <v>903</v>
      </c>
      <c r="H14" s="11" t="s">
        <v>911</v>
      </c>
      <c r="I14" s="11">
        <v>0</v>
      </c>
      <c r="J14" s="11" t="s">
        <v>984</v>
      </c>
      <c r="K14" s="11" t="s">
        <v>918</v>
      </c>
      <c r="L14" s="11" t="s">
        <v>918</v>
      </c>
      <c r="M14" s="11"/>
    </row>
    <row r="15" spans="2:13" s="1" customFormat="1" ht="13.05" customHeight="1" x14ac:dyDescent="0.25">
      <c r="B15" s="24">
        <v>8</v>
      </c>
      <c r="C15" s="11" t="s">
        <v>602</v>
      </c>
      <c r="D15" s="7" t="str">
        <f>IFERROR(VLOOKUP(C15,'Lista desplegable'!B$1:C$436,2,FALSE),"")</f>
        <v>ELIAS NICOLAS CORTEZ CORTEZ</v>
      </c>
      <c r="E15" s="7" t="str">
        <f>IFERROR(VLOOKUP(D15,'Lista desplegable'!C$1:D$436,2,FALSE),"")</f>
        <v>CHOFER</v>
      </c>
      <c r="F15" s="19" t="s">
        <v>890</v>
      </c>
      <c r="G15" s="11" t="s">
        <v>903</v>
      </c>
      <c r="H15" s="11" t="s">
        <v>911</v>
      </c>
      <c r="I15" s="11">
        <v>0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11" t="s">
        <v>790</v>
      </c>
      <c r="D16" s="7" t="str">
        <f>IFERROR(VLOOKUP(C16,'Lista desplegable'!B$1:C$436,2,FALSE),"")</f>
        <v>PABLO LUCAS POBLETE KUHNE</v>
      </c>
      <c r="E16" s="7" t="str">
        <f>IFERROR(VLOOKUP(D16,'Lista desplegable'!C$1:D$436,2,FALSE),"")</f>
        <v>CHOFER</v>
      </c>
      <c r="F16" s="19" t="s">
        <v>890</v>
      </c>
      <c r="G16" s="11" t="s">
        <v>903</v>
      </c>
      <c r="H16" s="11" t="s">
        <v>911</v>
      </c>
      <c r="I16" s="11">
        <v>0</v>
      </c>
      <c r="J16" s="11" t="s">
        <v>984</v>
      </c>
      <c r="K16" s="11" t="s">
        <v>918</v>
      </c>
      <c r="L16" s="11" t="s">
        <v>918</v>
      </c>
      <c r="M16" s="11" t="s">
        <v>1003</v>
      </c>
    </row>
    <row r="17" spans="2:13" s="1" customFormat="1" ht="13.05" customHeight="1" x14ac:dyDescent="0.25">
      <c r="B17" s="24">
        <v>10</v>
      </c>
      <c r="C17" s="11" t="s">
        <v>690</v>
      </c>
      <c r="D17" s="7" t="str">
        <f>IFERROR(VLOOKUP(C17,'Lista desplegable'!B$1:C$436,2,FALSE),"")</f>
        <v>JORGE ESTEBAN SAAVEDRA MENA</v>
      </c>
      <c r="E17" s="7" t="str">
        <f>IFERROR(VLOOKUP(D17,'Lista desplegable'!C$1:D$436,2,FALSE),"")</f>
        <v>CHOFER</v>
      </c>
      <c r="F17" s="19" t="s">
        <v>890</v>
      </c>
      <c r="G17" s="11" t="s">
        <v>903</v>
      </c>
      <c r="H17" s="11" t="s">
        <v>911</v>
      </c>
      <c r="I17" s="11">
        <v>0</v>
      </c>
      <c r="J17" s="11" t="s">
        <v>984</v>
      </c>
      <c r="K17" s="11" t="s">
        <v>918</v>
      </c>
      <c r="L17" s="11" t="s">
        <v>918</v>
      </c>
      <c r="M17" s="11"/>
    </row>
    <row r="18" spans="2:13" s="1" customFormat="1" ht="13.05" customHeight="1" x14ac:dyDescent="0.25">
      <c r="B18" s="24">
        <v>11</v>
      </c>
      <c r="C18" s="11" t="s">
        <v>508</v>
      </c>
      <c r="D18" s="7" t="str">
        <f>IFERROR(VLOOKUP(C18,'Lista desplegable'!B$1:C$436,2,FALSE),"")</f>
        <v>ALEJANDRO ALBERTO CAMPILLAY RUIZ</v>
      </c>
      <c r="E18" s="7" t="str">
        <f>IFERROR(VLOOKUP(D18,'Lista desplegable'!C$1:D$436,2,FALSE),"")</f>
        <v>MECANICO</v>
      </c>
      <c r="F18" s="19" t="s">
        <v>890</v>
      </c>
      <c r="G18" s="11" t="s">
        <v>903</v>
      </c>
      <c r="H18" s="11" t="s">
        <v>911</v>
      </c>
      <c r="I18" s="11">
        <v>0</v>
      </c>
      <c r="J18" s="11" t="s">
        <v>984</v>
      </c>
      <c r="K18" s="11" t="s">
        <v>918</v>
      </c>
      <c r="L18" s="11" t="s">
        <v>918</v>
      </c>
      <c r="M18" s="11"/>
    </row>
    <row r="19" spans="2:13" s="1" customFormat="1" ht="13.05" customHeight="1" x14ac:dyDescent="0.25">
      <c r="B19" s="24">
        <v>12</v>
      </c>
      <c r="C19" s="10" t="s">
        <v>878</v>
      </c>
      <c r="D19" s="7" t="str">
        <f>IFERROR(VLOOKUP(C19,'Lista desplegable'!B$1:C$436,2,FALSE),"")</f>
        <v>WALDO RAFAEL CASTRO PASTENE</v>
      </c>
      <c r="E19" s="7" t="str">
        <f>IFERROR(VLOOKUP(D19,'Lista desplegable'!C$1:D$436,2,FALSE),"")</f>
        <v>SOLDADOR</v>
      </c>
      <c r="F19" s="19" t="s">
        <v>890</v>
      </c>
      <c r="G19" s="11" t="s">
        <v>903</v>
      </c>
      <c r="H19" s="11" t="s">
        <v>911</v>
      </c>
      <c r="I19" s="11">
        <v>0</v>
      </c>
      <c r="J19" s="11" t="s">
        <v>984</v>
      </c>
      <c r="K19" s="11" t="s">
        <v>918</v>
      </c>
      <c r="L19" s="11" t="s">
        <v>918</v>
      </c>
      <c r="M19" s="11"/>
    </row>
    <row r="20" spans="2:13" s="1" customFormat="1" ht="13.05" customHeight="1" x14ac:dyDescent="0.25">
      <c r="B20" s="24">
        <v>13</v>
      </c>
      <c r="C20" s="11" t="s">
        <v>607</v>
      </c>
      <c r="D20" s="7" t="str">
        <f>IFERROR(VLOOKUP(C20,'Lista desplegable'!B$1:C$436,2,FALSE),"")</f>
        <v>ENKHZAYA GANBAATAR .</v>
      </c>
      <c r="E20" s="7" t="str">
        <f>IFERROR(VLOOKUP(D20,'Lista desplegable'!C$1:D$436,2,FALSE),"")</f>
        <v>PERFORISTA</v>
      </c>
      <c r="F20" s="19" t="s">
        <v>890</v>
      </c>
      <c r="G20" s="11" t="s">
        <v>903</v>
      </c>
      <c r="H20" s="11" t="s">
        <v>911</v>
      </c>
      <c r="I20" s="11">
        <v>0</v>
      </c>
      <c r="J20" s="11" t="s">
        <v>984</v>
      </c>
      <c r="K20" s="11"/>
      <c r="L20" s="11"/>
      <c r="M20" s="11"/>
    </row>
    <row r="21" spans="2:13" s="1" customFormat="1" ht="13.05" customHeight="1" x14ac:dyDescent="0.25">
      <c r="B21" s="24">
        <v>14</v>
      </c>
      <c r="C21" s="11" t="s">
        <v>20</v>
      </c>
      <c r="D21" s="7" t="str">
        <f>IFERROR(VLOOKUP(C21,'Lista desplegable'!B$1:C$436,2,FALSE),"")</f>
        <v>CARLOS ALBERTO PIZARRO PIZARRO</v>
      </c>
      <c r="E21" s="7" t="str">
        <f>IFERROR(VLOOKUP(D21,'Lista desplegable'!C$1:D$436,2,FALSE),"")</f>
        <v>AYUDANTE DE PERFORISTA</v>
      </c>
      <c r="F21" s="19" t="s">
        <v>890</v>
      </c>
      <c r="G21" s="11" t="s">
        <v>903</v>
      </c>
      <c r="H21" s="11" t="s">
        <v>911</v>
      </c>
      <c r="I21" s="11">
        <v>0</v>
      </c>
      <c r="J21" s="11" t="s">
        <v>984</v>
      </c>
      <c r="K21" s="11" t="s">
        <v>918</v>
      </c>
      <c r="L21" s="11" t="s">
        <v>918</v>
      </c>
      <c r="M21" s="11"/>
    </row>
    <row r="22" spans="2:13" s="1" customFormat="1" ht="13.05" customHeight="1" x14ac:dyDescent="0.25">
      <c r="B22" s="24">
        <v>15</v>
      </c>
      <c r="C22" s="11" t="s">
        <v>624</v>
      </c>
      <c r="D22" s="7" t="str">
        <f>IFERROR(VLOOKUP(C22,'Lista desplegable'!B$1:C$436,2,FALSE),"")</f>
        <v>FELIPE DAVID SAAVEDRA CAMPOS</v>
      </c>
      <c r="E22" s="7" t="str">
        <f>IFERROR(VLOOKUP(D22,'Lista desplegable'!C$1:D$436,2,FALSE),"")</f>
        <v>AYUDANTE DE PERFORISTA</v>
      </c>
      <c r="F22" s="19" t="s">
        <v>890</v>
      </c>
      <c r="G22" s="11" t="s">
        <v>903</v>
      </c>
      <c r="H22" s="11" t="s">
        <v>911</v>
      </c>
      <c r="I22" s="11">
        <v>0</v>
      </c>
      <c r="J22" s="11" t="s">
        <v>984</v>
      </c>
      <c r="K22" s="11" t="s">
        <v>918</v>
      </c>
      <c r="L22" s="11" t="s">
        <v>918</v>
      </c>
      <c r="M22" s="11"/>
    </row>
    <row r="23" spans="2:13" s="1" customFormat="1" ht="13.05" customHeight="1" x14ac:dyDescent="0.25">
      <c r="B23" s="24">
        <v>16</v>
      </c>
      <c r="C23" s="11" t="s">
        <v>870</v>
      </c>
      <c r="D23" s="7" t="str">
        <f>IFERROR(VLOOKUP(C23,'Lista desplegable'!B$1:C$436,2,FALSE),"")</f>
        <v>VICENTE ANDRES LOPEZ MARTINEZ</v>
      </c>
      <c r="E23" s="7" t="str">
        <f>IFERROR(VLOOKUP(D23,'Lista desplegable'!C$1:D$436,2,FALSE),"")</f>
        <v>AYUDANTE DE PERFORISTA</v>
      </c>
      <c r="F23" s="19" t="s">
        <v>890</v>
      </c>
      <c r="G23" s="11" t="s">
        <v>903</v>
      </c>
      <c r="H23" s="11" t="s">
        <v>911</v>
      </c>
      <c r="I23" s="11">
        <v>0</v>
      </c>
      <c r="J23" s="11" t="s">
        <v>984</v>
      </c>
      <c r="K23" s="11" t="s">
        <v>918</v>
      </c>
      <c r="L23" s="11" t="s">
        <v>918</v>
      </c>
      <c r="M23" s="11"/>
    </row>
    <row r="24" spans="2:13" s="1" customFormat="1" ht="13.05" customHeight="1" x14ac:dyDescent="0.25">
      <c r="B24" s="24">
        <v>17</v>
      </c>
      <c r="C24" s="11"/>
      <c r="D24" s="7" t="str">
        <f>IFERROR(VLOOKUP(C24,'Lista desplegable'!B$1:C$436,2,FALSE),"")</f>
        <v/>
      </c>
      <c r="E24" s="7" t="str">
        <f>IFERROR(VLOOKUP(D24,'Lista desplegable'!C$1:D$436,2,FALSE),"")</f>
        <v/>
      </c>
      <c r="F24" s="19"/>
      <c r="G24" s="11"/>
      <c r="H24" s="11"/>
      <c r="I24" s="11"/>
      <c r="J24" s="11"/>
      <c r="K24" s="11"/>
      <c r="L24" s="11"/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05" customHeight="1" x14ac:dyDescent="0.25">
      <c r="C38"/>
    </row>
    <row r="39" spans="2:13" ht="13.05" customHeight="1" x14ac:dyDescent="0.25">
      <c r="C39"/>
    </row>
    <row r="40" spans="2:13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3" ht="13.05" customHeight="1" x14ac:dyDescent="0.25">
      <c r="B42" s="24">
        <v>1</v>
      </c>
      <c r="C42" s="11" t="s">
        <v>528</v>
      </c>
      <c r="D42" s="7" t="str">
        <f>IFERROR(VLOOKUP(C42,'Lista desplegable'!B$1:C$436,2,FALSE),"")</f>
        <v>ARIEL ANDRES SILVA RIQUELME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>
        <v>18</v>
      </c>
      <c r="J42" s="11" t="s">
        <v>984</v>
      </c>
      <c r="K42" s="11" t="s">
        <v>918</v>
      </c>
      <c r="L42" s="11" t="s">
        <v>918</v>
      </c>
      <c r="M42" s="11" t="s">
        <v>1002</v>
      </c>
    </row>
    <row r="43" spans="2:13" ht="13.05" customHeight="1" x14ac:dyDescent="0.25">
      <c r="B43" s="24">
        <v>2</v>
      </c>
      <c r="C43" s="11" t="s">
        <v>514</v>
      </c>
      <c r="D43" s="7" t="str">
        <f>IFERROR(VLOOKUP(C43,'Lista desplegable'!B$1:C$436,2,FALSE),"")</f>
        <v>ALISSON AYLEEN VILLAGRA CABALLERO</v>
      </c>
      <c r="E43" s="7" t="str">
        <f>IFERROR(VLOOKUP(D43,'Lista desplegable'!C$1:D$436,2,FALSE),"")</f>
        <v>CHOFER</v>
      </c>
      <c r="F43" s="19" t="s">
        <v>890</v>
      </c>
      <c r="G43" s="11" t="s">
        <v>903</v>
      </c>
      <c r="H43" s="11" t="s">
        <v>911</v>
      </c>
      <c r="I43" s="11">
        <v>18</v>
      </c>
      <c r="J43" s="11" t="s">
        <v>984</v>
      </c>
      <c r="K43" s="11" t="s">
        <v>918</v>
      </c>
      <c r="L43" s="11" t="s">
        <v>918</v>
      </c>
      <c r="M43" s="11"/>
    </row>
    <row r="44" spans="2:13" ht="13.05" customHeight="1" x14ac:dyDescent="0.25">
      <c r="B44" s="24">
        <v>3</v>
      </c>
      <c r="C44" s="11" t="s">
        <v>731</v>
      </c>
      <c r="D44" s="7" t="str">
        <f>IFERROR(VLOOKUP(C44,'Lista desplegable'!B$1:C$436,2,FALSE),"")</f>
        <v>LUIS HUMBERTO PEÑA AHUMADA</v>
      </c>
      <c r="E44" s="7" t="str">
        <f>IFERROR(VLOOKUP(D44,'Lista desplegable'!C$1:D$436,2,FALSE),"")</f>
        <v>CHOFER</v>
      </c>
      <c r="F44" s="19" t="s">
        <v>890</v>
      </c>
      <c r="G44" s="11" t="s">
        <v>903</v>
      </c>
      <c r="H44" s="11" t="s">
        <v>911</v>
      </c>
      <c r="I44" s="11">
        <v>18</v>
      </c>
      <c r="J44" s="11" t="s">
        <v>984</v>
      </c>
      <c r="K44" s="11" t="s">
        <v>918</v>
      </c>
      <c r="L44" s="11" t="s">
        <v>918</v>
      </c>
      <c r="M44" s="11" t="s">
        <v>1002</v>
      </c>
    </row>
    <row r="45" spans="2:13" ht="13.05" customHeight="1" x14ac:dyDescent="0.25">
      <c r="B45" s="24">
        <v>4</v>
      </c>
      <c r="C45" s="11" t="s">
        <v>735</v>
      </c>
      <c r="D45" s="7" t="str">
        <f>IFERROR(VLOOKUP(C45,'Lista desplegable'!B$1:C$436,2,FALSE),"")</f>
        <v>MANUEL ALEJANDRO TILLERIA SAAVEDRA</v>
      </c>
      <c r="E45" s="7" t="str">
        <f>IFERROR(VLOOKUP(D45,'Lista desplegable'!C$1:D$436,2,FALSE),"")</f>
        <v>MECANICO</v>
      </c>
      <c r="F45" s="19" t="s">
        <v>890</v>
      </c>
      <c r="G45" s="11" t="s">
        <v>903</v>
      </c>
      <c r="H45" s="11" t="s">
        <v>911</v>
      </c>
      <c r="I45" s="11">
        <v>18</v>
      </c>
      <c r="J45" s="11" t="s">
        <v>984</v>
      </c>
      <c r="K45" s="11" t="s">
        <v>918</v>
      </c>
      <c r="L45" s="11" t="s">
        <v>918</v>
      </c>
      <c r="M45" s="11"/>
    </row>
    <row r="46" spans="2:13" ht="13.05" customHeight="1" x14ac:dyDescent="0.25">
      <c r="B46" s="24">
        <v>5</v>
      </c>
      <c r="C46" s="11" t="s">
        <v>867</v>
      </c>
      <c r="D46" s="7" t="str">
        <f>IFERROR(VLOOKUP(C46,'Lista desplegable'!B$1:C$436,2,FALSE),"")</f>
        <v>ULZIIBADRAKH BAYANMUNKH .</v>
      </c>
      <c r="E46" s="7" t="str">
        <f>IFERROR(VLOOKUP(D46,'Lista desplegable'!C$1:D$436,2,FALSE),"")</f>
        <v>PERFORISTA</v>
      </c>
      <c r="F46" s="19" t="s">
        <v>890</v>
      </c>
      <c r="G46" s="11" t="s">
        <v>903</v>
      </c>
      <c r="H46" s="11" t="s">
        <v>911</v>
      </c>
      <c r="I46" s="11">
        <v>18</v>
      </c>
      <c r="J46" s="11" t="s">
        <v>984</v>
      </c>
      <c r="K46" s="11"/>
      <c r="L46" s="11"/>
      <c r="M46" s="11"/>
    </row>
    <row r="47" spans="2:13" ht="13.05" customHeight="1" x14ac:dyDescent="0.25">
      <c r="B47" s="24">
        <v>6</v>
      </c>
      <c r="C47" s="11" t="s">
        <v>676</v>
      </c>
      <c r="D47" s="7" t="str">
        <f>IFERROR(VLOOKUP(C47,'Lista desplegable'!B$1:C$436,2,FALSE),"")</f>
        <v>JOHN BYRON VASQUEZ CARROZA</v>
      </c>
      <c r="E47" s="7" t="str">
        <f>IFERROR(VLOOKUP(D47,'Lista desplegable'!C$1:D$436,2,FALSE),"")</f>
        <v>AYUDANTE DE PERFORISTA</v>
      </c>
      <c r="F47" s="19" t="s">
        <v>890</v>
      </c>
      <c r="G47" s="11" t="s">
        <v>903</v>
      </c>
      <c r="H47" s="11" t="s">
        <v>911</v>
      </c>
      <c r="I47" s="11">
        <v>18</v>
      </c>
      <c r="J47" s="11" t="s">
        <v>984</v>
      </c>
      <c r="K47" s="11" t="s">
        <v>918</v>
      </c>
      <c r="L47" s="11" t="s">
        <v>918</v>
      </c>
      <c r="M47" s="11"/>
    </row>
    <row r="48" spans="2:13" ht="13.05" customHeight="1" x14ac:dyDescent="0.25">
      <c r="B48" s="24">
        <v>7</v>
      </c>
      <c r="C48" s="11" t="s">
        <v>758</v>
      </c>
      <c r="D48" s="7" t="str">
        <f>IFERROR(VLOOKUP(C48,'Lista desplegable'!B$1:C$436,2,FALSE),"")</f>
        <v>MAURICIO ANDRES OYARZUN SALAMANCA</v>
      </c>
      <c r="E48" s="7" t="str">
        <f>IFERROR(VLOOKUP(D48,'Lista desplegable'!C$1:D$436,2,FALSE),"")</f>
        <v>AYUDANTE DE PERFORISTA</v>
      </c>
      <c r="F48" s="19" t="s">
        <v>890</v>
      </c>
      <c r="G48" s="11" t="s">
        <v>903</v>
      </c>
      <c r="H48" s="11" t="s">
        <v>911</v>
      </c>
      <c r="I48" s="11">
        <v>18</v>
      </c>
      <c r="J48" s="11" t="s">
        <v>984</v>
      </c>
      <c r="K48" s="11" t="s">
        <v>918</v>
      </c>
      <c r="L48" s="11" t="s">
        <v>918</v>
      </c>
      <c r="M48" s="11"/>
    </row>
    <row r="49" spans="2:13" ht="13.05" customHeight="1" x14ac:dyDescent="0.25">
      <c r="B49" s="24">
        <v>8</v>
      </c>
      <c r="C49" s="11"/>
      <c r="D49" s="7" t="str">
        <f>IFERROR(VLOOKUP(C49,'Lista desplegable'!B$1:C$436,2,FALSE),"")</f>
        <v/>
      </c>
      <c r="E49" s="7" t="str">
        <f>IFERROR(VLOOKUP(D49,'Lista desplegable'!C$1:D$436,2,FALSE),"")</f>
        <v/>
      </c>
      <c r="F49" s="19"/>
      <c r="G49" s="11"/>
      <c r="H49" s="11"/>
      <c r="I49" s="11"/>
      <c r="J49" s="11"/>
      <c r="K49" s="11"/>
      <c r="L49" s="11"/>
      <c r="M49" s="11"/>
    </row>
    <row r="50" spans="2:13" ht="13.05" customHeight="1" x14ac:dyDescent="0.25">
      <c r="B50" s="24">
        <v>9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11"/>
      <c r="J50" s="11"/>
      <c r="K50" s="11"/>
      <c r="L50" s="11"/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2:I2"/>
    <mergeCell ref="G3:I3"/>
    <mergeCell ref="C6:M6"/>
    <mergeCell ref="C40:M40"/>
  </mergeCell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A16188A-B45F-43CA-9F53-D2DDE7989668}">
          <x14:formula1>
            <xm:f>'Lista desplegable'!$L$2:$L$3</xm:f>
          </x14:formula1>
          <xm:sqref>K8:L37 K42:L71</xm:sqref>
        </x14:dataValidation>
        <x14:dataValidation type="list" allowBlank="1" showInputMessage="1" showErrorMessage="1" xr:uid="{8321B701-26A4-45C7-886F-5177D520A660}">
          <x14:formula1>
            <xm:f>'Lista desplegable'!$H$2:$H$7</xm:f>
          </x14:formula1>
          <xm:sqref>G8:G37 G42:G71</xm:sqref>
        </x14:dataValidation>
        <x14:dataValidation type="list" allowBlank="1" showInputMessage="1" showErrorMessage="1" xr:uid="{8787CC0D-335A-4DD6-8CFB-DEF235925BCC}">
          <x14:formula1>
            <xm:f>'Lista desplegable'!$J$2:$J$10</xm:f>
          </x14:formula1>
          <xm:sqref>H8:H37 H42:H71</xm:sqref>
        </x14:dataValidation>
        <x14:dataValidation type="list" allowBlank="1" showInputMessage="1" showErrorMessage="1" xr:uid="{CD3C3FA7-68B4-4D85-959F-5BF55803BE6E}">
          <x14:formula1>
            <xm:f>'Lista desplegable'!$F$2:$F$19</xm:f>
          </x14:formula1>
          <xm:sqref>F8:F37 F42:F71</xm:sqref>
        </x14:dataValidation>
        <x14:dataValidation type="list" allowBlank="1" showInputMessage="1" showErrorMessage="1" xr:uid="{727E6B72-A267-4B1C-BC0B-CC57F0421E38}">
          <x14:formula1>
            <xm:f>'Lista desplegable'!$B$2:$B$436</xm:f>
          </x14:formula1>
          <xm:sqref>C8:C37 C42:C71</xm:sqref>
        </x14:dataValidation>
        <x14:dataValidation type="list" allowBlank="1" showInputMessage="1" showErrorMessage="1" xr:uid="{433E6894-A5D3-41B4-BE8B-6367C8E38D3C}">
          <x14:formula1>
            <xm:f>'Lista desplegable'!$N$2:$N$5</xm:f>
          </x14:formula1>
          <xm:sqref>J8:J37 J42:J71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5C31D-4F6C-4F76-9FE7-CD82B4ED1AF4}">
  <dimension ref="B1:M93"/>
  <sheetViews>
    <sheetView topLeftCell="A18" zoomScale="80" zoomScaleNormal="80" workbookViewId="0">
      <selection activeCell="M12" sqref="M12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0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21.77734375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46277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11" t="s">
        <v>572</v>
      </c>
      <c r="D8" s="7" t="str">
        <f>IFERROR(VLOOKUP(C8,'Lista desplegable'!B$1:C$436,2,FALSE),"")</f>
        <v>CRISTIAN ROGELIO PASTEN VERGARA</v>
      </c>
      <c r="E8" s="7" t="str">
        <f>IFERROR(VLOOKUP(D8,'Lista desplegable'!C$1:D$436,2,FALSE),"")</f>
        <v>JEFE DE FAENA</v>
      </c>
      <c r="F8" s="19" t="s">
        <v>890</v>
      </c>
      <c r="G8" s="11" t="s">
        <v>903</v>
      </c>
      <c r="H8" s="11" t="s">
        <v>911</v>
      </c>
      <c r="I8" s="11">
        <v>18</v>
      </c>
      <c r="J8" s="11" t="s">
        <v>984</v>
      </c>
      <c r="K8" s="11" t="s">
        <v>918</v>
      </c>
      <c r="L8" s="11" t="s">
        <v>918</v>
      </c>
      <c r="M8" s="11"/>
    </row>
    <row r="9" spans="2:13" s="1" customFormat="1" ht="13.05" customHeight="1" x14ac:dyDescent="0.25">
      <c r="B9" s="24">
        <v>2</v>
      </c>
      <c r="C9" s="10" t="s">
        <v>590</v>
      </c>
      <c r="D9" s="7" t="str">
        <f>IFERROR(VLOOKUP(C9,'Lista desplegable'!B$1:C$436,2,FALSE),"")</f>
        <v>DAYNE JEFFERY PASSMORE .</v>
      </c>
      <c r="E9" s="7" t="str">
        <f>IFERROR(VLOOKUP(D9,'Lista desplegable'!C$1:D$436,2,FALSE),"")</f>
        <v>ADMINISTRADOR DE CONTRATO</v>
      </c>
      <c r="F9" s="19" t="s">
        <v>890</v>
      </c>
      <c r="G9" s="11" t="s">
        <v>903</v>
      </c>
      <c r="H9" s="11" t="s">
        <v>911</v>
      </c>
      <c r="I9" s="11">
        <v>18</v>
      </c>
      <c r="J9" s="11" t="s">
        <v>984</v>
      </c>
      <c r="K9" s="11"/>
      <c r="L9" s="11"/>
      <c r="M9" s="11"/>
    </row>
    <row r="10" spans="2:13" s="1" customFormat="1" ht="13.05" customHeight="1" x14ac:dyDescent="0.25">
      <c r="B10" s="24">
        <v>3</v>
      </c>
      <c r="C10" s="11" t="s">
        <v>950</v>
      </c>
      <c r="D10" s="7" t="str">
        <f>IFERROR(VLOOKUP(C10,'Lista desplegable'!B$1:C$436,2,FALSE),"")</f>
        <v>LEONIDAS LUIS ARCE OLIVARES</v>
      </c>
      <c r="E10" s="7" t="str">
        <f>IFERROR(VLOOKUP(D10,'Lista desplegable'!C$1:D$436,2,FALSE),"")</f>
        <v>SUPERVISOR DE OPERACIONES</v>
      </c>
      <c r="F10" s="19" t="s">
        <v>890</v>
      </c>
      <c r="G10" s="11" t="s">
        <v>903</v>
      </c>
      <c r="H10" s="11" t="s">
        <v>911</v>
      </c>
      <c r="I10" s="11">
        <v>18</v>
      </c>
      <c r="J10" s="11" t="s">
        <v>984</v>
      </c>
      <c r="K10" s="11" t="s">
        <v>918</v>
      </c>
      <c r="L10" s="11" t="s">
        <v>918</v>
      </c>
      <c r="M10" s="11" t="s">
        <v>1006</v>
      </c>
    </row>
    <row r="11" spans="2:13" s="1" customFormat="1" ht="13.05" customHeight="1" x14ac:dyDescent="0.25">
      <c r="B11" s="24">
        <v>4</v>
      </c>
      <c r="C11" s="11" t="s">
        <v>675</v>
      </c>
      <c r="D11" s="7" t="str">
        <f>IFERROR(VLOOKUP(C11,'Lista desplegable'!B$1:C$436,2,FALSE),"")</f>
        <v>JOHN ALEXIS BRICEÑO HONORES</v>
      </c>
      <c r="E11" s="7" t="str">
        <f>IFERROR(VLOOKUP(D11,'Lista desplegable'!C$1:D$436,2,FALSE),"")</f>
        <v>PREVENCIONISTA DE RIESGOS</v>
      </c>
      <c r="F11" s="19" t="s">
        <v>890</v>
      </c>
      <c r="G11" s="11" t="s">
        <v>903</v>
      </c>
      <c r="H11" s="11" t="s">
        <v>911</v>
      </c>
      <c r="I11" s="11">
        <v>18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11" t="s">
        <v>810</v>
      </c>
      <c r="D12" s="7" t="str">
        <f>IFERROR(VLOOKUP(C12,'Lista desplegable'!B$1:C$436,2,FALSE),"")</f>
        <v>RENE ALFREDO RIOS MALDONADO</v>
      </c>
      <c r="E12" s="7" t="str">
        <f>IFERROR(VLOOKUP(D12,'Lista desplegable'!C$1:D$436,2,FALSE),"")</f>
        <v>ADMINISTRATIVO DE FAENA</v>
      </c>
      <c r="F12" s="19" t="s">
        <v>890</v>
      </c>
      <c r="G12" s="11" t="s">
        <v>903</v>
      </c>
      <c r="H12" s="11" t="s">
        <v>911</v>
      </c>
      <c r="I12" s="11">
        <v>18</v>
      </c>
      <c r="J12" s="11" t="s">
        <v>984</v>
      </c>
      <c r="K12" s="11" t="s">
        <v>918</v>
      </c>
      <c r="L12" s="11" t="s">
        <v>918</v>
      </c>
      <c r="M12" s="11" t="s">
        <v>1008</v>
      </c>
    </row>
    <row r="13" spans="2:13" s="1" customFormat="1" ht="13.05" customHeight="1" x14ac:dyDescent="0.25">
      <c r="B13" s="24">
        <v>6</v>
      </c>
      <c r="C13" s="11" t="s">
        <v>625</v>
      </c>
      <c r="D13" s="7" t="str">
        <f>IFERROR(VLOOKUP(C13,'Lista desplegable'!B$1:C$436,2,FALSE),"")</f>
        <v>FELIPE IVAN LUIS ZAMBRA GONZALEZ</v>
      </c>
      <c r="E13" s="7" t="str">
        <f>IFERROR(VLOOKUP(D13,'Lista desplegable'!C$1:D$436,2,FALSE),"")</f>
        <v>BODEGUERO</v>
      </c>
      <c r="F13" s="19" t="s">
        <v>890</v>
      </c>
      <c r="G13" s="11" t="s">
        <v>903</v>
      </c>
      <c r="H13" s="11" t="s">
        <v>911</v>
      </c>
      <c r="I13" s="11">
        <v>18</v>
      </c>
      <c r="J13" s="11" t="s">
        <v>984</v>
      </c>
      <c r="K13" s="11" t="s">
        <v>918</v>
      </c>
      <c r="L13" s="11" t="s">
        <v>918</v>
      </c>
      <c r="M13" s="11" t="s">
        <v>1009</v>
      </c>
    </row>
    <row r="14" spans="2:13" s="1" customFormat="1" ht="13.05" customHeight="1" x14ac:dyDescent="0.25">
      <c r="B14" s="24">
        <v>7</v>
      </c>
      <c r="C14" s="11" t="s">
        <v>695</v>
      </c>
      <c r="D14" s="7" t="str">
        <f>IFERROR(VLOOKUP(C14,'Lista desplegable'!B$1:C$436,2,FALSE),"")</f>
        <v>JOSÉ LEONARDO RODRIGUEZ ROBLES</v>
      </c>
      <c r="E14" s="7" t="str">
        <f>IFERROR(VLOOKUP(D14,'Lista desplegable'!C$1:D$436,2,FALSE),"")</f>
        <v>CHOFER</v>
      </c>
      <c r="F14" s="19" t="s">
        <v>890</v>
      </c>
      <c r="G14" s="11" t="s">
        <v>903</v>
      </c>
      <c r="H14" s="11" t="s">
        <v>911</v>
      </c>
      <c r="I14" s="11">
        <v>18</v>
      </c>
      <c r="J14" s="11" t="s">
        <v>984</v>
      </c>
      <c r="K14" s="11" t="s">
        <v>918</v>
      </c>
      <c r="L14" s="11" t="s">
        <v>918</v>
      </c>
      <c r="M14" s="11"/>
    </row>
    <row r="15" spans="2:13" s="1" customFormat="1" ht="13.05" customHeight="1" x14ac:dyDescent="0.25">
      <c r="B15" s="24">
        <v>8</v>
      </c>
      <c r="C15" s="11" t="s">
        <v>602</v>
      </c>
      <c r="D15" s="7" t="str">
        <f>IFERROR(VLOOKUP(C15,'Lista desplegable'!B$1:C$436,2,FALSE),"")</f>
        <v>ELIAS NICOLAS CORTEZ CORTEZ</v>
      </c>
      <c r="E15" s="7" t="str">
        <f>IFERROR(VLOOKUP(D15,'Lista desplegable'!C$1:D$436,2,FALSE),"")</f>
        <v>CHOFER</v>
      </c>
      <c r="F15" s="19" t="s">
        <v>890</v>
      </c>
      <c r="G15" s="11" t="s">
        <v>903</v>
      </c>
      <c r="H15" s="11" t="s">
        <v>911</v>
      </c>
      <c r="I15" s="11">
        <v>18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11" t="s">
        <v>790</v>
      </c>
      <c r="D16" s="7" t="str">
        <f>IFERROR(VLOOKUP(C16,'Lista desplegable'!B$1:C$436,2,FALSE),"")</f>
        <v>PABLO LUCAS POBLETE KUHNE</v>
      </c>
      <c r="E16" s="7" t="str">
        <f>IFERROR(VLOOKUP(D16,'Lista desplegable'!C$1:D$436,2,FALSE),"")</f>
        <v>CHOFER</v>
      </c>
      <c r="F16" s="19" t="s">
        <v>890</v>
      </c>
      <c r="G16" s="11" t="s">
        <v>903</v>
      </c>
      <c r="H16" s="11" t="s">
        <v>911</v>
      </c>
      <c r="I16" s="11">
        <v>18</v>
      </c>
      <c r="J16" s="11" t="s">
        <v>984</v>
      </c>
      <c r="K16" s="11" t="s">
        <v>918</v>
      </c>
      <c r="L16" s="11" t="s">
        <v>918</v>
      </c>
      <c r="M16" s="11" t="s">
        <v>1003</v>
      </c>
    </row>
    <row r="17" spans="2:13" s="1" customFormat="1" ht="13.05" customHeight="1" x14ac:dyDescent="0.25">
      <c r="B17" s="24">
        <v>10</v>
      </c>
      <c r="C17" s="11" t="s">
        <v>690</v>
      </c>
      <c r="D17" s="7" t="str">
        <f>IFERROR(VLOOKUP(C17,'Lista desplegable'!B$1:C$436,2,FALSE),"")</f>
        <v>JORGE ESTEBAN SAAVEDRA MENA</v>
      </c>
      <c r="E17" s="7" t="str">
        <f>IFERROR(VLOOKUP(D17,'Lista desplegable'!C$1:D$436,2,FALSE),"")</f>
        <v>CHOFER</v>
      </c>
      <c r="F17" s="19" t="s">
        <v>890</v>
      </c>
      <c r="G17" s="11" t="s">
        <v>903</v>
      </c>
      <c r="H17" s="11" t="s">
        <v>911</v>
      </c>
      <c r="I17" s="11">
        <v>18</v>
      </c>
      <c r="J17" s="11" t="s">
        <v>984</v>
      </c>
      <c r="K17" s="11" t="s">
        <v>918</v>
      </c>
      <c r="L17" s="11" t="s">
        <v>918</v>
      </c>
      <c r="M17" s="11"/>
    </row>
    <row r="18" spans="2:13" s="1" customFormat="1" ht="13.05" customHeight="1" x14ac:dyDescent="0.25">
      <c r="B18" s="24">
        <v>11</v>
      </c>
      <c r="C18" s="11" t="s">
        <v>508</v>
      </c>
      <c r="D18" s="7" t="str">
        <f>IFERROR(VLOOKUP(C18,'Lista desplegable'!B$1:C$436,2,FALSE),"")</f>
        <v>ALEJANDRO ALBERTO CAMPILLAY RUIZ</v>
      </c>
      <c r="E18" s="7" t="str">
        <f>IFERROR(VLOOKUP(D18,'Lista desplegable'!C$1:D$436,2,FALSE),"")</f>
        <v>MECANICO</v>
      </c>
      <c r="F18" s="19" t="s">
        <v>890</v>
      </c>
      <c r="G18" s="11" t="s">
        <v>903</v>
      </c>
      <c r="H18" s="11" t="s">
        <v>911</v>
      </c>
      <c r="I18" s="11">
        <v>18</v>
      </c>
      <c r="J18" s="11" t="s">
        <v>984</v>
      </c>
      <c r="K18" s="11" t="s">
        <v>918</v>
      </c>
      <c r="L18" s="11" t="s">
        <v>918</v>
      </c>
      <c r="M18" s="11"/>
    </row>
    <row r="19" spans="2:13" s="1" customFormat="1" ht="13.05" customHeight="1" x14ac:dyDescent="0.25">
      <c r="B19" s="24">
        <v>12</v>
      </c>
      <c r="C19" s="10" t="s">
        <v>878</v>
      </c>
      <c r="D19" s="7" t="str">
        <f>IFERROR(VLOOKUP(C19,'Lista desplegable'!B$1:C$436,2,FALSE),"")</f>
        <v>WALDO RAFAEL CASTRO PASTENE</v>
      </c>
      <c r="E19" s="7" t="str">
        <f>IFERROR(VLOOKUP(D19,'Lista desplegable'!C$1:D$436,2,FALSE),"")</f>
        <v>SOLDADOR</v>
      </c>
      <c r="F19" s="19" t="s">
        <v>890</v>
      </c>
      <c r="G19" s="11" t="s">
        <v>903</v>
      </c>
      <c r="H19" s="11" t="s">
        <v>911</v>
      </c>
      <c r="I19" s="11">
        <v>18</v>
      </c>
      <c r="J19" s="11" t="s">
        <v>984</v>
      </c>
      <c r="K19" s="11" t="s">
        <v>918</v>
      </c>
      <c r="L19" s="11" t="s">
        <v>918</v>
      </c>
      <c r="M19" s="11"/>
    </row>
    <row r="20" spans="2:13" s="1" customFormat="1" ht="13.05" customHeight="1" x14ac:dyDescent="0.25">
      <c r="B20" s="24">
        <v>13</v>
      </c>
      <c r="C20" s="11" t="s">
        <v>607</v>
      </c>
      <c r="D20" s="7" t="str">
        <f>IFERROR(VLOOKUP(C20,'Lista desplegable'!B$1:C$436,2,FALSE),"")</f>
        <v>ENKHZAYA GANBAATAR .</v>
      </c>
      <c r="E20" s="7" t="str">
        <f>IFERROR(VLOOKUP(D20,'Lista desplegable'!C$1:D$436,2,FALSE),"")</f>
        <v>PERFORISTA</v>
      </c>
      <c r="F20" s="19" t="s">
        <v>890</v>
      </c>
      <c r="G20" s="11" t="s">
        <v>903</v>
      </c>
      <c r="H20" s="11" t="s">
        <v>911</v>
      </c>
      <c r="I20" s="11">
        <v>18</v>
      </c>
      <c r="J20" s="11" t="s">
        <v>984</v>
      </c>
      <c r="K20" s="11"/>
      <c r="L20" s="11"/>
      <c r="M20" s="11"/>
    </row>
    <row r="21" spans="2:13" s="1" customFormat="1" ht="13.05" customHeight="1" x14ac:dyDescent="0.25">
      <c r="B21" s="24">
        <v>14</v>
      </c>
      <c r="C21" s="11" t="s">
        <v>20</v>
      </c>
      <c r="D21" s="7" t="str">
        <f>IFERROR(VLOOKUP(C21,'Lista desplegable'!B$1:C$436,2,FALSE),"")</f>
        <v>CARLOS ALBERTO PIZARRO PIZARRO</v>
      </c>
      <c r="E21" s="7" t="str">
        <f>IFERROR(VLOOKUP(D21,'Lista desplegable'!C$1:D$436,2,FALSE),"")</f>
        <v>AYUDANTE DE PERFORISTA</v>
      </c>
      <c r="F21" s="19" t="s">
        <v>890</v>
      </c>
      <c r="G21" s="11" t="s">
        <v>903</v>
      </c>
      <c r="H21" s="11" t="s">
        <v>911</v>
      </c>
      <c r="I21" s="11">
        <v>18</v>
      </c>
      <c r="J21" s="11" t="s">
        <v>984</v>
      </c>
      <c r="K21" s="11" t="s">
        <v>918</v>
      </c>
      <c r="L21" s="11" t="s">
        <v>918</v>
      </c>
      <c r="M21" s="11"/>
    </row>
    <row r="22" spans="2:13" s="1" customFormat="1" ht="13.05" customHeight="1" x14ac:dyDescent="0.25">
      <c r="B22" s="24">
        <v>15</v>
      </c>
      <c r="C22" s="11" t="s">
        <v>624</v>
      </c>
      <c r="D22" s="7" t="str">
        <f>IFERROR(VLOOKUP(C22,'Lista desplegable'!B$1:C$436,2,FALSE),"")</f>
        <v>FELIPE DAVID SAAVEDRA CAMPOS</v>
      </c>
      <c r="E22" s="7" t="str">
        <f>IFERROR(VLOOKUP(D22,'Lista desplegable'!C$1:D$436,2,FALSE),"")</f>
        <v>AYUDANTE DE PERFORISTA</v>
      </c>
      <c r="F22" s="19" t="s">
        <v>890</v>
      </c>
      <c r="G22" s="11" t="s">
        <v>903</v>
      </c>
      <c r="H22" s="11" t="s">
        <v>911</v>
      </c>
      <c r="I22" s="11">
        <v>18</v>
      </c>
      <c r="J22" s="11" t="s">
        <v>984</v>
      </c>
      <c r="K22" s="11" t="s">
        <v>918</v>
      </c>
      <c r="L22" s="11" t="s">
        <v>918</v>
      </c>
      <c r="M22" s="11"/>
    </row>
    <row r="23" spans="2:13" s="1" customFormat="1" ht="13.05" customHeight="1" x14ac:dyDescent="0.25">
      <c r="B23" s="24">
        <v>16</v>
      </c>
      <c r="C23" s="11" t="s">
        <v>870</v>
      </c>
      <c r="D23" s="7" t="str">
        <f>IFERROR(VLOOKUP(C23,'Lista desplegable'!B$1:C$436,2,FALSE),"")</f>
        <v>VICENTE ANDRES LOPEZ MARTINEZ</v>
      </c>
      <c r="E23" s="7" t="str">
        <f>IFERROR(VLOOKUP(D23,'Lista desplegable'!C$1:D$436,2,FALSE),"")</f>
        <v>AYUDANTE DE PERFORISTA</v>
      </c>
      <c r="F23" s="19" t="s">
        <v>890</v>
      </c>
      <c r="G23" s="11" t="s">
        <v>903</v>
      </c>
      <c r="H23" s="11" t="s">
        <v>911</v>
      </c>
      <c r="I23" s="11">
        <v>18</v>
      </c>
      <c r="J23" s="11" t="s">
        <v>984</v>
      </c>
      <c r="K23" s="11" t="s">
        <v>918</v>
      </c>
      <c r="L23" s="11" t="s">
        <v>918</v>
      </c>
      <c r="M23" s="11"/>
    </row>
    <row r="24" spans="2:13" s="1" customFormat="1" ht="13.05" customHeight="1" x14ac:dyDescent="0.25">
      <c r="B24" s="24">
        <v>17</v>
      </c>
      <c r="C24" s="11"/>
      <c r="D24" s="7" t="str">
        <f>IFERROR(VLOOKUP(C24,'Lista desplegable'!B$1:C$436,2,FALSE),"")</f>
        <v/>
      </c>
      <c r="E24" s="7" t="str">
        <f>IFERROR(VLOOKUP(D24,'Lista desplegable'!C$1:D$436,2,FALSE),"")</f>
        <v/>
      </c>
      <c r="F24" s="19"/>
      <c r="G24" s="11"/>
      <c r="H24" s="11"/>
      <c r="I24" s="11"/>
      <c r="J24" s="11"/>
      <c r="K24" s="11"/>
      <c r="L24" s="11"/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05" customHeight="1" x14ac:dyDescent="0.25">
      <c r="C38"/>
    </row>
    <row r="39" spans="2:13" ht="13.05" customHeight="1" x14ac:dyDescent="0.25">
      <c r="C39"/>
    </row>
    <row r="40" spans="2:13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3" ht="13.05" customHeight="1" x14ac:dyDescent="0.25">
      <c r="B42" s="24">
        <v>1</v>
      </c>
      <c r="C42" s="11" t="s">
        <v>528</v>
      </c>
      <c r="D42" s="7" t="str">
        <f>IFERROR(VLOOKUP(C42,'Lista desplegable'!B$1:C$436,2,FALSE),"")</f>
        <v>ARIEL ANDRES SILVA RIQUELME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>
        <v>18</v>
      </c>
      <c r="J42" s="11" t="s">
        <v>984</v>
      </c>
      <c r="K42" s="11" t="s">
        <v>918</v>
      </c>
      <c r="L42" s="11" t="s">
        <v>918</v>
      </c>
      <c r="M42" s="11" t="s">
        <v>1007</v>
      </c>
    </row>
    <row r="43" spans="2:13" ht="13.05" customHeight="1" x14ac:dyDescent="0.25">
      <c r="B43" s="24">
        <v>2</v>
      </c>
      <c r="C43" s="11" t="s">
        <v>514</v>
      </c>
      <c r="D43" s="7" t="str">
        <f>IFERROR(VLOOKUP(C43,'Lista desplegable'!B$1:C$436,2,FALSE),"")</f>
        <v>ALISSON AYLEEN VILLAGRA CABALLERO</v>
      </c>
      <c r="E43" s="7" t="str">
        <f>IFERROR(VLOOKUP(D43,'Lista desplegable'!C$1:D$436,2,FALSE),"")</f>
        <v>CHOFER</v>
      </c>
      <c r="F43" s="19" t="s">
        <v>890</v>
      </c>
      <c r="G43" s="11" t="s">
        <v>903</v>
      </c>
      <c r="H43" s="11" t="s">
        <v>911</v>
      </c>
      <c r="I43" s="11">
        <v>18</v>
      </c>
      <c r="J43" s="11" t="s">
        <v>984</v>
      </c>
      <c r="K43" s="11" t="s">
        <v>918</v>
      </c>
      <c r="L43" s="11" t="s">
        <v>918</v>
      </c>
      <c r="M43" s="11"/>
    </row>
    <row r="44" spans="2:13" ht="13.05" customHeight="1" x14ac:dyDescent="0.25">
      <c r="B44" s="24">
        <v>3</v>
      </c>
      <c r="C44" s="11" t="s">
        <v>731</v>
      </c>
      <c r="D44" s="7" t="str">
        <f>IFERROR(VLOOKUP(C44,'Lista desplegable'!B$1:C$436,2,FALSE),"")</f>
        <v>LUIS HUMBERTO PEÑA AHUMADA</v>
      </c>
      <c r="E44" s="7" t="str">
        <f>IFERROR(VLOOKUP(D44,'Lista desplegable'!C$1:D$436,2,FALSE),"")</f>
        <v>CHOFER</v>
      </c>
      <c r="F44" s="19" t="s">
        <v>890</v>
      </c>
      <c r="G44" s="11" t="s">
        <v>903</v>
      </c>
      <c r="H44" s="11" t="s">
        <v>911</v>
      </c>
      <c r="I44" s="11">
        <v>18</v>
      </c>
      <c r="J44" s="11" t="s">
        <v>984</v>
      </c>
      <c r="K44" s="11" t="s">
        <v>918</v>
      </c>
      <c r="L44" s="11" t="s">
        <v>918</v>
      </c>
      <c r="M44" s="11" t="s">
        <v>1007</v>
      </c>
    </row>
    <row r="45" spans="2:13" ht="13.05" customHeight="1" x14ac:dyDescent="0.25">
      <c r="B45" s="24">
        <v>4</v>
      </c>
      <c r="C45" s="11" t="s">
        <v>735</v>
      </c>
      <c r="D45" s="7" t="str">
        <f>IFERROR(VLOOKUP(C45,'Lista desplegable'!B$1:C$436,2,FALSE),"")</f>
        <v>MANUEL ALEJANDRO TILLERIA SAAVEDRA</v>
      </c>
      <c r="E45" s="7" t="str">
        <f>IFERROR(VLOOKUP(D45,'Lista desplegable'!C$1:D$436,2,FALSE),"")</f>
        <v>MECANICO</v>
      </c>
      <c r="F45" s="19" t="s">
        <v>890</v>
      </c>
      <c r="G45" s="11" t="s">
        <v>903</v>
      </c>
      <c r="H45" s="11" t="s">
        <v>911</v>
      </c>
      <c r="I45" s="11">
        <v>18</v>
      </c>
      <c r="J45" s="11" t="s">
        <v>984</v>
      </c>
      <c r="K45" s="11" t="s">
        <v>918</v>
      </c>
      <c r="L45" s="11" t="s">
        <v>918</v>
      </c>
      <c r="M45" s="11"/>
    </row>
    <row r="46" spans="2:13" ht="13.05" customHeight="1" x14ac:dyDescent="0.25">
      <c r="B46" s="24">
        <v>5</v>
      </c>
      <c r="C46" s="11" t="s">
        <v>867</v>
      </c>
      <c r="D46" s="7" t="str">
        <f>IFERROR(VLOOKUP(C46,'Lista desplegable'!B$1:C$436,2,FALSE),"")</f>
        <v>ULZIIBADRAKH BAYANMUNKH .</v>
      </c>
      <c r="E46" s="7" t="str">
        <f>IFERROR(VLOOKUP(D46,'Lista desplegable'!C$1:D$436,2,FALSE),"")</f>
        <v>PERFORISTA</v>
      </c>
      <c r="F46" s="19" t="s">
        <v>890</v>
      </c>
      <c r="G46" s="11" t="s">
        <v>903</v>
      </c>
      <c r="H46" s="11" t="s">
        <v>911</v>
      </c>
      <c r="I46" s="11">
        <v>18</v>
      </c>
      <c r="J46" s="11" t="s">
        <v>984</v>
      </c>
      <c r="K46" s="11"/>
      <c r="L46" s="11"/>
      <c r="M46" s="11"/>
    </row>
    <row r="47" spans="2:13" ht="13.05" customHeight="1" x14ac:dyDescent="0.25">
      <c r="B47" s="24">
        <v>6</v>
      </c>
      <c r="C47" s="11" t="s">
        <v>676</v>
      </c>
      <c r="D47" s="7" t="str">
        <f>IFERROR(VLOOKUP(C47,'Lista desplegable'!B$1:C$436,2,FALSE),"")</f>
        <v>JOHN BYRON VASQUEZ CARROZA</v>
      </c>
      <c r="E47" s="7" t="str">
        <f>IFERROR(VLOOKUP(D47,'Lista desplegable'!C$1:D$436,2,FALSE),"")</f>
        <v>AYUDANTE DE PERFORISTA</v>
      </c>
      <c r="F47" s="19" t="s">
        <v>890</v>
      </c>
      <c r="G47" s="11" t="s">
        <v>903</v>
      </c>
      <c r="H47" s="11" t="s">
        <v>911</v>
      </c>
      <c r="I47" s="11">
        <v>18</v>
      </c>
      <c r="J47" s="11" t="s">
        <v>984</v>
      </c>
      <c r="K47" s="11" t="s">
        <v>918</v>
      </c>
      <c r="L47" s="11" t="s">
        <v>918</v>
      </c>
      <c r="M47" s="11"/>
    </row>
    <row r="48" spans="2:13" ht="13.05" customHeight="1" x14ac:dyDescent="0.25">
      <c r="B48" s="24">
        <v>7</v>
      </c>
      <c r="C48" s="11" t="s">
        <v>758</v>
      </c>
      <c r="D48" s="7" t="str">
        <f>IFERROR(VLOOKUP(C48,'Lista desplegable'!B$1:C$436,2,FALSE),"")</f>
        <v>MAURICIO ANDRES OYARZUN SALAMANCA</v>
      </c>
      <c r="E48" s="7" t="str">
        <f>IFERROR(VLOOKUP(D48,'Lista desplegable'!C$1:D$436,2,FALSE),"")</f>
        <v>AYUDANTE DE PERFORISTA</v>
      </c>
      <c r="F48" s="19" t="s">
        <v>890</v>
      </c>
      <c r="G48" s="11" t="s">
        <v>903</v>
      </c>
      <c r="H48" s="11" t="s">
        <v>911</v>
      </c>
      <c r="I48" s="11">
        <v>18</v>
      </c>
      <c r="J48" s="11" t="s">
        <v>984</v>
      </c>
      <c r="K48" s="11" t="s">
        <v>918</v>
      </c>
      <c r="L48" s="11" t="s">
        <v>918</v>
      </c>
      <c r="M48" s="11"/>
    </row>
    <row r="49" spans="2:13" ht="13.05" customHeight="1" x14ac:dyDescent="0.25">
      <c r="B49" s="24">
        <v>8</v>
      </c>
      <c r="C49" s="11"/>
      <c r="D49" s="7" t="str">
        <f>IFERROR(VLOOKUP(C49,'Lista desplegable'!B$1:C$436,2,FALSE),"")</f>
        <v/>
      </c>
      <c r="E49" s="7" t="str">
        <f>IFERROR(VLOOKUP(D49,'Lista desplegable'!C$1:D$436,2,FALSE),"")</f>
        <v/>
      </c>
      <c r="F49" s="19"/>
      <c r="G49" s="11"/>
      <c r="H49" s="11"/>
      <c r="I49" s="11"/>
      <c r="J49" s="11"/>
      <c r="K49" s="11"/>
      <c r="L49" s="11"/>
      <c r="M49" s="11"/>
    </row>
    <row r="50" spans="2:13" ht="13.05" customHeight="1" x14ac:dyDescent="0.25">
      <c r="B50" s="24">
        <v>9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11"/>
      <c r="J50" s="11"/>
      <c r="K50" s="11"/>
      <c r="L50" s="11"/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2:I2"/>
    <mergeCell ref="G3:I3"/>
    <mergeCell ref="C6:M6"/>
    <mergeCell ref="C40:M40"/>
  </mergeCell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CE91A4E-4244-4E5E-9929-EF35BBEB8B2F}">
          <x14:formula1>
            <xm:f>'Lista desplegable'!$N$2:$N$5</xm:f>
          </x14:formula1>
          <xm:sqref>J8:J37 J42:J71</xm:sqref>
        </x14:dataValidation>
        <x14:dataValidation type="list" allowBlank="1" showInputMessage="1" showErrorMessage="1" xr:uid="{389E5E3B-FDE1-4E37-8842-CC3ACB5C3981}">
          <x14:formula1>
            <xm:f>'Lista desplegable'!$B$2:$B$436</xm:f>
          </x14:formula1>
          <xm:sqref>C8:C37 C42:C71</xm:sqref>
        </x14:dataValidation>
        <x14:dataValidation type="list" allowBlank="1" showInputMessage="1" showErrorMessage="1" xr:uid="{E23C7326-B76F-4071-80B1-24576E885152}">
          <x14:formula1>
            <xm:f>'Lista desplegable'!$F$2:$F$19</xm:f>
          </x14:formula1>
          <xm:sqref>F8:F37 F42:F71</xm:sqref>
        </x14:dataValidation>
        <x14:dataValidation type="list" allowBlank="1" showInputMessage="1" showErrorMessage="1" xr:uid="{F4236AD3-C09E-4D49-99F3-412F480AD429}">
          <x14:formula1>
            <xm:f>'Lista desplegable'!$J$2:$J$10</xm:f>
          </x14:formula1>
          <xm:sqref>H8:H37 H42:H71</xm:sqref>
        </x14:dataValidation>
        <x14:dataValidation type="list" allowBlank="1" showInputMessage="1" showErrorMessage="1" xr:uid="{89BA386D-C43E-4B8B-81EE-8C033012935B}">
          <x14:formula1>
            <xm:f>'Lista desplegable'!$H$2:$H$7</xm:f>
          </x14:formula1>
          <xm:sqref>G8:G37 G42:G71</xm:sqref>
        </x14:dataValidation>
        <x14:dataValidation type="list" allowBlank="1" showInputMessage="1" showErrorMessage="1" xr:uid="{7FE693E6-6D0C-4516-8BA8-AF9B59C4616A}">
          <x14:formula1>
            <xm:f>'Lista desplegable'!$L$2:$L$3</xm:f>
          </x14:formula1>
          <xm:sqref>K8:L37 K42:L71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40039-67B8-4E6C-8C4E-8CC713446400}">
  <dimension ref="B1:M93"/>
  <sheetViews>
    <sheetView topLeftCell="A25" zoomScale="80" zoomScaleNormal="80" workbookViewId="0">
      <selection activeCell="M8" sqref="M8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0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21.77734375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46278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11" t="s">
        <v>572</v>
      </c>
      <c r="D8" s="7" t="str">
        <f>IFERROR(VLOOKUP(C8,'Lista desplegable'!B$1:C$436,2,FALSE),"")</f>
        <v>CRISTIAN ROGELIO PASTEN VERGARA</v>
      </c>
      <c r="E8" s="7" t="str">
        <f>IFERROR(VLOOKUP(D8,'Lista desplegable'!C$1:D$436,2,FALSE),"")</f>
        <v>JEFE DE FAENA</v>
      </c>
      <c r="F8" s="19" t="s">
        <v>890</v>
      </c>
      <c r="G8" s="11" t="s">
        <v>903</v>
      </c>
      <c r="H8" s="11" t="s">
        <v>911</v>
      </c>
      <c r="I8" s="11">
        <v>9.1999999999999993</v>
      </c>
      <c r="J8" s="11" t="s">
        <v>984</v>
      </c>
      <c r="K8" s="11" t="s">
        <v>918</v>
      </c>
      <c r="L8" s="11" t="s">
        <v>918</v>
      </c>
      <c r="M8" s="11"/>
    </row>
    <row r="9" spans="2:13" s="1" customFormat="1" ht="13.05" customHeight="1" x14ac:dyDescent="0.25">
      <c r="B9" s="24">
        <v>2</v>
      </c>
      <c r="C9" s="10" t="s">
        <v>590</v>
      </c>
      <c r="D9" s="7" t="str">
        <f>IFERROR(VLOOKUP(C9,'Lista desplegable'!B$1:C$436,2,FALSE),"")</f>
        <v>DAYNE JEFFERY PASSMORE .</v>
      </c>
      <c r="E9" s="7" t="str">
        <f>IFERROR(VLOOKUP(D9,'Lista desplegable'!C$1:D$436,2,FALSE),"")</f>
        <v>ADMINISTRADOR DE CONTRATO</v>
      </c>
      <c r="F9" s="19" t="s">
        <v>890</v>
      </c>
      <c r="G9" s="11" t="s">
        <v>903</v>
      </c>
      <c r="H9" s="11" t="s">
        <v>911</v>
      </c>
      <c r="I9" s="11">
        <v>9.1999999999999993</v>
      </c>
      <c r="J9" s="11" t="s">
        <v>984</v>
      </c>
      <c r="K9" s="11"/>
      <c r="L9" s="11"/>
      <c r="M9" s="11"/>
    </row>
    <row r="10" spans="2:13" s="1" customFormat="1" ht="13.05" customHeight="1" x14ac:dyDescent="0.25">
      <c r="B10" s="24">
        <v>3</v>
      </c>
      <c r="C10" s="11" t="s">
        <v>950</v>
      </c>
      <c r="D10" s="7" t="str">
        <f>IFERROR(VLOOKUP(C10,'Lista desplegable'!B$1:C$436,2,FALSE),"")</f>
        <v>LEONIDAS LUIS ARCE OLIVARES</v>
      </c>
      <c r="E10" s="7" t="str">
        <f>IFERROR(VLOOKUP(D10,'Lista desplegable'!C$1:D$436,2,FALSE),"")</f>
        <v>SUPERVISOR DE OPERACIONES</v>
      </c>
      <c r="F10" s="19" t="s">
        <v>890</v>
      </c>
      <c r="G10" s="11" t="s">
        <v>903</v>
      </c>
      <c r="H10" s="11" t="s">
        <v>911</v>
      </c>
      <c r="I10" s="11">
        <v>9.1999999999999993</v>
      </c>
      <c r="J10" s="11" t="s">
        <v>984</v>
      </c>
      <c r="K10" s="11" t="s">
        <v>918</v>
      </c>
      <c r="L10" s="11" t="s">
        <v>918</v>
      </c>
      <c r="M10" s="11"/>
    </row>
    <row r="11" spans="2:13" s="1" customFormat="1" ht="13.05" customHeight="1" x14ac:dyDescent="0.25">
      <c r="B11" s="24">
        <v>4</v>
      </c>
      <c r="C11" s="11" t="s">
        <v>675</v>
      </c>
      <c r="D11" s="7" t="str">
        <f>IFERROR(VLOOKUP(C11,'Lista desplegable'!B$1:C$436,2,FALSE),"")</f>
        <v>JOHN ALEXIS BRICEÑO HONORES</v>
      </c>
      <c r="E11" s="7" t="str">
        <f>IFERROR(VLOOKUP(D11,'Lista desplegable'!C$1:D$436,2,FALSE),"")</f>
        <v>PREVENCIONISTA DE RIESGOS</v>
      </c>
      <c r="F11" s="19" t="s">
        <v>890</v>
      </c>
      <c r="G11" s="11" t="s">
        <v>903</v>
      </c>
      <c r="H11" s="11" t="s">
        <v>911</v>
      </c>
      <c r="I11" s="11">
        <v>9.1999999999999993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11" t="s">
        <v>810</v>
      </c>
      <c r="D12" s="7" t="str">
        <f>IFERROR(VLOOKUP(C12,'Lista desplegable'!B$1:C$436,2,FALSE),"")</f>
        <v>RENE ALFREDO RIOS MALDONADO</v>
      </c>
      <c r="E12" s="7" t="str">
        <f>IFERROR(VLOOKUP(D12,'Lista desplegable'!C$1:D$436,2,FALSE),"")</f>
        <v>ADMINISTRATIVO DE FAENA</v>
      </c>
      <c r="F12" s="19" t="s">
        <v>890</v>
      </c>
      <c r="G12" s="11" t="s">
        <v>903</v>
      </c>
      <c r="H12" s="11" t="s">
        <v>911</v>
      </c>
      <c r="I12" s="11">
        <v>9.1999999999999993</v>
      </c>
      <c r="J12" s="11" t="s">
        <v>984</v>
      </c>
      <c r="K12" s="11" t="s">
        <v>918</v>
      </c>
      <c r="L12" s="11" t="s">
        <v>918</v>
      </c>
      <c r="M12" s="11"/>
    </row>
    <row r="13" spans="2:13" s="1" customFormat="1" ht="13.05" customHeight="1" x14ac:dyDescent="0.25">
      <c r="B13" s="24">
        <v>6</v>
      </c>
      <c r="C13" s="11" t="s">
        <v>625</v>
      </c>
      <c r="D13" s="7" t="str">
        <f>IFERROR(VLOOKUP(C13,'Lista desplegable'!B$1:C$436,2,FALSE),"")</f>
        <v>FELIPE IVAN LUIS ZAMBRA GONZALEZ</v>
      </c>
      <c r="E13" s="7" t="str">
        <f>IFERROR(VLOOKUP(D13,'Lista desplegable'!C$1:D$436,2,FALSE),"")</f>
        <v>BODEGUERO</v>
      </c>
      <c r="F13" s="19" t="s">
        <v>890</v>
      </c>
      <c r="G13" s="11" t="s">
        <v>903</v>
      </c>
      <c r="H13" s="11" t="s">
        <v>911</v>
      </c>
      <c r="I13" s="11">
        <v>9.1999999999999993</v>
      </c>
      <c r="J13" s="11" t="s">
        <v>984</v>
      </c>
      <c r="K13" s="11" t="s">
        <v>918</v>
      </c>
      <c r="L13" s="11" t="s">
        <v>918</v>
      </c>
      <c r="M13" s="11"/>
    </row>
    <row r="14" spans="2:13" s="1" customFormat="1" ht="13.05" customHeight="1" x14ac:dyDescent="0.25">
      <c r="B14" s="24">
        <v>7</v>
      </c>
      <c r="C14" s="11" t="s">
        <v>695</v>
      </c>
      <c r="D14" s="7" t="str">
        <f>IFERROR(VLOOKUP(C14,'Lista desplegable'!B$1:C$436,2,FALSE),"")</f>
        <v>JOSÉ LEONARDO RODRIGUEZ ROBLES</v>
      </c>
      <c r="E14" s="7" t="str">
        <f>IFERROR(VLOOKUP(D14,'Lista desplegable'!C$1:D$436,2,FALSE),"")</f>
        <v>CHOFER</v>
      </c>
      <c r="F14" s="19" t="s">
        <v>890</v>
      </c>
      <c r="G14" s="11" t="s">
        <v>903</v>
      </c>
      <c r="H14" s="11" t="s">
        <v>911</v>
      </c>
      <c r="I14" s="11">
        <v>9.1999999999999993</v>
      </c>
      <c r="J14" s="11" t="s">
        <v>984</v>
      </c>
      <c r="K14" s="11" t="s">
        <v>918</v>
      </c>
      <c r="L14" s="11" t="s">
        <v>918</v>
      </c>
      <c r="M14" s="11"/>
    </row>
    <row r="15" spans="2:13" s="1" customFormat="1" ht="13.05" customHeight="1" x14ac:dyDescent="0.25">
      <c r="B15" s="24">
        <v>8</v>
      </c>
      <c r="C15" s="11" t="s">
        <v>602</v>
      </c>
      <c r="D15" s="7" t="str">
        <f>IFERROR(VLOOKUP(C15,'Lista desplegable'!B$1:C$436,2,FALSE),"")</f>
        <v>ELIAS NICOLAS CORTEZ CORTEZ</v>
      </c>
      <c r="E15" s="7" t="str">
        <f>IFERROR(VLOOKUP(D15,'Lista desplegable'!C$1:D$436,2,FALSE),"")</f>
        <v>CHOFER</v>
      </c>
      <c r="F15" s="19" t="s">
        <v>890</v>
      </c>
      <c r="G15" s="11" t="s">
        <v>903</v>
      </c>
      <c r="H15" s="11" t="s">
        <v>911</v>
      </c>
      <c r="I15" s="11">
        <v>9.1999999999999993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11" t="s">
        <v>790</v>
      </c>
      <c r="D16" s="7" t="str">
        <f>IFERROR(VLOOKUP(C16,'Lista desplegable'!B$1:C$436,2,FALSE),"")</f>
        <v>PABLO LUCAS POBLETE KUHNE</v>
      </c>
      <c r="E16" s="7" t="str">
        <f>IFERROR(VLOOKUP(D16,'Lista desplegable'!C$1:D$436,2,FALSE),"")</f>
        <v>CHOFER</v>
      </c>
      <c r="F16" s="19" t="s">
        <v>890</v>
      </c>
      <c r="G16" s="11" t="s">
        <v>903</v>
      </c>
      <c r="H16" s="11" t="s">
        <v>911</v>
      </c>
      <c r="I16" s="11">
        <v>9.1999999999999993</v>
      </c>
      <c r="J16" s="11" t="s">
        <v>984</v>
      </c>
      <c r="K16" s="11" t="s">
        <v>918</v>
      </c>
      <c r="L16" s="11" t="s">
        <v>918</v>
      </c>
      <c r="M16" s="11"/>
    </row>
    <row r="17" spans="2:13" s="1" customFormat="1" ht="13.05" customHeight="1" x14ac:dyDescent="0.25">
      <c r="B17" s="24">
        <v>10</v>
      </c>
      <c r="C17" s="11" t="s">
        <v>690</v>
      </c>
      <c r="D17" s="7" t="str">
        <f>IFERROR(VLOOKUP(C17,'Lista desplegable'!B$1:C$436,2,FALSE),"")</f>
        <v>JORGE ESTEBAN SAAVEDRA MENA</v>
      </c>
      <c r="E17" s="7" t="str">
        <f>IFERROR(VLOOKUP(D17,'Lista desplegable'!C$1:D$436,2,FALSE),"")</f>
        <v>CHOFER</v>
      </c>
      <c r="F17" s="19" t="s">
        <v>890</v>
      </c>
      <c r="G17" s="11" t="s">
        <v>903</v>
      </c>
      <c r="H17" s="11" t="s">
        <v>911</v>
      </c>
      <c r="I17" s="11">
        <v>9.1999999999999993</v>
      </c>
      <c r="J17" s="11" t="s">
        <v>984</v>
      </c>
      <c r="K17" s="11" t="s">
        <v>918</v>
      </c>
      <c r="L17" s="11" t="s">
        <v>918</v>
      </c>
      <c r="M17" s="11"/>
    </row>
    <row r="18" spans="2:13" s="1" customFormat="1" ht="13.05" customHeight="1" x14ac:dyDescent="0.25">
      <c r="B18" s="24">
        <v>11</v>
      </c>
      <c r="C18" s="11" t="s">
        <v>508</v>
      </c>
      <c r="D18" s="7" t="str">
        <f>IFERROR(VLOOKUP(C18,'Lista desplegable'!B$1:C$436,2,FALSE),"")</f>
        <v>ALEJANDRO ALBERTO CAMPILLAY RUIZ</v>
      </c>
      <c r="E18" s="7" t="str">
        <f>IFERROR(VLOOKUP(D18,'Lista desplegable'!C$1:D$436,2,FALSE),"")</f>
        <v>MECANICO</v>
      </c>
      <c r="F18" s="19" t="s">
        <v>890</v>
      </c>
      <c r="G18" s="11" t="s">
        <v>903</v>
      </c>
      <c r="H18" s="11" t="s">
        <v>911</v>
      </c>
      <c r="I18" s="11">
        <v>9.1999999999999993</v>
      </c>
      <c r="J18" s="11" t="s">
        <v>984</v>
      </c>
      <c r="K18" s="11" t="s">
        <v>918</v>
      </c>
      <c r="L18" s="11" t="s">
        <v>918</v>
      </c>
      <c r="M18" s="11"/>
    </row>
    <row r="19" spans="2:13" s="1" customFormat="1" ht="13.05" customHeight="1" x14ac:dyDescent="0.25">
      <c r="B19" s="24">
        <v>12</v>
      </c>
      <c r="C19" s="10" t="s">
        <v>878</v>
      </c>
      <c r="D19" s="7" t="str">
        <f>IFERROR(VLOOKUP(C19,'Lista desplegable'!B$1:C$436,2,FALSE),"")</f>
        <v>WALDO RAFAEL CASTRO PASTENE</v>
      </c>
      <c r="E19" s="7" t="str">
        <f>IFERROR(VLOOKUP(D19,'Lista desplegable'!C$1:D$436,2,FALSE),"")</f>
        <v>SOLDADOR</v>
      </c>
      <c r="F19" s="19" t="s">
        <v>890</v>
      </c>
      <c r="G19" s="11" t="s">
        <v>903</v>
      </c>
      <c r="H19" s="11" t="s">
        <v>911</v>
      </c>
      <c r="I19" s="11">
        <v>9.1999999999999993</v>
      </c>
      <c r="J19" s="11" t="s">
        <v>984</v>
      </c>
      <c r="K19" s="11" t="s">
        <v>918</v>
      </c>
      <c r="L19" s="11" t="s">
        <v>918</v>
      </c>
      <c r="M19" s="11"/>
    </row>
    <row r="20" spans="2:13" s="1" customFormat="1" ht="13.05" customHeight="1" x14ac:dyDescent="0.25">
      <c r="B20" s="24">
        <v>13</v>
      </c>
      <c r="C20" s="11" t="s">
        <v>607</v>
      </c>
      <c r="D20" s="7" t="str">
        <f>IFERROR(VLOOKUP(C20,'Lista desplegable'!B$1:C$436,2,FALSE),"")</f>
        <v>ENKHZAYA GANBAATAR .</v>
      </c>
      <c r="E20" s="7" t="str">
        <f>IFERROR(VLOOKUP(D20,'Lista desplegable'!C$1:D$436,2,FALSE),"")</f>
        <v>PERFORISTA</v>
      </c>
      <c r="F20" s="19" t="s">
        <v>890</v>
      </c>
      <c r="G20" s="11" t="s">
        <v>903</v>
      </c>
      <c r="H20" s="11" t="s">
        <v>911</v>
      </c>
      <c r="I20" s="11">
        <v>9.1999999999999993</v>
      </c>
      <c r="J20" s="11" t="s">
        <v>984</v>
      </c>
      <c r="K20" s="11"/>
      <c r="L20" s="11"/>
      <c r="M20" s="11"/>
    </row>
    <row r="21" spans="2:13" s="1" customFormat="1" ht="13.05" customHeight="1" x14ac:dyDescent="0.25">
      <c r="B21" s="24">
        <v>14</v>
      </c>
      <c r="C21" s="11" t="s">
        <v>20</v>
      </c>
      <c r="D21" s="7" t="str">
        <f>IFERROR(VLOOKUP(C21,'Lista desplegable'!B$1:C$436,2,FALSE),"")</f>
        <v>CARLOS ALBERTO PIZARRO PIZARRO</v>
      </c>
      <c r="E21" s="7" t="str">
        <f>IFERROR(VLOOKUP(D21,'Lista desplegable'!C$1:D$436,2,FALSE),"")</f>
        <v>AYUDANTE DE PERFORISTA</v>
      </c>
      <c r="F21" s="19" t="s">
        <v>890</v>
      </c>
      <c r="G21" s="11" t="s">
        <v>903</v>
      </c>
      <c r="H21" s="11" t="s">
        <v>911</v>
      </c>
      <c r="I21" s="11">
        <v>9.1999999999999993</v>
      </c>
      <c r="J21" s="11" t="s">
        <v>984</v>
      </c>
      <c r="K21" s="11" t="s">
        <v>918</v>
      </c>
      <c r="L21" s="11" t="s">
        <v>918</v>
      </c>
      <c r="M21" s="11"/>
    </row>
    <row r="22" spans="2:13" s="1" customFormat="1" ht="13.05" customHeight="1" x14ac:dyDescent="0.25">
      <c r="B22" s="24">
        <v>15</v>
      </c>
      <c r="C22" s="11" t="s">
        <v>624</v>
      </c>
      <c r="D22" s="7" t="str">
        <f>IFERROR(VLOOKUP(C22,'Lista desplegable'!B$1:C$436,2,FALSE),"")</f>
        <v>FELIPE DAVID SAAVEDRA CAMPOS</v>
      </c>
      <c r="E22" s="7" t="str">
        <f>IFERROR(VLOOKUP(D22,'Lista desplegable'!C$1:D$436,2,FALSE),"")</f>
        <v>AYUDANTE DE PERFORISTA</v>
      </c>
      <c r="F22" s="19" t="s">
        <v>890</v>
      </c>
      <c r="G22" s="11" t="s">
        <v>903</v>
      </c>
      <c r="H22" s="11" t="s">
        <v>911</v>
      </c>
      <c r="I22" s="11">
        <v>9.1999999999999993</v>
      </c>
      <c r="J22" s="11" t="s">
        <v>984</v>
      </c>
      <c r="K22" s="11" t="s">
        <v>918</v>
      </c>
      <c r="L22" s="11" t="s">
        <v>918</v>
      </c>
      <c r="M22" s="11"/>
    </row>
    <row r="23" spans="2:13" s="1" customFormat="1" ht="13.05" customHeight="1" x14ac:dyDescent="0.25">
      <c r="B23" s="24">
        <v>16</v>
      </c>
      <c r="C23" s="11" t="s">
        <v>870</v>
      </c>
      <c r="D23" s="7" t="str">
        <f>IFERROR(VLOOKUP(C23,'Lista desplegable'!B$1:C$436,2,FALSE),"")</f>
        <v>VICENTE ANDRES LOPEZ MARTINEZ</v>
      </c>
      <c r="E23" s="7" t="str">
        <f>IFERROR(VLOOKUP(D23,'Lista desplegable'!C$1:D$436,2,FALSE),"")</f>
        <v>AYUDANTE DE PERFORISTA</v>
      </c>
      <c r="F23" s="19" t="s">
        <v>890</v>
      </c>
      <c r="G23" s="11" t="s">
        <v>903</v>
      </c>
      <c r="H23" s="11" t="s">
        <v>911</v>
      </c>
      <c r="I23" s="11">
        <v>9.1999999999999993</v>
      </c>
      <c r="J23" s="11" t="s">
        <v>984</v>
      </c>
      <c r="K23" s="11" t="s">
        <v>918</v>
      </c>
      <c r="L23" s="11" t="s">
        <v>918</v>
      </c>
      <c r="M23" s="11"/>
    </row>
    <row r="24" spans="2:13" s="1" customFormat="1" ht="13.05" customHeight="1" x14ac:dyDescent="0.25">
      <c r="B24" s="24">
        <v>17</v>
      </c>
      <c r="C24" s="11"/>
      <c r="D24" s="7" t="str">
        <f>IFERROR(VLOOKUP(C24,'Lista desplegable'!B$1:C$436,2,FALSE),"")</f>
        <v/>
      </c>
      <c r="E24" s="7" t="str">
        <f>IFERROR(VLOOKUP(D24,'Lista desplegable'!C$1:D$436,2,FALSE),"")</f>
        <v/>
      </c>
      <c r="F24" s="19"/>
      <c r="G24" s="11"/>
      <c r="H24" s="11"/>
      <c r="I24" s="11"/>
      <c r="J24" s="11"/>
      <c r="K24" s="11"/>
      <c r="L24" s="11"/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05" customHeight="1" x14ac:dyDescent="0.25">
      <c r="C38"/>
    </row>
    <row r="39" spans="2:13" ht="13.05" customHeight="1" x14ac:dyDescent="0.25">
      <c r="C39"/>
    </row>
    <row r="40" spans="2:13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3" ht="13.05" customHeight="1" x14ac:dyDescent="0.25">
      <c r="B42" s="24">
        <v>1</v>
      </c>
      <c r="C42" s="11" t="s">
        <v>528</v>
      </c>
      <c r="D42" s="7" t="str">
        <f>IFERROR(VLOOKUP(C42,'Lista desplegable'!B$1:C$436,2,FALSE),"")</f>
        <v>ARIEL ANDRES SILVA RIQUELME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>
        <v>5.8</v>
      </c>
      <c r="J42" s="11" t="s">
        <v>984</v>
      </c>
      <c r="K42" s="11" t="s">
        <v>918</v>
      </c>
      <c r="L42" s="11" t="s">
        <v>918</v>
      </c>
      <c r="M42" s="11" t="s">
        <v>1007</v>
      </c>
    </row>
    <row r="43" spans="2:13" ht="13.05" customHeight="1" x14ac:dyDescent="0.25">
      <c r="B43" s="24">
        <v>2</v>
      </c>
      <c r="C43" s="11" t="s">
        <v>514</v>
      </c>
      <c r="D43" s="7" t="str">
        <f>IFERROR(VLOOKUP(C43,'Lista desplegable'!B$1:C$436,2,FALSE),"")</f>
        <v>ALISSON AYLEEN VILLAGRA CABALLERO</v>
      </c>
      <c r="E43" s="7" t="str">
        <f>IFERROR(VLOOKUP(D43,'Lista desplegable'!C$1:D$436,2,FALSE),"")</f>
        <v>CHOFER</v>
      </c>
      <c r="F43" s="19" t="s">
        <v>890</v>
      </c>
      <c r="G43" s="11" t="s">
        <v>903</v>
      </c>
      <c r="H43" s="11" t="s">
        <v>911</v>
      </c>
      <c r="I43" s="11">
        <v>5.8</v>
      </c>
      <c r="J43" s="11" t="s">
        <v>984</v>
      </c>
      <c r="K43" s="11" t="s">
        <v>918</v>
      </c>
      <c r="L43" s="11" t="s">
        <v>918</v>
      </c>
      <c r="M43" s="11"/>
    </row>
    <row r="44" spans="2:13" ht="13.05" customHeight="1" x14ac:dyDescent="0.25">
      <c r="B44" s="24">
        <v>3</v>
      </c>
      <c r="C44" s="11" t="s">
        <v>731</v>
      </c>
      <c r="D44" s="7" t="str">
        <f>IFERROR(VLOOKUP(C44,'Lista desplegable'!B$1:C$436,2,FALSE),"")</f>
        <v>LUIS HUMBERTO PEÑA AHUMADA</v>
      </c>
      <c r="E44" s="7" t="str">
        <f>IFERROR(VLOOKUP(D44,'Lista desplegable'!C$1:D$436,2,FALSE),"")</f>
        <v>CHOFER</v>
      </c>
      <c r="F44" s="19" t="s">
        <v>890</v>
      </c>
      <c r="G44" s="11" t="s">
        <v>903</v>
      </c>
      <c r="H44" s="11" t="s">
        <v>911</v>
      </c>
      <c r="I44" s="11">
        <v>5.8</v>
      </c>
      <c r="J44" s="11" t="s">
        <v>984</v>
      </c>
      <c r="K44" s="11" t="s">
        <v>918</v>
      </c>
      <c r="L44" s="11" t="s">
        <v>918</v>
      </c>
      <c r="M44" s="11" t="s">
        <v>1007</v>
      </c>
    </row>
    <row r="45" spans="2:13" ht="13.05" customHeight="1" x14ac:dyDescent="0.25">
      <c r="B45" s="24">
        <v>4</v>
      </c>
      <c r="C45" s="11" t="s">
        <v>735</v>
      </c>
      <c r="D45" s="7" t="str">
        <f>IFERROR(VLOOKUP(C45,'Lista desplegable'!B$1:C$436,2,FALSE),"")</f>
        <v>MANUEL ALEJANDRO TILLERIA SAAVEDRA</v>
      </c>
      <c r="E45" s="7" t="str">
        <f>IFERROR(VLOOKUP(D45,'Lista desplegable'!C$1:D$436,2,FALSE),"")</f>
        <v>MECANICO</v>
      </c>
      <c r="F45" s="19" t="s">
        <v>890</v>
      </c>
      <c r="G45" s="11" t="s">
        <v>903</v>
      </c>
      <c r="H45" s="11" t="s">
        <v>911</v>
      </c>
      <c r="I45" s="11">
        <v>5.8</v>
      </c>
      <c r="J45" s="11" t="s">
        <v>984</v>
      </c>
      <c r="K45" s="11" t="s">
        <v>918</v>
      </c>
      <c r="L45" s="11" t="s">
        <v>918</v>
      </c>
      <c r="M45" s="11"/>
    </row>
    <row r="46" spans="2:13" ht="13.05" customHeight="1" x14ac:dyDescent="0.25">
      <c r="B46" s="24">
        <v>5</v>
      </c>
      <c r="C46" s="11" t="s">
        <v>867</v>
      </c>
      <c r="D46" s="7" t="str">
        <f>IFERROR(VLOOKUP(C46,'Lista desplegable'!B$1:C$436,2,FALSE),"")</f>
        <v>ULZIIBADRAKH BAYANMUNKH .</v>
      </c>
      <c r="E46" s="7" t="str">
        <f>IFERROR(VLOOKUP(D46,'Lista desplegable'!C$1:D$436,2,FALSE),"")</f>
        <v>PERFORISTA</v>
      </c>
      <c r="F46" s="19" t="s">
        <v>890</v>
      </c>
      <c r="G46" s="11" t="s">
        <v>903</v>
      </c>
      <c r="H46" s="11" t="s">
        <v>911</v>
      </c>
      <c r="I46" s="11">
        <v>5.8</v>
      </c>
      <c r="J46" s="11" t="s">
        <v>984</v>
      </c>
      <c r="K46" s="11"/>
      <c r="L46" s="11"/>
      <c r="M46" s="11"/>
    </row>
    <row r="47" spans="2:13" ht="13.05" customHeight="1" x14ac:dyDescent="0.25">
      <c r="B47" s="24">
        <v>6</v>
      </c>
      <c r="C47" s="11" t="s">
        <v>676</v>
      </c>
      <c r="D47" s="7" t="str">
        <f>IFERROR(VLOOKUP(C47,'Lista desplegable'!B$1:C$436,2,FALSE),"")</f>
        <v>JOHN BYRON VASQUEZ CARROZA</v>
      </c>
      <c r="E47" s="7" t="str">
        <f>IFERROR(VLOOKUP(D47,'Lista desplegable'!C$1:D$436,2,FALSE),"")</f>
        <v>AYUDANTE DE PERFORISTA</v>
      </c>
      <c r="F47" s="19" t="s">
        <v>890</v>
      </c>
      <c r="G47" s="11" t="s">
        <v>903</v>
      </c>
      <c r="H47" s="11" t="s">
        <v>911</v>
      </c>
      <c r="I47" s="11">
        <v>5.8</v>
      </c>
      <c r="J47" s="11" t="s">
        <v>984</v>
      </c>
      <c r="K47" s="11" t="s">
        <v>918</v>
      </c>
      <c r="L47" s="11" t="s">
        <v>918</v>
      </c>
      <c r="M47" s="11"/>
    </row>
    <row r="48" spans="2:13" ht="13.05" customHeight="1" x14ac:dyDescent="0.25">
      <c r="B48" s="24">
        <v>7</v>
      </c>
      <c r="C48" s="11" t="s">
        <v>758</v>
      </c>
      <c r="D48" s="7" t="str">
        <f>IFERROR(VLOOKUP(C48,'Lista desplegable'!B$1:C$436,2,FALSE),"")</f>
        <v>MAURICIO ANDRES OYARZUN SALAMANCA</v>
      </c>
      <c r="E48" s="7" t="str">
        <f>IFERROR(VLOOKUP(D48,'Lista desplegable'!C$1:D$436,2,FALSE),"")</f>
        <v>AYUDANTE DE PERFORISTA</v>
      </c>
      <c r="F48" s="19" t="s">
        <v>890</v>
      </c>
      <c r="G48" s="11" t="s">
        <v>903</v>
      </c>
      <c r="H48" s="11" t="s">
        <v>911</v>
      </c>
      <c r="I48" s="11">
        <v>5.8</v>
      </c>
      <c r="J48" s="11" t="s">
        <v>984</v>
      </c>
      <c r="K48" s="11" t="s">
        <v>918</v>
      </c>
      <c r="L48" s="11" t="s">
        <v>918</v>
      </c>
      <c r="M48" s="11"/>
    </row>
    <row r="49" spans="2:13" ht="13.05" customHeight="1" x14ac:dyDescent="0.25">
      <c r="B49" s="24">
        <v>8</v>
      </c>
      <c r="C49" s="11"/>
      <c r="D49" s="7" t="str">
        <f>IFERROR(VLOOKUP(C49,'Lista desplegable'!B$1:C$436,2,FALSE),"")</f>
        <v/>
      </c>
      <c r="E49" s="7" t="str">
        <f>IFERROR(VLOOKUP(D49,'Lista desplegable'!C$1:D$436,2,FALSE),"")</f>
        <v/>
      </c>
      <c r="F49" s="19"/>
      <c r="G49" s="11"/>
      <c r="H49" s="11"/>
      <c r="I49" s="11"/>
      <c r="J49" s="11"/>
      <c r="K49" s="11"/>
      <c r="L49" s="11"/>
      <c r="M49" s="11"/>
    </row>
    <row r="50" spans="2:13" ht="13.05" customHeight="1" x14ac:dyDescent="0.25">
      <c r="B50" s="24">
        <v>9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11"/>
      <c r="J50" s="11"/>
      <c r="K50" s="11"/>
      <c r="L50" s="11"/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2:I2"/>
    <mergeCell ref="G3:I3"/>
    <mergeCell ref="C6:M6"/>
    <mergeCell ref="C40:M40"/>
  </mergeCell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EB1E1C7-8214-48C1-8B08-D6DFBD78E352}">
          <x14:formula1>
            <xm:f>'Lista desplegable'!$L$2:$L$3</xm:f>
          </x14:formula1>
          <xm:sqref>K8:L37 K42:L71</xm:sqref>
        </x14:dataValidation>
        <x14:dataValidation type="list" allowBlank="1" showInputMessage="1" showErrorMessage="1" xr:uid="{FEBE2C76-C0FA-4B8E-9CC3-FA0F88217FE8}">
          <x14:formula1>
            <xm:f>'Lista desplegable'!$H$2:$H$7</xm:f>
          </x14:formula1>
          <xm:sqref>G8:G37 G42:G71</xm:sqref>
        </x14:dataValidation>
        <x14:dataValidation type="list" allowBlank="1" showInputMessage="1" showErrorMessage="1" xr:uid="{790F0FD0-B7E5-4964-9545-2F1AE1BD8AEF}">
          <x14:formula1>
            <xm:f>'Lista desplegable'!$J$2:$J$10</xm:f>
          </x14:formula1>
          <xm:sqref>H8:H37 H42:H71</xm:sqref>
        </x14:dataValidation>
        <x14:dataValidation type="list" allowBlank="1" showInputMessage="1" showErrorMessage="1" xr:uid="{06FF0F1F-9C43-4E07-8D5C-435A6C96D93B}">
          <x14:formula1>
            <xm:f>'Lista desplegable'!$F$2:$F$19</xm:f>
          </x14:formula1>
          <xm:sqref>F8:F37 F42:F71</xm:sqref>
        </x14:dataValidation>
        <x14:dataValidation type="list" allowBlank="1" showInputMessage="1" showErrorMessage="1" xr:uid="{812192F2-673A-43D8-ABB1-2A4267766665}">
          <x14:formula1>
            <xm:f>'Lista desplegable'!$B$2:$B$436</xm:f>
          </x14:formula1>
          <xm:sqref>C8:C37 C42:C71</xm:sqref>
        </x14:dataValidation>
        <x14:dataValidation type="list" allowBlank="1" showInputMessage="1" showErrorMessage="1" xr:uid="{C6EC349B-929D-4534-B7A7-89D9648D9194}">
          <x14:formula1>
            <xm:f>'Lista desplegable'!$N$2:$N$5</xm:f>
          </x14:formula1>
          <xm:sqref>J8:J37 J42:J71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35BE2-EF65-446F-8E9F-A6495B8F5252}">
  <dimension ref="B1:N93"/>
  <sheetViews>
    <sheetView topLeftCell="A16" zoomScale="80" zoomScaleNormal="80" workbookViewId="0">
      <selection activeCell="M16" sqref="M16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0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30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46279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11" t="s">
        <v>572</v>
      </c>
      <c r="D8" s="7" t="str">
        <f>IFERROR(VLOOKUP(C8,'Lista desplegable'!B$1:C$436,2,FALSE),"")</f>
        <v>CRISTIAN ROGELIO PASTEN VERGARA</v>
      </c>
      <c r="E8" s="7" t="str">
        <f>IFERROR(VLOOKUP(D8,'Lista desplegable'!C$1:D$436,2,FALSE),"")</f>
        <v>JEFE DE FAENA</v>
      </c>
      <c r="F8" s="19" t="s">
        <v>890</v>
      </c>
      <c r="G8" s="11" t="s">
        <v>903</v>
      </c>
      <c r="H8" s="11" t="s">
        <v>911</v>
      </c>
      <c r="I8" s="11">
        <v>18</v>
      </c>
      <c r="J8" s="11" t="s">
        <v>984</v>
      </c>
      <c r="K8" s="11" t="s">
        <v>918</v>
      </c>
      <c r="L8" s="11" t="s">
        <v>918</v>
      </c>
      <c r="M8" s="11"/>
    </row>
    <row r="9" spans="2:13" s="1" customFormat="1" ht="13.05" customHeight="1" x14ac:dyDescent="0.25">
      <c r="B9" s="24">
        <v>2</v>
      </c>
      <c r="C9" s="10" t="s">
        <v>590</v>
      </c>
      <c r="D9" s="7" t="str">
        <f>IFERROR(VLOOKUP(C9,'Lista desplegable'!B$1:C$436,2,FALSE),"")</f>
        <v>DAYNE JEFFERY PASSMORE .</v>
      </c>
      <c r="E9" s="7" t="str">
        <f>IFERROR(VLOOKUP(D9,'Lista desplegable'!C$1:D$436,2,FALSE),"")</f>
        <v>ADMINISTRADOR DE CONTRATO</v>
      </c>
      <c r="F9" s="19" t="s">
        <v>890</v>
      </c>
      <c r="G9" s="11" t="s">
        <v>903</v>
      </c>
      <c r="H9" s="11" t="s">
        <v>911</v>
      </c>
      <c r="I9" s="11">
        <v>18</v>
      </c>
      <c r="J9" s="11" t="s">
        <v>984</v>
      </c>
      <c r="K9" s="11"/>
      <c r="L9" s="11"/>
      <c r="M9" s="11"/>
    </row>
    <row r="10" spans="2:13" s="1" customFormat="1" ht="13.05" customHeight="1" x14ac:dyDescent="0.25">
      <c r="B10" s="24">
        <v>3</v>
      </c>
      <c r="C10" s="11" t="s">
        <v>950</v>
      </c>
      <c r="D10" s="7" t="str">
        <f>IFERROR(VLOOKUP(C10,'Lista desplegable'!B$1:C$436,2,FALSE),"")</f>
        <v>LEONIDAS LUIS ARCE OLIVARES</v>
      </c>
      <c r="E10" s="7" t="str">
        <f>IFERROR(VLOOKUP(D10,'Lista desplegable'!C$1:D$436,2,FALSE),"")</f>
        <v>SUPERVISOR DE OPERACIONES</v>
      </c>
      <c r="F10" s="19" t="s">
        <v>890</v>
      </c>
      <c r="G10" s="11" t="s">
        <v>903</v>
      </c>
      <c r="H10" s="11" t="s">
        <v>911</v>
      </c>
      <c r="I10" s="11">
        <v>18</v>
      </c>
      <c r="J10" s="11" t="s">
        <v>984</v>
      </c>
      <c r="K10" s="11" t="s">
        <v>918</v>
      </c>
      <c r="L10" s="11" t="s">
        <v>918</v>
      </c>
      <c r="M10" s="11"/>
    </row>
    <row r="11" spans="2:13" s="1" customFormat="1" ht="13.05" customHeight="1" x14ac:dyDescent="0.25">
      <c r="B11" s="24">
        <v>4</v>
      </c>
      <c r="C11" s="11" t="s">
        <v>675</v>
      </c>
      <c r="D11" s="7" t="str">
        <f>IFERROR(VLOOKUP(C11,'Lista desplegable'!B$1:C$436,2,FALSE),"")</f>
        <v>JOHN ALEXIS BRICEÑO HONORES</v>
      </c>
      <c r="E11" s="7" t="str">
        <f>IFERROR(VLOOKUP(D11,'Lista desplegable'!C$1:D$436,2,FALSE),"")</f>
        <v>PREVENCIONISTA DE RIESGOS</v>
      </c>
      <c r="F11" s="19" t="s">
        <v>890</v>
      </c>
      <c r="G11" s="11" t="s">
        <v>903</v>
      </c>
      <c r="H11" s="11" t="s">
        <v>911</v>
      </c>
      <c r="I11" s="11">
        <v>18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11" t="s">
        <v>810</v>
      </c>
      <c r="D12" s="7" t="str">
        <f>IFERROR(VLOOKUP(C12,'Lista desplegable'!B$1:C$436,2,FALSE),"")</f>
        <v>RENE ALFREDO RIOS MALDONADO</v>
      </c>
      <c r="E12" s="7" t="str">
        <f>IFERROR(VLOOKUP(D12,'Lista desplegable'!C$1:D$436,2,FALSE),"")</f>
        <v>ADMINISTRATIVO DE FAENA</v>
      </c>
      <c r="F12" s="19" t="s">
        <v>890</v>
      </c>
      <c r="G12" s="11" t="s">
        <v>903</v>
      </c>
      <c r="H12" s="11" t="s">
        <v>911</v>
      </c>
      <c r="I12" s="11">
        <v>18</v>
      </c>
      <c r="J12" s="11" t="s">
        <v>984</v>
      </c>
      <c r="K12" s="11" t="s">
        <v>918</v>
      </c>
      <c r="L12" s="11" t="s">
        <v>918</v>
      </c>
      <c r="M12" s="11"/>
    </row>
    <row r="13" spans="2:13" s="1" customFormat="1" ht="13.05" customHeight="1" x14ac:dyDescent="0.25">
      <c r="B13" s="24">
        <v>6</v>
      </c>
      <c r="C13" s="11" t="s">
        <v>625</v>
      </c>
      <c r="D13" s="7" t="str">
        <f>IFERROR(VLOOKUP(C13,'Lista desplegable'!B$1:C$436,2,FALSE),"")</f>
        <v>FELIPE IVAN LUIS ZAMBRA GONZALEZ</v>
      </c>
      <c r="E13" s="7" t="str">
        <f>IFERROR(VLOOKUP(D13,'Lista desplegable'!C$1:D$436,2,FALSE),"")</f>
        <v>BODEGUERO</v>
      </c>
      <c r="F13" s="19" t="s">
        <v>890</v>
      </c>
      <c r="G13" s="11" t="s">
        <v>903</v>
      </c>
      <c r="H13" s="11" t="s">
        <v>911</v>
      </c>
      <c r="I13" s="11">
        <v>18</v>
      </c>
      <c r="J13" s="11" t="s">
        <v>984</v>
      </c>
      <c r="K13" s="11" t="s">
        <v>918</v>
      </c>
      <c r="L13" s="11" t="s">
        <v>918</v>
      </c>
      <c r="M13" s="11"/>
    </row>
    <row r="14" spans="2:13" s="1" customFormat="1" ht="13.05" customHeight="1" x14ac:dyDescent="0.25">
      <c r="B14" s="24">
        <v>7</v>
      </c>
      <c r="C14" s="11" t="s">
        <v>695</v>
      </c>
      <c r="D14" s="7" t="str">
        <f>IFERROR(VLOOKUP(C14,'Lista desplegable'!B$1:C$436,2,FALSE),"")</f>
        <v>JOSÉ LEONARDO RODRIGUEZ ROBLES</v>
      </c>
      <c r="E14" s="7" t="str">
        <f>IFERROR(VLOOKUP(D14,'Lista desplegable'!C$1:D$436,2,FALSE),"")</f>
        <v>CHOFER</v>
      </c>
      <c r="F14" s="19" t="s">
        <v>890</v>
      </c>
      <c r="G14" s="11" t="s">
        <v>903</v>
      </c>
      <c r="H14" s="11" t="s">
        <v>911</v>
      </c>
      <c r="I14" s="11">
        <v>18</v>
      </c>
      <c r="J14" s="11" t="s">
        <v>984</v>
      </c>
      <c r="K14" s="11" t="s">
        <v>918</v>
      </c>
      <c r="L14" s="11" t="s">
        <v>918</v>
      </c>
      <c r="M14" s="11"/>
    </row>
    <row r="15" spans="2:13" s="1" customFormat="1" ht="13.05" customHeight="1" x14ac:dyDescent="0.25">
      <c r="B15" s="24">
        <v>8</v>
      </c>
      <c r="C15" s="11" t="s">
        <v>602</v>
      </c>
      <c r="D15" s="7" t="str">
        <f>IFERROR(VLOOKUP(C15,'Lista desplegable'!B$1:C$436,2,FALSE),"")</f>
        <v>ELIAS NICOLAS CORTEZ CORTEZ</v>
      </c>
      <c r="E15" s="7" t="str">
        <f>IFERROR(VLOOKUP(D15,'Lista desplegable'!C$1:D$436,2,FALSE),"")</f>
        <v>CHOFER</v>
      </c>
      <c r="F15" s="19" t="s">
        <v>890</v>
      </c>
      <c r="G15" s="11" t="s">
        <v>903</v>
      </c>
      <c r="H15" s="11" t="s">
        <v>911</v>
      </c>
      <c r="I15" s="11">
        <v>18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11" t="s">
        <v>790</v>
      </c>
      <c r="D16" s="7" t="str">
        <f>IFERROR(VLOOKUP(C16,'Lista desplegable'!B$1:C$436,2,FALSE),"")</f>
        <v>PABLO LUCAS POBLETE KUHNE</v>
      </c>
      <c r="E16" s="7" t="str">
        <f>IFERROR(VLOOKUP(D16,'Lista desplegable'!C$1:D$436,2,FALSE),"")</f>
        <v>CHOFER</v>
      </c>
      <c r="F16" s="19" t="s">
        <v>890</v>
      </c>
      <c r="G16" s="11" t="s">
        <v>903</v>
      </c>
      <c r="H16" s="11" t="s">
        <v>911</v>
      </c>
      <c r="I16" s="11">
        <v>18</v>
      </c>
      <c r="J16" s="11" t="s">
        <v>984</v>
      </c>
      <c r="K16" s="11" t="s">
        <v>918</v>
      </c>
      <c r="L16" s="11" t="s">
        <v>918</v>
      </c>
      <c r="M16" s="11"/>
    </row>
    <row r="17" spans="2:13" s="1" customFormat="1" ht="13.05" customHeight="1" x14ac:dyDescent="0.25">
      <c r="B17" s="24">
        <v>10</v>
      </c>
      <c r="C17" s="11" t="s">
        <v>690</v>
      </c>
      <c r="D17" s="7" t="str">
        <f>IFERROR(VLOOKUP(C17,'Lista desplegable'!B$1:C$436,2,FALSE),"")</f>
        <v>JORGE ESTEBAN SAAVEDRA MENA</v>
      </c>
      <c r="E17" s="7" t="str">
        <f>IFERROR(VLOOKUP(D17,'Lista desplegable'!C$1:D$436,2,FALSE),"")</f>
        <v>CHOFER</v>
      </c>
      <c r="F17" s="19" t="s">
        <v>890</v>
      </c>
      <c r="G17" s="11" t="s">
        <v>903</v>
      </c>
      <c r="H17" s="11" t="s">
        <v>911</v>
      </c>
      <c r="I17" s="11">
        <v>18</v>
      </c>
      <c r="J17" s="11" t="s">
        <v>984</v>
      </c>
      <c r="K17" s="11" t="s">
        <v>918</v>
      </c>
      <c r="L17" s="11" t="s">
        <v>918</v>
      </c>
      <c r="M17" s="11"/>
    </row>
    <row r="18" spans="2:13" s="1" customFormat="1" ht="13.05" customHeight="1" x14ac:dyDescent="0.25">
      <c r="B18" s="24">
        <v>11</v>
      </c>
      <c r="C18" s="11" t="s">
        <v>508</v>
      </c>
      <c r="D18" s="7" t="str">
        <f>IFERROR(VLOOKUP(C18,'Lista desplegable'!B$1:C$436,2,FALSE),"")</f>
        <v>ALEJANDRO ALBERTO CAMPILLAY RUIZ</v>
      </c>
      <c r="E18" s="7" t="str">
        <f>IFERROR(VLOOKUP(D18,'Lista desplegable'!C$1:D$436,2,FALSE),"")</f>
        <v>MECANICO</v>
      </c>
      <c r="F18" s="19" t="s">
        <v>890</v>
      </c>
      <c r="G18" s="11" t="s">
        <v>903</v>
      </c>
      <c r="H18" s="11" t="s">
        <v>911</v>
      </c>
      <c r="I18" s="11">
        <v>18</v>
      </c>
      <c r="J18" s="11" t="s">
        <v>984</v>
      </c>
      <c r="K18" s="11" t="s">
        <v>918</v>
      </c>
      <c r="L18" s="11" t="s">
        <v>918</v>
      </c>
      <c r="M18" s="11"/>
    </row>
    <row r="19" spans="2:13" s="1" customFormat="1" ht="13.05" customHeight="1" x14ac:dyDescent="0.25">
      <c r="B19" s="24">
        <v>12</v>
      </c>
      <c r="C19" s="10" t="s">
        <v>878</v>
      </c>
      <c r="D19" s="7" t="str">
        <f>IFERROR(VLOOKUP(C19,'Lista desplegable'!B$1:C$436,2,FALSE),"")</f>
        <v>WALDO RAFAEL CASTRO PASTENE</v>
      </c>
      <c r="E19" s="7" t="str">
        <f>IFERROR(VLOOKUP(D19,'Lista desplegable'!C$1:D$436,2,FALSE),"")</f>
        <v>SOLDADOR</v>
      </c>
      <c r="F19" s="19" t="s">
        <v>890</v>
      </c>
      <c r="G19" s="11" t="s">
        <v>903</v>
      </c>
      <c r="H19" s="11" t="s">
        <v>911</v>
      </c>
      <c r="I19" s="11">
        <v>18</v>
      </c>
      <c r="J19" s="11" t="s">
        <v>984</v>
      </c>
      <c r="K19" s="11" t="s">
        <v>918</v>
      </c>
      <c r="L19" s="11" t="s">
        <v>918</v>
      </c>
      <c r="M19" s="11"/>
    </row>
    <row r="20" spans="2:13" s="1" customFormat="1" ht="13.05" customHeight="1" x14ac:dyDescent="0.25">
      <c r="B20" s="24">
        <v>13</v>
      </c>
      <c r="C20" s="11" t="s">
        <v>607</v>
      </c>
      <c r="D20" s="7" t="str">
        <f>IFERROR(VLOOKUP(C20,'Lista desplegable'!B$1:C$436,2,FALSE),"")</f>
        <v>ENKHZAYA GANBAATAR .</v>
      </c>
      <c r="E20" s="7" t="str">
        <f>IFERROR(VLOOKUP(D20,'Lista desplegable'!C$1:D$436,2,FALSE),"")</f>
        <v>PERFORISTA</v>
      </c>
      <c r="F20" s="19" t="s">
        <v>890</v>
      </c>
      <c r="G20" s="11" t="s">
        <v>903</v>
      </c>
      <c r="H20" s="11" t="s">
        <v>911</v>
      </c>
      <c r="I20" s="11">
        <v>18</v>
      </c>
      <c r="J20" s="11" t="s">
        <v>984</v>
      </c>
      <c r="K20" s="11"/>
      <c r="L20" s="11"/>
      <c r="M20" s="11"/>
    </row>
    <row r="21" spans="2:13" s="1" customFormat="1" ht="13.05" customHeight="1" x14ac:dyDescent="0.25">
      <c r="B21" s="24">
        <v>14</v>
      </c>
      <c r="C21" s="11" t="s">
        <v>20</v>
      </c>
      <c r="D21" s="7" t="str">
        <f>IFERROR(VLOOKUP(C21,'Lista desplegable'!B$1:C$436,2,FALSE),"")</f>
        <v>CARLOS ALBERTO PIZARRO PIZARRO</v>
      </c>
      <c r="E21" s="7" t="str">
        <f>IFERROR(VLOOKUP(D21,'Lista desplegable'!C$1:D$436,2,FALSE),"")</f>
        <v>AYUDANTE DE PERFORISTA</v>
      </c>
      <c r="F21" s="19" t="s">
        <v>890</v>
      </c>
      <c r="G21" s="11" t="s">
        <v>903</v>
      </c>
      <c r="H21" s="11" t="s">
        <v>911</v>
      </c>
      <c r="I21" s="11">
        <v>18</v>
      </c>
      <c r="J21" s="11" t="s">
        <v>984</v>
      </c>
      <c r="K21" s="11" t="s">
        <v>918</v>
      </c>
      <c r="L21" s="11" t="s">
        <v>918</v>
      </c>
      <c r="M21" s="11"/>
    </row>
    <row r="22" spans="2:13" s="1" customFormat="1" ht="13.05" customHeight="1" x14ac:dyDescent="0.25">
      <c r="B22" s="24">
        <v>15</v>
      </c>
      <c r="C22" s="11" t="s">
        <v>624</v>
      </c>
      <c r="D22" s="7" t="str">
        <f>IFERROR(VLOOKUP(C22,'Lista desplegable'!B$1:C$436,2,FALSE),"")</f>
        <v>FELIPE DAVID SAAVEDRA CAMPOS</v>
      </c>
      <c r="E22" s="7" t="str">
        <f>IFERROR(VLOOKUP(D22,'Lista desplegable'!C$1:D$436,2,FALSE),"")</f>
        <v>AYUDANTE DE PERFORISTA</v>
      </c>
      <c r="F22" s="19" t="s">
        <v>890</v>
      </c>
      <c r="G22" s="11" t="s">
        <v>903</v>
      </c>
      <c r="H22" s="11" t="s">
        <v>911</v>
      </c>
      <c r="I22" s="11">
        <v>18</v>
      </c>
      <c r="J22" s="11" t="s">
        <v>984</v>
      </c>
      <c r="K22" s="11" t="s">
        <v>918</v>
      </c>
      <c r="L22" s="11" t="s">
        <v>918</v>
      </c>
      <c r="M22" s="11"/>
    </row>
    <row r="23" spans="2:13" s="1" customFormat="1" ht="13.05" customHeight="1" x14ac:dyDescent="0.25">
      <c r="B23" s="24">
        <v>16</v>
      </c>
      <c r="C23" s="11" t="s">
        <v>870</v>
      </c>
      <c r="D23" s="7" t="str">
        <f>IFERROR(VLOOKUP(C23,'Lista desplegable'!B$1:C$436,2,FALSE),"")</f>
        <v>VICENTE ANDRES LOPEZ MARTINEZ</v>
      </c>
      <c r="E23" s="7" t="str">
        <f>IFERROR(VLOOKUP(D23,'Lista desplegable'!C$1:D$436,2,FALSE),"")</f>
        <v>AYUDANTE DE PERFORISTA</v>
      </c>
      <c r="F23" s="19" t="s">
        <v>890</v>
      </c>
      <c r="G23" s="11" t="s">
        <v>903</v>
      </c>
      <c r="H23" s="11" t="s">
        <v>911</v>
      </c>
      <c r="I23" s="11">
        <v>18</v>
      </c>
      <c r="J23" s="11" t="s">
        <v>984</v>
      </c>
      <c r="K23" s="11" t="s">
        <v>918</v>
      </c>
      <c r="L23" s="11" t="s">
        <v>918</v>
      </c>
      <c r="M23" s="11"/>
    </row>
    <row r="24" spans="2:13" s="1" customFormat="1" ht="13.05" customHeight="1" x14ac:dyDescent="0.25">
      <c r="B24" s="24">
        <v>17</v>
      </c>
      <c r="C24" s="11" t="s">
        <v>549</v>
      </c>
      <c r="D24" s="7" t="str">
        <f>IFERROR(VLOOKUP(C24,'Lista desplegable'!B$1:C$436,2,FALSE),"")</f>
        <v>CARLOS EDUARDO RODRIGUEZ HERNANDEZ</v>
      </c>
      <c r="E24" s="7" t="str">
        <f>IFERROR(VLOOKUP(D24,'Lista desplegable'!C$1:D$436,2,FALSE),"")</f>
        <v>ADMINISTRADOR DE CONTRATO</v>
      </c>
      <c r="F24" s="19" t="s">
        <v>890</v>
      </c>
      <c r="G24" s="11" t="s">
        <v>903</v>
      </c>
      <c r="H24" s="11" t="s">
        <v>911</v>
      </c>
      <c r="I24" s="11">
        <v>18</v>
      </c>
      <c r="J24" s="11" t="s">
        <v>984</v>
      </c>
      <c r="K24" s="11" t="s">
        <v>918</v>
      </c>
      <c r="L24" s="11" t="s">
        <v>918</v>
      </c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4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4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4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4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4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4" ht="13.05" customHeight="1" x14ac:dyDescent="0.25">
      <c r="C38"/>
    </row>
    <row r="39" spans="2:14" ht="13.05" customHeight="1" x14ac:dyDescent="0.25">
      <c r="C39"/>
    </row>
    <row r="40" spans="2:14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4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4" ht="13.05" customHeight="1" x14ac:dyDescent="0.25">
      <c r="B42" s="24">
        <v>1</v>
      </c>
      <c r="C42" s="11" t="s">
        <v>528</v>
      </c>
      <c r="D42" s="7" t="str">
        <f>IFERROR(VLOOKUP(C42,'Lista desplegable'!B$1:C$436,2,FALSE),"")</f>
        <v>ARIEL ANDRES SILVA RIQUELME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>
        <v>18</v>
      </c>
      <c r="J42" s="11" t="s">
        <v>984</v>
      </c>
      <c r="K42" s="11" t="s">
        <v>918</v>
      </c>
      <c r="L42" s="11" t="s">
        <v>918</v>
      </c>
      <c r="M42" s="11" t="s">
        <v>1010</v>
      </c>
    </row>
    <row r="43" spans="2:14" ht="13.05" customHeight="1" x14ac:dyDescent="0.25">
      <c r="B43" s="24">
        <v>2</v>
      </c>
      <c r="C43" s="11" t="s">
        <v>514</v>
      </c>
      <c r="D43" s="7" t="str">
        <f>IFERROR(VLOOKUP(C43,'Lista desplegable'!B$1:C$436,2,FALSE),"")</f>
        <v>ALISSON AYLEEN VILLAGRA CABALLERO</v>
      </c>
      <c r="E43" s="7" t="str">
        <f>IFERROR(VLOOKUP(D43,'Lista desplegable'!C$1:D$436,2,FALSE),"")</f>
        <v>CHOFER</v>
      </c>
      <c r="F43" s="19" t="s">
        <v>890</v>
      </c>
      <c r="G43" s="11" t="s">
        <v>903</v>
      </c>
      <c r="H43" s="11" t="s">
        <v>911</v>
      </c>
      <c r="I43" s="11">
        <v>18</v>
      </c>
      <c r="J43" s="11" t="s">
        <v>984</v>
      </c>
      <c r="K43" s="11" t="s">
        <v>918</v>
      </c>
      <c r="L43" s="11" t="s">
        <v>918</v>
      </c>
      <c r="M43" s="11"/>
    </row>
    <row r="44" spans="2:14" ht="13.05" customHeight="1" x14ac:dyDescent="0.25">
      <c r="B44" s="24">
        <v>3</v>
      </c>
      <c r="C44" s="11" t="s">
        <v>731</v>
      </c>
      <c r="D44" s="7" t="str">
        <f>IFERROR(VLOOKUP(C44,'Lista desplegable'!B$1:C$436,2,FALSE),"")</f>
        <v>LUIS HUMBERTO PEÑA AHUMADA</v>
      </c>
      <c r="E44" s="7" t="str">
        <f>IFERROR(VLOOKUP(D44,'Lista desplegable'!C$1:D$436,2,FALSE),"")</f>
        <v>CHOFER</v>
      </c>
      <c r="F44" s="19" t="s">
        <v>890</v>
      </c>
      <c r="G44" s="11" t="s">
        <v>903</v>
      </c>
      <c r="H44" s="11" t="s">
        <v>911</v>
      </c>
      <c r="I44" s="11">
        <v>18</v>
      </c>
      <c r="J44" s="11" t="s">
        <v>984</v>
      </c>
      <c r="K44" s="11" t="s">
        <v>918</v>
      </c>
      <c r="L44" s="11" t="s">
        <v>918</v>
      </c>
      <c r="M44" s="11" t="s">
        <v>1011</v>
      </c>
    </row>
    <row r="45" spans="2:14" ht="13.05" customHeight="1" x14ac:dyDescent="0.25">
      <c r="B45" s="24">
        <v>4</v>
      </c>
      <c r="C45" s="11" t="s">
        <v>735</v>
      </c>
      <c r="D45" s="7" t="str">
        <f>IFERROR(VLOOKUP(C45,'Lista desplegable'!B$1:C$436,2,FALSE),"")</f>
        <v>MANUEL ALEJANDRO TILLERIA SAAVEDRA</v>
      </c>
      <c r="E45" s="7" t="str">
        <f>IFERROR(VLOOKUP(D45,'Lista desplegable'!C$1:D$436,2,FALSE),"")</f>
        <v>MECANICO</v>
      </c>
      <c r="F45" s="19" t="s">
        <v>890</v>
      </c>
      <c r="G45" s="11" t="s">
        <v>903</v>
      </c>
      <c r="H45" s="11" t="s">
        <v>911</v>
      </c>
      <c r="I45" s="11">
        <v>18</v>
      </c>
      <c r="J45" s="11" t="s">
        <v>984</v>
      </c>
      <c r="K45" s="11" t="s">
        <v>918</v>
      </c>
      <c r="L45" s="11" t="s">
        <v>918</v>
      </c>
      <c r="M45" s="11"/>
      <c r="N45" s="1"/>
    </row>
    <row r="46" spans="2:14" ht="13.05" customHeight="1" x14ac:dyDescent="0.25">
      <c r="B46" s="24">
        <v>5</v>
      </c>
      <c r="C46" s="11" t="s">
        <v>867</v>
      </c>
      <c r="D46" s="7" t="str">
        <f>IFERROR(VLOOKUP(C46,'Lista desplegable'!B$1:C$436,2,FALSE),"")</f>
        <v>ULZIIBADRAKH BAYANMUNKH .</v>
      </c>
      <c r="E46" s="7" t="str">
        <f>IFERROR(VLOOKUP(D46,'Lista desplegable'!C$1:D$436,2,FALSE),"")</f>
        <v>PERFORISTA</v>
      </c>
      <c r="F46" s="19" t="s">
        <v>890</v>
      </c>
      <c r="G46" s="11" t="s">
        <v>903</v>
      </c>
      <c r="H46" s="11" t="s">
        <v>911</v>
      </c>
      <c r="I46" s="11">
        <v>18</v>
      </c>
      <c r="J46" s="11" t="s">
        <v>984</v>
      </c>
      <c r="K46" s="11"/>
      <c r="L46" s="11"/>
      <c r="M46" s="11"/>
    </row>
    <row r="47" spans="2:14" ht="13.05" customHeight="1" x14ac:dyDescent="0.25">
      <c r="B47" s="24">
        <v>6</v>
      </c>
      <c r="C47" s="11" t="s">
        <v>676</v>
      </c>
      <c r="D47" s="7" t="str">
        <f>IFERROR(VLOOKUP(C47,'Lista desplegable'!B$1:C$436,2,FALSE),"")</f>
        <v>JOHN BYRON VASQUEZ CARROZA</v>
      </c>
      <c r="E47" s="7" t="str">
        <f>IFERROR(VLOOKUP(D47,'Lista desplegable'!C$1:D$436,2,FALSE),"")</f>
        <v>AYUDANTE DE PERFORISTA</v>
      </c>
      <c r="F47" s="19" t="s">
        <v>890</v>
      </c>
      <c r="G47" s="11" t="s">
        <v>903</v>
      </c>
      <c r="H47" s="11" t="s">
        <v>911</v>
      </c>
      <c r="I47" s="11">
        <v>18</v>
      </c>
      <c r="J47" s="11" t="s">
        <v>984</v>
      </c>
      <c r="K47" s="11" t="s">
        <v>918</v>
      </c>
      <c r="L47" s="11" t="s">
        <v>918</v>
      </c>
      <c r="M47" s="11"/>
    </row>
    <row r="48" spans="2:14" ht="13.05" customHeight="1" x14ac:dyDescent="0.25">
      <c r="B48" s="24">
        <v>7</v>
      </c>
      <c r="C48" s="11" t="s">
        <v>758</v>
      </c>
      <c r="D48" s="7" t="str">
        <f>IFERROR(VLOOKUP(C48,'Lista desplegable'!B$1:C$436,2,FALSE),"")</f>
        <v>MAURICIO ANDRES OYARZUN SALAMANCA</v>
      </c>
      <c r="E48" s="7" t="str">
        <f>IFERROR(VLOOKUP(D48,'Lista desplegable'!C$1:D$436,2,FALSE),"")</f>
        <v>AYUDANTE DE PERFORISTA</v>
      </c>
      <c r="F48" s="19" t="s">
        <v>890</v>
      </c>
      <c r="G48" s="11" t="s">
        <v>903</v>
      </c>
      <c r="H48" s="11" t="s">
        <v>911</v>
      </c>
      <c r="I48" s="11">
        <v>18</v>
      </c>
      <c r="J48" s="11" t="s">
        <v>984</v>
      </c>
      <c r="K48" s="11" t="s">
        <v>918</v>
      </c>
      <c r="L48" s="11" t="s">
        <v>918</v>
      </c>
      <c r="M48" s="11"/>
    </row>
    <row r="49" spans="2:13" ht="13.05" customHeight="1" x14ac:dyDescent="0.25">
      <c r="B49" s="24">
        <v>8</v>
      </c>
      <c r="C49" s="11"/>
      <c r="D49" s="7" t="str">
        <f>IFERROR(VLOOKUP(C49,'Lista desplegable'!B$1:C$436,2,FALSE),"")</f>
        <v/>
      </c>
      <c r="E49" s="7" t="str">
        <f>IFERROR(VLOOKUP(D49,'Lista desplegable'!C$1:D$436,2,FALSE),"")</f>
        <v/>
      </c>
      <c r="F49" s="19"/>
      <c r="G49" s="11"/>
      <c r="H49" s="11"/>
      <c r="I49" s="11"/>
      <c r="J49" s="11"/>
      <c r="K49" s="11"/>
      <c r="L49" s="11"/>
      <c r="M49" s="11"/>
    </row>
    <row r="50" spans="2:13" ht="13.05" customHeight="1" x14ac:dyDescent="0.25">
      <c r="B50" s="24">
        <v>9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11"/>
      <c r="J50" s="11"/>
      <c r="K50" s="11"/>
      <c r="L50" s="11"/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2:I2"/>
    <mergeCell ref="G3:I3"/>
    <mergeCell ref="C6:M6"/>
    <mergeCell ref="C40:M40"/>
  </mergeCell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BD9545A-F56C-41E1-B5A6-8F5616B809C7}">
          <x14:formula1>
            <xm:f>'Lista desplegable'!$N$2:$N$5</xm:f>
          </x14:formula1>
          <xm:sqref>J8:J37 J42:J71</xm:sqref>
        </x14:dataValidation>
        <x14:dataValidation type="list" allowBlank="1" showInputMessage="1" showErrorMessage="1" xr:uid="{A7E7B01A-CBBE-4A17-AFFB-C7578F455926}">
          <x14:formula1>
            <xm:f>'Lista desplegable'!$B$2:$B$436</xm:f>
          </x14:formula1>
          <xm:sqref>C42:C71 C8:C37</xm:sqref>
        </x14:dataValidation>
        <x14:dataValidation type="list" allowBlank="1" showInputMessage="1" showErrorMessage="1" xr:uid="{D341FA46-C0B6-4E1E-A839-F75ECB5B7389}">
          <x14:formula1>
            <xm:f>'Lista desplegable'!$F$2:$F$19</xm:f>
          </x14:formula1>
          <xm:sqref>F8:F37 F42:F71</xm:sqref>
        </x14:dataValidation>
        <x14:dataValidation type="list" allowBlank="1" showInputMessage="1" showErrorMessage="1" xr:uid="{2FDF1721-D20D-4E50-8DDD-2669B59BBE4A}">
          <x14:formula1>
            <xm:f>'Lista desplegable'!$J$2:$J$10</xm:f>
          </x14:formula1>
          <xm:sqref>H8:H37 H42:H71</xm:sqref>
        </x14:dataValidation>
        <x14:dataValidation type="list" allowBlank="1" showInputMessage="1" showErrorMessage="1" xr:uid="{1CB50522-7493-4B8F-922B-E90F66A60F62}">
          <x14:formula1>
            <xm:f>'Lista desplegable'!$H$2:$H$7</xm:f>
          </x14:formula1>
          <xm:sqref>G8:G37 G42:G71</xm:sqref>
        </x14:dataValidation>
        <x14:dataValidation type="list" allowBlank="1" showInputMessage="1" showErrorMessage="1" xr:uid="{A1ECE465-7656-47A0-A48E-EB80B243C65B}">
          <x14:formula1>
            <xm:f>'Lista desplegable'!$L$2:$L$3</xm:f>
          </x14:formula1>
          <xm:sqref>K8:L37 K42:L71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F4ACB-5B95-4088-8C99-F1FEEFFE995D}">
  <dimension ref="B1:M93"/>
  <sheetViews>
    <sheetView topLeftCell="A22" zoomScale="80" zoomScaleNormal="80" workbookViewId="0">
      <selection activeCell="M16" sqref="M16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0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21.77734375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46280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11" t="s">
        <v>572</v>
      </c>
      <c r="D8" s="7" t="str">
        <f>IFERROR(VLOOKUP(C8,'Lista desplegable'!B$1:C$436,2,FALSE),"")</f>
        <v>CRISTIAN ROGELIO PASTEN VERGARA</v>
      </c>
      <c r="E8" s="7" t="str">
        <f>IFERROR(VLOOKUP(D8,'Lista desplegable'!C$1:D$436,2,FALSE),"")</f>
        <v>JEFE DE FAENA</v>
      </c>
      <c r="F8" s="19" t="s">
        <v>890</v>
      </c>
      <c r="G8" s="11" t="s">
        <v>903</v>
      </c>
      <c r="H8" s="11" t="s">
        <v>911</v>
      </c>
      <c r="I8" s="11">
        <v>12</v>
      </c>
      <c r="J8" s="11" t="s">
        <v>984</v>
      </c>
      <c r="K8" s="11" t="s">
        <v>918</v>
      </c>
      <c r="L8" s="11" t="s">
        <v>918</v>
      </c>
      <c r="M8" s="11"/>
    </row>
    <row r="9" spans="2:13" s="1" customFormat="1" ht="13.05" customHeight="1" x14ac:dyDescent="0.25">
      <c r="B9" s="24">
        <v>2</v>
      </c>
      <c r="C9" s="10" t="s">
        <v>590</v>
      </c>
      <c r="D9" s="7" t="str">
        <f>IFERROR(VLOOKUP(C9,'Lista desplegable'!B$1:C$436,2,FALSE),"")</f>
        <v>DAYNE JEFFERY PASSMORE .</v>
      </c>
      <c r="E9" s="7" t="str">
        <f>IFERROR(VLOOKUP(D9,'Lista desplegable'!C$1:D$436,2,FALSE),"")</f>
        <v>ADMINISTRADOR DE CONTRATO</v>
      </c>
      <c r="F9" s="19" t="s">
        <v>890</v>
      </c>
      <c r="G9" s="11" t="s">
        <v>903</v>
      </c>
      <c r="H9" s="11" t="s">
        <v>911</v>
      </c>
      <c r="I9" s="11">
        <v>12</v>
      </c>
      <c r="J9" s="11" t="s">
        <v>984</v>
      </c>
      <c r="K9" s="11"/>
      <c r="L9" s="11"/>
      <c r="M9" s="11"/>
    </row>
    <row r="10" spans="2:13" s="1" customFormat="1" ht="13.05" customHeight="1" x14ac:dyDescent="0.25">
      <c r="B10" s="24">
        <v>3</v>
      </c>
      <c r="C10" s="11" t="s">
        <v>950</v>
      </c>
      <c r="D10" s="7" t="str">
        <f>IFERROR(VLOOKUP(C10,'Lista desplegable'!B$1:C$436,2,FALSE),"")</f>
        <v>LEONIDAS LUIS ARCE OLIVARES</v>
      </c>
      <c r="E10" s="7" t="str">
        <f>IFERROR(VLOOKUP(D10,'Lista desplegable'!C$1:D$436,2,FALSE),"")</f>
        <v>SUPERVISOR DE OPERACIONES</v>
      </c>
      <c r="F10" s="19" t="s">
        <v>890</v>
      </c>
      <c r="G10" s="11" t="s">
        <v>903</v>
      </c>
      <c r="H10" s="11" t="s">
        <v>911</v>
      </c>
      <c r="I10" s="11">
        <v>12</v>
      </c>
      <c r="J10" s="11" t="s">
        <v>984</v>
      </c>
      <c r="K10" s="11" t="s">
        <v>918</v>
      </c>
      <c r="L10" s="11" t="s">
        <v>918</v>
      </c>
      <c r="M10" s="11"/>
    </row>
    <row r="11" spans="2:13" s="1" customFormat="1" ht="13.05" customHeight="1" x14ac:dyDescent="0.25">
      <c r="B11" s="24">
        <v>4</v>
      </c>
      <c r="C11" s="11" t="s">
        <v>675</v>
      </c>
      <c r="D11" s="7" t="str">
        <f>IFERROR(VLOOKUP(C11,'Lista desplegable'!B$1:C$436,2,FALSE),"")</f>
        <v>JOHN ALEXIS BRICEÑO HONORES</v>
      </c>
      <c r="E11" s="7" t="str">
        <f>IFERROR(VLOOKUP(D11,'Lista desplegable'!C$1:D$436,2,FALSE),"")</f>
        <v>PREVENCIONISTA DE RIESGOS</v>
      </c>
      <c r="F11" s="19" t="s">
        <v>890</v>
      </c>
      <c r="G11" s="11" t="s">
        <v>903</v>
      </c>
      <c r="H11" s="11" t="s">
        <v>911</v>
      </c>
      <c r="I11" s="11">
        <v>12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11" t="s">
        <v>810</v>
      </c>
      <c r="D12" s="7" t="str">
        <f>IFERROR(VLOOKUP(C12,'Lista desplegable'!B$1:C$436,2,FALSE),"")</f>
        <v>RENE ALFREDO RIOS MALDONADO</v>
      </c>
      <c r="E12" s="7" t="str">
        <f>IFERROR(VLOOKUP(D12,'Lista desplegable'!C$1:D$436,2,FALSE),"")</f>
        <v>ADMINISTRATIVO DE FAENA</v>
      </c>
      <c r="F12" s="19" t="s">
        <v>890</v>
      </c>
      <c r="G12" s="11" t="s">
        <v>903</v>
      </c>
      <c r="H12" s="11" t="s">
        <v>911</v>
      </c>
      <c r="I12" s="11">
        <v>12</v>
      </c>
      <c r="J12" s="11" t="s">
        <v>984</v>
      </c>
      <c r="K12" s="11" t="s">
        <v>918</v>
      </c>
      <c r="L12" s="11" t="s">
        <v>918</v>
      </c>
      <c r="M12" s="11"/>
    </row>
    <row r="13" spans="2:13" s="1" customFormat="1" ht="13.05" customHeight="1" x14ac:dyDescent="0.25">
      <c r="B13" s="24">
        <v>6</v>
      </c>
      <c r="C13" s="11" t="s">
        <v>625</v>
      </c>
      <c r="D13" s="7" t="str">
        <f>IFERROR(VLOOKUP(C13,'Lista desplegable'!B$1:C$436,2,FALSE),"")</f>
        <v>FELIPE IVAN LUIS ZAMBRA GONZALEZ</v>
      </c>
      <c r="E13" s="7" t="str">
        <f>IFERROR(VLOOKUP(D13,'Lista desplegable'!C$1:D$436,2,FALSE),"")</f>
        <v>BODEGUERO</v>
      </c>
      <c r="F13" s="19" t="s">
        <v>890</v>
      </c>
      <c r="G13" s="11" t="s">
        <v>903</v>
      </c>
      <c r="H13" s="11" t="s">
        <v>911</v>
      </c>
      <c r="I13" s="11">
        <v>12</v>
      </c>
      <c r="J13" s="11" t="s">
        <v>984</v>
      </c>
      <c r="K13" s="11" t="s">
        <v>918</v>
      </c>
      <c r="L13" s="11" t="s">
        <v>918</v>
      </c>
      <c r="M13" s="11"/>
    </row>
    <row r="14" spans="2:13" s="1" customFormat="1" ht="13.05" customHeight="1" x14ac:dyDescent="0.25">
      <c r="B14" s="24">
        <v>7</v>
      </c>
      <c r="C14" s="11" t="s">
        <v>695</v>
      </c>
      <c r="D14" s="7" t="str">
        <f>IFERROR(VLOOKUP(C14,'Lista desplegable'!B$1:C$436,2,FALSE),"")</f>
        <v>JOSÉ LEONARDO RODRIGUEZ ROBLES</v>
      </c>
      <c r="E14" s="7" t="str">
        <f>IFERROR(VLOOKUP(D14,'Lista desplegable'!C$1:D$436,2,FALSE),"")</f>
        <v>CHOFER</v>
      </c>
      <c r="F14" s="19" t="s">
        <v>890</v>
      </c>
      <c r="G14" s="11" t="s">
        <v>903</v>
      </c>
      <c r="H14" s="11" t="s">
        <v>911</v>
      </c>
      <c r="I14" s="11">
        <v>12</v>
      </c>
      <c r="J14" s="11" t="s">
        <v>984</v>
      </c>
      <c r="K14" s="11" t="s">
        <v>918</v>
      </c>
      <c r="L14" s="11" t="s">
        <v>918</v>
      </c>
      <c r="M14" s="11"/>
    </row>
    <row r="15" spans="2:13" s="1" customFormat="1" ht="13.05" customHeight="1" x14ac:dyDescent="0.25">
      <c r="B15" s="24">
        <v>8</v>
      </c>
      <c r="C15" s="11" t="s">
        <v>602</v>
      </c>
      <c r="D15" s="7" t="str">
        <f>IFERROR(VLOOKUP(C15,'Lista desplegable'!B$1:C$436,2,FALSE),"")</f>
        <v>ELIAS NICOLAS CORTEZ CORTEZ</v>
      </c>
      <c r="E15" s="7" t="str">
        <f>IFERROR(VLOOKUP(D15,'Lista desplegable'!C$1:D$436,2,FALSE),"")</f>
        <v>CHOFER</v>
      </c>
      <c r="F15" s="19" t="s">
        <v>890</v>
      </c>
      <c r="G15" s="11" t="s">
        <v>903</v>
      </c>
      <c r="H15" s="11" t="s">
        <v>911</v>
      </c>
      <c r="I15" s="11">
        <v>12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11" t="s">
        <v>790</v>
      </c>
      <c r="D16" s="7" t="str">
        <f>IFERROR(VLOOKUP(C16,'Lista desplegable'!B$1:C$436,2,FALSE),"")</f>
        <v>PABLO LUCAS POBLETE KUHNE</v>
      </c>
      <c r="E16" s="7" t="str">
        <f>IFERROR(VLOOKUP(D16,'Lista desplegable'!C$1:D$436,2,FALSE),"")</f>
        <v>CHOFER</v>
      </c>
      <c r="F16" s="19" t="s">
        <v>890</v>
      </c>
      <c r="G16" s="11" t="s">
        <v>903</v>
      </c>
      <c r="H16" s="11" t="s">
        <v>911</v>
      </c>
      <c r="I16" s="11">
        <v>12</v>
      </c>
      <c r="J16" s="11" t="s">
        <v>984</v>
      </c>
      <c r="K16" s="11" t="s">
        <v>918</v>
      </c>
      <c r="L16" s="11" t="s">
        <v>918</v>
      </c>
      <c r="M16" s="11"/>
    </row>
    <row r="17" spans="2:13" s="1" customFormat="1" ht="13.05" customHeight="1" x14ac:dyDescent="0.25">
      <c r="B17" s="24">
        <v>10</v>
      </c>
      <c r="C17" s="11" t="s">
        <v>690</v>
      </c>
      <c r="D17" s="7" t="str">
        <f>IFERROR(VLOOKUP(C17,'Lista desplegable'!B$1:C$436,2,FALSE),"")</f>
        <v>JORGE ESTEBAN SAAVEDRA MENA</v>
      </c>
      <c r="E17" s="7" t="str">
        <f>IFERROR(VLOOKUP(D17,'Lista desplegable'!C$1:D$436,2,FALSE),"")</f>
        <v>CHOFER</v>
      </c>
      <c r="F17" s="19" t="s">
        <v>890</v>
      </c>
      <c r="G17" s="11" t="s">
        <v>903</v>
      </c>
      <c r="H17" s="11" t="s">
        <v>911</v>
      </c>
      <c r="I17" s="11">
        <v>12</v>
      </c>
      <c r="J17" s="11" t="s">
        <v>984</v>
      </c>
      <c r="K17" s="11" t="s">
        <v>918</v>
      </c>
      <c r="L17" s="11" t="s">
        <v>918</v>
      </c>
      <c r="M17" s="11"/>
    </row>
    <row r="18" spans="2:13" s="1" customFormat="1" ht="13.05" customHeight="1" x14ac:dyDescent="0.25">
      <c r="B18" s="24">
        <v>11</v>
      </c>
      <c r="C18" s="11" t="s">
        <v>508</v>
      </c>
      <c r="D18" s="7" t="str">
        <f>IFERROR(VLOOKUP(C18,'Lista desplegable'!B$1:C$436,2,FALSE),"")</f>
        <v>ALEJANDRO ALBERTO CAMPILLAY RUIZ</v>
      </c>
      <c r="E18" s="7" t="str">
        <f>IFERROR(VLOOKUP(D18,'Lista desplegable'!C$1:D$436,2,FALSE),"")</f>
        <v>MECANICO</v>
      </c>
      <c r="F18" s="19" t="s">
        <v>890</v>
      </c>
      <c r="G18" s="11" t="s">
        <v>903</v>
      </c>
      <c r="H18" s="11" t="s">
        <v>911</v>
      </c>
      <c r="I18" s="11">
        <v>12</v>
      </c>
      <c r="J18" s="11" t="s">
        <v>984</v>
      </c>
      <c r="K18" s="11" t="s">
        <v>918</v>
      </c>
      <c r="L18" s="11" t="s">
        <v>918</v>
      </c>
      <c r="M18" s="11"/>
    </row>
    <row r="19" spans="2:13" s="1" customFormat="1" ht="13.05" customHeight="1" x14ac:dyDescent="0.25">
      <c r="B19" s="24">
        <v>12</v>
      </c>
      <c r="C19" s="10" t="s">
        <v>878</v>
      </c>
      <c r="D19" s="7" t="str">
        <f>IFERROR(VLOOKUP(C19,'Lista desplegable'!B$1:C$436,2,FALSE),"")</f>
        <v>WALDO RAFAEL CASTRO PASTENE</v>
      </c>
      <c r="E19" s="7" t="str">
        <f>IFERROR(VLOOKUP(D19,'Lista desplegable'!C$1:D$436,2,FALSE),"")</f>
        <v>SOLDADOR</v>
      </c>
      <c r="F19" s="19" t="s">
        <v>890</v>
      </c>
      <c r="G19" s="11" t="s">
        <v>903</v>
      </c>
      <c r="H19" s="11" t="s">
        <v>911</v>
      </c>
      <c r="I19" s="11">
        <v>12</v>
      </c>
      <c r="J19" s="11" t="s">
        <v>984</v>
      </c>
      <c r="K19" s="11" t="s">
        <v>918</v>
      </c>
      <c r="L19" s="11" t="s">
        <v>918</v>
      </c>
      <c r="M19" s="11"/>
    </row>
    <row r="20" spans="2:13" s="1" customFormat="1" ht="13.05" customHeight="1" x14ac:dyDescent="0.25">
      <c r="B20" s="24">
        <v>13</v>
      </c>
      <c r="C20" s="11" t="s">
        <v>607</v>
      </c>
      <c r="D20" s="7" t="str">
        <f>IFERROR(VLOOKUP(C20,'Lista desplegable'!B$1:C$436,2,FALSE),"")</f>
        <v>ENKHZAYA GANBAATAR .</v>
      </c>
      <c r="E20" s="7" t="str">
        <f>IFERROR(VLOOKUP(D20,'Lista desplegable'!C$1:D$436,2,FALSE),"")</f>
        <v>PERFORISTA</v>
      </c>
      <c r="F20" s="19" t="s">
        <v>890</v>
      </c>
      <c r="G20" s="11" t="s">
        <v>903</v>
      </c>
      <c r="H20" s="11" t="s">
        <v>911</v>
      </c>
      <c r="I20" s="11">
        <v>12</v>
      </c>
      <c r="J20" s="11" t="s">
        <v>984</v>
      </c>
      <c r="K20" s="11"/>
      <c r="L20" s="11"/>
      <c r="M20" s="11"/>
    </row>
    <row r="21" spans="2:13" s="1" customFormat="1" ht="13.05" customHeight="1" x14ac:dyDescent="0.25">
      <c r="B21" s="24">
        <v>14</v>
      </c>
      <c r="C21" s="11" t="s">
        <v>20</v>
      </c>
      <c r="D21" s="7" t="str">
        <f>IFERROR(VLOOKUP(C21,'Lista desplegable'!B$1:C$436,2,FALSE),"")</f>
        <v>CARLOS ALBERTO PIZARRO PIZARRO</v>
      </c>
      <c r="E21" s="7" t="str">
        <f>IFERROR(VLOOKUP(D21,'Lista desplegable'!C$1:D$436,2,FALSE),"")</f>
        <v>AYUDANTE DE PERFORISTA</v>
      </c>
      <c r="F21" s="19" t="s">
        <v>890</v>
      </c>
      <c r="G21" s="11" t="s">
        <v>903</v>
      </c>
      <c r="H21" s="11" t="s">
        <v>911</v>
      </c>
      <c r="I21" s="11">
        <v>12</v>
      </c>
      <c r="J21" s="11" t="s">
        <v>984</v>
      </c>
      <c r="K21" s="11" t="s">
        <v>918</v>
      </c>
      <c r="L21" s="11" t="s">
        <v>918</v>
      </c>
      <c r="M21" s="11"/>
    </row>
    <row r="22" spans="2:13" s="1" customFormat="1" ht="13.05" customHeight="1" x14ac:dyDescent="0.25">
      <c r="B22" s="24">
        <v>15</v>
      </c>
      <c r="C22" s="11" t="s">
        <v>624</v>
      </c>
      <c r="D22" s="7" t="str">
        <f>IFERROR(VLOOKUP(C22,'Lista desplegable'!B$1:C$436,2,FALSE),"")</f>
        <v>FELIPE DAVID SAAVEDRA CAMPOS</v>
      </c>
      <c r="E22" s="7" t="str">
        <f>IFERROR(VLOOKUP(D22,'Lista desplegable'!C$1:D$436,2,FALSE),"")</f>
        <v>AYUDANTE DE PERFORISTA</v>
      </c>
      <c r="F22" s="19" t="s">
        <v>890</v>
      </c>
      <c r="G22" s="11" t="s">
        <v>903</v>
      </c>
      <c r="H22" s="11" t="s">
        <v>911</v>
      </c>
      <c r="I22" s="11">
        <v>12</v>
      </c>
      <c r="J22" s="11" t="s">
        <v>984</v>
      </c>
      <c r="K22" s="11" t="s">
        <v>918</v>
      </c>
      <c r="L22" s="11" t="s">
        <v>918</v>
      </c>
      <c r="M22" s="11"/>
    </row>
    <row r="23" spans="2:13" s="1" customFormat="1" ht="13.05" customHeight="1" x14ac:dyDescent="0.25">
      <c r="B23" s="24">
        <v>16</v>
      </c>
      <c r="C23" s="11" t="s">
        <v>870</v>
      </c>
      <c r="D23" s="7" t="str">
        <f>IFERROR(VLOOKUP(C23,'Lista desplegable'!B$1:C$436,2,FALSE),"")</f>
        <v>VICENTE ANDRES LOPEZ MARTINEZ</v>
      </c>
      <c r="E23" s="7" t="str">
        <f>IFERROR(VLOOKUP(D23,'Lista desplegable'!C$1:D$436,2,FALSE),"")</f>
        <v>AYUDANTE DE PERFORISTA</v>
      </c>
      <c r="F23" s="19" t="s">
        <v>890</v>
      </c>
      <c r="G23" s="11" t="s">
        <v>903</v>
      </c>
      <c r="H23" s="11" t="s">
        <v>911</v>
      </c>
      <c r="I23" s="11">
        <v>12</v>
      </c>
      <c r="J23" s="11" t="s">
        <v>984</v>
      </c>
      <c r="K23" s="11" t="s">
        <v>918</v>
      </c>
      <c r="L23" s="11" t="s">
        <v>918</v>
      </c>
      <c r="M23" s="11"/>
    </row>
    <row r="24" spans="2:13" s="1" customFormat="1" ht="13.05" customHeight="1" x14ac:dyDescent="0.25">
      <c r="B24" s="24">
        <v>17</v>
      </c>
      <c r="C24" s="11" t="s">
        <v>549</v>
      </c>
      <c r="D24" s="7" t="str">
        <f>IFERROR(VLOOKUP(C24,'Lista desplegable'!B$1:C$436,2,FALSE),"")</f>
        <v>CARLOS EDUARDO RODRIGUEZ HERNANDEZ</v>
      </c>
      <c r="E24" s="7" t="str">
        <f>IFERROR(VLOOKUP(D24,'Lista desplegable'!C$1:D$436,2,FALSE),"")</f>
        <v>ADMINISTRADOR DE CONTRATO</v>
      </c>
      <c r="F24" s="19" t="s">
        <v>890</v>
      </c>
      <c r="G24" s="11" t="s">
        <v>903</v>
      </c>
      <c r="H24" s="11" t="s">
        <v>911</v>
      </c>
      <c r="I24" s="11">
        <v>12</v>
      </c>
      <c r="J24" s="11" t="s">
        <v>984</v>
      </c>
      <c r="K24" s="11" t="s">
        <v>918</v>
      </c>
      <c r="L24" s="11" t="s">
        <v>918</v>
      </c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05" customHeight="1" x14ac:dyDescent="0.25">
      <c r="C38"/>
    </row>
    <row r="39" spans="2:13" ht="13.05" customHeight="1" x14ac:dyDescent="0.25">
      <c r="C39"/>
    </row>
    <row r="40" spans="2:13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3" ht="13.05" customHeight="1" x14ac:dyDescent="0.25">
      <c r="B42" s="24">
        <v>1</v>
      </c>
      <c r="C42" s="11" t="s">
        <v>528</v>
      </c>
      <c r="D42" s="7" t="str">
        <f>IFERROR(VLOOKUP(C42,'Lista desplegable'!B$1:C$436,2,FALSE),"")</f>
        <v>ARIEL ANDRES SILVA RIQUELME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>
        <v>9</v>
      </c>
      <c r="J42" s="11" t="s">
        <v>984</v>
      </c>
      <c r="K42" s="11" t="s">
        <v>918</v>
      </c>
      <c r="L42" s="11" t="s">
        <v>918</v>
      </c>
      <c r="M42" s="11" t="s">
        <v>994</v>
      </c>
    </row>
    <row r="43" spans="2:13" ht="13.05" customHeight="1" x14ac:dyDescent="0.25">
      <c r="B43" s="24">
        <v>2</v>
      </c>
      <c r="C43" s="11" t="s">
        <v>514</v>
      </c>
      <c r="D43" s="7" t="str">
        <f>IFERROR(VLOOKUP(C43,'Lista desplegable'!B$1:C$436,2,FALSE),"")</f>
        <v>ALISSON AYLEEN VILLAGRA CABALLERO</v>
      </c>
      <c r="E43" s="7" t="str">
        <f>IFERROR(VLOOKUP(D43,'Lista desplegable'!C$1:D$436,2,FALSE),"")</f>
        <v>CHOFER</v>
      </c>
      <c r="F43" s="19" t="s">
        <v>890</v>
      </c>
      <c r="G43" s="11" t="s">
        <v>903</v>
      </c>
      <c r="H43" s="11" t="s">
        <v>911</v>
      </c>
      <c r="I43" s="11">
        <v>9</v>
      </c>
      <c r="J43" s="11" t="s">
        <v>984</v>
      </c>
      <c r="K43" s="11" t="s">
        <v>918</v>
      </c>
      <c r="L43" s="11" t="s">
        <v>918</v>
      </c>
      <c r="M43" s="11"/>
    </row>
    <row r="44" spans="2:13" ht="13.05" customHeight="1" x14ac:dyDescent="0.25">
      <c r="B44" s="24">
        <v>3</v>
      </c>
      <c r="C44" s="11" t="s">
        <v>731</v>
      </c>
      <c r="D44" s="7" t="str">
        <f>IFERROR(VLOOKUP(C44,'Lista desplegable'!B$1:C$436,2,FALSE),"")</f>
        <v>LUIS HUMBERTO PEÑA AHUMADA</v>
      </c>
      <c r="E44" s="7" t="str">
        <f>IFERROR(VLOOKUP(D44,'Lista desplegable'!C$1:D$436,2,FALSE),"")</f>
        <v>CHOFER</v>
      </c>
      <c r="F44" s="19" t="s">
        <v>890</v>
      </c>
      <c r="G44" s="11" t="s">
        <v>903</v>
      </c>
      <c r="H44" s="11" t="s">
        <v>911</v>
      </c>
      <c r="I44" s="11">
        <v>9</v>
      </c>
      <c r="J44" s="11" t="s">
        <v>984</v>
      </c>
      <c r="K44" s="11" t="s">
        <v>918</v>
      </c>
      <c r="L44" s="11" t="s">
        <v>918</v>
      </c>
      <c r="M44" s="11" t="s">
        <v>994</v>
      </c>
    </row>
    <row r="45" spans="2:13" ht="13.05" customHeight="1" x14ac:dyDescent="0.25">
      <c r="B45" s="24">
        <v>4</v>
      </c>
      <c r="C45" s="11" t="s">
        <v>735</v>
      </c>
      <c r="D45" s="7" t="str">
        <f>IFERROR(VLOOKUP(C45,'Lista desplegable'!B$1:C$436,2,FALSE),"")</f>
        <v>MANUEL ALEJANDRO TILLERIA SAAVEDRA</v>
      </c>
      <c r="E45" s="7" t="str">
        <f>IFERROR(VLOOKUP(D45,'Lista desplegable'!C$1:D$436,2,FALSE),"")</f>
        <v>MECANICO</v>
      </c>
      <c r="F45" s="19" t="s">
        <v>890</v>
      </c>
      <c r="G45" s="11" t="s">
        <v>903</v>
      </c>
      <c r="H45" s="11" t="s">
        <v>911</v>
      </c>
      <c r="I45" s="11">
        <v>9</v>
      </c>
      <c r="J45" s="11" t="s">
        <v>984</v>
      </c>
      <c r="K45" s="11" t="s">
        <v>918</v>
      </c>
      <c r="L45" s="11" t="s">
        <v>918</v>
      </c>
      <c r="M45" s="11"/>
    </row>
    <row r="46" spans="2:13" ht="13.05" customHeight="1" x14ac:dyDescent="0.25">
      <c r="B46" s="24">
        <v>5</v>
      </c>
      <c r="C46" s="11" t="s">
        <v>867</v>
      </c>
      <c r="D46" s="7" t="str">
        <f>IFERROR(VLOOKUP(C46,'Lista desplegable'!B$1:C$436,2,FALSE),"")</f>
        <v>ULZIIBADRAKH BAYANMUNKH .</v>
      </c>
      <c r="E46" s="7" t="str">
        <f>IFERROR(VLOOKUP(D46,'Lista desplegable'!C$1:D$436,2,FALSE),"")</f>
        <v>PERFORISTA</v>
      </c>
      <c r="F46" s="19" t="s">
        <v>890</v>
      </c>
      <c r="G46" s="11" t="s">
        <v>903</v>
      </c>
      <c r="H46" s="11" t="s">
        <v>911</v>
      </c>
      <c r="I46" s="11">
        <v>9</v>
      </c>
      <c r="J46" s="11" t="s">
        <v>984</v>
      </c>
      <c r="K46" s="11" t="s">
        <v>918</v>
      </c>
      <c r="L46" s="11" t="s">
        <v>918</v>
      </c>
      <c r="M46" s="11"/>
    </row>
    <row r="47" spans="2:13" ht="13.05" customHeight="1" x14ac:dyDescent="0.25">
      <c r="B47" s="24">
        <v>6</v>
      </c>
      <c r="C47" s="11" t="s">
        <v>676</v>
      </c>
      <c r="D47" s="7" t="str">
        <f>IFERROR(VLOOKUP(C47,'Lista desplegable'!B$1:C$436,2,FALSE),"")</f>
        <v>JOHN BYRON VASQUEZ CARROZA</v>
      </c>
      <c r="E47" s="7" t="str">
        <f>IFERROR(VLOOKUP(D47,'Lista desplegable'!C$1:D$436,2,FALSE),"")</f>
        <v>AYUDANTE DE PERFORISTA</v>
      </c>
      <c r="F47" s="19" t="s">
        <v>890</v>
      </c>
      <c r="G47" s="11" t="s">
        <v>903</v>
      </c>
      <c r="H47" s="11" t="s">
        <v>911</v>
      </c>
      <c r="I47" s="11">
        <v>9</v>
      </c>
      <c r="J47" s="11" t="s">
        <v>984</v>
      </c>
      <c r="K47" s="11" t="s">
        <v>918</v>
      </c>
      <c r="L47" s="11" t="s">
        <v>918</v>
      </c>
      <c r="M47" s="11"/>
    </row>
    <row r="48" spans="2:13" ht="13.05" customHeight="1" x14ac:dyDescent="0.25">
      <c r="B48" s="24">
        <v>7</v>
      </c>
      <c r="C48" s="11" t="s">
        <v>758</v>
      </c>
      <c r="D48" s="7" t="str">
        <f>IFERROR(VLOOKUP(C48,'Lista desplegable'!B$1:C$436,2,FALSE),"")</f>
        <v>MAURICIO ANDRES OYARZUN SALAMANCA</v>
      </c>
      <c r="E48" s="7" t="str">
        <f>IFERROR(VLOOKUP(D48,'Lista desplegable'!C$1:D$436,2,FALSE),"")</f>
        <v>AYUDANTE DE PERFORISTA</v>
      </c>
      <c r="F48" s="19" t="s">
        <v>890</v>
      </c>
      <c r="G48" s="11" t="s">
        <v>903</v>
      </c>
      <c r="H48" s="11" t="s">
        <v>911</v>
      </c>
      <c r="I48" s="11">
        <v>9</v>
      </c>
      <c r="J48" s="11" t="s">
        <v>984</v>
      </c>
      <c r="K48" s="11" t="s">
        <v>918</v>
      </c>
      <c r="L48" s="11" t="s">
        <v>918</v>
      </c>
      <c r="M48" s="11"/>
    </row>
    <row r="49" spans="2:13" ht="13.05" customHeight="1" x14ac:dyDescent="0.25">
      <c r="B49" s="24">
        <v>8</v>
      </c>
      <c r="C49" s="11"/>
      <c r="D49" s="7" t="str">
        <f>IFERROR(VLOOKUP(C49,'Lista desplegable'!B$1:C$436,2,FALSE),"")</f>
        <v/>
      </c>
      <c r="E49" s="7" t="str">
        <f>IFERROR(VLOOKUP(D49,'Lista desplegable'!C$1:D$436,2,FALSE),"")</f>
        <v/>
      </c>
      <c r="F49" s="19"/>
      <c r="G49" s="11"/>
      <c r="H49" s="11"/>
      <c r="I49" s="11"/>
      <c r="J49" s="11"/>
      <c r="K49" s="11"/>
      <c r="L49" s="11"/>
      <c r="M49" s="11"/>
    </row>
    <row r="50" spans="2:13" ht="13.05" customHeight="1" x14ac:dyDescent="0.25">
      <c r="B50" s="24">
        <v>9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11"/>
      <c r="J50" s="11"/>
      <c r="K50" s="11"/>
      <c r="L50" s="11"/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2:I2"/>
    <mergeCell ref="G3:I3"/>
    <mergeCell ref="C6:M6"/>
    <mergeCell ref="C40:M40"/>
  </mergeCell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23D7A10-64E3-4F87-A8BA-014287D53EF4}">
          <x14:formula1>
            <xm:f>'Lista desplegable'!$L$2:$L$3</xm:f>
          </x14:formula1>
          <xm:sqref>K8:L37 K42:L71</xm:sqref>
        </x14:dataValidation>
        <x14:dataValidation type="list" allowBlank="1" showInputMessage="1" showErrorMessage="1" xr:uid="{CEE85ACB-B70E-4D4E-9C3B-606593805850}">
          <x14:formula1>
            <xm:f>'Lista desplegable'!$H$2:$H$7</xm:f>
          </x14:formula1>
          <xm:sqref>G8:G37 G42:G71</xm:sqref>
        </x14:dataValidation>
        <x14:dataValidation type="list" allowBlank="1" showInputMessage="1" showErrorMessage="1" xr:uid="{9CD3488E-A491-4FEC-B596-7758AF868ACB}">
          <x14:formula1>
            <xm:f>'Lista desplegable'!$J$2:$J$10</xm:f>
          </x14:formula1>
          <xm:sqref>H8:H37 H42:H71</xm:sqref>
        </x14:dataValidation>
        <x14:dataValidation type="list" allowBlank="1" showInputMessage="1" showErrorMessage="1" xr:uid="{9E81550D-ECCE-4E51-B4C8-FD56CDF23D8F}">
          <x14:formula1>
            <xm:f>'Lista desplegable'!$F$2:$F$19</xm:f>
          </x14:formula1>
          <xm:sqref>F8:F37 F42:F71</xm:sqref>
        </x14:dataValidation>
        <x14:dataValidation type="list" allowBlank="1" showInputMessage="1" showErrorMessage="1" xr:uid="{317960A0-8CFE-43D7-ADD2-CC6D3557FA4D}">
          <x14:formula1>
            <xm:f>'Lista desplegable'!$B$2:$B$436</xm:f>
          </x14:formula1>
          <xm:sqref>C42:C71 C8:C37</xm:sqref>
        </x14:dataValidation>
        <x14:dataValidation type="list" allowBlank="1" showInputMessage="1" showErrorMessage="1" xr:uid="{33DD5181-26A2-48DB-8449-2FAE7A389C9A}">
          <x14:formula1>
            <xm:f>'Lista desplegable'!$N$2:$N$5</xm:f>
          </x14:formula1>
          <xm:sqref>J8:J37 J42:J71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9623-BC00-45FA-9F78-3AA70479E60F}">
  <dimension ref="B1:M93"/>
  <sheetViews>
    <sheetView topLeftCell="A3" zoomScale="80" zoomScaleNormal="80" workbookViewId="0">
      <selection activeCell="M10" sqref="M10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0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23.6640625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46281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11" t="s">
        <v>572</v>
      </c>
      <c r="D8" s="7" t="str">
        <f>IFERROR(VLOOKUP(C8,'Lista desplegable'!B$1:C$436,2,FALSE),"")</f>
        <v>CRISTIAN ROGELIO PASTEN VERGARA</v>
      </c>
      <c r="E8" s="7" t="str">
        <f>IFERROR(VLOOKUP(D8,'Lista desplegable'!C$1:D$436,2,FALSE),"")</f>
        <v>JEFE DE FAENA</v>
      </c>
      <c r="F8" s="19" t="s">
        <v>890</v>
      </c>
      <c r="G8" s="11" t="s">
        <v>903</v>
      </c>
      <c r="H8" s="11" t="s">
        <v>911</v>
      </c>
      <c r="I8" s="11">
        <v>0</v>
      </c>
      <c r="J8" s="11" t="s">
        <v>984</v>
      </c>
      <c r="K8" s="11" t="s">
        <v>918</v>
      </c>
      <c r="L8" s="11" t="s">
        <v>918</v>
      </c>
      <c r="M8" s="11"/>
    </row>
    <row r="9" spans="2:13" s="1" customFormat="1" ht="13.05" customHeight="1" x14ac:dyDescent="0.25">
      <c r="B9" s="24">
        <v>2</v>
      </c>
      <c r="C9" s="10" t="s">
        <v>675</v>
      </c>
      <c r="D9" s="7" t="str">
        <f>IFERROR(VLOOKUP(C9,'Lista desplegable'!B$1:C$436,2,FALSE),"")</f>
        <v>JOHN ALEXIS BRICEÑO HONORES</v>
      </c>
      <c r="E9" s="7" t="str">
        <f>IFERROR(VLOOKUP(D9,'Lista desplegable'!C$1:D$436,2,FALSE),"")</f>
        <v>PREVENCIONISTA DE RIESGOS</v>
      </c>
      <c r="F9" s="19" t="s">
        <v>890</v>
      </c>
      <c r="G9" s="11" t="s">
        <v>903</v>
      </c>
      <c r="H9" s="11" t="s">
        <v>911</v>
      </c>
      <c r="I9" s="11">
        <v>0</v>
      </c>
      <c r="J9" s="11" t="s">
        <v>984</v>
      </c>
      <c r="K9" s="11" t="s">
        <v>918</v>
      </c>
      <c r="L9" s="11" t="s">
        <v>918</v>
      </c>
      <c r="M9" s="11"/>
    </row>
    <row r="10" spans="2:13" s="1" customFormat="1" ht="13.05" customHeight="1" x14ac:dyDescent="0.25">
      <c r="B10" s="24">
        <v>3</v>
      </c>
      <c r="C10" s="11" t="s">
        <v>625</v>
      </c>
      <c r="D10" s="7" t="str">
        <f>IFERROR(VLOOKUP(C10,'Lista desplegable'!B$1:C$436,2,FALSE),"")</f>
        <v>FELIPE IVAN LUIS ZAMBRA GONZALEZ</v>
      </c>
      <c r="E10" s="7" t="str">
        <f>IFERROR(VLOOKUP(D10,'Lista desplegable'!C$1:D$436,2,FALSE),"")</f>
        <v>BODEGUERO</v>
      </c>
      <c r="F10" s="19" t="s">
        <v>890</v>
      </c>
      <c r="G10" s="11" t="s">
        <v>903</v>
      </c>
      <c r="H10" s="11" t="s">
        <v>911</v>
      </c>
      <c r="I10" s="11">
        <v>0</v>
      </c>
      <c r="J10" s="11" t="s">
        <v>984</v>
      </c>
      <c r="K10" s="11" t="s">
        <v>918</v>
      </c>
      <c r="L10" s="11" t="s">
        <v>918</v>
      </c>
      <c r="M10" s="11"/>
    </row>
    <row r="11" spans="2:13" s="1" customFormat="1" ht="13.05" customHeight="1" x14ac:dyDescent="0.25">
      <c r="B11" s="24">
        <v>4</v>
      </c>
      <c r="C11" s="11" t="s">
        <v>810</v>
      </c>
      <c r="D11" s="7" t="str">
        <f>IFERROR(VLOOKUP(C11,'Lista desplegable'!B$1:C$436,2,FALSE),"")</f>
        <v>RENE ALFREDO RIOS MALDONADO</v>
      </c>
      <c r="E11" s="7" t="str">
        <f>IFERROR(VLOOKUP(D11,'Lista desplegable'!C$1:D$436,2,FALSE),"")</f>
        <v>ADMINISTRATIVO DE FAENA</v>
      </c>
      <c r="F11" s="19" t="s">
        <v>890</v>
      </c>
      <c r="G11" s="11" t="s">
        <v>903</v>
      </c>
      <c r="H11" s="11" t="s">
        <v>911</v>
      </c>
      <c r="I11" s="11">
        <v>0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11" t="s">
        <v>719</v>
      </c>
      <c r="D12" s="7" t="str">
        <f>IFERROR(VLOOKUP(C12,'Lista desplegable'!B$1:C$436,2,FALSE),"")</f>
        <v>LEONARDO ANDRES MENESES ARREDONDO</v>
      </c>
      <c r="E12" s="7" t="str">
        <f>IFERROR(VLOOKUP(D12,'Lista desplegable'!C$1:D$436,2,FALSE),"")</f>
        <v>SUPERVISOR DE OPERACIONES</v>
      </c>
      <c r="F12" s="19" t="s">
        <v>890</v>
      </c>
      <c r="G12" s="11" t="s">
        <v>903</v>
      </c>
      <c r="H12" s="11" t="s">
        <v>911</v>
      </c>
      <c r="I12" s="11">
        <v>0</v>
      </c>
      <c r="J12" s="11" t="s">
        <v>984</v>
      </c>
      <c r="K12" s="11" t="s">
        <v>918</v>
      </c>
      <c r="L12" s="11" t="s">
        <v>918</v>
      </c>
      <c r="M12" s="11"/>
    </row>
    <row r="13" spans="2:13" s="1" customFormat="1" ht="13.05" customHeight="1" x14ac:dyDescent="0.25">
      <c r="B13" s="24">
        <v>6</v>
      </c>
      <c r="C13" s="11" t="s">
        <v>723</v>
      </c>
      <c r="D13" s="7" t="str">
        <f>IFERROR(VLOOKUP(C13,'Lista desplegable'!B$1:C$436,2,FALSE),"")</f>
        <v>LEONEL GUILLERMO CAMPUSANO DUBO</v>
      </c>
      <c r="E13" s="7" t="str">
        <f>IFERROR(VLOOKUP(D13,'Lista desplegable'!C$1:D$436,2,FALSE),"")</f>
        <v>AYUDANTE DE PERFORISTA</v>
      </c>
      <c r="F13" s="19" t="s">
        <v>890</v>
      </c>
      <c r="G13" s="11" t="s">
        <v>903</v>
      </c>
      <c r="H13" s="11" t="s">
        <v>911</v>
      </c>
      <c r="I13" s="11">
        <v>0</v>
      </c>
      <c r="J13" s="11" t="s">
        <v>984</v>
      </c>
      <c r="K13" s="11" t="s">
        <v>918</v>
      </c>
      <c r="L13" s="11" t="s">
        <v>918</v>
      </c>
      <c r="M13" s="11"/>
    </row>
    <row r="14" spans="2:13" s="1" customFormat="1" ht="13.05" customHeight="1" x14ac:dyDescent="0.25">
      <c r="B14" s="24">
        <v>7</v>
      </c>
      <c r="C14" s="11" t="s">
        <v>876</v>
      </c>
      <c r="D14" s="7" t="str">
        <f>IFERROR(VLOOKUP(C14,'Lista desplegable'!B$1:C$436,2,FALSE),"")</f>
        <v>VICTOR MANUEL MONDACA VEGA</v>
      </c>
      <c r="E14" s="7" t="str">
        <f>IFERROR(VLOOKUP(D14,'Lista desplegable'!C$1:D$436,2,FALSE),"")</f>
        <v>AYUDANTE DE PERFORISTA</v>
      </c>
      <c r="F14" s="19" t="s">
        <v>890</v>
      </c>
      <c r="G14" s="11" t="s">
        <v>903</v>
      </c>
      <c r="H14" s="11" t="s">
        <v>911</v>
      </c>
      <c r="I14" s="11">
        <v>0</v>
      </c>
      <c r="J14" s="11" t="s">
        <v>984</v>
      </c>
      <c r="K14" s="11" t="s">
        <v>918</v>
      </c>
      <c r="L14" s="11" t="s">
        <v>918</v>
      </c>
      <c r="M14" s="11"/>
    </row>
    <row r="15" spans="2:13" s="1" customFormat="1" ht="13.05" customHeight="1" x14ac:dyDescent="0.25">
      <c r="B15" s="24">
        <v>8</v>
      </c>
      <c r="C15" s="11" t="s">
        <v>686</v>
      </c>
      <c r="D15" s="7" t="str">
        <f>IFERROR(VLOOKUP(C15,'Lista desplegable'!B$1:C$436,2,FALSE),"")</f>
        <v>JORGE ARMANDO TINOCO OSPINO</v>
      </c>
      <c r="E15" s="7" t="str">
        <f>IFERROR(VLOOKUP(D15,'Lista desplegable'!C$1:D$436,2,FALSE),"")</f>
        <v>CHOFER</v>
      </c>
      <c r="F15" s="19" t="s">
        <v>890</v>
      </c>
      <c r="G15" s="11" t="s">
        <v>903</v>
      </c>
      <c r="H15" s="11" t="s">
        <v>911</v>
      </c>
      <c r="I15" s="11">
        <v>0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11" t="s">
        <v>534</v>
      </c>
      <c r="D16" s="7" t="str">
        <f>IFERROR(VLOOKUP(C16,'Lista desplegable'!B$1:C$436,2,FALSE),"")</f>
        <v>BENJAMIN JOSEFATT ESPINOZA URIBE</v>
      </c>
      <c r="E16" s="7" t="str">
        <f>IFERROR(VLOOKUP(D16,'Lista desplegable'!C$1:D$436,2,FALSE),"")</f>
        <v>CHOFER</v>
      </c>
      <c r="F16" s="19" t="s">
        <v>890</v>
      </c>
      <c r="G16" s="11" t="s">
        <v>903</v>
      </c>
      <c r="H16" s="11" t="s">
        <v>911</v>
      </c>
      <c r="I16" s="11">
        <v>0</v>
      </c>
      <c r="J16" s="11" t="s">
        <v>984</v>
      </c>
      <c r="K16" s="11" t="s">
        <v>918</v>
      </c>
      <c r="L16" s="11" t="s">
        <v>918</v>
      </c>
      <c r="M16" s="11"/>
    </row>
    <row r="17" spans="2:13" s="1" customFormat="1" ht="13.05" customHeight="1" x14ac:dyDescent="0.25">
      <c r="B17" s="24">
        <v>10</v>
      </c>
      <c r="C17" s="11" t="s">
        <v>879</v>
      </c>
      <c r="D17" s="7" t="str">
        <f>IFERROR(VLOOKUP(C17,'Lista desplegable'!B$1:C$436,2,FALSE),"")</f>
        <v>WALTER DEL CARMEN PIZARRO ALVAREZ</v>
      </c>
      <c r="E17" s="7" t="str">
        <f>IFERROR(VLOOKUP(D17,'Lista desplegable'!C$1:D$436,2,FALSE),"")</f>
        <v>CHOFER</v>
      </c>
      <c r="F17" s="19" t="s">
        <v>890</v>
      </c>
      <c r="G17" s="11" t="s">
        <v>903</v>
      </c>
      <c r="H17" s="11" t="s">
        <v>911</v>
      </c>
      <c r="I17" s="11">
        <v>0</v>
      </c>
      <c r="J17" s="11" t="s">
        <v>984</v>
      </c>
      <c r="K17" s="11" t="s">
        <v>918</v>
      </c>
      <c r="L17" s="11" t="s">
        <v>918</v>
      </c>
      <c r="M17" s="11" t="s">
        <v>1013</v>
      </c>
    </row>
    <row r="18" spans="2:13" s="1" customFormat="1" ht="13.05" customHeight="1" x14ac:dyDescent="0.25">
      <c r="B18" s="24">
        <v>11</v>
      </c>
      <c r="C18" s="10" t="s">
        <v>607</v>
      </c>
      <c r="D18" s="7" t="str">
        <f>IFERROR(VLOOKUP(C18,'Lista desplegable'!B$1:C$436,2,FALSE),"")</f>
        <v>ENKHZAYA GANBAATAR .</v>
      </c>
      <c r="E18" s="7" t="str">
        <f>IFERROR(VLOOKUP(D18,'Lista desplegable'!C$1:D$436,2,FALSE),"")</f>
        <v>PERFORISTA</v>
      </c>
      <c r="F18" s="19" t="s">
        <v>890</v>
      </c>
      <c r="G18" s="11" t="s">
        <v>903</v>
      </c>
      <c r="H18" s="11" t="s">
        <v>911</v>
      </c>
      <c r="I18" s="11">
        <v>0</v>
      </c>
      <c r="J18" s="11" t="s">
        <v>984</v>
      </c>
      <c r="K18" s="11"/>
      <c r="L18" s="11"/>
      <c r="M18" s="11"/>
    </row>
    <row r="19" spans="2:13" s="1" customFormat="1" ht="13.05" customHeight="1" x14ac:dyDescent="0.25">
      <c r="B19" s="24">
        <v>12</v>
      </c>
      <c r="C19" s="11" t="s">
        <v>689</v>
      </c>
      <c r="D19" s="7" t="str">
        <f>IFERROR(VLOOKUP(C19,'Lista desplegable'!B$1:C$436,2,FALSE),"")</f>
        <v>JORGE ERIKSON DURAND RUIZ</v>
      </c>
      <c r="E19" s="7" t="str">
        <f>IFERROR(VLOOKUP(D19,'Lista desplegable'!C$1:D$436,2,FALSE),"")</f>
        <v>MECANICO</v>
      </c>
      <c r="F19" s="19" t="s">
        <v>890</v>
      </c>
      <c r="G19" s="11" t="s">
        <v>903</v>
      </c>
      <c r="H19" s="11" t="s">
        <v>911</v>
      </c>
      <c r="I19" s="11">
        <v>0</v>
      </c>
      <c r="J19" s="11" t="s">
        <v>984</v>
      </c>
      <c r="K19" s="11" t="s">
        <v>918</v>
      </c>
      <c r="L19" s="11" t="s">
        <v>918</v>
      </c>
      <c r="M19" s="11"/>
    </row>
    <row r="20" spans="2:13" s="1" customFormat="1" ht="13.05" customHeight="1" x14ac:dyDescent="0.25">
      <c r="B20" s="24">
        <v>13</v>
      </c>
      <c r="C20" s="11" t="s">
        <v>881</v>
      </c>
      <c r="D20" s="7" t="str">
        <f>IFERROR(VLOOKUP(C20,'Lista desplegable'!B$1:C$436,2,FALSE),"")</f>
        <v>WILLIAM HERNAN ALVAREZ TRUJILLO</v>
      </c>
      <c r="E20" s="7" t="str">
        <f>IFERROR(VLOOKUP(D20,'Lista desplegable'!C$1:D$436,2,FALSE),"")</f>
        <v>SOLDADOR</v>
      </c>
      <c r="F20" s="19" t="s">
        <v>890</v>
      </c>
      <c r="G20" s="11" t="s">
        <v>903</v>
      </c>
      <c r="H20" s="11" t="s">
        <v>911</v>
      </c>
      <c r="I20" s="11">
        <v>0</v>
      </c>
      <c r="J20" s="11" t="s">
        <v>984</v>
      </c>
      <c r="K20" s="11" t="s">
        <v>918</v>
      </c>
      <c r="L20" s="11" t="s">
        <v>918</v>
      </c>
      <c r="M20" s="11" t="s">
        <v>1014</v>
      </c>
    </row>
    <row r="21" spans="2:13" s="1" customFormat="1" ht="13.05" customHeight="1" x14ac:dyDescent="0.25">
      <c r="B21" s="24">
        <v>14</v>
      </c>
      <c r="C21" s="11" t="s">
        <v>549</v>
      </c>
      <c r="D21" s="7" t="str">
        <f>IFERROR(VLOOKUP(C21,'Lista desplegable'!B$1:C$436,2,FALSE),"")</f>
        <v>CARLOS EDUARDO RODRIGUEZ HERNANDEZ</v>
      </c>
      <c r="E21" s="7" t="str">
        <f>IFERROR(VLOOKUP(D21,'Lista desplegable'!C$1:D$436,2,FALSE),"")</f>
        <v>ADMINISTRADOR DE CONTRATO</v>
      </c>
      <c r="F21" s="19" t="s">
        <v>890</v>
      </c>
      <c r="G21" s="11" t="s">
        <v>903</v>
      </c>
      <c r="H21" s="11" t="s">
        <v>911</v>
      </c>
      <c r="I21" s="11">
        <v>0</v>
      </c>
      <c r="J21" s="11" t="s">
        <v>984</v>
      </c>
      <c r="K21" s="11" t="s">
        <v>918</v>
      </c>
      <c r="L21" s="11" t="s">
        <v>918</v>
      </c>
      <c r="M21" s="11"/>
    </row>
    <row r="22" spans="2:13" s="1" customFormat="1" ht="13.05" customHeight="1" x14ac:dyDescent="0.25">
      <c r="B22" s="24">
        <v>15</v>
      </c>
      <c r="C22" s="11"/>
      <c r="D22" s="7" t="str">
        <f>IFERROR(VLOOKUP(C22,'Lista desplegable'!B$1:C$436,2,FALSE),"")</f>
        <v/>
      </c>
      <c r="E22" s="7" t="str">
        <f>IFERROR(VLOOKUP(D22,'Lista desplegable'!C$1:D$436,2,FALSE),"")</f>
        <v/>
      </c>
      <c r="F22" s="19"/>
      <c r="G22" s="11"/>
      <c r="H22" s="11"/>
      <c r="I22" s="11"/>
      <c r="J22" s="11"/>
      <c r="K22" s="11"/>
      <c r="L22" s="11"/>
      <c r="M22" s="11"/>
    </row>
    <row r="23" spans="2:13" s="1" customFormat="1" ht="13.05" customHeight="1" x14ac:dyDescent="0.25">
      <c r="B23" s="24">
        <v>16</v>
      </c>
      <c r="C23" s="11"/>
      <c r="D23" s="7" t="str">
        <f>IFERROR(VLOOKUP(C23,'Lista desplegable'!B$1:C$436,2,FALSE),"")</f>
        <v/>
      </c>
      <c r="E23" s="7" t="str">
        <f>IFERROR(VLOOKUP(D23,'Lista desplegable'!C$1:D$436,2,FALSE),"")</f>
        <v/>
      </c>
      <c r="F23" s="19"/>
      <c r="G23" s="11"/>
      <c r="H23" s="11"/>
      <c r="I23" s="11"/>
      <c r="J23" s="11"/>
      <c r="K23" s="11"/>
      <c r="L23" s="11"/>
      <c r="M23" s="11"/>
    </row>
    <row r="24" spans="2:13" s="1" customFormat="1" ht="13.05" customHeight="1" x14ac:dyDescent="0.25">
      <c r="B24" s="24">
        <v>17</v>
      </c>
      <c r="C24" s="11"/>
      <c r="D24" s="7" t="str">
        <f>IFERROR(VLOOKUP(C24,'Lista desplegable'!B$1:C$436,2,FALSE),"")</f>
        <v/>
      </c>
      <c r="E24" s="7" t="str">
        <f>IFERROR(VLOOKUP(D24,'Lista desplegable'!C$1:D$436,2,FALSE),"")</f>
        <v/>
      </c>
      <c r="F24" s="19"/>
      <c r="G24" s="11"/>
      <c r="H24" s="11"/>
      <c r="I24" s="11"/>
      <c r="J24" s="11"/>
      <c r="K24" s="11"/>
      <c r="L24" s="11"/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05" customHeight="1" x14ac:dyDescent="0.25">
      <c r="C38"/>
    </row>
    <row r="39" spans="2:13" ht="13.05" customHeight="1" x14ac:dyDescent="0.25">
      <c r="C39"/>
    </row>
    <row r="40" spans="2:13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3" ht="13.05" customHeight="1" x14ac:dyDescent="0.25">
      <c r="B42" s="24">
        <v>1</v>
      </c>
      <c r="C42" s="11" t="s">
        <v>865</v>
      </c>
      <c r="D42" s="7" t="str">
        <f>IFERROR(VLOOKUP(C42,'Lista desplegable'!B$1:C$436,2,FALSE),"")</f>
        <v>ULINSON DIAZ CORTES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>
        <v>0</v>
      </c>
      <c r="J42" s="11" t="s">
        <v>984</v>
      </c>
      <c r="K42" s="11" t="s">
        <v>918</v>
      </c>
      <c r="L42" s="11" t="s">
        <v>919</v>
      </c>
      <c r="M42" s="11" t="s">
        <v>1015</v>
      </c>
    </row>
    <row r="43" spans="2:13" ht="13.05" customHeight="1" x14ac:dyDescent="0.25">
      <c r="B43" s="24">
        <v>2</v>
      </c>
      <c r="C43" s="11" t="s">
        <v>829</v>
      </c>
      <c r="D43" s="7" t="str">
        <f>IFERROR(VLOOKUP(C43,'Lista desplegable'!B$1:C$436,2,FALSE),"")</f>
        <v>RODRIGO ALEJANDRO FLORES ZEPEDA</v>
      </c>
      <c r="E43" s="7" t="str">
        <f>IFERROR(VLOOKUP(D43,'Lista desplegable'!C$1:D$436,2,FALSE),"")</f>
        <v>AYUDANTE DE PERFORISTA</v>
      </c>
      <c r="F43" s="19" t="s">
        <v>890</v>
      </c>
      <c r="G43" s="11" t="s">
        <v>903</v>
      </c>
      <c r="H43" s="11" t="s">
        <v>911</v>
      </c>
      <c r="I43" s="11">
        <v>0</v>
      </c>
      <c r="J43" s="11" t="s">
        <v>984</v>
      </c>
      <c r="K43" s="11" t="s">
        <v>918</v>
      </c>
      <c r="L43" s="11" t="s">
        <v>919</v>
      </c>
      <c r="M43" s="11" t="s">
        <v>1015</v>
      </c>
    </row>
    <row r="44" spans="2:13" ht="13.05" customHeight="1" x14ac:dyDescent="0.25">
      <c r="B44" s="24">
        <v>3</v>
      </c>
      <c r="C44" s="11" t="s">
        <v>618</v>
      </c>
      <c r="D44" s="7" t="str">
        <f>IFERROR(VLOOKUP(C44,'Lista desplegable'!B$1:C$436,2,FALSE),"")</f>
        <v>FABIAN PATRICIO CABRERA GODOY</v>
      </c>
      <c r="E44" s="7" t="str">
        <f>IFERROR(VLOOKUP(D44,'Lista desplegable'!C$1:D$436,2,FALSE),"")</f>
        <v>AYUDANTE DE PERFORISTA</v>
      </c>
      <c r="F44" s="19" t="s">
        <v>890</v>
      </c>
      <c r="G44" s="11" t="s">
        <v>903</v>
      </c>
      <c r="H44" s="11" t="s">
        <v>911</v>
      </c>
      <c r="I44" s="11">
        <v>0</v>
      </c>
      <c r="J44" s="11" t="s">
        <v>984</v>
      </c>
      <c r="K44" s="11" t="s">
        <v>918</v>
      </c>
      <c r="L44" s="11" t="s">
        <v>919</v>
      </c>
      <c r="M44" s="11" t="s">
        <v>1015</v>
      </c>
    </row>
    <row r="45" spans="2:13" ht="13.05" customHeight="1" x14ac:dyDescent="0.25">
      <c r="B45" s="24">
        <v>4</v>
      </c>
      <c r="C45" s="11" t="s">
        <v>616</v>
      </c>
      <c r="D45" s="7" t="str">
        <f>IFERROR(VLOOKUP(C45,'Lista desplegable'!B$1:C$436,2,FALSE),"")</f>
        <v>ESTEFANIA CONSTANZA NAETER QUIROZ</v>
      </c>
      <c r="E45" s="7" t="str">
        <f>IFERROR(VLOOKUP(D45,'Lista desplegable'!C$1:D$436,2,FALSE),"")</f>
        <v>CHOFER</v>
      </c>
      <c r="F45" s="19" t="s">
        <v>890</v>
      </c>
      <c r="G45" s="11" t="s">
        <v>903</v>
      </c>
      <c r="H45" s="11" t="s">
        <v>911</v>
      </c>
      <c r="I45" s="11">
        <v>0</v>
      </c>
      <c r="J45" s="11" t="s">
        <v>984</v>
      </c>
      <c r="K45" s="11" t="s">
        <v>918</v>
      </c>
      <c r="L45" s="11" t="s">
        <v>919</v>
      </c>
      <c r="M45" s="11" t="s">
        <v>1015</v>
      </c>
    </row>
    <row r="46" spans="2:13" ht="13.05" customHeight="1" x14ac:dyDescent="0.25">
      <c r="B46" s="24">
        <v>5</v>
      </c>
      <c r="C46" s="11" t="s">
        <v>990</v>
      </c>
      <c r="D46" s="7" t="str">
        <f>IFERROR(VLOOKUP(C46,'Lista desplegable'!B$1:C$436,2,FALSE),"")</f>
        <v>BENIGNO EDUARDO PAEZ MENESES</v>
      </c>
      <c r="E46" s="7" t="str">
        <f>IFERROR(VLOOKUP(D46,'Lista desplegable'!C$1:D$436,2,FALSE),"")</f>
        <v>CHOFER</v>
      </c>
      <c r="F46" s="19" t="s">
        <v>890</v>
      </c>
      <c r="G46" s="11" t="s">
        <v>903</v>
      </c>
      <c r="H46" s="11" t="s">
        <v>911</v>
      </c>
      <c r="I46" s="11">
        <v>0</v>
      </c>
      <c r="J46" s="11" t="s">
        <v>984</v>
      </c>
      <c r="K46" s="11" t="s">
        <v>918</v>
      </c>
      <c r="L46" s="11" t="s">
        <v>919</v>
      </c>
      <c r="M46" s="11" t="s">
        <v>1015</v>
      </c>
    </row>
    <row r="47" spans="2:13" ht="13.05" customHeight="1" x14ac:dyDescent="0.25">
      <c r="B47" s="24">
        <v>6</v>
      </c>
      <c r="C47" s="11" t="s">
        <v>826</v>
      </c>
      <c r="D47" s="7" t="str">
        <f>IFERROR(VLOOKUP(C47,'Lista desplegable'!B$1:C$436,2,FALSE),"")</f>
        <v>ROBERTO MARIO VARGAS RODRIGUEZ</v>
      </c>
      <c r="E47" s="7" t="str">
        <f>IFERROR(VLOOKUP(D47,'Lista desplegable'!C$1:D$436,2,FALSE),"")</f>
        <v>MECANICO</v>
      </c>
      <c r="F47" s="19" t="s">
        <v>890</v>
      </c>
      <c r="G47" s="11" t="s">
        <v>903</v>
      </c>
      <c r="H47" s="11" t="s">
        <v>911</v>
      </c>
      <c r="I47" s="11">
        <v>0</v>
      </c>
      <c r="J47" s="11" t="s">
        <v>984</v>
      </c>
      <c r="K47" s="11" t="s">
        <v>918</v>
      </c>
      <c r="L47" s="11" t="s">
        <v>919</v>
      </c>
      <c r="M47" s="11" t="s">
        <v>1015</v>
      </c>
    </row>
    <row r="48" spans="2:13" ht="13.05" customHeight="1" x14ac:dyDescent="0.25">
      <c r="B48" s="24">
        <v>7</v>
      </c>
      <c r="C48" s="11" t="s">
        <v>867</v>
      </c>
      <c r="D48" s="7" t="str">
        <f>IFERROR(VLOOKUP(C48,'Lista desplegable'!B$1:C$436,2,FALSE),"")</f>
        <v>ULZIIBADRAKH BAYANMUNKH .</v>
      </c>
      <c r="E48" s="7" t="str">
        <f>IFERROR(VLOOKUP(D48,'Lista desplegable'!C$1:D$436,2,FALSE),"")</f>
        <v>PERFORISTA</v>
      </c>
      <c r="F48" s="19" t="s">
        <v>890</v>
      </c>
      <c r="G48" s="11" t="s">
        <v>903</v>
      </c>
      <c r="H48" s="11" t="s">
        <v>911</v>
      </c>
      <c r="I48" s="11">
        <v>0</v>
      </c>
      <c r="J48" s="11" t="s">
        <v>984</v>
      </c>
      <c r="K48" s="11"/>
      <c r="L48" s="11"/>
      <c r="M48" s="11"/>
    </row>
    <row r="49" spans="2:13" ht="13.05" customHeight="1" x14ac:dyDescent="0.25">
      <c r="B49" s="24">
        <v>8</v>
      </c>
      <c r="C49" s="11" t="s">
        <v>654</v>
      </c>
      <c r="D49" s="7" t="str">
        <f>IFERROR(VLOOKUP(C49,'Lista desplegable'!B$1:C$436,2,FALSE),"")</f>
        <v>IGNACIO ALEJANDRO ROBLES BARRIOS</v>
      </c>
      <c r="E49" s="7" t="str">
        <f>IFERROR(VLOOKUP(D49,'Lista desplegable'!C$1:D$436,2,FALSE),"")</f>
        <v>AYUDANTE DE PERFORISTA</v>
      </c>
      <c r="F49" s="19" t="s">
        <v>890</v>
      </c>
      <c r="G49" s="11" t="s">
        <v>903</v>
      </c>
      <c r="H49" s="11" t="s">
        <v>911</v>
      </c>
      <c r="I49" s="11">
        <v>0</v>
      </c>
      <c r="J49" s="11" t="s">
        <v>984</v>
      </c>
      <c r="K49" s="11" t="s">
        <v>918</v>
      </c>
      <c r="L49" s="11" t="s">
        <v>919</v>
      </c>
      <c r="M49" s="11" t="s">
        <v>1015</v>
      </c>
    </row>
    <row r="50" spans="2:13" ht="13.05" customHeight="1" x14ac:dyDescent="0.25">
      <c r="B50" s="24">
        <v>9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11"/>
      <c r="J50" s="11"/>
      <c r="K50" s="11"/>
      <c r="L50" s="11"/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2:I2"/>
    <mergeCell ref="G3:I3"/>
    <mergeCell ref="C6:M6"/>
    <mergeCell ref="C40:M40"/>
  </mergeCell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F2FDA08-8C65-4169-869A-05111CFFF97D}">
          <x14:formula1>
            <xm:f>'Lista desplegable'!$N$2:$N$5</xm:f>
          </x14:formula1>
          <xm:sqref>J8:J37 J42:J71</xm:sqref>
        </x14:dataValidation>
        <x14:dataValidation type="list" allowBlank="1" showInputMessage="1" showErrorMessage="1" xr:uid="{E3578F44-7119-42BE-BF5B-BEFAD53B72DC}">
          <x14:formula1>
            <xm:f>'Lista desplegable'!$B$2:$B$436</xm:f>
          </x14:formula1>
          <xm:sqref>C42:C71 C8:C37</xm:sqref>
        </x14:dataValidation>
        <x14:dataValidation type="list" allowBlank="1" showInputMessage="1" showErrorMessage="1" xr:uid="{688AAA07-1A35-4A80-B287-E01B9575326F}">
          <x14:formula1>
            <xm:f>'Lista desplegable'!$F$2:$F$19</xm:f>
          </x14:formula1>
          <xm:sqref>F8:F37 F42:F71</xm:sqref>
        </x14:dataValidation>
        <x14:dataValidation type="list" allowBlank="1" showInputMessage="1" showErrorMessage="1" xr:uid="{3D99F8DC-A861-426D-8913-08AC1EA77949}">
          <x14:formula1>
            <xm:f>'Lista desplegable'!$J$2:$J$10</xm:f>
          </x14:formula1>
          <xm:sqref>H8:H37 H42:H71</xm:sqref>
        </x14:dataValidation>
        <x14:dataValidation type="list" allowBlank="1" showInputMessage="1" showErrorMessage="1" xr:uid="{A23A0508-221D-4CE0-B6A1-15FDE5F3EF8B}">
          <x14:formula1>
            <xm:f>'Lista desplegable'!$H$2:$H$7</xm:f>
          </x14:formula1>
          <xm:sqref>G8:G37 G42:G71</xm:sqref>
        </x14:dataValidation>
        <x14:dataValidation type="list" allowBlank="1" showInputMessage="1" showErrorMessage="1" xr:uid="{53868EDC-7154-4D14-9FB1-02D51488ADA4}">
          <x14:formula1>
            <xm:f>'Lista desplegable'!$L$2:$L$3</xm:f>
          </x14:formula1>
          <xm:sqref>K8:L37 K42:L71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5EA6-9541-48CE-9253-550BD4D9CDBA}">
  <dimension ref="B1:M93"/>
  <sheetViews>
    <sheetView topLeftCell="A21" zoomScale="80" zoomScaleNormal="80" workbookViewId="0">
      <selection activeCell="L13" sqref="L13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0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40.6640625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46282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11" t="s">
        <v>572</v>
      </c>
      <c r="D8" s="7" t="str">
        <f>IFERROR(VLOOKUP(C8,'Lista desplegable'!B$1:C$436,2,FALSE),"")</f>
        <v>CRISTIAN ROGELIO PASTEN VERGARA</v>
      </c>
      <c r="E8" s="7" t="str">
        <f>IFERROR(VLOOKUP(D8,'Lista desplegable'!C$1:D$436,2,FALSE),"")</f>
        <v>JEFE DE FAENA</v>
      </c>
      <c r="F8" s="19" t="s">
        <v>890</v>
      </c>
      <c r="G8" s="11" t="s">
        <v>903</v>
      </c>
      <c r="H8" s="11" t="s">
        <v>911</v>
      </c>
      <c r="I8" s="11">
        <v>0</v>
      </c>
      <c r="J8" s="11" t="s">
        <v>984</v>
      </c>
      <c r="K8" s="11" t="s">
        <v>918</v>
      </c>
      <c r="L8" s="11" t="s">
        <v>918</v>
      </c>
      <c r="M8" s="11"/>
    </row>
    <row r="9" spans="2:13" s="1" customFormat="1" ht="13.05" customHeight="1" x14ac:dyDescent="0.25">
      <c r="B9" s="24">
        <v>2</v>
      </c>
      <c r="C9" s="10" t="s">
        <v>675</v>
      </c>
      <c r="D9" s="7" t="str">
        <f>IFERROR(VLOOKUP(C9,'Lista desplegable'!B$1:C$436,2,FALSE),"")</f>
        <v>JOHN ALEXIS BRICEÑO HONORES</v>
      </c>
      <c r="E9" s="7" t="str">
        <f>IFERROR(VLOOKUP(D9,'Lista desplegable'!C$1:D$436,2,FALSE),"")</f>
        <v>PREVENCIONISTA DE RIESGOS</v>
      </c>
      <c r="F9" s="19" t="s">
        <v>890</v>
      </c>
      <c r="G9" s="11" t="s">
        <v>903</v>
      </c>
      <c r="H9" s="11" t="s">
        <v>911</v>
      </c>
      <c r="I9" s="11">
        <v>0</v>
      </c>
      <c r="J9" s="11" t="s">
        <v>984</v>
      </c>
      <c r="K9" s="11" t="s">
        <v>918</v>
      </c>
      <c r="L9" s="11" t="s">
        <v>918</v>
      </c>
      <c r="M9" s="11"/>
    </row>
    <row r="10" spans="2:13" s="1" customFormat="1" ht="13.05" customHeight="1" x14ac:dyDescent="0.25">
      <c r="B10" s="24">
        <v>3</v>
      </c>
      <c r="C10" s="11" t="s">
        <v>625</v>
      </c>
      <c r="D10" s="7" t="str">
        <f>IFERROR(VLOOKUP(C10,'Lista desplegable'!B$1:C$436,2,FALSE),"")</f>
        <v>FELIPE IVAN LUIS ZAMBRA GONZALEZ</v>
      </c>
      <c r="E10" s="7" t="str">
        <f>IFERROR(VLOOKUP(D10,'Lista desplegable'!C$1:D$436,2,FALSE),"")</f>
        <v>BODEGUERO</v>
      </c>
      <c r="F10" s="19" t="s">
        <v>890</v>
      </c>
      <c r="G10" s="11" t="s">
        <v>903</v>
      </c>
      <c r="H10" s="11" t="s">
        <v>911</v>
      </c>
      <c r="I10" s="11">
        <v>0</v>
      </c>
      <c r="J10" s="11" t="s">
        <v>984</v>
      </c>
      <c r="K10" s="11" t="s">
        <v>918</v>
      </c>
      <c r="L10" s="11" t="s">
        <v>918</v>
      </c>
      <c r="M10" s="11"/>
    </row>
    <row r="11" spans="2:13" s="1" customFormat="1" ht="13.05" customHeight="1" x14ac:dyDescent="0.25">
      <c r="B11" s="24">
        <v>4</v>
      </c>
      <c r="C11" s="11" t="s">
        <v>810</v>
      </c>
      <c r="D11" s="7" t="str">
        <f>IFERROR(VLOOKUP(C11,'Lista desplegable'!B$1:C$436,2,FALSE),"")</f>
        <v>RENE ALFREDO RIOS MALDONADO</v>
      </c>
      <c r="E11" s="7" t="str">
        <f>IFERROR(VLOOKUP(D11,'Lista desplegable'!C$1:D$436,2,FALSE),"")</f>
        <v>ADMINISTRATIVO DE FAENA</v>
      </c>
      <c r="F11" s="19" t="s">
        <v>890</v>
      </c>
      <c r="G11" s="11" t="s">
        <v>903</v>
      </c>
      <c r="H11" s="11" t="s">
        <v>911</v>
      </c>
      <c r="I11" s="11">
        <v>0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11" t="s">
        <v>719</v>
      </c>
      <c r="D12" s="7" t="str">
        <f>IFERROR(VLOOKUP(C12,'Lista desplegable'!B$1:C$436,2,FALSE),"")</f>
        <v>LEONARDO ANDRES MENESES ARREDONDO</v>
      </c>
      <c r="E12" s="7" t="str">
        <f>IFERROR(VLOOKUP(D12,'Lista desplegable'!C$1:D$436,2,FALSE),"")</f>
        <v>SUPERVISOR DE OPERACIONES</v>
      </c>
      <c r="F12" s="19" t="s">
        <v>890</v>
      </c>
      <c r="G12" s="11" t="s">
        <v>903</v>
      </c>
      <c r="H12" s="11" t="s">
        <v>911</v>
      </c>
      <c r="I12" s="11">
        <v>0</v>
      </c>
      <c r="J12" s="11" t="s">
        <v>984</v>
      </c>
      <c r="K12" s="11" t="s">
        <v>918</v>
      </c>
      <c r="L12" s="11" t="s">
        <v>918</v>
      </c>
      <c r="M12" s="11"/>
    </row>
    <row r="13" spans="2:13" s="1" customFormat="1" ht="13.05" customHeight="1" x14ac:dyDescent="0.25">
      <c r="B13" s="24">
        <v>6</v>
      </c>
      <c r="C13" s="11" t="s">
        <v>654</v>
      </c>
      <c r="D13" s="7" t="str">
        <f>IFERROR(VLOOKUP(C13,'Lista desplegable'!B$1:C$436,2,FALSE),"")</f>
        <v>IGNACIO ALEJANDRO ROBLES BARRIOS</v>
      </c>
      <c r="E13" s="7" t="str">
        <f>IFERROR(VLOOKUP(D13,'Lista desplegable'!C$1:D$436,2,FALSE),"")</f>
        <v>AYUDANTE DE PERFORISTA</v>
      </c>
      <c r="F13" s="19" t="s">
        <v>890</v>
      </c>
      <c r="G13" s="11" t="s">
        <v>903</v>
      </c>
      <c r="H13" s="11" t="s">
        <v>911</v>
      </c>
      <c r="I13" s="11">
        <v>0</v>
      </c>
      <c r="J13" s="11" t="s">
        <v>984</v>
      </c>
      <c r="K13" s="11" t="s">
        <v>918</v>
      </c>
      <c r="L13" s="11" t="s">
        <v>918</v>
      </c>
      <c r="M13" s="11" t="s">
        <v>1016</v>
      </c>
    </row>
    <row r="14" spans="2:13" s="1" customFormat="1" ht="13.05" customHeight="1" x14ac:dyDescent="0.25">
      <c r="B14" s="24">
        <v>7</v>
      </c>
      <c r="C14" s="11" t="s">
        <v>723</v>
      </c>
      <c r="D14" s="7" t="str">
        <f>IFERROR(VLOOKUP(C14,'Lista desplegable'!B$1:C$436,2,FALSE),"")</f>
        <v>LEONEL GUILLERMO CAMPUSANO DUBO</v>
      </c>
      <c r="E14" s="7" t="str">
        <f>IFERROR(VLOOKUP(D14,'Lista desplegable'!C$1:D$436,2,FALSE),"")</f>
        <v>AYUDANTE DE PERFORISTA</v>
      </c>
      <c r="F14" s="19" t="s">
        <v>890</v>
      </c>
      <c r="G14" s="11" t="s">
        <v>903</v>
      </c>
      <c r="H14" s="11" t="s">
        <v>911</v>
      </c>
      <c r="I14" s="11">
        <v>0</v>
      </c>
      <c r="J14" s="11" t="s">
        <v>984</v>
      </c>
      <c r="K14" s="11" t="s">
        <v>918</v>
      </c>
      <c r="L14" s="11" t="s">
        <v>918</v>
      </c>
      <c r="M14" s="11"/>
    </row>
    <row r="15" spans="2:13" s="1" customFormat="1" ht="13.05" customHeight="1" x14ac:dyDescent="0.25">
      <c r="B15" s="24">
        <v>8</v>
      </c>
      <c r="C15" s="11" t="s">
        <v>876</v>
      </c>
      <c r="D15" s="7" t="str">
        <f>IFERROR(VLOOKUP(C15,'Lista desplegable'!B$1:C$436,2,FALSE),"")</f>
        <v>VICTOR MANUEL MONDACA VEGA</v>
      </c>
      <c r="E15" s="7" t="str">
        <f>IFERROR(VLOOKUP(D15,'Lista desplegable'!C$1:D$436,2,FALSE),"")</f>
        <v>AYUDANTE DE PERFORISTA</v>
      </c>
      <c r="F15" s="19" t="s">
        <v>890</v>
      </c>
      <c r="G15" s="11" t="s">
        <v>903</v>
      </c>
      <c r="H15" s="11" t="s">
        <v>911</v>
      </c>
      <c r="I15" s="11">
        <v>0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11" t="s">
        <v>686</v>
      </c>
      <c r="D16" s="7" t="str">
        <f>IFERROR(VLOOKUP(C16,'Lista desplegable'!B$1:C$436,2,FALSE),"")</f>
        <v>JORGE ARMANDO TINOCO OSPINO</v>
      </c>
      <c r="E16" s="7" t="str">
        <f>IFERROR(VLOOKUP(D16,'Lista desplegable'!C$1:D$436,2,FALSE),"")</f>
        <v>CHOFER</v>
      </c>
      <c r="F16" s="19" t="s">
        <v>890</v>
      </c>
      <c r="G16" s="11" t="s">
        <v>903</v>
      </c>
      <c r="H16" s="11" t="s">
        <v>911</v>
      </c>
      <c r="I16" s="11">
        <v>0</v>
      </c>
      <c r="J16" s="11" t="s">
        <v>984</v>
      </c>
      <c r="K16" s="11" t="s">
        <v>918</v>
      </c>
      <c r="L16" s="11" t="s">
        <v>918</v>
      </c>
      <c r="M16" s="11"/>
    </row>
    <row r="17" spans="2:13" s="1" customFormat="1" ht="13.05" customHeight="1" x14ac:dyDescent="0.25">
      <c r="B17" s="24">
        <v>10</v>
      </c>
      <c r="C17" s="11" t="s">
        <v>534</v>
      </c>
      <c r="D17" s="7" t="str">
        <f>IFERROR(VLOOKUP(C17,'Lista desplegable'!B$1:C$436,2,FALSE),"")</f>
        <v>BENJAMIN JOSEFATT ESPINOZA URIBE</v>
      </c>
      <c r="E17" s="7" t="str">
        <f>IFERROR(VLOOKUP(D17,'Lista desplegable'!C$1:D$436,2,FALSE),"")</f>
        <v>CHOFER</v>
      </c>
      <c r="F17" s="19" t="s">
        <v>890</v>
      </c>
      <c r="G17" s="11" t="s">
        <v>903</v>
      </c>
      <c r="H17" s="11" t="s">
        <v>911</v>
      </c>
      <c r="I17" s="11">
        <v>0</v>
      </c>
      <c r="J17" s="11" t="s">
        <v>984</v>
      </c>
      <c r="K17" s="11" t="s">
        <v>918</v>
      </c>
      <c r="L17" s="11" t="s">
        <v>918</v>
      </c>
      <c r="M17" s="11"/>
    </row>
    <row r="18" spans="2:13" s="1" customFormat="1" ht="13.05" customHeight="1" x14ac:dyDescent="0.25">
      <c r="B18" s="24">
        <v>11</v>
      </c>
      <c r="C18" s="11" t="s">
        <v>879</v>
      </c>
      <c r="D18" s="7" t="str">
        <f>IFERROR(VLOOKUP(C18,'Lista desplegable'!B$1:C$436,2,FALSE),"")</f>
        <v>WALTER DEL CARMEN PIZARRO ALVAREZ</v>
      </c>
      <c r="E18" s="7" t="str">
        <f>IFERROR(VLOOKUP(D18,'Lista desplegable'!C$1:D$436,2,FALSE),"")</f>
        <v>CHOFER</v>
      </c>
      <c r="F18" s="19" t="s">
        <v>890</v>
      </c>
      <c r="G18" s="11" t="s">
        <v>903</v>
      </c>
      <c r="H18" s="11" t="s">
        <v>911</v>
      </c>
      <c r="I18" s="11">
        <v>0</v>
      </c>
      <c r="J18" s="11" t="s">
        <v>984</v>
      </c>
      <c r="K18" s="11" t="s">
        <v>918</v>
      </c>
      <c r="L18" s="11" t="s">
        <v>918</v>
      </c>
      <c r="M18" s="11"/>
    </row>
    <row r="19" spans="2:13" s="1" customFormat="1" ht="13.05" customHeight="1" x14ac:dyDescent="0.25">
      <c r="B19" s="24">
        <v>12</v>
      </c>
      <c r="C19" s="10" t="s">
        <v>607</v>
      </c>
      <c r="D19" s="7" t="str">
        <f>IFERROR(VLOOKUP(C19,'Lista desplegable'!B$1:C$436,2,FALSE),"")</f>
        <v>ENKHZAYA GANBAATAR .</v>
      </c>
      <c r="E19" s="7" t="str">
        <f>IFERROR(VLOOKUP(D19,'Lista desplegable'!C$1:D$436,2,FALSE),"")</f>
        <v>PERFORISTA</v>
      </c>
      <c r="F19" s="19" t="s">
        <v>890</v>
      </c>
      <c r="G19" s="11" t="s">
        <v>903</v>
      </c>
      <c r="H19" s="11" t="s">
        <v>911</v>
      </c>
      <c r="I19" s="11">
        <v>0</v>
      </c>
      <c r="J19" s="11" t="s">
        <v>984</v>
      </c>
      <c r="K19" s="11"/>
      <c r="L19" s="11"/>
      <c r="M19" s="11"/>
    </row>
    <row r="20" spans="2:13" s="1" customFormat="1" ht="13.05" customHeight="1" x14ac:dyDescent="0.25">
      <c r="B20" s="24">
        <v>13</v>
      </c>
      <c r="C20" s="11" t="s">
        <v>689</v>
      </c>
      <c r="D20" s="7" t="str">
        <f>IFERROR(VLOOKUP(C20,'Lista desplegable'!B$1:C$436,2,FALSE),"")</f>
        <v>JORGE ERIKSON DURAND RUIZ</v>
      </c>
      <c r="E20" s="7" t="str">
        <f>IFERROR(VLOOKUP(D20,'Lista desplegable'!C$1:D$436,2,FALSE),"")</f>
        <v>MECANICO</v>
      </c>
      <c r="F20" s="19" t="s">
        <v>890</v>
      </c>
      <c r="G20" s="11" t="s">
        <v>903</v>
      </c>
      <c r="H20" s="11" t="s">
        <v>911</v>
      </c>
      <c r="I20" s="11">
        <v>0</v>
      </c>
      <c r="J20" s="11" t="s">
        <v>984</v>
      </c>
      <c r="K20" s="11" t="s">
        <v>918</v>
      </c>
      <c r="L20" s="11" t="s">
        <v>918</v>
      </c>
      <c r="M20" s="11" t="s">
        <v>1012</v>
      </c>
    </row>
    <row r="21" spans="2:13" s="1" customFormat="1" ht="13.05" customHeight="1" x14ac:dyDescent="0.25">
      <c r="B21" s="24">
        <v>14</v>
      </c>
      <c r="C21" s="11" t="s">
        <v>881</v>
      </c>
      <c r="D21" s="7" t="str">
        <f>IFERROR(VLOOKUP(C21,'Lista desplegable'!B$1:C$436,2,FALSE),"")</f>
        <v>WILLIAM HERNAN ALVAREZ TRUJILLO</v>
      </c>
      <c r="E21" s="7" t="str">
        <f>IFERROR(VLOOKUP(D21,'Lista desplegable'!C$1:D$436,2,FALSE),"")</f>
        <v>SOLDADOR</v>
      </c>
      <c r="F21" s="19" t="s">
        <v>890</v>
      </c>
      <c r="G21" s="11" t="s">
        <v>903</v>
      </c>
      <c r="H21" s="11" t="s">
        <v>911</v>
      </c>
      <c r="I21" s="11">
        <v>0</v>
      </c>
      <c r="J21" s="11" t="s">
        <v>984</v>
      </c>
      <c r="K21" s="11" t="s">
        <v>918</v>
      </c>
      <c r="L21" s="11" t="s">
        <v>918</v>
      </c>
      <c r="M21" s="11"/>
    </row>
    <row r="22" spans="2:13" s="1" customFormat="1" ht="13.05" customHeight="1" x14ac:dyDescent="0.25">
      <c r="B22" s="24">
        <v>15</v>
      </c>
      <c r="C22" s="11" t="s">
        <v>549</v>
      </c>
      <c r="D22" s="7" t="str">
        <f>IFERROR(VLOOKUP(C22,'Lista desplegable'!B$1:C$436,2,FALSE),"")</f>
        <v>CARLOS EDUARDO RODRIGUEZ HERNANDEZ</v>
      </c>
      <c r="E22" s="7" t="str">
        <f>IFERROR(VLOOKUP(D22,'Lista desplegable'!C$1:D$436,2,FALSE),"")</f>
        <v>ADMINISTRADOR DE CONTRATO</v>
      </c>
      <c r="F22" s="19" t="s">
        <v>890</v>
      </c>
      <c r="G22" s="11" t="s">
        <v>903</v>
      </c>
      <c r="H22" s="11" t="s">
        <v>911</v>
      </c>
      <c r="I22" s="11">
        <v>0</v>
      </c>
      <c r="J22" s="11" t="s">
        <v>984</v>
      </c>
      <c r="K22" s="11" t="s">
        <v>918</v>
      </c>
      <c r="L22" s="11" t="s">
        <v>918</v>
      </c>
      <c r="M22" s="11"/>
    </row>
    <row r="23" spans="2:13" s="1" customFormat="1" ht="13.05" customHeight="1" x14ac:dyDescent="0.25">
      <c r="B23" s="24">
        <v>16</v>
      </c>
      <c r="C23" s="11"/>
      <c r="D23" s="7" t="str">
        <f>IFERROR(VLOOKUP(C23,'Lista desplegable'!B$1:C$436,2,FALSE),"")</f>
        <v/>
      </c>
      <c r="E23" s="7" t="str">
        <f>IFERROR(VLOOKUP(D23,'Lista desplegable'!C$1:D$436,2,FALSE),"")</f>
        <v/>
      </c>
      <c r="F23" s="19"/>
      <c r="G23" s="11"/>
      <c r="H23" s="11"/>
      <c r="I23" s="11"/>
      <c r="J23" s="11"/>
      <c r="K23" s="11"/>
      <c r="L23" s="11"/>
      <c r="M23" s="11"/>
    </row>
    <row r="24" spans="2:13" s="1" customFormat="1" ht="13.05" customHeight="1" x14ac:dyDescent="0.25">
      <c r="B24" s="24">
        <v>17</v>
      </c>
      <c r="C24" s="11"/>
      <c r="D24" s="7" t="str">
        <f>IFERROR(VLOOKUP(C24,'Lista desplegable'!B$1:C$436,2,FALSE),"")</f>
        <v/>
      </c>
      <c r="E24" s="7" t="str">
        <f>IFERROR(VLOOKUP(D24,'Lista desplegable'!C$1:D$436,2,FALSE),"")</f>
        <v/>
      </c>
      <c r="F24" s="19"/>
      <c r="G24" s="11"/>
      <c r="H24" s="11"/>
      <c r="I24" s="11"/>
      <c r="J24" s="11"/>
      <c r="K24" s="11"/>
      <c r="L24" s="11"/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05" customHeight="1" x14ac:dyDescent="0.25">
      <c r="C38"/>
    </row>
    <row r="39" spans="2:13" ht="13.05" customHeight="1" x14ac:dyDescent="0.25">
      <c r="C39"/>
    </row>
    <row r="40" spans="2:13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3" ht="13.05" customHeight="1" x14ac:dyDescent="0.25">
      <c r="B42" s="24">
        <v>1</v>
      </c>
      <c r="C42" s="11" t="s">
        <v>865</v>
      </c>
      <c r="D42" s="7" t="str">
        <f>IFERROR(VLOOKUP(C42,'Lista desplegable'!B$1:C$436,2,FALSE),"")</f>
        <v>ULINSON DIAZ CORTES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>
        <v>0</v>
      </c>
      <c r="J42" s="11" t="s">
        <v>984</v>
      </c>
      <c r="K42" s="11" t="s">
        <v>918</v>
      </c>
      <c r="L42" s="11" t="s">
        <v>918</v>
      </c>
      <c r="M42" s="11"/>
    </row>
    <row r="43" spans="2:13" ht="13.05" customHeight="1" x14ac:dyDescent="0.25">
      <c r="B43" s="24">
        <v>2</v>
      </c>
      <c r="C43" s="11" t="s">
        <v>829</v>
      </c>
      <c r="D43" s="7" t="str">
        <f>IFERROR(VLOOKUP(C43,'Lista desplegable'!B$1:C$436,2,FALSE),"")</f>
        <v>RODRIGO ALEJANDRO FLORES ZEPEDA</v>
      </c>
      <c r="E43" s="7" t="str">
        <f>IFERROR(VLOOKUP(D43,'Lista desplegable'!C$1:D$436,2,FALSE),"")</f>
        <v>AYUDANTE DE PERFORISTA</v>
      </c>
      <c r="F43" s="19" t="s">
        <v>890</v>
      </c>
      <c r="G43" s="11" t="s">
        <v>903</v>
      </c>
      <c r="H43" s="11" t="s">
        <v>911</v>
      </c>
      <c r="I43" s="11">
        <v>0</v>
      </c>
      <c r="J43" s="11" t="s">
        <v>984</v>
      </c>
      <c r="K43" s="11" t="s">
        <v>918</v>
      </c>
      <c r="L43" s="11" t="s">
        <v>918</v>
      </c>
      <c r="M43" s="11"/>
    </row>
    <row r="44" spans="2:13" ht="13.05" customHeight="1" x14ac:dyDescent="0.25">
      <c r="B44" s="24">
        <v>3</v>
      </c>
      <c r="C44" s="11" t="s">
        <v>618</v>
      </c>
      <c r="D44" s="7" t="str">
        <f>IFERROR(VLOOKUP(C44,'Lista desplegable'!B$1:C$436,2,FALSE),"")</f>
        <v>FABIAN PATRICIO CABRERA GODOY</v>
      </c>
      <c r="E44" s="7" t="str">
        <f>IFERROR(VLOOKUP(D44,'Lista desplegable'!C$1:D$436,2,FALSE),"")</f>
        <v>AYUDANTE DE PERFORISTA</v>
      </c>
      <c r="F44" s="19" t="s">
        <v>890</v>
      </c>
      <c r="G44" s="11" t="s">
        <v>903</v>
      </c>
      <c r="H44" s="11" t="s">
        <v>911</v>
      </c>
      <c r="I44" s="11">
        <v>0</v>
      </c>
      <c r="J44" s="11" t="s">
        <v>984</v>
      </c>
      <c r="K44" s="11" t="s">
        <v>918</v>
      </c>
      <c r="L44" s="11" t="s">
        <v>918</v>
      </c>
      <c r="M44" s="11"/>
    </row>
    <row r="45" spans="2:13" ht="13.05" customHeight="1" x14ac:dyDescent="0.25">
      <c r="B45" s="24">
        <v>4</v>
      </c>
      <c r="C45" s="11" t="s">
        <v>616</v>
      </c>
      <c r="D45" s="7" t="str">
        <f>IFERROR(VLOOKUP(C45,'Lista desplegable'!B$1:C$436,2,FALSE),"")</f>
        <v>ESTEFANIA CONSTANZA NAETER QUIROZ</v>
      </c>
      <c r="E45" s="7" t="str">
        <f>IFERROR(VLOOKUP(D45,'Lista desplegable'!C$1:D$436,2,FALSE),"")</f>
        <v>CHOFER</v>
      </c>
      <c r="F45" s="19" t="s">
        <v>890</v>
      </c>
      <c r="G45" s="11" t="s">
        <v>903</v>
      </c>
      <c r="H45" s="11" t="s">
        <v>911</v>
      </c>
      <c r="I45" s="11">
        <v>0</v>
      </c>
      <c r="J45" s="11" t="s">
        <v>984</v>
      </c>
      <c r="K45" s="11" t="s">
        <v>918</v>
      </c>
      <c r="L45" s="11" t="s">
        <v>918</v>
      </c>
      <c r="M45" s="11" t="s">
        <v>1013</v>
      </c>
    </row>
    <row r="46" spans="2:13" ht="13.05" customHeight="1" x14ac:dyDescent="0.25">
      <c r="B46" s="24">
        <v>5</v>
      </c>
      <c r="C46" s="11" t="s">
        <v>990</v>
      </c>
      <c r="D46" s="7" t="str">
        <f>IFERROR(VLOOKUP(C46,'Lista desplegable'!B$1:C$436,2,FALSE),"")</f>
        <v>BENIGNO EDUARDO PAEZ MENESES</v>
      </c>
      <c r="E46" s="7" t="str">
        <f>IFERROR(VLOOKUP(D46,'Lista desplegable'!C$1:D$436,2,FALSE),"")</f>
        <v>CHOFER</v>
      </c>
      <c r="F46" s="19" t="s">
        <v>890</v>
      </c>
      <c r="G46" s="11" t="s">
        <v>903</v>
      </c>
      <c r="H46" s="11" t="s">
        <v>911</v>
      </c>
      <c r="I46" s="11">
        <v>0</v>
      </c>
      <c r="J46" s="11" t="s">
        <v>984</v>
      </c>
      <c r="K46" s="11" t="s">
        <v>918</v>
      </c>
      <c r="L46" s="11" t="s">
        <v>918</v>
      </c>
      <c r="M46" s="11"/>
    </row>
    <row r="47" spans="2:13" ht="13.05" customHeight="1" x14ac:dyDescent="0.25">
      <c r="B47" s="24">
        <v>6</v>
      </c>
      <c r="C47" s="11" t="s">
        <v>826</v>
      </c>
      <c r="D47" s="7" t="str">
        <f>IFERROR(VLOOKUP(C47,'Lista desplegable'!B$1:C$436,2,FALSE),"")</f>
        <v>ROBERTO MARIO VARGAS RODRIGUEZ</v>
      </c>
      <c r="E47" s="7" t="str">
        <f>IFERROR(VLOOKUP(D47,'Lista desplegable'!C$1:D$436,2,FALSE),"")</f>
        <v>MECANICO</v>
      </c>
      <c r="F47" s="19" t="s">
        <v>890</v>
      </c>
      <c r="G47" s="11" t="s">
        <v>903</v>
      </c>
      <c r="H47" s="11" t="s">
        <v>911</v>
      </c>
      <c r="I47" s="11">
        <v>0</v>
      </c>
      <c r="J47" s="11" t="s">
        <v>984</v>
      </c>
      <c r="K47" s="11" t="s">
        <v>918</v>
      </c>
      <c r="L47" s="11" t="s">
        <v>918</v>
      </c>
      <c r="M47" s="11"/>
    </row>
    <row r="48" spans="2:13" ht="13.05" customHeight="1" x14ac:dyDescent="0.25">
      <c r="B48" s="24">
        <v>7</v>
      </c>
      <c r="C48" s="11" t="s">
        <v>867</v>
      </c>
      <c r="D48" s="7" t="str">
        <f>IFERROR(VLOOKUP(C48,'Lista desplegable'!B$1:C$436,2,FALSE),"")</f>
        <v>ULZIIBADRAKH BAYANMUNKH .</v>
      </c>
      <c r="E48" s="7" t="str">
        <f>IFERROR(VLOOKUP(D48,'Lista desplegable'!C$1:D$436,2,FALSE),"")</f>
        <v>PERFORISTA</v>
      </c>
      <c r="F48" s="19" t="s">
        <v>890</v>
      </c>
      <c r="G48" s="11" t="s">
        <v>903</v>
      </c>
      <c r="H48" s="11" t="s">
        <v>911</v>
      </c>
      <c r="I48" s="11">
        <v>0</v>
      </c>
      <c r="J48" s="11" t="s">
        <v>984</v>
      </c>
      <c r="K48" s="11"/>
      <c r="L48" s="11"/>
      <c r="M48" s="11"/>
    </row>
    <row r="49" spans="2:13" ht="13.05" customHeight="1" x14ac:dyDescent="0.25">
      <c r="B49" s="24">
        <v>8</v>
      </c>
      <c r="C49" s="11"/>
      <c r="D49" s="7" t="str">
        <f>IFERROR(VLOOKUP(C49,'Lista desplegable'!B$1:C$436,2,FALSE),"")</f>
        <v/>
      </c>
      <c r="E49" s="7" t="str">
        <f>IFERROR(VLOOKUP(D49,'Lista desplegable'!C$1:D$436,2,FALSE),"")</f>
        <v/>
      </c>
      <c r="F49" s="19"/>
      <c r="G49" s="11"/>
      <c r="H49" s="11"/>
      <c r="I49" s="11"/>
      <c r="J49" s="11"/>
      <c r="K49" s="11"/>
      <c r="L49" s="11"/>
      <c r="M49" s="11"/>
    </row>
    <row r="50" spans="2:13" ht="13.05" customHeight="1" x14ac:dyDescent="0.25">
      <c r="B50" s="24">
        <v>9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11"/>
      <c r="J50" s="11"/>
      <c r="K50" s="11"/>
      <c r="L50" s="11"/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2:I2"/>
    <mergeCell ref="G3:I3"/>
    <mergeCell ref="C6:M6"/>
    <mergeCell ref="C40:M40"/>
  </mergeCell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A637050-80B9-4D70-87C7-56755D8E38AD}">
          <x14:formula1>
            <xm:f>'Lista desplegable'!$L$2:$L$3</xm:f>
          </x14:formula1>
          <xm:sqref>K8:L37 K42:L71</xm:sqref>
        </x14:dataValidation>
        <x14:dataValidation type="list" allowBlank="1" showInputMessage="1" showErrorMessage="1" xr:uid="{F28E024C-3357-4D1A-B5E7-08A212C7717A}">
          <x14:formula1>
            <xm:f>'Lista desplegable'!$H$2:$H$7</xm:f>
          </x14:formula1>
          <xm:sqref>G8:G37 G42:G71</xm:sqref>
        </x14:dataValidation>
        <x14:dataValidation type="list" allowBlank="1" showInputMessage="1" showErrorMessage="1" xr:uid="{23B47CBE-8642-4C37-8C6B-57CBCCC88180}">
          <x14:formula1>
            <xm:f>'Lista desplegable'!$J$2:$J$10</xm:f>
          </x14:formula1>
          <xm:sqref>H8:H37 H42:H71</xm:sqref>
        </x14:dataValidation>
        <x14:dataValidation type="list" allowBlank="1" showInputMessage="1" showErrorMessage="1" xr:uid="{BA7F96CE-D910-4D60-AC57-8B6BC93CB3EF}">
          <x14:formula1>
            <xm:f>'Lista desplegable'!$F$2:$F$19</xm:f>
          </x14:formula1>
          <xm:sqref>F8:F37 F42:F71</xm:sqref>
        </x14:dataValidation>
        <x14:dataValidation type="list" allowBlank="1" showInputMessage="1" showErrorMessage="1" xr:uid="{CF06CB4B-AE37-46E1-A814-8497FBBEB107}">
          <x14:formula1>
            <xm:f>'Lista desplegable'!$B$2:$B$436</xm:f>
          </x14:formula1>
          <xm:sqref>C42:C71 C8:C37</xm:sqref>
        </x14:dataValidation>
        <x14:dataValidation type="list" allowBlank="1" showInputMessage="1" showErrorMessage="1" xr:uid="{B7B6D983-1220-4C13-8296-BA1A8DE77ED6}">
          <x14:formula1>
            <xm:f>'Lista desplegable'!$N$2:$N$5</xm:f>
          </x14:formula1>
          <xm:sqref>J8:J37 J42:J71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2205B-AE31-4A6B-BED0-C1BC8532C9BC}">
  <dimension ref="B1:M93"/>
  <sheetViews>
    <sheetView topLeftCell="A19" zoomScale="80" zoomScaleNormal="80" workbookViewId="0">
      <selection activeCell="M10" sqref="M10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0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21.77734375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46283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11" t="s">
        <v>572</v>
      </c>
      <c r="D8" s="7" t="str">
        <f>IFERROR(VLOOKUP(C8,'Lista desplegable'!B$1:C$436,2,FALSE),"")</f>
        <v>CRISTIAN ROGELIO PASTEN VERGARA</v>
      </c>
      <c r="E8" s="7" t="str">
        <f>IFERROR(VLOOKUP(D8,'Lista desplegable'!C$1:D$436,2,FALSE),"")</f>
        <v>JEFE DE FAENA</v>
      </c>
      <c r="F8" s="19" t="s">
        <v>890</v>
      </c>
      <c r="G8" s="11" t="s">
        <v>903</v>
      </c>
      <c r="H8" s="11" t="s">
        <v>911</v>
      </c>
      <c r="I8" s="11">
        <v>0</v>
      </c>
      <c r="J8" s="11" t="s">
        <v>984</v>
      </c>
      <c r="K8" s="11" t="s">
        <v>918</v>
      </c>
      <c r="L8" s="11" t="s">
        <v>918</v>
      </c>
      <c r="M8" s="11"/>
    </row>
    <row r="9" spans="2:13" s="1" customFormat="1" ht="13.05" customHeight="1" x14ac:dyDescent="0.25">
      <c r="B9" s="24">
        <v>2</v>
      </c>
      <c r="C9" s="10" t="s">
        <v>675</v>
      </c>
      <c r="D9" s="7" t="str">
        <f>IFERROR(VLOOKUP(C9,'Lista desplegable'!B$1:C$436,2,FALSE),"")</f>
        <v>JOHN ALEXIS BRICEÑO HONORES</v>
      </c>
      <c r="E9" s="7" t="str">
        <f>IFERROR(VLOOKUP(D9,'Lista desplegable'!C$1:D$436,2,FALSE),"")</f>
        <v>PREVENCIONISTA DE RIESGOS</v>
      </c>
      <c r="F9" s="19" t="s">
        <v>890</v>
      </c>
      <c r="G9" s="11" t="s">
        <v>903</v>
      </c>
      <c r="H9" s="11" t="s">
        <v>911</v>
      </c>
      <c r="I9" s="11">
        <v>0</v>
      </c>
      <c r="J9" s="11" t="s">
        <v>984</v>
      </c>
      <c r="K9" s="11" t="s">
        <v>918</v>
      </c>
      <c r="L9" s="11" t="s">
        <v>918</v>
      </c>
      <c r="M9" s="11"/>
    </row>
    <row r="10" spans="2:13" s="1" customFormat="1" ht="13.05" customHeight="1" x14ac:dyDescent="0.25">
      <c r="B10" s="24">
        <v>3</v>
      </c>
      <c r="C10" s="11" t="s">
        <v>625</v>
      </c>
      <c r="D10" s="7" t="str">
        <f>IFERROR(VLOOKUP(C10,'Lista desplegable'!B$1:C$436,2,FALSE),"")</f>
        <v>FELIPE IVAN LUIS ZAMBRA GONZALEZ</v>
      </c>
      <c r="E10" s="7" t="str">
        <f>IFERROR(VLOOKUP(D10,'Lista desplegable'!C$1:D$436,2,FALSE),"")</f>
        <v>BODEGUERO</v>
      </c>
      <c r="F10" s="19" t="s">
        <v>890</v>
      </c>
      <c r="G10" s="11" t="s">
        <v>903</v>
      </c>
      <c r="H10" s="11" t="s">
        <v>911</v>
      </c>
      <c r="I10" s="11">
        <v>0</v>
      </c>
      <c r="J10" s="11" t="s">
        <v>984</v>
      </c>
      <c r="K10" s="11" t="s">
        <v>918</v>
      </c>
      <c r="L10" s="11" t="s">
        <v>918</v>
      </c>
      <c r="M10" s="11"/>
    </row>
    <row r="11" spans="2:13" s="1" customFormat="1" ht="13.05" customHeight="1" x14ac:dyDescent="0.25">
      <c r="B11" s="24">
        <v>4</v>
      </c>
      <c r="C11" s="11" t="s">
        <v>810</v>
      </c>
      <c r="D11" s="7" t="str">
        <f>IFERROR(VLOOKUP(C11,'Lista desplegable'!B$1:C$436,2,FALSE),"")</f>
        <v>RENE ALFREDO RIOS MALDONADO</v>
      </c>
      <c r="E11" s="7" t="str">
        <f>IFERROR(VLOOKUP(D11,'Lista desplegable'!C$1:D$436,2,FALSE),"")</f>
        <v>ADMINISTRATIVO DE FAENA</v>
      </c>
      <c r="F11" s="19" t="s">
        <v>890</v>
      </c>
      <c r="G11" s="11" t="s">
        <v>903</v>
      </c>
      <c r="H11" s="11" t="s">
        <v>911</v>
      </c>
      <c r="I11" s="11">
        <v>0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11" t="s">
        <v>719</v>
      </c>
      <c r="D12" s="7" t="str">
        <f>IFERROR(VLOOKUP(C12,'Lista desplegable'!B$1:C$436,2,FALSE),"")</f>
        <v>LEONARDO ANDRES MENESES ARREDONDO</v>
      </c>
      <c r="E12" s="7" t="str">
        <f>IFERROR(VLOOKUP(D12,'Lista desplegable'!C$1:D$436,2,FALSE),"")</f>
        <v>SUPERVISOR DE OPERACIONES</v>
      </c>
      <c r="F12" s="19" t="s">
        <v>890</v>
      </c>
      <c r="G12" s="11" t="s">
        <v>903</v>
      </c>
      <c r="H12" s="11" t="s">
        <v>911</v>
      </c>
      <c r="I12" s="11">
        <v>0</v>
      </c>
      <c r="J12" s="11" t="s">
        <v>984</v>
      </c>
      <c r="K12" s="11" t="s">
        <v>918</v>
      </c>
      <c r="L12" s="11" t="s">
        <v>918</v>
      </c>
      <c r="M12" s="11"/>
    </row>
    <row r="13" spans="2:13" s="1" customFormat="1" ht="13.05" customHeight="1" x14ac:dyDescent="0.25">
      <c r="B13" s="24">
        <v>6</v>
      </c>
      <c r="C13" s="11" t="s">
        <v>723</v>
      </c>
      <c r="D13" s="7" t="str">
        <f>IFERROR(VLOOKUP(C13,'Lista desplegable'!B$1:C$436,2,FALSE),"")</f>
        <v>LEONEL GUILLERMO CAMPUSANO DUBO</v>
      </c>
      <c r="E13" s="7" t="str">
        <f>IFERROR(VLOOKUP(D13,'Lista desplegable'!C$1:D$436,2,FALSE),"")</f>
        <v>AYUDANTE DE PERFORISTA</v>
      </c>
      <c r="F13" s="19" t="s">
        <v>890</v>
      </c>
      <c r="G13" s="11" t="s">
        <v>903</v>
      </c>
      <c r="H13" s="11" t="s">
        <v>911</v>
      </c>
      <c r="I13" s="11">
        <v>0</v>
      </c>
      <c r="J13" s="11" t="s">
        <v>984</v>
      </c>
      <c r="K13" s="11" t="s">
        <v>918</v>
      </c>
      <c r="L13" s="11" t="s">
        <v>918</v>
      </c>
      <c r="M13" s="11"/>
    </row>
    <row r="14" spans="2:13" s="1" customFormat="1" ht="13.05" customHeight="1" x14ac:dyDescent="0.25">
      <c r="B14" s="24">
        <v>7</v>
      </c>
      <c r="C14" s="11" t="s">
        <v>876</v>
      </c>
      <c r="D14" s="7" t="str">
        <f>IFERROR(VLOOKUP(C14,'Lista desplegable'!B$1:C$436,2,FALSE),"")</f>
        <v>VICTOR MANUEL MONDACA VEGA</v>
      </c>
      <c r="E14" s="7" t="str">
        <f>IFERROR(VLOOKUP(D14,'Lista desplegable'!C$1:D$436,2,FALSE),"")</f>
        <v>AYUDANTE DE PERFORISTA</v>
      </c>
      <c r="F14" s="19" t="s">
        <v>890</v>
      </c>
      <c r="G14" s="11" t="s">
        <v>903</v>
      </c>
      <c r="H14" s="11" t="s">
        <v>911</v>
      </c>
      <c r="I14" s="11">
        <v>0</v>
      </c>
      <c r="J14" s="11" t="s">
        <v>984</v>
      </c>
      <c r="K14" s="11" t="s">
        <v>918</v>
      </c>
      <c r="L14" s="11" t="s">
        <v>918</v>
      </c>
      <c r="M14" s="11"/>
    </row>
    <row r="15" spans="2:13" s="1" customFormat="1" ht="13.05" customHeight="1" x14ac:dyDescent="0.25">
      <c r="B15" s="24">
        <v>8</v>
      </c>
      <c r="C15" s="11" t="s">
        <v>686</v>
      </c>
      <c r="D15" s="7" t="str">
        <f>IFERROR(VLOOKUP(C15,'Lista desplegable'!B$1:C$436,2,FALSE),"")</f>
        <v>JORGE ARMANDO TINOCO OSPINO</v>
      </c>
      <c r="E15" s="7" t="str">
        <f>IFERROR(VLOOKUP(D15,'Lista desplegable'!C$1:D$436,2,FALSE),"")</f>
        <v>CHOFER</v>
      </c>
      <c r="F15" s="19" t="s">
        <v>890</v>
      </c>
      <c r="G15" s="11" t="s">
        <v>903</v>
      </c>
      <c r="H15" s="11" t="s">
        <v>911</v>
      </c>
      <c r="I15" s="11">
        <v>0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11" t="s">
        <v>534</v>
      </c>
      <c r="D16" s="7" t="str">
        <f>IFERROR(VLOOKUP(C16,'Lista desplegable'!B$1:C$436,2,FALSE),"")</f>
        <v>BENJAMIN JOSEFATT ESPINOZA URIBE</v>
      </c>
      <c r="E16" s="7" t="str">
        <f>IFERROR(VLOOKUP(D16,'Lista desplegable'!C$1:D$436,2,FALSE),"")</f>
        <v>CHOFER</v>
      </c>
      <c r="F16" s="19" t="s">
        <v>890</v>
      </c>
      <c r="G16" s="11" t="s">
        <v>903</v>
      </c>
      <c r="H16" s="11" t="s">
        <v>911</v>
      </c>
      <c r="I16" s="11">
        <v>0</v>
      </c>
      <c r="J16" s="11" t="s">
        <v>984</v>
      </c>
      <c r="K16" s="11" t="s">
        <v>918</v>
      </c>
      <c r="L16" s="11" t="s">
        <v>918</v>
      </c>
      <c r="M16" s="11"/>
    </row>
    <row r="17" spans="2:13" s="1" customFormat="1" ht="13.05" customHeight="1" x14ac:dyDescent="0.25">
      <c r="B17" s="24">
        <v>10</v>
      </c>
      <c r="C17" s="11" t="s">
        <v>879</v>
      </c>
      <c r="D17" s="7" t="str">
        <f>IFERROR(VLOOKUP(C17,'Lista desplegable'!B$1:C$436,2,FALSE),"")</f>
        <v>WALTER DEL CARMEN PIZARRO ALVAREZ</v>
      </c>
      <c r="E17" s="7" t="str">
        <f>IFERROR(VLOOKUP(D17,'Lista desplegable'!C$1:D$436,2,FALSE),"")</f>
        <v>CHOFER</v>
      </c>
      <c r="F17" s="19" t="s">
        <v>890</v>
      </c>
      <c r="G17" s="11" t="s">
        <v>903</v>
      </c>
      <c r="H17" s="11" t="s">
        <v>911</v>
      </c>
      <c r="I17" s="11">
        <v>0</v>
      </c>
      <c r="J17" s="11" t="s">
        <v>984</v>
      </c>
      <c r="K17" s="11" t="s">
        <v>918</v>
      </c>
      <c r="L17" s="11" t="s">
        <v>918</v>
      </c>
      <c r="M17" s="11"/>
    </row>
    <row r="18" spans="2:13" s="1" customFormat="1" ht="13.05" customHeight="1" x14ac:dyDescent="0.25">
      <c r="B18" s="24">
        <v>11</v>
      </c>
      <c r="C18" s="11" t="s">
        <v>864</v>
      </c>
      <c r="D18" s="7" t="str">
        <f>IFERROR(VLOOKUP(C18,'Lista desplegable'!B$1:C$436,2,FALSE),"")</f>
        <v>TUMENNASAN SANSRAI .</v>
      </c>
      <c r="E18" s="7" t="str">
        <f>IFERROR(VLOOKUP(D18,'Lista desplegable'!C$1:D$436,2,FALSE),"")</f>
        <v>PERFORISTA</v>
      </c>
      <c r="F18" s="19" t="s">
        <v>890</v>
      </c>
      <c r="G18" s="11" t="s">
        <v>903</v>
      </c>
      <c r="H18" s="11" t="s">
        <v>911</v>
      </c>
      <c r="I18" s="11">
        <v>0</v>
      </c>
      <c r="J18" s="11" t="s">
        <v>984</v>
      </c>
      <c r="K18" s="11"/>
      <c r="L18" s="11"/>
      <c r="M18" s="11"/>
    </row>
    <row r="19" spans="2:13" s="1" customFormat="1" ht="13.05" customHeight="1" x14ac:dyDescent="0.25">
      <c r="B19" s="24">
        <v>12</v>
      </c>
      <c r="C19" s="10" t="s">
        <v>689</v>
      </c>
      <c r="D19" s="7" t="str">
        <f>IFERROR(VLOOKUP(C19,'Lista desplegable'!B$1:C$436,2,FALSE),"")</f>
        <v>JORGE ERIKSON DURAND RUIZ</v>
      </c>
      <c r="E19" s="7" t="str">
        <f>IFERROR(VLOOKUP(D19,'Lista desplegable'!C$1:D$436,2,FALSE),"")</f>
        <v>MECANICO</v>
      </c>
      <c r="F19" s="19" t="s">
        <v>890</v>
      </c>
      <c r="G19" s="11" t="s">
        <v>903</v>
      </c>
      <c r="H19" s="11" t="s">
        <v>911</v>
      </c>
      <c r="I19" s="11">
        <v>0</v>
      </c>
      <c r="J19" s="11" t="s">
        <v>984</v>
      </c>
      <c r="K19" s="11" t="s">
        <v>918</v>
      </c>
      <c r="L19" s="11" t="s">
        <v>918</v>
      </c>
      <c r="M19" s="11"/>
    </row>
    <row r="20" spans="2:13" s="1" customFormat="1" ht="13.05" customHeight="1" x14ac:dyDescent="0.25">
      <c r="B20" s="24">
        <v>13</v>
      </c>
      <c r="C20" s="11" t="s">
        <v>881</v>
      </c>
      <c r="D20" s="7" t="str">
        <f>IFERROR(VLOOKUP(C20,'Lista desplegable'!B$1:C$436,2,FALSE),"")</f>
        <v>WILLIAM HERNAN ALVAREZ TRUJILLO</v>
      </c>
      <c r="E20" s="7" t="str">
        <f>IFERROR(VLOOKUP(D20,'Lista desplegable'!C$1:D$436,2,FALSE),"")</f>
        <v>SOLDADOR</v>
      </c>
      <c r="F20" s="19" t="s">
        <v>890</v>
      </c>
      <c r="G20" s="11" t="s">
        <v>903</v>
      </c>
      <c r="H20" s="11" t="s">
        <v>911</v>
      </c>
      <c r="I20" s="11">
        <v>0</v>
      </c>
      <c r="J20" s="11" t="s">
        <v>984</v>
      </c>
      <c r="K20" s="11" t="s">
        <v>918</v>
      </c>
      <c r="L20" s="11" t="s">
        <v>918</v>
      </c>
      <c r="M20" s="11"/>
    </row>
    <row r="21" spans="2:13" s="1" customFormat="1" ht="13.05" customHeight="1" x14ac:dyDescent="0.25">
      <c r="B21" s="24">
        <v>14</v>
      </c>
      <c r="C21" s="11" t="s">
        <v>20</v>
      </c>
      <c r="D21" s="7" t="str">
        <f>IFERROR(VLOOKUP(C21,'Lista desplegable'!B$1:C$436,2,FALSE),"")</f>
        <v>CARLOS ALBERTO PIZARRO PIZARRO</v>
      </c>
      <c r="E21" s="7" t="str">
        <f>IFERROR(VLOOKUP(D21,'Lista desplegable'!C$1:D$436,2,FALSE),"")</f>
        <v>AYUDANTE DE PERFORISTA</v>
      </c>
      <c r="F21" s="19" t="s">
        <v>890</v>
      </c>
      <c r="G21" s="11" t="s">
        <v>903</v>
      </c>
      <c r="H21" s="11" t="s">
        <v>911</v>
      </c>
      <c r="I21" s="11">
        <v>0</v>
      </c>
      <c r="J21" s="11" t="s">
        <v>984</v>
      </c>
      <c r="K21" s="11" t="s">
        <v>918</v>
      </c>
      <c r="L21" s="11" t="s">
        <v>918</v>
      </c>
      <c r="M21" s="11"/>
    </row>
    <row r="22" spans="2:13" s="1" customFormat="1" ht="13.05" customHeight="1" x14ac:dyDescent="0.25">
      <c r="B22" s="24">
        <v>15</v>
      </c>
      <c r="C22" s="11"/>
      <c r="D22" s="7" t="str">
        <f>IFERROR(VLOOKUP(C22,'Lista desplegable'!B$1:C$436,2,FALSE),"")</f>
        <v/>
      </c>
      <c r="E22" s="7" t="str">
        <f>IFERROR(VLOOKUP(D22,'Lista desplegable'!C$1:D$436,2,FALSE),"")</f>
        <v/>
      </c>
      <c r="F22" s="19"/>
      <c r="G22" s="11"/>
      <c r="H22" s="11"/>
      <c r="I22" s="11"/>
      <c r="J22" s="11"/>
      <c r="K22" s="11"/>
      <c r="L22" s="11"/>
      <c r="M22" s="11"/>
    </row>
    <row r="23" spans="2:13" s="1" customFormat="1" ht="13.05" customHeight="1" x14ac:dyDescent="0.25">
      <c r="B23" s="24">
        <v>16</v>
      </c>
      <c r="C23" s="11"/>
      <c r="D23" s="7" t="str">
        <f>IFERROR(VLOOKUP(C23,'Lista desplegable'!B$1:C$436,2,FALSE),"")</f>
        <v/>
      </c>
      <c r="E23" s="7" t="str">
        <f>IFERROR(VLOOKUP(D23,'Lista desplegable'!C$1:D$436,2,FALSE),"")</f>
        <v/>
      </c>
      <c r="F23" s="19"/>
      <c r="G23" s="11"/>
      <c r="H23" s="11"/>
      <c r="I23" s="11"/>
      <c r="J23" s="11"/>
      <c r="K23" s="11"/>
      <c r="L23" s="11"/>
      <c r="M23" s="11"/>
    </row>
    <row r="24" spans="2:13" s="1" customFormat="1" ht="13.05" customHeight="1" x14ac:dyDescent="0.25">
      <c r="B24" s="24">
        <v>17</v>
      </c>
      <c r="C24" s="11"/>
      <c r="D24" s="7" t="str">
        <f>IFERROR(VLOOKUP(C24,'Lista desplegable'!B$1:C$436,2,FALSE),"")</f>
        <v/>
      </c>
      <c r="E24" s="7" t="str">
        <f>IFERROR(VLOOKUP(D24,'Lista desplegable'!C$1:D$436,2,FALSE),"")</f>
        <v/>
      </c>
      <c r="F24" s="19"/>
      <c r="G24" s="11"/>
      <c r="H24" s="11"/>
      <c r="I24" s="11"/>
      <c r="J24" s="11"/>
      <c r="K24" s="11"/>
      <c r="L24" s="11"/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05" customHeight="1" x14ac:dyDescent="0.25">
      <c r="C38"/>
    </row>
    <row r="39" spans="2:13" ht="13.05" customHeight="1" x14ac:dyDescent="0.25">
      <c r="C39"/>
    </row>
    <row r="40" spans="2:13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3" ht="13.05" customHeight="1" x14ac:dyDescent="0.25">
      <c r="B42" s="24">
        <v>1</v>
      </c>
      <c r="C42" s="11" t="s">
        <v>865</v>
      </c>
      <c r="D42" s="7" t="str">
        <f>IFERROR(VLOOKUP(C42,'Lista desplegable'!B$1:C$436,2,FALSE),"")</f>
        <v>ULINSON DIAZ CORTES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>
        <v>0</v>
      </c>
      <c r="J42" s="11" t="s">
        <v>984</v>
      </c>
      <c r="K42" s="11" t="s">
        <v>918</v>
      </c>
      <c r="L42" s="11" t="s">
        <v>918</v>
      </c>
      <c r="M42" s="11" t="s">
        <v>1017</v>
      </c>
    </row>
    <row r="43" spans="2:13" ht="13.05" customHeight="1" x14ac:dyDescent="0.25">
      <c r="B43" s="24">
        <v>2</v>
      </c>
      <c r="C43" s="11" t="s">
        <v>829</v>
      </c>
      <c r="D43" s="7" t="str">
        <f>IFERROR(VLOOKUP(C43,'Lista desplegable'!B$1:C$436,2,FALSE),"")</f>
        <v>RODRIGO ALEJANDRO FLORES ZEPEDA</v>
      </c>
      <c r="E43" s="7" t="str">
        <f>IFERROR(VLOOKUP(D43,'Lista desplegable'!C$1:D$436,2,FALSE),"")</f>
        <v>AYUDANTE DE PERFORISTA</v>
      </c>
      <c r="F43" s="19" t="s">
        <v>890</v>
      </c>
      <c r="G43" s="11" t="s">
        <v>903</v>
      </c>
      <c r="H43" s="11" t="s">
        <v>911</v>
      </c>
      <c r="I43" s="11">
        <v>0</v>
      </c>
      <c r="J43" s="11" t="s">
        <v>984</v>
      </c>
      <c r="K43" s="11" t="s">
        <v>918</v>
      </c>
      <c r="L43" s="11" t="s">
        <v>918</v>
      </c>
      <c r="M43" s="11"/>
    </row>
    <row r="44" spans="2:13" ht="13.05" customHeight="1" x14ac:dyDescent="0.25">
      <c r="B44" s="24">
        <v>3</v>
      </c>
      <c r="C44" s="11" t="s">
        <v>618</v>
      </c>
      <c r="D44" s="7" t="str">
        <f>IFERROR(VLOOKUP(C44,'Lista desplegable'!B$1:C$436,2,FALSE),"")</f>
        <v>FABIAN PATRICIO CABRERA GODOY</v>
      </c>
      <c r="E44" s="7" t="str">
        <f>IFERROR(VLOOKUP(D44,'Lista desplegable'!C$1:D$436,2,FALSE),"")</f>
        <v>AYUDANTE DE PERFORISTA</v>
      </c>
      <c r="F44" s="19" t="s">
        <v>890</v>
      </c>
      <c r="G44" s="11" t="s">
        <v>903</v>
      </c>
      <c r="H44" s="11" t="s">
        <v>911</v>
      </c>
      <c r="I44" s="11">
        <v>0</v>
      </c>
      <c r="J44" s="11" t="s">
        <v>984</v>
      </c>
      <c r="K44" s="11" t="s">
        <v>918</v>
      </c>
      <c r="L44" s="11" t="s">
        <v>918</v>
      </c>
      <c r="M44" s="11"/>
    </row>
    <row r="45" spans="2:13" ht="13.05" customHeight="1" x14ac:dyDescent="0.25">
      <c r="B45" s="24">
        <v>4</v>
      </c>
      <c r="C45" s="11" t="s">
        <v>616</v>
      </c>
      <c r="D45" s="7" t="str">
        <f>IFERROR(VLOOKUP(C45,'Lista desplegable'!B$1:C$436,2,FALSE),"")</f>
        <v>ESTEFANIA CONSTANZA NAETER QUIROZ</v>
      </c>
      <c r="E45" s="7" t="str">
        <f>IFERROR(VLOOKUP(D45,'Lista desplegable'!C$1:D$436,2,FALSE),"")</f>
        <v>CHOFER</v>
      </c>
      <c r="F45" s="19" t="s">
        <v>890</v>
      </c>
      <c r="G45" s="11" t="s">
        <v>903</v>
      </c>
      <c r="H45" s="11" t="s">
        <v>911</v>
      </c>
      <c r="I45" s="11">
        <v>0</v>
      </c>
      <c r="J45" s="11" t="s">
        <v>984</v>
      </c>
      <c r="K45" s="11" t="s">
        <v>918</v>
      </c>
      <c r="L45" s="11" t="s">
        <v>918</v>
      </c>
      <c r="M45" s="11"/>
    </row>
    <row r="46" spans="2:13" ht="13.05" customHeight="1" x14ac:dyDescent="0.25">
      <c r="B46" s="24">
        <v>5</v>
      </c>
      <c r="C46" s="11" t="s">
        <v>990</v>
      </c>
      <c r="D46" s="7" t="str">
        <f>IFERROR(VLOOKUP(C46,'Lista desplegable'!B$1:C$436,2,FALSE),"")</f>
        <v>BENIGNO EDUARDO PAEZ MENESES</v>
      </c>
      <c r="E46" s="7" t="str">
        <f>IFERROR(VLOOKUP(D46,'Lista desplegable'!C$1:D$436,2,FALSE),"")</f>
        <v>CHOFER</v>
      </c>
      <c r="F46" s="19" t="s">
        <v>890</v>
      </c>
      <c r="G46" s="11" t="s">
        <v>903</v>
      </c>
      <c r="H46" s="11" t="s">
        <v>911</v>
      </c>
      <c r="I46" s="11">
        <v>0</v>
      </c>
      <c r="J46" s="11" t="s">
        <v>984</v>
      </c>
      <c r="K46" s="11" t="s">
        <v>918</v>
      </c>
      <c r="L46" s="11" t="s">
        <v>918</v>
      </c>
      <c r="M46" s="11"/>
    </row>
    <row r="47" spans="2:13" ht="13.05" customHeight="1" x14ac:dyDescent="0.25">
      <c r="B47" s="24">
        <v>6</v>
      </c>
      <c r="C47" s="11" t="s">
        <v>826</v>
      </c>
      <c r="D47" s="7" t="str">
        <f>IFERROR(VLOOKUP(C47,'Lista desplegable'!B$1:C$436,2,FALSE),"")</f>
        <v>ROBERTO MARIO VARGAS RODRIGUEZ</v>
      </c>
      <c r="E47" s="7" t="str">
        <f>IFERROR(VLOOKUP(D47,'Lista desplegable'!C$1:D$436,2,FALSE),"")</f>
        <v>MECANICO</v>
      </c>
      <c r="F47" s="19" t="s">
        <v>890</v>
      </c>
      <c r="G47" s="11" t="s">
        <v>903</v>
      </c>
      <c r="H47" s="11" t="s">
        <v>911</v>
      </c>
      <c r="I47" s="11">
        <v>0</v>
      </c>
      <c r="J47" s="11" t="s">
        <v>984</v>
      </c>
      <c r="K47" s="11" t="s">
        <v>918</v>
      </c>
      <c r="L47" s="11" t="s">
        <v>918</v>
      </c>
      <c r="M47" s="11"/>
    </row>
    <row r="48" spans="2:13" ht="13.05" customHeight="1" x14ac:dyDescent="0.25">
      <c r="B48" s="24">
        <v>7</v>
      </c>
      <c r="C48" t="s">
        <v>542</v>
      </c>
      <c r="D48" s="7" t="str">
        <f>IFERROR(VLOOKUP(C48,'Lista desplegable'!B$1:C$436,2,FALSE),"")</f>
        <v>BYAMBATSEREN TSERENDAVAA .</v>
      </c>
      <c r="E48" s="7" t="str">
        <f>IFERROR(VLOOKUP(D48,'Lista desplegable'!C$1:D$436,2,FALSE),"")</f>
        <v>PERFORISTA</v>
      </c>
      <c r="F48" s="19" t="s">
        <v>890</v>
      </c>
      <c r="G48" s="11" t="s">
        <v>903</v>
      </c>
      <c r="H48" s="11" t="s">
        <v>911</v>
      </c>
      <c r="I48" s="11">
        <v>0</v>
      </c>
      <c r="J48" s="11" t="s">
        <v>984</v>
      </c>
      <c r="K48" s="11"/>
      <c r="L48" s="11"/>
      <c r="M48" s="11"/>
    </row>
    <row r="49" spans="2:13" ht="13.05" customHeight="1" x14ac:dyDescent="0.25">
      <c r="B49" s="24">
        <v>8</v>
      </c>
      <c r="C49" s="11"/>
      <c r="D49" s="7" t="str">
        <f>IFERROR(VLOOKUP(C49,'Lista desplegable'!B$1:C$436,2,FALSE),"")</f>
        <v/>
      </c>
      <c r="E49" s="7" t="str">
        <f>IFERROR(VLOOKUP(D49,'Lista desplegable'!C$1:D$436,2,FALSE),"")</f>
        <v/>
      </c>
      <c r="F49" s="19"/>
      <c r="G49" s="11"/>
      <c r="H49" s="11"/>
      <c r="I49" s="11"/>
      <c r="J49" s="11"/>
      <c r="K49" s="11"/>
      <c r="L49" s="11"/>
      <c r="M49" s="11"/>
    </row>
    <row r="50" spans="2:13" ht="13.05" customHeight="1" x14ac:dyDescent="0.25">
      <c r="B50" s="24">
        <v>9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11"/>
      <c r="J50" s="11"/>
      <c r="K50" s="11"/>
      <c r="L50" s="11"/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2:I2"/>
    <mergeCell ref="G3:I3"/>
    <mergeCell ref="C6:M6"/>
    <mergeCell ref="C40:M40"/>
  </mergeCell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0D4029B-1DAD-4FD3-B317-EFF1B5F734F0}">
          <x14:formula1>
            <xm:f>'Lista desplegable'!$N$2:$N$5</xm:f>
          </x14:formula1>
          <xm:sqref>J8:J37 J42:J71</xm:sqref>
        </x14:dataValidation>
        <x14:dataValidation type="list" allowBlank="1" showInputMessage="1" showErrorMessage="1" xr:uid="{2B8101BD-AC5F-4771-AEEA-3E9382F597C9}">
          <x14:formula1>
            <xm:f>'Lista desplegable'!$B$2:$B$436</xm:f>
          </x14:formula1>
          <xm:sqref>C42:C71 C8:C37</xm:sqref>
        </x14:dataValidation>
        <x14:dataValidation type="list" allowBlank="1" showInputMessage="1" showErrorMessage="1" xr:uid="{509A6417-0517-4156-B59D-993653DE0FAD}">
          <x14:formula1>
            <xm:f>'Lista desplegable'!$F$2:$F$19</xm:f>
          </x14:formula1>
          <xm:sqref>F8:F37 F42:F71</xm:sqref>
        </x14:dataValidation>
        <x14:dataValidation type="list" allowBlank="1" showInputMessage="1" showErrorMessage="1" xr:uid="{86F3EEFD-CB41-4342-A7D9-853FB66FCB83}">
          <x14:formula1>
            <xm:f>'Lista desplegable'!$J$2:$J$10</xm:f>
          </x14:formula1>
          <xm:sqref>H8:H37 H42:H71</xm:sqref>
        </x14:dataValidation>
        <x14:dataValidation type="list" allowBlank="1" showInputMessage="1" showErrorMessage="1" xr:uid="{5495190F-EA9C-41DD-BA7D-BE4058330037}">
          <x14:formula1>
            <xm:f>'Lista desplegable'!$H$2:$H$7</xm:f>
          </x14:formula1>
          <xm:sqref>G8:G37 G42:G71</xm:sqref>
        </x14:dataValidation>
        <x14:dataValidation type="list" allowBlank="1" showInputMessage="1" showErrorMessage="1" xr:uid="{C32CD9A2-A081-44F4-BAB4-F39C49F064AD}">
          <x14:formula1>
            <xm:f>'Lista desplegable'!$L$2:$L$3</xm:f>
          </x14:formula1>
          <xm:sqref>K8:L37 K42:L71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3DF3-19AD-4A0B-9BFE-069C4BB8DBBC}">
  <dimension ref="B1:M93"/>
  <sheetViews>
    <sheetView topLeftCell="A15" zoomScale="80" zoomScaleNormal="80" workbookViewId="0">
      <selection activeCell="L10" sqref="L10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0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27.44140625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46284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11" t="s">
        <v>572</v>
      </c>
      <c r="D8" s="7" t="str">
        <f>IFERROR(VLOOKUP(C8,'Lista desplegable'!B$1:C$436,2,FALSE),"")</f>
        <v>CRISTIAN ROGELIO PASTEN VERGARA</v>
      </c>
      <c r="E8" s="7" t="str">
        <f>IFERROR(VLOOKUP(D8,'Lista desplegable'!C$1:D$436,2,FALSE),"")</f>
        <v>JEFE DE FAENA</v>
      </c>
      <c r="F8" s="19" t="s">
        <v>890</v>
      </c>
      <c r="G8" s="11" t="s">
        <v>903</v>
      </c>
      <c r="H8" s="11" t="s">
        <v>911</v>
      </c>
      <c r="I8" s="11">
        <v>0</v>
      </c>
      <c r="J8" s="11" t="s">
        <v>984</v>
      </c>
      <c r="K8" s="11" t="s">
        <v>918</v>
      </c>
      <c r="L8" s="11" t="s">
        <v>918</v>
      </c>
      <c r="M8" s="11"/>
    </row>
    <row r="9" spans="2:13" s="1" customFormat="1" ht="13.05" customHeight="1" x14ac:dyDescent="0.25">
      <c r="B9" s="24">
        <v>2</v>
      </c>
      <c r="C9" s="10" t="s">
        <v>675</v>
      </c>
      <c r="D9" s="7" t="str">
        <f>IFERROR(VLOOKUP(C9,'Lista desplegable'!B$1:C$436,2,FALSE),"")</f>
        <v>JOHN ALEXIS BRICEÑO HONORES</v>
      </c>
      <c r="E9" s="7" t="str">
        <f>IFERROR(VLOOKUP(D9,'Lista desplegable'!C$1:D$436,2,FALSE),"")</f>
        <v>PREVENCIONISTA DE RIESGOS</v>
      </c>
      <c r="F9" s="19" t="s">
        <v>890</v>
      </c>
      <c r="G9" s="11" t="s">
        <v>903</v>
      </c>
      <c r="H9" s="11" t="s">
        <v>911</v>
      </c>
      <c r="I9" s="11">
        <v>0</v>
      </c>
      <c r="J9" s="11" t="s">
        <v>984</v>
      </c>
      <c r="K9" s="11" t="s">
        <v>918</v>
      </c>
      <c r="L9" s="11" t="s">
        <v>918</v>
      </c>
      <c r="M9" s="11"/>
    </row>
    <row r="10" spans="2:13" s="1" customFormat="1" ht="13.05" customHeight="1" x14ac:dyDescent="0.25">
      <c r="B10" s="24">
        <v>3</v>
      </c>
      <c r="C10" s="11" t="s">
        <v>810</v>
      </c>
      <c r="D10" s="7" t="str">
        <f>IFERROR(VLOOKUP(C10,'Lista desplegable'!B$1:C$436,2,FALSE),"")</f>
        <v>RENE ALFREDO RIOS MALDONADO</v>
      </c>
      <c r="E10" s="7" t="str">
        <f>IFERROR(VLOOKUP(D10,'Lista desplegable'!C$1:D$436,2,FALSE),"")</f>
        <v>ADMINISTRATIVO DE FAENA</v>
      </c>
      <c r="F10" s="19" t="s">
        <v>890</v>
      </c>
      <c r="G10" s="11" t="s">
        <v>903</v>
      </c>
      <c r="H10" s="11" t="s">
        <v>911</v>
      </c>
      <c r="I10" s="11">
        <v>0</v>
      </c>
      <c r="J10" s="11" t="s">
        <v>984</v>
      </c>
      <c r="K10" s="11" t="s">
        <v>918</v>
      </c>
      <c r="L10" s="11" t="s">
        <v>918</v>
      </c>
      <c r="M10" s="11"/>
    </row>
    <row r="11" spans="2:13" s="1" customFormat="1" ht="13.05" customHeight="1" x14ac:dyDescent="0.25">
      <c r="B11" s="24">
        <v>4</v>
      </c>
      <c r="C11" s="11" t="s">
        <v>719</v>
      </c>
      <c r="D11" s="7" t="str">
        <f>IFERROR(VLOOKUP(C11,'Lista desplegable'!B$1:C$436,2,FALSE),"")</f>
        <v>LEONARDO ANDRES MENESES ARREDONDO</v>
      </c>
      <c r="E11" s="7" t="str">
        <f>IFERROR(VLOOKUP(D11,'Lista desplegable'!C$1:D$436,2,FALSE),"")</f>
        <v>SUPERVISOR DE OPERACIONES</v>
      </c>
      <c r="F11" s="19" t="s">
        <v>890</v>
      </c>
      <c r="G11" s="11" t="s">
        <v>903</v>
      </c>
      <c r="H11" s="11" t="s">
        <v>911</v>
      </c>
      <c r="I11" s="11">
        <v>0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11" t="s">
        <v>723</v>
      </c>
      <c r="D12" s="7" t="str">
        <f>IFERROR(VLOOKUP(C12,'Lista desplegable'!B$1:C$436,2,FALSE),"")</f>
        <v>LEONEL GUILLERMO CAMPUSANO DUBO</v>
      </c>
      <c r="E12" s="7" t="str">
        <f>IFERROR(VLOOKUP(D12,'Lista desplegable'!C$1:D$436,2,FALSE),"")</f>
        <v>AYUDANTE DE PERFORISTA</v>
      </c>
      <c r="F12" s="19" t="s">
        <v>890</v>
      </c>
      <c r="G12" s="11" t="s">
        <v>903</v>
      </c>
      <c r="H12" s="11" t="s">
        <v>911</v>
      </c>
      <c r="I12" s="11">
        <v>0</v>
      </c>
      <c r="J12" s="11" t="s">
        <v>984</v>
      </c>
      <c r="K12" s="11" t="s">
        <v>918</v>
      </c>
      <c r="L12" s="11" t="s">
        <v>918</v>
      </c>
      <c r="M12" s="11"/>
    </row>
    <row r="13" spans="2:13" s="1" customFormat="1" ht="13.05" customHeight="1" x14ac:dyDescent="0.25">
      <c r="B13" s="24">
        <v>6</v>
      </c>
      <c r="C13" s="11" t="s">
        <v>876</v>
      </c>
      <c r="D13" s="7" t="str">
        <f>IFERROR(VLOOKUP(C13,'Lista desplegable'!B$1:C$436,2,FALSE),"")</f>
        <v>VICTOR MANUEL MONDACA VEGA</v>
      </c>
      <c r="E13" s="7" t="str">
        <f>IFERROR(VLOOKUP(D13,'Lista desplegable'!C$1:D$436,2,FALSE),"")</f>
        <v>AYUDANTE DE PERFORISTA</v>
      </c>
      <c r="F13" s="19" t="s">
        <v>890</v>
      </c>
      <c r="G13" s="11" t="s">
        <v>903</v>
      </c>
      <c r="H13" s="11" t="s">
        <v>911</v>
      </c>
      <c r="I13" s="11">
        <v>0</v>
      </c>
      <c r="J13" s="11" t="s">
        <v>984</v>
      </c>
      <c r="K13" s="11" t="s">
        <v>918</v>
      </c>
      <c r="L13" s="11" t="s">
        <v>918</v>
      </c>
      <c r="M13" s="11"/>
    </row>
    <row r="14" spans="2:13" s="1" customFormat="1" ht="13.05" customHeight="1" x14ac:dyDescent="0.25">
      <c r="B14" s="24">
        <v>7</v>
      </c>
      <c r="C14" s="11" t="s">
        <v>686</v>
      </c>
      <c r="D14" s="7" t="str">
        <f>IFERROR(VLOOKUP(C14,'Lista desplegable'!B$1:C$436,2,FALSE),"")</f>
        <v>JORGE ARMANDO TINOCO OSPINO</v>
      </c>
      <c r="E14" s="7" t="str">
        <f>IFERROR(VLOOKUP(D14,'Lista desplegable'!C$1:D$436,2,FALSE),"")</f>
        <v>CHOFER</v>
      </c>
      <c r="F14" s="19" t="s">
        <v>890</v>
      </c>
      <c r="G14" s="11" t="s">
        <v>903</v>
      </c>
      <c r="H14" s="11" t="s">
        <v>911</v>
      </c>
      <c r="I14" s="11">
        <v>0</v>
      </c>
      <c r="J14" s="11" t="s">
        <v>984</v>
      </c>
      <c r="K14" s="11" t="s">
        <v>918</v>
      </c>
      <c r="L14" s="11" t="s">
        <v>918</v>
      </c>
      <c r="M14" s="11"/>
    </row>
    <row r="15" spans="2:13" s="1" customFormat="1" ht="13.05" customHeight="1" x14ac:dyDescent="0.25">
      <c r="B15" s="24">
        <v>8</v>
      </c>
      <c r="C15" s="11" t="s">
        <v>534</v>
      </c>
      <c r="D15" s="7" t="str">
        <f>IFERROR(VLOOKUP(C15,'Lista desplegable'!B$1:C$436,2,FALSE),"")</f>
        <v>BENJAMIN JOSEFATT ESPINOZA URIBE</v>
      </c>
      <c r="E15" s="7" t="str">
        <f>IFERROR(VLOOKUP(D15,'Lista desplegable'!C$1:D$436,2,FALSE),"")</f>
        <v>CHOFER</v>
      </c>
      <c r="F15" s="19" t="s">
        <v>890</v>
      </c>
      <c r="G15" s="11" t="s">
        <v>903</v>
      </c>
      <c r="H15" s="11" t="s">
        <v>911</v>
      </c>
      <c r="I15" s="11">
        <v>0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11" t="s">
        <v>879</v>
      </c>
      <c r="D16" s="7" t="str">
        <f>IFERROR(VLOOKUP(C16,'Lista desplegable'!B$1:C$436,2,FALSE),"")</f>
        <v>WALTER DEL CARMEN PIZARRO ALVAREZ</v>
      </c>
      <c r="E16" s="7" t="str">
        <f>IFERROR(VLOOKUP(D16,'Lista desplegable'!C$1:D$436,2,FALSE),"")</f>
        <v>CHOFER</v>
      </c>
      <c r="F16" s="19" t="s">
        <v>890</v>
      </c>
      <c r="G16" s="11" t="s">
        <v>903</v>
      </c>
      <c r="H16" s="11" t="s">
        <v>911</v>
      </c>
      <c r="I16" s="11">
        <v>0</v>
      </c>
      <c r="J16" s="11" t="s">
        <v>984</v>
      </c>
      <c r="K16" s="11" t="s">
        <v>918</v>
      </c>
      <c r="L16" s="11" t="s">
        <v>918</v>
      </c>
      <c r="M16" s="11"/>
    </row>
    <row r="17" spans="2:13" s="1" customFormat="1" ht="13.05" customHeight="1" x14ac:dyDescent="0.25">
      <c r="B17" s="24">
        <v>10</v>
      </c>
      <c r="C17" s="11" t="s">
        <v>864</v>
      </c>
      <c r="D17" s="7" t="str">
        <f>IFERROR(VLOOKUP(C17,'Lista desplegable'!B$1:C$436,2,FALSE),"")</f>
        <v>TUMENNASAN SANSRAI .</v>
      </c>
      <c r="E17" s="7" t="str">
        <f>IFERROR(VLOOKUP(D17,'Lista desplegable'!C$1:D$436,2,FALSE),"")</f>
        <v>PERFORISTA</v>
      </c>
      <c r="F17" s="19" t="s">
        <v>890</v>
      </c>
      <c r="G17" s="11" t="s">
        <v>903</v>
      </c>
      <c r="H17" s="11" t="s">
        <v>911</v>
      </c>
      <c r="I17" s="11">
        <v>0</v>
      </c>
      <c r="J17" s="11" t="s">
        <v>984</v>
      </c>
      <c r="K17" s="11"/>
      <c r="L17" s="11"/>
      <c r="M17" s="11"/>
    </row>
    <row r="18" spans="2:13" s="1" customFormat="1" ht="13.05" customHeight="1" x14ac:dyDescent="0.25">
      <c r="B18" s="24">
        <v>11</v>
      </c>
      <c r="C18" s="10" t="s">
        <v>689</v>
      </c>
      <c r="D18" s="7" t="str">
        <f>IFERROR(VLOOKUP(C18,'Lista desplegable'!B$1:C$436,2,FALSE),"")</f>
        <v>JORGE ERIKSON DURAND RUIZ</v>
      </c>
      <c r="E18" s="7" t="str">
        <f>IFERROR(VLOOKUP(D18,'Lista desplegable'!C$1:D$436,2,FALSE),"")</f>
        <v>MECANICO</v>
      </c>
      <c r="F18" s="19" t="s">
        <v>890</v>
      </c>
      <c r="G18" s="11" t="s">
        <v>903</v>
      </c>
      <c r="H18" s="11" t="s">
        <v>911</v>
      </c>
      <c r="I18" s="11">
        <v>0</v>
      </c>
      <c r="J18" s="11" t="s">
        <v>984</v>
      </c>
      <c r="K18" s="11" t="s">
        <v>918</v>
      </c>
      <c r="L18" s="11" t="s">
        <v>918</v>
      </c>
      <c r="M18" s="11"/>
    </row>
    <row r="19" spans="2:13" s="1" customFormat="1" ht="13.05" customHeight="1" x14ac:dyDescent="0.25">
      <c r="B19" s="24">
        <v>12</v>
      </c>
      <c r="C19" s="11" t="s">
        <v>881</v>
      </c>
      <c r="D19" s="7" t="str">
        <f>IFERROR(VLOOKUP(C19,'Lista desplegable'!B$1:C$436,2,FALSE),"")</f>
        <v>WILLIAM HERNAN ALVAREZ TRUJILLO</v>
      </c>
      <c r="E19" s="7" t="str">
        <f>IFERROR(VLOOKUP(D19,'Lista desplegable'!C$1:D$436,2,FALSE),"")</f>
        <v>SOLDADOR</v>
      </c>
      <c r="F19" s="19" t="s">
        <v>890</v>
      </c>
      <c r="G19" s="11" t="s">
        <v>903</v>
      </c>
      <c r="H19" s="11" t="s">
        <v>911</v>
      </c>
      <c r="I19" s="11">
        <v>0</v>
      </c>
      <c r="J19" s="11" t="s">
        <v>984</v>
      </c>
      <c r="K19" s="11" t="s">
        <v>918</v>
      </c>
      <c r="L19" s="11" t="s">
        <v>918</v>
      </c>
      <c r="M19" s="11"/>
    </row>
    <row r="20" spans="2:13" s="1" customFormat="1" ht="13.05" customHeight="1" x14ac:dyDescent="0.25">
      <c r="B20" s="24">
        <v>13</v>
      </c>
      <c r="C20" s="11"/>
      <c r="D20" s="7" t="str">
        <f>IFERROR(VLOOKUP(C20,'Lista desplegable'!B$1:C$436,2,FALSE),"")</f>
        <v/>
      </c>
      <c r="E20" s="7" t="str">
        <f>IFERROR(VLOOKUP(D20,'Lista desplegable'!C$1:D$436,2,FALSE),"")</f>
        <v/>
      </c>
      <c r="F20" s="19"/>
      <c r="G20" s="11"/>
      <c r="H20" s="11"/>
      <c r="I20" s="11"/>
      <c r="J20" s="11"/>
      <c r="K20" s="11"/>
      <c r="L20" s="11"/>
      <c r="M20" s="11"/>
    </row>
    <row r="21" spans="2:13" s="1" customFormat="1" ht="13.05" customHeight="1" x14ac:dyDescent="0.25">
      <c r="B21" s="24">
        <v>14</v>
      </c>
      <c r="C21" s="11"/>
      <c r="D21" s="7" t="str">
        <f>IFERROR(VLOOKUP(C21,'Lista desplegable'!B$1:C$436,2,FALSE),"")</f>
        <v/>
      </c>
      <c r="E21" s="7" t="str">
        <f>IFERROR(VLOOKUP(D21,'Lista desplegable'!C$1:D$436,2,FALSE),"")</f>
        <v/>
      </c>
      <c r="F21" s="19"/>
      <c r="G21" s="11"/>
      <c r="H21" s="11"/>
      <c r="I21" s="11"/>
      <c r="J21" s="11"/>
      <c r="K21" s="11"/>
      <c r="L21" s="11"/>
      <c r="M21" s="11"/>
    </row>
    <row r="22" spans="2:13" s="1" customFormat="1" ht="13.05" customHeight="1" x14ac:dyDescent="0.25">
      <c r="B22" s="24">
        <v>15</v>
      </c>
      <c r="C22" s="11"/>
      <c r="D22" s="7" t="str">
        <f>IFERROR(VLOOKUP(C22,'Lista desplegable'!B$1:C$436,2,FALSE),"")</f>
        <v/>
      </c>
      <c r="E22" s="7" t="str">
        <f>IFERROR(VLOOKUP(D22,'Lista desplegable'!C$1:D$436,2,FALSE),"")</f>
        <v/>
      </c>
      <c r="F22" s="19"/>
      <c r="G22" s="11"/>
      <c r="H22" s="11"/>
      <c r="I22" s="11"/>
      <c r="J22" s="11"/>
      <c r="K22" s="11"/>
      <c r="L22" s="11"/>
      <c r="M22" s="11"/>
    </row>
    <row r="23" spans="2:13" s="1" customFormat="1" ht="13.05" customHeight="1" x14ac:dyDescent="0.25">
      <c r="B23" s="24">
        <v>16</v>
      </c>
      <c r="C23" s="11"/>
      <c r="D23" s="7" t="str">
        <f>IFERROR(VLOOKUP(C23,'Lista desplegable'!B$1:C$436,2,FALSE),"")</f>
        <v/>
      </c>
      <c r="E23" s="7" t="str">
        <f>IFERROR(VLOOKUP(D23,'Lista desplegable'!C$1:D$436,2,FALSE),"")</f>
        <v/>
      </c>
      <c r="F23" s="19"/>
      <c r="G23" s="11"/>
      <c r="H23" s="11"/>
      <c r="I23" s="11"/>
      <c r="J23" s="11"/>
      <c r="K23" s="11"/>
      <c r="L23" s="11"/>
      <c r="M23" s="11"/>
    </row>
    <row r="24" spans="2:13" s="1" customFormat="1" ht="13.05" customHeight="1" x14ac:dyDescent="0.25">
      <c r="B24" s="24">
        <v>17</v>
      </c>
      <c r="C24" s="11"/>
      <c r="D24" s="7" t="str">
        <f>IFERROR(VLOOKUP(C24,'Lista desplegable'!B$1:C$436,2,FALSE),"")</f>
        <v/>
      </c>
      <c r="E24" s="7" t="str">
        <f>IFERROR(VLOOKUP(D24,'Lista desplegable'!C$1:D$436,2,FALSE),"")</f>
        <v/>
      </c>
      <c r="F24" s="19"/>
      <c r="G24" s="11"/>
      <c r="H24" s="11"/>
      <c r="I24" s="11"/>
      <c r="J24" s="11"/>
      <c r="K24" s="11"/>
      <c r="L24" s="11"/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05" customHeight="1" x14ac:dyDescent="0.25">
      <c r="C38"/>
    </row>
    <row r="39" spans="2:13" ht="13.05" customHeight="1" x14ac:dyDescent="0.25">
      <c r="C39"/>
    </row>
    <row r="40" spans="2:13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3" ht="13.05" customHeight="1" x14ac:dyDescent="0.25">
      <c r="B42" s="24">
        <v>1</v>
      </c>
      <c r="C42" s="11" t="s">
        <v>865</v>
      </c>
      <c r="D42" s="7" t="str">
        <f>IFERROR(VLOOKUP(C42,'Lista desplegable'!B$1:C$436,2,FALSE),"")</f>
        <v>ULINSON DIAZ CORTES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>
        <v>0</v>
      </c>
      <c r="J42" s="11" t="s">
        <v>984</v>
      </c>
      <c r="K42" s="11" t="s">
        <v>918</v>
      </c>
      <c r="L42" s="11" t="s">
        <v>918</v>
      </c>
      <c r="M42" s="11"/>
    </row>
    <row r="43" spans="2:13" ht="13.05" customHeight="1" x14ac:dyDescent="0.25">
      <c r="B43" s="24">
        <v>2</v>
      </c>
      <c r="C43" s="11" t="s">
        <v>829</v>
      </c>
      <c r="D43" s="7" t="str">
        <f>IFERROR(VLOOKUP(C43,'Lista desplegable'!B$1:C$436,2,FALSE),"")</f>
        <v>RODRIGO ALEJANDRO FLORES ZEPEDA</v>
      </c>
      <c r="E43" s="7" t="str">
        <f>IFERROR(VLOOKUP(D43,'Lista desplegable'!C$1:D$436,2,FALSE),"")</f>
        <v>AYUDANTE DE PERFORISTA</v>
      </c>
      <c r="F43" s="19" t="s">
        <v>890</v>
      </c>
      <c r="G43" s="11" t="s">
        <v>903</v>
      </c>
      <c r="H43" s="11" t="s">
        <v>911</v>
      </c>
      <c r="I43" s="11">
        <v>0</v>
      </c>
      <c r="J43" s="11" t="s">
        <v>984</v>
      </c>
      <c r="K43" s="11" t="s">
        <v>918</v>
      </c>
      <c r="L43" s="11" t="s">
        <v>918</v>
      </c>
      <c r="M43" s="11"/>
    </row>
    <row r="44" spans="2:13" ht="13.05" customHeight="1" x14ac:dyDescent="0.25">
      <c r="B44" s="24">
        <v>3</v>
      </c>
      <c r="C44" s="11" t="s">
        <v>618</v>
      </c>
      <c r="D44" s="7" t="str">
        <f>IFERROR(VLOOKUP(C44,'Lista desplegable'!B$1:C$436,2,FALSE),"")</f>
        <v>FABIAN PATRICIO CABRERA GODOY</v>
      </c>
      <c r="E44" s="7" t="str">
        <f>IFERROR(VLOOKUP(D44,'Lista desplegable'!C$1:D$436,2,FALSE),"")</f>
        <v>AYUDANTE DE PERFORISTA</v>
      </c>
      <c r="F44" s="19" t="s">
        <v>890</v>
      </c>
      <c r="G44" s="11" t="s">
        <v>903</v>
      </c>
      <c r="H44" s="11" t="s">
        <v>911</v>
      </c>
      <c r="I44" s="11">
        <v>0</v>
      </c>
      <c r="J44" s="11" t="s">
        <v>984</v>
      </c>
      <c r="K44" s="11" t="s">
        <v>918</v>
      </c>
      <c r="L44" s="11" t="s">
        <v>918</v>
      </c>
      <c r="M44" s="11"/>
    </row>
    <row r="45" spans="2:13" ht="13.05" customHeight="1" x14ac:dyDescent="0.25">
      <c r="B45" s="24">
        <v>4</v>
      </c>
      <c r="C45" s="11" t="s">
        <v>616</v>
      </c>
      <c r="D45" s="7" t="str">
        <f>IFERROR(VLOOKUP(C45,'Lista desplegable'!B$1:C$436,2,FALSE),"")</f>
        <v>ESTEFANIA CONSTANZA NAETER QUIROZ</v>
      </c>
      <c r="E45" s="7" t="str">
        <f>IFERROR(VLOOKUP(D45,'Lista desplegable'!C$1:D$436,2,FALSE),"")</f>
        <v>CHOFER</v>
      </c>
      <c r="F45" s="19" t="s">
        <v>890</v>
      </c>
      <c r="G45" s="11" t="s">
        <v>903</v>
      </c>
      <c r="H45" s="11" t="s">
        <v>911</v>
      </c>
      <c r="I45" s="11">
        <v>0</v>
      </c>
      <c r="J45" s="11" t="s">
        <v>984</v>
      </c>
      <c r="K45" s="11" t="s">
        <v>918</v>
      </c>
      <c r="L45" s="11" t="s">
        <v>918</v>
      </c>
      <c r="M45" s="11"/>
    </row>
    <row r="46" spans="2:13" ht="13.05" customHeight="1" x14ac:dyDescent="0.25">
      <c r="B46" s="24">
        <v>5</v>
      </c>
      <c r="C46" s="11" t="s">
        <v>990</v>
      </c>
      <c r="D46" s="7" t="str">
        <f>IFERROR(VLOOKUP(C46,'Lista desplegable'!B$1:C$436,2,FALSE),"")</f>
        <v>BENIGNO EDUARDO PAEZ MENESES</v>
      </c>
      <c r="E46" s="7" t="str">
        <f>IFERROR(VLOOKUP(D46,'Lista desplegable'!C$1:D$436,2,FALSE),"")</f>
        <v>CHOFER</v>
      </c>
      <c r="F46" s="19" t="s">
        <v>890</v>
      </c>
      <c r="G46" s="11" t="s">
        <v>903</v>
      </c>
      <c r="H46" s="11" t="s">
        <v>911</v>
      </c>
      <c r="I46" s="11">
        <v>0</v>
      </c>
      <c r="J46" s="11" t="s">
        <v>984</v>
      </c>
      <c r="K46" s="11" t="s">
        <v>918</v>
      </c>
      <c r="L46" s="11" t="s">
        <v>918</v>
      </c>
      <c r="M46" s="11"/>
    </row>
    <row r="47" spans="2:13" ht="13.05" customHeight="1" x14ac:dyDescent="0.25">
      <c r="B47" s="24">
        <v>6</v>
      </c>
      <c r="C47" s="11" t="s">
        <v>826</v>
      </c>
      <c r="D47" s="7" t="str">
        <f>IFERROR(VLOOKUP(C47,'Lista desplegable'!B$1:C$436,2,FALSE),"")</f>
        <v>ROBERTO MARIO VARGAS RODRIGUEZ</v>
      </c>
      <c r="E47" s="7" t="str">
        <f>IFERROR(VLOOKUP(D47,'Lista desplegable'!C$1:D$436,2,FALSE),"")</f>
        <v>MECANICO</v>
      </c>
      <c r="F47" s="19" t="s">
        <v>890</v>
      </c>
      <c r="G47" s="11" t="s">
        <v>903</v>
      </c>
      <c r="H47" s="11" t="s">
        <v>911</v>
      </c>
      <c r="I47" s="11">
        <v>0</v>
      </c>
      <c r="J47" s="11" t="s">
        <v>984</v>
      </c>
      <c r="K47" s="11" t="s">
        <v>918</v>
      </c>
      <c r="L47" s="11" t="s">
        <v>918</v>
      </c>
      <c r="M47" s="11"/>
    </row>
    <row r="48" spans="2:13" ht="13.05" customHeight="1" x14ac:dyDescent="0.25">
      <c r="B48" s="24">
        <v>7</v>
      </c>
      <c r="C48" t="s">
        <v>542</v>
      </c>
      <c r="D48" s="7" t="str">
        <f>IFERROR(VLOOKUP(C48,'Lista desplegable'!B$1:C$436,2,FALSE),"")</f>
        <v>BYAMBATSEREN TSERENDAVAA .</v>
      </c>
      <c r="E48" s="7" t="str">
        <f>IFERROR(VLOOKUP(D48,'Lista desplegable'!C$1:D$436,2,FALSE),"")</f>
        <v>PERFORISTA</v>
      </c>
      <c r="F48" s="19" t="s">
        <v>890</v>
      </c>
      <c r="G48" s="11" t="s">
        <v>903</v>
      </c>
      <c r="H48" s="11" t="s">
        <v>911</v>
      </c>
      <c r="I48" s="11">
        <v>0</v>
      </c>
      <c r="J48" s="11" t="s">
        <v>984</v>
      </c>
      <c r="K48" s="11"/>
      <c r="L48" s="11"/>
      <c r="M48" s="11"/>
    </row>
    <row r="49" spans="2:13" ht="13.05" customHeight="1" x14ac:dyDescent="0.25">
      <c r="B49" s="24">
        <v>8</v>
      </c>
      <c r="C49" s="11"/>
      <c r="D49" s="7" t="str">
        <f>IFERROR(VLOOKUP(C49,'Lista desplegable'!B$1:C$436,2,FALSE),"")</f>
        <v/>
      </c>
      <c r="E49" s="7" t="str">
        <f>IFERROR(VLOOKUP(D49,'Lista desplegable'!C$1:D$436,2,FALSE),"")</f>
        <v/>
      </c>
      <c r="F49" s="19"/>
      <c r="G49" s="11"/>
      <c r="H49" s="11"/>
      <c r="I49" s="11"/>
      <c r="J49" s="11"/>
      <c r="K49" s="11"/>
      <c r="L49" s="11"/>
      <c r="M49" s="11"/>
    </row>
    <row r="50" spans="2:13" ht="13.05" customHeight="1" x14ac:dyDescent="0.25">
      <c r="B50" s="24">
        <v>9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11"/>
      <c r="J50" s="11"/>
      <c r="K50" s="11"/>
      <c r="L50" s="11"/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2:I2"/>
    <mergeCell ref="G3:I3"/>
    <mergeCell ref="C6:M6"/>
    <mergeCell ref="C40:M40"/>
  </mergeCell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7B8BC25-BFA5-4AFF-B173-E80E95E83254}">
          <x14:formula1>
            <xm:f>'Lista desplegable'!$L$2:$L$3</xm:f>
          </x14:formula1>
          <xm:sqref>K8:L37 K42:L71</xm:sqref>
        </x14:dataValidation>
        <x14:dataValidation type="list" allowBlank="1" showInputMessage="1" showErrorMessage="1" xr:uid="{97F48C18-1F2B-445A-8D5E-B855DFDB9B19}">
          <x14:formula1>
            <xm:f>'Lista desplegable'!$H$2:$H$7</xm:f>
          </x14:formula1>
          <xm:sqref>G8:G37 G42:G71</xm:sqref>
        </x14:dataValidation>
        <x14:dataValidation type="list" allowBlank="1" showInputMessage="1" showErrorMessage="1" xr:uid="{8189987E-BD03-48B6-B28D-21EFFE55F550}">
          <x14:formula1>
            <xm:f>'Lista desplegable'!$J$2:$J$10</xm:f>
          </x14:formula1>
          <xm:sqref>H8:H37 H42:H71</xm:sqref>
        </x14:dataValidation>
        <x14:dataValidation type="list" allowBlank="1" showInputMessage="1" showErrorMessage="1" xr:uid="{A5376A7C-A9AC-409D-A9BD-A9F9AE3CFDFE}">
          <x14:formula1>
            <xm:f>'Lista desplegable'!$F$2:$F$19</xm:f>
          </x14:formula1>
          <xm:sqref>F8:F37 F42:F71</xm:sqref>
        </x14:dataValidation>
        <x14:dataValidation type="list" allowBlank="1" showInputMessage="1" showErrorMessage="1" xr:uid="{7FAA0DD4-D359-4C34-8CC9-DE4F118E1119}">
          <x14:formula1>
            <xm:f>'Lista desplegable'!$B$2:$B$436</xm:f>
          </x14:formula1>
          <xm:sqref>C42:C71 C8:C37</xm:sqref>
        </x14:dataValidation>
        <x14:dataValidation type="list" allowBlank="1" showInputMessage="1" showErrorMessage="1" xr:uid="{2DEE47A1-4ECB-4AFB-80DF-3CE71252A92E}">
          <x14:formula1>
            <xm:f>'Lista desplegable'!$N$2:$N$5</xm:f>
          </x14:formula1>
          <xm:sqref>J8:J37 J42:J71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8667-9163-4B36-9922-88770BD5D92F}">
  <dimension ref="B1:M93"/>
  <sheetViews>
    <sheetView topLeftCell="A7" zoomScale="80" zoomScaleNormal="80" workbookViewId="0">
      <selection activeCell="L9" sqref="L9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0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21.77734375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46285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11" t="s">
        <v>572</v>
      </c>
      <c r="D8" s="7" t="str">
        <f>IFERROR(VLOOKUP(C8,'Lista desplegable'!B$1:C$436,2,FALSE),"")</f>
        <v>CRISTIAN ROGELIO PASTEN VERGARA</v>
      </c>
      <c r="E8" s="7" t="str">
        <f>IFERROR(VLOOKUP(D8,'Lista desplegable'!C$1:D$436,2,FALSE),"")</f>
        <v>JEFE DE FAENA</v>
      </c>
      <c r="F8" s="19" t="s">
        <v>890</v>
      </c>
      <c r="G8" s="11" t="s">
        <v>903</v>
      </c>
      <c r="H8" s="11" t="s">
        <v>911</v>
      </c>
      <c r="I8" s="11">
        <v>0</v>
      </c>
      <c r="J8" s="11" t="s">
        <v>984</v>
      </c>
      <c r="K8" s="11" t="s">
        <v>918</v>
      </c>
      <c r="L8" s="11" t="s">
        <v>918</v>
      </c>
      <c r="M8" s="11"/>
    </row>
    <row r="9" spans="2:13" s="1" customFormat="1" ht="13.05" customHeight="1" x14ac:dyDescent="0.25">
      <c r="B9" s="24">
        <v>2</v>
      </c>
      <c r="C9" s="10" t="s">
        <v>675</v>
      </c>
      <c r="D9" s="7" t="str">
        <f>IFERROR(VLOOKUP(C9,'Lista desplegable'!B$1:C$436,2,FALSE),"")</f>
        <v>JOHN ALEXIS BRICEÑO HONORES</v>
      </c>
      <c r="E9" s="7" t="str">
        <f>IFERROR(VLOOKUP(D9,'Lista desplegable'!C$1:D$436,2,FALSE),"")</f>
        <v>PREVENCIONISTA DE RIESGOS</v>
      </c>
      <c r="F9" s="19" t="s">
        <v>890</v>
      </c>
      <c r="G9" s="11" t="s">
        <v>903</v>
      </c>
      <c r="H9" s="11" t="s">
        <v>911</v>
      </c>
      <c r="I9" s="11">
        <v>0</v>
      </c>
      <c r="J9" s="11" t="s">
        <v>984</v>
      </c>
      <c r="K9" s="11" t="s">
        <v>918</v>
      </c>
      <c r="L9" s="11" t="s">
        <v>918</v>
      </c>
      <c r="M9" s="11"/>
    </row>
    <row r="10" spans="2:13" s="1" customFormat="1" ht="13.05" customHeight="1" x14ac:dyDescent="0.25">
      <c r="B10" s="24">
        <v>3</v>
      </c>
      <c r="C10" s="11" t="s">
        <v>810</v>
      </c>
      <c r="D10" s="7" t="str">
        <f>IFERROR(VLOOKUP(C10,'Lista desplegable'!B$1:C$436,2,FALSE),"")</f>
        <v>RENE ALFREDO RIOS MALDONADO</v>
      </c>
      <c r="E10" s="7" t="str">
        <f>IFERROR(VLOOKUP(D10,'Lista desplegable'!C$1:D$436,2,FALSE),"")</f>
        <v>ADMINISTRATIVO DE FAENA</v>
      </c>
      <c r="F10" s="19" t="s">
        <v>890</v>
      </c>
      <c r="G10" s="11" t="s">
        <v>903</v>
      </c>
      <c r="H10" s="11" t="s">
        <v>911</v>
      </c>
      <c r="I10" s="11">
        <v>0</v>
      </c>
      <c r="J10" s="11" t="s">
        <v>984</v>
      </c>
      <c r="K10" s="11" t="s">
        <v>918</v>
      </c>
      <c r="L10" s="11" t="s">
        <v>918</v>
      </c>
      <c r="M10" s="11"/>
    </row>
    <row r="11" spans="2:13" s="1" customFormat="1" ht="13.05" customHeight="1" x14ac:dyDescent="0.25">
      <c r="B11" s="24">
        <v>4</v>
      </c>
      <c r="C11" s="11" t="s">
        <v>719</v>
      </c>
      <c r="D11" s="7" t="str">
        <f>IFERROR(VLOOKUP(C11,'Lista desplegable'!B$1:C$436,2,FALSE),"")</f>
        <v>LEONARDO ANDRES MENESES ARREDONDO</v>
      </c>
      <c r="E11" s="7" t="str">
        <f>IFERROR(VLOOKUP(D11,'Lista desplegable'!C$1:D$436,2,FALSE),"")</f>
        <v>SUPERVISOR DE OPERACIONES</v>
      </c>
      <c r="F11" s="19" t="s">
        <v>890</v>
      </c>
      <c r="G11" s="11" t="s">
        <v>903</v>
      </c>
      <c r="H11" s="11" t="s">
        <v>911</v>
      </c>
      <c r="I11" s="11">
        <v>0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11" t="s">
        <v>723</v>
      </c>
      <c r="D12" s="7" t="str">
        <f>IFERROR(VLOOKUP(C12,'Lista desplegable'!B$1:C$436,2,FALSE),"")</f>
        <v>LEONEL GUILLERMO CAMPUSANO DUBO</v>
      </c>
      <c r="E12" s="7" t="str">
        <f>IFERROR(VLOOKUP(D12,'Lista desplegable'!C$1:D$436,2,FALSE),"")</f>
        <v>AYUDANTE DE PERFORISTA</v>
      </c>
      <c r="F12" s="19" t="s">
        <v>890</v>
      </c>
      <c r="G12" s="11" t="s">
        <v>903</v>
      </c>
      <c r="H12" s="11" t="s">
        <v>911</v>
      </c>
      <c r="I12" s="11">
        <v>0</v>
      </c>
      <c r="J12" s="11" t="s">
        <v>984</v>
      </c>
      <c r="K12" s="11" t="s">
        <v>918</v>
      </c>
      <c r="L12" s="11" t="s">
        <v>918</v>
      </c>
      <c r="M12" s="11"/>
    </row>
    <row r="13" spans="2:13" s="1" customFormat="1" ht="13.05" customHeight="1" x14ac:dyDescent="0.25">
      <c r="B13" s="24">
        <v>6</v>
      </c>
      <c r="C13" s="11" t="s">
        <v>876</v>
      </c>
      <c r="D13" s="7" t="str">
        <f>IFERROR(VLOOKUP(C13,'Lista desplegable'!B$1:C$436,2,FALSE),"")</f>
        <v>VICTOR MANUEL MONDACA VEGA</v>
      </c>
      <c r="E13" s="7" t="str">
        <f>IFERROR(VLOOKUP(D13,'Lista desplegable'!C$1:D$436,2,FALSE),"")</f>
        <v>AYUDANTE DE PERFORISTA</v>
      </c>
      <c r="F13" s="19" t="s">
        <v>890</v>
      </c>
      <c r="G13" s="11" t="s">
        <v>903</v>
      </c>
      <c r="H13" s="11" t="s">
        <v>911</v>
      </c>
      <c r="I13" s="11">
        <v>0</v>
      </c>
      <c r="J13" s="11" t="s">
        <v>984</v>
      </c>
      <c r="K13" s="11" t="s">
        <v>918</v>
      </c>
      <c r="L13" s="11" t="s">
        <v>918</v>
      </c>
      <c r="M13" s="11"/>
    </row>
    <row r="14" spans="2:13" s="1" customFormat="1" ht="13.05" customHeight="1" x14ac:dyDescent="0.25">
      <c r="B14" s="24">
        <v>7</v>
      </c>
      <c r="C14" s="11" t="s">
        <v>686</v>
      </c>
      <c r="D14" s="7" t="str">
        <f>IFERROR(VLOOKUP(C14,'Lista desplegable'!B$1:C$436,2,FALSE),"")</f>
        <v>JORGE ARMANDO TINOCO OSPINO</v>
      </c>
      <c r="E14" s="7" t="str">
        <f>IFERROR(VLOOKUP(D14,'Lista desplegable'!C$1:D$436,2,FALSE),"")</f>
        <v>CHOFER</v>
      </c>
      <c r="F14" s="19" t="s">
        <v>890</v>
      </c>
      <c r="G14" s="11" t="s">
        <v>903</v>
      </c>
      <c r="H14" s="11" t="s">
        <v>911</v>
      </c>
      <c r="I14" s="11">
        <v>0</v>
      </c>
      <c r="J14" s="11" t="s">
        <v>984</v>
      </c>
      <c r="K14" s="11" t="s">
        <v>918</v>
      </c>
      <c r="L14" s="11" t="s">
        <v>918</v>
      </c>
      <c r="M14" s="11"/>
    </row>
    <row r="15" spans="2:13" s="1" customFormat="1" ht="13.05" customHeight="1" x14ac:dyDescent="0.25">
      <c r="B15" s="24">
        <v>8</v>
      </c>
      <c r="C15" s="11" t="s">
        <v>534</v>
      </c>
      <c r="D15" s="7" t="str">
        <f>IFERROR(VLOOKUP(C15,'Lista desplegable'!B$1:C$436,2,FALSE),"")</f>
        <v>BENJAMIN JOSEFATT ESPINOZA URIBE</v>
      </c>
      <c r="E15" s="7" t="str">
        <f>IFERROR(VLOOKUP(D15,'Lista desplegable'!C$1:D$436,2,FALSE),"")</f>
        <v>CHOFER</v>
      </c>
      <c r="F15" s="19" t="s">
        <v>890</v>
      </c>
      <c r="G15" s="11" t="s">
        <v>903</v>
      </c>
      <c r="H15" s="11" t="s">
        <v>911</v>
      </c>
      <c r="I15" s="11">
        <v>0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11" t="s">
        <v>879</v>
      </c>
      <c r="D16" s="7" t="str">
        <f>IFERROR(VLOOKUP(C16,'Lista desplegable'!B$1:C$436,2,FALSE),"")</f>
        <v>WALTER DEL CARMEN PIZARRO ALVAREZ</v>
      </c>
      <c r="E16" s="7" t="str">
        <f>IFERROR(VLOOKUP(D16,'Lista desplegable'!C$1:D$436,2,FALSE),"")</f>
        <v>CHOFER</v>
      </c>
      <c r="F16" s="19" t="s">
        <v>890</v>
      </c>
      <c r="G16" s="11" t="s">
        <v>903</v>
      </c>
      <c r="H16" s="11" t="s">
        <v>911</v>
      </c>
      <c r="I16" s="11">
        <v>0</v>
      </c>
      <c r="J16" s="11" t="s">
        <v>984</v>
      </c>
      <c r="K16" s="11" t="s">
        <v>918</v>
      </c>
      <c r="L16" s="11" t="s">
        <v>918</v>
      </c>
      <c r="M16" s="11"/>
    </row>
    <row r="17" spans="2:13" s="1" customFormat="1" ht="13.05" customHeight="1" x14ac:dyDescent="0.25">
      <c r="B17" s="24">
        <v>10</v>
      </c>
      <c r="C17" s="11" t="s">
        <v>864</v>
      </c>
      <c r="D17" s="7" t="str">
        <f>IFERROR(VLOOKUP(C17,'Lista desplegable'!B$1:C$436,2,FALSE),"")</f>
        <v>TUMENNASAN SANSRAI .</v>
      </c>
      <c r="E17" s="7" t="str">
        <f>IFERROR(VLOOKUP(D17,'Lista desplegable'!C$1:D$436,2,FALSE),"")</f>
        <v>PERFORISTA</v>
      </c>
      <c r="F17" s="19" t="s">
        <v>890</v>
      </c>
      <c r="G17" s="11" t="s">
        <v>903</v>
      </c>
      <c r="H17" s="11" t="s">
        <v>911</v>
      </c>
      <c r="I17" s="11">
        <v>0</v>
      </c>
      <c r="J17" s="11" t="s">
        <v>984</v>
      </c>
      <c r="K17" s="11" t="s">
        <v>918</v>
      </c>
      <c r="L17" s="11" t="s">
        <v>918</v>
      </c>
      <c r="M17" s="11"/>
    </row>
    <row r="18" spans="2:13" s="1" customFormat="1" ht="13.05" customHeight="1" x14ac:dyDescent="0.25">
      <c r="B18" s="24">
        <v>11</v>
      </c>
      <c r="C18" s="10" t="s">
        <v>689</v>
      </c>
      <c r="D18" s="7" t="str">
        <f>IFERROR(VLOOKUP(C18,'Lista desplegable'!B$1:C$436,2,FALSE),"")</f>
        <v>JORGE ERIKSON DURAND RUIZ</v>
      </c>
      <c r="E18" s="7" t="str">
        <f>IFERROR(VLOOKUP(D18,'Lista desplegable'!C$1:D$436,2,FALSE),"")</f>
        <v>MECANICO</v>
      </c>
      <c r="F18" s="19" t="s">
        <v>890</v>
      </c>
      <c r="G18" s="11" t="s">
        <v>903</v>
      </c>
      <c r="H18" s="11" t="s">
        <v>911</v>
      </c>
      <c r="I18" s="11">
        <v>0</v>
      </c>
      <c r="J18" s="11" t="s">
        <v>984</v>
      </c>
      <c r="K18" s="11" t="s">
        <v>918</v>
      </c>
      <c r="L18" s="11" t="s">
        <v>918</v>
      </c>
      <c r="M18" s="11"/>
    </row>
    <row r="19" spans="2:13" s="1" customFormat="1" ht="13.05" customHeight="1" x14ac:dyDescent="0.25">
      <c r="B19" s="24">
        <v>12</v>
      </c>
      <c r="C19" s="11" t="s">
        <v>881</v>
      </c>
      <c r="D19" s="7" t="str">
        <f>IFERROR(VLOOKUP(C19,'Lista desplegable'!B$1:C$436,2,FALSE),"")</f>
        <v>WILLIAM HERNAN ALVAREZ TRUJILLO</v>
      </c>
      <c r="E19" s="7" t="str">
        <f>IFERROR(VLOOKUP(D19,'Lista desplegable'!C$1:D$436,2,FALSE),"")</f>
        <v>SOLDADOR</v>
      </c>
      <c r="F19" s="19" t="s">
        <v>890</v>
      </c>
      <c r="G19" s="11" t="s">
        <v>903</v>
      </c>
      <c r="H19" s="11" t="s">
        <v>911</v>
      </c>
      <c r="I19" s="11">
        <v>0</v>
      </c>
      <c r="J19" s="11" t="s">
        <v>984</v>
      </c>
      <c r="K19" s="11" t="s">
        <v>918</v>
      </c>
      <c r="L19" s="11" t="s">
        <v>918</v>
      </c>
      <c r="M19" s="11"/>
    </row>
    <row r="20" spans="2:13" s="1" customFormat="1" ht="13.05" customHeight="1" x14ac:dyDescent="0.25">
      <c r="B20" s="24">
        <v>13</v>
      </c>
      <c r="C20" s="11"/>
      <c r="D20" s="7" t="str">
        <f>IFERROR(VLOOKUP(C20,'Lista desplegable'!B$1:C$436,2,FALSE),"")</f>
        <v/>
      </c>
      <c r="E20" s="7" t="str">
        <f>IFERROR(VLOOKUP(D20,'Lista desplegable'!C$1:D$436,2,FALSE),"")</f>
        <v/>
      </c>
      <c r="F20" s="19"/>
      <c r="G20" s="11"/>
      <c r="H20" s="11"/>
      <c r="I20" s="11"/>
      <c r="J20" s="11"/>
      <c r="K20" s="11"/>
      <c r="L20" s="11"/>
      <c r="M20" s="11"/>
    </row>
    <row r="21" spans="2:13" s="1" customFormat="1" ht="13.05" customHeight="1" x14ac:dyDescent="0.25">
      <c r="B21" s="24">
        <v>14</v>
      </c>
      <c r="C21" s="11"/>
      <c r="D21" s="7" t="str">
        <f>IFERROR(VLOOKUP(C21,'Lista desplegable'!B$1:C$436,2,FALSE),"")</f>
        <v/>
      </c>
      <c r="E21" s="7" t="str">
        <f>IFERROR(VLOOKUP(D21,'Lista desplegable'!C$1:D$436,2,FALSE),"")</f>
        <v/>
      </c>
      <c r="F21" s="19"/>
      <c r="G21" s="11"/>
      <c r="H21" s="11"/>
      <c r="I21" s="11"/>
      <c r="J21" s="11"/>
      <c r="K21" s="11"/>
      <c r="L21" s="11"/>
      <c r="M21" s="11"/>
    </row>
    <row r="22" spans="2:13" s="1" customFormat="1" ht="13.05" customHeight="1" x14ac:dyDescent="0.25">
      <c r="B22" s="24">
        <v>15</v>
      </c>
      <c r="C22" s="11"/>
      <c r="D22" s="7" t="str">
        <f>IFERROR(VLOOKUP(C22,'Lista desplegable'!B$1:C$436,2,FALSE),"")</f>
        <v/>
      </c>
      <c r="E22" s="7" t="str">
        <f>IFERROR(VLOOKUP(D22,'Lista desplegable'!C$1:D$436,2,FALSE),"")</f>
        <v/>
      </c>
      <c r="F22" s="19"/>
      <c r="G22" s="11"/>
      <c r="H22" s="11"/>
      <c r="I22" s="11"/>
      <c r="J22" s="11"/>
      <c r="K22" s="11"/>
      <c r="L22" s="11"/>
      <c r="M22" s="11"/>
    </row>
    <row r="23" spans="2:13" s="1" customFormat="1" ht="13.05" customHeight="1" x14ac:dyDescent="0.25">
      <c r="B23" s="24">
        <v>16</v>
      </c>
      <c r="C23" s="11"/>
      <c r="D23" s="7" t="str">
        <f>IFERROR(VLOOKUP(C23,'Lista desplegable'!B$1:C$436,2,FALSE),"")</f>
        <v/>
      </c>
      <c r="E23" s="7" t="str">
        <f>IFERROR(VLOOKUP(D23,'Lista desplegable'!C$1:D$436,2,FALSE),"")</f>
        <v/>
      </c>
      <c r="F23" s="19"/>
      <c r="G23" s="11"/>
      <c r="H23" s="11"/>
      <c r="I23" s="11"/>
      <c r="J23" s="11"/>
      <c r="K23" s="11"/>
      <c r="L23" s="11"/>
      <c r="M23" s="11"/>
    </row>
    <row r="24" spans="2:13" s="1" customFormat="1" ht="13.05" customHeight="1" x14ac:dyDescent="0.25">
      <c r="B24" s="24">
        <v>17</v>
      </c>
      <c r="C24" s="11"/>
      <c r="D24" s="7" t="str">
        <f>IFERROR(VLOOKUP(C24,'Lista desplegable'!B$1:C$436,2,FALSE),"")</f>
        <v/>
      </c>
      <c r="E24" s="7" t="str">
        <f>IFERROR(VLOOKUP(D24,'Lista desplegable'!C$1:D$436,2,FALSE),"")</f>
        <v/>
      </c>
      <c r="F24" s="19"/>
      <c r="G24" s="11"/>
      <c r="H24" s="11"/>
      <c r="I24" s="11"/>
      <c r="J24" s="11"/>
      <c r="K24" s="11"/>
      <c r="L24" s="11"/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05" customHeight="1" x14ac:dyDescent="0.25">
      <c r="C38"/>
    </row>
    <row r="39" spans="2:13" ht="13.05" customHeight="1" x14ac:dyDescent="0.25">
      <c r="C39"/>
    </row>
    <row r="40" spans="2:13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3" ht="13.05" customHeight="1" x14ac:dyDescent="0.25">
      <c r="B42" s="24">
        <v>1</v>
      </c>
      <c r="C42" s="11" t="s">
        <v>865</v>
      </c>
      <c r="D42" s="7" t="str">
        <f>IFERROR(VLOOKUP(C42,'Lista desplegable'!B$1:C$436,2,FALSE),"")</f>
        <v>ULINSON DIAZ CORTES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>
        <v>0</v>
      </c>
      <c r="J42" s="11" t="s">
        <v>984</v>
      </c>
      <c r="K42" s="11" t="s">
        <v>918</v>
      </c>
      <c r="L42" s="11" t="s">
        <v>918</v>
      </c>
      <c r="M42" s="11"/>
    </row>
    <row r="43" spans="2:13" ht="13.05" customHeight="1" x14ac:dyDescent="0.25">
      <c r="B43" s="24">
        <v>2</v>
      </c>
      <c r="C43" s="11" t="s">
        <v>829</v>
      </c>
      <c r="D43" s="7" t="str">
        <f>IFERROR(VLOOKUP(C43,'Lista desplegable'!B$1:C$436,2,FALSE),"")</f>
        <v>RODRIGO ALEJANDRO FLORES ZEPEDA</v>
      </c>
      <c r="E43" s="7" t="str">
        <f>IFERROR(VLOOKUP(D43,'Lista desplegable'!C$1:D$436,2,FALSE),"")</f>
        <v>AYUDANTE DE PERFORISTA</v>
      </c>
      <c r="F43" s="19" t="s">
        <v>890</v>
      </c>
      <c r="G43" s="11" t="s">
        <v>903</v>
      </c>
      <c r="H43" s="11" t="s">
        <v>911</v>
      </c>
      <c r="I43" s="11">
        <v>0</v>
      </c>
      <c r="J43" s="11" t="s">
        <v>984</v>
      </c>
      <c r="K43" s="11" t="s">
        <v>918</v>
      </c>
      <c r="L43" s="11" t="s">
        <v>918</v>
      </c>
      <c r="M43" s="11"/>
    </row>
    <row r="44" spans="2:13" ht="13.05" customHeight="1" x14ac:dyDescent="0.25">
      <c r="B44" s="24">
        <v>3</v>
      </c>
      <c r="C44" s="11" t="s">
        <v>618</v>
      </c>
      <c r="D44" s="7" t="str">
        <f>IFERROR(VLOOKUP(C44,'Lista desplegable'!B$1:C$436,2,FALSE),"")</f>
        <v>FABIAN PATRICIO CABRERA GODOY</v>
      </c>
      <c r="E44" s="7" t="str">
        <f>IFERROR(VLOOKUP(D44,'Lista desplegable'!C$1:D$436,2,FALSE),"")</f>
        <v>AYUDANTE DE PERFORISTA</v>
      </c>
      <c r="F44" s="19" t="s">
        <v>890</v>
      </c>
      <c r="G44" s="11" t="s">
        <v>903</v>
      </c>
      <c r="H44" s="11" t="s">
        <v>911</v>
      </c>
      <c r="I44" s="11">
        <v>0</v>
      </c>
      <c r="J44" s="11" t="s">
        <v>984</v>
      </c>
      <c r="K44" s="11" t="s">
        <v>918</v>
      </c>
      <c r="L44" s="11" t="s">
        <v>918</v>
      </c>
      <c r="M44" s="11"/>
    </row>
    <row r="45" spans="2:13" ht="13.05" customHeight="1" x14ac:dyDescent="0.25">
      <c r="B45" s="24">
        <v>4</v>
      </c>
      <c r="C45" s="11" t="s">
        <v>616</v>
      </c>
      <c r="D45" s="7" t="str">
        <f>IFERROR(VLOOKUP(C45,'Lista desplegable'!B$1:C$436,2,FALSE),"")</f>
        <v>ESTEFANIA CONSTANZA NAETER QUIROZ</v>
      </c>
      <c r="E45" s="7" t="str">
        <f>IFERROR(VLOOKUP(D45,'Lista desplegable'!C$1:D$436,2,FALSE),"")</f>
        <v>CHOFER</v>
      </c>
      <c r="F45" s="19" t="s">
        <v>890</v>
      </c>
      <c r="G45" s="11" t="s">
        <v>903</v>
      </c>
      <c r="H45" s="11" t="s">
        <v>911</v>
      </c>
      <c r="I45" s="11">
        <v>0</v>
      </c>
      <c r="J45" s="11" t="s">
        <v>984</v>
      </c>
      <c r="K45" s="11" t="s">
        <v>918</v>
      </c>
      <c r="L45" s="11" t="s">
        <v>918</v>
      </c>
      <c r="M45" s="11"/>
    </row>
    <row r="46" spans="2:13" ht="13.05" customHeight="1" x14ac:dyDescent="0.25">
      <c r="B46" s="24">
        <v>5</v>
      </c>
      <c r="C46" s="11" t="s">
        <v>990</v>
      </c>
      <c r="D46" s="7" t="str">
        <f>IFERROR(VLOOKUP(C46,'Lista desplegable'!B$1:C$436,2,FALSE),"")</f>
        <v>BENIGNO EDUARDO PAEZ MENESES</v>
      </c>
      <c r="E46" s="7" t="str">
        <f>IFERROR(VLOOKUP(D46,'Lista desplegable'!C$1:D$436,2,FALSE),"")</f>
        <v>CHOFER</v>
      </c>
      <c r="F46" s="19" t="s">
        <v>890</v>
      </c>
      <c r="G46" s="11" t="s">
        <v>903</v>
      </c>
      <c r="H46" s="11" t="s">
        <v>911</v>
      </c>
      <c r="I46" s="11">
        <v>0</v>
      </c>
      <c r="J46" s="11" t="s">
        <v>984</v>
      </c>
      <c r="K46" s="11" t="s">
        <v>918</v>
      </c>
      <c r="L46" s="11" t="s">
        <v>918</v>
      </c>
      <c r="M46" s="11"/>
    </row>
    <row r="47" spans="2:13" ht="13.05" customHeight="1" x14ac:dyDescent="0.25">
      <c r="B47" s="24">
        <v>6</v>
      </c>
      <c r="C47" s="11" t="s">
        <v>826</v>
      </c>
      <c r="D47" s="7" t="str">
        <f>IFERROR(VLOOKUP(C47,'Lista desplegable'!B$1:C$436,2,FALSE),"")</f>
        <v>ROBERTO MARIO VARGAS RODRIGUEZ</v>
      </c>
      <c r="E47" s="7" t="str">
        <f>IFERROR(VLOOKUP(D47,'Lista desplegable'!C$1:D$436,2,FALSE),"")</f>
        <v>MECANICO</v>
      </c>
      <c r="F47" s="19" t="s">
        <v>890</v>
      </c>
      <c r="G47" s="11" t="s">
        <v>903</v>
      </c>
      <c r="H47" s="11" t="s">
        <v>911</v>
      </c>
      <c r="I47" s="11">
        <v>0</v>
      </c>
      <c r="J47" s="11" t="s">
        <v>984</v>
      </c>
      <c r="K47" s="11" t="s">
        <v>918</v>
      </c>
      <c r="L47" s="11" t="s">
        <v>918</v>
      </c>
      <c r="M47" s="11"/>
    </row>
    <row r="48" spans="2:13" ht="13.05" customHeight="1" x14ac:dyDescent="0.25">
      <c r="B48" s="24">
        <v>7</v>
      </c>
      <c r="C48" t="s">
        <v>542</v>
      </c>
      <c r="D48" s="7" t="str">
        <f>IFERROR(VLOOKUP(C48,'Lista desplegable'!B$1:C$436,2,FALSE),"")</f>
        <v>BYAMBATSEREN TSERENDAVAA .</v>
      </c>
      <c r="E48" s="7" t="str">
        <f>IFERROR(VLOOKUP(D48,'Lista desplegable'!C$1:D$436,2,FALSE),"")</f>
        <v>PERFORISTA</v>
      </c>
      <c r="F48" s="19" t="s">
        <v>890</v>
      </c>
      <c r="G48" s="11" t="s">
        <v>903</v>
      </c>
      <c r="H48" s="11" t="s">
        <v>911</v>
      </c>
      <c r="I48" s="11">
        <v>0</v>
      </c>
      <c r="J48" s="11" t="s">
        <v>984</v>
      </c>
      <c r="K48" s="11"/>
      <c r="L48" s="11"/>
      <c r="M48" s="11"/>
    </row>
    <row r="49" spans="2:13" ht="13.05" customHeight="1" x14ac:dyDescent="0.25">
      <c r="B49" s="24">
        <v>8</v>
      </c>
      <c r="C49" s="11"/>
      <c r="D49" s="7" t="str">
        <f>IFERROR(VLOOKUP(C49,'Lista desplegable'!B$1:C$436,2,FALSE),"")</f>
        <v/>
      </c>
      <c r="E49" s="7" t="str">
        <f>IFERROR(VLOOKUP(D49,'Lista desplegable'!C$1:D$436,2,FALSE),"")</f>
        <v/>
      </c>
      <c r="F49" s="19"/>
      <c r="G49" s="11"/>
      <c r="H49" s="11"/>
      <c r="I49" s="11"/>
      <c r="J49" s="11"/>
      <c r="K49" s="11"/>
      <c r="L49" s="11"/>
      <c r="M49" s="11"/>
    </row>
    <row r="50" spans="2:13" ht="13.05" customHeight="1" x14ac:dyDescent="0.25">
      <c r="B50" s="24">
        <v>9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11"/>
      <c r="J50" s="11"/>
      <c r="K50" s="11"/>
      <c r="L50" s="11"/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2:I2"/>
    <mergeCell ref="G3:I3"/>
    <mergeCell ref="C6:M6"/>
    <mergeCell ref="C40:M40"/>
  </mergeCell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5E749C29-322C-4BCD-887D-354712544201}">
          <x14:formula1>
            <xm:f>'Lista desplegable'!$N$2:$N$5</xm:f>
          </x14:formula1>
          <xm:sqref>J8:J37 J42:J71</xm:sqref>
        </x14:dataValidation>
        <x14:dataValidation type="list" allowBlank="1" showInputMessage="1" showErrorMessage="1" xr:uid="{AB625E40-E0E2-4715-8F62-2D739C80F89B}">
          <x14:formula1>
            <xm:f>'Lista desplegable'!$B$2:$B$436</xm:f>
          </x14:formula1>
          <xm:sqref>C42:C71 C8:C37</xm:sqref>
        </x14:dataValidation>
        <x14:dataValidation type="list" allowBlank="1" showInputMessage="1" showErrorMessage="1" xr:uid="{C44FE388-079A-4800-87AB-5CD022B54802}">
          <x14:formula1>
            <xm:f>'Lista desplegable'!$F$2:$F$19</xm:f>
          </x14:formula1>
          <xm:sqref>F8:F37 F42:F71</xm:sqref>
        </x14:dataValidation>
        <x14:dataValidation type="list" allowBlank="1" showInputMessage="1" showErrorMessage="1" xr:uid="{DC05A875-C92A-4741-9506-072C604ED793}">
          <x14:formula1>
            <xm:f>'Lista desplegable'!$J$2:$J$10</xm:f>
          </x14:formula1>
          <xm:sqref>H8:H37 H42:H71</xm:sqref>
        </x14:dataValidation>
        <x14:dataValidation type="list" allowBlank="1" showInputMessage="1" showErrorMessage="1" xr:uid="{04D42ECC-2F6A-4FA9-B6B7-ABADAA542D39}">
          <x14:formula1>
            <xm:f>'Lista desplegable'!$H$2:$H$7</xm:f>
          </x14:formula1>
          <xm:sqref>G8:G37 G42:G71</xm:sqref>
        </x14:dataValidation>
        <x14:dataValidation type="list" allowBlank="1" showInputMessage="1" showErrorMessage="1" xr:uid="{01C82756-1B00-465B-B4D0-DDB86D4FC1AB}">
          <x14:formula1>
            <xm:f>'Lista desplegable'!$L$2:$L$3</xm:f>
          </x14:formula1>
          <xm:sqref>K42:L71 K8:L37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CA154-A930-4292-89C8-378D10D70390}">
  <dimension ref="B1:M93"/>
  <sheetViews>
    <sheetView topLeftCell="A25" zoomScale="80" zoomScaleNormal="80" workbookViewId="0">
      <selection activeCell="L21" sqref="L21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0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21.77734375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46286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11" t="s">
        <v>572</v>
      </c>
      <c r="D8" s="7" t="str">
        <f>IFERROR(VLOOKUP(C8,'Lista desplegable'!B$1:C$436,2,FALSE),"")</f>
        <v>CRISTIAN ROGELIO PASTEN VERGARA</v>
      </c>
      <c r="E8" s="7" t="str">
        <f>IFERROR(VLOOKUP(D8,'Lista desplegable'!C$1:D$436,2,FALSE),"")</f>
        <v>JEFE DE FAENA</v>
      </c>
      <c r="F8" s="19" t="s">
        <v>890</v>
      </c>
      <c r="G8" s="11" t="s">
        <v>903</v>
      </c>
      <c r="H8" s="11" t="s">
        <v>911</v>
      </c>
      <c r="I8" s="11">
        <v>0</v>
      </c>
      <c r="J8" s="11" t="s">
        <v>984</v>
      </c>
      <c r="K8" s="11" t="s">
        <v>918</v>
      </c>
      <c r="L8" s="11" t="s">
        <v>918</v>
      </c>
      <c r="M8" s="11"/>
    </row>
    <row r="9" spans="2:13" s="1" customFormat="1" ht="13.05" customHeight="1" x14ac:dyDescent="0.25">
      <c r="B9" s="24">
        <v>2</v>
      </c>
      <c r="C9" s="10" t="s">
        <v>675</v>
      </c>
      <c r="D9" s="7" t="str">
        <f>IFERROR(VLOOKUP(C9,'Lista desplegable'!B$1:C$436,2,FALSE),"")</f>
        <v>JOHN ALEXIS BRICEÑO HONORES</v>
      </c>
      <c r="E9" s="7" t="str">
        <f>IFERROR(VLOOKUP(D9,'Lista desplegable'!C$1:D$436,2,FALSE),"")</f>
        <v>PREVENCIONISTA DE RIESGOS</v>
      </c>
      <c r="F9" s="19" t="s">
        <v>890</v>
      </c>
      <c r="G9" s="11" t="s">
        <v>903</v>
      </c>
      <c r="H9" s="11" t="s">
        <v>911</v>
      </c>
      <c r="I9" s="11">
        <v>0</v>
      </c>
      <c r="J9" s="11" t="s">
        <v>984</v>
      </c>
      <c r="K9" s="11" t="s">
        <v>918</v>
      </c>
      <c r="L9" s="11" t="s">
        <v>918</v>
      </c>
      <c r="M9" s="11"/>
    </row>
    <row r="10" spans="2:13" s="1" customFormat="1" ht="13.05" customHeight="1" x14ac:dyDescent="0.25">
      <c r="B10" s="24">
        <v>3</v>
      </c>
      <c r="C10" s="11" t="s">
        <v>810</v>
      </c>
      <c r="D10" s="7" t="str">
        <f>IFERROR(VLOOKUP(C10,'Lista desplegable'!B$1:C$436,2,FALSE),"")</f>
        <v>RENE ALFREDO RIOS MALDONADO</v>
      </c>
      <c r="E10" s="7" t="str">
        <f>IFERROR(VLOOKUP(D10,'Lista desplegable'!C$1:D$436,2,FALSE),"")</f>
        <v>ADMINISTRATIVO DE FAENA</v>
      </c>
      <c r="F10" s="19" t="s">
        <v>890</v>
      </c>
      <c r="G10" s="11" t="s">
        <v>903</v>
      </c>
      <c r="H10" s="11" t="s">
        <v>911</v>
      </c>
      <c r="I10" s="11">
        <v>0</v>
      </c>
      <c r="J10" s="11" t="s">
        <v>984</v>
      </c>
      <c r="K10" s="11" t="s">
        <v>918</v>
      </c>
      <c r="L10" s="11" t="s">
        <v>918</v>
      </c>
      <c r="M10" s="11"/>
    </row>
    <row r="11" spans="2:13" s="1" customFormat="1" ht="13.05" customHeight="1" x14ac:dyDescent="0.25">
      <c r="B11" s="24">
        <v>4</v>
      </c>
      <c r="C11" s="11" t="s">
        <v>719</v>
      </c>
      <c r="D11" s="7" t="str">
        <f>IFERROR(VLOOKUP(C11,'Lista desplegable'!B$1:C$436,2,FALSE),"")</f>
        <v>LEONARDO ANDRES MENESES ARREDONDO</v>
      </c>
      <c r="E11" s="7" t="str">
        <f>IFERROR(VLOOKUP(D11,'Lista desplegable'!C$1:D$436,2,FALSE),"")</f>
        <v>SUPERVISOR DE OPERACIONES</v>
      </c>
      <c r="F11" s="19" t="s">
        <v>890</v>
      </c>
      <c r="G11" s="11" t="s">
        <v>903</v>
      </c>
      <c r="H11" s="11" t="s">
        <v>911</v>
      </c>
      <c r="I11" s="11">
        <v>0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11" t="s">
        <v>723</v>
      </c>
      <c r="D12" s="7" t="str">
        <f>IFERROR(VLOOKUP(C12,'Lista desplegable'!B$1:C$436,2,FALSE),"")</f>
        <v>LEONEL GUILLERMO CAMPUSANO DUBO</v>
      </c>
      <c r="E12" s="7" t="str">
        <f>IFERROR(VLOOKUP(D12,'Lista desplegable'!C$1:D$436,2,FALSE),"")</f>
        <v>AYUDANTE DE PERFORISTA</v>
      </c>
      <c r="F12" s="19" t="s">
        <v>890</v>
      </c>
      <c r="G12" s="11" t="s">
        <v>903</v>
      </c>
      <c r="H12" s="11" t="s">
        <v>911</v>
      </c>
      <c r="I12" s="11">
        <v>0</v>
      </c>
      <c r="J12" s="11" t="s">
        <v>984</v>
      </c>
      <c r="K12" s="11" t="s">
        <v>918</v>
      </c>
      <c r="L12" s="11" t="s">
        <v>918</v>
      </c>
      <c r="M12" s="11"/>
    </row>
    <row r="13" spans="2:13" s="1" customFormat="1" ht="13.05" customHeight="1" x14ac:dyDescent="0.25">
      <c r="B13" s="24">
        <v>6</v>
      </c>
      <c r="C13" s="11" t="s">
        <v>876</v>
      </c>
      <c r="D13" s="7" t="str">
        <f>IFERROR(VLOOKUP(C13,'Lista desplegable'!B$1:C$436,2,FALSE),"")</f>
        <v>VICTOR MANUEL MONDACA VEGA</v>
      </c>
      <c r="E13" s="7" t="str">
        <f>IFERROR(VLOOKUP(D13,'Lista desplegable'!C$1:D$436,2,FALSE),"")</f>
        <v>AYUDANTE DE PERFORISTA</v>
      </c>
      <c r="F13" s="19" t="s">
        <v>890</v>
      </c>
      <c r="G13" s="11" t="s">
        <v>903</v>
      </c>
      <c r="H13" s="11" t="s">
        <v>911</v>
      </c>
      <c r="I13" s="11">
        <v>0</v>
      </c>
      <c r="J13" s="11" t="s">
        <v>984</v>
      </c>
      <c r="K13" s="11" t="s">
        <v>918</v>
      </c>
      <c r="L13" s="11" t="s">
        <v>918</v>
      </c>
      <c r="M13" s="11"/>
    </row>
    <row r="14" spans="2:13" s="1" customFormat="1" ht="13.05" customHeight="1" x14ac:dyDescent="0.25">
      <c r="B14" s="24">
        <v>7</v>
      </c>
      <c r="C14" s="11" t="s">
        <v>686</v>
      </c>
      <c r="D14" s="7" t="str">
        <f>IFERROR(VLOOKUP(C14,'Lista desplegable'!B$1:C$436,2,FALSE),"")</f>
        <v>JORGE ARMANDO TINOCO OSPINO</v>
      </c>
      <c r="E14" s="7" t="str">
        <f>IFERROR(VLOOKUP(D14,'Lista desplegable'!C$1:D$436,2,FALSE),"")</f>
        <v>CHOFER</v>
      </c>
      <c r="F14" s="19" t="s">
        <v>890</v>
      </c>
      <c r="G14" s="11" t="s">
        <v>903</v>
      </c>
      <c r="H14" s="11" t="s">
        <v>911</v>
      </c>
      <c r="I14" s="11">
        <v>0</v>
      </c>
      <c r="J14" s="11" t="s">
        <v>984</v>
      </c>
      <c r="K14" s="11" t="s">
        <v>918</v>
      </c>
      <c r="L14" s="11" t="s">
        <v>918</v>
      </c>
      <c r="M14" s="11"/>
    </row>
    <row r="15" spans="2:13" s="1" customFormat="1" ht="13.05" customHeight="1" x14ac:dyDescent="0.25">
      <c r="B15" s="24">
        <v>8</v>
      </c>
      <c r="C15" s="11" t="s">
        <v>534</v>
      </c>
      <c r="D15" s="7" t="str">
        <f>IFERROR(VLOOKUP(C15,'Lista desplegable'!B$1:C$436,2,FALSE),"")</f>
        <v>BENJAMIN JOSEFATT ESPINOZA URIBE</v>
      </c>
      <c r="E15" s="7" t="str">
        <f>IFERROR(VLOOKUP(D15,'Lista desplegable'!C$1:D$436,2,FALSE),"")</f>
        <v>CHOFER</v>
      </c>
      <c r="F15" s="19" t="s">
        <v>890</v>
      </c>
      <c r="G15" s="11" t="s">
        <v>903</v>
      </c>
      <c r="H15" s="11" t="s">
        <v>911</v>
      </c>
      <c r="I15" s="11">
        <v>0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11" t="s">
        <v>879</v>
      </c>
      <c r="D16" s="7" t="str">
        <f>IFERROR(VLOOKUP(C16,'Lista desplegable'!B$1:C$436,2,FALSE),"")</f>
        <v>WALTER DEL CARMEN PIZARRO ALVAREZ</v>
      </c>
      <c r="E16" s="7" t="str">
        <f>IFERROR(VLOOKUP(D16,'Lista desplegable'!C$1:D$436,2,FALSE),"")</f>
        <v>CHOFER</v>
      </c>
      <c r="F16" s="19" t="s">
        <v>890</v>
      </c>
      <c r="G16" s="11" t="s">
        <v>903</v>
      </c>
      <c r="H16" s="11" t="s">
        <v>911</v>
      </c>
      <c r="I16" s="11">
        <v>0</v>
      </c>
      <c r="J16" s="11" t="s">
        <v>984</v>
      </c>
      <c r="K16" s="11" t="s">
        <v>918</v>
      </c>
      <c r="L16" s="11" t="s">
        <v>918</v>
      </c>
      <c r="M16" s="11"/>
    </row>
    <row r="17" spans="2:13" s="1" customFormat="1" ht="13.05" customHeight="1" x14ac:dyDescent="0.25">
      <c r="B17" s="24">
        <v>10</v>
      </c>
      <c r="C17" s="11" t="s">
        <v>864</v>
      </c>
      <c r="D17" s="7" t="str">
        <f>IFERROR(VLOOKUP(C17,'Lista desplegable'!B$1:C$436,2,FALSE),"")</f>
        <v>TUMENNASAN SANSRAI .</v>
      </c>
      <c r="E17" s="7" t="str">
        <f>IFERROR(VLOOKUP(D17,'Lista desplegable'!C$1:D$436,2,FALSE),"")</f>
        <v>PERFORISTA</v>
      </c>
      <c r="F17" s="19" t="s">
        <v>890</v>
      </c>
      <c r="G17" s="11" t="s">
        <v>903</v>
      </c>
      <c r="H17" s="11" t="s">
        <v>911</v>
      </c>
      <c r="I17" s="11">
        <v>0</v>
      </c>
      <c r="J17" s="11" t="s">
        <v>984</v>
      </c>
      <c r="K17" s="11" t="s">
        <v>918</v>
      </c>
      <c r="L17" s="11" t="s">
        <v>918</v>
      </c>
      <c r="M17" s="11"/>
    </row>
    <row r="18" spans="2:13" s="1" customFormat="1" ht="13.05" customHeight="1" x14ac:dyDescent="0.25">
      <c r="B18" s="24">
        <v>11</v>
      </c>
      <c r="C18" s="10" t="s">
        <v>689</v>
      </c>
      <c r="D18" s="7" t="str">
        <f>IFERROR(VLOOKUP(C18,'Lista desplegable'!B$1:C$436,2,FALSE),"")</f>
        <v>JORGE ERIKSON DURAND RUIZ</v>
      </c>
      <c r="E18" s="7" t="str">
        <f>IFERROR(VLOOKUP(D18,'Lista desplegable'!C$1:D$436,2,FALSE),"")</f>
        <v>MECANICO</v>
      </c>
      <c r="F18" s="19" t="s">
        <v>890</v>
      </c>
      <c r="G18" s="11" t="s">
        <v>903</v>
      </c>
      <c r="H18" s="11" t="s">
        <v>911</v>
      </c>
      <c r="I18" s="11">
        <v>0</v>
      </c>
      <c r="J18" s="11" t="s">
        <v>984</v>
      </c>
      <c r="K18" s="11" t="s">
        <v>918</v>
      </c>
      <c r="L18" s="11" t="s">
        <v>918</v>
      </c>
      <c r="M18" s="11"/>
    </row>
    <row r="19" spans="2:13" s="1" customFormat="1" ht="13.05" customHeight="1" x14ac:dyDescent="0.25">
      <c r="B19" s="24">
        <v>12</v>
      </c>
      <c r="C19" s="11" t="s">
        <v>881</v>
      </c>
      <c r="D19" s="7" t="str">
        <f>IFERROR(VLOOKUP(C19,'Lista desplegable'!B$1:C$436,2,FALSE),"")</f>
        <v>WILLIAM HERNAN ALVAREZ TRUJILLO</v>
      </c>
      <c r="E19" s="7" t="str">
        <f>IFERROR(VLOOKUP(D19,'Lista desplegable'!C$1:D$436,2,FALSE),"")</f>
        <v>SOLDADOR</v>
      </c>
      <c r="F19" s="19" t="s">
        <v>890</v>
      </c>
      <c r="G19" s="11" t="s">
        <v>903</v>
      </c>
      <c r="H19" s="11" t="s">
        <v>911</v>
      </c>
      <c r="I19" s="11">
        <v>0</v>
      </c>
      <c r="J19" s="11" t="s">
        <v>984</v>
      </c>
      <c r="K19" s="11" t="s">
        <v>918</v>
      </c>
      <c r="L19" s="11" t="s">
        <v>918</v>
      </c>
      <c r="M19" s="11"/>
    </row>
    <row r="20" spans="2:13" s="1" customFormat="1" ht="13.05" customHeight="1" x14ac:dyDescent="0.25">
      <c r="B20" s="24">
        <v>13</v>
      </c>
      <c r="C20" s="11" t="s">
        <v>549</v>
      </c>
      <c r="D20" s="7" t="str">
        <f>IFERROR(VLOOKUP(C20,'Lista desplegable'!B$1:C$436,2,FALSE),"")</f>
        <v>CARLOS EDUARDO RODRIGUEZ HERNANDEZ</v>
      </c>
      <c r="E20" s="7" t="str">
        <f>IFERROR(VLOOKUP(D20,'Lista desplegable'!C$1:D$436,2,FALSE),"")</f>
        <v>ADMINISTRADOR DE CONTRATO</v>
      </c>
      <c r="F20" s="19" t="s">
        <v>890</v>
      </c>
      <c r="G20" s="11" t="s">
        <v>903</v>
      </c>
      <c r="H20" s="11" t="s">
        <v>911</v>
      </c>
      <c r="I20" s="11">
        <v>0</v>
      </c>
      <c r="J20" s="11" t="s">
        <v>984</v>
      </c>
      <c r="K20" s="11" t="s">
        <v>918</v>
      </c>
      <c r="L20" s="11" t="s">
        <v>918</v>
      </c>
      <c r="M20" s="11"/>
    </row>
    <row r="21" spans="2:13" s="1" customFormat="1" ht="13.05" customHeight="1" x14ac:dyDescent="0.25">
      <c r="B21" s="24">
        <v>14</v>
      </c>
      <c r="C21" s="11" t="s">
        <v>597</v>
      </c>
      <c r="D21" s="7" t="str">
        <f>IFERROR(VLOOKUP(C21,'Lista desplegable'!B$1:C$436,2,FALSE),"")</f>
        <v>DIEGO  FELIPE GONZALEZ CASTILLO</v>
      </c>
      <c r="E21" s="7" t="str">
        <f>IFERROR(VLOOKUP(D21,'Lista desplegable'!C$1:D$436,2,FALSE),"")</f>
        <v>LIDER DE PREVENCIÓN</v>
      </c>
      <c r="F21" s="19" t="s">
        <v>890</v>
      </c>
      <c r="G21" s="11" t="s">
        <v>903</v>
      </c>
      <c r="H21" s="11" t="s">
        <v>911</v>
      </c>
      <c r="I21" s="11">
        <v>0</v>
      </c>
      <c r="J21" s="11" t="s">
        <v>984</v>
      </c>
      <c r="K21" s="11" t="s">
        <v>919</v>
      </c>
      <c r="L21" s="11" t="s">
        <v>919</v>
      </c>
      <c r="M21" s="11"/>
    </row>
    <row r="22" spans="2:13" s="1" customFormat="1" ht="13.05" customHeight="1" x14ac:dyDescent="0.25">
      <c r="B22" s="24">
        <v>15</v>
      </c>
      <c r="C22" s="11"/>
      <c r="D22" s="7" t="str">
        <f>IFERROR(VLOOKUP(C22,'Lista desplegable'!B$1:C$436,2,FALSE),"")</f>
        <v/>
      </c>
      <c r="E22" s="7" t="str">
        <f>IFERROR(VLOOKUP(D22,'Lista desplegable'!C$1:D$436,2,FALSE),"")</f>
        <v/>
      </c>
      <c r="F22" s="19"/>
      <c r="G22" s="11"/>
      <c r="H22" s="11"/>
      <c r="I22" s="11"/>
      <c r="J22" s="11"/>
      <c r="K22" s="11"/>
      <c r="L22" s="11"/>
      <c r="M22" s="11"/>
    </row>
    <row r="23" spans="2:13" s="1" customFormat="1" ht="13.05" customHeight="1" x14ac:dyDescent="0.25">
      <c r="B23" s="24">
        <v>16</v>
      </c>
      <c r="C23" s="11"/>
      <c r="D23" s="7" t="str">
        <f>IFERROR(VLOOKUP(C23,'Lista desplegable'!B$1:C$436,2,FALSE),"")</f>
        <v/>
      </c>
      <c r="E23" s="7" t="str">
        <f>IFERROR(VLOOKUP(D23,'Lista desplegable'!C$1:D$436,2,FALSE),"")</f>
        <v/>
      </c>
      <c r="F23" s="19"/>
      <c r="G23" s="11"/>
      <c r="H23" s="11"/>
      <c r="I23" s="11"/>
      <c r="J23" s="11"/>
      <c r="K23" s="11"/>
      <c r="L23" s="11"/>
      <c r="M23" s="11"/>
    </row>
    <row r="24" spans="2:13" s="1" customFormat="1" ht="13.05" customHeight="1" x14ac:dyDescent="0.25">
      <c r="B24" s="24">
        <v>17</v>
      </c>
      <c r="C24" s="11"/>
      <c r="D24" s="7" t="str">
        <f>IFERROR(VLOOKUP(C24,'Lista desplegable'!B$1:C$436,2,FALSE),"")</f>
        <v/>
      </c>
      <c r="E24" s="7" t="str">
        <f>IFERROR(VLOOKUP(D24,'Lista desplegable'!C$1:D$436,2,FALSE),"")</f>
        <v/>
      </c>
      <c r="F24" s="19"/>
      <c r="G24" s="11"/>
      <c r="H24" s="11"/>
      <c r="I24" s="11"/>
      <c r="J24" s="11"/>
      <c r="K24" s="11"/>
      <c r="L24" s="11"/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05" customHeight="1" x14ac:dyDescent="0.25">
      <c r="C38"/>
    </row>
    <row r="39" spans="2:13" ht="13.05" customHeight="1" x14ac:dyDescent="0.25">
      <c r="C39"/>
    </row>
    <row r="40" spans="2:13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3" ht="13.05" customHeight="1" x14ac:dyDescent="0.25">
      <c r="B42" s="24">
        <v>1</v>
      </c>
      <c r="C42" s="11" t="s">
        <v>865</v>
      </c>
      <c r="D42" s="7" t="str">
        <f>IFERROR(VLOOKUP(C42,'Lista desplegable'!B$1:C$436,2,FALSE),"")</f>
        <v>ULINSON DIAZ CORTES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>
        <v>0</v>
      </c>
      <c r="J42" s="11" t="s">
        <v>984</v>
      </c>
      <c r="K42" s="11" t="s">
        <v>918</v>
      </c>
      <c r="L42" s="11" t="s">
        <v>918</v>
      </c>
      <c r="M42" s="11"/>
    </row>
    <row r="43" spans="2:13" ht="13.05" customHeight="1" x14ac:dyDescent="0.25">
      <c r="B43" s="24">
        <v>2</v>
      </c>
      <c r="C43" s="11" t="s">
        <v>829</v>
      </c>
      <c r="D43" s="7" t="str">
        <f>IFERROR(VLOOKUP(C43,'Lista desplegable'!B$1:C$436,2,FALSE),"")</f>
        <v>RODRIGO ALEJANDRO FLORES ZEPEDA</v>
      </c>
      <c r="E43" s="7" t="str">
        <f>IFERROR(VLOOKUP(D43,'Lista desplegable'!C$1:D$436,2,FALSE),"")</f>
        <v>AYUDANTE DE PERFORISTA</v>
      </c>
      <c r="F43" s="19" t="s">
        <v>890</v>
      </c>
      <c r="G43" s="11" t="s">
        <v>903</v>
      </c>
      <c r="H43" s="11" t="s">
        <v>911</v>
      </c>
      <c r="I43" s="11">
        <v>0</v>
      </c>
      <c r="J43" s="11" t="s">
        <v>984</v>
      </c>
      <c r="K43" s="11" t="s">
        <v>918</v>
      </c>
      <c r="L43" s="11" t="s">
        <v>918</v>
      </c>
      <c r="M43" s="11"/>
    </row>
    <row r="44" spans="2:13" ht="13.05" customHeight="1" x14ac:dyDescent="0.25">
      <c r="B44" s="24">
        <v>3</v>
      </c>
      <c r="C44" s="11" t="s">
        <v>618</v>
      </c>
      <c r="D44" s="7" t="str">
        <f>IFERROR(VLOOKUP(C44,'Lista desplegable'!B$1:C$436,2,FALSE),"")</f>
        <v>FABIAN PATRICIO CABRERA GODOY</v>
      </c>
      <c r="E44" s="7" t="str">
        <f>IFERROR(VLOOKUP(D44,'Lista desplegable'!C$1:D$436,2,FALSE),"")</f>
        <v>AYUDANTE DE PERFORISTA</v>
      </c>
      <c r="F44" s="19" t="s">
        <v>890</v>
      </c>
      <c r="G44" s="11" t="s">
        <v>903</v>
      </c>
      <c r="H44" s="11" t="s">
        <v>911</v>
      </c>
      <c r="I44" s="11">
        <v>0</v>
      </c>
      <c r="J44" s="11" t="s">
        <v>984</v>
      </c>
      <c r="K44" s="11" t="s">
        <v>918</v>
      </c>
      <c r="L44" s="11" t="s">
        <v>918</v>
      </c>
      <c r="M44" s="11"/>
    </row>
    <row r="45" spans="2:13" ht="13.05" customHeight="1" x14ac:dyDescent="0.25">
      <c r="B45" s="24">
        <v>4</v>
      </c>
      <c r="C45" s="11" t="s">
        <v>616</v>
      </c>
      <c r="D45" s="7" t="str">
        <f>IFERROR(VLOOKUP(C45,'Lista desplegable'!B$1:C$436,2,FALSE),"")</f>
        <v>ESTEFANIA CONSTANZA NAETER QUIROZ</v>
      </c>
      <c r="E45" s="7" t="str">
        <f>IFERROR(VLOOKUP(D45,'Lista desplegable'!C$1:D$436,2,FALSE),"")</f>
        <v>CHOFER</v>
      </c>
      <c r="F45" s="19" t="s">
        <v>890</v>
      </c>
      <c r="G45" s="11" t="s">
        <v>903</v>
      </c>
      <c r="H45" s="11" t="s">
        <v>911</v>
      </c>
      <c r="I45" s="11">
        <v>0</v>
      </c>
      <c r="J45" s="11" t="s">
        <v>984</v>
      </c>
      <c r="K45" s="11" t="s">
        <v>918</v>
      </c>
      <c r="L45" s="11" t="s">
        <v>918</v>
      </c>
      <c r="M45" s="11"/>
    </row>
    <row r="46" spans="2:13" ht="13.05" customHeight="1" x14ac:dyDescent="0.25">
      <c r="B46" s="24">
        <v>5</v>
      </c>
      <c r="C46" s="11" t="s">
        <v>990</v>
      </c>
      <c r="D46" s="7" t="str">
        <f>IFERROR(VLOOKUP(C46,'Lista desplegable'!B$1:C$436,2,FALSE),"")</f>
        <v>BENIGNO EDUARDO PAEZ MENESES</v>
      </c>
      <c r="E46" s="7" t="str">
        <f>IFERROR(VLOOKUP(D46,'Lista desplegable'!C$1:D$436,2,FALSE),"")</f>
        <v>CHOFER</v>
      </c>
      <c r="F46" s="19" t="s">
        <v>890</v>
      </c>
      <c r="G46" s="11" t="s">
        <v>903</v>
      </c>
      <c r="H46" s="11" t="s">
        <v>911</v>
      </c>
      <c r="I46" s="11">
        <v>0</v>
      </c>
      <c r="J46" s="11" t="s">
        <v>984</v>
      </c>
      <c r="K46" s="11" t="s">
        <v>918</v>
      </c>
      <c r="L46" s="11" t="s">
        <v>918</v>
      </c>
      <c r="M46" s="11"/>
    </row>
    <row r="47" spans="2:13" ht="13.05" customHeight="1" x14ac:dyDescent="0.25">
      <c r="B47" s="24">
        <v>6</v>
      </c>
      <c r="C47" s="11" t="s">
        <v>826</v>
      </c>
      <c r="D47" s="7" t="str">
        <f>IFERROR(VLOOKUP(C47,'Lista desplegable'!B$1:C$436,2,FALSE),"")</f>
        <v>ROBERTO MARIO VARGAS RODRIGUEZ</v>
      </c>
      <c r="E47" s="7" t="str">
        <f>IFERROR(VLOOKUP(D47,'Lista desplegable'!C$1:D$436,2,FALSE),"")</f>
        <v>MECANICO</v>
      </c>
      <c r="F47" s="19" t="s">
        <v>890</v>
      </c>
      <c r="G47" s="11" t="s">
        <v>903</v>
      </c>
      <c r="H47" s="11" t="s">
        <v>911</v>
      </c>
      <c r="I47" s="11">
        <v>0</v>
      </c>
      <c r="J47" s="11" t="s">
        <v>984</v>
      </c>
      <c r="K47" s="11" t="s">
        <v>918</v>
      </c>
      <c r="L47" s="11" t="s">
        <v>918</v>
      </c>
      <c r="M47" s="11"/>
    </row>
    <row r="48" spans="2:13" ht="13.05" customHeight="1" x14ac:dyDescent="0.25">
      <c r="B48" s="24">
        <v>7</v>
      </c>
      <c r="C48" t="s">
        <v>542</v>
      </c>
      <c r="D48" s="7" t="str">
        <f>IFERROR(VLOOKUP(C48,'Lista desplegable'!B$1:C$436,2,FALSE),"")</f>
        <v>BYAMBATSEREN TSERENDAVAA .</v>
      </c>
      <c r="E48" s="7" t="str">
        <f>IFERROR(VLOOKUP(D48,'Lista desplegable'!C$1:D$436,2,FALSE),"")</f>
        <v>PERFORISTA</v>
      </c>
      <c r="F48" s="19" t="s">
        <v>890</v>
      </c>
      <c r="G48" s="11" t="s">
        <v>903</v>
      </c>
      <c r="H48" s="11" t="s">
        <v>911</v>
      </c>
      <c r="I48" s="11">
        <v>0</v>
      </c>
      <c r="J48" s="11" t="s">
        <v>984</v>
      </c>
      <c r="K48" s="11"/>
      <c r="L48" s="11"/>
      <c r="M48" s="11"/>
    </row>
    <row r="49" spans="2:13" ht="13.05" customHeight="1" x14ac:dyDescent="0.25">
      <c r="B49" s="24">
        <v>8</v>
      </c>
      <c r="C49" s="11"/>
      <c r="D49" s="7" t="str">
        <f>IFERROR(VLOOKUP(C49,'Lista desplegable'!B$1:C$436,2,FALSE),"")</f>
        <v/>
      </c>
      <c r="E49" s="7" t="str">
        <f>IFERROR(VLOOKUP(D49,'Lista desplegable'!C$1:D$436,2,FALSE),"")</f>
        <v/>
      </c>
      <c r="F49" s="19"/>
      <c r="G49" s="11"/>
      <c r="H49" s="11"/>
      <c r="I49" s="11"/>
      <c r="J49" s="11"/>
      <c r="K49" s="11"/>
      <c r="L49" s="11"/>
      <c r="M49" s="11"/>
    </row>
    <row r="50" spans="2:13" ht="13.05" customHeight="1" x14ac:dyDescent="0.25">
      <c r="B50" s="24">
        <v>9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11"/>
      <c r="J50" s="11"/>
      <c r="K50" s="11"/>
      <c r="L50" s="11"/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2:I2"/>
    <mergeCell ref="G3:I3"/>
    <mergeCell ref="C6:M6"/>
    <mergeCell ref="C40:M40"/>
  </mergeCell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C1D939A-608D-4455-BA48-6540639ABEEE}">
          <x14:formula1>
            <xm:f>'Lista desplegable'!$L$2:$L$3</xm:f>
          </x14:formula1>
          <xm:sqref>K8:L37 K42:L71</xm:sqref>
        </x14:dataValidation>
        <x14:dataValidation type="list" allowBlank="1" showInputMessage="1" showErrorMessage="1" xr:uid="{1D209F94-624F-48A8-96FD-E92D0FFFA114}">
          <x14:formula1>
            <xm:f>'Lista desplegable'!$H$2:$H$7</xm:f>
          </x14:formula1>
          <xm:sqref>G8:G37 G42:G71</xm:sqref>
        </x14:dataValidation>
        <x14:dataValidation type="list" allowBlank="1" showInputMessage="1" showErrorMessage="1" xr:uid="{4E1C19F2-D583-4A7F-8341-883F2CCEF17E}">
          <x14:formula1>
            <xm:f>'Lista desplegable'!$J$2:$J$10</xm:f>
          </x14:formula1>
          <xm:sqref>H8:H37 H42:H71</xm:sqref>
        </x14:dataValidation>
        <x14:dataValidation type="list" allowBlank="1" showInputMessage="1" showErrorMessage="1" xr:uid="{CF65DC85-F249-4B1A-A17D-0122D415B7DD}">
          <x14:formula1>
            <xm:f>'Lista desplegable'!$F$2:$F$19</xm:f>
          </x14:formula1>
          <xm:sqref>F8:F37 F42:F71</xm:sqref>
        </x14:dataValidation>
        <x14:dataValidation type="list" allowBlank="1" showInputMessage="1" showErrorMessage="1" xr:uid="{DB99C421-DB66-4587-A110-F8F2F181D847}">
          <x14:formula1>
            <xm:f>'Lista desplegable'!$B$2:$B$436</xm:f>
          </x14:formula1>
          <xm:sqref>C42:C71 C8:C37</xm:sqref>
        </x14:dataValidation>
        <x14:dataValidation type="list" allowBlank="1" showInputMessage="1" showErrorMessage="1" xr:uid="{14294930-371D-4F26-8840-5F4C55ADF989}">
          <x14:formula1>
            <xm:f>'Lista desplegable'!$N$2:$N$5</xm:f>
          </x14:formula1>
          <xm:sqref>J8:J37 J42:J71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0260E-B658-4C9A-8618-BFE84EAA7E00}">
  <dimension ref="B1:M93"/>
  <sheetViews>
    <sheetView topLeftCell="A21" zoomScale="80" zoomScaleNormal="80" workbookViewId="0">
      <selection activeCell="L9" sqref="L9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0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21.77734375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46287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11" t="s">
        <v>572</v>
      </c>
      <c r="D8" s="7" t="str">
        <f>IFERROR(VLOOKUP(C8,'Lista desplegable'!B$1:C$436,2,FALSE),"")</f>
        <v>CRISTIAN ROGELIO PASTEN VERGARA</v>
      </c>
      <c r="E8" s="7" t="str">
        <f>IFERROR(VLOOKUP(D8,'Lista desplegable'!C$1:D$436,2,FALSE),"")</f>
        <v>JEFE DE FAENA</v>
      </c>
      <c r="F8" s="19" t="s">
        <v>890</v>
      </c>
      <c r="G8" s="11" t="s">
        <v>903</v>
      </c>
      <c r="H8" s="11" t="s">
        <v>911</v>
      </c>
      <c r="I8" s="11">
        <v>0</v>
      </c>
      <c r="J8" s="11" t="s">
        <v>984</v>
      </c>
      <c r="K8" s="11" t="s">
        <v>918</v>
      </c>
      <c r="L8" s="11" t="s">
        <v>918</v>
      </c>
      <c r="M8" s="11"/>
    </row>
    <row r="9" spans="2:13" s="1" customFormat="1" ht="13.05" customHeight="1" x14ac:dyDescent="0.25">
      <c r="B9" s="24">
        <v>2</v>
      </c>
      <c r="C9" s="10" t="s">
        <v>675</v>
      </c>
      <c r="D9" s="7" t="str">
        <f>IFERROR(VLOOKUP(C9,'Lista desplegable'!B$1:C$436,2,FALSE),"")</f>
        <v>JOHN ALEXIS BRICEÑO HONORES</v>
      </c>
      <c r="E9" s="7" t="str">
        <f>IFERROR(VLOOKUP(D9,'Lista desplegable'!C$1:D$436,2,FALSE),"")</f>
        <v>PREVENCIONISTA DE RIESGOS</v>
      </c>
      <c r="F9" s="19" t="s">
        <v>890</v>
      </c>
      <c r="G9" s="11" t="s">
        <v>903</v>
      </c>
      <c r="H9" s="11" t="s">
        <v>911</v>
      </c>
      <c r="I9" s="11">
        <v>0</v>
      </c>
      <c r="J9" s="11" t="s">
        <v>984</v>
      </c>
      <c r="K9" s="11" t="s">
        <v>918</v>
      </c>
      <c r="L9" s="11" t="s">
        <v>918</v>
      </c>
      <c r="M9" s="11"/>
    </row>
    <row r="10" spans="2:13" s="1" customFormat="1" ht="13.05" customHeight="1" x14ac:dyDescent="0.25">
      <c r="B10" s="24">
        <v>3</v>
      </c>
      <c r="C10" s="11" t="s">
        <v>810</v>
      </c>
      <c r="D10" s="7" t="str">
        <f>IFERROR(VLOOKUP(C10,'Lista desplegable'!B$1:C$436,2,FALSE),"")</f>
        <v>RENE ALFREDO RIOS MALDONADO</v>
      </c>
      <c r="E10" s="7" t="str">
        <f>IFERROR(VLOOKUP(D10,'Lista desplegable'!C$1:D$436,2,FALSE),"")</f>
        <v>ADMINISTRATIVO DE FAENA</v>
      </c>
      <c r="F10" s="19" t="s">
        <v>890</v>
      </c>
      <c r="G10" s="11" t="s">
        <v>903</v>
      </c>
      <c r="H10" s="11" t="s">
        <v>911</v>
      </c>
      <c r="I10" s="11">
        <v>0</v>
      </c>
      <c r="J10" s="11" t="s">
        <v>984</v>
      </c>
      <c r="K10" s="11" t="s">
        <v>918</v>
      </c>
      <c r="L10" s="11" t="s">
        <v>918</v>
      </c>
      <c r="M10" s="11"/>
    </row>
    <row r="11" spans="2:13" s="1" customFormat="1" ht="13.05" customHeight="1" x14ac:dyDescent="0.25">
      <c r="B11" s="24">
        <v>4</v>
      </c>
      <c r="C11" s="11" t="s">
        <v>719</v>
      </c>
      <c r="D11" s="7" t="str">
        <f>IFERROR(VLOOKUP(C11,'Lista desplegable'!B$1:C$436,2,FALSE),"")</f>
        <v>LEONARDO ANDRES MENESES ARREDONDO</v>
      </c>
      <c r="E11" s="7" t="str">
        <f>IFERROR(VLOOKUP(D11,'Lista desplegable'!C$1:D$436,2,FALSE),"")</f>
        <v>SUPERVISOR DE OPERACIONES</v>
      </c>
      <c r="F11" s="19" t="s">
        <v>890</v>
      </c>
      <c r="G11" s="11" t="s">
        <v>903</v>
      </c>
      <c r="H11" s="11" t="s">
        <v>911</v>
      </c>
      <c r="I11" s="11">
        <v>0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11" t="s">
        <v>723</v>
      </c>
      <c r="D12" s="7" t="str">
        <f>IFERROR(VLOOKUP(C12,'Lista desplegable'!B$1:C$436,2,FALSE),"")</f>
        <v>LEONEL GUILLERMO CAMPUSANO DUBO</v>
      </c>
      <c r="E12" s="7" t="str">
        <f>IFERROR(VLOOKUP(D12,'Lista desplegable'!C$1:D$436,2,FALSE),"")</f>
        <v>AYUDANTE DE PERFORISTA</v>
      </c>
      <c r="F12" s="19" t="s">
        <v>890</v>
      </c>
      <c r="G12" s="11" t="s">
        <v>903</v>
      </c>
      <c r="H12" s="11" t="s">
        <v>911</v>
      </c>
      <c r="I12" s="11">
        <v>0</v>
      </c>
      <c r="J12" s="11" t="s">
        <v>984</v>
      </c>
      <c r="K12" s="11" t="s">
        <v>918</v>
      </c>
      <c r="L12" s="11" t="s">
        <v>918</v>
      </c>
      <c r="M12" s="11"/>
    </row>
    <row r="13" spans="2:13" s="1" customFormat="1" ht="13.05" customHeight="1" x14ac:dyDescent="0.25">
      <c r="B13" s="24">
        <v>6</v>
      </c>
      <c r="C13" s="11" t="s">
        <v>876</v>
      </c>
      <c r="D13" s="7" t="str">
        <f>IFERROR(VLOOKUP(C13,'Lista desplegable'!B$1:C$436,2,FALSE),"")</f>
        <v>VICTOR MANUEL MONDACA VEGA</v>
      </c>
      <c r="E13" s="7" t="str">
        <f>IFERROR(VLOOKUP(D13,'Lista desplegable'!C$1:D$436,2,FALSE),"")</f>
        <v>AYUDANTE DE PERFORISTA</v>
      </c>
      <c r="F13" s="19" t="s">
        <v>890</v>
      </c>
      <c r="G13" s="11" t="s">
        <v>903</v>
      </c>
      <c r="H13" s="11" t="s">
        <v>911</v>
      </c>
      <c r="I13" s="11">
        <v>0</v>
      </c>
      <c r="J13" s="11" t="s">
        <v>984</v>
      </c>
      <c r="K13" s="11" t="s">
        <v>918</v>
      </c>
      <c r="L13" s="11" t="s">
        <v>918</v>
      </c>
      <c r="M13" s="11"/>
    </row>
    <row r="14" spans="2:13" s="1" customFormat="1" ht="13.05" customHeight="1" x14ac:dyDescent="0.25">
      <c r="B14" s="24">
        <v>7</v>
      </c>
      <c r="C14" s="11" t="s">
        <v>686</v>
      </c>
      <c r="D14" s="7" t="str">
        <f>IFERROR(VLOOKUP(C14,'Lista desplegable'!B$1:C$436,2,FALSE),"")</f>
        <v>JORGE ARMANDO TINOCO OSPINO</v>
      </c>
      <c r="E14" s="7" t="str">
        <f>IFERROR(VLOOKUP(D14,'Lista desplegable'!C$1:D$436,2,FALSE),"")</f>
        <v>CHOFER</v>
      </c>
      <c r="F14" s="19" t="s">
        <v>890</v>
      </c>
      <c r="G14" s="11" t="s">
        <v>903</v>
      </c>
      <c r="H14" s="11" t="s">
        <v>911</v>
      </c>
      <c r="I14" s="11">
        <v>0</v>
      </c>
      <c r="J14" s="11" t="s">
        <v>984</v>
      </c>
      <c r="K14" s="11" t="s">
        <v>918</v>
      </c>
      <c r="L14" s="11" t="s">
        <v>918</v>
      </c>
      <c r="M14" s="11"/>
    </row>
    <row r="15" spans="2:13" s="1" customFormat="1" ht="13.05" customHeight="1" x14ac:dyDescent="0.25">
      <c r="B15" s="24">
        <v>8</v>
      </c>
      <c r="C15" s="11" t="s">
        <v>534</v>
      </c>
      <c r="D15" s="7" t="str">
        <f>IFERROR(VLOOKUP(C15,'Lista desplegable'!B$1:C$436,2,FALSE),"")</f>
        <v>BENJAMIN JOSEFATT ESPINOZA URIBE</v>
      </c>
      <c r="E15" s="7" t="str">
        <f>IFERROR(VLOOKUP(D15,'Lista desplegable'!C$1:D$436,2,FALSE),"")</f>
        <v>CHOFER</v>
      </c>
      <c r="F15" s="19" t="s">
        <v>890</v>
      </c>
      <c r="G15" s="11" t="s">
        <v>903</v>
      </c>
      <c r="H15" s="11" t="s">
        <v>911</v>
      </c>
      <c r="I15" s="11">
        <v>0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11" t="s">
        <v>879</v>
      </c>
      <c r="D16" s="7" t="str">
        <f>IFERROR(VLOOKUP(C16,'Lista desplegable'!B$1:C$436,2,FALSE),"")</f>
        <v>WALTER DEL CARMEN PIZARRO ALVAREZ</v>
      </c>
      <c r="E16" s="7" t="str">
        <f>IFERROR(VLOOKUP(D16,'Lista desplegable'!C$1:D$436,2,FALSE),"")</f>
        <v>CHOFER</v>
      </c>
      <c r="F16" s="19" t="s">
        <v>890</v>
      </c>
      <c r="G16" s="11" t="s">
        <v>903</v>
      </c>
      <c r="H16" s="11" t="s">
        <v>911</v>
      </c>
      <c r="I16" s="11">
        <v>0</v>
      </c>
      <c r="J16" s="11" t="s">
        <v>984</v>
      </c>
      <c r="K16" s="11" t="s">
        <v>918</v>
      </c>
      <c r="L16" s="11" t="s">
        <v>918</v>
      </c>
      <c r="M16" s="11"/>
    </row>
    <row r="17" spans="2:13" s="1" customFormat="1" ht="13.05" customHeight="1" x14ac:dyDescent="0.25">
      <c r="B17" s="24">
        <v>10</v>
      </c>
      <c r="C17" s="11" t="s">
        <v>864</v>
      </c>
      <c r="D17" s="7" t="str">
        <f>IFERROR(VLOOKUP(C17,'Lista desplegable'!B$1:C$436,2,FALSE),"")</f>
        <v>TUMENNASAN SANSRAI .</v>
      </c>
      <c r="E17" s="7" t="str">
        <f>IFERROR(VLOOKUP(D17,'Lista desplegable'!C$1:D$436,2,FALSE),"")</f>
        <v>PERFORISTA</v>
      </c>
      <c r="F17" s="19" t="s">
        <v>890</v>
      </c>
      <c r="G17" s="11" t="s">
        <v>903</v>
      </c>
      <c r="H17" s="11" t="s">
        <v>911</v>
      </c>
      <c r="I17" s="11">
        <v>0</v>
      </c>
      <c r="J17" s="11" t="s">
        <v>984</v>
      </c>
      <c r="K17" s="11" t="s">
        <v>918</v>
      </c>
      <c r="L17" s="11" t="s">
        <v>918</v>
      </c>
      <c r="M17" s="11"/>
    </row>
    <row r="18" spans="2:13" s="1" customFormat="1" ht="13.05" customHeight="1" x14ac:dyDescent="0.25">
      <c r="B18" s="24">
        <v>11</v>
      </c>
      <c r="C18" s="10" t="s">
        <v>689</v>
      </c>
      <c r="D18" s="7" t="str">
        <f>IFERROR(VLOOKUP(C18,'Lista desplegable'!B$1:C$436,2,FALSE),"")</f>
        <v>JORGE ERIKSON DURAND RUIZ</v>
      </c>
      <c r="E18" s="7" t="str">
        <f>IFERROR(VLOOKUP(D18,'Lista desplegable'!C$1:D$436,2,FALSE),"")</f>
        <v>MECANICO</v>
      </c>
      <c r="F18" s="19" t="s">
        <v>890</v>
      </c>
      <c r="G18" s="11" t="s">
        <v>903</v>
      </c>
      <c r="H18" s="11" t="s">
        <v>911</v>
      </c>
      <c r="I18" s="11">
        <v>0</v>
      </c>
      <c r="J18" s="11" t="s">
        <v>984</v>
      </c>
      <c r="K18" s="11" t="s">
        <v>918</v>
      </c>
      <c r="L18" s="11" t="s">
        <v>918</v>
      </c>
      <c r="M18" s="11"/>
    </row>
    <row r="19" spans="2:13" s="1" customFormat="1" ht="13.05" customHeight="1" x14ac:dyDescent="0.25">
      <c r="B19" s="24">
        <v>12</v>
      </c>
      <c r="C19" s="11" t="s">
        <v>881</v>
      </c>
      <c r="D19" s="7" t="str">
        <f>IFERROR(VLOOKUP(C19,'Lista desplegable'!B$1:C$436,2,FALSE),"")</f>
        <v>WILLIAM HERNAN ALVAREZ TRUJILLO</v>
      </c>
      <c r="E19" s="7" t="str">
        <f>IFERROR(VLOOKUP(D19,'Lista desplegable'!C$1:D$436,2,FALSE),"")</f>
        <v>SOLDADOR</v>
      </c>
      <c r="F19" s="19" t="s">
        <v>890</v>
      </c>
      <c r="G19" s="11" t="s">
        <v>903</v>
      </c>
      <c r="H19" s="11" t="s">
        <v>911</v>
      </c>
      <c r="I19" s="11">
        <v>0</v>
      </c>
      <c r="J19" s="11" t="s">
        <v>984</v>
      </c>
      <c r="K19" s="11" t="s">
        <v>918</v>
      </c>
      <c r="L19" s="11" t="s">
        <v>918</v>
      </c>
      <c r="M19" s="11"/>
    </row>
    <row r="20" spans="2:13" s="1" customFormat="1" ht="13.05" customHeight="1" x14ac:dyDescent="0.25">
      <c r="B20" s="24">
        <v>13</v>
      </c>
      <c r="C20" s="11" t="s">
        <v>549</v>
      </c>
      <c r="D20" s="7" t="str">
        <f>IFERROR(VLOOKUP(C20,'Lista desplegable'!B$1:C$436,2,FALSE),"")</f>
        <v>CARLOS EDUARDO RODRIGUEZ HERNANDEZ</v>
      </c>
      <c r="E20" s="7" t="str">
        <f>IFERROR(VLOOKUP(D20,'Lista desplegable'!C$1:D$436,2,FALSE),"")</f>
        <v>ADMINISTRADOR DE CONTRATO</v>
      </c>
      <c r="F20" s="19" t="s">
        <v>890</v>
      </c>
      <c r="G20" s="11" t="s">
        <v>903</v>
      </c>
      <c r="H20" s="11" t="s">
        <v>911</v>
      </c>
      <c r="I20" s="11">
        <v>0</v>
      </c>
      <c r="J20" s="11" t="s">
        <v>984</v>
      </c>
      <c r="K20" s="11" t="s">
        <v>918</v>
      </c>
      <c r="L20" s="11" t="s">
        <v>918</v>
      </c>
      <c r="M20" s="11"/>
    </row>
    <row r="21" spans="2:13" s="1" customFormat="1" ht="13.05" customHeight="1" x14ac:dyDescent="0.25">
      <c r="B21" s="24">
        <v>14</v>
      </c>
      <c r="C21" s="11" t="s">
        <v>597</v>
      </c>
      <c r="D21" s="7" t="str">
        <f>IFERROR(VLOOKUP(C21,'Lista desplegable'!B$1:C$436,2,FALSE),"")</f>
        <v>DIEGO  FELIPE GONZALEZ CASTILLO</v>
      </c>
      <c r="E21" s="7" t="str">
        <f>IFERROR(VLOOKUP(D21,'Lista desplegable'!C$1:D$436,2,FALSE),"")</f>
        <v>LIDER DE PREVENCIÓN</v>
      </c>
      <c r="F21" s="19" t="s">
        <v>890</v>
      </c>
      <c r="G21" s="11" t="s">
        <v>903</v>
      </c>
      <c r="H21" s="11" t="s">
        <v>911</v>
      </c>
      <c r="I21" s="11">
        <v>0</v>
      </c>
      <c r="J21" s="11" t="s">
        <v>984</v>
      </c>
      <c r="K21" s="11" t="s">
        <v>919</v>
      </c>
      <c r="L21" s="11" t="s">
        <v>919</v>
      </c>
      <c r="M21" s="11"/>
    </row>
    <row r="22" spans="2:13" s="1" customFormat="1" ht="13.05" customHeight="1" x14ac:dyDescent="0.25">
      <c r="B22" s="24">
        <v>15</v>
      </c>
      <c r="C22" s="11"/>
      <c r="D22" s="7" t="str">
        <f>IFERROR(VLOOKUP(C22,'Lista desplegable'!B$1:C$436,2,FALSE),"")</f>
        <v/>
      </c>
      <c r="E22" s="7" t="str">
        <f>IFERROR(VLOOKUP(D22,'Lista desplegable'!C$1:D$436,2,FALSE),"")</f>
        <v/>
      </c>
      <c r="F22" s="19"/>
      <c r="G22" s="11"/>
      <c r="H22" s="11"/>
      <c r="I22" s="11"/>
      <c r="J22" s="11"/>
      <c r="K22" s="11"/>
      <c r="L22" s="11"/>
      <c r="M22" s="11"/>
    </row>
    <row r="23" spans="2:13" s="1" customFormat="1" ht="13.05" customHeight="1" x14ac:dyDescent="0.25">
      <c r="B23" s="24">
        <v>16</v>
      </c>
      <c r="C23" s="11"/>
      <c r="D23" s="7" t="str">
        <f>IFERROR(VLOOKUP(C23,'Lista desplegable'!B$1:C$436,2,FALSE),"")</f>
        <v/>
      </c>
      <c r="E23" s="7" t="str">
        <f>IFERROR(VLOOKUP(D23,'Lista desplegable'!C$1:D$436,2,FALSE),"")</f>
        <v/>
      </c>
      <c r="F23" s="19"/>
      <c r="G23" s="11"/>
      <c r="H23" s="11"/>
      <c r="I23" s="11"/>
      <c r="J23" s="11"/>
      <c r="K23" s="11"/>
      <c r="L23" s="11"/>
      <c r="M23" s="11"/>
    </row>
    <row r="24" spans="2:13" s="1" customFormat="1" ht="13.05" customHeight="1" x14ac:dyDescent="0.25">
      <c r="B24" s="24">
        <v>17</v>
      </c>
      <c r="C24" s="11"/>
      <c r="D24" s="7" t="str">
        <f>IFERROR(VLOOKUP(C24,'Lista desplegable'!B$1:C$436,2,FALSE),"")</f>
        <v/>
      </c>
      <c r="E24" s="7" t="str">
        <f>IFERROR(VLOOKUP(D24,'Lista desplegable'!C$1:D$436,2,FALSE),"")</f>
        <v/>
      </c>
      <c r="F24" s="19"/>
      <c r="G24" s="11"/>
      <c r="H24" s="11"/>
      <c r="I24" s="11"/>
      <c r="J24" s="11"/>
      <c r="K24" s="11"/>
      <c r="L24" s="11"/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05" customHeight="1" x14ac:dyDescent="0.25">
      <c r="C38"/>
    </row>
    <row r="39" spans="2:13" ht="13.05" customHeight="1" x14ac:dyDescent="0.25">
      <c r="C39"/>
    </row>
    <row r="40" spans="2:13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3" ht="13.05" customHeight="1" x14ac:dyDescent="0.25">
      <c r="B42" s="24">
        <v>1</v>
      </c>
      <c r="C42" s="11" t="s">
        <v>865</v>
      </c>
      <c r="D42" s="7" t="str">
        <f>IFERROR(VLOOKUP(C42,'Lista desplegable'!B$1:C$436,2,FALSE),"")</f>
        <v>ULINSON DIAZ CORTES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>
        <v>0</v>
      </c>
      <c r="J42" s="11" t="s">
        <v>984</v>
      </c>
      <c r="K42" s="11" t="s">
        <v>918</v>
      </c>
      <c r="L42" s="11" t="s">
        <v>918</v>
      </c>
      <c r="M42" s="11"/>
    </row>
    <row r="43" spans="2:13" ht="13.05" customHeight="1" x14ac:dyDescent="0.25">
      <c r="B43" s="24">
        <v>2</v>
      </c>
      <c r="C43" s="11" t="s">
        <v>829</v>
      </c>
      <c r="D43" s="7" t="str">
        <f>IFERROR(VLOOKUP(C43,'Lista desplegable'!B$1:C$436,2,FALSE),"")</f>
        <v>RODRIGO ALEJANDRO FLORES ZEPEDA</v>
      </c>
      <c r="E43" s="7" t="str">
        <f>IFERROR(VLOOKUP(D43,'Lista desplegable'!C$1:D$436,2,FALSE),"")</f>
        <v>AYUDANTE DE PERFORISTA</v>
      </c>
      <c r="F43" s="19" t="s">
        <v>890</v>
      </c>
      <c r="G43" s="11" t="s">
        <v>903</v>
      </c>
      <c r="H43" s="11" t="s">
        <v>911</v>
      </c>
      <c r="I43" s="11">
        <v>0</v>
      </c>
      <c r="J43" s="11" t="s">
        <v>984</v>
      </c>
      <c r="K43" s="11" t="s">
        <v>918</v>
      </c>
      <c r="L43" s="11" t="s">
        <v>918</v>
      </c>
      <c r="M43" s="11"/>
    </row>
    <row r="44" spans="2:13" ht="13.05" customHeight="1" x14ac:dyDescent="0.25">
      <c r="B44" s="24">
        <v>3</v>
      </c>
      <c r="C44" s="11" t="s">
        <v>618</v>
      </c>
      <c r="D44" s="7" t="str">
        <f>IFERROR(VLOOKUP(C44,'Lista desplegable'!B$1:C$436,2,FALSE),"")</f>
        <v>FABIAN PATRICIO CABRERA GODOY</v>
      </c>
      <c r="E44" s="7" t="str">
        <f>IFERROR(VLOOKUP(D44,'Lista desplegable'!C$1:D$436,2,FALSE),"")</f>
        <v>AYUDANTE DE PERFORISTA</v>
      </c>
      <c r="F44" s="19" t="s">
        <v>890</v>
      </c>
      <c r="G44" s="11" t="s">
        <v>903</v>
      </c>
      <c r="H44" s="11" t="s">
        <v>911</v>
      </c>
      <c r="I44" s="11">
        <v>0</v>
      </c>
      <c r="J44" s="11" t="s">
        <v>984</v>
      </c>
      <c r="K44" s="11" t="s">
        <v>918</v>
      </c>
      <c r="L44" s="11" t="s">
        <v>918</v>
      </c>
      <c r="M44" s="11"/>
    </row>
    <row r="45" spans="2:13" ht="13.05" customHeight="1" x14ac:dyDescent="0.25">
      <c r="B45" s="24">
        <v>4</v>
      </c>
      <c r="C45" s="11" t="s">
        <v>616</v>
      </c>
      <c r="D45" s="7" t="str">
        <f>IFERROR(VLOOKUP(C45,'Lista desplegable'!B$1:C$436,2,FALSE),"")</f>
        <v>ESTEFANIA CONSTANZA NAETER QUIROZ</v>
      </c>
      <c r="E45" s="7" t="str">
        <f>IFERROR(VLOOKUP(D45,'Lista desplegable'!C$1:D$436,2,FALSE),"")</f>
        <v>CHOFER</v>
      </c>
      <c r="F45" s="19" t="s">
        <v>890</v>
      </c>
      <c r="G45" s="11" t="s">
        <v>903</v>
      </c>
      <c r="H45" s="11" t="s">
        <v>911</v>
      </c>
      <c r="I45" s="11">
        <v>0</v>
      </c>
      <c r="J45" s="11" t="s">
        <v>984</v>
      </c>
      <c r="K45" s="11" t="s">
        <v>918</v>
      </c>
      <c r="L45" s="11" t="s">
        <v>918</v>
      </c>
      <c r="M45" s="11"/>
    </row>
    <row r="46" spans="2:13" ht="13.05" customHeight="1" x14ac:dyDescent="0.25">
      <c r="B46" s="24">
        <v>5</v>
      </c>
      <c r="C46" s="11" t="s">
        <v>990</v>
      </c>
      <c r="D46" s="7" t="str">
        <f>IFERROR(VLOOKUP(C46,'Lista desplegable'!B$1:C$436,2,FALSE),"")</f>
        <v>BENIGNO EDUARDO PAEZ MENESES</v>
      </c>
      <c r="E46" s="7" t="str">
        <f>IFERROR(VLOOKUP(D46,'Lista desplegable'!C$1:D$436,2,FALSE),"")</f>
        <v>CHOFER</v>
      </c>
      <c r="F46" s="19" t="s">
        <v>890</v>
      </c>
      <c r="G46" s="11" t="s">
        <v>903</v>
      </c>
      <c r="H46" s="11" t="s">
        <v>911</v>
      </c>
      <c r="I46" s="11">
        <v>0</v>
      </c>
      <c r="J46" s="11" t="s">
        <v>984</v>
      </c>
      <c r="K46" s="11" t="s">
        <v>918</v>
      </c>
      <c r="L46" s="11" t="s">
        <v>918</v>
      </c>
      <c r="M46" s="11"/>
    </row>
    <row r="47" spans="2:13" ht="13.05" customHeight="1" x14ac:dyDescent="0.25">
      <c r="B47" s="24">
        <v>6</v>
      </c>
      <c r="C47" s="11" t="s">
        <v>826</v>
      </c>
      <c r="D47" s="7" t="str">
        <f>IFERROR(VLOOKUP(C47,'Lista desplegable'!B$1:C$436,2,FALSE),"")</f>
        <v>ROBERTO MARIO VARGAS RODRIGUEZ</v>
      </c>
      <c r="E47" s="7" t="str">
        <f>IFERROR(VLOOKUP(D47,'Lista desplegable'!C$1:D$436,2,FALSE),"")</f>
        <v>MECANICO</v>
      </c>
      <c r="F47" s="19" t="s">
        <v>890</v>
      </c>
      <c r="G47" s="11" t="s">
        <v>903</v>
      </c>
      <c r="H47" s="11" t="s">
        <v>911</v>
      </c>
      <c r="I47" s="11">
        <v>0</v>
      </c>
      <c r="J47" s="11" t="s">
        <v>984</v>
      </c>
      <c r="K47" s="11" t="s">
        <v>918</v>
      </c>
      <c r="L47" s="11" t="s">
        <v>918</v>
      </c>
      <c r="M47" s="11"/>
    </row>
    <row r="48" spans="2:13" ht="13.05" customHeight="1" x14ac:dyDescent="0.25">
      <c r="B48" s="24">
        <v>7</v>
      </c>
      <c r="C48" t="s">
        <v>542</v>
      </c>
      <c r="D48" s="7" t="str">
        <f>IFERROR(VLOOKUP(C48,'Lista desplegable'!B$1:C$436,2,FALSE),"")</f>
        <v>BYAMBATSEREN TSERENDAVAA .</v>
      </c>
      <c r="E48" s="7" t="str">
        <f>IFERROR(VLOOKUP(D48,'Lista desplegable'!C$1:D$436,2,FALSE),"")</f>
        <v>PERFORISTA</v>
      </c>
      <c r="F48" s="19" t="s">
        <v>890</v>
      </c>
      <c r="G48" s="11" t="s">
        <v>903</v>
      </c>
      <c r="H48" s="11" t="s">
        <v>911</v>
      </c>
      <c r="I48" s="11">
        <v>0</v>
      </c>
      <c r="J48" s="11" t="s">
        <v>984</v>
      </c>
      <c r="K48" s="11"/>
      <c r="L48" s="11"/>
      <c r="M48" s="11"/>
    </row>
    <row r="49" spans="2:13" ht="13.05" customHeight="1" x14ac:dyDescent="0.25">
      <c r="B49" s="24">
        <v>8</v>
      </c>
      <c r="C49" s="11"/>
      <c r="D49" s="7" t="str">
        <f>IFERROR(VLOOKUP(C49,'Lista desplegable'!B$1:C$436,2,FALSE),"")</f>
        <v/>
      </c>
      <c r="E49" s="7" t="str">
        <f>IFERROR(VLOOKUP(D49,'Lista desplegable'!C$1:D$436,2,FALSE),"")</f>
        <v/>
      </c>
      <c r="F49" s="19"/>
      <c r="G49" s="11"/>
      <c r="H49" s="11"/>
      <c r="I49" s="11"/>
      <c r="J49" s="11"/>
      <c r="K49" s="11"/>
      <c r="L49" s="11"/>
      <c r="M49" s="11"/>
    </row>
    <row r="50" spans="2:13" ht="13.05" customHeight="1" x14ac:dyDescent="0.25">
      <c r="B50" s="24">
        <v>9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11"/>
      <c r="J50" s="11"/>
      <c r="K50" s="11"/>
      <c r="L50" s="11"/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2:I2"/>
    <mergeCell ref="G3:I3"/>
    <mergeCell ref="C6:M6"/>
    <mergeCell ref="C40:M40"/>
  </mergeCell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BD39CC6-3F44-4E7E-B431-A179157709E4}">
          <x14:formula1>
            <xm:f>'Lista desplegable'!$N$2:$N$5</xm:f>
          </x14:formula1>
          <xm:sqref>J8:J37 J42:J71</xm:sqref>
        </x14:dataValidation>
        <x14:dataValidation type="list" allowBlank="1" showInputMessage="1" showErrorMessage="1" xr:uid="{07430C05-A0C8-4250-8D33-2DAB0D735EC3}">
          <x14:formula1>
            <xm:f>'Lista desplegable'!$B$2:$B$436</xm:f>
          </x14:formula1>
          <xm:sqref>C42:C71 C8:C37</xm:sqref>
        </x14:dataValidation>
        <x14:dataValidation type="list" allowBlank="1" showInputMessage="1" showErrorMessage="1" xr:uid="{C11E7050-9DED-48BC-91A8-28B39BFD645C}">
          <x14:formula1>
            <xm:f>'Lista desplegable'!$F$2:$F$19</xm:f>
          </x14:formula1>
          <xm:sqref>F8:F37 F42:F71</xm:sqref>
        </x14:dataValidation>
        <x14:dataValidation type="list" allowBlank="1" showInputMessage="1" showErrorMessage="1" xr:uid="{6A472628-8188-4EFE-8BFE-F4178D3E1BAA}">
          <x14:formula1>
            <xm:f>'Lista desplegable'!$J$2:$J$10</xm:f>
          </x14:formula1>
          <xm:sqref>H8:H37 H42:H71</xm:sqref>
        </x14:dataValidation>
        <x14:dataValidation type="list" allowBlank="1" showInputMessage="1" showErrorMessage="1" xr:uid="{08AFB39E-53F3-4F49-AD55-C27DCBE82B2F}">
          <x14:formula1>
            <xm:f>'Lista desplegable'!$H$2:$H$7</xm:f>
          </x14:formula1>
          <xm:sqref>G8:G37 G42:G71</xm:sqref>
        </x14:dataValidation>
        <x14:dataValidation type="list" allowBlank="1" showInputMessage="1" showErrorMessage="1" xr:uid="{F69EB914-06FB-4248-91F1-BB2484FF6E01}">
          <x14:formula1>
            <xm:f>'Lista desplegable'!$L$2:$L$3</xm:f>
          </x14:formula1>
          <xm:sqref>K8:L37 K42:L71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A3B6F-F899-45D0-8897-18FB38C79CC8}">
  <dimension ref="B1:M93"/>
  <sheetViews>
    <sheetView topLeftCell="A4" zoomScale="80" zoomScaleNormal="80" workbookViewId="0">
      <selection activeCell="C22" sqref="C22:L22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0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21.77734375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46288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11" t="s">
        <v>692</v>
      </c>
      <c r="D8" s="7" t="str">
        <f>IFERROR(VLOOKUP(C8,'Lista desplegable'!B$1:C$436,2,FALSE),"")</f>
        <v>JOSE CRISTIAN BASTIAS PEREZ</v>
      </c>
      <c r="E8" s="7" t="str">
        <f>IFERROR(VLOOKUP(D8,'Lista desplegable'!C$1:D$436,2,FALSE),"")</f>
        <v>SUPERVISOR DE OPERACIONES</v>
      </c>
      <c r="F8" s="19" t="s">
        <v>890</v>
      </c>
      <c r="G8" s="11" t="s">
        <v>903</v>
      </c>
      <c r="H8" s="11" t="s">
        <v>911</v>
      </c>
      <c r="I8" s="11">
        <v>0</v>
      </c>
      <c r="J8" s="11" t="s">
        <v>984</v>
      </c>
      <c r="K8" s="11" t="s">
        <v>918</v>
      </c>
      <c r="L8" s="11" t="s">
        <v>918</v>
      </c>
      <c r="M8" s="11"/>
    </row>
    <row r="9" spans="2:13" s="1" customFormat="1" ht="13.05" customHeight="1" x14ac:dyDescent="0.25">
      <c r="B9" s="24">
        <v>2</v>
      </c>
      <c r="C9" s="10" t="s">
        <v>991</v>
      </c>
      <c r="D9" s="7" t="str">
        <f>IFERROR(VLOOKUP(C9,'Lista desplegable'!B$1:C$436,2,FALSE),"")</f>
        <v>JORGE ENRIQUE CEBALLOS JOFRE</v>
      </c>
      <c r="E9" s="7" t="str">
        <f>IFERROR(VLOOKUP(D9,'Lista desplegable'!C$1:D$436,2,FALSE),"")</f>
        <v>PREVENCIONISTA DE RIESGOS</v>
      </c>
      <c r="F9" s="19" t="s">
        <v>890</v>
      </c>
      <c r="G9" s="11" t="s">
        <v>903</v>
      </c>
      <c r="H9" s="11" t="s">
        <v>911</v>
      </c>
      <c r="I9" s="11">
        <v>0</v>
      </c>
      <c r="J9" s="11" t="s">
        <v>984</v>
      </c>
      <c r="K9" s="11" t="s">
        <v>918</v>
      </c>
      <c r="L9" s="11" t="s">
        <v>918</v>
      </c>
      <c r="M9" s="11"/>
    </row>
    <row r="10" spans="2:13" s="1" customFormat="1" ht="13.05" customHeight="1" x14ac:dyDescent="0.25">
      <c r="B10" s="24">
        <v>3</v>
      </c>
      <c r="C10" s="11" t="s">
        <v>769</v>
      </c>
      <c r="D10" s="7" t="str">
        <f>IFERROR(VLOOKUP(C10,'Lista desplegable'!B$1:C$436,2,FALSE),"")</f>
        <v>NATALY ANTONIA SALAS ESCOBAR</v>
      </c>
      <c r="E10" s="7" t="str">
        <f>IFERROR(VLOOKUP(D10,'Lista desplegable'!C$1:D$436,2,FALSE),"")</f>
        <v>ADMINISTRATIVO DE FAENA</v>
      </c>
      <c r="F10" s="19" t="s">
        <v>890</v>
      </c>
      <c r="G10" s="11" t="s">
        <v>903</v>
      </c>
      <c r="H10" s="11" t="s">
        <v>911</v>
      </c>
      <c r="I10" s="11">
        <v>0</v>
      </c>
      <c r="J10" s="11" t="s">
        <v>984</v>
      </c>
      <c r="K10" s="11" t="s">
        <v>918</v>
      </c>
      <c r="L10" s="11" t="s">
        <v>918</v>
      </c>
      <c r="M10" s="11"/>
    </row>
    <row r="11" spans="2:13" s="1" customFormat="1" ht="13.05" customHeight="1" x14ac:dyDescent="0.25">
      <c r="B11" s="24">
        <v>4</v>
      </c>
      <c r="C11" s="11" t="s">
        <v>719</v>
      </c>
      <c r="D11" s="7" t="str">
        <f>IFERROR(VLOOKUP(C11,'Lista desplegable'!B$1:C$436,2,FALSE),"")</f>
        <v>LEONARDO ANDRES MENESES ARREDONDO</v>
      </c>
      <c r="E11" s="7" t="str">
        <f>IFERROR(VLOOKUP(D11,'Lista desplegable'!C$1:D$436,2,FALSE),"")</f>
        <v>SUPERVISOR DE OPERACIONES</v>
      </c>
      <c r="F11" s="19" t="s">
        <v>890</v>
      </c>
      <c r="G11" s="11" t="s">
        <v>903</v>
      </c>
      <c r="H11" s="11" t="s">
        <v>911</v>
      </c>
      <c r="I11" s="11">
        <v>0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11" t="s">
        <v>723</v>
      </c>
      <c r="D12" s="7" t="str">
        <f>IFERROR(VLOOKUP(C12,'Lista desplegable'!B$1:C$436,2,FALSE),"")</f>
        <v>LEONEL GUILLERMO CAMPUSANO DUBO</v>
      </c>
      <c r="E12" s="7" t="str">
        <f>IFERROR(VLOOKUP(D12,'Lista desplegable'!C$1:D$436,2,FALSE),"")</f>
        <v>AYUDANTE DE PERFORISTA</v>
      </c>
      <c r="F12" s="19" t="s">
        <v>890</v>
      </c>
      <c r="G12" s="11" t="s">
        <v>903</v>
      </c>
      <c r="H12" s="11" t="s">
        <v>911</v>
      </c>
      <c r="I12" s="11">
        <v>0</v>
      </c>
      <c r="J12" s="11" t="s">
        <v>984</v>
      </c>
      <c r="K12" s="11" t="s">
        <v>918</v>
      </c>
      <c r="L12" s="11" t="s">
        <v>918</v>
      </c>
      <c r="M12" s="11"/>
    </row>
    <row r="13" spans="2:13" s="1" customFormat="1" ht="13.05" customHeight="1" x14ac:dyDescent="0.25">
      <c r="B13" s="24">
        <v>6</v>
      </c>
      <c r="C13" s="11" t="s">
        <v>876</v>
      </c>
      <c r="D13" s="7" t="str">
        <f>IFERROR(VLOOKUP(C13,'Lista desplegable'!B$1:C$436,2,FALSE),"")</f>
        <v>VICTOR MANUEL MONDACA VEGA</v>
      </c>
      <c r="E13" s="7" t="str">
        <f>IFERROR(VLOOKUP(D13,'Lista desplegable'!C$1:D$436,2,FALSE),"")</f>
        <v>AYUDANTE DE PERFORISTA</v>
      </c>
      <c r="F13" s="19" t="s">
        <v>890</v>
      </c>
      <c r="G13" s="11" t="s">
        <v>903</v>
      </c>
      <c r="H13" s="11" t="s">
        <v>911</v>
      </c>
      <c r="I13" s="11">
        <v>0</v>
      </c>
      <c r="J13" s="11" t="s">
        <v>984</v>
      </c>
      <c r="K13" s="11" t="s">
        <v>918</v>
      </c>
      <c r="L13" s="11" t="s">
        <v>918</v>
      </c>
      <c r="M13" s="11"/>
    </row>
    <row r="14" spans="2:13" s="1" customFormat="1" ht="13.05" customHeight="1" x14ac:dyDescent="0.25">
      <c r="B14" s="24">
        <v>7</v>
      </c>
      <c r="C14" s="11" t="s">
        <v>686</v>
      </c>
      <c r="D14" s="7" t="str">
        <f>IFERROR(VLOOKUP(C14,'Lista desplegable'!B$1:C$436,2,FALSE),"")</f>
        <v>JORGE ARMANDO TINOCO OSPINO</v>
      </c>
      <c r="E14" s="7" t="str">
        <f>IFERROR(VLOOKUP(D14,'Lista desplegable'!C$1:D$436,2,FALSE),"")</f>
        <v>CHOFER</v>
      </c>
      <c r="F14" s="19" t="s">
        <v>890</v>
      </c>
      <c r="G14" s="11" t="s">
        <v>903</v>
      </c>
      <c r="H14" s="11" t="s">
        <v>911</v>
      </c>
      <c r="I14" s="11">
        <v>0</v>
      </c>
      <c r="J14" s="11" t="s">
        <v>984</v>
      </c>
      <c r="K14" s="11" t="s">
        <v>918</v>
      </c>
      <c r="L14" s="11" t="s">
        <v>918</v>
      </c>
      <c r="M14" s="11"/>
    </row>
    <row r="15" spans="2:13" s="1" customFormat="1" ht="13.05" customHeight="1" x14ac:dyDescent="0.25">
      <c r="B15" s="24">
        <v>8</v>
      </c>
      <c r="C15" s="11" t="s">
        <v>534</v>
      </c>
      <c r="D15" s="7" t="str">
        <f>IFERROR(VLOOKUP(C15,'Lista desplegable'!B$1:C$436,2,FALSE),"")</f>
        <v>BENJAMIN JOSEFATT ESPINOZA URIBE</v>
      </c>
      <c r="E15" s="7" t="str">
        <f>IFERROR(VLOOKUP(D15,'Lista desplegable'!C$1:D$436,2,FALSE),"")</f>
        <v>CHOFER</v>
      </c>
      <c r="F15" s="19" t="s">
        <v>890</v>
      </c>
      <c r="G15" s="11" t="s">
        <v>903</v>
      </c>
      <c r="H15" s="11" t="s">
        <v>911</v>
      </c>
      <c r="I15" s="11">
        <v>0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11" t="s">
        <v>879</v>
      </c>
      <c r="D16" s="7" t="str">
        <f>IFERROR(VLOOKUP(C16,'Lista desplegable'!B$1:C$436,2,FALSE),"")</f>
        <v>WALTER DEL CARMEN PIZARRO ALVAREZ</v>
      </c>
      <c r="E16" s="7" t="str">
        <f>IFERROR(VLOOKUP(D16,'Lista desplegable'!C$1:D$436,2,FALSE),"")</f>
        <v>CHOFER</v>
      </c>
      <c r="F16" s="19" t="s">
        <v>890</v>
      </c>
      <c r="G16" s="11" t="s">
        <v>903</v>
      </c>
      <c r="H16" s="11" t="s">
        <v>911</v>
      </c>
      <c r="I16" s="11">
        <v>0</v>
      </c>
      <c r="J16" s="11" t="s">
        <v>984</v>
      </c>
      <c r="K16" s="11" t="s">
        <v>918</v>
      </c>
      <c r="L16" s="11" t="s">
        <v>918</v>
      </c>
      <c r="M16" s="11"/>
    </row>
    <row r="17" spans="2:13" s="1" customFormat="1" ht="13.05" customHeight="1" x14ac:dyDescent="0.25">
      <c r="B17" s="24">
        <v>10</v>
      </c>
      <c r="C17" s="11" t="s">
        <v>864</v>
      </c>
      <c r="D17" s="7" t="str">
        <f>IFERROR(VLOOKUP(C17,'Lista desplegable'!B$1:C$436,2,FALSE),"")</f>
        <v>TUMENNASAN SANSRAI .</v>
      </c>
      <c r="E17" s="7" t="str">
        <f>IFERROR(VLOOKUP(D17,'Lista desplegable'!C$1:D$436,2,FALSE),"")</f>
        <v>PERFORISTA</v>
      </c>
      <c r="F17" s="19" t="s">
        <v>890</v>
      </c>
      <c r="G17" s="11" t="s">
        <v>903</v>
      </c>
      <c r="H17" s="11" t="s">
        <v>911</v>
      </c>
      <c r="I17" s="11">
        <v>0</v>
      </c>
      <c r="J17" s="11" t="s">
        <v>984</v>
      </c>
      <c r="K17" s="11" t="s">
        <v>918</v>
      </c>
      <c r="L17" s="11" t="s">
        <v>918</v>
      </c>
      <c r="M17" s="11"/>
    </row>
    <row r="18" spans="2:13" s="1" customFormat="1" ht="13.05" customHeight="1" x14ac:dyDescent="0.25">
      <c r="B18" s="24">
        <v>11</v>
      </c>
      <c r="C18" s="10" t="s">
        <v>689</v>
      </c>
      <c r="D18" s="7" t="str">
        <f>IFERROR(VLOOKUP(C18,'Lista desplegable'!B$1:C$436,2,FALSE),"")</f>
        <v>JORGE ERIKSON DURAND RUIZ</v>
      </c>
      <c r="E18" s="7" t="str">
        <f>IFERROR(VLOOKUP(D18,'Lista desplegable'!C$1:D$436,2,FALSE),"")</f>
        <v>MECANICO</v>
      </c>
      <c r="F18" s="19" t="s">
        <v>890</v>
      </c>
      <c r="G18" s="11" t="s">
        <v>903</v>
      </c>
      <c r="H18" s="11" t="s">
        <v>911</v>
      </c>
      <c r="I18" s="11">
        <v>0</v>
      </c>
      <c r="J18" s="11" t="s">
        <v>984</v>
      </c>
      <c r="K18" s="11" t="s">
        <v>918</v>
      </c>
      <c r="L18" s="11" t="s">
        <v>918</v>
      </c>
      <c r="M18" s="11"/>
    </row>
    <row r="19" spans="2:13" s="1" customFormat="1" ht="13.05" customHeight="1" x14ac:dyDescent="0.25">
      <c r="B19" s="24">
        <v>12</v>
      </c>
      <c r="C19" s="11" t="s">
        <v>881</v>
      </c>
      <c r="D19" s="7" t="str">
        <f>IFERROR(VLOOKUP(C19,'Lista desplegable'!B$1:C$436,2,FALSE),"")</f>
        <v>WILLIAM HERNAN ALVAREZ TRUJILLO</v>
      </c>
      <c r="E19" s="7" t="str">
        <f>IFERROR(VLOOKUP(D19,'Lista desplegable'!C$1:D$436,2,FALSE),"")</f>
        <v>SOLDADOR</v>
      </c>
      <c r="F19" s="19" t="s">
        <v>890</v>
      </c>
      <c r="G19" s="11" t="s">
        <v>903</v>
      </c>
      <c r="H19" s="11" t="s">
        <v>911</v>
      </c>
      <c r="I19" s="11">
        <v>0</v>
      </c>
      <c r="J19" s="11" t="s">
        <v>984</v>
      </c>
      <c r="K19" s="11" t="s">
        <v>918</v>
      </c>
      <c r="L19" s="11" t="s">
        <v>918</v>
      </c>
      <c r="M19" s="11"/>
    </row>
    <row r="20" spans="2:13" s="1" customFormat="1" ht="13.05" customHeight="1" x14ac:dyDescent="0.25">
      <c r="B20" s="24">
        <v>13</v>
      </c>
      <c r="C20" s="11" t="s">
        <v>549</v>
      </c>
      <c r="D20" s="7" t="str">
        <f>IFERROR(VLOOKUP(C20,'Lista desplegable'!B$1:C$436,2,FALSE),"")</f>
        <v>CARLOS EDUARDO RODRIGUEZ HERNANDEZ</v>
      </c>
      <c r="E20" s="7" t="str">
        <f>IFERROR(VLOOKUP(D20,'Lista desplegable'!C$1:D$436,2,FALSE),"")</f>
        <v>ADMINISTRADOR DE CONTRATO</v>
      </c>
      <c r="F20" s="19" t="s">
        <v>890</v>
      </c>
      <c r="G20" s="11" t="s">
        <v>903</v>
      </c>
      <c r="H20" s="11" t="s">
        <v>911</v>
      </c>
      <c r="I20" s="11">
        <v>0</v>
      </c>
      <c r="J20" s="11" t="s">
        <v>984</v>
      </c>
      <c r="K20" s="11" t="s">
        <v>918</v>
      </c>
      <c r="L20" s="11" t="s">
        <v>918</v>
      </c>
      <c r="M20" s="11"/>
    </row>
    <row r="21" spans="2:13" s="1" customFormat="1" ht="13.05" customHeight="1" x14ac:dyDescent="0.25">
      <c r="B21" s="24">
        <v>14</v>
      </c>
      <c r="C21" s="11" t="s">
        <v>597</v>
      </c>
      <c r="D21" s="7" t="str">
        <f>IFERROR(VLOOKUP(C21,'Lista desplegable'!B$1:C$436,2,FALSE),"")</f>
        <v>DIEGO  FELIPE GONZALEZ CASTILLO</v>
      </c>
      <c r="E21" s="7" t="str">
        <f>IFERROR(VLOOKUP(D21,'Lista desplegable'!C$1:D$436,2,FALSE),"")</f>
        <v>LIDER DE PREVENCIÓN</v>
      </c>
      <c r="F21" s="19" t="s">
        <v>890</v>
      </c>
      <c r="G21" s="11" t="s">
        <v>903</v>
      </c>
      <c r="H21" s="11" t="s">
        <v>911</v>
      </c>
      <c r="I21" s="11">
        <v>0</v>
      </c>
      <c r="J21" s="11" t="s">
        <v>984</v>
      </c>
      <c r="K21" s="11" t="s">
        <v>919</v>
      </c>
      <c r="L21" s="11" t="s">
        <v>919</v>
      </c>
      <c r="M21" s="11"/>
    </row>
    <row r="22" spans="2:13" s="1" customFormat="1" ht="13.05" customHeight="1" x14ac:dyDescent="0.25">
      <c r="B22" s="24">
        <v>15</v>
      </c>
      <c r="C22" s="10" t="s">
        <v>792</v>
      </c>
      <c r="D22" s="7" t="str">
        <f>IFERROR(VLOOKUP(C22,'Lista desplegable'!B$1:C$436,2,FALSE),"")</f>
        <v>PAOLO ALEJANDRO MANRIQUEZ SILVA</v>
      </c>
      <c r="E22" s="7" t="str">
        <f>IFERROR(VLOOKUP(D22,'Lista desplegable'!C$1:D$436,2,FALSE),"")</f>
        <v>BODEGUERO</v>
      </c>
      <c r="F22" s="19" t="s">
        <v>890</v>
      </c>
      <c r="G22" s="11" t="s">
        <v>903</v>
      </c>
      <c r="H22" s="11" t="s">
        <v>911</v>
      </c>
      <c r="I22" s="11">
        <v>0</v>
      </c>
      <c r="J22" s="11" t="s">
        <v>984</v>
      </c>
      <c r="K22" s="11" t="s">
        <v>918</v>
      </c>
      <c r="L22" s="11" t="s">
        <v>918</v>
      </c>
      <c r="M22" s="11"/>
    </row>
    <row r="23" spans="2:13" s="1" customFormat="1" ht="13.05" customHeight="1" x14ac:dyDescent="0.25">
      <c r="B23" s="24">
        <v>16</v>
      </c>
      <c r="C23" s="11"/>
      <c r="D23" s="7" t="str">
        <f>IFERROR(VLOOKUP(C23,'Lista desplegable'!B$1:C$436,2,FALSE),"")</f>
        <v/>
      </c>
      <c r="E23" s="7" t="str">
        <f>IFERROR(VLOOKUP(D23,'Lista desplegable'!C$1:D$436,2,FALSE),"")</f>
        <v/>
      </c>
      <c r="F23" s="19"/>
      <c r="G23" s="11"/>
      <c r="H23" s="11"/>
      <c r="I23" s="11"/>
      <c r="J23" s="11"/>
      <c r="K23" s="11"/>
      <c r="L23" s="11"/>
      <c r="M23" s="11"/>
    </row>
    <row r="24" spans="2:13" s="1" customFormat="1" ht="13.05" customHeight="1" x14ac:dyDescent="0.25">
      <c r="B24" s="24">
        <v>17</v>
      </c>
      <c r="C24" s="11"/>
      <c r="D24" s="7" t="str">
        <f>IFERROR(VLOOKUP(C24,'Lista desplegable'!B$1:C$436,2,FALSE),"")</f>
        <v/>
      </c>
      <c r="E24" s="7" t="str">
        <f>IFERROR(VLOOKUP(D24,'Lista desplegable'!C$1:D$436,2,FALSE),"")</f>
        <v/>
      </c>
      <c r="F24" s="19"/>
      <c r="G24" s="11"/>
      <c r="H24" s="11"/>
      <c r="I24" s="11"/>
      <c r="J24" s="11"/>
      <c r="K24" s="11"/>
      <c r="L24" s="11"/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05" customHeight="1" x14ac:dyDescent="0.25">
      <c r="C38"/>
    </row>
    <row r="39" spans="2:13" ht="13.05" customHeight="1" x14ac:dyDescent="0.25">
      <c r="C39"/>
    </row>
    <row r="40" spans="2:13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3" ht="13.05" customHeight="1" x14ac:dyDescent="0.25">
      <c r="B42" s="24">
        <v>1</v>
      </c>
      <c r="C42" s="11" t="s">
        <v>865</v>
      </c>
      <c r="D42" s="7" t="str">
        <f>IFERROR(VLOOKUP(C42,'Lista desplegable'!B$1:C$436,2,FALSE),"")</f>
        <v>ULINSON DIAZ CORTES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>
        <v>0</v>
      </c>
      <c r="J42" s="11" t="s">
        <v>984</v>
      </c>
      <c r="K42" s="11" t="s">
        <v>918</v>
      </c>
      <c r="L42" s="11" t="s">
        <v>918</v>
      </c>
      <c r="M42" s="11"/>
    </row>
    <row r="43" spans="2:13" ht="13.05" customHeight="1" x14ac:dyDescent="0.25">
      <c r="B43" s="24">
        <v>2</v>
      </c>
      <c r="C43" s="11" t="s">
        <v>829</v>
      </c>
      <c r="D43" s="7" t="str">
        <f>IFERROR(VLOOKUP(C43,'Lista desplegable'!B$1:C$436,2,FALSE),"")</f>
        <v>RODRIGO ALEJANDRO FLORES ZEPEDA</v>
      </c>
      <c r="E43" s="7" t="str">
        <f>IFERROR(VLOOKUP(D43,'Lista desplegable'!C$1:D$436,2,FALSE),"")</f>
        <v>AYUDANTE DE PERFORISTA</v>
      </c>
      <c r="F43" s="19" t="s">
        <v>890</v>
      </c>
      <c r="G43" s="11" t="s">
        <v>903</v>
      </c>
      <c r="H43" s="11" t="s">
        <v>911</v>
      </c>
      <c r="I43" s="11">
        <v>0</v>
      </c>
      <c r="J43" s="11" t="s">
        <v>984</v>
      </c>
      <c r="K43" s="11" t="s">
        <v>918</v>
      </c>
      <c r="L43" s="11" t="s">
        <v>918</v>
      </c>
      <c r="M43" s="11"/>
    </row>
    <row r="44" spans="2:13" ht="13.05" customHeight="1" x14ac:dyDescent="0.25">
      <c r="B44" s="24">
        <v>3</v>
      </c>
      <c r="C44" s="11" t="s">
        <v>618</v>
      </c>
      <c r="D44" s="7" t="str">
        <f>IFERROR(VLOOKUP(C44,'Lista desplegable'!B$1:C$436,2,FALSE),"")</f>
        <v>FABIAN PATRICIO CABRERA GODOY</v>
      </c>
      <c r="E44" s="7" t="str">
        <f>IFERROR(VLOOKUP(D44,'Lista desplegable'!C$1:D$436,2,FALSE),"")</f>
        <v>AYUDANTE DE PERFORISTA</v>
      </c>
      <c r="F44" s="19" t="s">
        <v>890</v>
      </c>
      <c r="G44" s="11" t="s">
        <v>903</v>
      </c>
      <c r="H44" s="11" t="s">
        <v>911</v>
      </c>
      <c r="I44" s="11">
        <v>0</v>
      </c>
      <c r="J44" s="11" t="s">
        <v>984</v>
      </c>
      <c r="K44" s="11" t="s">
        <v>918</v>
      </c>
      <c r="L44" s="11" t="s">
        <v>918</v>
      </c>
      <c r="M44" s="11"/>
    </row>
    <row r="45" spans="2:13" ht="13.05" customHeight="1" x14ac:dyDescent="0.25">
      <c r="B45" s="24">
        <v>4</v>
      </c>
      <c r="C45" s="11" t="s">
        <v>616</v>
      </c>
      <c r="D45" s="7" t="str">
        <f>IFERROR(VLOOKUP(C45,'Lista desplegable'!B$1:C$436,2,FALSE),"")</f>
        <v>ESTEFANIA CONSTANZA NAETER QUIROZ</v>
      </c>
      <c r="E45" s="7" t="str">
        <f>IFERROR(VLOOKUP(D45,'Lista desplegable'!C$1:D$436,2,FALSE),"")</f>
        <v>CHOFER</v>
      </c>
      <c r="F45" s="19" t="s">
        <v>890</v>
      </c>
      <c r="G45" s="11" t="s">
        <v>903</v>
      </c>
      <c r="H45" s="11" t="s">
        <v>911</v>
      </c>
      <c r="I45" s="11">
        <v>0</v>
      </c>
      <c r="J45" s="11" t="s">
        <v>984</v>
      </c>
      <c r="K45" s="11" t="s">
        <v>918</v>
      </c>
      <c r="L45" s="11" t="s">
        <v>918</v>
      </c>
      <c r="M45" s="11"/>
    </row>
    <row r="46" spans="2:13" ht="13.05" customHeight="1" x14ac:dyDescent="0.25">
      <c r="B46" s="24">
        <v>5</v>
      </c>
      <c r="C46" s="11" t="s">
        <v>990</v>
      </c>
      <c r="D46" s="7" t="str">
        <f>IFERROR(VLOOKUP(C46,'Lista desplegable'!B$1:C$436,2,FALSE),"")</f>
        <v>BENIGNO EDUARDO PAEZ MENESES</v>
      </c>
      <c r="E46" s="7" t="str">
        <f>IFERROR(VLOOKUP(D46,'Lista desplegable'!C$1:D$436,2,FALSE),"")</f>
        <v>CHOFER</v>
      </c>
      <c r="F46" s="19" t="s">
        <v>890</v>
      </c>
      <c r="G46" s="11" t="s">
        <v>903</v>
      </c>
      <c r="H46" s="11" t="s">
        <v>911</v>
      </c>
      <c r="I46" s="11">
        <v>0</v>
      </c>
      <c r="J46" s="11" t="s">
        <v>984</v>
      </c>
      <c r="K46" s="11" t="s">
        <v>918</v>
      </c>
      <c r="L46" s="11" t="s">
        <v>918</v>
      </c>
      <c r="M46" s="11"/>
    </row>
    <row r="47" spans="2:13" ht="13.05" customHeight="1" x14ac:dyDescent="0.25">
      <c r="B47" s="24">
        <v>6</v>
      </c>
      <c r="C47" s="11" t="s">
        <v>826</v>
      </c>
      <c r="D47" s="7" t="str">
        <f>IFERROR(VLOOKUP(C47,'Lista desplegable'!B$1:C$436,2,FALSE),"")</f>
        <v>ROBERTO MARIO VARGAS RODRIGUEZ</v>
      </c>
      <c r="E47" s="7" t="str">
        <f>IFERROR(VLOOKUP(D47,'Lista desplegable'!C$1:D$436,2,FALSE),"")</f>
        <v>MECANICO</v>
      </c>
      <c r="F47" s="19" t="s">
        <v>890</v>
      </c>
      <c r="G47" s="11" t="s">
        <v>903</v>
      </c>
      <c r="H47" s="11" t="s">
        <v>911</v>
      </c>
      <c r="I47" s="11">
        <v>0</v>
      </c>
      <c r="J47" s="11" t="s">
        <v>984</v>
      </c>
      <c r="K47" s="11" t="s">
        <v>918</v>
      </c>
      <c r="L47" s="11" t="s">
        <v>918</v>
      </c>
      <c r="M47" s="11"/>
    </row>
    <row r="48" spans="2:13" ht="13.05" customHeight="1" x14ac:dyDescent="0.25">
      <c r="B48" s="24">
        <v>7</v>
      </c>
      <c r="C48" t="s">
        <v>542</v>
      </c>
      <c r="D48" s="7" t="str">
        <f>IFERROR(VLOOKUP(C48,'Lista desplegable'!B$1:C$436,2,FALSE),"")</f>
        <v>BYAMBATSEREN TSERENDAVAA .</v>
      </c>
      <c r="E48" s="7" t="str">
        <f>IFERROR(VLOOKUP(D48,'Lista desplegable'!C$1:D$436,2,FALSE),"")</f>
        <v>PERFORISTA</v>
      </c>
      <c r="F48" s="19" t="s">
        <v>890</v>
      </c>
      <c r="G48" s="11" t="s">
        <v>903</v>
      </c>
      <c r="H48" s="11" t="s">
        <v>911</v>
      </c>
      <c r="I48" s="11">
        <v>0</v>
      </c>
      <c r="J48" s="11" t="s">
        <v>984</v>
      </c>
      <c r="K48" s="11"/>
      <c r="L48" s="11"/>
      <c r="M48" s="11"/>
    </row>
    <row r="49" spans="2:13" ht="13.05" customHeight="1" x14ac:dyDescent="0.25">
      <c r="B49" s="24">
        <v>8</v>
      </c>
      <c r="C49" s="11"/>
      <c r="D49" s="7" t="str">
        <f>IFERROR(VLOOKUP(C49,'Lista desplegable'!B$1:C$436,2,FALSE),"")</f>
        <v/>
      </c>
      <c r="E49" s="7" t="str">
        <f>IFERROR(VLOOKUP(D49,'Lista desplegable'!C$1:D$436,2,FALSE),"")</f>
        <v/>
      </c>
      <c r="F49" s="19"/>
      <c r="G49" s="11"/>
      <c r="H49" s="11"/>
      <c r="I49" s="11"/>
      <c r="J49" s="11"/>
      <c r="K49" s="11"/>
      <c r="L49" s="11"/>
      <c r="M49" s="11"/>
    </row>
    <row r="50" spans="2:13" ht="13.05" customHeight="1" x14ac:dyDescent="0.25">
      <c r="B50" s="24">
        <v>9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11"/>
      <c r="J50" s="11"/>
      <c r="K50" s="11"/>
      <c r="L50" s="11"/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2:I2"/>
    <mergeCell ref="G3:I3"/>
    <mergeCell ref="C6:M6"/>
    <mergeCell ref="C40:M40"/>
  </mergeCell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A176ECA-0D54-487B-9B1C-762637E67839}">
          <x14:formula1>
            <xm:f>'Lista desplegable'!$L$2:$L$3</xm:f>
          </x14:formula1>
          <xm:sqref>K42:L71 K8:L37</xm:sqref>
        </x14:dataValidation>
        <x14:dataValidation type="list" allowBlank="1" showInputMessage="1" showErrorMessage="1" xr:uid="{6B176D4E-10E3-4DD6-A701-37EDEDCA54B5}">
          <x14:formula1>
            <xm:f>'Lista desplegable'!$H$2:$H$7</xm:f>
          </x14:formula1>
          <xm:sqref>G42:G71 G8:G37</xm:sqref>
        </x14:dataValidation>
        <x14:dataValidation type="list" allowBlank="1" showInputMessage="1" showErrorMessage="1" xr:uid="{A18040BF-8EB3-486C-B1B7-6424E3023E20}">
          <x14:formula1>
            <xm:f>'Lista desplegable'!$J$2:$J$10</xm:f>
          </x14:formula1>
          <xm:sqref>H42:H71 H8:H37</xm:sqref>
        </x14:dataValidation>
        <x14:dataValidation type="list" allowBlank="1" showInputMessage="1" showErrorMessage="1" xr:uid="{7AE12607-258E-473E-93EA-98B7B25EC3CF}">
          <x14:formula1>
            <xm:f>'Lista desplegable'!$F$2:$F$19</xm:f>
          </x14:formula1>
          <xm:sqref>F42:F71 F8:F37</xm:sqref>
        </x14:dataValidation>
        <x14:dataValidation type="list" allowBlank="1" showInputMessage="1" showErrorMessage="1" xr:uid="{37916F02-0ACB-4DC0-A37A-1E5507B84BFC}">
          <x14:formula1>
            <xm:f>'Lista desplegable'!$B$2:$B$436</xm:f>
          </x14:formula1>
          <xm:sqref>C42:C71 C8:C37</xm:sqref>
        </x14:dataValidation>
        <x14:dataValidation type="list" allowBlank="1" showInputMessage="1" showErrorMessage="1" xr:uid="{6AEBA9B0-4F41-4B07-9C6B-ED8A9E7FF5B0}">
          <x14:formula1>
            <xm:f>'Lista desplegable'!$N$2:$N$5</xm:f>
          </x14:formula1>
          <xm:sqref>J42:J71 J8:J37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6568F-D526-4FA5-9D14-5C715D838B8A}">
  <dimension ref="B1:M93"/>
  <sheetViews>
    <sheetView topLeftCell="A7" zoomScale="80" zoomScaleNormal="80" workbookViewId="0">
      <selection activeCell="C23" sqref="C23:L23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0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21.77734375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46289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11" t="s">
        <v>692</v>
      </c>
      <c r="D8" s="7" t="str">
        <f>IFERROR(VLOOKUP(C8,'Lista desplegable'!B$1:C$436,2,FALSE),"")</f>
        <v>JOSE CRISTIAN BASTIAS PEREZ</v>
      </c>
      <c r="E8" s="7" t="str">
        <f>IFERROR(VLOOKUP(D8,'Lista desplegable'!C$1:D$436,2,FALSE),"")</f>
        <v>SUPERVISOR DE OPERACIONES</v>
      </c>
      <c r="F8" s="19" t="s">
        <v>890</v>
      </c>
      <c r="G8" s="11" t="s">
        <v>903</v>
      </c>
      <c r="H8" s="11" t="s">
        <v>911</v>
      </c>
      <c r="I8" s="11">
        <v>0</v>
      </c>
      <c r="J8" s="11" t="s">
        <v>984</v>
      </c>
      <c r="K8" s="11" t="s">
        <v>918</v>
      </c>
      <c r="L8" s="11" t="s">
        <v>918</v>
      </c>
      <c r="M8" s="11"/>
    </row>
    <row r="9" spans="2:13" s="1" customFormat="1" ht="13.05" customHeight="1" x14ac:dyDescent="0.25">
      <c r="B9" s="24">
        <v>2</v>
      </c>
      <c r="C9" s="10" t="s">
        <v>991</v>
      </c>
      <c r="D9" s="7" t="str">
        <f>IFERROR(VLOOKUP(C9,'Lista desplegable'!B$1:C$436,2,FALSE),"")</f>
        <v>JORGE ENRIQUE CEBALLOS JOFRE</v>
      </c>
      <c r="E9" s="7" t="str">
        <f>IFERROR(VLOOKUP(D9,'Lista desplegable'!C$1:D$436,2,FALSE),"")</f>
        <v>PREVENCIONISTA DE RIESGOS</v>
      </c>
      <c r="F9" s="19" t="s">
        <v>890</v>
      </c>
      <c r="G9" s="11" t="s">
        <v>903</v>
      </c>
      <c r="H9" s="11" t="s">
        <v>911</v>
      </c>
      <c r="I9" s="11">
        <v>0</v>
      </c>
      <c r="J9" s="11" t="s">
        <v>984</v>
      </c>
      <c r="K9" s="11" t="s">
        <v>918</v>
      </c>
      <c r="L9" s="11" t="s">
        <v>918</v>
      </c>
      <c r="M9" s="11"/>
    </row>
    <row r="10" spans="2:13" s="1" customFormat="1" ht="13.05" customHeight="1" x14ac:dyDescent="0.25">
      <c r="B10" s="24">
        <v>3</v>
      </c>
      <c r="C10" s="11" t="s">
        <v>769</v>
      </c>
      <c r="D10" s="7" t="str">
        <f>IFERROR(VLOOKUP(C10,'Lista desplegable'!B$1:C$436,2,FALSE),"")</f>
        <v>NATALY ANTONIA SALAS ESCOBAR</v>
      </c>
      <c r="E10" s="7" t="str">
        <f>IFERROR(VLOOKUP(D10,'Lista desplegable'!C$1:D$436,2,FALSE),"")</f>
        <v>ADMINISTRATIVO DE FAENA</v>
      </c>
      <c r="F10" s="19" t="s">
        <v>890</v>
      </c>
      <c r="G10" s="11" t="s">
        <v>903</v>
      </c>
      <c r="H10" s="11" t="s">
        <v>911</v>
      </c>
      <c r="I10" s="11">
        <v>0</v>
      </c>
      <c r="J10" s="11" t="s">
        <v>984</v>
      </c>
      <c r="K10" s="11" t="s">
        <v>918</v>
      </c>
      <c r="L10" s="11" t="s">
        <v>918</v>
      </c>
      <c r="M10" s="11"/>
    </row>
    <row r="11" spans="2:13" s="1" customFormat="1" ht="13.05" customHeight="1" x14ac:dyDescent="0.25">
      <c r="B11" s="24">
        <v>4</v>
      </c>
      <c r="C11" s="11" t="s">
        <v>719</v>
      </c>
      <c r="D11" s="7" t="str">
        <f>IFERROR(VLOOKUP(C11,'Lista desplegable'!B$1:C$436,2,FALSE),"")</f>
        <v>LEONARDO ANDRES MENESES ARREDONDO</v>
      </c>
      <c r="E11" s="7" t="str">
        <f>IFERROR(VLOOKUP(D11,'Lista desplegable'!C$1:D$436,2,FALSE),"")</f>
        <v>SUPERVISOR DE OPERACIONES</v>
      </c>
      <c r="F11" s="19" t="s">
        <v>890</v>
      </c>
      <c r="G11" s="11" t="s">
        <v>903</v>
      </c>
      <c r="H11" s="11" t="s">
        <v>911</v>
      </c>
      <c r="I11" s="11">
        <v>0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11" t="s">
        <v>723</v>
      </c>
      <c r="D12" s="7" t="str">
        <f>IFERROR(VLOOKUP(C12,'Lista desplegable'!B$1:C$436,2,FALSE),"")</f>
        <v>LEONEL GUILLERMO CAMPUSANO DUBO</v>
      </c>
      <c r="E12" s="7" t="str">
        <f>IFERROR(VLOOKUP(D12,'Lista desplegable'!C$1:D$436,2,FALSE),"")</f>
        <v>AYUDANTE DE PERFORISTA</v>
      </c>
      <c r="F12" s="19" t="s">
        <v>890</v>
      </c>
      <c r="G12" s="11" t="s">
        <v>903</v>
      </c>
      <c r="H12" s="11" t="s">
        <v>911</v>
      </c>
      <c r="I12" s="11">
        <v>0</v>
      </c>
      <c r="J12" s="11" t="s">
        <v>984</v>
      </c>
      <c r="K12" s="11" t="s">
        <v>918</v>
      </c>
      <c r="L12" s="11" t="s">
        <v>918</v>
      </c>
      <c r="M12" s="11"/>
    </row>
    <row r="13" spans="2:13" s="1" customFormat="1" ht="13.05" customHeight="1" x14ac:dyDescent="0.25">
      <c r="B13" s="24">
        <v>6</v>
      </c>
      <c r="C13" s="11" t="s">
        <v>876</v>
      </c>
      <c r="D13" s="7" t="str">
        <f>IFERROR(VLOOKUP(C13,'Lista desplegable'!B$1:C$436,2,FALSE),"")</f>
        <v>VICTOR MANUEL MONDACA VEGA</v>
      </c>
      <c r="E13" s="7" t="str">
        <f>IFERROR(VLOOKUP(D13,'Lista desplegable'!C$1:D$436,2,FALSE),"")</f>
        <v>AYUDANTE DE PERFORISTA</v>
      </c>
      <c r="F13" s="19" t="s">
        <v>890</v>
      </c>
      <c r="G13" s="11" t="s">
        <v>903</v>
      </c>
      <c r="H13" s="11" t="s">
        <v>911</v>
      </c>
      <c r="I13" s="11">
        <v>0</v>
      </c>
      <c r="J13" s="11" t="s">
        <v>984</v>
      </c>
      <c r="K13" s="11" t="s">
        <v>918</v>
      </c>
      <c r="L13" s="11" t="s">
        <v>918</v>
      </c>
      <c r="M13" s="11"/>
    </row>
    <row r="14" spans="2:13" s="1" customFormat="1" ht="13.05" customHeight="1" x14ac:dyDescent="0.25">
      <c r="B14" s="24">
        <v>7</v>
      </c>
      <c r="C14" s="11" t="s">
        <v>686</v>
      </c>
      <c r="D14" s="7" t="str">
        <f>IFERROR(VLOOKUP(C14,'Lista desplegable'!B$1:C$436,2,FALSE),"")</f>
        <v>JORGE ARMANDO TINOCO OSPINO</v>
      </c>
      <c r="E14" s="7" t="str">
        <f>IFERROR(VLOOKUP(D14,'Lista desplegable'!C$1:D$436,2,FALSE),"")</f>
        <v>CHOFER</v>
      </c>
      <c r="F14" s="19" t="s">
        <v>890</v>
      </c>
      <c r="G14" s="11" t="s">
        <v>903</v>
      </c>
      <c r="H14" s="11" t="s">
        <v>911</v>
      </c>
      <c r="I14" s="11">
        <v>0</v>
      </c>
      <c r="J14" s="11" t="s">
        <v>984</v>
      </c>
      <c r="K14" s="11" t="s">
        <v>918</v>
      </c>
      <c r="L14" s="11" t="s">
        <v>918</v>
      </c>
      <c r="M14" s="11"/>
    </row>
    <row r="15" spans="2:13" s="1" customFormat="1" ht="13.05" customHeight="1" x14ac:dyDescent="0.25">
      <c r="B15" s="24">
        <v>8</v>
      </c>
      <c r="C15" s="11" t="s">
        <v>534</v>
      </c>
      <c r="D15" s="7" t="str">
        <f>IFERROR(VLOOKUP(C15,'Lista desplegable'!B$1:C$436,2,FALSE),"")</f>
        <v>BENJAMIN JOSEFATT ESPINOZA URIBE</v>
      </c>
      <c r="E15" s="7" t="str">
        <f>IFERROR(VLOOKUP(D15,'Lista desplegable'!C$1:D$436,2,FALSE),"")</f>
        <v>CHOFER</v>
      </c>
      <c r="F15" s="19" t="s">
        <v>890</v>
      </c>
      <c r="G15" s="11" t="s">
        <v>903</v>
      </c>
      <c r="H15" s="11" t="s">
        <v>911</v>
      </c>
      <c r="I15" s="11">
        <v>0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11" t="s">
        <v>879</v>
      </c>
      <c r="D16" s="7" t="str">
        <f>IFERROR(VLOOKUP(C16,'Lista desplegable'!B$1:C$436,2,FALSE),"")</f>
        <v>WALTER DEL CARMEN PIZARRO ALVAREZ</v>
      </c>
      <c r="E16" s="7" t="str">
        <f>IFERROR(VLOOKUP(D16,'Lista desplegable'!C$1:D$436,2,FALSE),"")</f>
        <v>CHOFER</v>
      </c>
      <c r="F16" s="19" t="s">
        <v>890</v>
      </c>
      <c r="G16" s="11" t="s">
        <v>903</v>
      </c>
      <c r="H16" s="11" t="s">
        <v>911</v>
      </c>
      <c r="I16" s="11">
        <v>0</v>
      </c>
      <c r="J16" s="11" t="s">
        <v>984</v>
      </c>
      <c r="K16" s="11" t="s">
        <v>918</v>
      </c>
      <c r="L16" s="11" t="s">
        <v>918</v>
      </c>
      <c r="M16" s="11"/>
    </row>
    <row r="17" spans="2:13" s="1" customFormat="1" ht="13.05" customHeight="1" x14ac:dyDescent="0.25">
      <c r="B17" s="24">
        <v>10</v>
      </c>
      <c r="C17" s="11" t="s">
        <v>864</v>
      </c>
      <c r="D17" s="7" t="str">
        <f>IFERROR(VLOOKUP(C17,'Lista desplegable'!B$1:C$436,2,FALSE),"")</f>
        <v>TUMENNASAN SANSRAI .</v>
      </c>
      <c r="E17" s="7" t="str">
        <f>IFERROR(VLOOKUP(D17,'Lista desplegable'!C$1:D$436,2,FALSE),"")</f>
        <v>PERFORISTA</v>
      </c>
      <c r="F17" s="19" t="s">
        <v>890</v>
      </c>
      <c r="G17" s="11" t="s">
        <v>903</v>
      </c>
      <c r="H17" s="11" t="s">
        <v>911</v>
      </c>
      <c r="I17" s="11">
        <v>0</v>
      </c>
      <c r="J17" s="11" t="s">
        <v>984</v>
      </c>
      <c r="K17" s="11"/>
      <c r="L17" s="11"/>
      <c r="M17" s="11"/>
    </row>
    <row r="18" spans="2:13" s="1" customFormat="1" ht="13.05" customHeight="1" x14ac:dyDescent="0.25">
      <c r="B18" s="24">
        <v>11</v>
      </c>
      <c r="C18" s="10" t="s">
        <v>689</v>
      </c>
      <c r="D18" s="7" t="str">
        <f>IFERROR(VLOOKUP(C18,'Lista desplegable'!B$1:C$436,2,FALSE),"")</f>
        <v>JORGE ERIKSON DURAND RUIZ</v>
      </c>
      <c r="E18" s="7" t="str">
        <f>IFERROR(VLOOKUP(D18,'Lista desplegable'!C$1:D$436,2,FALSE),"")</f>
        <v>MECANICO</v>
      </c>
      <c r="F18" s="19" t="s">
        <v>890</v>
      </c>
      <c r="G18" s="11" t="s">
        <v>903</v>
      </c>
      <c r="H18" s="11" t="s">
        <v>911</v>
      </c>
      <c r="I18" s="11">
        <v>0</v>
      </c>
      <c r="J18" s="11" t="s">
        <v>984</v>
      </c>
      <c r="K18" s="11" t="s">
        <v>918</v>
      </c>
      <c r="L18" s="11" t="s">
        <v>918</v>
      </c>
      <c r="M18" s="11"/>
    </row>
    <row r="19" spans="2:13" s="1" customFormat="1" ht="13.05" customHeight="1" x14ac:dyDescent="0.25">
      <c r="B19" s="24">
        <v>12</v>
      </c>
      <c r="C19" s="11" t="s">
        <v>881</v>
      </c>
      <c r="D19" s="7" t="str">
        <f>IFERROR(VLOOKUP(C19,'Lista desplegable'!B$1:C$436,2,FALSE),"")</f>
        <v>WILLIAM HERNAN ALVAREZ TRUJILLO</v>
      </c>
      <c r="E19" s="7" t="str">
        <f>IFERROR(VLOOKUP(D19,'Lista desplegable'!C$1:D$436,2,FALSE),"")</f>
        <v>SOLDADOR</v>
      </c>
      <c r="F19" s="19" t="s">
        <v>890</v>
      </c>
      <c r="G19" s="11" t="s">
        <v>903</v>
      </c>
      <c r="H19" s="11" t="s">
        <v>911</v>
      </c>
      <c r="I19" s="11">
        <v>0</v>
      </c>
      <c r="J19" s="11" t="s">
        <v>984</v>
      </c>
      <c r="K19" s="11" t="s">
        <v>918</v>
      </c>
      <c r="L19" s="11" t="s">
        <v>918</v>
      </c>
      <c r="M19" s="11"/>
    </row>
    <row r="20" spans="2:13" s="1" customFormat="1" ht="13.05" customHeight="1" x14ac:dyDescent="0.25">
      <c r="B20" s="24">
        <v>13</v>
      </c>
      <c r="C20" s="11" t="s">
        <v>549</v>
      </c>
      <c r="D20" s="7" t="str">
        <f>IFERROR(VLOOKUP(C20,'Lista desplegable'!B$1:C$436,2,FALSE),"")</f>
        <v>CARLOS EDUARDO RODRIGUEZ HERNANDEZ</v>
      </c>
      <c r="E20" s="7" t="str">
        <f>IFERROR(VLOOKUP(D20,'Lista desplegable'!C$1:D$436,2,FALSE),"")</f>
        <v>ADMINISTRADOR DE CONTRATO</v>
      </c>
      <c r="F20" s="19" t="s">
        <v>890</v>
      </c>
      <c r="G20" s="11" t="s">
        <v>903</v>
      </c>
      <c r="H20" s="11" t="s">
        <v>911</v>
      </c>
      <c r="I20" s="11">
        <v>0</v>
      </c>
      <c r="J20" s="11" t="s">
        <v>984</v>
      </c>
      <c r="K20" s="11" t="s">
        <v>918</v>
      </c>
      <c r="L20" s="11" t="s">
        <v>918</v>
      </c>
      <c r="M20" s="11"/>
    </row>
    <row r="21" spans="2:13" s="1" customFormat="1" ht="13.05" customHeight="1" x14ac:dyDescent="0.25">
      <c r="B21" s="24">
        <v>14</v>
      </c>
      <c r="C21" s="11" t="s">
        <v>597</v>
      </c>
      <c r="D21" s="7" t="str">
        <f>IFERROR(VLOOKUP(C21,'Lista desplegable'!B$1:C$436,2,FALSE),"")</f>
        <v>DIEGO  FELIPE GONZALEZ CASTILLO</v>
      </c>
      <c r="E21" s="7" t="str">
        <f>IFERROR(VLOOKUP(D21,'Lista desplegable'!C$1:D$436,2,FALSE),"")</f>
        <v>LIDER DE PREVENCIÓN</v>
      </c>
      <c r="F21" s="19" t="s">
        <v>890</v>
      </c>
      <c r="G21" s="11" t="s">
        <v>903</v>
      </c>
      <c r="H21" s="11" t="s">
        <v>911</v>
      </c>
      <c r="I21" s="11">
        <v>0</v>
      </c>
      <c r="J21" s="11" t="s">
        <v>984</v>
      </c>
      <c r="K21" s="11" t="s">
        <v>919</v>
      </c>
      <c r="L21" s="11" t="s">
        <v>919</v>
      </c>
      <c r="M21" s="11"/>
    </row>
    <row r="22" spans="2:13" s="1" customFormat="1" ht="13.05" customHeight="1" x14ac:dyDescent="0.25">
      <c r="B22" s="24">
        <v>15</v>
      </c>
      <c r="C22" s="10" t="s">
        <v>648</v>
      </c>
      <c r="D22" s="7" t="str">
        <f>IFERROR(VLOOKUP(C22,'Lista desplegable'!B$1:C$436,2,FALSE),"")</f>
        <v>HANS YERKO MARQUEZ MUÑOZ</v>
      </c>
      <c r="E22" s="7" t="str">
        <f>IFERROR(VLOOKUP(D22,'Lista desplegable'!C$1:D$436,2,FALSE),"")</f>
        <v>SUPERINTENDENTE DE MANTENCION</v>
      </c>
      <c r="F22" s="19" t="s">
        <v>890</v>
      </c>
      <c r="G22" s="11" t="s">
        <v>903</v>
      </c>
      <c r="H22" s="11" t="s">
        <v>911</v>
      </c>
      <c r="I22" s="11">
        <v>0</v>
      </c>
      <c r="J22" s="11" t="s">
        <v>984</v>
      </c>
      <c r="K22" s="11" t="s">
        <v>919</v>
      </c>
      <c r="L22" s="11" t="s">
        <v>919</v>
      </c>
      <c r="M22" s="11"/>
    </row>
    <row r="23" spans="2:13" s="1" customFormat="1" ht="13.05" customHeight="1" x14ac:dyDescent="0.25">
      <c r="B23" s="24">
        <v>16</v>
      </c>
      <c r="C23" s="10" t="s">
        <v>792</v>
      </c>
      <c r="D23" s="7" t="str">
        <f>IFERROR(VLOOKUP(C23,'Lista desplegable'!B$1:C$436,2,FALSE),"")</f>
        <v>PAOLO ALEJANDRO MANRIQUEZ SILVA</v>
      </c>
      <c r="E23" s="7" t="str">
        <f>IFERROR(VLOOKUP(D23,'Lista desplegable'!C$1:D$436,2,FALSE),"")</f>
        <v>BODEGUERO</v>
      </c>
      <c r="F23" s="19" t="s">
        <v>890</v>
      </c>
      <c r="G23" s="11" t="s">
        <v>903</v>
      </c>
      <c r="H23" s="11" t="s">
        <v>911</v>
      </c>
      <c r="I23" s="11">
        <v>0</v>
      </c>
      <c r="J23" s="11" t="s">
        <v>984</v>
      </c>
      <c r="K23" s="11" t="s">
        <v>918</v>
      </c>
      <c r="L23" s="11" t="s">
        <v>918</v>
      </c>
      <c r="M23" s="11"/>
    </row>
    <row r="24" spans="2:13" s="1" customFormat="1" ht="13.05" customHeight="1" x14ac:dyDescent="0.25">
      <c r="B24" s="24">
        <v>17</v>
      </c>
      <c r="C24" s="11"/>
      <c r="D24" s="7" t="str">
        <f>IFERROR(VLOOKUP(C24,'Lista desplegable'!B$1:C$436,2,FALSE),"")</f>
        <v/>
      </c>
      <c r="E24" s="7" t="str">
        <f>IFERROR(VLOOKUP(D24,'Lista desplegable'!C$1:D$436,2,FALSE),"")</f>
        <v/>
      </c>
      <c r="F24" s="19"/>
      <c r="G24" s="11"/>
      <c r="H24" s="11"/>
      <c r="I24" s="11"/>
      <c r="J24" s="11"/>
      <c r="K24" s="11"/>
      <c r="L24" s="11"/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05" customHeight="1" x14ac:dyDescent="0.25">
      <c r="C38"/>
    </row>
    <row r="39" spans="2:13" ht="13.05" customHeight="1" x14ac:dyDescent="0.25">
      <c r="C39"/>
    </row>
    <row r="40" spans="2:13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3" ht="13.05" customHeight="1" x14ac:dyDescent="0.25">
      <c r="B42" s="24">
        <v>1</v>
      </c>
      <c r="C42" s="11" t="s">
        <v>865</v>
      </c>
      <c r="D42" s="7" t="str">
        <f>IFERROR(VLOOKUP(C42,'Lista desplegable'!B$1:C$436,2,FALSE),"")</f>
        <v>ULINSON DIAZ CORTES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>
        <v>0</v>
      </c>
      <c r="J42" s="11" t="s">
        <v>984</v>
      </c>
      <c r="K42" s="11" t="s">
        <v>918</v>
      </c>
      <c r="L42" s="11" t="s">
        <v>918</v>
      </c>
      <c r="M42" s="11"/>
    </row>
    <row r="43" spans="2:13" ht="13.05" customHeight="1" x14ac:dyDescent="0.25">
      <c r="B43" s="24">
        <v>2</v>
      </c>
      <c r="C43" s="11" t="s">
        <v>829</v>
      </c>
      <c r="D43" s="7" t="str">
        <f>IFERROR(VLOOKUP(C43,'Lista desplegable'!B$1:C$436,2,FALSE),"")</f>
        <v>RODRIGO ALEJANDRO FLORES ZEPEDA</v>
      </c>
      <c r="E43" s="7" t="str">
        <f>IFERROR(VLOOKUP(D43,'Lista desplegable'!C$1:D$436,2,FALSE),"")</f>
        <v>AYUDANTE DE PERFORISTA</v>
      </c>
      <c r="F43" s="19" t="s">
        <v>890</v>
      </c>
      <c r="G43" s="11" t="s">
        <v>903</v>
      </c>
      <c r="H43" s="11" t="s">
        <v>911</v>
      </c>
      <c r="I43" s="11">
        <v>0</v>
      </c>
      <c r="J43" s="11" t="s">
        <v>984</v>
      </c>
      <c r="K43" s="11" t="s">
        <v>918</v>
      </c>
      <c r="L43" s="11" t="s">
        <v>918</v>
      </c>
      <c r="M43" s="11"/>
    </row>
    <row r="44" spans="2:13" ht="13.05" customHeight="1" x14ac:dyDescent="0.25">
      <c r="B44" s="24">
        <v>3</v>
      </c>
      <c r="C44" s="11" t="s">
        <v>618</v>
      </c>
      <c r="D44" s="7" t="str">
        <f>IFERROR(VLOOKUP(C44,'Lista desplegable'!B$1:C$436,2,FALSE),"")</f>
        <v>FABIAN PATRICIO CABRERA GODOY</v>
      </c>
      <c r="E44" s="7" t="str">
        <f>IFERROR(VLOOKUP(D44,'Lista desplegable'!C$1:D$436,2,FALSE),"")</f>
        <v>AYUDANTE DE PERFORISTA</v>
      </c>
      <c r="F44" s="19" t="s">
        <v>890</v>
      </c>
      <c r="G44" s="11" t="s">
        <v>903</v>
      </c>
      <c r="H44" s="11" t="s">
        <v>911</v>
      </c>
      <c r="I44" s="11">
        <v>0</v>
      </c>
      <c r="J44" s="11" t="s">
        <v>984</v>
      </c>
      <c r="K44" s="11" t="s">
        <v>918</v>
      </c>
      <c r="L44" s="11" t="s">
        <v>918</v>
      </c>
      <c r="M44" s="11"/>
    </row>
    <row r="45" spans="2:13" ht="13.05" customHeight="1" x14ac:dyDescent="0.25">
      <c r="B45" s="24">
        <v>4</v>
      </c>
      <c r="C45" s="11" t="s">
        <v>616</v>
      </c>
      <c r="D45" s="7" t="str">
        <f>IFERROR(VLOOKUP(C45,'Lista desplegable'!B$1:C$436,2,FALSE),"")</f>
        <v>ESTEFANIA CONSTANZA NAETER QUIROZ</v>
      </c>
      <c r="E45" s="7" t="str">
        <f>IFERROR(VLOOKUP(D45,'Lista desplegable'!C$1:D$436,2,FALSE),"")</f>
        <v>CHOFER</v>
      </c>
      <c r="F45" s="19" t="s">
        <v>890</v>
      </c>
      <c r="G45" s="11" t="s">
        <v>903</v>
      </c>
      <c r="H45" s="11" t="s">
        <v>911</v>
      </c>
      <c r="I45" s="11">
        <v>0</v>
      </c>
      <c r="J45" s="11" t="s">
        <v>984</v>
      </c>
      <c r="K45" s="11" t="s">
        <v>918</v>
      </c>
      <c r="L45" s="11" t="s">
        <v>918</v>
      </c>
      <c r="M45" s="11"/>
    </row>
    <row r="46" spans="2:13" ht="13.05" customHeight="1" x14ac:dyDescent="0.25">
      <c r="B46" s="24">
        <v>5</v>
      </c>
      <c r="C46" s="11" t="s">
        <v>990</v>
      </c>
      <c r="D46" s="7" t="str">
        <f>IFERROR(VLOOKUP(C46,'Lista desplegable'!B$1:C$436,2,FALSE),"")</f>
        <v>BENIGNO EDUARDO PAEZ MENESES</v>
      </c>
      <c r="E46" s="7" t="str">
        <f>IFERROR(VLOOKUP(D46,'Lista desplegable'!C$1:D$436,2,FALSE),"")</f>
        <v>CHOFER</v>
      </c>
      <c r="F46" s="19" t="s">
        <v>890</v>
      </c>
      <c r="G46" s="11" t="s">
        <v>903</v>
      </c>
      <c r="H46" s="11" t="s">
        <v>911</v>
      </c>
      <c r="I46" s="11">
        <v>0</v>
      </c>
      <c r="J46" s="11" t="s">
        <v>984</v>
      </c>
      <c r="K46" s="11" t="s">
        <v>918</v>
      </c>
      <c r="L46" s="11" t="s">
        <v>918</v>
      </c>
      <c r="M46" s="11" t="s">
        <v>1013</v>
      </c>
    </row>
    <row r="47" spans="2:13" ht="13.05" customHeight="1" x14ac:dyDescent="0.25">
      <c r="B47" s="24">
        <v>6</v>
      </c>
      <c r="C47" s="11" t="s">
        <v>826</v>
      </c>
      <c r="D47" s="7" t="str">
        <f>IFERROR(VLOOKUP(C47,'Lista desplegable'!B$1:C$436,2,FALSE),"")</f>
        <v>ROBERTO MARIO VARGAS RODRIGUEZ</v>
      </c>
      <c r="E47" s="7" t="str">
        <f>IFERROR(VLOOKUP(D47,'Lista desplegable'!C$1:D$436,2,FALSE),"")</f>
        <v>MECANICO</v>
      </c>
      <c r="F47" s="19" t="s">
        <v>890</v>
      </c>
      <c r="G47" s="11" t="s">
        <v>903</v>
      </c>
      <c r="H47" s="11" t="s">
        <v>911</v>
      </c>
      <c r="I47" s="11">
        <v>0</v>
      </c>
      <c r="J47" s="11" t="s">
        <v>984</v>
      </c>
      <c r="K47" s="11" t="s">
        <v>918</v>
      </c>
      <c r="L47" s="11" t="s">
        <v>918</v>
      </c>
      <c r="M47" s="11"/>
    </row>
    <row r="48" spans="2:13" ht="13.05" customHeight="1" x14ac:dyDescent="0.25">
      <c r="B48" s="24">
        <v>7</v>
      </c>
      <c r="C48" t="s">
        <v>542</v>
      </c>
      <c r="D48" s="7" t="str">
        <f>IFERROR(VLOOKUP(C48,'Lista desplegable'!B$1:C$436,2,FALSE),"")</f>
        <v>BYAMBATSEREN TSERENDAVAA .</v>
      </c>
      <c r="E48" s="7" t="str">
        <f>IFERROR(VLOOKUP(D48,'Lista desplegable'!C$1:D$436,2,FALSE),"")</f>
        <v>PERFORISTA</v>
      </c>
      <c r="F48" s="19" t="s">
        <v>890</v>
      </c>
      <c r="G48" s="11" t="s">
        <v>903</v>
      </c>
      <c r="H48" s="11" t="s">
        <v>911</v>
      </c>
      <c r="I48" s="11">
        <v>0</v>
      </c>
      <c r="J48" s="11" t="s">
        <v>984</v>
      </c>
      <c r="K48" s="11"/>
      <c r="L48" s="11"/>
      <c r="M48" s="11"/>
    </row>
    <row r="49" spans="2:13" ht="13.05" customHeight="1" x14ac:dyDescent="0.25">
      <c r="B49" s="24">
        <v>8</v>
      </c>
      <c r="C49" s="11"/>
      <c r="D49" s="7" t="str">
        <f>IFERROR(VLOOKUP(C49,'Lista desplegable'!B$1:C$436,2,FALSE),"")</f>
        <v/>
      </c>
      <c r="E49" s="7" t="str">
        <f>IFERROR(VLOOKUP(D49,'Lista desplegable'!C$1:D$436,2,FALSE),"")</f>
        <v/>
      </c>
      <c r="F49" s="19"/>
      <c r="G49" s="11"/>
      <c r="H49" s="11"/>
      <c r="I49" s="11"/>
      <c r="J49" s="11"/>
      <c r="K49" s="11"/>
      <c r="L49" s="11"/>
      <c r="M49" s="11"/>
    </row>
    <row r="50" spans="2:13" ht="13.05" customHeight="1" x14ac:dyDescent="0.25">
      <c r="B50" s="24">
        <v>9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11"/>
      <c r="J50" s="11"/>
      <c r="K50" s="11"/>
      <c r="L50" s="11"/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2:I2"/>
    <mergeCell ref="G3:I3"/>
    <mergeCell ref="C6:M6"/>
    <mergeCell ref="C40:M40"/>
  </mergeCell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CBE4E9B-00F4-47CB-8A55-CD64CE967628}">
          <x14:formula1>
            <xm:f>'Lista desplegable'!$N$2:$N$5</xm:f>
          </x14:formula1>
          <xm:sqref>J42:J71 J8:J37</xm:sqref>
        </x14:dataValidation>
        <x14:dataValidation type="list" allowBlank="1" showInputMessage="1" showErrorMessage="1" xr:uid="{4C63B44B-FD4F-46DF-BCEB-19C1C189E6A3}">
          <x14:formula1>
            <xm:f>'Lista desplegable'!$B$2:$B$436</xm:f>
          </x14:formula1>
          <xm:sqref>C42:C71 C8:C37</xm:sqref>
        </x14:dataValidation>
        <x14:dataValidation type="list" allowBlank="1" showInputMessage="1" showErrorMessage="1" xr:uid="{3B0604A9-E79A-4FEE-AB2C-D09C326771A7}">
          <x14:formula1>
            <xm:f>'Lista desplegable'!$F$2:$F$19</xm:f>
          </x14:formula1>
          <xm:sqref>F42:F71 F8:F37</xm:sqref>
        </x14:dataValidation>
        <x14:dataValidation type="list" allowBlank="1" showInputMessage="1" showErrorMessage="1" xr:uid="{31334BFE-20CF-4C5C-91E9-6B1ABB369C0F}">
          <x14:formula1>
            <xm:f>'Lista desplegable'!$J$2:$J$10</xm:f>
          </x14:formula1>
          <xm:sqref>H42:H71 H8:H37</xm:sqref>
        </x14:dataValidation>
        <x14:dataValidation type="list" allowBlank="1" showInputMessage="1" showErrorMessage="1" xr:uid="{BC42E588-7A78-4D54-BA5C-22C76D674D10}">
          <x14:formula1>
            <xm:f>'Lista desplegable'!$H$2:$H$7</xm:f>
          </x14:formula1>
          <xm:sqref>G42:G71 G8:G37</xm:sqref>
        </x14:dataValidation>
        <x14:dataValidation type="list" allowBlank="1" showInputMessage="1" showErrorMessage="1" xr:uid="{D9770A5D-28DF-431D-9B7E-E68D6AB0508B}">
          <x14:formula1>
            <xm:f>'Lista desplegable'!$L$2:$L$3</xm:f>
          </x14:formula1>
          <xm:sqref>K42:L71 K8:L37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1EDF0-F77F-461D-851F-A6659F47F721}">
  <dimension ref="B1:M93"/>
  <sheetViews>
    <sheetView topLeftCell="A4" zoomScale="80" zoomScaleNormal="80" workbookViewId="0">
      <selection activeCell="C21" sqref="C21:L21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0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21.77734375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46290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11" t="s">
        <v>692</v>
      </c>
      <c r="D8" s="7" t="str">
        <f>IFERROR(VLOOKUP(C8,'Lista desplegable'!B$1:C$436,2,FALSE),"")</f>
        <v>JOSE CRISTIAN BASTIAS PEREZ</v>
      </c>
      <c r="E8" s="7" t="str">
        <f>IFERROR(VLOOKUP(D8,'Lista desplegable'!C$1:D$436,2,FALSE),"")</f>
        <v>SUPERVISOR DE OPERACIONES</v>
      </c>
      <c r="F8" s="19" t="s">
        <v>890</v>
      </c>
      <c r="G8" s="11" t="s">
        <v>903</v>
      </c>
      <c r="H8" s="11" t="s">
        <v>911</v>
      </c>
      <c r="I8" s="11">
        <v>0</v>
      </c>
      <c r="J8" s="11" t="s">
        <v>984</v>
      </c>
      <c r="K8" s="11" t="s">
        <v>918</v>
      </c>
      <c r="L8" s="11" t="s">
        <v>918</v>
      </c>
      <c r="M8" s="11"/>
    </row>
    <row r="9" spans="2:13" s="1" customFormat="1" ht="13.05" customHeight="1" x14ac:dyDescent="0.25">
      <c r="B9" s="24">
        <v>2</v>
      </c>
      <c r="C9" s="10" t="s">
        <v>991</v>
      </c>
      <c r="D9" s="7" t="str">
        <f>IFERROR(VLOOKUP(C9,'Lista desplegable'!B$1:C$436,2,FALSE),"")</f>
        <v>JORGE ENRIQUE CEBALLOS JOFRE</v>
      </c>
      <c r="E9" s="7" t="str">
        <f>IFERROR(VLOOKUP(D9,'Lista desplegable'!C$1:D$436,2,FALSE),"")</f>
        <v>PREVENCIONISTA DE RIESGOS</v>
      </c>
      <c r="F9" s="19" t="s">
        <v>890</v>
      </c>
      <c r="G9" s="11" t="s">
        <v>903</v>
      </c>
      <c r="H9" s="11" t="s">
        <v>911</v>
      </c>
      <c r="I9" s="11">
        <v>0</v>
      </c>
      <c r="J9" s="11" t="s">
        <v>984</v>
      </c>
      <c r="K9" s="11" t="s">
        <v>918</v>
      </c>
      <c r="L9" s="11" t="s">
        <v>918</v>
      </c>
      <c r="M9" s="11"/>
    </row>
    <row r="10" spans="2:13" s="1" customFormat="1" ht="13.05" customHeight="1" x14ac:dyDescent="0.25">
      <c r="B10" s="24">
        <v>3</v>
      </c>
      <c r="C10" s="11" t="s">
        <v>769</v>
      </c>
      <c r="D10" s="7" t="str">
        <f>IFERROR(VLOOKUP(C10,'Lista desplegable'!B$1:C$436,2,FALSE),"")</f>
        <v>NATALY ANTONIA SALAS ESCOBAR</v>
      </c>
      <c r="E10" s="7" t="str">
        <f>IFERROR(VLOOKUP(D10,'Lista desplegable'!C$1:D$436,2,FALSE),"")</f>
        <v>ADMINISTRATIVO DE FAENA</v>
      </c>
      <c r="F10" s="19" t="s">
        <v>890</v>
      </c>
      <c r="G10" s="11" t="s">
        <v>903</v>
      </c>
      <c r="H10" s="11" t="s">
        <v>911</v>
      </c>
      <c r="I10" s="11">
        <v>0</v>
      </c>
      <c r="J10" s="11" t="s">
        <v>984</v>
      </c>
      <c r="K10" s="11" t="s">
        <v>918</v>
      </c>
      <c r="L10" s="11" t="s">
        <v>918</v>
      </c>
      <c r="M10" s="11"/>
    </row>
    <row r="11" spans="2:13" s="1" customFormat="1" ht="13.05" customHeight="1" x14ac:dyDescent="0.25">
      <c r="B11" s="24">
        <v>4</v>
      </c>
      <c r="C11" s="11" t="s">
        <v>719</v>
      </c>
      <c r="D11" s="7" t="str">
        <f>IFERROR(VLOOKUP(C11,'Lista desplegable'!B$1:C$436,2,FALSE),"")</f>
        <v>LEONARDO ANDRES MENESES ARREDONDO</v>
      </c>
      <c r="E11" s="7" t="str">
        <f>IFERROR(VLOOKUP(D11,'Lista desplegable'!C$1:D$436,2,FALSE),"")</f>
        <v>SUPERVISOR DE OPERACIONES</v>
      </c>
      <c r="F11" s="19" t="s">
        <v>890</v>
      </c>
      <c r="G11" s="11" t="s">
        <v>903</v>
      </c>
      <c r="H11" s="11" t="s">
        <v>911</v>
      </c>
      <c r="I11" s="11">
        <v>0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11" t="s">
        <v>723</v>
      </c>
      <c r="D12" s="7" t="str">
        <f>IFERROR(VLOOKUP(C12,'Lista desplegable'!B$1:C$436,2,FALSE),"")</f>
        <v>LEONEL GUILLERMO CAMPUSANO DUBO</v>
      </c>
      <c r="E12" s="7" t="str">
        <f>IFERROR(VLOOKUP(D12,'Lista desplegable'!C$1:D$436,2,FALSE),"")</f>
        <v>AYUDANTE DE PERFORISTA</v>
      </c>
      <c r="F12" s="19" t="s">
        <v>890</v>
      </c>
      <c r="G12" s="11" t="s">
        <v>903</v>
      </c>
      <c r="H12" s="11" t="s">
        <v>911</v>
      </c>
      <c r="I12" s="11">
        <v>0</v>
      </c>
      <c r="J12" s="11" t="s">
        <v>984</v>
      </c>
      <c r="K12" s="11" t="s">
        <v>918</v>
      </c>
      <c r="L12" s="11" t="s">
        <v>918</v>
      </c>
      <c r="M12" s="11"/>
    </row>
    <row r="13" spans="2:13" s="1" customFormat="1" ht="13.05" customHeight="1" x14ac:dyDescent="0.25">
      <c r="B13" s="24">
        <v>6</v>
      </c>
      <c r="C13" s="11" t="s">
        <v>876</v>
      </c>
      <c r="D13" s="7" t="str">
        <f>IFERROR(VLOOKUP(C13,'Lista desplegable'!B$1:C$436,2,FALSE),"")</f>
        <v>VICTOR MANUEL MONDACA VEGA</v>
      </c>
      <c r="E13" s="7" t="str">
        <f>IFERROR(VLOOKUP(D13,'Lista desplegable'!C$1:D$436,2,FALSE),"")</f>
        <v>AYUDANTE DE PERFORISTA</v>
      </c>
      <c r="F13" s="19" t="s">
        <v>890</v>
      </c>
      <c r="G13" s="11" t="s">
        <v>903</v>
      </c>
      <c r="H13" s="11" t="s">
        <v>911</v>
      </c>
      <c r="I13" s="11">
        <v>0</v>
      </c>
      <c r="J13" s="11" t="s">
        <v>984</v>
      </c>
      <c r="K13" s="11" t="s">
        <v>918</v>
      </c>
      <c r="L13" s="11" t="s">
        <v>918</v>
      </c>
      <c r="M13" s="11" t="s">
        <v>1013</v>
      </c>
    </row>
    <row r="14" spans="2:13" s="1" customFormat="1" ht="13.05" customHeight="1" x14ac:dyDescent="0.25">
      <c r="B14" s="24">
        <v>7</v>
      </c>
      <c r="C14" s="11" t="s">
        <v>686</v>
      </c>
      <c r="D14" s="7" t="str">
        <f>IFERROR(VLOOKUP(C14,'Lista desplegable'!B$1:C$436,2,FALSE),"")</f>
        <v>JORGE ARMANDO TINOCO OSPINO</v>
      </c>
      <c r="E14" s="7" t="str">
        <f>IFERROR(VLOOKUP(D14,'Lista desplegable'!C$1:D$436,2,FALSE),"")</f>
        <v>CHOFER</v>
      </c>
      <c r="F14" s="19" t="s">
        <v>890</v>
      </c>
      <c r="G14" s="11" t="s">
        <v>903</v>
      </c>
      <c r="H14" s="11" t="s">
        <v>911</v>
      </c>
      <c r="I14" s="11">
        <v>0</v>
      </c>
      <c r="J14" s="11" t="s">
        <v>984</v>
      </c>
      <c r="K14" s="11" t="s">
        <v>918</v>
      </c>
      <c r="L14" s="11" t="s">
        <v>918</v>
      </c>
      <c r="M14" s="11"/>
    </row>
    <row r="15" spans="2:13" s="1" customFormat="1" ht="13.05" customHeight="1" x14ac:dyDescent="0.25">
      <c r="B15" s="24">
        <v>8</v>
      </c>
      <c r="C15" s="11" t="s">
        <v>534</v>
      </c>
      <c r="D15" s="7" t="str">
        <f>IFERROR(VLOOKUP(C15,'Lista desplegable'!B$1:C$436,2,FALSE),"")</f>
        <v>BENJAMIN JOSEFATT ESPINOZA URIBE</v>
      </c>
      <c r="E15" s="7" t="str">
        <f>IFERROR(VLOOKUP(D15,'Lista desplegable'!C$1:D$436,2,FALSE),"")</f>
        <v>CHOFER</v>
      </c>
      <c r="F15" s="19" t="s">
        <v>890</v>
      </c>
      <c r="G15" s="11" t="s">
        <v>903</v>
      </c>
      <c r="H15" s="11" t="s">
        <v>911</v>
      </c>
      <c r="I15" s="11">
        <v>0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11" t="s">
        <v>879</v>
      </c>
      <c r="D16" s="7" t="str">
        <f>IFERROR(VLOOKUP(C16,'Lista desplegable'!B$1:C$436,2,FALSE),"")</f>
        <v>WALTER DEL CARMEN PIZARRO ALVAREZ</v>
      </c>
      <c r="E16" s="7" t="str">
        <f>IFERROR(VLOOKUP(D16,'Lista desplegable'!C$1:D$436,2,FALSE),"")</f>
        <v>CHOFER</v>
      </c>
      <c r="F16" s="19" t="s">
        <v>890</v>
      </c>
      <c r="G16" s="11" t="s">
        <v>903</v>
      </c>
      <c r="H16" s="11" t="s">
        <v>911</v>
      </c>
      <c r="I16" s="11">
        <v>0</v>
      </c>
      <c r="J16" s="11" t="s">
        <v>984</v>
      </c>
      <c r="K16" s="11" t="s">
        <v>918</v>
      </c>
      <c r="L16" s="11" t="s">
        <v>918</v>
      </c>
      <c r="M16" s="11"/>
    </row>
    <row r="17" spans="2:13" s="1" customFormat="1" ht="13.05" customHeight="1" x14ac:dyDescent="0.25">
      <c r="B17" s="24">
        <v>10</v>
      </c>
      <c r="C17" s="11" t="s">
        <v>864</v>
      </c>
      <c r="D17" s="7" t="str">
        <f>IFERROR(VLOOKUP(C17,'Lista desplegable'!B$1:C$436,2,FALSE),"")</f>
        <v>TUMENNASAN SANSRAI .</v>
      </c>
      <c r="E17" s="7" t="str">
        <f>IFERROR(VLOOKUP(D17,'Lista desplegable'!C$1:D$436,2,FALSE),"")</f>
        <v>PERFORISTA</v>
      </c>
      <c r="F17" s="19" t="s">
        <v>890</v>
      </c>
      <c r="G17" s="11" t="s">
        <v>903</v>
      </c>
      <c r="H17" s="11" t="s">
        <v>911</v>
      </c>
      <c r="I17" s="11">
        <v>0</v>
      </c>
      <c r="J17" s="11" t="s">
        <v>984</v>
      </c>
      <c r="K17" s="11"/>
      <c r="L17" s="11"/>
      <c r="M17" s="11"/>
    </row>
    <row r="18" spans="2:13" s="1" customFormat="1" ht="13.05" customHeight="1" x14ac:dyDescent="0.25">
      <c r="B18" s="24">
        <v>11</v>
      </c>
      <c r="C18" s="10" t="s">
        <v>689</v>
      </c>
      <c r="D18" s="7" t="str">
        <f>IFERROR(VLOOKUP(C18,'Lista desplegable'!B$1:C$436,2,FALSE),"")</f>
        <v>JORGE ERIKSON DURAND RUIZ</v>
      </c>
      <c r="E18" s="7" t="str">
        <f>IFERROR(VLOOKUP(D18,'Lista desplegable'!C$1:D$436,2,FALSE),"")</f>
        <v>MECANICO</v>
      </c>
      <c r="F18" s="19" t="s">
        <v>890</v>
      </c>
      <c r="G18" s="11" t="s">
        <v>903</v>
      </c>
      <c r="H18" s="11" t="s">
        <v>911</v>
      </c>
      <c r="I18" s="11">
        <v>0</v>
      </c>
      <c r="J18" s="11" t="s">
        <v>984</v>
      </c>
      <c r="K18" s="11" t="s">
        <v>918</v>
      </c>
      <c r="L18" s="11" t="s">
        <v>918</v>
      </c>
      <c r="M18" s="11"/>
    </row>
    <row r="19" spans="2:13" s="1" customFormat="1" ht="13.05" customHeight="1" x14ac:dyDescent="0.25">
      <c r="B19" s="24">
        <v>12</v>
      </c>
      <c r="C19" s="11" t="s">
        <v>881</v>
      </c>
      <c r="D19" s="7" t="str">
        <f>IFERROR(VLOOKUP(C19,'Lista desplegable'!B$1:C$436,2,FALSE),"")</f>
        <v>WILLIAM HERNAN ALVAREZ TRUJILLO</v>
      </c>
      <c r="E19" s="7" t="str">
        <f>IFERROR(VLOOKUP(D19,'Lista desplegable'!C$1:D$436,2,FALSE),"")</f>
        <v>SOLDADOR</v>
      </c>
      <c r="F19" s="19" t="s">
        <v>890</v>
      </c>
      <c r="G19" s="11" t="s">
        <v>903</v>
      </c>
      <c r="H19" s="11" t="s">
        <v>911</v>
      </c>
      <c r="I19" s="11">
        <v>0</v>
      </c>
      <c r="J19" s="11" t="s">
        <v>984</v>
      </c>
      <c r="K19" s="11" t="s">
        <v>918</v>
      </c>
      <c r="L19" s="11" t="s">
        <v>918</v>
      </c>
      <c r="M19" s="11"/>
    </row>
    <row r="20" spans="2:13" s="1" customFormat="1" ht="13.05" customHeight="1" x14ac:dyDescent="0.25">
      <c r="B20" s="24">
        <v>13</v>
      </c>
      <c r="C20" s="10" t="s">
        <v>648</v>
      </c>
      <c r="D20" s="7" t="str">
        <f>IFERROR(VLOOKUP(C20,'Lista desplegable'!B$1:C$436,2,FALSE),"")</f>
        <v>HANS YERKO MARQUEZ MUÑOZ</v>
      </c>
      <c r="E20" s="7" t="str">
        <f>IFERROR(VLOOKUP(D20,'Lista desplegable'!C$1:D$436,2,FALSE),"")</f>
        <v>SUPERINTENDENTE DE MANTENCION</v>
      </c>
      <c r="F20" s="19" t="s">
        <v>890</v>
      </c>
      <c r="G20" s="11" t="s">
        <v>903</v>
      </c>
      <c r="H20" s="11" t="s">
        <v>911</v>
      </c>
      <c r="I20" s="11">
        <v>0</v>
      </c>
      <c r="J20" s="11" t="s">
        <v>984</v>
      </c>
      <c r="K20" s="11" t="s">
        <v>919</v>
      </c>
      <c r="L20" s="11" t="s">
        <v>919</v>
      </c>
      <c r="M20" s="11"/>
    </row>
    <row r="21" spans="2:13" s="1" customFormat="1" ht="13.05" customHeight="1" x14ac:dyDescent="0.25">
      <c r="B21" s="24">
        <v>14</v>
      </c>
      <c r="C21" s="10" t="s">
        <v>792</v>
      </c>
      <c r="D21" s="7" t="str">
        <f>IFERROR(VLOOKUP(C21,'Lista desplegable'!B$1:C$436,2,FALSE),"")</f>
        <v>PAOLO ALEJANDRO MANRIQUEZ SILVA</v>
      </c>
      <c r="E21" s="7" t="str">
        <f>IFERROR(VLOOKUP(D21,'Lista desplegable'!C$1:D$436,2,FALSE),"")</f>
        <v>BODEGUERO</v>
      </c>
      <c r="F21" s="19" t="s">
        <v>890</v>
      </c>
      <c r="G21" s="11" t="s">
        <v>903</v>
      </c>
      <c r="H21" s="11" t="s">
        <v>911</v>
      </c>
      <c r="I21" s="11">
        <v>0</v>
      </c>
      <c r="J21" s="11" t="s">
        <v>984</v>
      </c>
      <c r="K21" s="11" t="s">
        <v>918</v>
      </c>
      <c r="L21" s="11" t="s">
        <v>918</v>
      </c>
      <c r="M21" s="11"/>
    </row>
    <row r="22" spans="2:13" s="1" customFormat="1" ht="13.05" customHeight="1" x14ac:dyDescent="0.25">
      <c r="B22" s="24">
        <v>15</v>
      </c>
      <c r="C22" s="11"/>
      <c r="D22" s="7" t="str">
        <f>IFERROR(VLOOKUP(C22,'Lista desplegable'!B$1:C$436,2,FALSE),"")</f>
        <v/>
      </c>
      <c r="E22" s="7"/>
      <c r="F22" s="19"/>
      <c r="G22" s="11"/>
      <c r="H22" s="11"/>
      <c r="I22" s="11"/>
      <c r="J22" s="11"/>
      <c r="K22" s="11"/>
      <c r="L22" s="11"/>
      <c r="M22" s="11"/>
    </row>
    <row r="23" spans="2:13" s="1" customFormat="1" ht="13.05" customHeight="1" x14ac:dyDescent="0.25">
      <c r="B23" s="24">
        <v>16</v>
      </c>
      <c r="C23" s="11"/>
      <c r="D23" s="7" t="str">
        <f>IFERROR(VLOOKUP(C23,'Lista desplegable'!B$1:C$436,2,FALSE),"")</f>
        <v/>
      </c>
      <c r="E23" s="7" t="str">
        <f>IFERROR(VLOOKUP(D23,'Lista desplegable'!C$1:D$436,2,FALSE),"")</f>
        <v/>
      </c>
      <c r="F23" s="19"/>
      <c r="G23" s="11"/>
      <c r="H23" s="11"/>
      <c r="I23" s="11"/>
      <c r="J23" s="11"/>
      <c r="K23" s="11"/>
      <c r="L23" s="11"/>
      <c r="M23" s="11"/>
    </row>
    <row r="24" spans="2:13" s="1" customFormat="1" ht="13.05" customHeight="1" x14ac:dyDescent="0.25">
      <c r="B24" s="24">
        <v>17</v>
      </c>
      <c r="C24" s="11"/>
      <c r="D24" s="7" t="str">
        <f>IFERROR(VLOOKUP(C24,'Lista desplegable'!B$1:C$436,2,FALSE),"")</f>
        <v/>
      </c>
      <c r="E24" s="7" t="str">
        <f>IFERROR(VLOOKUP(D24,'Lista desplegable'!C$1:D$436,2,FALSE),"")</f>
        <v/>
      </c>
      <c r="F24" s="19"/>
      <c r="G24" s="11"/>
      <c r="H24" s="11"/>
      <c r="I24" s="11"/>
      <c r="J24" s="11"/>
      <c r="K24" s="11"/>
      <c r="L24" s="11"/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05" customHeight="1" x14ac:dyDescent="0.25">
      <c r="C38"/>
    </row>
    <row r="39" spans="2:13" ht="13.05" customHeight="1" x14ac:dyDescent="0.25">
      <c r="C39"/>
    </row>
    <row r="40" spans="2:13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3" ht="13.05" customHeight="1" x14ac:dyDescent="0.25">
      <c r="B42" s="24">
        <v>1</v>
      </c>
      <c r="C42" s="11" t="s">
        <v>865</v>
      </c>
      <c r="D42" s="7" t="str">
        <f>IFERROR(VLOOKUP(C42,'Lista desplegable'!B$1:C$436,2,FALSE),"")</f>
        <v>ULINSON DIAZ CORTES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>
        <v>0</v>
      </c>
      <c r="J42" s="11" t="s">
        <v>984</v>
      </c>
      <c r="K42" s="11" t="s">
        <v>918</v>
      </c>
      <c r="L42" s="11" t="s">
        <v>918</v>
      </c>
      <c r="M42" s="11"/>
    </row>
    <row r="43" spans="2:13" ht="13.05" customHeight="1" x14ac:dyDescent="0.25">
      <c r="B43" s="24">
        <v>2</v>
      </c>
      <c r="C43" s="11" t="s">
        <v>829</v>
      </c>
      <c r="D43" s="7" t="str">
        <f>IFERROR(VLOOKUP(C43,'Lista desplegable'!B$1:C$436,2,FALSE),"")</f>
        <v>RODRIGO ALEJANDRO FLORES ZEPEDA</v>
      </c>
      <c r="E43" s="7" t="str">
        <f>IFERROR(VLOOKUP(D43,'Lista desplegable'!C$1:D$436,2,FALSE),"")</f>
        <v>AYUDANTE DE PERFORISTA</v>
      </c>
      <c r="F43" s="19" t="s">
        <v>890</v>
      </c>
      <c r="G43" s="11" t="s">
        <v>903</v>
      </c>
      <c r="H43" s="11" t="s">
        <v>911</v>
      </c>
      <c r="I43" s="11">
        <v>0</v>
      </c>
      <c r="J43" s="11" t="s">
        <v>984</v>
      </c>
      <c r="K43" s="11" t="s">
        <v>918</v>
      </c>
      <c r="L43" s="11" t="s">
        <v>918</v>
      </c>
      <c r="M43" s="11"/>
    </row>
    <row r="44" spans="2:13" ht="13.05" customHeight="1" x14ac:dyDescent="0.25">
      <c r="B44" s="24">
        <v>3</v>
      </c>
      <c r="C44" s="11" t="s">
        <v>618</v>
      </c>
      <c r="D44" s="7" t="str">
        <f>IFERROR(VLOOKUP(C44,'Lista desplegable'!B$1:C$436,2,FALSE),"")</f>
        <v>FABIAN PATRICIO CABRERA GODOY</v>
      </c>
      <c r="E44" s="7" t="str">
        <f>IFERROR(VLOOKUP(D44,'Lista desplegable'!C$1:D$436,2,FALSE),"")</f>
        <v>AYUDANTE DE PERFORISTA</v>
      </c>
      <c r="F44" s="19" t="s">
        <v>890</v>
      </c>
      <c r="G44" s="11" t="s">
        <v>903</v>
      </c>
      <c r="H44" s="11" t="s">
        <v>911</v>
      </c>
      <c r="I44" s="11">
        <v>0</v>
      </c>
      <c r="J44" s="11" t="s">
        <v>984</v>
      </c>
      <c r="K44" s="11" t="s">
        <v>918</v>
      </c>
      <c r="L44" s="11" t="s">
        <v>918</v>
      </c>
      <c r="M44" s="11"/>
    </row>
    <row r="45" spans="2:13" ht="13.05" customHeight="1" x14ac:dyDescent="0.25">
      <c r="B45" s="24">
        <v>4</v>
      </c>
      <c r="C45" s="11" t="s">
        <v>616</v>
      </c>
      <c r="D45" s="7" t="str">
        <f>IFERROR(VLOOKUP(C45,'Lista desplegable'!B$1:C$436,2,FALSE),"")</f>
        <v>ESTEFANIA CONSTANZA NAETER QUIROZ</v>
      </c>
      <c r="E45" s="7" t="str">
        <f>IFERROR(VLOOKUP(D45,'Lista desplegable'!C$1:D$436,2,FALSE),"")</f>
        <v>CHOFER</v>
      </c>
      <c r="F45" s="19" t="s">
        <v>890</v>
      </c>
      <c r="G45" s="11" t="s">
        <v>903</v>
      </c>
      <c r="H45" s="11" t="s">
        <v>911</v>
      </c>
      <c r="I45" s="11">
        <v>0</v>
      </c>
      <c r="J45" s="11" t="s">
        <v>984</v>
      </c>
      <c r="K45" s="11" t="s">
        <v>918</v>
      </c>
      <c r="L45" s="11" t="s">
        <v>918</v>
      </c>
      <c r="M45" s="11"/>
    </row>
    <row r="46" spans="2:13" ht="13.05" customHeight="1" x14ac:dyDescent="0.25">
      <c r="B46" s="24">
        <v>5</v>
      </c>
      <c r="C46" s="11" t="s">
        <v>990</v>
      </c>
      <c r="D46" s="7" t="str">
        <f>IFERROR(VLOOKUP(C46,'Lista desplegable'!B$1:C$436,2,FALSE),"")</f>
        <v>BENIGNO EDUARDO PAEZ MENESES</v>
      </c>
      <c r="E46" s="7" t="str">
        <f>IFERROR(VLOOKUP(D46,'Lista desplegable'!C$1:D$436,2,FALSE),"")</f>
        <v>CHOFER</v>
      </c>
      <c r="F46" s="19" t="s">
        <v>890</v>
      </c>
      <c r="G46" s="11" t="s">
        <v>903</v>
      </c>
      <c r="H46" s="11" t="s">
        <v>911</v>
      </c>
      <c r="I46" s="11">
        <v>0</v>
      </c>
      <c r="J46" s="11" t="s">
        <v>984</v>
      </c>
      <c r="K46" s="11" t="s">
        <v>918</v>
      </c>
      <c r="L46" s="11" t="s">
        <v>918</v>
      </c>
      <c r="M46" s="11"/>
    </row>
    <row r="47" spans="2:13" ht="13.05" customHeight="1" x14ac:dyDescent="0.25">
      <c r="B47" s="24">
        <v>6</v>
      </c>
      <c r="C47" s="11" t="s">
        <v>826</v>
      </c>
      <c r="D47" s="7" t="str">
        <f>IFERROR(VLOOKUP(C47,'Lista desplegable'!B$1:C$436,2,FALSE),"")</f>
        <v>ROBERTO MARIO VARGAS RODRIGUEZ</v>
      </c>
      <c r="E47" s="7" t="str">
        <f>IFERROR(VLOOKUP(D47,'Lista desplegable'!C$1:D$436,2,FALSE),"")</f>
        <v>MECANICO</v>
      </c>
      <c r="F47" s="19" t="s">
        <v>890</v>
      </c>
      <c r="G47" s="11" t="s">
        <v>903</v>
      </c>
      <c r="H47" s="11" t="s">
        <v>911</v>
      </c>
      <c r="I47" s="11">
        <v>0</v>
      </c>
      <c r="J47" s="11" t="s">
        <v>984</v>
      </c>
      <c r="K47" s="11" t="s">
        <v>918</v>
      </c>
      <c r="L47" s="11" t="s">
        <v>918</v>
      </c>
      <c r="M47" s="11"/>
    </row>
    <row r="48" spans="2:13" ht="13.05" customHeight="1" x14ac:dyDescent="0.25">
      <c r="B48" s="24">
        <v>7</v>
      </c>
      <c r="C48" t="s">
        <v>542</v>
      </c>
      <c r="D48" s="7" t="str">
        <f>IFERROR(VLOOKUP(C48,'Lista desplegable'!B$1:C$436,2,FALSE),"")</f>
        <v>BYAMBATSEREN TSERENDAVAA .</v>
      </c>
      <c r="E48" s="7" t="str">
        <f>IFERROR(VLOOKUP(D48,'Lista desplegable'!C$1:D$436,2,FALSE),"")</f>
        <v>PERFORISTA</v>
      </c>
      <c r="F48" s="19" t="s">
        <v>890</v>
      </c>
      <c r="G48" s="11" t="s">
        <v>903</v>
      </c>
      <c r="H48" s="11" t="s">
        <v>911</v>
      </c>
      <c r="I48" s="11">
        <v>0</v>
      </c>
      <c r="J48" s="11" t="s">
        <v>984</v>
      </c>
      <c r="K48" s="11"/>
      <c r="L48" s="11"/>
      <c r="M48" s="11"/>
    </row>
    <row r="49" spans="2:13" ht="13.05" customHeight="1" x14ac:dyDescent="0.25">
      <c r="B49" s="24">
        <v>8</v>
      </c>
      <c r="C49" s="11"/>
      <c r="D49" s="7" t="str">
        <f>IFERROR(VLOOKUP(C49,'Lista desplegable'!B$1:C$436,2,FALSE),"")</f>
        <v/>
      </c>
      <c r="E49" s="7" t="str">
        <f>IFERROR(VLOOKUP(D49,'Lista desplegable'!C$1:D$436,2,FALSE),"")</f>
        <v/>
      </c>
      <c r="F49" s="19"/>
      <c r="G49" s="11"/>
      <c r="H49" s="11"/>
      <c r="I49" s="11"/>
      <c r="J49" s="11"/>
      <c r="K49" s="11"/>
      <c r="L49" s="11"/>
      <c r="M49" s="11"/>
    </row>
    <row r="50" spans="2:13" ht="13.05" customHeight="1" x14ac:dyDescent="0.25">
      <c r="B50" s="24">
        <v>9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11"/>
      <c r="J50" s="11"/>
      <c r="K50" s="11"/>
      <c r="L50" s="11"/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2:I2"/>
    <mergeCell ref="G3:I3"/>
    <mergeCell ref="C6:M6"/>
    <mergeCell ref="C40:M40"/>
  </mergeCell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29C935E-1778-4219-9B3C-706869004548}">
          <x14:formula1>
            <xm:f>'Lista desplegable'!$L$2:$L$3</xm:f>
          </x14:formula1>
          <xm:sqref>K42:L71 K8:L37</xm:sqref>
        </x14:dataValidation>
        <x14:dataValidation type="list" allowBlank="1" showInputMessage="1" showErrorMessage="1" xr:uid="{C888055C-BD60-4E53-ACB8-C0B5D73CD09F}">
          <x14:formula1>
            <xm:f>'Lista desplegable'!$H$2:$H$7</xm:f>
          </x14:formula1>
          <xm:sqref>G42:G71 G8:G37</xm:sqref>
        </x14:dataValidation>
        <x14:dataValidation type="list" allowBlank="1" showInputMessage="1" showErrorMessage="1" xr:uid="{C2035246-D248-41EC-B6E2-467F4E0C5A0F}">
          <x14:formula1>
            <xm:f>'Lista desplegable'!$J$2:$J$10</xm:f>
          </x14:formula1>
          <xm:sqref>H42:H71 H8:H37</xm:sqref>
        </x14:dataValidation>
        <x14:dataValidation type="list" allowBlank="1" showInputMessage="1" showErrorMessage="1" xr:uid="{28A2DA06-AD0E-4E1B-89F8-5A9763392EA6}">
          <x14:formula1>
            <xm:f>'Lista desplegable'!$F$2:$F$19</xm:f>
          </x14:formula1>
          <xm:sqref>F42:F71 F8:F37</xm:sqref>
        </x14:dataValidation>
        <x14:dataValidation type="list" allowBlank="1" showInputMessage="1" showErrorMessage="1" xr:uid="{5D27104D-574A-49D9-B4A6-19409A7E502D}">
          <x14:formula1>
            <xm:f>'Lista desplegable'!$B$2:$B$436</xm:f>
          </x14:formula1>
          <xm:sqref>C42:C71 C8:C37</xm:sqref>
        </x14:dataValidation>
        <x14:dataValidation type="list" allowBlank="1" showInputMessage="1" showErrorMessage="1" xr:uid="{2CD8A6CE-1E8A-4D60-947F-2A3EED3840F5}">
          <x14:formula1>
            <xm:f>'Lista desplegable'!$N$2:$N$5</xm:f>
          </x14:formula1>
          <xm:sqref>J42:J71 J8:J37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F6FCB-F7E3-49B3-9B0D-866DD13511D5}">
  <dimension ref="B1:M93"/>
  <sheetViews>
    <sheetView topLeftCell="A15" zoomScale="80" zoomScaleNormal="80" workbookViewId="0">
      <selection activeCell="C21" sqref="C21:L21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4.33203125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21.77734375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46291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11" t="s">
        <v>692</v>
      </c>
      <c r="D8" s="7" t="str">
        <f>IFERROR(VLOOKUP(C8,'Lista desplegable'!B$1:C$436,2,FALSE),"")</f>
        <v>JOSE CRISTIAN BASTIAS PEREZ</v>
      </c>
      <c r="E8" s="7" t="str">
        <f>IFERROR(VLOOKUP(D8,'Lista desplegable'!C$1:D$436,2,FALSE),"")</f>
        <v>SUPERVISOR DE OPERACIONES</v>
      </c>
      <c r="F8" s="19" t="s">
        <v>890</v>
      </c>
      <c r="G8" s="11" t="s">
        <v>903</v>
      </c>
      <c r="H8" s="11" t="s">
        <v>911</v>
      </c>
      <c r="I8" s="11">
        <v>0</v>
      </c>
      <c r="J8" s="11" t="s">
        <v>984</v>
      </c>
      <c r="K8" s="11" t="s">
        <v>918</v>
      </c>
      <c r="L8" s="11" t="s">
        <v>918</v>
      </c>
      <c r="M8" s="11"/>
    </row>
    <row r="9" spans="2:13" s="1" customFormat="1" ht="13.05" customHeight="1" x14ac:dyDescent="0.25">
      <c r="B9" s="24">
        <v>2</v>
      </c>
      <c r="C9" s="10" t="s">
        <v>991</v>
      </c>
      <c r="D9" s="7" t="str">
        <f>IFERROR(VLOOKUP(C9,'Lista desplegable'!B$1:C$436,2,FALSE),"")</f>
        <v>JORGE ENRIQUE CEBALLOS JOFRE</v>
      </c>
      <c r="E9" s="7" t="str">
        <f>IFERROR(VLOOKUP(D9,'Lista desplegable'!C$1:D$436,2,FALSE),"")</f>
        <v>PREVENCIONISTA DE RIESGOS</v>
      </c>
      <c r="F9" s="19" t="s">
        <v>890</v>
      </c>
      <c r="G9" s="11" t="s">
        <v>903</v>
      </c>
      <c r="H9" s="11" t="s">
        <v>911</v>
      </c>
      <c r="I9" s="11">
        <v>0</v>
      </c>
      <c r="J9" s="11" t="s">
        <v>984</v>
      </c>
      <c r="K9" s="11" t="s">
        <v>918</v>
      </c>
      <c r="L9" s="11" t="s">
        <v>918</v>
      </c>
      <c r="M9" s="11"/>
    </row>
    <row r="10" spans="2:13" s="1" customFormat="1" ht="13.05" customHeight="1" x14ac:dyDescent="0.25">
      <c r="B10" s="24">
        <v>3</v>
      </c>
      <c r="C10" s="11" t="s">
        <v>769</v>
      </c>
      <c r="D10" s="7" t="str">
        <f>IFERROR(VLOOKUP(C10,'Lista desplegable'!B$1:C$436,2,FALSE),"")</f>
        <v>NATALY ANTONIA SALAS ESCOBAR</v>
      </c>
      <c r="E10" s="7" t="str">
        <f>IFERROR(VLOOKUP(D10,'Lista desplegable'!C$1:D$436,2,FALSE),"")</f>
        <v>ADMINISTRATIVO DE FAENA</v>
      </c>
      <c r="F10" s="19" t="s">
        <v>890</v>
      </c>
      <c r="G10" s="11" t="s">
        <v>903</v>
      </c>
      <c r="H10" s="11" t="s">
        <v>911</v>
      </c>
      <c r="I10" s="11">
        <v>0</v>
      </c>
      <c r="J10" s="11" t="s">
        <v>984</v>
      </c>
      <c r="K10" s="11" t="s">
        <v>918</v>
      </c>
      <c r="L10" s="11" t="s">
        <v>918</v>
      </c>
      <c r="M10" s="11"/>
    </row>
    <row r="11" spans="2:13" s="1" customFormat="1" ht="13.05" customHeight="1" x14ac:dyDescent="0.25">
      <c r="B11" s="24">
        <v>4</v>
      </c>
      <c r="C11" s="11" t="s">
        <v>719</v>
      </c>
      <c r="D11" s="7" t="str">
        <f>IFERROR(VLOOKUP(C11,'Lista desplegable'!B$1:C$436,2,FALSE),"")</f>
        <v>LEONARDO ANDRES MENESES ARREDONDO</v>
      </c>
      <c r="E11" s="7" t="str">
        <f>IFERROR(VLOOKUP(D11,'Lista desplegable'!C$1:D$436,2,FALSE),"")</f>
        <v>SUPERVISOR DE OPERACIONES</v>
      </c>
      <c r="F11" s="19" t="s">
        <v>890</v>
      </c>
      <c r="G11" s="11" t="s">
        <v>903</v>
      </c>
      <c r="H11" s="11" t="s">
        <v>911</v>
      </c>
      <c r="I11" s="11">
        <v>0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11" t="s">
        <v>723</v>
      </c>
      <c r="D12" s="7" t="str">
        <f>IFERROR(VLOOKUP(C12,'Lista desplegable'!B$1:C$436,2,FALSE),"")</f>
        <v>LEONEL GUILLERMO CAMPUSANO DUBO</v>
      </c>
      <c r="E12" s="7" t="str">
        <f>IFERROR(VLOOKUP(D12,'Lista desplegable'!C$1:D$436,2,FALSE),"")</f>
        <v>AYUDANTE DE PERFORISTA</v>
      </c>
      <c r="F12" s="19" t="s">
        <v>890</v>
      </c>
      <c r="G12" s="11" t="s">
        <v>903</v>
      </c>
      <c r="H12" s="11" t="s">
        <v>911</v>
      </c>
      <c r="I12" s="11">
        <v>0</v>
      </c>
      <c r="J12" s="11" t="s">
        <v>984</v>
      </c>
      <c r="K12" s="11" t="s">
        <v>918</v>
      </c>
      <c r="L12" s="11" t="s">
        <v>918</v>
      </c>
      <c r="M12" s="11"/>
    </row>
    <row r="13" spans="2:13" s="1" customFormat="1" ht="13.05" customHeight="1" x14ac:dyDescent="0.25">
      <c r="B13" s="24">
        <v>6</v>
      </c>
      <c r="C13" s="11" t="s">
        <v>876</v>
      </c>
      <c r="D13" s="7" t="str">
        <f>IFERROR(VLOOKUP(C13,'Lista desplegable'!B$1:C$436,2,FALSE),"")</f>
        <v>VICTOR MANUEL MONDACA VEGA</v>
      </c>
      <c r="E13" s="7" t="str">
        <f>IFERROR(VLOOKUP(D13,'Lista desplegable'!C$1:D$436,2,FALSE),"")</f>
        <v>AYUDANTE DE PERFORISTA</v>
      </c>
      <c r="F13" s="19" t="s">
        <v>890</v>
      </c>
      <c r="G13" s="11" t="s">
        <v>903</v>
      </c>
      <c r="H13" s="11" t="s">
        <v>911</v>
      </c>
      <c r="I13" s="11">
        <v>0</v>
      </c>
      <c r="J13" s="11" t="s">
        <v>984</v>
      </c>
      <c r="K13" s="11" t="s">
        <v>918</v>
      </c>
      <c r="L13" s="11" t="s">
        <v>918</v>
      </c>
      <c r="M13" s="11"/>
    </row>
    <row r="14" spans="2:13" s="1" customFormat="1" ht="13.05" customHeight="1" x14ac:dyDescent="0.25">
      <c r="B14" s="24">
        <v>7</v>
      </c>
      <c r="C14" s="11" t="s">
        <v>686</v>
      </c>
      <c r="D14" s="7" t="str">
        <f>IFERROR(VLOOKUP(C14,'Lista desplegable'!B$1:C$436,2,FALSE),"")</f>
        <v>JORGE ARMANDO TINOCO OSPINO</v>
      </c>
      <c r="E14" s="7" t="str">
        <f>IFERROR(VLOOKUP(D14,'Lista desplegable'!C$1:D$436,2,FALSE),"")</f>
        <v>CHOFER</v>
      </c>
      <c r="F14" s="19" t="s">
        <v>890</v>
      </c>
      <c r="G14" s="11" t="s">
        <v>903</v>
      </c>
      <c r="H14" s="11" t="s">
        <v>911</v>
      </c>
      <c r="I14" s="11">
        <v>0</v>
      </c>
      <c r="J14" s="11" t="s">
        <v>984</v>
      </c>
      <c r="K14" s="11" t="s">
        <v>918</v>
      </c>
      <c r="L14" s="11" t="s">
        <v>918</v>
      </c>
      <c r="M14" s="11"/>
    </row>
    <row r="15" spans="2:13" s="1" customFormat="1" ht="13.05" customHeight="1" x14ac:dyDescent="0.25">
      <c r="B15" s="24">
        <v>8</v>
      </c>
      <c r="C15" s="11" t="s">
        <v>534</v>
      </c>
      <c r="D15" s="7" t="str">
        <f>IFERROR(VLOOKUP(C15,'Lista desplegable'!B$1:C$436,2,FALSE),"")</f>
        <v>BENJAMIN JOSEFATT ESPINOZA URIBE</v>
      </c>
      <c r="E15" s="7" t="str">
        <f>IFERROR(VLOOKUP(D15,'Lista desplegable'!C$1:D$436,2,FALSE),"")</f>
        <v>CHOFER</v>
      </c>
      <c r="F15" s="19" t="s">
        <v>890</v>
      </c>
      <c r="G15" s="11" t="s">
        <v>903</v>
      </c>
      <c r="H15" s="11" t="s">
        <v>911</v>
      </c>
      <c r="I15" s="11">
        <v>0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11" t="s">
        <v>879</v>
      </c>
      <c r="D16" s="7" t="str">
        <f>IFERROR(VLOOKUP(C16,'Lista desplegable'!B$1:C$436,2,FALSE),"")</f>
        <v>WALTER DEL CARMEN PIZARRO ALVAREZ</v>
      </c>
      <c r="E16" s="7" t="str">
        <f>IFERROR(VLOOKUP(D16,'Lista desplegable'!C$1:D$436,2,FALSE),"")</f>
        <v>CHOFER</v>
      </c>
      <c r="F16" s="19" t="s">
        <v>890</v>
      </c>
      <c r="G16" s="11" t="s">
        <v>903</v>
      </c>
      <c r="H16" s="11" t="s">
        <v>911</v>
      </c>
      <c r="I16" s="11">
        <v>0</v>
      </c>
      <c r="J16" s="11" t="s">
        <v>984</v>
      </c>
      <c r="K16" s="11" t="s">
        <v>918</v>
      </c>
      <c r="L16" s="11" t="s">
        <v>918</v>
      </c>
      <c r="M16" s="11"/>
    </row>
    <row r="17" spans="2:13" s="1" customFormat="1" ht="13.05" customHeight="1" x14ac:dyDescent="0.25">
      <c r="B17" s="24">
        <v>10</v>
      </c>
      <c r="C17" s="11" t="s">
        <v>864</v>
      </c>
      <c r="D17" s="7" t="str">
        <f>IFERROR(VLOOKUP(C17,'Lista desplegable'!B$1:C$436,2,FALSE),"")</f>
        <v>TUMENNASAN SANSRAI .</v>
      </c>
      <c r="E17" s="7" t="str">
        <f>IFERROR(VLOOKUP(D17,'Lista desplegable'!C$1:D$436,2,FALSE),"")</f>
        <v>PERFORISTA</v>
      </c>
      <c r="F17" s="19" t="s">
        <v>890</v>
      </c>
      <c r="G17" s="11" t="s">
        <v>903</v>
      </c>
      <c r="H17" s="11" t="s">
        <v>911</v>
      </c>
      <c r="I17" s="11">
        <v>0</v>
      </c>
      <c r="J17" s="11" t="s">
        <v>984</v>
      </c>
      <c r="K17" s="11"/>
      <c r="L17" s="11"/>
      <c r="M17" s="11"/>
    </row>
    <row r="18" spans="2:13" s="1" customFormat="1" ht="13.05" customHeight="1" x14ac:dyDescent="0.25">
      <c r="B18" s="24">
        <v>11</v>
      </c>
      <c r="C18" s="10" t="s">
        <v>689</v>
      </c>
      <c r="D18" s="7" t="str">
        <f>IFERROR(VLOOKUP(C18,'Lista desplegable'!B$1:C$436,2,FALSE),"")</f>
        <v>JORGE ERIKSON DURAND RUIZ</v>
      </c>
      <c r="E18" s="7" t="str">
        <f>IFERROR(VLOOKUP(D18,'Lista desplegable'!C$1:D$436,2,FALSE),"")</f>
        <v>MECANICO</v>
      </c>
      <c r="F18" s="19" t="s">
        <v>890</v>
      </c>
      <c r="G18" s="11" t="s">
        <v>903</v>
      </c>
      <c r="H18" s="11" t="s">
        <v>911</v>
      </c>
      <c r="I18" s="11">
        <v>0</v>
      </c>
      <c r="J18" s="11" t="s">
        <v>984</v>
      </c>
      <c r="K18" s="11" t="s">
        <v>918</v>
      </c>
      <c r="L18" s="11" t="s">
        <v>918</v>
      </c>
      <c r="M18" s="11" t="s">
        <v>1013</v>
      </c>
    </row>
    <row r="19" spans="2:13" s="1" customFormat="1" ht="13.05" customHeight="1" x14ac:dyDescent="0.25">
      <c r="B19" s="24">
        <v>12</v>
      </c>
      <c r="C19" s="11" t="s">
        <v>881</v>
      </c>
      <c r="D19" s="7" t="str">
        <f>IFERROR(VLOOKUP(C19,'Lista desplegable'!B$1:C$436,2,FALSE),"")</f>
        <v>WILLIAM HERNAN ALVAREZ TRUJILLO</v>
      </c>
      <c r="E19" s="7" t="str">
        <f>IFERROR(VLOOKUP(D19,'Lista desplegable'!C$1:D$436,2,FALSE),"")</f>
        <v>SOLDADOR</v>
      </c>
      <c r="F19" s="19" t="s">
        <v>890</v>
      </c>
      <c r="G19" s="11" t="s">
        <v>903</v>
      </c>
      <c r="H19" s="11" t="s">
        <v>911</v>
      </c>
      <c r="I19" s="11">
        <v>0</v>
      </c>
      <c r="J19" s="11" t="s">
        <v>984</v>
      </c>
      <c r="K19" s="11" t="s">
        <v>918</v>
      </c>
      <c r="L19" s="11" t="s">
        <v>918</v>
      </c>
      <c r="M19" s="11"/>
    </row>
    <row r="20" spans="2:13" s="1" customFormat="1" ht="13.05" customHeight="1" x14ac:dyDescent="0.25">
      <c r="B20" s="24">
        <v>13</v>
      </c>
      <c r="C20" s="10" t="s">
        <v>648</v>
      </c>
      <c r="D20" s="7" t="str">
        <f>IFERROR(VLOOKUP(C20,'Lista desplegable'!B$1:C$436,2,FALSE),"")</f>
        <v>HANS YERKO MARQUEZ MUÑOZ</v>
      </c>
      <c r="E20" s="7" t="str">
        <f>IFERROR(VLOOKUP(D20,'Lista desplegable'!C$1:D$436,2,FALSE),"")</f>
        <v>SUPERINTENDENTE DE MANTENCION</v>
      </c>
      <c r="F20" s="19" t="s">
        <v>890</v>
      </c>
      <c r="G20" s="11" t="s">
        <v>903</v>
      </c>
      <c r="H20" s="11" t="s">
        <v>911</v>
      </c>
      <c r="I20" s="11">
        <v>0</v>
      </c>
      <c r="J20" s="11" t="s">
        <v>984</v>
      </c>
      <c r="K20" s="11" t="s">
        <v>919</v>
      </c>
      <c r="L20" s="11" t="s">
        <v>919</v>
      </c>
      <c r="M20" s="11"/>
    </row>
    <row r="21" spans="2:13" s="1" customFormat="1" ht="13.05" customHeight="1" x14ac:dyDescent="0.25">
      <c r="B21" s="24">
        <v>14</v>
      </c>
      <c r="C21" s="10" t="s">
        <v>792</v>
      </c>
      <c r="D21" s="7" t="str">
        <f>IFERROR(VLOOKUP(C21,'Lista desplegable'!B$1:C$436,2,FALSE),"")</f>
        <v>PAOLO ALEJANDRO MANRIQUEZ SILVA</v>
      </c>
      <c r="E21" s="7" t="str">
        <f>IFERROR(VLOOKUP(D21,'Lista desplegable'!C$1:D$436,2,FALSE),"")</f>
        <v>BODEGUERO</v>
      </c>
      <c r="F21" s="19" t="s">
        <v>890</v>
      </c>
      <c r="G21" s="11" t="s">
        <v>903</v>
      </c>
      <c r="H21" s="11" t="s">
        <v>911</v>
      </c>
      <c r="I21" s="11">
        <v>0</v>
      </c>
      <c r="J21" s="11" t="s">
        <v>984</v>
      </c>
      <c r="K21" s="11" t="s">
        <v>918</v>
      </c>
      <c r="L21" s="11" t="s">
        <v>918</v>
      </c>
      <c r="M21" s="11"/>
    </row>
    <row r="22" spans="2:13" s="1" customFormat="1" ht="13.05" customHeight="1" x14ac:dyDescent="0.25">
      <c r="B22" s="24">
        <v>15</v>
      </c>
      <c r="C22" s="11"/>
      <c r="D22" s="7" t="str">
        <f>IFERROR(VLOOKUP(C22,'Lista desplegable'!B$1:C$436,2,FALSE),"")</f>
        <v/>
      </c>
      <c r="E22" s="7"/>
      <c r="F22" s="19"/>
      <c r="G22" s="11"/>
      <c r="H22" s="11"/>
      <c r="I22" s="11"/>
      <c r="J22" s="11"/>
      <c r="K22" s="11"/>
      <c r="L22" s="11"/>
      <c r="M22" s="11"/>
    </row>
    <row r="23" spans="2:13" s="1" customFormat="1" ht="13.05" customHeight="1" x14ac:dyDescent="0.25">
      <c r="B23" s="24">
        <v>16</v>
      </c>
      <c r="C23" s="11"/>
      <c r="D23" s="7" t="str">
        <f>IFERROR(VLOOKUP(C23,'Lista desplegable'!B$1:C$436,2,FALSE),"")</f>
        <v/>
      </c>
      <c r="E23" s="7" t="str">
        <f>IFERROR(VLOOKUP(D23,'Lista desplegable'!C$1:D$436,2,FALSE),"")</f>
        <v/>
      </c>
      <c r="F23" s="19"/>
      <c r="G23" s="11"/>
      <c r="H23" s="11"/>
      <c r="I23" s="11"/>
      <c r="J23" s="11"/>
      <c r="K23" s="11"/>
      <c r="L23" s="11"/>
      <c r="M23" s="11"/>
    </row>
    <row r="24" spans="2:13" s="1" customFormat="1" ht="13.05" customHeight="1" x14ac:dyDescent="0.25">
      <c r="B24" s="24">
        <v>17</v>
      </c>
      <c r="C24" s="11"/>
      <c r="D24" s="7" t="str">
        <f>IFERROR(VLOOKUP(C24,'Lista desplegable'!B$1:C$436,2,FALSE),"")</f>
        <v/>
      </c>
      <c r="E24" s="7" t="str">
        <f>IFERROR(VLOOKUP(D24,'Lista desplegable'!C$1:D$436,2,FALSE),"")</f>
        <v/>
      </c>
      <c r="F24" s="19"/>
      <c r="G24" s="11"/>
      <c r="H24" s="11"/>
      <c r="I24" s="11"/>
      <c r="J24" s="11"/>
      <c r="K24" s="11"/>
      <c r="L24" s="11"/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05" customHeight="1" x14ac:dyDescent="0.25">
      <c r="C38"/>
    </row>
    <row r="39" spans="2:13" ht="13.05" customHeight="1" x14ac:dyDescent="0.25">
      <c r="C39"/>
    </row>
    <row r="40" spans="2:13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3" ht="13.05" customHeight="1" x14ac:dyDescent="0.25">
      <c r="B42" s="24">
        <v>1</v>
      </c>
      <c r="C42" s="11" t="s">
        <v>865</v>
      </c>
      <c r="D42" s="7" t="str">
        <f>IFERROR(VLOOKUP(C42,'Lista desplegable'!B$1:C$436,2,FALSE),"")</f>
        <v>ULINSON DIAZ CORTES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>
        <v>0</v>
      </c>
      <c r="J42" s="11" t="s">
        <v>984</v>
      </c>
      <c r="K42" s="11" t="s">
        <v>918</v>
      </c>
      <c r="L42" s="11" t="s">
        <v>918</v>
      </c>
      <c r="M42" s="11"/>
    </row>
    <row r="43" spans="2:13" ht="13.05" customHeight="1" x14ac:dyDescent="0.25">
      <c r="B43" s="24">
        <v>2</v>
      </c>
      <c r="C43" s="11" t="s">
        <v>829</v>
      </c>
      <c r="D43" s="7" t="str">
        <f>IFERROR(VLOOKUP(C43,'Lista desplegable'!B$1:C$436,2,FALSE),"")</f>
        <v>RODRIGO ALEJANDRO FLORES ZEPEDA</v>
      </c>
      <c r="E43" s="7" t="str">
        <f>IFERROR(VLOOKUP(D43,'Lista desplegable'!C$1:D$436,2,FALSE),"")</f>
        <v>AYUDANTE DE PERFORISTA</v>
      </c>
      <c r="F43" s="19" t="s">
        <v>890</v>
      </c>
      <c r="G43" s="11" t="s">
        <v>903</v>
      </c>
      <c r="H43" s="11" t="s">
        <v>911</v>
      </c>
      <c r="I43" s="11">
        <v>0</v>
      </c>
      <c r="J43" s="11" t="s">
        <v>984</v>
      </c>
      <c r="K43" s="11" t="s">
        <v>918</v>
      </c>
      <c r="L43" s="11" t="s">
        <v>918</v>
      </c>
      <c r="M43" s="11"/>
    </row>
    <row r="44" spans="2:13" ht="13.05" customHeight="1" x14ac:dyDescent="0.25">
      <c r="B44" s="24">
        <v>3</v>
      </c>
      <c r="C44" s="11" t="s">
        <v>618</v>
      </c>
      <c r="D44" s="7" t="str">
        <f>IFERROR(VLOOKUP(C44,'Lista desplegable'!B$1:C$436,2,FALSE),"")</f>
        <v>FABIAN PATRICIO CABRERA GODOY</v>
      </c>
      <c r="E44" s="7" t="str">
        <f>IFERROR(VLOOKUP(D44,'Lista desplegable'!C$1:D$436,2,FALSE),"")</f>
        <v>AYUDANTE DE PERFORISTA</v>
      </c>
      <c r="F44" s="19" t="s">
        <v>890</v>
      </c>
      <c r="G44" s="11" t="s">
        <v>903</v>
      </c>
      <c r="H44" s="11" t="s">
        <v>911</v>
      </c>
      <c r="I44" s="11">
        <v>0</v>
      </c>
      <c r="J44" s="11" t="s">
        <v>984</v>
      </c>
      <c r="K44" s="11" t="s">
        <v>918</v>
      </c>
      <c r="L44" s="11" t="s">
        <v>918</v>
      </c>
      <c r="M44" s="11" t="s">
        <v>1013</v>
      </c>
    </row>
    <row r="45" spans="2:13" ht="13.05" customHeight="1" x14ac:dyDescent="0.25">
      <c r="B45" s="24">
        <v>4</v>
      </c>
      <c r="C45" s="11" t="s">
        <v>616</v>
      </c>
      <c r="D45" s="7" t="str">
        <f>IFERROR(VLOOKUP(C45,'Lista desplegable'!B$1:C$436,2,FALSE),"")</f>
        <v>ESTEFANIA CONSTANZA NAETER QUIROZ</v>
      </c>
      <c r="E45" s="7" t="str">
        <f>IFERROR(VLOOKUP(D45,'Lista desplegable'!C$1:D$436,2,FALSE),"")</f>
        <v>CHOFER</v>
      </c>
      <c r="F45" s="19" t="s">
        <v>890</v>
      </c>
      <c r="G45" s="11" t="s">
        <v>903</v>
      </c>
      <c r="H45" s="11" t="s">
        <v>911</v>
      </c>
      <c r="I45" s="11">
        <v>0</v>
      </c>
      <c r="J45" s="11" t="s">
        <v>984</v>
      </c>
      <c r="K45" s="11" t="s">
        <v>918</v>
      </c>
      <c r="L45" s="11" t="s">
        <v>918</v>
      </c>
      <c r="M45" s="11"/>
    </row>
    <row r="46" spans="2:13" ht="13.05" customHeight="1" x14ac:dyDescent="0.25">
      <c r="B46" s="24">
        <v>5</v>
      </c>
      <c r="C46" s="11" t="s">
        <v>990</v>
      </c>
      <c r="D46" s="7" t="str">
        <f>IFERROR(VLOOKUP(C46,'Lista desplegable'!B$1:C$436,2,FALSE),"")</f>
        <v>BENIGNO EDUARDO PAEZ MENESES</v>
      </c>
      <c r="E46" s="7" t="str">
        <f>IFERROR(VLOOKUP(D46,'Lista desplegable'!C$1:D$436,2,FALSE),"")</f>
        <v>CHOFER</v>
      </c>
      <c r="F46" s="19" t="s">
        <v>890</v>
      </c>
      <c r="G46" s="11" t="s">
        <v>903</v>
      </c>
      <c r="H46" s="11" t="s">
        <v>911</v>
      </c>
      <c r="I46" s="11">
        <v>0</v>
      </c>
      <c r="J46" s="11" t="s">
        <v>984</v>
      </c>
      <c r="K46" s="11" t="s">
        <v>918</v>
      </c>
      <c r="L46" s="11" t="s">
        <v>918</v>
      </c>
      <c r="M46" s="11"/>
    </row>
    <row r="47" spans="2:13" ht="13.05" customHeight="1" x14ac:dyDescent="0.25">
      <c r="B47" s="24">
        <v>6</v>
      </c>
      <c r="C47" s="11" t="s">
        <v>826</v>
      </c>
      <c r="D47" s="7" t="str">
        <f>IFERROR(VLOOKUP(C47,'Lista desplegable'!B$1:C$436,2,FALSE),"")</f>
        <v>ROBERTO MARIO VARGAS RODRIGUEZ</v>
      </c>
      <c r="E47" s="7" t="str">
        <f>IFERROR(VLOOKUP(D47,'Lista desplegable'!C$1:D$436,2,FALSE),"")</f>
        <v>MECANICO</v>
      </c>
      <c r="F47" s="19" t="s">
        <v>890</v>
      </c>
      <c r="G47" s="11" t="s">
        <v>903</v>
      </c>
      <c r="H47" s="11" t="s">
        <v>911</v>
      </c>
      <c r="I47" s="11">
        <v>0</v>
      </c>
      <c r="J47" s="11" t="s">
        <v>984</v>
      </c>
      <c r="K47" s="11" t="s">
        <v>918</v>
      </c>
      <c r="L47" s="11" t="s">
        <v>918</v>
      </c>
      <c r="M47" s="11"/>
    </row>
    <row r="48" spans="2:13" ht="13.05" customHeight="1" x14ac:dyDescent="0.25">
      <c r="B48" s="24">
        <v>7</v>
      </c>
      <c r="C48" t="s">
        <v>542</v>
      </c>
      <c r="D48" s="7" t="str">
        <f>IFERROR(VLOOKUP(C48,'Lista desplegable'!B$1:C$436,2,FALSE),"")</f>
        <v>BYAMBATSEREN TSERENDAVAA .</v>
      </c>
      <c r="E48" s="7" t="str">
        <f>IFERROR(VLOOKUP(D48,'Lista desplegable'!C$1:D$436,2,FALSE),"")</f>
        <v>PERFORISTA</v>
      </c>
      <c r="F48" s="19" t="s">
        <v>890</v>
      </c>
      <c r="G48" s="11" t="s">
        <v>903</v>
      </c>
      <c r="H48" s="11" t="s">
        <v>911</v>
      </c>
      <c r="I48" s="11">
        <v>0</v>
      </c>
      <c r="J48" s="11" t="s">
        <v>984</v>
      </c>
      <c r="K48" s="11" t="s">
        <v>918</v>
      </c>
      <c r="L48" s="11" t="s">
        <v>918</v>
      </c>
      <c r="M48" s="11"/>
    </row>
    <row r="49" spans="2:13" ht="13.05" customHeight="1" x14ac:dyDescent="0.25">
      <c r="B49" s="24">
        <v>8</v>
      </c>
      <c r="C49" s="11"/>
      <c r="D49" s="7" t="str">
        <f>IFERROR(VLOOKUP(C49,'Lista desplegable'!B$1:C$436,2,FALSE),"")</f>
        <v/>
      </c>
      <c r="E49" s="7" t="str">
        <f>IFERROR(VLOOKUP(D49,'Lista desplegable'!C$1:D$436,2,FALSE),"")</f>
        <v/>
      </c>
      <c r="F49" s="19"/>
      <c r="G49" s="11"/>
      <c r="H49" s="11"/>
      <c r="I49" s="11"/>
      <c r="J49" s="11"/>
      <c r="K49" s="11"/>
      <c r="L49" s="11"/>
      <c r="M49" s="11"/>
    </row>
    <row r="50" spans="2:13" ht="13.05" customHeight="1" x14ac:dyDescent="0.25">
      <c r="B50" s="24">
        <v>9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11"/>
      <c r="J50" s="11"/>
      <c r="K50" s="11"/>
      <c r="L50" s="11"/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2:I2"/>
    <mergeCell ref="G3:I3"/>
    <mergeCell ref="C6:M6"/>
    <mergeCell ref="C40:M40"/>
  </mergeCell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168CC35-90F4-45D4-9615-D6A9E5E42BAD}">
          <x14:formula1>
            <xm:f>'Lista desplegable'!$N$2:$N$5</xm:f>
          </x14:formula1>
          <xm:sqref>J42:J71 J8:J37</xm:sqref>
        </x14:dataValidation>
        <x14:dataValidation type="list" allowBlank="1" showInputMessage="1" showErrorMessage="1" xr:uid="{6AF4B7B3-4059-44BF-A087-A012B3D02453}">
          <x14:formula1>
            <xm:f>'Lista desplegable'!$B$2:$B$436</xm:f>
          </x14:formula1>
          <xm:sqref>C42:C71 C8:C37</xm:sqref>
        </x14:dataValidation>
        <x14:dataValidation type="list" allowBlank="1" showInputMessage="1" showErrorMessage="1" xr:uid="{6DAF3001-701A-4D4E-9F24-4AF2AE969542}">
          <x14:formula1>
            <xm:f>'Lista desplegable'!$F$2:$F$19</xm:f>
          </x14:formula1>
          <xm:sqref>F42:F71 F8:F37</xm:sqref>
        </x14:dataValidation>
        <x14:dataValidation type="list" allowBlank="1" showInputMessage="1" showErrorMessage="1" xr:uid="{B7DC0F2B-A1D1-4EEB-B608-3FC9B7C87371}">
          <x14:formula1>
            <xm:f>'Lista desplegable'!$J$2:$J$10</xm:f>
          </x14:formula1>
          <xm:sqref>H42:H71 H8:H37</xm:sqref>
        </x14:dataValidation>
        <x14:dataValidation type="list" allowBlank="1" showInputMessage="1" showErrorMessage="1" xr:uid="{6E1F734E-2458-43FB-8686-5B9CCB7BECAF}">
          <x14:formula1>
            <xm:f>'Lista desplegable'!$H$2:$H$7</xm:f>
          </x14:formula1>
          <xm:sqref>G42:G71 G8:G37</xm:sqref>
        </x14:dataValidation>
        <x14:dataValidation type="list" allowBlank="1" showInputMessage="1" showErrorMessage="1" xr:uid="{31BE912B-A55D-461F-8955-82C1D8D600B2}">
          <x14:formula1>
            <xm:f>'Lista desplegable'!$L$2:$L$3</xm:f>
          </x14:formula1>
          <xm:sqref>K42:L71 K8:L37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CBC5-0664-4605-B8A8-B8C4E5760698}">
  <dimension ref="B1:M93"/>
  <sheetViews>
    <sheetView zoomScale="80" zoomScaleNormal="80" workbookViewId="0">
      <selection activeCell="L20" sqref="L20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0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21.77734375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46292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11" t="s">
        <v>692</v>
      </c>
      <c r="D8" s="7" t="str">
        <f>IFERROR(VLOOKUP(C8,'Lista desplegable'!B$1:C$436,2,FALSE),"")</f>
        <v>JOSE CRISTIAN BASTIAS PEREZ</v>
      </c>
      <c r="E8" s="7" t="str">
        <f>IFERROR(VLOOKUP(D8,'Lista desplegable'!C$1:D$436,2,FALSE),"")</f>
        <v>SUPERVISOR DE OPERACIONES</v>
      </c>
      <c r="F8" s="19" t="s">
        <v>890</v>
      </c>
      <c r="G8" s="11" t="s">
        <v>903</v>
      </c>
      <c r="H8" s="11" t="s">
        <v>911</v>
      </c>
      <c r="I8" s="11">
        <v>0</v>
      </c>
      <c r="J8" s="11" t="s">
        <v>984</v>
      </c>
      <c r="K8" s="11" t="s">
        <v>918</v>
      </c>
      <c r="L8" s="11" t="s">
        <v>918</v>
      </c>
      <c r="M8" s="11"/>
    </row>
    <row r="9" spans="2:13" s="1" customFormat="1" ht="13.05" customHeight="1" x14ac:dyDescent="0.25">
      <c r="B9" s="24">
        <v>2</v>
      </c>
      <c r="C9" s="10" t="s">
        <v>991</v>
      </c>
      <c r="D9" s="7" t="str">
        <f>IFERROR(VLOOKUP(C9,'Lista desplegable'!B$1:C$436,2,FALSE),"")</f>
        <v>JORGE ENRIQUE CEBALLOS JOFRE</v>
      </c>
      <c r="E9" s="7" t="str">
        <f>IFERROR(VLOOKUP(D9,'Lista desplegable'!C$1:D$436,2,FALSE),"")</f>
        <v>PREVENCIONISTA DE RIESGOS</v>
      </c>
      <c r="F9" s="19" t="s">
        <v>890</v>
      </c>
      <c r="G9" s="11" t="s">
        <v>903</v>
      </c>
      <c r="H9" s="11" t="s">
        <v>911</v>
      </c>
      <c r="I9" s="11">
        <v>0</v>
      </c>
      <c r="J9" s="11" t="s">
        <v>984</v>
      </c>
      <c r="K9" s="11" t="s">
        <v>918</v>
      </c>
      <c r="L9" s="11" t="s">
        <v>918</v>
      </c>
      <c r="M9" s="11"/>
    </row>
    <row r="10" spans="2:13" s="1" customFormat="1" ht="13.05" customHeight="1" x14ac:dyDescent="0.25">
      <c r="B10" s="24">
        <v>3</v>
      </c>
      <c r="C10" s="11" t="s">
        <v>769</v>
      </c>
      <c r="D10" s="7" t="str">
        <f>IFERROR(VLOOKUP(C10,'Lista desplegable'!B$1:C$436,2,FALSE),"")</f>
        <v>NATALY ANTONIA SALAS ESCOBAR</v>
      </c>
      <c r="E10" s="7" t="str">
        <f>IFERROR(VLOOKUP(D10,'Lista desplegable'!C$1:D$436,2,FALSE),"")</f>
        <v>ADMINISTRATIVO DE FAENA</v>
      </c>
      <c r="F10" s="19" t="s">
        <v>890</v>
      </c>
      <c r="G10" s="11" t="s">
        <v>903</v>
      </c>
      <c r="H10" s="11" t="s">
        <v>911</v>
      </c>
      <c r="I10" s="11">
        <v>0</v>
      </c>
      <c r="J10" s="11" t="s">
        <v>984</v>
      </c>
      <c r="K10" s="11" t="s">
        <v>918</v>
      </c>
      <c r="L10" s="11" t="s">
        <v>918</v>
      </c>
      <c r="M10" s="11"/>
    </row>
    <row r="11" spans="2:13" s="1" customFormat="1" ht="13.05" customHeight="1" x14ac:dyDescent="0.25">
      <c r="B11" s="24">
        <v>4</v>
      </c>
      <c r="C11" s="11" t="s">
        <v>719</v>
      </c>
      <c r="D11" s="7" t="str">
        <f>IFERROR(VLOOKUP(C11,'Lista desplegable'!B$1:C$436,2,FALSE),"")</f>
        <v>LEONARDO ANDRES MENESES ARREDONDO</v>
      </c>
      <c r="E11" s="7" t="str">
        <f>IFERROR(VLOOKUP(D11,'Lista desplegable'!C$1:D$436,2,FALSE),"")</f>
        <v>SUPERVISOR DE OPERACIONES</v>
      </c>
      <c r="F11" s="19" t="s">
        <v>890</v>
      </c>
      <c r="G11" s="11" t="s">
        <v>903</v>
      </c>
      <c r="H11" s="11" t="s">
        <v>911</v>
      </c>
      <c r="I11" s="11">
        <v>0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11" t="s">
        <v>723</v>
      </c>
      <c r="D12" s="7" t="str">
        <f>IFERROR(VLOOKUP(C12,'Lista desplegable'!B$1:C$436,2,FALSE),"")</f>
        <v>LEONEL GUILLERMO CAMPUSANO DUBO</v>
      </c>
      <c r="E12" s="7" t="str">
        <f>IFERROR(VLOOKUP(D12,'Lista desplegable'!C$1:D$436,2,FALSE),"")</f>
        <v>AYUDANTE DE PERFORISTA</v>
      </c>
      <c r="F12" s="19" t="s">
        <v>890</v>
      </c>
      <c r="G12" s="11" t="s">
        <v>903</v>
      </c>
      <c r="H12" s="11" t="s">
        <v>911</v>
      </c>
      <c r="I12" s="11">
        <v>0</v>
      </c>
      <c r="J12" s="11" t="s">
        <v>984</v>
      </c>
      <c r="K12" s="11" t="s">
        <v>918</v>
      </c>
      <c r="L12" s="11" t="s">
        <v>918</v>
      </c>
      <c r="M12" s="11"/>
    </row>
    <row r="13" spans="2:13" s="1" customFormat="1" ht="13.05" customHeight="1" x14ac:dyDescent="0.25">
      <c r="B13" s="24">
        <v>6</v>
      </c>
      <c r="C13" s="11" t="s">
        <v>876</v>
      </c>
      <c r="D13" s="7" t="str">
        <f>IFERROR(VLOOKUP(C13,'Lista desplegable'!B$1:C$436,2,FALSE),"")</f>
        <v>VICTOR MANUEL MONDACA VEGA</v>
      </c>
      <c r="E13" s="7" t="str">
        <f>IFERROR(VLOOKUP(D13,'Lista desplegable'!C$1:D$436,2,FALSE),"")</f>
        <v>AYUDANTE DE PERFORISTA</v>
      </c>
      <c r="F13" s="19" t="s">
        <v>890</v>
      </c>
      <c r="G13" s="11" t="s">
        <v>903</v>
      </c>
      <c r="H13" s="11" t="s">
        <v>911</v>
      </c>
      <c r="I13" s="11">
        <v>0</v>
      </c>
      <c r="J13" s="11" t="s">
        <v>984</v>
      </c>
      <c r="K13" s="11" t="s">
        <v>918</v>
      </c>
      <c r="L13" s="11" t="s">
        <v>918</v>
      </c>
      <c r="M13" s="11"/>
    </row>
    <row r="14" spans="2:13" s="1" customFormat="1" ht="13.05" customHeight="1" x14ac:dyDescent="0.25">
      <c r="B14" s="24">
        <v>7</v>
      </c>
      <c r="C14" s="11" t="s">
        <v>686</v>
      </c>
      <c r="D14" s="7" t="str">
        <f>IFERROR(VLOOKUP(C14,'Lista desplegable'!B$1:C$436,2,FALSE),"")</f>
        <v>JORGE ARMANDO TINOCO OSPINO</v>
      </c>
      <c r="E14" s="7" t="str">
        <f>IFERROR(VLOOKUP(D14,'Lista desplegable'!C$1:D$436,2,FALSE),"")</f>
        <v>CHOFER</v>
      </c>
      <c r="F14" s="19" t="s">
        <v>890</v>
      </c>
      <c r="G14" s="11" t="s">
        <v>903</v>
      </c>
      <c r="H14" s="11" t="s">
        <v>911</v>
      </c>
      <c r="I14" s="11">
        <v>0</v>
      </c>
      <c r="J14" s="11" t="s">
        <v>984</v>
      </c>
      <c r="K14" s="11" t="s">
        <v>918</v>
      </c>
      <c r="L14" s="11" t="s">
        <v>918</v>
      </c>
      <c r="M14" s="11" t="s">
        <v>1008</v>
      </c>
    </row>
    <row r="15" spans="2:13" s="1" customFormat="1" ht="13.05" customHeight="1" x14ac:dyDescent="0.25">
      <c r="B15" s="24">
        <v>8</v>
      </c>
      <c r="C15" s="11" t="s">
        <v>534</v>
      </c>
      <c r="D15" s="7" t="str">
        <f>IFERROR(VLOOKUP(C15,'Lista desplegable'!B$1:C$436,2,FALSE),"")</f>
        <v>BENJAMIN JOSEFATT ESPINOZA URIBE</v>
      </c>
      <c r="E15" s="7" t="str">
        <f>IFERROR(VLOOKUP(D15,'Lista desplegable'!C$1:D$436,2,FALSE),"")</f>
        <v>CHOFER</v>
      </c>
      <c r="F15" s="19" t="s">
        <v>890</v>
      </c>
      <c r="G15" s="11" t="s">
        <v>903</v>
      </c>
      <c r="H15" s="11" t="s">
        <v>911</v>
      </c>
      <c r="I15" s="11">
        <v>0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11" t="s">
        <v>879</v>
      </c>
      <c r="D16" s="7" t="str">
        <f>IFERROR(VLOOKUP(C16,'Lista desplegable'!B$1:C$436,2,FALSE),"")</f>
        <v>WALTER DEL CARMEN PIZARRO ALVAREZ</v>
      </c>
      <c r="E16" s="7" t="str">
        <f>IFERROR(VLOOKUP(D16,'Lista desplegable'!C$1:D$436,2,FALSE),"")</f>
        <v>CHOFER</v>
      </c>
      <c r="F16" s="19" t="s">
        <v>890</v>
      </c>
      <c r="G16" s="11" t="s">
        <v>903</v>
      </c>
      <c r="H16" s="11" t="s">
        <v>911</v>
      </c>
      <c r="I16" s="11">
        <v>0</v>
      </c>
      <c r="J16" s="11" t="s">
        <v>984</v>
      </c>
      <c r="K16" s="11" t="s">
        <v>918</v>
      </c>
      <c r="L16" s="11" t="s">
        <v>918</v>
      </c>
      <c r="M16" s="11"/>
    </row>
    <row r="17" spans="2:13" s="1" customFormat="1" ht="13.05" customHeight="1" x14ac:dyDescent="0.25">
      <c r="B17" s="24">
        <v>10</v>
      </c>
      <c r="C17" s="11" t="s">
        <v>864</v>
      </c>
      <c r="D17" s="7" t="str">
        <f>IFERROR(VLOOKUP(C17,'Lista desplegable'!B$1:C$436,2,FALSE),"")</f>
        <v>TUMENNASAN SANSRAI .</v>
      </c>
      <c r="E17" s="7" t="str">
        <f>IFERROR(VLOOKUP(D17,'Lista desplegable'!C$1:D$436,2,FALSE),"")</f>
        <v>PERFORISTA</v>
      </c>
      <c r="F17" s="19" t="s">
        <v>890</v>
      </c>
      <c r="G17" s="11" t="s">
        <v>903</v>
      </c>
      <c r="H17" s="11" t="s">
        <v>911</v>
      </c>
      <c r="I17" s="11">
        <v>0</v>
      </c>
      <c r="J17" s="11" t="s">
        <v>984</v>
      </c>
      <c r="K17" s="11"/>
      <c r="L17" s="11"/>
      <c r="M17" s="11"/>
    </row>
    <row r="18" spans="2:13" s="1" customFormat="1" ht="13.05" customHeight="1" x14ac:dyDescent="0.25">
      <c r="B18" s="24">
        <v>11</v>
      </c>
      <c r="C18" s="10" t="s">
        <v>689</v>
      </c>
      <c r="D18" s="7" t="str">
        <f>IFERROR(VLOOKUP(C18,'Lista desplegable'!B$1:C$436,2,FALSE),"")</f>
        <v>JORGE ERIKSON DURAND RUIZ</v>
      </c>
      <c r="E18" s="7" t="str">
        <f>IFERROR(VLOOKUP(D18,'Lista desplegable'!C$1:D$436,2,FALSE),"")</f>
        <v>MECANICO</v>
      </c>
      <c r="F18" s="19" t="s">
        <v>890</v>
      </c>
      <c r="G18" s="11" t="s">
        <v>903</v>
      </c>
      <c r="H18" s="11" t="s">
        <v>911</v>
      </c>
      <c r="I18" s="11">
        <v>0</v>
      </c>
      <c r="J18" s="11" t="s">
        <v>984</v>
      </c>
      <c r="K18" s="11" t="s">
        <v>918</v>
      </c>
      <c r="L18" s="11" t="s">
        <v>918</v>
      </c>
      <c r="M18" s="11"/>
    </row>
    <row r="19" spans="2:13" s="1" customFormat="1" ht="13.05" customHeight="1" x14ac:dyDescent="0.25">
      <c r="B19" s="24">
        <v>12</v>
      </c>
      <c r="C19" s="11" t="s">
        <v>881</v>
      </c>
      <c r="D19" s="7" t="str">
        <f>IFERROR(VLOOKUP(C19,'Lista desplegable'!B$1:C$436,2,FALSE),"")</f>
        <v>WILLIAM HERNAN ALVAREZ TRUJILLO</v>
      </c>
      <c r="E19" s="7" t="str">
        <f>IFERROR(VLOOKUP(D19,'Lista desplegable'!C$1:D$436,2,FALSE),"")</f>
        <v>SOLDADOR</v>
      </c>
      <c r="F19" s="19" t="s">
        <v>890</v>
      </c>
      <c r="G19" s="11" t="s">
        <v>903</v>
      </c>
      <c r="H19" s="11" t="s">
        <v>911</v>
      </c>
      <c r="I19" s="11">
        <v>0</v>
      </c>
      <c r="J19" s="11" t="s">
        <v>984</v>
      </c>
      <c r="K19" s="11" t="s">
        <v>918</v>
      </c>
      <c r="L19" s="11" t="s">
        <v>918</v>
      </c>
      <c r="M19" s="11"/>
    </row>
    <row r="20" spans="2:13" s="1" customFormat="1" ht="13.05" customHeight="1" x14ac:dyDescent="0.25">
      <c r="B20" s="24">
        <v>13</v>
      </c>
      <c r="C20" s="10" t="s">
        <v>792</v>
      </c>
      <c r="D20" s="7" t="str">
        <f>IFERROR(VLOOKUP(C20,'Lista desplegable'!B$1:C$436,2,FALSE),"")</f>
        <v>PAOLO ALEJANDRO MANRIQUEZ SILVA</v>
      </c>
      <c r="E20" s="7" t="str">
        <f>IFERROR(VLOOKUP(D20,'Lista desplegable'!C$1:D$436,2,FALSE),"")</f>
        <v>BODEGUERO</v>
      </c>
      <c r="F20" s="19" t="s">
        <v>890</v>
      </c>
      <c r="G20" s="11" t="s">
        <v>903</v>
      </c>
      <c r="H20" s="11" t="s">
        <v>911</v>
      </c>
      <c r="I20" s="11">
        <v>0</v>
      </c>
      <c r="J20" s="11" t="s">
        <v>984</v>
      </c>
      <c r="K20" s="11" t="s">
        <v>918</v>
      </c>
      <c r="L20" s="11" t="s">
        <v>918</v>
      </c>
      <c r="M20" s="11"/>
    </row>
    <row r="21" spans="2:13" s="1" customFormat="1" ht="13.05" customHeight="1" x14ac:dyDescent="0.25">
      <c r="B21" s="24">
        <v>14</v>
      </c>
      <c r="C21" s="11"/>
      <c r="D21" s="7" t="str">
        <f>IFERROR(VLOOKUP(C21,'Lista desplegable'!B$1:C$436,2,FALSE),"")</f>
        <v/>
      </c>
      <c r="E21" s="7"/>
      <c r="F21" s="19"/>
      <c r="G21" s="11"/>
      <c r="H21" s="11"/>
      <c r="I21" s="11"/>
      <c r="J21" s="11"/>
      <c r="K21" s="11"/>
      <c r="L21" s="11"/>
      <c r="M21" s="11"/>
    </row>
    <row r="22" spans="2:13" s="1" customFormat="1" ht="13.05" customHeight="1" x14ac:dyDescent="0.25">
      <c r="B22" s="24">
        <v>15</v>
      </c>
      <c r="C22" s="11"/>
      <c r="D22" s="7" t="str">
        <f>IFERROR(VLOOKUP(C22,'Lista desplegable'!B$1:C$436,2,FALSE),"")</f>
        <v/>
      </c>
      <c r="E22" s="7"/>
      <c r="F22" s="19"/>
      <c r="G22" s="11"/>
      <c r="H22" s="11"/>
      <c r="I22" s="11"/>
      <c r="J22" s="11"/>
      <c r="K22" s="11"/>
      <c r="L22" s="11"/>
      <c r="M22" s="11"/>
    </row>
    <row r="23" spans="2:13" s="1" customFormat="1" ht="13.05" customHeight="1" x14ac:dyDescent="0.25">
      <c r="B23" s="24">
        <v>16</v>
      </c>
      <c r="C23" s="11"/>
      <c r="D23" s="7" t="str">
        <f>IFERROR(VLOOKUP(C23,'Lista desplegable'!B$1:C$436,2,FALSE),"")</f>
        <v/>
      </c>
      <c r="E23" s="7" t="str">
        <f>IFERROR(VLOOKUP(D23,'Lista desplegable'!C$1:D$436,2,FALSE),"")</f>
        <v/>
      </c>
      <c r="F23" s="19"/>
      <c r="G23" s="11"/>
      <c r="H23" s="11"/>
      <c r="I23" s="11"/>
      <c r="J23" s="11"/>
      <c r="K23" s="11"/>
      <c r="L23" s="11"/>
      <c r="M23" s="11"/>
    </row>
    <row r="24" spans="2:13" s="1" customFormat="1" ht="13.05" customHeight="1" x14ac:dyDescent="0.25">
      <c r="B24" s="24">
        <v>17</v>
      </c>
      <c r="C24" s="11"/>
      <c r="D24" s="7" t="str">
        <f>IFERROR(VLOOKUP(C24,'Lista desplegable'!B$1:C$436,2,FALSE),"")</f>
        <v/>
      </c>
      <c r="E24" s="7" t="str">
        <f>IFERROR(VLOOKUP(D24,'Lista desplegable'!C$1:D$436,2,FALSE),"")</f>
        <v/>
      </c>
      <c r="F24" s="19"/>
      <c r="G24" s="11"/>
      <c r="H24" s="11"/>
      <c r="I24" s="11"/>
      <c r="J24" s="11"/>
      <c r="K24" s="11"/>
      <c r="L24" s="11"/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05" customHeight="1" x14ac:dyDescent="0.25">
      <c r="C38"/>
    </row>
    <row r="39" spans="2:13" ht="13.05" customHeight="1" x14ac:dyDescent="0.25">
      <c r="C39"/>
    </row>
    <row r="40" spans="2:13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3" ht="13.05" customHeight="1" x14ac:dyDescent="0.25">
      <c r="B42" s="24">
        <v>1</v>
      </c>
      <c r="C42" s="11" t="s">
        <v>865</v>
      </c>
      <c r="D42" s="7" t="str">
        <f>IFERROR(VLOOKUP(C42,'Lista desplegable'!B$1:C$436,2,FALSE),"")</f>
        <v>ULINSON DIAZ CORTES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>
        <v>0</v>
      </c>
      <c r="J42" s="11" t="s">
        <v>984</v>
      </c>
      <c r="K42" s="11" t="s">
        <v>918</v>
      </c>
      <c r="L42" s="11" t="s">
        <v>918</v>
      </c>
      <c r="M42" s="11"/>
    </row>
    <row r="43" spans="2:13" ht="13.05" customHeight="1" x14ac:dyDescent="0.25">
      <c r="B43" s="24">
        <v>2</v>
      </c>
      <c r="C43" s="11" t="s">
        <v>829</v>
      </c>
      <c r="D43" s="7" t="str">
        <f>IFERROR(VLOOKUP(C43,'Lista desplegable'!B$1:C$436,2,FALSE),"")</f>
        <v>RODRIGO ALEJANDRO FLORES ZEPEDA</v>
      </c>
      <c r="E43" s="7" t="str">
        <f>IFERROR(VLOOKUP(D43,'Lista desplegable'!C$1:D$436,2,FALSE),"")</f>
        <v>AYUDANTE DE PERFORISTA</v>
      </c>
      <c r="F43" s="19" t="s">
        <v>890</v>
      </c>
      <c r="G43" s="11" t="s">
        <v>903</v>
      </c>
      <c r="H43" s="11" t="s">
        <v>911</v>
      </c>
      <c r="I43" s="11">
        <v>0</v>
      </c>
      <c r="J43" s="11" t="s">
        <v>984</v>
      </c>
      <c r="K43" s="11" t="s">
        <v>918</v>
      </c>
      <c r="L43" s="11" t="s">
        <v>918</v>
      </c>
      <c r="M43" s="11"/>
    </row>
    <row r="44" spans="2:13" ht="13.05" customHeight="1" x14ac:dyDescent="0.25">
      <c r="B44" s="24">
        <v>3</v>
      </c>
      <c r="C44" s="11" t="s">
        <v>618</v>
      </c>
      <c r="D44" s="7" t="str">
        <f>IFERROR(VLOOKUP(C44,'Lista desplegable'!B$1:C$436,2,FALSE),"")</f>
        <v>FABIAN PATRICIO CABRERA GODOY</v>
      </c>
      <c r="E44" s="7" t="str">
        <f>IFERROR(VLOOKUP(D44,'Lista desplegable'!C$1:D$436,2,FALSE),"")</f>
        <v>AYUDANTE DE PERFORISTA</v>
      </c>
      <c r="F44" s="19" t="s">
        <v>890</v>
      </c>
      <c r="G44" s="11" t="s">
        <v>903</v>
      </c>
      <c r="H44" s="11" t="s">
        <v>911</v>
      </c>
      <c r="I44" s="11">
        <v>0</v>
      </c>
      <c r="J44" s="11" t="s">
        <v>984</v>
      </c>
      <c r="K44" s="11" t="s">
        <v>918</v>
      </c>
      <c r="L44" s="11" t="s">
        <v>918</v>
      </c>
      <c r="M44" s="11"/>
    </row>
    <row r="45" spans="2:13" ht="13.05" customHeight="1" x14ac:dyDescent="0.25">
      <c r="B45" s="24">
        <v>4</v>
      </c>
      <c r="C45" s="11" t="s">
        <v>616</v>
      </c>
      <c r="D45" s="7" t="str">
        <f>IFERROR(VLOOKUP(C45,'Lista desplegable'!B$1:C$436,2,FALSE),"")</f>
        <v>ESTEFANIA CONSTANZA NAETER QUIROZ</v>
      </c>
      <c r="E45" s="7" t="str">
        <f>IFERROR(VLOOKUP(D45,'Lista desplegable'!C$1:D$436,2,FALSE),"")</f>
        <v>CHOFER</v>
      </c>
      <c r="F45" s="19" t="s">
        <v>890</v>
      </c>
      <c r="G45" s="11" t="s">
        <v>903</v>
      </c>
      <c r="H45" s="11" t="s">
        <v>911</v>
      </c>
      <c r="I45" s="11">
        <v>0</v>
      </c>
      <c r="J45" s="11" t="s">
        <v>984</v>
      </c>
      <c r="K45" s="11" t="s">
        <v>918</v>
      </c>
      <c r="L45" s="11" t="s">
        <v>918</v>
      </c>
      <c r="M45" s="11"/>
    </row>
    <row r="46" spans="2:13" ht="13.05" customHeight="1" x14ac:dyDescent="0.25">
      <c r="B46" s="24">
        <v>5</v>
      </c>
      <c r="C46" s="11" t="s">
        <v>990</v>
      </c>
      <c r="D46" s="7" t="str">
        <f>IFERROR(VLOOKUP(C46,'Lista desplegable'!B$1:C$436,2,FALSE),"")</f>
        <v>BENIGNO EDUARDO PAEZ MENESES</v>
      </c>
      <c r="E46" s="7" t="str">
        <f>IFERROR(VLOOKUP(D46,'Lista desplegable'!C$1:D$436,2,FALSE),"")</f>
        <v>CHOFER</v>
      </c>
      <c r="F46" s="19" t="s">
        <v>890</v>
      </c>
      <c r="G46" s="11" t="s">
        <v>903</v>
      </c>
      <c r="H46" s="11" t="s">
        <v>911</v>
      </c>
      <c r="I46" s="11">
        <v>0</v>
      </c>
      <c r="J46" s="11" t="s">
        <v>984</v>
      </c>
      <c r="K46" s="11" t="s">
        <v>918</v>
      </c>
      <c r="L46" s="11" t="s">
        <v>918</v>
      </c>
      <c r="M46" s="11"/>
    </row>
    <row r="47" spans="2:13" ht="13.05" customHeight="1" x14ac:dyDescent="0.25">
      <c r="B47" s="24">
        <v>6</v>
      </c>
      <c r="C47" s="11" t="s">
        <v>826</v>
      </c>
      <c r="D47" s="7" t="str">
        <f>IFERROR(VLOOKUP(C47,'Lista desplegable'!B$1:C$436,2,FALSE),"")</f>
        <v>ROBERTO MARIO VARGAS RODRIGUEZ</v>
      </c>
      <c r="E47" s="7" t="str">
        <f>IFERROR(VLOOKUP(D47,'Lista desplegable'!C$1:D$436,2,FALSE),"")</f>
        <v>MECANICO</v>
      </c>
      <c r="F47" s="19" t="s">
        <v>890</v>
      </c>
      <c r="G47" s="11" t="s">
        <v>903</v>
      </c>
      <c r="H47" s="11" t="s">
        <v>911</v>
      </c>
      <c r="I47" s="11">
        <v>0</v>
      </c>
      <c r="J47" s="11" t="s">
        <v>984</v>
      </c>
      <c r="K47" s="11" t="s">
        <v>918</v>
      </c>
      <c r="L47" s="11" t="s">
        <v>918</v>
      </c>
      <c r="M47" s="11"/>
    </row>
    <row r="48" spans="2:13" ht="13.05" customHeight="1" x14ac:dyDescent="0.25">
      <c r="B48" s="24">
        <v>7</v>
      </c>
      <c r="C48" t="s">
        <v>542</v>
      </c>
      <c r="D48" s="7" t="str">
        <f>IFERROR(VLOOKUP(C48,'Lista desplegable'!B$1:C$436,2,FALSE),"")</f>
        <v>BYAMBATSEREN TSERENDAVAA .</v>
      </c>
      <c r="E48" s="7" t="str">
        <f>IFERROR(VLOOKUP(D48,'Lista desplegable'!C$1:D$436,2,FALSE),"")</f>
        <v>PERFORISTA</v>
      </c>
      <c r="F48" s="19" t="s">
        <v>890</v>
      </c>
      <c r="G48" s="11" t="s">
        <v>903</v>
      </c>
      <c r="H48" s="11" t="s">
        <v>911</v>
      </c>
      <c r="I48" s="11">
        <v>0</v>
      </c>
      <c r="J48" s="11" t="s">
        <v>984</v>
      </c>
      <c r="K48" s="11" t="s">
        <v>918</v>
      </c>
      <c r="L48" s="11" t="s">
        <v>918</v>
      </c>
      <c r="M48" s="11"/>
    </row>
    <row r="49" spans="2:13" ht="13.05" customHeight="1" x14ac:dyDescent="0.25">
      <c r="B49" s="24">
        <v>8</v>
      </c>
      <c r="C49" s="11"/>
      <c r="D49" s="7" t="str">
        <f>IFERROR(VLOOKUP(C49,'Lista desplegable'!B$1:C$436,2,FALSE),"")</f>
        <v/>
      </c>
      <c r="E49" s="7" t="str">
        <f>IFERROR(VLOOKUP(D49,'Lista desplegable'!C$1:D$436,2,FALSE),"")</f>
        <v/>
      </c>
      <c r="F49" s="19"/>
      <c r="G49" s="11"/>
      <c r="H49" s="11"/>
      <c r="I49" s="11"/>
      <c r="J49" s="11"/>
      <c r="K49" s="11"/>
      <c r="L49" s="11"/>
      <c r="M49" s="11"/>
    </row>
    <row r="50" spans="2:13" ht="13.05" customHeight="1" x14ac:dyDescent="0.25">
      <c r="B50" s="24">
        <v>9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11"/>
      <c r="J50" s="11"/>
      <c r="K50" s="11"/>
      <c r="L50" s="11"/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2:I2"/>
    <mergeCell ref="G3:I3"/>
    <mergeCell ref="C6:M6"/>
    <mergeCell ref="C40:M40"/>
  </mergeCell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AA944268-1479-4744-829F-9D295144F789}">
          <x14:formula1>
            <xm:f>'Lista desplegable'!$L$2:$L$3</xm:f>
          </x14:formula1>
          <xm:sqref>K42:L71 K8:L37</xm:sqref>
        </x14:dataValidation>
        <x14:dataValidation type="list" allowBlank="1" showInputMessage="1" showErrorMessage="1" xr:uid="{EDFE6218-2D90-497F-B52A-6A7270FD0711}">
          <x14:formula1>
            <xm:f>'Lista desplegable'!$H$2:$H$7</xm:f>
          </x14:formula1>
          <xm:sqref>G42:G71 G8:G37</xm:sqref>
        </x14:dataValidation>
        <x14:dataValidation type="list" allowBlank="1" showInputMessage="1" showErrorMessage="1" xr:uid="{552127E5-B399-477F-8ECE-60E152D108BA}">
          <x14:formula1>
            <xm:f>'Lista desplegable'!$J$2:$J$10</xm:f>
          </x14:formula1>
          <xm:sqref>H42:H71 H8:H37</xm:sqref>
        </x14:dataValidation>
        <x14:dataValidation type="list" allowBlank="1" showInputMessage="1" showErrorMessage="1" xr:uid="{A46AE26A-5AC1-40CF-8E31-D7571B5219FD}">
          <x14:formula1>
            <xm:f>'Lista desplegable'!$F$2:$F$19</xm:f>
          </x14:formula1>
          <xm:sqref>F42:F71 F8:F37</xm:sqref>
        </x14:dataValidation>
        <x14:dataValidation type="list" allowBlank="1" showInputMessage="1" showErrorMessage="1" xr:uid="{676E097A-BA16-4F3B-B690-7055923F25A9}">
          <x14:formula1>
            <xm:f>'Lista desplegable'!$B$2:$B$436</xm:f>
          </x14:formula1>
          <xm:sqref>C42:C71 C8:C37</xm:sqref>
        </x14:dataValidation>
        <x14:dataValidation type="list" allowBlank="1" showInputMessage="1" showErrorMessage="1" xr:uid="{C366DD34-1AAE-4FC6-A05A-13ADDEC41E35}">
          <x14:formula1>
            <xm:f>'Lista desplegable'!$N$2:$N$5</xm:f>
          </x14:formula1>
          <xm:sqref>J42:J71 J8:J37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D54E-4910-46F8-B3BB-EF975652E0D4}">
  <dimension ref="B1:M93"/>
  <sheetViews>
    <sheetView topLeftCell="A3" zoomScale="80" zoomScaleNormal="80" workbookViewId="0">
      <selection activeCell="C14" sqref="C14:L14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0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21.77734375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46293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11" t="s">
        <v>692</v>
      </c>
      <c r="D8" s="7" t="str">
        <f>IFERROR(VLOOKUP(C8,'Lista desplegable'!B$1:C$436,2,FALSE),"")</f>
        <v>JOSE CRISTIAN BASTIAS PEREZ</v>
      </c>
      <c r="E8" s="7" t="str">
        <f>IFERROR(VLOOKUP(D8,'Lista desplegable'!C$1:D$436,2,FALSE),"")</f>
        <v>SUPERVISOR DE OPERACIONES</v>
      </c>
      <c r="F8" s="19" t="s">
        <v>890</v>
      </c>
      <c r="G8" s="11" t="s">
        <v>903</v>
      </c>
      <c r="H8" s="11" t="s">
        <v>911</v>
      </c>
      <c r="I8" s="11">
        <v>0</v>
      </c>
      <c r="J8" s="11" t="s">
        <v>984</v>
      </c>
      <c r="K8" s="11" t="s">
        <v>918</v>
      </c>
      <c r="L8" s="11" t="s">
        <v>919</v>
      </c>
      <c r="M8" s="11"/>
    </row>
    <row r="9" spans="2:13" s="1" customFormat="1" ht="13.05" customHeight="1" x14ac:dyDescent="0.25">
      <c r="B9" s="24">
        <v>2</v>
      </c>
      <c r="C9" s="10" t="s">
        <v>991</v>
      </c>
      <c r="D9" s="7" t="str">
        <f>IFERROR(VLOOKUP(C9,'Lista desplegable'!B$1:C$436,2,FALSE),"")</f>
        <v>JORGE ENRIQUE CEBALLOS JOFRE</v>
      </c>
      <c r="E9" s="7" t="str">
        <f>IFERROR(VLOOKUP(D9,'Lista desplegable'!C$1:D$436,2,FALSE),"")</f>
        <v>PREVENCIONISTA DE RIESGOS</v>
      </c>
      <c r="F9" s="19" t="s">
        <v>890</v>
      </c>
      <c r="G9" s="11" t="s">
        <v>903</v>
      </c>
      <c r="H9" s="11" t="s">
        <v>911</v>
      </c>
      <c r="I9" s="11">
        <v>0</v>
      </c>
      <c r="J9" s="11" t="s">
        <v>984</v>
      </c>
      <c r="K9" s="11" t="s">
        <v>918</v>
      </c>
      <c r="L9" s="11" t="s">
        <v>918</v>
      </c>
      <c r="M9" s="11"/>
    </row>
    <row r="10" spans="2:13" s="1" customFormat="1" ht="13.05" customHeight="1" x14ac:dyDescent="0.25">
      <c r="B10" s="24">
        <v>3</v>
      </c>
      <c r="C10" s="11" t="s">
        <v>769</v>
      </c>
      <c r="D10" s="7" t="str">
        <f>IFERROR(VLOOKUP(C10,'Lista desplegable'!B$1:C$436,2,FALSE),"")</f>
        <v>NATALY ANTONIA SALAS ESCOBAR</v>
      </c>
      <c r="E10" s="7" t="str">
        <f>IFERROR(VLOOKUP(D10,'Lista desplegable'!C$1:D$436,2,FALSE),"")</f>
        <v>ADMINISTRATIVO DE FAENA</v>
      </c>
      <c r="F10" s="19" t="s">
        <v>890</v>
      </c>
      <c r="G10" s="11" t="s">
        <v>903</v>
      </c>
      <c r="H10" s="11" t="s">
        <v>911</v>
      </c>
      <c r="I10" s="11">
        <v>0</v>
      </c>
      <c r="J10" s="11" t="s">
        <v>984</v>
      </c>
      <c r="K10" s="11" t="s">
        <v>918</v>
      </c>
      <c r="L10" s="11" t="s">
        <v>918</v>
      </c>
      <c r="M10" s="11"/>
    </row>
    <row r="11" spans="2:13" s="1" customFormat="1" ht="13.05" customHeight="1" x14ac:dyDescent="0.25">
      <c r="B11" s="24">
        <v>4</v>
      </c>
      <c r="C11" s="11" t="s">
        <v>719</v>
      </c>
      <c r="D11" s="7" t="str">
        <f>IFERROR(VLOOKUP(C11,'Lista desplegable'!B$1:C$436,2,FALSE),"")</f>
        <v>LEONARDO ANDRES MENESES ARREDONDO</v>
      </c>
      <c r="E11" s="7" t="str">
        <f>IFERROR(VLOOKUP(D11,'Lista desplegable'!C$1:D$436,2,FALSE),"")</f>
        <v>SUPERVISOR DE OPERACIONES</v>
      </c>
      <c r="F11" s="19" t="s">
        <v>890</v>
      </c>
      <c r="G11" s="11" t="s">
        <v>903</v>
      </c>
      <c r="H11" s="11" t="s">
        <v>911</v>
      </c>
      <c r="I11" s="11">
        <v>0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11" t="s">
        <v>723</v>
      </c>
      <c r="D12" s="7" t="str">
        <f>IFERROR(VLOOKUP(C12,'Lista desplegable'!B$1:C$436,2,FALSE),"")</f>
        <v>LEONEL GUILLERMO CAMPUSANO DUBO</v>
      </c>
      <c r="E12" s="7" t="str">
        <f>IFERROR(VLOOKUP(D12,'Lista desplegable'!C$1:D$436,2,FALSE),"")</f>
        <v>AYUDANTE DE PERFORISTA</v>
      </c>
      <c r="F12" s="19" t="s">
        <v>890</v>
      </c>
      <c r="G12" s="11" t="s">
        <v>903</v>
      </c>
      <c r="H12" s="11" t="s">
        <v>911</v>
      </c>
      <c r="I12" s="11">
        <v>0</v>
      </c>
      <c r="J12" s="11" t="s">
        <v>984</v>
      </c>
      <c r="K12" s="11" t="s">
        <v>918</v>
      </c>
      <c r="L12" s="11" t="s">
        <v>919</v>
      </c>
      <c r="M12" s="11"/>
    </row>
    <row r="13" spans="2:13" s="1" customFormat="1" ht="13.05" customHeight="1" x14ac:dyDescent="0.25">
      <c r="B13" s="24">
        <v>6</v>
      </c>
      <c r="C13" s="11" t="s">
        <v>876</v>
      </c>
      <c r="D13" s="7" t="str">
        <f>IFERROR(VLOOKUP(C13,'Lista desplegable'!B$1:C$436,2,FALSE),"")</f>
        <v>VICTOR MANUEL MONDACA VEGA</v>
      </c>
      <c r="E13" s="7" t="str">
        <f>IFERROR(VLOOKUP(D13,'Lista desplegable'!C$1:D$436,2,FALSE),"")</f>
        <v>AYUDANTE DE PERFORISTA</v>
      </c>
      <c r="F13" s="19" t="s">
        <v>890</v>
      </c>
      <c r="G13" s="11" t="s">
        <v>903</v>
      </c>
      <c r="H13" s="11" t="s">
        <v>911</v>
      </c>
      <c r="I13" s="11">
        <v>0</v>
      </c>
      <c r="J13" s="11" t="s">
        <v>984</v>
      </c>
      <c r="K13" s="11" t="s">
        <v>918</v>
      </c>
      <c r="L13" s="11" t="s">
        <v>918</v>
      </c>
      <c r="M13" s="11"/>
    </row>
    <row r="14" spans="2:13" s="1" customFormat="1" ht="13.05" customHeight="1" x14ac:dyDescent="0.25">
      <c r="B14" s="24">
        <v>7</v>
      </c>
      <c r="C14" s="11" t="s">
        <v>686</v>
      </c>
      <c r="D14" s="7" t="str">
        <f>IFERROR(VLOOKUP(C14,'Lista desplegable'!B$1:C$436,2,FALSE),"")</f>
        <v>JORGE ARMANDO TINOCO OSPINO</v>
      </c>
      <c r="E14" s="7" t="str">
        <f>IFERROR(VLOOKUP(D14,'Lista desplegable'!C$1:D$436,2,FALSE),"")</f>
        <v>CHOFER</v>
      </c>
      <c r="F14" s="19" t="s">
        <v>890</v>
      </c>
      <c r="G14" s="11" t="s">
        <v>903</v>
      </c>
      <c r="H14" s="11" t="s">
        <v>911</v>
      </c>
      <c r="I14" s="11">
        <v>0</v>
      </c>
      <c r="J14" s="11" t="s">
        <v>984</v>
      </c>
      <c r="K14" s="11" t="s">
        <v>918</v>
      </c>
      <c r="L14" s="11" t="s">
        <v>918</v>
      </c>
      <c r="M14" s="11"/>
    </row>
    <row r="15" spans="2:13" s="1" customFormat="1" ht="13.05" customHeight="1" x14ac:dyDescent="0.25">
      <c r="B15" s="24">
        <v>8</v>
      </c>
      <c r="C15" s="11" t="s">
        <v>534</v>
      </c>
      <c r="D15" s="7" t="str">
        <f>IFERROR(VLOOKUP(C15,'Lista desplegable'!B$1:C$436,2,FALSE),"")</f>
        <v>BENJAMIN JOSEFATT ESPINOZA URIBE</v>
      </c>
      <c r="E15" s="7" t="str">
        <f>IFERROR(VLOOKUP(D15,'Lista desplegable'!C$1:D$436,2,FALSE),"")</f>
        <v>CHOFER</v>
      </c>
      <c r="F15" s="19" t="s">
        <v>890</v>
      </c>
      <c r="G15" s="11" t="s">
        <v>903</v>
      </c>
      <c r="H15" s="11" t="s">
        <v>911</v>
      </c>
      <c r="I15" s="11">
        <v>0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11" t="s">
        <v>879</v>
      </c>
      <c r="D16" s="7" t="str">
        <f>IFERROR(VLOOKUP(C16,'Lista desplegable'!B$1:C$436,2,FALSE),"")</f>
        <v>WALTER DEL CARMEN PIZARRO ALVAREZ</v>
      </c>
      <c r="E16" s="7" t="str">
        <f>IFERROR(VLOOKUP(D16,'Lista desplegable'!C$1:D$436,2,FALSE),"")</f>
        <v>CHOFER</v>
      </c>
      <c r="F16" s="19" t="s">
        <v>890</v>
      </c>
      <c r="G16" s="11" t="s">
        <v>903</v>
      </c>
      <c r="H16" s="11" t="s">
        <v>911</v>
      </c>
      <c r="I16" s="11">
        <v>0</v>
      </c>
      <c r="J16" s="11" t="s">
        <v>984</v>
      </c>
      <c r="K16" s="11" t="s">
        <v>918</v>
      </c>
      <c r="L16" s="11" t="s">
        <v>918</v>
      </c>
      <c r="M16" s="11"/>
    </row>
    <row r="17" spans="2:13" s="1" customFormat="1" ht="13.05" customHeight="1" x14ac:dyDescent="0.25">
      <c r="B17" s="24">
        <v>10</v>
      </c>
      <c r="C17" s="11" t="s">
        <v>864</v>
      </c>
      <c r="D17" s="7" t="str">
        <f>IFERROR(VLOOKUP(C17,'Lista desplegable'!B$1:C$436,2,FALSE),"")</f>
        <v>TUMENNASAN SANSRAI .</v>
      </c>
      <c r="E17" s="7" t="str">
        <f>IFERROR(VLOOKUP(D17,'Lista desplegable'!C$1:D$436,2,FALSE),"")</f>
        <v>PERFORISTA</v>
      </c>
      <c r="F17" s="19" t="s">
        <v>890</v>
      </c>
      <c r="G17" s="11" t="s">
        <v>903</v>
      </c>
      <c r="H17" s="11" t="s">
        <v>911</v>
      </c>
      <c r="I17" s="11">
        <v>0</v>
      </c>
      <c r="J17" s="11" t="s">
        <v>984</v>
      </c>
      <c r="K17" s="11"/>
      <c r="L17" s="11"/>
      <c r="M17" s="11"/>
    </row>
    <row r="18" spans="2:13" s="1" customFormat="1" ht="13.05" customHeight="1" x14ac:dyDescent="0.25">
      <c r="B18" s="24">
        <v>11</v>
      </c>
      <c r="C18" s="10" t="s">
        <v>689</v>
      </c>
      <c r="D18" s="7" t="str">
        <f>IFERROR(VLOOKUP(C18,'Lista desplegable'!B$1:C$436,2,FALSE),"")</f>
        <v>JORGE ERIKSON DURAND RUIZ</v>
      </c>
      <c r="E18" s="7" t="str">
        <f>IFERROR(VLOOKUP(D18,'Lista desplegable'!C$1:D$436,2,FALSE),"")</f>
        <v>MECANICO</v>
      </c>
      <c r="F18" s="19" t="s">
        <v>890</v>
      </c>
      <c r="G18" s="11" t="s">
        <v>903</v>
      </c>
      <c r="H18" s="11" t="s">
        <v>911</v>
      </c>
      <c r="I18" s="11">
        <v>0</v>
      </c>
      <c r="J18" s="11" t="s">
        <v>984</v>
      </c>
      <c r="K18" s="11" t="s">
        <v>918</v>
      </c>
      <c r="L18" s="11" t="s">
        <v>918</v>
      </c>
      <c r="M18" s="11"/>
    </row>
    <row r="19" spans="2:13" s="1" customFormat="1" ht="13.05" customHeight="1" x14ac:dyDescent="0.25">
      <c r="B19" s="24">
        <v>12</v>
      </c>
      <c r="C19" s="11" t="s">
        <v>881</v>
      </c>
      <c r="D19" s="7" t="str">
        <f>IFERROR(VLOOKUP(C19,'Lista desplegable'!B$1:C$436,2,FALSE),"")</f>
        <v>WILLIAM HERNAN ALVAREZ TRUJILLO</v>
      </c>
      <c r="E19" s="7" t="str">
        <f>IFERROR(VLOOKUP(D19,'Lista desplegable'!C$1:D$436,2,FALSE),"")</f>
        <v>SOLDADOR</v>
      </c>
      <c r="F19" s="19" t="s">
        <v>890</v>
      </c>
      <c r="G19" s="11" t="s">
        <v>903</v>
      </c>
      <c r="H19" s="11" t="s">
        <v>911</v>
      </c>
      <c r="I19" s="11">
        <v>0</v>
      </c>
      <c r="J19" s="11" t="s">
        <v>984</v>
      </c>
      <c r="K19" s="11" t="s">
        <v>918</v>
      </c>
      <c r="L19" s="11" t="s">
        <v>918</v>
      </c>
      <c r="M19" s="11"/>
    </row>
    <row r="20" spans="2:13" s="1" customFormat="1" ht="13.05" customHeight="1" x14ac:dyDescent="0.25">
      <c r="B20" s="24">
        <v>13</v>
      </c>
      <c r="C20" s="10" t="s">
        <v>648</v>
      </c>
      <c r="D20" s="7" t="str">
        <f>IFERROR(VLOOKUP(C20,'Lista desplegable'!B$1:C$436,2,FALSE),"")</f>
        <v>HANS YERKO MARQUEZ MUÑOZ</v>
      </c>
      <c r="E20" s="7" t="str">
        <f>IFERROR(VLOOKUP(D20,'Lista desplegable'!C$1:D$436,2,FALSE),"")</f>
        <v>SUPERINTENDENTE DE MANTENCION</v>
      </c>
      <c r="F20" s="19" t="s">
        <v>890</v>
      </c>
      <c r="G20" s="11" t="s">
        <v>903</v>
      </c>
      <c r="H20" s="11" t="s">
        <v>911</v>
      </c>
      <c r="I20" s="11">
        <v>0</v>
      </c>
      <c r="J20" s="11" t="s">
        <v>984</v>
      </c>
      <c r="K20" s="11" t="s">
        <v>918</v>
      </c>
      <c r="L20" s="11" t="s">
        <v>918</v>
      </c>
      <c r="M20" s="11"/>
    </row>
    <row r="21" spans="2:13" s="1" customFormat="1" ht="13.05" customHeight="1" x14ac:dyDescent="0.25">
      <c r="B21" s="24">
        <v>14</v>
      </c>
      <c r="C21" s="10" t="s">
        <v>549</v>
      </c>
      <c r="D21" s="7" t="str">
        <f>IFERROR(VLOOKUP(C21,'Lista desplegable'!B$1:C$436,2,FALSE),"")</f>
        <v>CARLOS EDUARDO RODRIGUEZ HERNANDEZ</v>
      </c>
      <c r="E21" s="7" t="str">
        <f>IFERROR(VLOOKUP(D21,'Lista desplegable'!C$1:D$436,2,FALSE),"")</f>
        <v>ADMINISTRADOR DE CONTRATO</v>
      </c>
      <c r="F21" s="19" t="s">
        <v>890</v>
      </c>
      <c r="G21" s="11" t="s">
        <v>903</v>
      </c>
      <c r="H21" s="11" t="s">
        <v>911</v>
      </c>
      <c r="I21" s="11">
        <v>0</v>
      </c>
      <c r="J21" s="11" t="s">
        <v>984</v>
      </c>
      <c r="K21" s="11" t="s">
        <v>918</v>
      </c>
      <c r="L21" s="11" t="s">
        <v>918</v>
      </c>
      <c r="M21" s="11"/>
    </row>
    <row r="22" spans="2:13" s="1" customFormat="1" ht="13.05" customHeight="1" x14ac:dyDescent="0.25">
      <c r="B22" s="24">
        <v>15</v>
      </c>
      <c r="C22" s="10" t="s">
        <v>792</v>
      </c>
      <c r="D22" s="7" t="str">
        <f>IFERROR(VLOOKUP(C22,'Lista desplegable'!B$1:C$436,2,FALSE),"")</f>
        <v>PAOLO ALEJANDRO MANRIQUEZ SILVA</v>
      </c>
      <c r="E22" s="7" t="str">
        <f>IFERROR(VLOOKUP(D22,'Lista desplegable'!C$1:D$436,2,FALSE),"")</f>
        <v>BODEGUERO</v>
      </c>
      <c r="F22" s="19" t="s">
        <v>890</v>
      </c>
      <c r="G22" s="11" t="s">
        <v>903</v>
      </c>
      <c r="H22" s="11" t="s">
        <v>911</v>
      </c>
      <c r="I22" s="11">
        <v>0</v>
      </c>
      <c r="J22" s="11" t="s">
        <v>984</v>
      </c>
      <c r="K22" s="11" t="s">
        <v>918</v>
      </c>
      <c r="L22" s="11" t="s">
        <v>918</v>
      </c>
      <c r="M22" s="11"/>
    </row>
    <row r="23" spans="2:13" s="1" customFormat="1" ht="13.05" customHeight="1" x14ac:dyDescent="0.25">
      <c r="B23" s="24">
        <v>16</v>
      </c>
      <c r="C23" s="11"/>
      <c r="D23" s="7" t="str">
        <f>IFERROR(VLOOKUP(C23,'Lista desplegable'!B$1:C$436,2,FALSE),"")</f>
        <v/>
      </c>
      <c r="E23" s="7" t="str">
        <f>IFERROR(VLOOKUP(D23,'Lista desplegable'!C$1:D$436,2,FALSE),"")</f>
        <v/>
      </c>
      <c r="F23" s="19"/>
      <c r="G23" s="11"/>
      <c r="H23" s="11"/>
      <c r="I23" s="11"/>
      <c r="J23" s="11"/>
      <c r="K23" s="11"/>
      <c r="L23" s="11"/>
      <c r="M23" s="11"/>
    </row>
    <row r="24" spans="2:13" s="1" customFormat="1" ht="13.05" customHeight="1" x14ac:dyDescent="0.25">
      <c r="B24" s="24">
        <v>17</v>
      </c>
      <c r="C24" s="11"/>
      <c r="D24" s="7" t="str">
        <f>IFERROR(VLOOKUP(C24,'Lista desplegable'!B$1:C$436,2,FALSE),"")</f>
        <v/>
      </c>
      <c r="E24" s="7" t="str">
        <f>IFERROR(VLOOKUP(D24,'Lista desplegable'!C$1:D$436,2,FALSE),"")</f>
        <v/>
      </c>
      <c r="F24" s="19"/>
      <c r="G24" s="11"/>
      <c r="H24" s="11"/>
      <c r="I24" s="11"/>
      <c r="J24" s="11"/>
      <c r="K24" s="11"/>
      <c r="L24" s="11"/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05" customHeight="1" x14ac:dyDescent="0.25">
      <c r="C38"/>
    </row>
    <row r="39" spans="2:13" ht="13.05" customHeight="1" x14ac:dyDescent="0.25">
      <c r="C39"/>
    </row>
    <row r="40" spans="2:13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3" ht="13.05" customHeight="1" x14ac:dyDescent="0.25">
      <c r="B42" s="24">
        <v>1</v>
      </c>
      <c r="C42" s="11" t="s">
        <v>865</v>
      </c>
      <c r="D42" s="7" t="str">
        <f>IFERROR(VLOOKUP(C42,'Lista desplegable'!B$1:C$436,2,FALSE),"")</f>
        <v>ULINSON DIAZ CORTES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>
        <v>2.5499999999999998</v>
      </c>
      <c r="J42" s="11" t="s">
        <v>984</v>
      </c>
      <c r="K42" s="11" t="s">
        <v>918</v>
      </c>
      <c r="L42" s="11" t="s">
        <v>918</v>
      </c>
      <c r="M42" s="11"/>
    </row>
    <row r="43" spans="2:13" ht="13.05" customHeight="1" x14ac:dyDescent="0.25">
      <c r="B43" s="24">
        <v>2</v>
      </c>
      <c r="C43" s="11" t="s">
        <v>829</v>
      </c>
      <c r="D43" s="7" t="str">
        <f>IFERROR(VLOOKUP(C43,'Lista desplegable'!B$1:C$436,2,FALSE),"")</f>
        <v>RODRIGO ALEJANDRO FLORES ZEPEDA</v>
      </c>
      <c r="E43" s="7" t="str">
        <f>IFERROR(VLOOKUP(D43,'Lista desplegable'!C$1:D$436,2,FALSE),"")</f>
        <v>AYUDANTE DE PERFORISTA</v>
      </c>
      <c r="F43" s="19" t="s">
        <v>890</v>
      </c>
      <c r="G43" s="11" t="s">
        <v>903</v>
      </c>
      <c r="H43" s="11" t="s">
        <v>911</v>
      </c>
      <c r="I43" s="11">
        <v>2.5499999999999998</v>
      </c>
      <c r="J43" s="11" t="s">
        <v>984</v>
      </c>
      <c r="K43" s="11" t="s">
        <v>918</v>
      </c>
      <c r="L43" s="11" t="s">
        <v>918</v>
      </c>
      <c r="M43" s="11"/>
    </row>
    <row r="44" spans="2:13" ht="13.05" customHeight="1" x14ac:dyDescent="0.25">
      <c r="B44" s="24">
        <v>3</v>
      </c>
      <c r="C44" s="11" t="s">
        <v>618</v>
      </c>
      <c r="D44" s="7" t="str">
        <f>IFERROR(VLOOKUP(C44,'Lista desplegable'!B$1:C$436,2,FALSE),"")</f>
        <v>FABIAN PATRICIO CABRERA GODOY</v>
      </c>
      <c r="E44" s="7" t="str">
        <f>IFERROR(VLOOKUP(D44,'Lista desplegable'!C$1:D$436,2,FALSE),"")</f>
        <v>AYUDANTE DE PERFORISTA</v>
      </c>
      <c r="F44" s="19" t="s">
        <v>890</v>
      </c>
      <c r="G44" s="11" t="s">
        <v>903</v>
      </c>
      <c r="H44" s="11" t="s">
        <v>911</v>
      </c>
      <c r="I44" s="11">
        <v>2.5499999999999998</v>
      </c>
      <c r="J44" s="11" t="s">
        <v>984</v>
      </c>
      <c r="K44" s="11" t="s">
        <v>918</v>
      </c>
      <c r="L44" s="11" t="s">
        <v>918</v>
      </c>
      <c r="M44" s="11"/>
    </row>
    <row r="45" spans="2:13" ht="13.05" customHeight="1" x14ac:dyDescent="0.25">
      <c r="B45" s="24">
        <v>4</v>
      </c>
      <c r="C45" s="11" t="s">
        <v>616</v>
      </c>
      <c r="D45" s="7" t="str">
        <f>IFERROR(VLOOKUP(C45,'Lista desplegable'!B$1:C$436,2,FALSE),"")</f>
        <v>ESTEFANIA CONSTANZA NAETER QUIROZ</v>
      </c>
      <c r="E45" s="7" t="str">
        <f>IFERROR(VLOOKUP(D45,'Lista desplegable'!C$1:D$436,2,FALSE),"")</f>
        <v>CHOFER</v>
      </c>
      <c r="F45" s="19" t="s">
        <v>890</v>
      </c>
      <c r="G45" s="11" t="s">
        <v>903</v>
      </c>
      <c r="H45" s="11" t="s">
        <v>911</v>
      </c>
      <c r="I45" s="11">
        <v>2.5499999999999998</v>
      </c>
      <c r="J45" s="11" t="s">
        <v>984</v>
      </c>
      <c r="K45" s="11" t="s">
        <v>918</v>
      </c>
      <c r="L45" s="11" t="s">
        <v>919</v>
      </c>
      <c r="M45" s="11"/>
    </row>
    <row r="46" spans="2:13" ht="13.05" customHeight="1" x14ac:dyDescent="0.25">
      <c r="B46" s="24">
        <v>5</v>
      </c>
      <c r="C46" s="11" t="s">
        <v>990</v>
      </c>
      <c r="D46" s="7" t="str">
        <f>IFERROR(VLOOKUP(C46,'Lista desplegable'!B$1:C$436,2,FALSE),"")</f>
        <v>BENIGNO EDUARDO PAEZ MENESES</v>
      </c>
      <c r="E46" s="7" t="str">
        <f>IFERROR(VLOOKUP(D46,'Lista desplegable'!C$1:D$436,2,FALSE),"")</f>
        <v>CHOFER</v>
      </c>
      <c r="F46" s="19" t="s">
        <v>890</v>
      </c>
      <c r="G46" s="11" t="s">
        <v>903</v>
      </c>
      <c r="H46" s="11" t="s">
        <v>911</v>
      </c>
      <c r="I46" s="11">
        <v>2.5499999999999998</v>
      </c>
      <c r="J46" s="11" t="s">
        <v>984</v>
      </c>
      <c r="K46" s="11" t="s">
        <v>918</v>
      </c>
      <c r="L46" s="11" t="s">
        <v>918</v>
      </c>
      <c r="M46" s="11"/>
    </row>
    <row r="47" spans="2:13" ht="13.05" customHeight="1" x14ac:dyDescent="0.25">
      <c r="B47" s="24">
        <v>6</v>
      </c>
      <c r="C47" s="11" t="s">
        <v>826</v>
      </c>
      <c r="D47" s="7" t="str">
        <f>IFERROR(VLOOKUP(C47,'Lista desplegable'!B$1:C$436,2,FALSE),"")</f>
        <v>ROBERTO MARIO VARGAS RODRIGUEZ</v>
      </c>
      <c r="E47" s="7" t="str">
        <f>IFERROR(VLOOKUP(D47,'Lista desplegable'!C$1:D$436,2,FALSE),"")</f>
        <v>MECANICO</v>
      </c>
      <c r="F47" s="19" t="s">
        <v>890</v>
      </c>
      <c r="G47" s="11" t="s">
        <v>903</v>
      </c>
      <c r="H47" s="11" t="s">
        <v>911</v>
      </c>
      <c r="I47" s="11">
        <v>2.5499999999999998</v>
      </c>
      <c r="J47" s="11" t="s">
        <v>984</v>
      </c>
      <c r="K47" s="11" t="s">
        <v>918</v>
      </c>
      <c r="L47" s="11" t="s">
        <v>919</v>
      </c>
      <c r="M47" s="11"/>
    </row>
    <row r="48" spans="2:13" ht="13.05" customHeight="1" x14ac:dyDescent="0.25">
      <c r="B48" s="24">
        <v>7</v>
      </c>
      <c r="C48" t="s">
        <v>542</v>
      </c>
      <c r="D48" s="7" t="str">
        <f>IFERROR(VLOOKUP(C48,'Lista desplegable'!B$1:C$436,2,FALSE),"")</f>
        <v>BYAMBATSEREN TSERENDAVAA .</v>
      </c>
      <c r="E48" s="7" t="str">
        <f>IFERROR(VLOOKUP(D48,'Lista desplegable'!C$1:D$436,2,FALSE),"")</f>
        <v>PERFORISTA</v>
      </c>
      <c r="F48" s="19" t="s">
        <v>890</v>
      </c>
      <c r="G48" s="11" t="s">
        <v>903</v>
      </c>
      <c r="H48" s="11" t="s">
        <v>911</v>
      </c>
      <c r="I48" s="11">
        <v>2.5499999999999998</v>
      </c>
      <c r="J48" s="11" t="s">
        <v>984</v>
      </c>
      <c r="K48" s="11"/>
      <c r="L48" s="11"/>
      <c r="M48" s="11"/>
    </row>
    <row r="49" spans="2:13" ht="13.05" customHeight="1" x14ac:dyDescent="0.25">
      <c r="B49" s="24">
        <v>8</v>
      </c>
      <c r="C49" s="11"/>
      <c r="D49" s="7" t="str">
        <f>IFERROR(VLOOKUP(C49,'Lista desplegable'!B$1:C$436,2,FALSE),"")</f>
        <v/>
      </c>
      <c r="E49" s="7" t="str">
        <f>IFERROR(VLOOKUP(D49,'Lista desplegable'!C$1:D$436,2,FALSE),"")</f>
        <v/>
      </c>
      <c r="F49" s="19"/>
      <c r="G49" s="11"/>
      <c r="H49" s="11"/>
      <c r="I49" s="11"/>
      <c r="J49" s="11"/>
      <c r="K49" s="11"/>
      <c r="L49" s="11"/>
      <c r="M49" s="11"/>
    </row>
    <row r="50" spans="2:13" ht="13.05" customHeight="1" x14ac:dyDescent="0.25">
      <c r="B50" s="24">
        <v>9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11"/>
      <c r="J50" s="11"/>
      <c r="K50" s="11"/>
      <c r="L50" s="11"/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2:I2"/>
    <mergeCell ref="G3:I3"/>
    <mergeCell ref="C6:M6"/>
    <mergeCell ref="C40:M40"/>
  </mergeCell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B4FB8A7-3AC8-4117-B5C2-C78B5DD2A1DF}">
          <x14:formula1>
            <xm:f>'Lista desplegable'!$N$2:$N$5</xm:f>
          </x14:formula1>
          <xm:sqref>J42:J71 J8:J37</xm:sqref>
        </x14:dataValidation>
        <x14:dataValidation type="list" allowBlank="1" showInputMessage="1" showErrorMessage="1" xr:uid="{64DB1115-B33B-4538-9A94-BDCF8CC3D5DF}">
          <x14:formula1>
            <xm:f>'Lista desplegable'!$B$2:$B$436</xm:f>
          </x14:formula1>
          <xm:sqref>C42:C71 C8:C37</xm:sqref>
        </x14:dataValidation>
        <x14:dataValidation type="list" allowBlank="1" showInputMessage="1" showErrorMessage="1" xr:uid="{CBE6AA11-73E3-4653-A0A9-CEB781E109DD}">
          <x14:formula1>
            <xm:f>'Lista desplegable'!$F$2:$F$19</xm:f>
          </x14:formula1>
          <xm:sqref>F42:F71 F8:F37</xm:sqref>
        </x14:dataValidation>
        <x14:dataValidation type="list" allowBlank="1" showInputMessage="1" showErrorMessage="1" xr:uid="{A8D95B4B-2588-4C10-A77C-8953AC937B81}">
          <x14:formula1>
            <xm:f>'Lista desplegable'!$J$2:$J$10</xm:f>
          </x14:formula1>
          <xm:sqref>H42:H71 H8:H37</xm:sqref>
        </x14:dataValidation>
        <x14:dataValidation type="list" allowBlank="1" showInputMessage="1" showErrorMessage="1" xr:uid="{335CFB22-6A8A-47FA-B8A0-7D16D0D74DB7}">
          <x14:formula1>
            <xm:f>'Lista desplegable'!$H$2:$H$7</xm:f>
          </x14:formula1>
          <xm:sqref>G42:G71 G8:G37</xm:sqref>
        </x14:dataValidation>
        <x14:dataValidation type="list" allowBlank="1" showInputMessage="1" showErrorMessage="1" xr:uid="{3E587183-C99F-4707-9E1E-35E675A588C2}">
          <x14:formula1>
            <xm:f>'Lista desplegable'!$L$2:$L$3</xm:f>
          </x14:formula1>
          <xm:sqref>K42:L71 K8:L37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5B82F-7457-4AC1-B4C0-88A87D9518A0}">
  <dimension ref="B1:M93"/>
  <sheetViews>
    <sheetView topLeftCell="A6" zoomScale="80" zoomScaleNormal="80" workbookViewId="0">
      <selection activeCell="L47" sqref="L47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0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21.77734375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46294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11" t="s">
        <v>692</v>
      </c>
      <c r="D8" s="7" t="str">
        <f>IFERROR(VLOOKUP(C8,'Lista desplegable'!B$1:C$436,2,FALSE),"")</f>
        <v>JOSE CRISTIAN BASTIAS PEREZ</v>
      </c>
      <c r="E8" s="7" t="str">
        <f>IFERROR(VLOOKUP(D8,'Lista desplegable'!C$1:D$436,2,FALSE),"")</f>
        <v>SUPERVISOR DE OPERACIONES</v>
      </c>
      <c r="F8" s="19" t="s">
        <v>890</v>
      </c>
      <c r="G8" s="11" t="s">
        <v>903</v>
      </c>
      <c r="H8" s="11" t="s">
        <v>911</v>
      </c>
      <c r="I8" s="11">
        <v>0</v>
      </c>
      <c r="J8" s="11" t="s">
        <v>984</v>
      </c>
      <c r="K8" s="11" t="s">
        <v>918</v>
      </c>
      <c r="L8" s="11" t="s">
        <v>918</v>
      </c>
      <c r="M8" s="11"/>
    </row>
    <row r="9" spans="2:13" s="1" customFormat="1" ht="13.05" customHeight="1" x14ac:dyDescent="0.25">
      <c r="B9" s="24">
        <v>2</v>
      </c>
      <c r="C9" s="10" t="s">
        <v>991</v>
      </c>
      <c r="D9" s="7" t="str">
        <f>IFERROR(VLOOKUP(C9,'Lista desplegable'!B$1:C$436,2,FALSE),"")</f>
        <v>JORGE ENRIQUE CEBALLOS JOFRE</v>
      </c>
      <c r="E9" s="7" t="str">
        <f>IFERROR(VLOOKUP(D9,'Lista desplegable'!C$1:D$436,2,FALSE),"")</f>
        <v>PREVENCIONISTA DE RIESGOS</v>
      </c>
      <c r="F9" s="19" t="s">
        <v>890</v>
      </c>
      <c r="G9" s="11" t="s">
        <v>903</v>
      </c>
      <c r="H9" s="11" t="s">
        <v>911</v>
      </c>
      <c r="I9" s="11">
        <v>0</v>
      </c>
      <c r="J9" s="11" t="s">
        <v>984</v>
      </c>
      <c r="K9" s="11" t="s">
        <v>918</v>
      </c>
      <c r="L9" s="11" t="s">
        <v>918</v>
      </c>
      <c r="M9" s="11"/>
    </row>
    <row r="10" spans="2:13" s="1" customFormat="1" ht="13.05" customHeight="1" x14ac:dyDescent="0.25">
      <c r="B10" s="24">
        <v>3</v>
      </c>
      <c r="C10" s="11" t="s">
        <v>769</v>
      </c>
      <c r="D10" s="7" t="str">
        <f>IFERROR(VLOOKUP(C10,'Lista desplegable'!B$1:C$436,2,FALSE),"")</f>
        <v>NATALY ANTONIA SALAS ESCOBAR</v>
      </c>
      <c r="E10" s="7" t="str">
        <f>IFERROR(VLOOKUP(D10,'Lista desplegable'!C$1:D$436,2,FALSE),"")</f>
        <v>ADMINISTRATIVO DE FAENA</v>
      </c>
      <c r="F10" s="19" t="s">
        <v>890</v>
      </c>
      <c r="G10" s="11" t="s">
        <v>903</v>
      </c>
      <c r="H10" s="11" t="s">
        <v>911</v>
      </c>
      <c r="I10" s="11">
        <v>0</v>
      </c>
      <c r="J10" s="11" t="s">
        <v>984</v>
      </c>
      <c r="K10" s="11" t="s">
        <v>918</v>
      </c>
      <c r="L10" s="11" t="s">
        <v>919</v>
      </c>
      <c r="M10" s="11"/>
    </row>
    <row r="11" spans="2:13" s="1" customFormat="1" ht="13.05" customHeight="1" x14ac:dyDescent="0.25">
      <c r="B11" s="24">
        <v>4</v>
      </c>
      <c r="C11" s="11" t="s">
        <v>719</v>
      </c>
      <c r="D11" s="7" t="str">
        <f>IFERROR(VLOOKUP(C11,'Lista desplegable'!B$1:C$436,2,FALSE),"")</f>
        <v>LEONARDO ANDRES MENESES ARREDONDO</v>
      </c>
      <c r="E11" s="7" t="str">
        <f>IFERROR(VLOOKUP(D11,'Lista desplegable'!C$1:D$436,2,FALSE),"")</f>
        <v>SUPERVISOR DE OPERACIONES</v>
      </c>
      <c r="F11" s="19" t="s">
        <v>890</v>
      </c>
      <c r="G11" s="11" t="s">
        <v>903</v>
      </c>
      <c r="H11" s="11" t="s">
        <v>911</v>
      </c>
      <c r="I11" s="11">
        <v>0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11" t="s">
        <v>723</v>
      </c>
      <c r="D12" s="7" t="str">
        <f>IFERROR(VLOOKUP(C12,'Lista desplegable'!B$1:C$436,2,FALSE),"")</f>
        <v>LEONEL GUILLERMO CAMPUSANO DUBO</v>
      </c>
      <c r="E12" s="7" t="str">
        <f>IFERROR(VLOOKUP(D12,'Lista desplegable'!C$1:D$436,2,FALSE),"")</f>
        <v>AYUDANTE DE PERFORISTA</v>
      </c>
      <c r="F12" s="19" t="s">
        <v>890</v>
      </c>
      <c r="G12" s="11" t="s">
        <v>903</v>
      </c>
      <c r="H12" s="11" t="s">
        <v>911</v>
      </c>
      <c r="I12" s="11">
        <v>0</v>
      </c>
      <c r="J12" s="11" t="s">
        <v>984</v>
      </c>
      <c r="K12" s="11" t="s">
        <v>918</v>
      </c>
      <c r="L12" s="11" t="s">
        <v>918</v>
      </c>
      <c r="M12" s="11"/>
    </row>
    <row r="13" spans="2:13" s="1" customFormat="1" ht="13.05" customHeight="1" x14ac:dyDescent="0.25">
      <c r="B13" s="24">
        <v>6</v>
      </c>
      <c r="C13" s="11" t="s">
        <v>876</v>
      </c>
      <c r="D13" s="7" t="str">
        <f>IFERROR(VLOOKUP(C13,'Lista desplegable'!B$1:C$436,2,FALSE),"")</f>
        <v>VICTOR MANUEL MONDACA VEGA</v>
      </c>
      <c r="E13" s="7" t="str">
        <f>IFERROR(VLOOKUP(D13,'Lista desplegable'!C$1:D$436,2,FALSE),"")</f>
        <v>AYUDANTE DE PERFORISTA</v>
      </c>
      <c r="F13" s="19" t="s">
        <v>890</v>
      </c>
      <c r="G13" s="11" t="s">
        <v>903</v>
      </c>
      <c r="H13" s="11" t="s">
        <v>911</v>
      </c>
      <c r="I13" s="11">
        <v>0</v>
      </c>
      <c r="J13" s="11" t="s">
        <v>984</v>
      </c>
      <c r="K13" s="11" t="s">
        <v>918</v>
      </c>
      <c r="L13" s="11" t="s">
        <v>918</v>
      </c>
      <c r="M13" s="11"/>
    </row>
    <row r="14" spans="2:13" s="1" customFormat="1" ht="13.05" customHeight="1" x14ac:dyDescent="0.25">
      <c r="B14" s="24">
        <v>7</v>
      </c>
      <c r="C14" s="11" t="s">
        <v>686</v>
      </c>
      <c r="D14" s="7" t="str">
        <f>IFERROR(VLOOKUP(C14,'Lista desplegable'!B$1:C$436,2,FALSE),"")</f>
        <v>JORGE ARMANDO TINOCO OSPINO</v>
      </c>
      <c r="E14" s="7" t="str">
        <f>IFERROR(VLOOKUP(D14,'Lista desplegable'!C$1:D$436,2,FALSE),"")</f>
        <v>CHOFER</v>
      </c>
      <c r="F14" s="19" t="s">
        <v>890</v>
      </c>
      <c r="G14" s="11" t="s">
        <v>903</v>
      </c>
      <c r="H14" s="11" t="s">
        <v>911</v>
      </c>
      <c r="I14" s="11">
        <v>0</v>
      </c>
      <c r="J14" s="11" t="s">
        <v>984</v>
      </c>
      <c r="K14" s="11" t="s">
        <v>918</v>
      </c>
      <c r="L14" s="11" t="s">
        <v>918</v>
      </c>
      <c r="M14" s="11"/>
    </row>
    <row r="15" spans="2:13" s="1" customFormat="1" ht="13.05" customHeight="1" x14ac:dyDescent="0.25">
      <c r="B15" s="24">
        <v>8</v>
      </c>
      <c r="C15" s="11" t="s">
        <v>534</v>
      </c>
      <c r="D15" s="7" t="str">
        <f>IFERROR(VLOOKUP(C15,'Lista desplegable'!B$1:C$436,2,FALSE),"")</f>
        <v>BENJAMIN JOSEFATT ESPINOZA URIBE</v>
      </c>
      <c r="E15" s="7" t="str">
        <f>IFERROR(VLOOKUP(D15,'Lista desplegable'!C$1:D$436,2,FALSE),"")</f>
        <v>CHOFER</v>
      </c>
      <c r="F15" s="19" t="s">
        <v>890</v>
      </c>
      <c r="G15" s="11" t="s">
        <v>903</v>
      </c>
      <c r="H15" s="11" t="s">
        <v>911</v>
      </c>
      <c r="I15" s="11">
        <v>0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11" t="s">
        <v>879</v>
      </c>
      <c r="D16" s="7" t="str">
        <f>IFERROR(VLOOKUP(C16,'Lista desplegable'!B$1:C$436,2,FALSE),"")</f>
        <v>WALTER DEL CARMEN PIZARRO ALVAREZ</v>
      </c>
      <c r="E16" s="7" t="str">
        <f>IFERROR(VLOOKUP(D16,'Lista desplegable'!C$1:D$436,2,FALSE),"")</f>
        <v>CHOFER</v>
      </c>
      <c r="F16" s="19" t="s">
        <v>890</v>
      </c>
      <c r="G16" s="11" t="s">
        <v>903</v>
      </c>
      <c r="H16" s="11" t="s">
        <v>911</v>
      </c>
      <c r="I16" s="11">
        <v>0</v>
      </c>
      <c r="J16" s="11" t="s">
        <v>984</v>
      </c>
      <c r="K16" s="11" t="s">
        <v>918</v>
      </c>
      <c r="L16" s="11" t="s">
        <v>918</v>
      </c>
      <c r="M16" s="11"/>
    </row>
    <row r="17" spans="2:13" s="1" customFormat="1" ht="13.05" customHeight="1" x14ac:dyDescent="0.25">
      <c r="B17" s="24">
        <v>10</v>
      </c>
      <c r="C17" s="11" t="s">
        <v>864</v>
      </c>
      <c r="D17" s="7" t="str">
        <f>IFERROR(VLOOKUP(C17,'Lista desplegable'!B$1:C$436,2,FALSE),"")</f>
        <v>TUMENNASAN SANSRAI .</v>
      </c>
      <c r="E17" s="7" t="str">
        <f>IFERROR(VLOOKUP(D17,'Lista desplegable'!C$1:D$436,2,FALSE),"")</f>
        <v>PERFORISTA</v>
      </c>
      <c r="F17" s="19" t="s">
        <v>890</v>
      </c>
      <c r="G17" s="11" t="s">
        <v>903</v>
      </c>
      <c r="H17" s="11" t="s">
        <v>911</v>
      </c>
      <c r="I17" s="11">
        <v>0</v>
      </c>
      <c r="J17" s="11" t="s">
        <v>984</v>
      </c>
      <c r="K17" s="11"/>
      <c r="L17" s="11"/>
      <c r="M17" s="11"/>
    </row>
    <row r="18" spans="2:13" s="1" customFormat="1" ht="13.05" customHeight="1" x14ac:dyDescent="0.25">
      <c r="B18" s="24">
        <v>11</v>
      </c>
      <c r="C18" s="10" t="s">
        <v>689</v>
      </c>
      <c r="D18" s="7" t="str">
        <f>IFERROR(VLOOKUP(C18,'Lista desplegable'!B$1:C$436,2,FALSE),"")</f>
        <v>JORGE ERIKSON DURAND RUIZ</v>
      </c>
      <c r="E18" s="7" t="str">
        <f>IFERROR(VLOOKUP(D18,'Lista desplegable'!C$1:D$436,2,FALSE),"")</f>
        <v>MECANICO</v>
      </c>
      <c r="F18" s="19" t="s">
        <v>890</v>
      </c>
      <c r="G18" s="11" t="s">
        <v>903</v>
      </c>
      <c r="H18" s="11" t="s">
        <v>911</v>
      </c>
      <c r="I18" s="11">
        <v>0</v>
      </c>
      <c r="J18" s="11" t="s">
        <v>984</v>
      </c>
      <c r="K18" s="11" t="s">
        <v>918</v>
      </c>
      <c r="L18" s="11" t="s">
        <v>918</v>
      </c>
      <c r="M18" s="11"/>
    </row>
    <row r="19" spans="2:13" s="1" customFormat="1" ht="13.05" customHeight="1" x14ac:dyDescent="0.25">
      <c r="B19" s="24">
        <v>12</v>
      </c>
      <c r="C19" s="11" t="s">
        <v>881</v>
      </c>
      <c r="D19" s="7" t="str">
        <f>IFERROR(VLOOKUP(C19,'Lista desplegable'!B$1:C$436,2,FALSE),"")</f>
        <v>WILLIAM HERNAN ALVAREZ TRUJILLO</v>
      </c>
      <c r="E19" s="7" t="str">
        <f>IFERROR(VLOOKUP(D19,'Lista desplegable'!C$1:D$436,2,FALSE),"")</f>
        <v>SOLDADOR</v>
      </c>
      <c r="F19" s="19" t="s">
        <v>890</v>
      </c>
      <c r="G19" s="11" t="s">
        <v>903</v>
      </c>
      <c r="H19" s="11" t="s">
        <v>911</v>
      </c>
      <c r="I19" s="11">
        <v>0</v>
      </c>
      <c r="J19" s="11" t="s">
        <v>984</v>
      </c>
      <c r="K19" s="11" t="s">
        <v>918</v>
      </c>
      <c r="L19" s="11" t="s">
        <v>918</v>
      </c>
      <c r="M19" s="11"/>
    </row>
    <row r="20" spans="2:13" s="1" customFormat="1" ht="13.05" customHeight="1" x14ac:dyDescent="0.25">
      <c r="B20" s="24">
        <v>13</v>
      </c>
      <c r="C20" s="10" t="s">
        <v>648</v>
      </c>
      <c r="D20" s="7" t="str">
        <f>IFERROR(VLOOKUP(C20,'Lista desplegable'!B$1:C$436,2,FALSE),"")</f>
        <v>HANS YERKO MARQUEZ MUÑOZ</v>
      </c>
      <c r="E20" s="7" t="str">
        <f>IFERROR(VLOOKUP(D20,'Lista desplegable'!C$1:D$436,2,FALSE),"")</f>
        <v>SUPERINTENDENTE DE MANTENCION</v>
      </c>
      <c r="F20" s="19" t="s">
        <v>890</v>
      </c>
      <c r="G20" s="11" t="s">
        <v>903</v>
      </c>
      <c r="H20" s="11" t="s">
        <v>911</v>
      </c>
      <c r="I20" s="11">
        <v>0</v>
      </c>
      <c r="J20" s="11" t="s">
        <v>984</v>
      </c>
      <c r="K20" s="11" t="s">
        <v>918</v>
      </c>
      <c r="L20" s="11" t="s">
        <v>918</v>
      </c>
      <c r="M20" s="11"/>
    </row>
    <row r="21" spans="2:13" s="1" customFormat="1" ht="13.05" customHeight="1" x14ac:dyDescent="0.25">
      <c r="B21" s="24">
        <v>14</v>
      </c>
      <c r="C21" s="10" t="s">
        <v>792</v>
      </c>
      <c r="D21" s="7" t="str">
        <f>IFERROR(VLOOKUP(C21,'Lista desplegable'!B$1:C$436,2,FALSE),"")</f>
        <v>PAOLO ALEJANDRO MANRIQUEZ SILVA</v>
      </c>
      <c r="E21" s="7" t="str">
        <f>IFERROR(VLOOKUP(D21,'Lista desplegable'!C$1:D$436,2,FALSE),"")</f>
        <v>BODEGUERO</v>
      </c>
      <c r="F21" s="19" t="s">
        <v>890</v>
      </c>
      <c r="G21" s="11" t="s">
        <v>903</v>
      </c>
      <c r="H21" s="11" t="s">
        <v>911</v>
      </c>
      <c r="I21" s="11">
        <v>0</v>
      </c>
      <c r="J21" s="11" t="s">
        <v>984</v>
      </c>
      <c r="K21" s="11" t="s">
        <v>918</v>
      </c>
      <c r="L21" s="11" t="s">
        <v>918</v>
      </c>
      <c r="M21" s="11"/>
    </row>
    <row r="22" spans="2:13" s="1" customFormat="1" ht="13.05" customHeight="1" x14ac:dyDescent="0.25">
      <c r="B22" s="24">
        <v>15</v>
      </c>
      <c r="C22" s="11" t="s">
        <v>686</v>
      </c>
      <c r="D22" s="7" t="str">
        <f>IFERROR(VLOOKUP(C22,'Lista desplegable'!B$1:C$436,2,FALSE),"")</f>
        <v>JORGE ARMANDO TINOCO OSPINO</v>
      </c>
      <c r="E22" s="7" t="str">
        <f>IFERROR(VLOOKUP(D22,'Lista desplegable'!C$1:D$436,2,FALSE),"")</f>
        <v>CHOFER</v>
      </c>
      <c r="F22" s="19" t="s">
        <v>890</v>
      </c>
      <c r="G22" s="11" t="s">
        <v>903</v>
      </c>
      <c r="H22" s="11" t="s">
        <v>911</v>
      </c>
      <c r="I22" s="11">
        <v>0</v>
      </c>
      <c r="J22" s="11" t="s">
        <v>984</v>
      </c>
      <c r="K22" s="11" t="s">
        <v>918</v>
      </c>
      <c r="L22" s="11" t="s">
        <v>919</v>
      </c>
      <c r="M22" s="11"/>
    </row>
    <row r="23" spans="2:13" s="1" customFormat="1" ht="13.05" customHeight="1" x14ac:dyDescent="0.25">
      <c r="B23" s="24">
        <v>16</v>
      </c>
      <c r="C23" s="11"/>
      <c r="D23" s="7" t="str">
        <f>IFERROR(VLOOKUP(C23,'Lista desplegable'!B$1:C$436,2,FALSE),"")</f>
        <v/>
      </c>
      <c r="E23" s="7" t="str">
        <f>IFERROR(VLOOKUP(D23,'Lista desplegable'!C$1:D$436,2,FALSE),"")</f>
        <v/>
      </c>
      <c r="F23" s="19"/>
      <c r="G23" s="11"/>
      <c r="H23" s="11"/>
      <c r="I23" s="11"/>
      <c r="J23" s="11"/>
      <c r="K23" s="11"/>
      <c r="L23" s="11"/>
      <c r="M23" s="11"/>
    </row>
    <row r="24" spans="2:13" s="1" customFormat="1" ht="13.05" customHeight="1" x14ac:dyDescent="0.25">
      <c r="B24" s="24">
        <v>17</v>
      </c>
      <c r="C24" s="11"/>
      <c r="D24" s="7" t="str">
        <f>IFERROR(VLOOKUP(C24,'Lista desplegable'!B$1:C$436,2,FALSE),"")</f>
        <v/>
      </c>
      <c r="E24" s="7" t="str">
        <f>IFERROR(VLOOKUP(D24,'Lista desplegable'!C$1:D$436,2,FALSE),"")</f>
        <v/>
      </c>
      <c r="F24" s="19"/>
      <c r="G24" s="11"/>
      <c r="H24" s="11"/>
      <c r="I24" s="11"/>
      <c r="J24" s="11"/>
      <c r="K24" s="11"/>
      <c r="L24" s="11"/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05" customHeight="1" x14ac:dyDescent="0.25">
      <c r="C38"/>
    </row>
    <row r="39" spans="2:13" ht="13.05" customHeight="1" x14ac:dyDescent="0.25">
      <c r="C39"/>
    </row>
    <row r="40" spans="2:13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3" ht="13.05" customHeight="1" x14ac:dyDescent="0.25">
      <c r="B42" s="24">
        <v>1</v>
      </c>
      <c r="C42" s="11" t="s">
        <v>865</v>
      </c>
      <c r="D42" s="7" t="str">
        <f>IFERROR(VLOOKUP(C42,'Lista desplegable'!B$1:C$436,2,FALSE),"")</f>
        <v>ULINSON DIAZ CORTES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>
        <v>0</v>
      </c>
      <c r="J42" s="11" t="s">
        <v>984</v>
      </c>
      <c r="K42" s="11" t="s">
        <v>918</v>
      </c>
      <c r="L42" s="11" t="s">
        <v>918</v>
      </c>
      <c r="M42" s="11"/>
    </row>
    <row r="43" spans="2:13" ht="13.05" customHeight="1" x14ac:dyDescent="0.25">
      <c r="B43" s="24">
        <v>2</v>
      </c>
      <c r="C43" s="11" t="s">
        <v>829</v>
      </c>
      <c r="D43" s="7" t="str">
        <f>IFERROR(VLOOKUP(C43,'Lista desplegable'!B$1:C$436,2,FALSE),"")</f>
        <v>RODRIGO ALEJANDRO FLORES ZEPEDA</v>
      </c>
      <c r="E43" s="7" t="str">
        <f>IFERROR(VLOOKUP(D43,'Lista desplegable'!C$1:D$436,2,FALSE),"")</f>
        <v>AYUDANTE DE PERFORISTA</v>
      </c>
      <c r="F43" s="19" t="s">
        <v>890</v>
      </c>
      <c r="G43" s="11" t="s">
        <v>903</v>
      </c>
      <c r="H43" s="11" t="s">
        <v>911</v>
      </c>
      <c r="I43" s="11">
        <v>0</v>
      </c>
      <c r="J43" s="11" t="s">
        <v>984</v>
      </c>
      <c r="K43" s="11" t="s">
        <v>918</v>
      </c>
      <c r="L43" s="11" t="s">
        <v>918</v>
      </c>
      <c r="M43" s="11"/>
    </row>
    <row r="44" spans="2:13" ht="13.05" customHeight="1" x14ac:dyDescent="0.25">
      <c r="B44" s="24">
        <v>3</v>
      </c>
      <c r="C44" s="11" t="s">
        <v>618</v>
      </c>
      <c r="D44" s="7" t="str">
        <f>IFERROR(VLOOKUP(C44,'Lista desplegable'!B$1:C$436,2,FALSE),"")</f>
        <v>FABIAN PATRICIO CABRERA GODOY</v>
      </c>
      <c r="E44" s="7" t="str">
        <f>IFERROR(VLOOKUP(D44,'Lista desplegable'!C$1:D$436,2,FALSE),"")</f>
        <v>AYUDANTE DE PERFORISTA</v>
      </c>
      <c r="F44" s="19" t="s">
        <v>890</v>
      </c>
      <c r="G44" s="11" t="s">
        <v>903</v>
      </c>
      <c r="H44" s="11" t="s">
        <v>911</v>
      </c>
      <c r="I44" s="11">
        <v>0</v>
      </c>
      <c r="J44" s="11" t="s">
        <v>984</v>
      </c>
      <c r="K44" s="11" t="s">
        <v>918</v>
      </c>
      <c r="L44" s="11" t="s">
        <v>918</v>
      </c>
      <c r="M44" s="11"/>
    </row>
    <row r="45" spans="2:13" ht="13.05" customHeight="1" x14ac:dyDescent="0.25">
      <c r="B45" s="24">
        <v>4</v>
      </c>
      <c r="C45" s="11" t="s">
        <v>616</v>
      </c>
      <c r="D45" s="7" t="str">
        <f>IFERROR(VLOOKUP(C45,'Lista desplegable'!B$1:C$436,2,FALSE),"")</f>
        <v>ESTEFANIA CONSTANZA NAETER QUIROZ</v>
      </c>
      <c r="E45" s="7" t="str">
        <f>IFERROR(VLOOKUP(D45,'Lista desplegable'!C$1:D$436,2,FALSE),"")</f>
        <v>CHOFER</v>
      </c>
      <c r="F45" s="19" t="s">
        <v>890</v>
      </c>
      <c r="G45" s="11" t="s">
        <v>903</v>
      </c>
      <c r="H45" s="11" t="s">
        <v>911</v>
      </c>
      <c r="I45" s="11">
        <v>0</v>
      </c>
      <c r="J45" s="11" t="s">
        <v>984</v>
      </c>
      <c r="K45" s="11" t="s">
        <v>918</v>
      </c>
      <c r="L45" s="11" t="s">
        <v>918</v>
      </c>
      <c r="M45" s="11"/>
    </row>
    <row r="46" spans="2:13" ht="13.05" customHeight="1" x14ac:dyDescent="0.25">
      <c r="B46" s="24">
        <v>5</v>
      </c>
      <c r="C46" s="11" t="s">
        <v>990</v>
      </c>
      <c r="D46" s="7" t="str">
        <f>IFERROR(VLOOKUP(C46,'Lista desplegable'!B$1:C$436,2,FALSE),"")</f>
        <v>BENIGNO EDUARDO PAEZ MENESES</v>
      </c>
      <c r="E46" s="7" t="str">
        <f>IFERROR(VLOOKUP(D46,'Lista desplegable'!C$1:D$436,2,FALSE),"")</f>
        <v>CHOFER</v>
      </c>
      <c r="F46" s="19" t="s">
        <v>890</v>
      </c>
      <c r="G46" s="11" t="s">
        <v>903</v>
      </c>
      <c r="H46" s="11" t="s">
        <v>911</v>
      </c>
      <c r="I46" s="11">
        <v>0</v>
      </c>
      <c r="J46" s="11" t="s">
        <v>984</v>
      </c>
      <c r="K46" s="11" t="s">
        <v>918</v>
      </c>
      <c r="L46" s="11" t="s">
        <v>918</v>
      </c>
      <c r="M46" s="11"/>
    </row>
    <row r="47" spans="2:13" ht="13.05" customHeight="1" x14ac:dyDescent="0.25">
      <c r="B47" s="24">
        <v>6</v>
      </c>
      <c r="C47" s="11" t="s">
        <v>826</v>
      </c>
      <c r="D47" s="7" t="str">
        <f>IFERROR(VLOOKUP(C47,'Lista desplegable'!B$1:C$436,2,FALSE),"")</f>
        <v>ROBERTO MARIO VARGAS RODRIGUEZ</v>
      </c>
      <c r="E47" s="7" t="str">
        <f>IFERROR(VLOOKUP(D47,'Lista desplegable'!C$1:D$436,2,FALSE),"")</f>
        <v>MECANICO</v>
      </c>
      <c r="F47" s="19" t="s">
        <v>890</v>
      </c>
      <c r="G47" s="11" t="s">
        <v>903</v>
      </c>
      <c r="H47" s="11" t="s">
        <v>911</v>
      </c>
      <c r="I47" s="11">
        <v>0</v>
      </c>
      <c r="J47" s="11" t="s">
        <v>984</v>
      </c>
      <c r="K47" s="11" t="s">
        <v>918</v>
      </c>
      <c r="L47" s="11" t="s">
        <v>918</v>
      </c>
      <c r="M47" s="11"/>
    </row>
    <row r="48" spans="2:13" ht="13.05" customHeight="1" x14ac:dyDescent="0.25">
      <c r="B48" s="24">
        <v>7</v>
      </c>
      <c r="C48" t="s">
        <v>542</v>
      </c>
      <c r="D48" s="7" t="str">
        <f>IFERROR(VLOOKUP(C48,'Lista desplegable'!B$1:C$436,2,FALSE),"")</f>
        <v>BYAMBATSEREN TSERENDAVAA .</v>
      </c>
      <c r="E48" s="7" t="str">
        <f>IFERROR(VLOOKUP(D48,'Lista desplegable'!C$1:D$436,2,FALSE),"")</f>
        <v>PERFORISTA</v>
      </c>
      <c r="F48" s="19" t="s">
        <v>890</v>
      </c>
      <c r="G48" s="11" t="s">
        <v>903</v>
      </c>
      <c r="H48" s="11" t="s">
        <v>911</v>
      </c>
      <c r="I48" s="11">
        <v>0</v>
      </c>
      <c r="J48" s="11" t="s">
        <v>984</v>
      </c>
      <c r="K48" s="11"/>
      <c r="L48" s="11"/>
      <c r="M48" s="11"/>
    </row>
    <row r="49" spans="2:13" ht="13.05" customHeight="1" x14ac:dyDescent="0.25">
      <c r="B49" s="24">
        <v>8</v>
      </c>
      <c r="C49" s="11"/>
      <c r="D49" s="7" t="str">
        <f>IFERROR(VLOOKUP(C49,'Lista desplegable'!B$1:C$436,2,FALSE),"")</f>
        <v/>
      </c>
      <c r="E49" s="7" t="str">
        <f>IFERROR(VLOOKUP(D49,'Lista desplegable'!C$1:D$436,2,FALSE),"")</f>
        <v/>
      </c>
      <c r="F49" s="19"/>
      <c r="G49" s="11"/>
      <c r="H49" s="11"/>
      <c r="I49" s="11"/>
      <c r="J49" s="11"/>
      <c r="K49" s="11"/>
      <c r="L49" s="11"/>
      <c r="M49" s="11"/>
    </row>
    <row r="50" spans="2:13" ht="13.05" customHeight="1" x14ac:dyDescent="0.25">
      <c r="B50" s="24">
        <v>9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11"/>
      <c r="J50" s="11"/>
      <c r="K50" s="11"/>
      <c r="L50" s="11"/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2:I2"/>
    <mergeCell ref="G3:I3"/>
    <mergeCell ref="C6:M6"/>
    <mergeCell ref="C40:M40"/>
  </mergeCells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9FFF3E9-ACAC-4D40-A7E7-583C1F759114}">
          <x14:formula1>
            <xm:f>'Lista desplegable'!$L$2:$L$3</xm:f>
          </x14:formula1>
          <xm:sqref>K42:L71 K8:L37</xm:sqref>
        </x14:dataValidation>
        <x14:dataValidation type="list" allowBlank="1" showInputMessage="1" showErrorMessage="1" xr:uid="{60A05921-B2B8-47F9-BBAE-87354B1DDBD5}">
          <x14:formula1>
            <xm:f>'Lista desplegable'!$H$2:$H$7</xm:f>
          </x14:formula1>
          <xm:sqref>G42:G71 G8:G37</xm:sqref>
        </x14:dataValidation>
        <x14:dataValidation type="list" allowBlank="1" showInputMessage="1" showErrorMessage="1" xr:uid="{DBEDB750-4600-4BA4-BEAA-4080B9C1118B}">
          <x14:formula1>
            <xm:f>'Lista desplegable'!$J$2:$J$10</xm:f>
          </x14:formula1>
          <xm:sqref>H42:H71 H8:H37</xm:sqref>
        </x14:dataValidation>
        <x14:dataValidation type="list" allowBlank="1" showInputMessage="1" showErrorMessage="1" xr:uid="{B8AE00A9-E211-427D-BEA7-C24F6476D0A4}">
          <x14:formula1>
            <xm:f>'Lista desplegable'!$F$2:$F$19</xm:f>
          </x14:formula1>
          <xm:sqref>F42:F71 F8:F37</xm:sqref>
        </x14:dataValidation>
        <x14:dataValidation type="list" allowBlank="1" showInputMessage="1" showErrorMessage="1" xr:uid="{91732646-DB6E-4530-B88B-131B9750BBC2}">
          <x14:formula1>
            <xm:f>'Lista desplegable'!$B$2:$B$436</xm:f>
          </x14:formula1>
          <xm:sqref>C42:C71 C8:C37</xm:sqref>
        </x14:dataValidation>
        <x14:dataValidation type="list" allowBlank="1" showInputMessage="1" showErrorMessage="1" xr:uid="{69D832D4-2A33-4CF8-8E3D-104DA2879ED2}">
          <x14:formula1>
            <xm:f>'Lista desplegable'!$N$2:$N$5</xm:f>
          </x14:formula1>
          <xm:sqref>J42:J71 J8:J37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1197-5EBC-4467-85CC-1422A83BE2CF}">
  <dimension ref="B1:M93"/>
  <sheetViews>
    <sheetView tabSelected="1" topLeftCell="A5" zoomScale="80" zoomScaleNormal="80" workbookViewId="0">
      <selection activeCell="K52" sqref="K52"/>
    </sheetView>
  </sheetViews>
  <sheetFormatPr baseColWidth="10" defaultColWidth="10.77734375" defaultRowHeight="13.2" x14ac:dyDescent="0.25"/>
  <cols>
    <col min="1" max="1" width="4.88671875" customWidth="1"/>
    <col min="2" max="2" width="3.77734375" bestFit="1" customWidth="1"/>
    <col min="3" max="3" width="11" style="8" bestFit="1" customWidth="1"/>
    <col min="4" max="4" width="41.109375" bestFit="1" customWidth="1"/>
    <col min="5" max="5" width="30" bestFit="1" customWidth="1"/>
    <col min="6" max="6" width="13" bestFit="1" customWidth="1"/>
    <col min="7" max="7" width="13.88671875" bestFit="1" customWidth="1"/>
    <col min="8" max="8" width="10.88671875" bestFit="1" customWidth="1"/>
    <col min="9" max="9" width="11.5546875" bestFit="1" customWidth="1"/>
    <col min="10" max="10" width="15.6640625" bestFit="1" customWidth="1"/>
    <col min="11" max="12" width="13.5546875" bestFit="1" customWidth="1"/>
    <col min="13" max="13" width="23.6640625" bestFit="1" customWidth="1"/>
  </cols>
  <sheetData>
    <row r="1" spans="2:13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C2" s="4"/>
      <c r="D2" s="1"/>
      <c r="E2" s="1"/>
      <c r="G2" s="28" t="s">
        <v>1</v>
      </c>
      <c r="H2" s="29"/>
      <c r="I2" s="30"/>
      <c r="J2" s="23"/>
      <c r="M2" s="1"/>
    </row>
    <row r="3" spans="2:13" x14ac:dyDescent="0.25">
      <c r="C3" s="3"/>
      <c r="D3" s="5" t="s">
        <v>0</v>
      </c>
      <c r="E3" s="13" t="s">
        <v>989</v>
      </c>
      <c r="G3" s="31">
        <v>46295</v>
      </c>
      <c r="H3" s="32"/>
      <c r="I3" s="33"/>
      <c r="J3" s="16"/>
      <c r="K3" s="16"/>
      <c r="L3" s="16"/>
      <c r="M3" s="1"/>
    </row>
    <row r="4" spans="2:13" x14ac:dyDescent="0.25">
      <c r="C4" s="3"/>
      <c r="D4" s="2"/>
      <c r="M4" s="1"/>
    </row>
    <row r="5" spans="2:13" x14ac:dyDescent="0.25">
      <c r="C5" s="4"/>
      <c r="D5" s="1"/>
      <c r="E5" s="4"/>
      <c r="F5" s="1"/>
      <c r="G5" s="1"/>
      <c r="H5" s="1"/>
      <c r="I5" s="1"/>
      <c r="J5" s="1"/>
      <c r="K5" s="1"/>
      <c r="L5" s="1"/>
      <c r="M5" s="1"/>
    </row>
    <row r="6" spans="2:13" ht="25.05" customHeight="1" x14ac:dyDescent="0.25">
      <c r="C6" s="34" t="s">
        <v>51</v>
      </c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2:13" ht="33.450000000000003" customHeight="1" x14ac:dyDescent="0.25">
      <c r="B7" s="12" t="s">
        <v>988</v>
      </c>
      <c r="C7" s="12" t="s">
        <v>2</v>
      </c>
      <c r="D7" s="12" t="s">
        <v>929</v>
      </c>
      <c r="E7" s="12" t="s">
        <v>3</v>
      </c>
      <c r="F7" s="12" t="s">
        <v>4</v>
      </c>
      <c r="G7" s="12" t="s">
        <v>983</v>
      </c>
      <c r="H7" s="12" t="s">
        <v>5</v>
      </c>
      <c r="I7" s="12" t="s">
        <v>6</v>
      </c>
      <c r="J7" s="12" t="s">
        <v>982</v>
      </c>
      <c r="K7" s="17" t="s">
        <v>899</v>
      </c>
      <c r="L7" s="17" t="s">
        <v>900</v>
      </c>
      <c r="M7" s="12" t="s">
        <v>53</v>
      </c>
    </row>
    <row r="8" spans="2:13" s="1" customFormat="1" ht="13.05" customHeight="1" x14ac:dyDescent="0.25">
      <c r="B8" s="24">
        <v>1</v>
      </c>
      <c r="C8" s="11" t="s">
        <v>692</v>
      </c>
      <c r="D8" s="7" t="str">
        <f>IFERROR(VLOOKUP(C8,'Lista desplegable'!B$1:C$436,2,FALSE),"")</f>
        <v>JOSE CRISTIAN BASTIAS PEREZ</v>
      </c>
      <c r="E8" s="7" t="str">
        <f>IFERROR(VLOOKUP(D8,'Lista desplegable'!C$1:D$436,2,FALSE),"")</f>
        <v>SUPERVISOR DE OPERACIONES</v>
      </c>
      <c r="F8" s="19" t="s">
        <v>890</v>
      </c>
      <c r="G8" s="11" t="s">
        <v>903</v>
      </c>
      <c r="H8" s="11" t="s">
        <v>911</v>
      </c>
      <c r="I8" s="11">
        <v>0</v>
      </c>
      <c r="J8" s="11" t="s">
        <v>984</v>
      </c>
      <c r="K8" s="11" t="s">
        <v>918</v>
      </c>
      <c r="L8" s="11" t="s">
        <v>918</v>
      </c>
      <c r="M8" s="11"/>
    </row>
    <row r="9" spans="2:13" s="1" customFormat="1" ht="13.05" customHeight="1" x14ac:dyDescent="0.25">
      <c r="B9" s="24">
        <v>2</v>
      </c>
      <c r="C9" s="10" t="s">
        <v>991</v>
      </c>
      <c r="D9" s="7" t="str">
        <f>IFERROR(VLOOKUP(C9,'Lista desplegable'!B$1:C$436,2,FALSE),"")</f>
        <v>JORGE ENRIQUE CEBALLOS JOFRE</v>
      </c>
      <c r="E9" s="7" t="str">
        <f>IFERROR(VLOOKUP(D9,'Lista desplegable'!C$1:D$436,2,FALSE),"")</f>
        <v>PREVENCIONISTA DE RIESGOS</v>
      </c>
      <c r="F9" s="19" t="s">
        <v>890</v>
      </c>
      <c r="G9" s="11" t="s">
        <v>903</v>
      </c>
      <c r="H9" s="11" t="s">
        <v>911</v>
      </c>
      <c r="I9" s="11">
        <v>0</v>
      </c>
      <c r="J9" s="11" t="s">
        <v>984</v>
      </c>
      <c r="K9" s="11" t="s">
        <v>919</v>
      </c>
      <c r="L9" s="11" t="s">
        <v>919</v>
      </c>
      <c r="M9" s="11"/>
    </row>
    <row r="10" spans="2:13" s="1" customFormat="1" ht="13.05" customHeight="1" x14ac:dyDescent="0.25">
      <c r="B10" s="24">
        <v>3</v>
      </c>
      <c r="C10" s="11" t="s">
        <v>769</v>
      </c>
      <c r="D10" s="7" t="str">
        <f>IFERROR(VLOOKUP(C10,'Lista desplegable'!B$1:C$436,2,FALSE),"")</f>
        <v>NATALY ANTONIA SALAS ESCOBAR</v>
      </c>
      <c r="E10" s="7" t="str">
        <f>IFERROR(VLOOKUP(D10,'Lista desplegable'!C$1:D$436,2,FALSE),"")</f>
        <v>ADMINISTRATIVO DE FAENA</v>
      </c>
      <c r="F10" s="19" t="s">
        <v>890</v>
      </c>
      <c r="G10" s="11" t="s">
        <v>903</v>
      </c>
      <c r="H10" s="11" t="s">
        <v>911</v>
      </c>
      <c r="I10" s="11">
        <v>0</v>
      </c>
      <c r="J10" s="11" t="s">
        <v>984</v>
      </c>
      <c r="K10" s="11" t="s">
        <v>918</v>
      </c>
      <c r="L10" s="11" t="s">
        <v>918</v>
      </c>
      <c r="M10" s="11"/>
    </row>
    <row r="11" spans="2:13" s="1" customFormat="1" ht="13.05" customHeight="1" x14ac:dyDescent="0.25">
      <c r="B11" s="24">
        <v>4</v>
      </c>
      <c r="C11" s="10" t="s">
        <v>792</v>
      </c>
      <c r="D11" s="7" t="str">
        <f>IFERROR(VLOOKUP(C11,'Lista desplegable'!B$1:C$436,2,FALSE),"")</f>
        <v>PAOLO ALEJANDRO MANRIQUEZ SILVA</v>
      </c>
      <c r="E11" s="7" t="str">
        <f>IFERROR(VLOOKUP(D11,'Lista desplegable'!C$1:D$436,2,FALSE),"")</f>
        <v>BODEGUERO</v>
      </c>
      <c r="F11" s="19" t="s">
        <v>890</v>
      </c>
      <c r="G11" s="11" t="s">
        <v>903</v>
      </c>
      <c r="H11" s="11" t="s">
        <v>911</v>
      </c>
      <c r="I11" s="11">
        <v>0</v>
      </c>
      <c r="J11" s="11" t="s">
        <v>984</v>
      </c>
      <c r="K11" s="11" t="s">
        <v>918</v>
      </c>
      <c r="L11" s="11" t="s">
        <v>918</v>
      </c>
      <c r="M11" s="11"/>
    </row>
    <row r="12" spans="2:13" s="1" customFormat="1" ht="13.05" customHeight="1" x14ac:dyDescent="0.25">
      <c r="B12" s="24">
        <v>5</v>
      </c>
      <c r="C12" s="11" t="s">
        <v>650</v>
      </c>
      <c r="D12" s="7" t="str">
        <f>IFERROR(VLOOKUP(C12,'Lista desplegable'!B$1:C$436,2,FALSE),"")</f>
        <v>HECTOR ORLANDO RAMOS ROJAS</v>
      </c>
      <c r="E12" s="7" t="str">
        <f>IFERROR(VLOOKUP(D12,'Lista desplegable'!C$1:D$436,2,FALSE),"")</f>
        <v>SUPERVISOR DE OPERACIONES</v>
      </c>
      <c r="F12" s="19" t="s">
        <v>890</v>
      </c>
      <c r="G12" s="11" t="s">
        <v>903</v>
      </c>
      <c r="H12" s="11" t="s">
        <v>911</v>
      </c>
      <c r="I12" s="11">
        <v>0</v>
      </c>
      <c r="J12" s="11" t="s">
        <v>984</v>
      </c>
      <c r="K12" s="11"/>
      <c r="L12" s="11"/>
      <c r="M12" s="11"/>
    </row>
    <row r="13" spans="2:13" s="1" customFormat="1" ht="13.05" customHeight="1" x14ac:dyDescent="0.25">
      <c r="B13" s="24">
        <v>6</v>
      </c>
      <c r="C13" s="11" t="s">
        <v>790</v>
      </c>
      <c r="D13" s="7" t="str">
        <f>IFERROR(VLOOKUP(C13,'Lista desplegable'!B$1:C$436,2,FALSE),"")</f>
        <v>PABLO LUCAS POBLETE KUHNE</v>
      </c>
      <c r="E13" s="7" t="str">
        <f>IFERROR(VLOOKUP(D13,'Lista desplegable'!C$1:D$436,2,FALSE),"")</f>
        <v>CHOFER</v>
      </c>
      <c r="F13" s="19" t="s">
        <v>890</v>
      </c>
      <c r="G13" s="11" t="s">
        <v>903</v>
      </c>
      <c r="H13" s="11" t="s">
        <v>911</v>
      </c>
      <c r="I13" s="11">
        <v>0</v>
      </c>
      <c r="J13" s="11" t="s">
        <v>984</v>
      </c>
      <c r="K13" s="11" t="s">
        <v>918</v>
      </c>
      <c r="L13" s="11" t="s">
        <v>918</v>
      </c>
      <c r="M13" s="11"/>
    </row>
    <row r="14" spans="2:13" s="1" customFormat="1" ht="13.05" customHeight="1" x14ac:dyDescent="0.25">
      <c r="B14" s="24">
        <v>7</v>
      </c>
      <c r="C14" s="11" t="s">
        <v>602</v>
      </c>
      <c r="D14" s="7" t="str">
        <f>IFERROR(VLOOKUP(C14,'Lista desplegable'!B$1:C$436,2,FALSE),"")</f>
        <v>ELIAS NICOLAS CORTEZ CORTEZ</v>
      </c>
      <c r="E14" s="7" t="str">
        <f>IFERROR(VLOOKUP(D14,'Lista desplegable'!C$1:D$436,2,FALSE),"")</f>
        <v>CHOFER</v>
      </c>
      <c r="F14" s="19" t="s">
        <v>890</v>
      </c>
      <c r="G14" s="11" t="s">
        <v>903</v>
      </c>
      <c r="H14" s="11" t="s">
        <v>911</v>
      </c>
      <c r="I14" s="11">
        <v>0</v>
      </c>
      <c r="J14" s="11" t="s">
        <v>984</v>
      </c>
      <c r="K14" s="11" t="s">
        <v>918</v>
      </c>
      <c r="L14" s="11" t="s">
        <v>918</v>
      </c>
      <c r="M14" s="11"/>
    </row>
    <row r="15" spans="2:13" s="1" customFormat="1" ht="13.05" customHeight="1" x14ac:dyDescent="0.25">
      <c r="B15" s="24">
        <v>8</v>
      </c>
      <c r="C15" s="11" t="s">
        <v>735</v>
      </c>
      <c r="D15" s="7" t="str">
        <f>IFERROR(VLOOKUP(C15,'Lista desplegable'!B$1:C$436,2,FALSE),"")</f>
        <v>MANUEL ALEJANDRO TILLERIA SAAVEDRA</v>
      </c>
      <c r="E15" s="7" t="str">
        <f>IFERROR(VLOOKUP(D15,'Lista desplegable'!C$1:D$436,2,FALSE),"")</f>
        <v>MECANICO</v>
      </c>
      <c r="F15" s="19" t="s">
        <v>890</v>
      </c>
      <c r="G15" s="11" t="s">
        <v>903</v>
      </c>
      <c r="H15" s="11" t="s">
        <v>911</v>
      </c>
      <c r="I15" s="11">
        <v>0</v>
      </c>
      <c r="J15" s="11" t="s">
        <v>984</v>
      </c>
      <c r="K15" s="11" t="s">
        <v>918</v>
      </c>
      <c r="L15" s="11" t="s">
        <v>918</v>
      </c>
      <c r="M15" s="11"/>
    </row>
    <row r="16" spans="2:13" s="1" customFormat="1" ht="13.05" customHeight="1" x14ac:dyDescent="0.25">
      <c r="B16" s="24">
        <v>9</v>
      </c>
      <c r="C16" s="11" t="s">
        <v>740</v>
      </c>
      <c r="D16" s="7" t="str">
        <f>IFERROR(VLOOKUP(C16,'Lista desplegable'!B$1:C$436,2,FALSE),"")</f>
        <v>MANUEL OMAR ZAPATA AQUINO</v>
      </c>
      <c r="E16" s="7" t="str">
        <f>IFERROR(VLOOKUP(D16,'Lista desplegable'!C$1:D$436,2,FALSE),"")</f>
        <v>SOLDADOR</v>
      </c>
      <c r="F16" s="19" t="s">
        <v>890</v>
      </c>
      <c r="G16" s="11" t="s">
        <v>903</v>
      </c>
      <c r="H16" s="11" t="s">
        <v>911</v>
      </c>
      <c r="I16" s="11">
        <v>0</v>
      </c>
      <c r="J16" s="11" t="s">
        <v>984</v>
      </c>
      <c r="K16" s="11"/>
      <c r="L16" s="11"/>
      <c r="M16" s="11"/>
    </row>
    <row r="17" spans="2:13" s="1" customFormat="1" ht="13.05" customHeight="1" x14ac:dyDescent="0.25">
      <c r="B17" s="24">
        <v>10</v>
      </c>
      <c r="C17" s="11" t="s">
        <v>514</v>
      </c>
      <c r="D17" s="7" t="str">
        <f>IFERROR(VLOOKUP(C17,'Lista desplegable'!B$1:C$436,2,FALSE),"")</f>
        <v>ALISSON AYLEEN VILLAGRA CABALLERO</v>
      </c>
      <c r="E17" s="7" t="str">
        <f>IFERROR(VLOOKUP(D17,'Lista desplegable'!C$1:D$436,2,FALSE),"")</f>
        <v>CHOFER</v>
      </c>
      <c r="F17" s="19" t="s">
        <v>890</v>
      </c>
      <c r="G17" s="11" t="s">
        <v>903</v>
      </c>
      <c r="H17" s="11" t="s">
        <v>911</v>
      </c>
      <c r="I17" s="11">
        <v>0</v>
      </c>
      <c r="J17" s="11" t="s">
        <v>984</v>
      </c>
      <c r="K17" s="11" t="s">
        <v>918</v>
      </c>
      <c r="L17" s="11" t="s">
        <v>918</v>
      </c>
      <c r="M17" s="11"/>
    </row>
    <row r="18" spans="2:13" s="1" customFormat="1" ht="13.05" customHeight="1" x14ac:dyDescent="0.25">
      <c r="B18" s="24">
        <v>11</v>
      </c>
      <c r="C18" s="11" t="s">
        <v>8</v>
      </c>
      <c r="D18" s="7" t="str">
        <f>IFERROR(VLOOKUP(C18,'Lista desplegable'!B$1:C$436,2,FALSE),"")</f>
        <v>EDINSON RODRIGO GONZALEZ CORTINEZ</v>
      </c>
      <c r="E18" s="7" t="str">
        <f>IFERROR(VLOOKUP(D18,'Lista desplegable'!C$1:D$436,2,FALSE),"")</f>
        <v>AYUDANTE DE PERFORISTA</v>
      </c>
      <c r="F18" s="19" t="s">
        <v>890</v>
      </c>
      <c r="G18" s="11" t="s">
        <v>903</v>
      </c>
      <c r="H18" s="11" t="s">
        <v>911</v>
      </c>
      <c r="I18" s="11">
        <v>0</v>
      </c>
      <c r="J18" s="11" t="s">
        <v>984</v>
      </c>
      <c r="K18" s="11" t="s">
        <v>918</v>
      </c>
      <c r="L18" s="11" t="s">
        <v>918</v>
      </c>
      <c r="M18" s="11"/>
    </row>
    <row r="19" spans="2:13" s="1" customFormat="1" ht="13.05" customHeight="1" x14ac:dyDescent="0.25">
      <c r="B19" s="24">
        <v>12</v>
      </c>
      <c r="C19" s="10" t="s">
        <v>758</v>
      </c>
      <c r="D19" s="7" t="str">
        <f>IFERROR(VLOOKUP(C19,'Lista desplegable'!B$1:C$436,2,FALSE),"")</f>
        <v>MAURICIO ANDRES OYARZUN SALAMANCA</v>
      </c>
      <c r="E19" s="7" t="str">
        <f>IFERROR(VLOOKUP(D19,'Lista desplegable'!C$1:D$436,2,FALSE),"")</f>
        <v>AYUDANTE DE PERFORISTA</v>
      </c>
      <c r="F19" s="19" t="s">
        <v>890</v>
      </c>
      <c r="G19" s="11" t="s">
        <v>903</v>
      </c>
      <c r="H19" s="11" t="s">
        <v>911</v>
      </c>
      <c r="I19" s="11">
        <v>0</v>
      </c>
      <c r="J19" s="11" t="s">
        <v>984</v>
      </c>
      <c r="K19" s="11" t="s">
        <v>918</v>
      </c>
      <c r="L19" s="11" t="s">
        <v>918</v>
      </c>
      <c r="M19" s="11"/>
    </row>
    <row r="20" spans="2:13" s="1" customFormat="1" ht="13.05" customHeight="1" x14ac:dyDescent="0.25">
      <c r="B20" s="24">
        <v>13</v>
      </c>
      <c r="C20" s="11" t="s">
        <v>676</v>
      </c>
      <c r="D20" s="7" t="str">
        <f>IFERROR(VLOOKUP(C20,'Lista desplegable'!B$1:C$436,2,FALSE),"")</f>
        <v>JOHN BYRON VASQUEZ CARROZA</v>
      </c>
      <c r="E20" s="7" t="str">
        <f>IFERROR(VLOOKUP(D20,'Lista desplegable'!C$1:D$436,2,FALSE),"")</f>
        <v>AYUDANTE DE PERFORISTA</v>
      </c>
      <c r="F20" s="19" t="s">
        <v>890</v>
      </c>
      <c r="G20" s="11" t="s">
        <v>903</v>
      </c>
      <c r="H20" s="11" t="s">
        <v>911</v>
      </c>
      <c r="I20" s="11">
        <v>0</v>
      </c>
      <c r="J20" s="11" t="s">
        <v>984</v>
      </c>
      <c r="K20" s="11" t="s">
        <v>918</v>
      </c>
      <c r="L20" s="11" t="s">
        <v>918</v>
      </c>
      <c r="M20" s="11"/>
    </row>
    <row r="21" spans="2:13" s="1" customFormat="1" ht="13.05" customHeight="1" x14ac:dyDescent="0.25">
      <c r="B21" s="24">
        <v>14</v>
      </c>
      <c r="C21" s="11" t="s">
        <v>624</v>
      </c>
      <c r="D21" s="7" t="str">
        <f>IFERROR(VLOOKUP(C21,'Lista desplegable'!B$1:C$436,2,FALSE),"")</f>
        <v>FELIPE DAVID SAAVEDRA CAMPOS</v>
      </c>
      <c r="E21" s="7" t="str">
        <f>IFERROR(VLOOKUP(D21,'Lista desplegable'!C$1:D$436,2,FALSE),"")</f>
        <v>AYUDANTE DE PERFORISTA</v>
      </c>
      <c r="F21" s="19" t="s">
        <v>890</v>
      </c>
      <c r="G21" s="11" t="s">
        <v>903</v>
      </c>
      <c r="H21" s="11" t="s">
        <v>911</v>
      </c>
      <c r="I21" s="11">
        <v>0</v>
      </c>
      <c r="J21" s="11" t="s">
        <v>984</v>
      </c>
      <c r="K21" s="11" t="s">
        <v>918</v>
      </c>
      <c r="L21" s="11" t="s">
        <v>918</v>
      </c>
      <c r="M21" s="11"/>
    </row>
    <row r="22" spans="2:13" s="1" customFormat="1" ht="13.05" customHeight="1" x14ac:dyDescent="0.25">
      <c r="B22" s="24">
        <v>15</v>
      </c>
      <c r="C22" s="11"/>
      <c r="D22" s="7" t="str">
        <f>IFERROR(VLOOKUP(C22,'Lista desplegable'!B$1:C$436,2,FALSE),"")</f>
        <v/>
      </c>
      <c r="E22" s="7" t="str">
        <f>IFERROR(VLOOKUP(D22,'Lista desplegable'!C$1:D$436,2,FALSE),"")</f>
        <v/>
      </c>
      <c r="F22" s="19"/>
      <c r="G22" s="11"/>
      <c r="H22" s="11"/>
      <c r="I22" s="11"/>
      <c r="J22" s="11"/>
      <c r="K22" s="11"/>
      <c r="L22" s="11"/>
      <c r="M22" s="11"/>
    </row>
    <row r="23" spans="2:13" s="1" customFormat="1" ht="13.05" customHeight="1" x14ac:dyDescent="0.25">
      <c r="B23" s="24">
        <v>16</v>
      </c>
      <c r="C23" s="11"/>
      <c r="D23" s="7" t="str">
        <f>IFERROR(VLOOKUP(C23,'Lista desplegable'!B$1:C$436,2,FALSE),"")</f>
        <v/>
      </c>
      <c r="E23" s="7" t="str">
        <f>IFERROR(VLOOKUP(D23,'Lista desplegable'!C$1:D$436,2,FALSE),"")</f>
        <v/>
      </c>
      <c r="F23" s="19"/>
      <c r="G23" s="11"/>
      <c r="H23" s="11"/>
      <c r="I23" s="11"/>
      <c r="J23" s="11"/>
      <c r="K23" s="11"/>
      <c r="L23" s="11"/>
      <c r="M23" s="11"/>
    </row>
    <row r="24" spans="2:13" s="1" customFormat="1" ht="13.05" customHeight="1" x14ac:dyDescent="0.25">
      <c r="B24" s="24">
        <v>17</v>
      </c>
      <c r="C24" s="11"/>
      <c r="D24" s="7" t="str">
        <f>IFERROR(VLOOKUP(C24,'Lista desplegable'!B$1:C$436,2,FALSE),"")</f>
        <v/>
      </c>
      <c r="E24" s="7" t="str">
        <f>IFERROR(VLOOKUP(D24,'Lista desplegable'!C$1:D$436,2,FALSE),"")</f>
        <v/>
      </c>
      <c r="F24" s="19"/>
      <c r="G24" s="11"/>
      <c r="H24" s="11"/>
      <c r="I24" s="11"/>
      <c r="J24" s="11"/>
      <c r="K24" s="11"/>
      <c r="L24" s="11"/>
      <c r="M24" s="11"/>
    </row>
    <row r="25" spans="2:13" s="1" customFormat="1" ht="13.05" customHeight="1" x14ac:dyDescent="0.25">
      <c r="B25" s="24">
        <v>18</v>
      </c>
      <c r="C25" s="11"/>
      <c r="D25" s="7" t="str">
        <f>IFERROR(VLOOKUP(C25,'Lista desplegable'!B$1:C$436,2,FALSE),"")</f>
        <v/>
      </c>
      <c r="E25" s="7" t="str">
        <f>IFERROR(VLOOKUP(D25,'Lista desplegable'!C$1:D$436,2,FALSE),"")</f>
        <v/>
      </c>
      <c r="F25" s="19"/>
      <c r="G25" s="11"/>
      <c r="H25" s="11"/>
      <c r="I25" s="11"/>
      <c r="J25" s="11"/>
      <c r="K25" s="11"/>
      <c r="L25" s="11"/>
      <c r="M25" s="11"/>
    </row>
    <row r="26" spans="2:13" s="1" customFormat="1" ht="13.05" customHeight="1" x14ac:dyDescent="0.25">
      <c r="B26" s="24">
        <v>19</v>
      </c>
      <c r="C26" s="11"/>
      <c r="D26" s="7" t="str">
        <f>IFERROR(VLOOKUP(C26,'Lista desplegable'!B$1:C$436,2,FALSE),"")</f>
        <v/>
      </c>
      <c r="E26" s="7" t="str">
        <f>IFERROR(VLOOKUP(D26,'Lista desplegable'!C$1:D$436,2,FALSE),"")</f>
        <v/>
      </c>
      <c r="F26" s="19"/>
      <c r="G26" s="11"/>
      <c r="H26" s="11"/>
      <c r="I26" s="11"/>
      <c r="J26" s="11"/>
      <c r="K26" s="11"/>
      <c r="L26" s="11"/>
      <c r="M26" s="11"/>
    </row>
    <row r="27" spans="2:13" s="1" customFormat="1" ht="13.05" customHeight="1" x14ac:dyDescent="0.25">
      <c r="B27" s="24">
        <v>20</v>
      </c>
      <c r="C27" s="11"/>
      <c r="D27" s="7" t="str">
        <f>IFERROR(VLOOKUP(C27,'Lista desplegable'!B$1:C$436,2,FALSE),"")</f>
        <v/>
      </c>
      <c r="E27" s="7" t="str">
        <f>IFERROR(VLOOKUP(D27,'Lista desplegable'!C$1:D$436,2,FALSE),"")</f>
        <v/>
      </c>
      <c r="F27" s="19"/>
      <c r="G27" s="11"/>
      <c r="H27" s="11"/>
      <c r="I27" s="11"/>
      <c r="J27" s="11"/>
      <c r="K27" s="11"/>
      <c r="L27" s="11"/>
      <c r="M27" s="11"/>
    </row>
    <row r="28" spans="2:13" s="1" customFormat="1" ht="13.05" customHeight="1" x14ac:dyDescent="0.25">
      <c r="B28" s="24">
        <v>21</v>
      </c>
      <c r="C28" s="11"/>
      <c r="D28" s="7" t="str">
        <f>IFERROR(VLOOKUP(C28,'Lista desplegable'!B$1:C$436,2,FALSE),"")</f>
        <v/>
      </c>
      <c r="E28" s="7" t="str">
        <f>IFERROR(VLOOKUP(D28,'Lista desplegable'!C$1:D$436,2,FALSE),"")</f>
        <v/>
      </c>
      <c r="F28" s="19"/>
      <c r="G28" s="11"/>
      <c r="H28" s="11"/>
      <c r="I28" s="11"/>
      <c r="J28" s="11"/>
      <c r="K28" s="11"/>
      <c r="L28" s="11"/>
      <c r="M28" s="11"/>
    </row>
    <row r="29" spans="2:13" s="1" customFormat="1" ht="13.05" customHeight="1" x14ac:dyDescent="0.25">
      <c r="B29" s="24">
        <v>22</v>
      </c>
      <c r="C29" s="11"/>
      <c r="D29" s="7" t="str">
        <f>IFERROR(VLOOKUP(C29,'Lista desplegable'!B$1:C$436,2,FALSE),"")</f>
        <v/>
      </c>
      <c r="E29" s="7" t="str">
        <f>IFERROR(VLOOKUP(D29,'Lista desplegable'!C$1:D$436,2,FALSE),"")</f>
        <v/>
      </c>
      <c r="F29" s="19"/>
      <c r="G29" s="11"/>
      <c r="H29" s="11"/>
      <c r="I29" s="11"/>
      <c r="J29" s="11"/>
      <c r="K29" s="11"/>
      <c r="L29" s="11"/>
      <c r="M29" s="11"/>
    </row>
    <row r="30" spans="2:13" s="1" customFormat="1" ht="13.05" customHeight="1" x14ac:dyDescent="0.25">
      <c r="B30" s="24">
        <v>23</v>
      </c>
      <c r="C30" s="11"/>
      <c r="D30" s="7" t="str">
        <f>IFERROR(VLOOKUP(C30,'Lista desplegable'!B$1:C$436,2,FALSE),"")</f>
        <v/>
      </c>
      <c r="E30" s="7" t="str">
        <f>IFERROR(VLOOKUP(D30,'Lista desplegable'!C$1:D$436,2,FALSE),"")</f>
        <v/>
      </c>
      <c r="F30" s="19"/>
      <c r="G30" s="11"/>
      <c r="H30" s="11"/>
      <c r="I30" s="11"/>
      <c r="J30" s="11"/>
      <c r="K30" s="11"/>
      <c r="L30" s="11"/>
      <c r="M30" s="11"/>
    </row>
    <row r="31" spans="2:13" s="1" customFormat="1" ht="13.05" customHeight="1" x14ac:dyDescent="0.25">
      <c r="B31" s="24">
        <v>24</v>
      </c>
      <c r="C31" s="11"/>
      <c r="D31" s="7" t="str">
        <f>IFERROR(VLOOKUP(C31,'Lista desplegable'!B$1:C$436,2,FALSE),"")</f>
        <v/>
      </c>
      <c r="E31" s="7" t="str">
        <f>IFERROR(VLOOKUP(D31,'Lista desplegable'!C$1:D$436,2,FALSE),"")</f>
        <v/>
      </c>
      <c r="F31" s="19"/>
      <c r="G31" s="11"/>
      <c r="H31" s="11"/>
      <c r="I31" s="11"/>
      <c r="J31" s="11"/>
      <c r="K31" s="11"/>
      <c r="L31" s="11"/>
      <c r="M31" s="11"/>
    </row>
    <row r="32" spans="2:13" s="1" customFormat="1" ht="13.05" customHeight="1" x14ac:dyDescent="0.25">
      <c r="B32" s="24">
        <v>25</v>
      </c>
      <c r="C32" s="11"/>
      <c r="D32" s="7" t="str">
        <f>IFERROR(VLOOKUP(C32,'Lista desplegable'!B$1:C$436,2,FALSE),"")</f>
        <v/>
      </c>
      <c r="E32" s="7" t="str">
        <f>IFERROR(VLOOKUP(D32,'Lista desplegable'!C$1:D$436,2,FALSE),"")</f>
        <v/>
      </c>
      <c r="F32" s="19"/>
      <c r="G32" s="11"/>
      <c r="H32" s="11"/>
      <c r="I32" s="11"/>
      <c r="J32" s="11"/>
      <c r="K32" s="11"/>
      <c r="L32" s="11"/>
      <c r="M32" s="11"/>
    </row>
    <row r="33" spans="2:13" s="1" customFormat="1" ht="13.05" customHeight="1" x14ac:dyDescent="0.25">
      <c r="B33" s="24">
        <v>26</v>
      </c>
      <c r="C33" s="11"/>
      <c r="D33" s="7" t="str">
        <f>IFERROR(VLOOKUP(C33,'Lista desplegable'!B$1:C$436,2,FALSE),"")</f>
        <v/>
      </c>
      <c r="E33" s="7" t="str">
        <f>IFERROR(VLOOKUP(D33,'Lista desplegable'!C$1:D$436,2,FALSE),"")</f>
        <v/>
      </c>
      <c r="F33" s="19"/>
      <c r="G33" s="11"/>
      <c r="H33" s="11"/>
      <c r="I33" s="11"/>
      <c r="J33" s="11"/>
      <c r="K33" s="11"/>
      <c r="L33" s="11"/>
      <c r="M33" s="11"/>
    </row>
    <row r="34" spans="2:13" s="1" customFormat="1" ht="13.05" customHeight="1" x14ac:dyDescent="0.25">
      <c r="B34" s="24">
        <v>27</v>
      </c>
      <c r="C34" s="11"/>
      <c r="D34" s="7" t="str">
        <f>IFERROR(VLOOKUP(C34,'Lista desplegable'!B$1:C$436,2,FALSE),"")</f>
        <v/>
      </c>
      <c r="E34" s="7" t="str">
        <f>IFERROR(VLOOKUP(D34,'Lista desplegable'!C$1:D$436,2,FALSE),"")</f>
        <v/>
      </c>
      <c r="F34" s="19"/>
      <c r="G34" s="11"/>
      <c r="H34" s="11"/>
      <c r="I34" s="11"/>
      <c r="J34" s="11"/>
      <c r="K34" s="11"/>
      <c r="L34" s="11"/>
      <c r="M34" s="11"/>
    </row>
    <row r="35" spans="2:13" s="1" customFormat="1" ht="13.05" customHeight="1" x14ac:dyDescent="0.25">
      <c r="B35" s="24">
        <v>28</v>
      </c>
      <c r="C35" s="11"/>
      <c r="D35" s="7" t="str">
        <f>IFERROR(VLOOKUP(C35,'Lista desplegable'!B$1:C$436,2,FALSE),"")</f>
        <v/>
      </c>
      <c r="E35" s="7" t="str">
        <f>IFERROR(VLOOKUP(D35,'Lista desplegable'!C$1:D$436,2,FALSE),"")</f>
        <v/>
      </c>
      <c r="F35" s="19"/>
      <c r="G35" s="11"/>
      <c r="H35" s="11"/>
      <c r="I35" s="11"/>
      <c r="J35" s="11"/>
      <c r="K35" s="11"/>
      <c r="L35" s="11"/>
      <c r="M35" s="11"/>
    </row>
    <row r="36" spans="2:13" s="1" customFormat="1" ht="13.05" customHeight="1" x14ac:dyDescent="0.25">
      <c r="B36" s="24">
        <v>29</v>
      </c>
      <c r="C36" s="11"/>
      <c r="D36" s="7" t="str">
        <f>IFERROR(VLOOKUP(C36,'Lista desplegable'!B$1:C$436,2,FALSE),"")</f>
        <v/>
      </c>
      <c r="E36" s="7" t="str">
        <f>IFERROR(VLOOKUP(D36,'Lista desplegable'!C$1:D$436,2,FALSE),"")</f>
        <v/>
      </c>
      <c r="F36" s="19"/>
      <c r="G36" s="11"/>
      <c r="H36" s="11"/>
      <c r="I36" s="11"/>
      <c r="J36" s="11"/>
      <c r="K36" s="11"/>
      <c r="L36" s="11"/>
      <c r="M36" s="11"/>
    </row>
    <row r="37" spans="2:13" s="1" customFormat="1" ht="13.05" customHeight="1" x14ac:dyDescent="0.25">
      <c r="B37" s="24">
        <v>30</v>
      </c>
      <c r="C37" s="11"/>
      <c r="D37" s="7" t="str">
        <f>IFERROR(VLOOKUP(C37,'Lista desplegable'!B$1:C$436,2,FALSE),"")</f>
        <v/>
      </c>
      <c r="E37" s="7" t="str">
        <f>IFERROR(VLOOKUP(D37,'Lista desplegable'!C$1:D$436,2,FALSE),"")</f>
        <v/>
      </c>
      <c r="F37" s="19"/>
      <c r="G37" s="11"/>
      <c r="H37" s="11"/>
      <c r="I37" s="11"/>
      <c r="J37" s="11"/>
      <c r="K37" s="11"/>
      <c r="L37" s="11"/>
      <c r="M37" s="11"/>
    </row>
    <row r="38" spans="2:13" ht="13.05" customHeight="1" x14ac:dyDescent="0.25">
      <c r="C38"/>
    </row>
    <row r="39" spans="2:13" ht="13.05" customHeight="1" x14ac:dyDescent="0.25">
      <c r="C39"/>
    </row>
    <row r="40" spans="2:13" ht="25.05" customHeight="1" x14ac:dyDescent="0.25">
      <c r="C40" s="34" t="s">
        <v>52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</row>
    <row r="41" spans="2:13" ht="33.450000000000003" customHeight="1" x14ac:dyDescent="0.25">
      <c r="B41" s="12" t="s">
        <v>988</v>
      </c>
      <c r="C41" s="12" t="s">
        <v>2</v>
      </c>
      <c r="D41" s="12" t="s">
        <v>929</v>
      </c>
      <c r="E41" s="12" t="s">
        <v>3</v>
      </c>
      <c r="F41" s="12" t="s">
        <v>4</v>
      </c>
      <c r="G41" s="12" t="s">
        <v>983</v>
      </c>
      <c r="H41" s="12" t="s">
        <v>5</v>
      </c>
      <c r="I41" s="12" t="s">
        <v>6</v>
      </c>
      <c r="J41" s="12" t="s">
        <v>982</v>
      </c>
      <c r="K41" s="17" t="s">
        <v>899</v>
      </c>
      <c r="L41" s="17" t="s">
        <v>900</v>
      </c>
      <c r="M41" s="12" t="s">
        <v>53</v>
      </c>
    </row>
    <row r="42" spans="2:13" ht="13.05" customHeight="1" x14ac:dyDescent="0.25">
      <c r="B42" s="24">
        <v>1</v>
      </c>
      <c r="C42" s="11" t="s">
        <v>528</v>
      </c>
      <c r="D42" s="7" t="str">
        <f>IFERROR(VLOOKUP(C42,'Lista desplegable'!B$1:C$436,2,FALSE),"")</f>
        <v>ARIEL ANDRES SILVA RIQUELME</v>
      </c>
      <c r="E42" s="7" t="str">
        <f>IFERROR(VLOOKUP(D42,'Lista desplegable'!C$1:D$436,2,FALSE),"")</f>
        <v>SUPERVISOR DE OPERACIONES</v>
      </c>
      <c r="F42" s="19" t="s">
        <v>890</v>
      </c>
      <c r="G42" s="11" t="s">
        <v>903</v>
      </c>
      <c r="H42" s="11" t="s">
        <v>911</v>
      </c>
      <c r="I42" s="11"/>
      <c r="J42" s="11" t="s">
        <v>984</v>
      </c>
      <c r="K42" s="11" t="s">
        <v>918</v>
      </c>
      <c r="L42" s="11" t="s">
        <v>919</v>
      </c>
      <c r="M42" s="11" t="s">
        <v>1015</v>
      </c>
    </row>
    <row r="43" spans="2:13" ht="13.05" customHeight="1" x14ac:dyDescent="0.25">
      <c r="B43" s="24">
        <v>2</v>
      </c>
      <c r="C43" s="11" t="s">
        <v>731</v>
      </c>
      <c r="D43" s="7" t="str">
        <f>IFERROR(VLOOKUP(C43,'Lista desplegable'!B$1:C$436,2,FALSE),"")</f>
        <v>LUIS HUMBERTO PEÑA AHUMADA</v>
      </c>
      <c r="E43" s="7" t="str">
        <f>IFERROR(VLOOKUP(D43,'Lista desplegable'!C$1:D$436,2,FALSE),"")</f>
        <v>CHOFER</v>
      </c>
      <c r="F43" s="19" t="s">
        <v>890</v>
      </c>
      <c r="G43" s="11" t="s">
        <v>903</v>
      </c>
      <c r="H43" s="11" t="s">
        <v>911</v>
      </c>
      <c r="I43" s="11"/>
      <c r="J43" s="11" t="s">
        <v>984</v>
      </c>
      <c r="K43" s="11" t="s">
        <v>918</v>
      </c>
      <c r="L43" s="11" t="s">
        <v>919</v>
      </c>
      <c r="M43" s="11" t="s">
        <v>1015</v>
      </c>
    </row>
    <row r="44" spans="2:13" ht="13.05" customHeight="1" x14ac:dyDescent="0.25">
      <c r="B44" s="24">
        <v>3</v>
      </c>
      <c r="C44" s="11" t="s">
        <v>508</v>
      </c>
      <c r="D44" s="7" t="str">
        <f>IFERROR(VLOOKUP(C44,'Lista desplegable'!B$1:C$436,2,FALSE),"")</f>
        <v>ALEJANDRO ALBERTO CAMPILLAY RUIZ</v>
      </c>
      <c r="E44" s="7" t="str">
        <f>IFERROR(VLOOKUP(D44,'Lista desplegable'!C$1:D$436,2,FALSE),"")</f>
        <v>MECANICO</v>
      </c>
      <c r="F44" s="19" t="s">
        <v>890</v>
      </c>
      <c r="G44" s="11" t="s">
        <v>903</v>
      </c>
      <c r="H44" s="11" t="s">
        <v>911</v>
      </c>
      <c r="I44" s="11"/>
      <c r="J44" s="11" t="s">
        <v>984</v>
      </c>
      <c r="K44" s="11" t="s">
        <v>918</v>
      </c>
      <c r="L44" s="11" t="s">
        <v>919</v>
      </c>
      <c r="M44" s="11" t="s">
        <v>1015</v>
      </c>
    </row>
    <row r="45" spans="2:13" ht="13.05" customHeight="1" x14ac:dyDescent="0.25">
      <c r="B45" s="24">
        <v>4</v>
      </c>
      <c r="C45" s="11" t="s">
        <v>695</v>
      </c>
      <c r="D45" s="7" t="str">
        <f>IFERROR(VLOOKUP(C45,'Lista desplegable'!B$1:C$436,2,FALSE),"")</f>
        <v>JOSÉ LEONARDO RODRIGUEZ ROBLES</v>
      </c>
      <c r="E45" s="7" t="str">
        <f>IFERROR(VLOOKUP(D45,'Lista desplegable'!C$1:D$436,2,FALSE),"")</f>
        <v>CHOFER</v>
      </c>
      <c r="F45" s="19" t="s">
        <v>890</v>
      </c>
      <c r="G45" s="11" t="s">
        <v>903</v>
      </c>
      <c r="H45" s="11" t="s">
        <v>911</v>
      </c>
      <c r="I45" s="11"/>
      <c r="J45" s="11" t="s">
        <v>984</v>
      </c>
      <c r="K45" s="11" t="s">
        <v>918</v>
      </c>
      <c r="L45" s="11" t="s">
        <v>919</v>
      </c>
      <c r="M45" s="11" t="s">
        <v>1015</v>
      </c>
    </row>
    <row r="46" spans="2:13" ht="13.05" customHeight="1" x14ac:dyDescent="0.25">
      <c r="B46" s="24">
        <v>5</v>
      </c>
      <c r="C46" s="11" t="s">
        <v>20</v>
      </c>
      <c r="D46" s="7" t="str">
        <f>IFERROR(VLOOKUP(C46,'Lista desplegable'!B$1:C$436,2,FALSE),"")</f>
        <v>CARLOS ALBERTO PIZARRO PIZARRO</v>
      </c>
      <c r="E46" s="7" t="str">
        <f>IFERROR(VLOOKUP(D46,'Lista desplegable'!C$1:D$436,2,FALSE),"")</f>
        <v>AYUDANTE DE PERFORISTA</v>
      </c>
      <c r="F46" s="19" t="s">
        <v>890</v>
      </c>
      <c r="G46" s="11" t="s">
        <v>903</v>
      </c>
      <c r="H46" s="11" t="s">
        <v>911</v>
      </c>
      <c r="I46" s="11"/>
      <c r="J46" s="11" t="s">
        <v>984</v>
      </c>
      <c r="K46" s="11" t="s">
        <v>919</v>
      </c>
      <c r="L46" s="11" t="s">
        <v>919</v>
      </c>
      <c r="M46" s="11" t="s">
        <v>1015</v>
      </c>
    </row>
    <row r="47" spans="2:13" ht="13.05" customHeight="1" x14ac:dyDescent="0.25">
      <c r="B47" s="24">
        <v>6</v>
      </c>
      <c r="C47" s="11" t="s">
        <v>870</v>
      </c>
      <c r="D47" s="7" t="str">
        <f>IFERROR(VLOOKUP(C47,'Lista desplegable'!B$1:C$436,2,FALSE),"")</f>
        <v>VICENTE ANDRES LOPEZ MARTINEZ</v>
      </c>
      <c r="E47" s="7" t="str">
        <f>IFERROR(VLOOKUP(D47,'Lista desplegable'!C$1:D$436,2,FALSE),"")</f>
        <v>AYUDANTE DE PERFORISTA</v>
      </c>
      <c r="F47" s="19" t="s">
        <v>890</v>
      </c>
      <c r="G47" s="11" t="s">
        <v>903</v>
      </c>
      <c r="H47" s="11" t="s">
        <v>911</v>
      </c>
      <c r="I47" s="11"/>
      <c r="J47" s="11" t="s">
        <v>984</v>
      </c>
      <c r="K47" s="11" t="s">
        <v>918</v>
      </c>
      <c r="L47" s="11" t="s">
        <v>919</v>
      </c>
      <c r="M47" s="11" t="s">
        <v>1015</v>
      </c>
    </row>
    <row r="48" spans="2:13" ht="13.05" customHeight="1" x14ac:dyDescent="0.25">
      <c r="B48" s="24">
        <v>7</v>
      </c>
      <c r="C48"/>
      <c r="D48" s="7" t="str">
        <f>IFERROR(VLOOKUP(C48,'Lista desplegable'!B$1:C$436,2,FALSE),"")</f>
        <v/>
      </c>
      <c r="E48" s="7"/>
      <c r="F48" s="19"/>
      <c r="G48" s="11"/>
      <c r="H48" s="11"/>
      <c r="I48" s="11"/>
      <c r="J48" s="11"/>
      <c r="K48" s="11"/>
      <c r="L48" s="11"/>
      <c r="M48" s="11"/>
    </row>
    <row r="49" spans="2:13" ht="13.05" customHeight="1" x14ac:dyDescent="0.25">
      <c r="B49" s="24">
        <v>8</v>
      </c>
      <c r="C49" s="11"/>
      <c r="D49" s="7" t="str">
        <f>IFERROR(VLOOKUP(C49,'Lista desplegable'!B$1:C$436,2,FALSE),"")</f>
        <v/>
      </c>
      <c r="E49" s="7" t="str">
        <f>IFERROR(VLOOKUP(D49,'Lista desplegable'!C$1:D$436,2,FALSE),"")</f>
        <v/>
      </c>
      <c r="F49" s="19"/>
      <c r="G49" s="11"/>
      <c r="H49" s="11"/>
      <c r="I49" s="11"/>
      <c r="J49" s="11"/>
      <c r="K49" s="11"/>
      <c r="L49" s="11"/>
      <c r="M49" s="11"/>
    </row>
    <row r="50" spans="2:13" ht="13.05" customHeight="1" x14ac:dyDescent="0.25">
      <c r="B50" s="24">
        <v>9</v>
      </c>
      <c r="C50" s="11"/>
      <c r="D50" s="7" t="str">
        <f>IFERROR(VLOOKUP(C50,'Lista desplegable'!B$1:C$436,2,FALSE),"")</f>
        <v/>
      </c>
      <c r="E50" s="7" t="str">
        <f>IFERROR(VLOOKUP(D50,'Lista desplegable'!C$1:D$436,2,FALSE),"")</f>
        <v/>
      </c>
      <c r="F50" s="19"/>
      <c r="G50" s="11"/>
      <c r="H50" s="11"/>
      <c r="I50" s="11"/>
      <c r="J50" s="11"/>
      <c r="K50" s="11"/>
      <c r="L50" s="11"/>
      <c r="M50" s="11"/>
    </row>
    <row r="51" spans="2:13" ht="13.05" customHeight="1" x14ac:dyDescent="0.25">
      <c r="B51" s="24">
        <v>10</v>
      </c>
      <c r="C51" s="11"/>
      <c r="D51" s="7" t="str">
        <f>IFERROR(VLOOKUP(C51,'Lista desplegable'!B$1:C$436,2,FALSE),"")</f>
        <v/>
      </c>
      <c r="E51" s="7" t="str">
        <f>IFERROR(VLOOKUP(D51,'Lista desplegable'!C$1:D$436,2,FALSE),"")</f>
        <v/>
      </c>
      <c r="F51" s="19"/>
      <c r="G51" s="11"/>
      <c r="H51" s="11"/>
      <c r="I51" s="11"/>
      <c r="J51" s="11"/>
      <c r="K51" s="11"/>
      <c r="L51" s="11"/>
      <c r="M51" s="11"/>
    </row>
    <row r="52" spans="2:13" ht="13.05" customHeight="1" x14ac:dyDescent="0.25">
      <c r="B52" s="24">
        <v>11</v>
      </c>
      <c r="C52" s="11"/>
      <c r="D52" s="7" t="str">
        <f>IFERROR(VLOOKUP(C52,'Lista desplegable'!B$1:C$436,2,FALSE),"")</f>
        <v/>
      </c>
      <c r="E52" s="7" t="str">
        <f>IFERROR(VLOOKUP(D52,'Lista desplegable'!C$1:D$436,2,FALSE),"")</f>
        <v/>
      </c>
      <c r="F52" s="19"/>
      <c r="G52" s="11"/>
      <c r="H52" s="11"/>
      <c r="I52" s="11"/>
      <c r="J52" s="11"/>
      <c r="K52" s="11"/>
      <c r="L52" s="11"/>
      <c r="M52" s="11"/>
    </row>
    <row r="53" spans="2:13" ht="13.05" customHeight="1" x14ac:dyDescent="0.25">
      <c r="B53" s="24">
        <v>12</v>
      </c>
      <c r="C53" s="11"/>
      <c r="D53" s="7" t="str">
        <f>IFERROR(VLOOKUP(C53,'Lista desplegable'!B$1:C$436,2,FALSE),"")</f>
        <v/>
      </c>
      <c r="E53" s="7" t="str">
        <f>IFERROR(VLOOKUP(D53,'Lista desplegable'!C$1:D$436,2,FALSE),"")</f>
        <v/>
      </c>
      <c r="F53" s="19"/>
      <c r="G53" s="11"/>
      <c r="H53" s="11"/>
      <c r="I53" s="11"/>
      <c r="J53" s="11"/>
      <c r="K53" s="11"/>
      <c r="L53" s="11"/>
      <c r="M53" s="11"/>
    </row>
    <row r="54" spans="2:13" ht="13.05" customHeight="1" x14ac:dyDescent="0.25">
      <c r="B54" s="24">
        <v>13</v>
      </c>
      <c r="C54" s="11"/>
      <c r="D54" s="7" t="str">
        <f>IFERROR(VLOOKUP(C54,'Lista desplegable'!B$1:C$436,2,FALSE),"")</f>
        <v/>
      </c>
      <c r="E54" s="7" t="str">
        <f>IFERROR(VLOOKUP(D54,'Lista desplegable'!C$1:D$436,2,FALSE),"")</f>
        <v/>
      </c>
      <c r="F54" s="19"/>
      <c r="G54" s="11"/>
      <c r="H54" s="11"/>
      <c r="I54" s="11"/>
      <c r="J54" s="11"/>
      <c r="K54" s="11"/>
      <c r="L54" s="11"/>
      <c r="M54" s="11"/>
    </row>
    <row r="55" spans="2:13" ht="13.05" customHeight="1" x14ac:dyDescent="0.25">
      <c r="B55" s="24">
        <v>14</v>
      </c>
      <c r="C55" s="11"/>
      <c r="D55" s="7" t="str">
        <f>IFERROR(VLOOKUP(C55,'Lista desplegable'!B$1:C$436,2,FALSE),"")</f>
        <v/>
      </c>
      <c r="E55" s="7" t="str">
        <f>IFERROR(VLOOKUP(D55,'Lista desplegable'!C$1:D$436,2,FALSE),"")</f>
        <v/>
      </c>
      <c r="F55" s="19"/>
      <c r="G55" s="11"/>
      <c r="H55" s="11"/>
      <c r="I55" s="11"/>
      <c r="J55" s="11"/>
      <c r="K55" s="11"/>
      <c r="L55" s="11"/>
      <c r="M55" s="11"/>
    </row>
    <row r="56" spans="2:13" ht="13.05" customHeight="1" x14ac:dyDescent="0.25">
      <c r="B56" s="24">
        <v>15</v>
      </c>
      <c r="C56" s="11"/>
      <c r="D56" s="7" t="str">
        <f>IFERROR(VLOOKUP(C56,'Lista desplegable'!B$1:C$436,2,FALSE),"")</f>
        <v/>
      </c>
      <c r="E56" s="7" t="str">
        <f>IFERROR(VLOOKUP(D56,'Lista desplegable'!C$1:D$436,2,FALSE),"")</f>
        <v/>
      </c>
      <c r="F56" s="19"/>
      <c r="G56" s="11"/>
      <c r="H56" s="11"/>
      <c r="I56" s="11"/>
      <c r="J56" s="11"/>
      <c r="K56" s="11"/>
      <c r="L56" s="11"/>
      <c r="M56" s="11"/>
    </row>
    <row r="57" spans="2:13" ht="13.05" customHeight="1" x14ac:dyDescent="0.25">
      <c r="B57" s="24">
        <v>16</v>
      </c>
      <c r="C57" s="11"/>
      <c r="D57" s="7" t="str">
        <f>IFERROR(VLOOKUP(C57,'Lista desplegable'!B$1:C$436,2,FALSE),"")</f>
        <v/>
      </c>
      <c r="E57" s="7" t="str">
        <f>IFERROR(VLOOKUP(D57,'Lista desplegable'!C$1:D$436,2,FALSE),"")</f>
        <v/>
      </c>
      <c r="F57" s="19"/>
      <c r="G57" s="11"/>
      <c r="H57" s="11"/>
      <c r="I57" s="11"/>
      <c r="J57" s="11"/>
      <c r="K57" s="11"/>
      <c r="L57" s="11"/>
      <c r="M57" s="11"/>
    </row>
    <row r="58" spans="2:13" ht="13.05" customHeight="1" x14ac:dyDescent="0.25">
      <c r="B58" s="24">
        <v>17</v>
      </c>
      <c r="C58" s="11"/>
      <c r="D58" s="7" t="str">
        <f>IFERROR(VLOOKUP(C58,'Lista desplegable'!B$1:C$436,2,FALSE),"")</f>
        <v/>
      </c>
      <c r="E58" s="7" t="str">
        <f>IFERROR(VLOOKUP(D58,'Lista desplegable'!C$1:D$436,2,FALSE),"")</f>
        <v/>
      </c>
      <c r="F58" s="19"/>
      <c r="G58" s="11"/>
      <c r="H58" s="11"/>
      <c r="I58" s="11"/>
      <c r="J58" s="11"/>
      <c r="K58" s="11"/>
      <c r="L58" s="11"/>
      <c r="M58" s="11"/>
    </row>
    <row r="59" spans="2:13" ht="13.05" customHeight="1" x14ac:dyDescent="0.25">
      <c r="B59" s="24">
        <v>18</v>
      </c>
      <c r="C59" s="11"/>
      <c r="D59" s="7" t="str">
        <f>IFERROR(VLOOKUP(C59,'Lista desplegable'!B$1:C$436,2,FALSE),"")</f>
        <v/>
      </c>
      <c r="E59" s="7" t="str">
        <f>IFERROR(VLOOKUP(D59,'Lista desplegable'!C$1:D$436,2,FALSE),"")</f>
        <v/>
      </c>
      <c r="F59" s="19"/>
      <c r="G59" s="11"/>
      <c r="H59" s="11"/>
      <c r="I59" s="11"/>
      <c r="J59" s="11"/>
      <c r="K59" s="11"/>
      <c r="L59" s="11"/>
      <c r="M59" s="11"/>
    </row>
    <row r="60" spans="2:13" ht="13.05" customHeight="1" x14ac:dyDescent="0.25">
      <c r="B60" s="24">
        <v>19</v>
      </c>
      <c r="C60" s="11"/>
      <c r="D60" s="7" t="str">
        <f>IFERROR(VLOOKUP(C60,'Lista desplegable'!B$1:C$436,2,FALSE),"")</f>
        <v/>
      </c>
      <c r="E60" s="7" t="str">
        <f>IFERROR(VLOOKUP(D60,'Lista desplegable'!C$1:D$436,2,FALSE),"")</f>
        <v/>
      </c>
      <c r="F60" s="19"/>
      <c r="G60" s="11"/>
      <c r="H60" s="11"/>
      <c r="I60" s="11"/>
      <c r="J60" s="11"/>
      <c r="K60" s="11"/>
      <c r="L60" s="11"/>
      <c r="M60" s="11"/>
    </row>
    <row r="61" spans="2:13" ht="13.05" customHeight="1" x14ac:dyDescent="0.25">
      <c r="B61" s="24">
        <v>20</v>
      </c>
      <c r="C61" s="11"/>
      <c r="D61" s="7" t="str">
        <f>IFERROR(VLOOKUP(C61,'Lista desplegable'!B$1:C$436,2,FALSE),"")</f>
        <v/>
      </c>
      <c r="E61" s="7" t="str">
        <f>IFERROR(VLOOKUP(D61,'Lista desplegable'!C$1:D$436,2,FALSE),"")</f>
        <v/>
      </c>
      <c r="F61" s="19"/>
      <c r="G61" s="11"/>
      <c r="H61" s="11"/>
      <c r="I61" s="11"/>
      <c r="J61" s="11"/>
      <c r="K61" s="11"/>
      <c r="L61" s="11"/>
      <c r="M61" s="11"/>
    </row>
    <row r="62" spans="2:13" ht="13.05" customHeight="1" x14ac:dyDescent="0.25">
      <c r="B62" s="24">
        <v>21</v>
      </c>
      <c r="C62" s="11"/>
      <c r="D62" s="7" t="str">
        <f>IFERROR(VLOOKUP(C62,'Lista desplegable'!B$1:C$436,2,FALSE),"")</f>
        <v/>
      </c>
      <c r="E62" s="7" t="str">
        <f>IFERROR(VLOOKUP(D62,'Lista desplegable'!C$1:D$436,2,FALSE),"")</f>
        <v/>
      </c>
      <c r="F62" s="19"/>
      <c r="G62" s="11"/>
      <c r="H62" s="11"/>
      <c r="I62" s="11"/>
      <c r="J62" s="11"/>
      <c r="K62" s="11"/>
      <c r="L62" s="11"/>
      <c r="M62" s="11"/>
    </row>
    <row r="63" spans="2:13" ht="13.05" customHeight="1" x14ac:dyDescent="0.25">
      <c r="B63" s="24">
        <v>22</v>
      </c>
      <c r="C63" s="11"/>
      <c r="D63" s="7" t="str">
        <f>IFERROR(VLOOKUP(C63,'Lista desplegable'!B$1:C$436,2,FALSE),"")</f>
        <v/>
      </c>
      <c r="E63" s="7" t="str">
        <f>IFERROR(VLOOKUP(D63,'Lista desplegable'!C$1:D$436,2,FALSE),"")</f>
        <v/>
      </c>
      <c r="F63" s="19"/>
      <c r="G63" s="11"/>
      <c r="H63" s="11"/>
      <c r="I63" s="11"/>
      <c r="J63" s="11"/>
      <c r="K63" s="11"/>
      <c r="L63" s="11"/>
      <c r="M63" s="11"/>
    </row>
    <row r="64" spans="2:13" ht="13.05" customHeight="1" x14ac:dyDescent="0.25">
      <c r="B64" s="24">
        <v>23</v>
      </c>
      <c r="C64" s="11"/>
      <c r="D64" s="7" t="str">
        <f>IFERROR(VLOOKUP(C64,'Lista desplegable'!B$1:C$436,2,FALSE),"")</f>
        <v/>
      </c>
      <c r="E64" s="7" t="str">
        <f>IFERROR(VLOOKUP(D64,'Lista desplegable'!C$1:D$436,2,FALSE),"")</f>
        <v/>
      </c>
      <c r="F64" s="19"/>
      <c r="G64" s="11"/>
      <c r="H64" s="11"/>
      <c r="I64" s="11"/>
      <c r="J64" s="11"/>
      <c r="K64" s="11"/>
      <c r="L64" s="11"/>
      <c r="M64" s="11"/>
    </row>
    <row r="65" spans="2:13" ht="13.05" customHeight="1" x14ac:dyDescent="0.25">
      <c r="B65" s="24">
        <v>24</v>
      </c>
      <c r="C65" s="11"/>
      <c r="D65" s="7" t="str">
        <f>IFERROR(VLOOKUP(C65,'Lista desplegable'!B$1:C$436,2,FALSE),"")</f>
        <v/>
      </c>
      <c r="E65" s="7" t="str">
        <f>IFERROR(VLOOKUP(D65,'Lista desplegable'!C$1:D$436,2,FALSE),"")</f>
        <v/>
      </c>
      <c r="F65" s="19"/>
      <c r="G65" s="11"/>
      <c r="H65" s="11"/>
      <c r="I65" s="11"/>
      <c r="J65" s="11"/>
      <c r="K65" s="11"/>
      <c r="L65" s="11"/>
      <c r="M65" s="11"/>
    </row>
    <row r="66" spans="2:13" ht="13.05" customHeight="1" x14ac:dyDescent="0.25">
      <c r="B66" s="24">
        <v>25</v>
      </c>
      <c r="C66" s="11"/>
      <c r="D66" s="7" t="str">
        <f>IFERROR(VLOOKUP(C66,'Lista desplegable'!B$1:C$436,2,FALSE),"")</f>
        <v/>
      </c>
      <c r="E66" s="7" t="str">
        <f>IFERROR(VLOOKUP(D66,'Lista desplegable'!C$1:D$436,2,FALSE),"")</f>
        <v/>
      </c>
      <c r="F66" s="19"/>
      <c r="G66" s="11"/>
      <c r="H66" s="11"/>
      <c r="I66" s="11"/>
      <c r="J66" s="11"/>
      <c r="K66" s="11"/>
      <c r="L66" s="11"/>
      <c r="M66" s="11"/>
    </row>
    <row r="67" spans="2:13" ht="13.05" customHeight="1" x14ac:dyDescent="0.25">
      <c r="B67" s="24">
        <v>26</v>
      </c>
      <c r="C67" s="11"/>
      <c r="D67" s="7" t="str">
        <f>IFERROR(VLOOKUP(C67,'Lista desplegable'!B$1:C$436,2,FALSE),"")</f>
        <v/>
      </c>
      <c r="E67" s="7" t="str">
        <f>IFERROR(VLOOKUP(D67,'Lista desplegable'!C$1:D$436,2,FALSE),"")</f>
        <v/>
      </c>
      <c r="F67" s="19"/>
      <c r="G67" s="11"/>
      <c r="H67" s="11"/>
      <c r="I67" s="11"/>
      <c r="J67" s="11"/>
      <c r="K67" s="11"/>
      <c r="L67" s="11"/>
      <c r="M67" s="11"/>
    </row>
    <row r="68" spans="2:13" ht="13.05" customHeight="1" x14ac:dyDescent="0.25">
      <c r="B68" s="24">
        <v>27</v>
      </c>
      <c r="C68" s="11"/>
      <c r="D68" s="7" t="str">
        <f>IFERROR(VLOOKUP(C68,'Lista desplegable'!B$1:C$436,2,FALSE),"")</f>
        <v/>
      </c>
      <c r="E68" s="7" t="str">
        <f>IFERROR(VLOOKUP(D68,'Lista desplegable'!C$1:D$436,2,FALSE),"")</f>
        <v/>
      </c>
      <c r="F68" s="19"/>
      <c r="G68" s="11"/>
      <c r="H68" s="11"/>
      <c r="I68" s="11"/>
      <c r="J68" s="11"/>
      <c r="K68" s="11"/>
      <c r="L68" s="11"/>
      <c r="M68" s="11"/>
    </row>
    <row r="69" spans="2:13" ht="13.05" customHeight="1" x14ac:dyDescent="0.25">
      <c r="B69" s="24">
        <v>28</v>
      </c>
      <c r="C69" s="11"/>
      <c r="D69" s="7" t="str">
        <f>IFERROR(VLOOKUP(C69,'Lista desplegable'!B$1:C$436,2,FALSE),"")</f>
        <v/>
      </c>
      <c r="E69" s="7" t="str">
        <f>IFERROR(VLOOKUP(D69,'Lista desplegable'!C$1:D$436,2,FALSE),"")</f>
        <v/>
      </c>
      <c r="F69" s="19"/>
      <c r="G69" s="11"/>
      <c r="H69" s="11"/>
      <c r="I69" s="11"/>
      <c r="J69" s="11"/>
      <c r="K69" s="11"/>
      <c r="L69" s="11"/>
      <c r="M69" s="11"/>
    </row>
    <row r="70" spans="2:13" ht="13.05" customHeight="1" x14ac:dyDescent="0.25">
      <c r="B70" s="24">
        <v>29</v>
      </c>
      <c r="C70" s="11"/>
      <c r="D70" s="7" t="str">
        <f>IFERROR(VLOOKUP(C70,'Lista desplegable'!B$1:C$436,2,FALSE),"")</f>
        <v/>
      </c>
      <c r="E70" s="7" t="str">
        <f>IFERROR(VLOOKUP(D70,'Lista desplegable'!C$1:D$436,2,FALSE),"")</f>
        <v/>
      </c>
      <c r="F70" s="19"/>
      <c r="G70" s="11"/>
      <c r="H70" s="11"/>
      <c r="I70" s="11"/>
      <c r="J70" s="11"/>
      <c r="K70" s="11"/>
      <c r="L70" s="11"/>
      <c r="M70" s="11"/>
    </row>
    <row r="71" spans="2:13" ht="13.05" customHeight="1" x14ac:dyDescent="0.25">
      <c r="B71" s="24">
        <v>30</v>
      </c>
      <c r="C71" s="11"/>
      <c r="D71" s="7" t="str">
        <f>IFERROR(VLOOKUP(C71,'Lista desplegable'!B$1:C$436,2,FALSE),"")</f>
        <v/>
      </c>
      <c r="E71" s="7" t="str">
        <f>IFERROR(VLOOKUP(D71,'Lista desplegable'!C$1:D$436,2,FALSE),"")</f>
        <v/>
      </c>
      <c r="F71" s="19"/>
      <c r="G71" s="11"/>
      <c r="H71" s="11"/>
      <c r="I71" s="11"/>
      <c r="J71" s="11"/>
      <c r="K71" s="11"/>
      <c r="L71" s="11"/>
      <c r="M71" s="11"/>
    </row>
    <row r="72" spans="2:13" ht="13.8" x14ac:dyDescent="0.3">
      <c r="C72" s="9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ht="13.8" x14ac:dyDescent="0.3">
      <c r="C73" s="9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ht="13.8" x14ac:dyDescent="0.3"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ht="13.8" x14ac:dyDescent="0.3">
      <c r="C75" s="9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ht="13.8" x14ac:dyDescent="0.3">
      <c r="C76" s="9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ht="13.8" x14ac:dyDescent="0.3"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3.8" x14ac:dyDescent="0.3"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ht="13.8" x14ac:dyDescent="0.3"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ht="13.8" x14ac:dyDescent="0.3"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3:13" ht="13.8" x14ac:dyDescent="0.3"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3:13" ht="13.8" x14ac:dyDescent="0.3"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3:13" ht="13.8" x14ac:dyDescent="0.3">
      <c r="C83" s="9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3:13" ht="13.8" x14ac:dyDescent="0.3">
      <c r="C84" s="9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3:13" ht="13.8" x14ac:dyDescent="0.3"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3:13" ht="13.8" x14ac:dyDescent="0.3"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3:13" ht="13.8" x14ac:dyDescent="0.3">
      <c r="C87" s="9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3:13" ht="13.8" x14ac:dyDescent="0.3">
      <c r="C88" s="9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3:13" ht="13.8" x14ac:dyDescent="0.3">
      <c r="C89" s="9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3:13" ht="13.8" x14ac:dyDescent="0.3"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3:13" ht="13.8" x14ac:dyDescent="0.3"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3:13" ht="13.8" x14ac:dyDescent="0.3"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3:13" ht="13.8" x14ac:dyDescent="0.3">
      <c r="C93" s="9"/>
      <c r="D93" s="6"/>
      <c r="E93" s="6"/>
    </row>
  </sheetData>
  <mergeCells count="4">
    <mergeCell ref="G2:I2"/>
    <mergeCell ref="G3:I3"/>
    <mergeCell ref="C6:M6"/>
    <mergeCell ref="C40:M40"/>
  </mergeCells>
  <phoneticPr fontId="10" type="noConversion"/>
  <pageMargins left="0.7" right="0.7" top="0.75" bottom="0.75" header="0.3" footer="0.3"/>
  <pageSetup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9098CC7-D7FE-419F-903E-72FCBBAAD7A7}">
          <x14:formula1>
            <xm:f>'Lista desplegable'!$N$2:$N$5</xm:f>
          </x14:formula1>
          <xm:sqref>J42:J71 J8:J37</xm:sqref>
        </x14:dataValidation>
        <x14:dataValidation type="list" allowBlank="1" showInputMessage="1" showErrorMessage="1" xr:uid="{1A88AA5A-C949-4C2A-AE47-0609B73C244E}">
          <x14:formula1>
            <xm:f>'Lista desplegable'!$B$2:$B$436</xm:f>
          </x14:formula1>
          <xm:sqref>C42:C71 C8:C37</xm:sqref>
        </x14:dataValidation>
        <x14:dataValidation type="list" allowBlank="1" showInputMessage="1" showErrorMessage="1" xr:uid="{D468A7E4-AE24-44AC-9BC5-2EE8819C80D5}">
          <x14:formula1>
            <xm:f>'Lista desplegable'!$F$2:$F$19</xm:f>
          </x14:formula1>
          <xm:sqref>F42:F71 F8:F37</xm:sqref>
        </x14:dataValidation>
        <x14:dataValidation type="list" allowBlank="1" showInputMessage="1" showErrorMessage="1" xr:uid="{F7B400F2-6AE8-4C36-9459-843F7CA4154E}">
          <x14:formula1>
            <xm:f>'Lista desplegable'!$J$2:$J$10</xm:f>
          </x14:formula1>
          <xm:sqref>H42:H71 H8:H37</xm:sqref>
        </x14:dataValidation>
        <x14:dataValidation type="list" allowBlank="1" showInputMessage="1" showErrorMessage="1" xr:uid="{2A5175AD-30C2-4C98-985C-7E924A79D934}">
          <x14:formula1>
            <xm:f>'Lista desplegable'!$H$2:$H$7</xm:f>
          </x14:formula1>
          <xm:sqref>G42:G71 G8:G37</xm:sqref>
        </x14:dataValidation>
        <x14:dataValidation type="list" allowBlank="1" showInputMessage="1" showErrorMessage="1" xr:uid="{624F765E-9178-43C4-894F-2318C27FB44E}">
          <x14:formula1>
            <xm:f>'Lista desplegable'!$L$2:$L$3</xm:f>
          </x14:formula1>
          <xm:sqref>K42:L71 K8:L37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DF9D3-6F36-4902-9530-AA583BD87307}">
  <sheetPr filterMode="1"/>
  <dimension ref="B1:N436"/>
  <sheetViews>
    <sheetView workbookViewId="0">
      <selection activeCell="B331" sqref="B331"/>
    </sheetView>
  </sheetViews>
  <sheetFormatPr baseColWidth="10" defaultRowHeight="13.2" x14ac:dyDescent="0.25"/>
  <cols>
    <col min="2" max="2" width="13.88671875" customWidth="1"/>
    <col min="3" max="3" width="45" style="20" bestFit="1" customWidth="1"/>
    <col min="4" max="4" width="45" style="20" customWidth="1"/>
    <col min="6" max="6" width="28.21875" customWidth="1"/>
    <col min="8" max="8" width="23.109375" bestFit="1" customWidth="1"/>
    <col min="10" max="10" width="23.109375" bestFit="1" customWidth="1"/>
    <col min="14" max="14" width="18.6640625" customWidth="1"/>
  </cols>
  <sheetData>
    <row r="1" spans="2:14" ht="14.4" x14ac:dyDescent="0.3">
      <c r="B1" s="21" t="s">
        <v>2</v>
      </c>
      <c r="C1" s="21" t="s">
        <v>929</v>
      </c>
      <c r="D1" s="21" t="s">
        <v>964</v>
      </c>
      <c r="F1" s="14" t="s">
        <v>889</v>
      </c>
      <c r="H1" s="18" t="s">
        <v>901</v>
      </c>
      <c r="J1" s="18" t="s">
        <v>908</v>
      </c>
      <c r="L1" s="18" t="s">
        <v>920</v>
      </c>
      <c r="N1" s="22" t="s">
        <v>982</v>
      </c>
    </row>
    <row r="2" spans="2:14" hidden="1" x14ac:dyDescent="0.25">
      <c r="B2" s="10" t="s">
        <v>930</v>
      </c>
      <c r="C2" s="15" t="s">
        <v>931</v>
      </c>
      <c r="D2" s="15" t="s">
        <v>965</v>
      </c>
      <c r="F2" s="7" t="s">
        <v>890</v>
      </c>
      <c r="H2" s="7" t="s">
        <v>902</v>
      </c>
      <c r="J2" s="7" t="s">
        <v>909</v>
      </c>
      <c r="L2" s="7" t="s">
        <v>918</v>
      </c>
      <c r="N2" s="7" t="s">
        <v>984</v>
      </c>
    </row>
    <row r="3" spans="2:14" hidden="1" x14ac:dyDescent="0.25">
      <c r="B3" s="10" t="s">
        <v>505</v>
      </c>
      <c r="C3" s="15" t="s">
        <v>90</v>
      </c>
      <c r="D3" s="15" t="s">
        <v>12</v>
      </c>
      <c r="F3" s="7" t="s">
        <v>921</v>
      </c>
      <c r="H3" s="7" t="s">
        <v>903</v>
      </c>
      <c r="J3" s="7" t="s">
        <v>910</v>
      </c>
      <c r="L3" s="7" t="s">
        <v>919</v>
      </c>
      <c r="N3" s="7" t="s">
        <v>987</v>
      </c>
    </row>
    <row r="4" spans="2:14" hidden="1" x14ac:dyDescent="0.25">
      <c r="B4" s="10" t="s">
        <v>506</v>
      </c>
      <c r="C4" s="15" t="s">
        <v>91</v>
      </c>
      <c r="D4" s="15" t="s">
        <v>45</v>
      </c>
      <c r="F4" s="7" t="s">
        <v>923</v>
      </c>
      <c r="H4" s="7" t="s">
        <v>904</v>
      </c>
      <c r="J4" s="7" t="s">
        <v>911</v>
      </c>
      <c r="N4" s="7" t="s">
        <v>985</v>
      </c>
    </row>
    <row r="5" spans="2:14" hidden="1" x14ac:dyDescent="0.25">
      <c r="B5" s="10" t="s">
        <v>507</v>
      </c>
      <c r="C5" s="15" t="s">
        <v>92</v>
      </c>
      <c r="D5" s="15" t="s">
        <v>54</v>
      </c>
      <c r="F5" s="7" t="s">
        <v>891</v>
      </c>
      <c r="H5" s="7" t="s">
        <v>905</v>
      </c>
      <c r="J5" s="7" t="s">
        <v>912</v>
      </c>
      <c r="N5" s="7" t="s">
        <v>986</v>
      </c>
    </row>
    <row r="6" spans="2:14" hidden="1" x14ac:dyDescent="0.25">
      <c r="B6" s="10" t="s">
        <v>508</v>
      </c>
      <c r="C6" s="15" t="s">
        <v>93</v>
      </c>
      <c r="D6" s="15" t="s">
        <v>966</v>
      </c>
      <c r="F6" s="7" t="s">
        <v>892</v>
      </c>
      <c r="H6" s="7" t="s">
        <v>907</v>
      </c>
      <c r="J6" s="7" t="s">
        <v>913</v>
      </c>
    </row>
    <row r="7" spans="2:14" hidden="1" x14ac:dyDescent="0.25">
      <c r="B7" s="10" t="s">
        <v>509</v>
      </c>
      <c r="C7" s="15" t="s">
        <v>94</v>
      </c>
      <c r="D7" s="15" t="s">
        <v>12</v>
      </c>
      <c r="F7" s="7" t="s">
        <v>894</v>
      </c>
      <c r="H7" s="7" t="s">
        <v>906</v>
      </c>
      <c r="J7" s="7" t="s">
        <v>914</v>
      </c>
    </row>
    <row r="8" spans="2:14" hidden="1" x14ac:dyDescent="0.25">
      <c r="B8" s="10" t="s">
        <v>510</v>
      </c>
      <c r="C8" s="15" t="s">
        <v>95</v>
      </c>
      <c r="D8" s="15" t="s">
        <v>12</v>
      </c>
      <c r="F8" s="7" t="s">
        <v>922</v>
      </c>
      <c r="J8" s="7" t="s">
        <v>915</v>
      </c>
    </row>
    <row r="9" spans="2:14" hidden="1" x14ac:dyDescent="0.25">
      <c r="B9" s="10" t="s">
        <v>511</v>
      </c>
      <c r="C9" s="15" t="s">
        <v>96</v>
      </c>
      <c r="D9" s="15" t="s">
        <v>7</v>
      </c>
      <c r="F9" s="7" t="s">
        <v>924</v>
      </c>
      <c r="J9" s="7" t="s">
        <v>916</v>
      </c>
    </row>
    <row r="10" spans="2:14" hidden="1" x14ac:dyDescent="0.25">
      <c r="B10" s="10" t="s">
        <v>512</v>
      </c>
      <c r="C10" s="15" t="s">
        <v>97</v>
      </c>
      <c r="D10" s="15" t="s">
        <v>45</v>
      </c>
      <c r="F10" s="7" t="s">
        <v>15</v>
      </c>
      <c r="J10" s="7" t="s">
        <v>917</v>
      </c>
    </row>
    <row r="11" spans="2:14" hidden="1" x14ac:dyDescent="0.25">
      <c r="B11" s="10" t="s">
        <v>513</v>
      </c>
      <c r="C11" s="15" t="s">
        <v>98</v>
      </c>
      <c r="D11" s="15" t="s">
        <v>45</v>
      </c>
      <c r="F11" s="7" t="s">
        <v>925</v>
      </c>
    </row>
    <row r="12" spans="2:14" hidden="1" x14ac:dyDescent="0.25">
      <c r="B12" s="10" t="s">
        <v>514</v>
      </c>
      <c r="C12" s="15" t="s">
        <v>99</v>
      </c>
      <c r="D12" s="15" t="s">
        <v>55</v>
      </c>
      <c r="F12" s="7" t="s">
        <v>926</v>
      </c>
    </row>
    <row r="13" spans="2:14" hidden="1" x14ac:dyDescent="0.25">
      <c r="B13" s="10" t="s">
        <v>515</v>
      </c>
      <c r="C13" s="15" t="s">
        <v>100</v>
      </c>
      <c r="D13" s="15" t="s">
        <v>967</v>
      </c>
      <c r="F13" s="7" t="s">
        <v>897</v>
      </c>
    </row>
    <row r="14" spans="2:14" hidden="1" x14ac:dyDescent="0.25">
      <c r="B14" s="10" t="s">
        <v>516</v>
      </c>
      <c r="C14" s="15" t="s">
        <v>101</v>
      </c>
      <c r="D14" s="15" t="s">
        <v>7</v>
      </c>
      <c r="F14" s="7" t="s">
        <v>895</v>
      </c>
    </row>
    <row r="15" spans="2:14" hidden="1" x14ac:dyDescent="0.25">
      <c r="B15" s="10" t="s">
        <v>517</v>
      </c>
      <c r="C15" s="15" t="s">
        <v>102</v>
      </c>
      <c r="D15" s="15" t="s">
        <v>56</v>
      </c>
      <c r="F15" s="7" t="s">
        <v>10</v>
      </c>
    </row>
    <row r="16" spans="2:14" hidden="1" x14ac:dyDescent="0.25">
      <c r="B16" s="10" t="s">
        <v>518</v>
      </c>
      <c r="C16" s="15" t="s">
        <v>103</v>
      </c>
      <c r="D16" s="15" t="s">
        <v>7</v>
      </c>
      <c r="F16" s="7" t="s">
        <v>927</v>
      </c>
    </row>
    <row r="17" spans="2:6" hidden="1" x14ac:dyDescent="0.25">
      <c r="B17" s="10" t="s">
        <v>519</v>
      </c>
      <c r="C17" s="15" t="s">
        <v>104</v>
      </c>
      <c r="D17" s="15" t="s">
        <v>12</v>
      </c>
      <c r="F17" s="7" t="s">
        <v>896</v>
      </c>
    </row>
    <row r="18" spans="2:6" hidden="1" x14ac:dyDescent="0.25">
      <c r="B18" s="10" t="s">
        <v>35</v>
      </c>
      <c r="C18" s="15" t="s">
        <v>105</v>
      </c>
      <c r="D18" s="15" t="s">
        <v>55</v>
      </c>
      <c r="F18" s="7" t="s">
        <v>898</v>
      </c>
    </row>
    <row r="19" spans="2:6" hidden="1" x14ac:dyDescent="0.25">
      <c r="B19" s="10" t="s">
        <v>520</v>
      </c>
      <c r="C19" s="15" t="s">
        <v>106</v>
      </c>
      <c r="D19" s="15" t="s">
        <v>57</v>
      </c>
      <c r="F19" s="7" t="s">
        <v>893</v>
      </c>
    </row>
    <row r="20" spans="2:6" hidden="1" x14ac:dyDescent="0.25">
      <c r="B20" s="10" t="s">
        <v>521</v>
      </c>
      <c r="C20" s="15" t="s">
        <v>107</v>
      </c>
      <c r="D20" s="15" t="s">
        <v>55</v>
      </c>
      <c r="F20" s="7" t="s">
        <v>928</v>
      </c>
    </row>
    <row r="21" spans="2:6" hidden="1" x14ac:dyDescent="0.25">
      <c r="B21" s="10" t="s">
        <v>522</v>
      </c>
      <c r="C21" s="15" t="s">
        <v>108</v>
      </c>
      <c r="D21" s="15" t="s">
        <v>7</v>
      </c>
    </row>
    <row r="22" spans="2:6" hidden="1" x14ac:dyDescent="0.25">
      <c r="B22" s="10" t="s">
        <v>523</v>
      </c>
      <c r="C22" s="15" t="s">
        <v>109</v>
      </c>
      <c r="D22" s="15" t="s">
        <v>45</v>
      </c>
    </row>
    <row r="23" spans="2:6" hidden="1" x14ac:dyDescent="0.25">
      <c r="B23" s="10" t="s">
        <v>524</v>
      </c>
      <c r="C23" s="15" t="s">
        <v>110</v>
      </c>
      <c r="D23" s="15" t="s">
        <v>45</v>
      </c>
    </row>
    <row r="24" spans="2:6" hidden="1" x14ac:dyDescent="0.25">
      <c r="B24" s="10" t="s">
        <v>525</v>
      </c>
      <c r="C24" s="15" t="s">
        <v>111</v>
      </c>
      <c r="D24" s="15" t="s">
        <v>966</v>
      </c>
    </row>
    <row r="25" spans="2:6" hidden="1" x14ac:dyDescent="0.25">
      <c r="B25" s="10" t="s">
        <v>526</v>
      </c>
      <c r="C25" s="15" t="s">
        <v>112</v>
      </c>
      <c r="D25" s="15" t="s">
        <v>58</v>
      </c>
    </row>
    <row r="26" spans="2:6" hidden="1" x14ac:dyDescent="0.25">
      <c r="B26" s="10" t="s">
        <v>932</v>
      </c>
      <c r="C26" s="15" t="s">
        <v>933</v>
      </c>
      <c r="D26" s="15" t="s">
        <v>59</v>
      </c>
    </row>
    <row r="27" spans="2:6" hidden="1" x14ac:dyDescent="0.25">
      <c r="B27" s="10" t="s">
        <v>527</v>
      </c>
      <c r="C27" s="15" t="s">
        <v>113</v>
      </c>
      <c r="D27" s="15" t="s">
        <v>45</v>
      </c>
    </row>
    <row r="28" spans="2:6" hidden="1" x14ac:dyDescent="0.25">
      <c r="B28" s="10" t="s">
        <v>21</v>
      </c>
      <c r="C28" s="15" t="s">
        <v>114</v>
      </c>
      <c r="D28" s="15" t="s">
        <v>7</v>
      </c>
    </row>
    <row r="29" spans="2:6" hidden="1" x14ac:dyDescent="0.25">
      <c r="B29" s="10" t="s">
        <v>528</v>
      </c>
      <c r="C29" s="15" t="s">
        <v>115</v>
      </c>
      <c r="D29" s="15" t="s">
        <v>12</v>
      </c>
    </row>
    <row r="30" spans="2:6" hidden="1" x14ac:dyDescent="0.25">
      <c r="B30" s="10" t="s">
        <v>529</v>
      </c>
      <c r="C30" s="15" t="s">
        <v>116</v>
      </c>
      <c r="D30" s="15" t="s">
        <v>55</v>
      </c>
    </row>
    <row r="31" spans="2:6" hidden="1" x14ac:dyDescent="0.25">
      <c r="B31" s="10" t="s">
        <v>530</v>
      </c>
      <c r="C31" s="15" t="s">
        <v>117</v>
      </c>
      <c r="D31" s="15" t="s">
        <v>7</v>
      </c>
    </row>
    <row r="32" spans="2:6" hidden="1" x14ac:dyDescent="0.25">
      <c r="B32" s="10" t="s">
        <v>531</v>
      </c>
      <c r="C32" s="15" t="s">
        <v>118</v>
      </c>
      <c r="D32" s="15" t="s">
        <v>60</v>
      </c>
    </row>
    <row r="33" spans="2:4" hidden="1" x14ac:dyDescent="0.25">
      <c r="B33" s="10" t="s">
        <v>532</v>
      </c>
      <c r="C33" s="15" t="s">
        <v>119</v>
      </c>
      <c r="D33" s="15" t="s">
        <v>55</v>
      </c>
    </row>
    <row r="34" spans="2:4" hidden="1" x14ac:dyDescent="0.25">
      <c r="B34" s="10" t="s">
        <v>533</v>
      </c>
      <c r="C34" s="15" t="s">
        <v>120</v>
      </c>
      <c r="D34" s="15" t="s">
        <v>966</v>
      </c>
    </row>
    <row r="35" spans="2:4" hidden="1" x14ac:dyDescent="0.25">
      <c r="B35" s="10" t="s">
        <v>534</v>
      </c>
      <c r="C35" s="15" t="s">
        <v>121</v>
      </c>
      <c r="D35" s="15" t="s">
        <v>55</v>
      </c>
    </row>
    <row r="36" spans="2:4" hidden="1" x14ac:dyDescent="0.25">
      <c r="B36" s="10" t="s">
        <v>535</v>
      </c>
      <c r="C36" s="15" t="s">
        <v>122</v>
      </c>
      <c r="D36" s="15" t="s">
        <v>968</v>
      </c>
    </row>
    <row r="37" spans="2:4" hidden="1" x14ac:dyDescent="0.25">
      <c r="B37" s="10" t="s">
        <v>536</v>
      </c>
      <c r="C37" s="15" t="s">
        <v>123</v>
      </c>
      <c r="D37" s="15" t="s">
        <v>56</v>
      </c>
    </row>
    <row r="38" spans="2:4" hidden="1" x14ac:dyDescent="0.25">
      <c r="B38" s="10" t="s">
        <v>537</v>
      </c>
      <c r="C38" s="15" t="s">
        <v>124</v>
      </c>
      <c r="D38" s="15" t="s">
        <v>45</v>
      </c>
    </row>
    <row r="39" spans="2:4" hidden="1" x14ac:dyDescent="0.25">
      <c r="B39" s="10" t="s">
        <v>538</v>
      </c>
      <c r="C39" s="15" t="s">
        <v>125</v>
      </c>
      <c r="D39" s="15" t="s">
        <v>7</v>
      </c>
    </row>
    <row r="40" spans="2:4" hidden="1" x14ac:dyDescent="0.25">
      <c r="B40" s="10" t="s">
        <v>539</v>
      </c>
      <c r="C40" s="15" t="s">
        <v>126</v>
      </c>
      <c r="D40" s="15" t="s">
        <v>45</v>
      </c>
    </row>
    <row r="41" spans="2:4" hidden="1" x14ac:dyDescent="0.25">
      <c r="B41" s="10" t="s">
        <v>540</v>
      </c>
      <c r="C41" s="15" t="s">
        <v>127</v>
      </c>
      <c r="D41" s="15" t="s">
        <v>45</v>
      </c>
    </row>
    <row r="42" spans="2:4" hidden="1" x14ac:dyDescent="0.25">
      <c r="B42" s="10" t="s">
        <v>541</v>
      </c>
      <c r="C42" s="15" t="s">
        <v>128</v>
      </c>
      <c r="D42" s="15" t="s">
        <v>966</v>
      </c>
    </row>
    <row r="43" spans="2:4" hidden="1" x14ac:dyDescent="0.25">
      <c r="B43" s="10" t="s">
        <v>542</v>
      </c>
      <c r="C43" s="15" t="s">
        <v>129</v>
      </c>
      <c r="D43" s="15" t="s">
        <v>7</v>
      </c>
    </row>
    <row r="44" spans="2:4" hidden="1" x14ac:dyDescent="0.25">
      <c r="B44" s="10" t="s">
        <v>543</v>
      </c>
      <c r="C44" s="15" t="s">
        <v>130</v>
      </c>
      <c r="D44" s="15" t="s">
        <v>61</v>
      </c>
    </row>
    <row r="45" spans="2:4" hidden="1" x14ac:dyDescent="0.25">
      <c r="B45" s="10" t="s">
        <v>14</v>
      </c>
      <c r="C45" s="15" t="s">
        <v>131</v>
      </c>
      <c r="D45" s="15" t="s">
        <v>12</v>
      </c>
    </row>
    <row r="46" spans="2:4" hidden="1" x14ac:dyDescent="0.25">
      <c r="B46" s="10" t="s">
        <v>544</v>
      </c>
      <c r="C46" s="15" t="s">
        <v>132</v>
      </c>
      <c r="D46" s="15" t="s">
        <v>62</v>
      </c>
    </row>
    <row r="47" spans="2:4" hidden="1" x14ac:dyDescent="0.25">
      <c r="B47" s="10" t="s">
        <v>20</v>
      </c>
      <c r="C47" s="15" t="s">
        <v>133</v>
      </c>
      <c r="D47" s="15" t="s">
        <v>45</v>
      </c>
    </row>
    <row r="48" spans="2:4" hidden="1" x14ac:dyDescent="0.25">
      <c r="B48" s="10" t="s">
        <v>27</v>
      </c>
      <c r="C48" s="15" t="s">
        <v>134</v>
      </c>
      <c r="D48" s="15" t="s">
        <v>12</v>
      </c>
    </row>
    <row r="49" spans="2:4" hidden="1" x14ac:dyDescent="0.25">
      <c r="B49" s="10" t="s">
        <v>545</v>
      </c>
      <c r="C49" s="15" t="s">
        <v>135</v>
      </c>
      <c r="D49" s="15" t="s">
        <v>12</v>
      </c>
    </row>
    <row r="50" spans="2:4" hidden="1" x14ac:dyDescent="0.25">
      <c r="B50" s="10" t="s">
        <v>546</v>
      </c>
      <c r="C50" s="15" t="s">
        <v>136</v>
      </c>
      <c r="D50" s="15" t="s">
        <v>56</v>
      </c>
    </row>
    <row r="51" spans="2:4" s="1" customFormat="1" hidden="1" x14ac:dyDescent="0.25">
      <c r="B51" s="10" t="s">
        <v>547</v>
      </c>
      <c r="C51" s="15" t="s">
        <v>137</v>
      </c>
      <c r="D51" s="15" t="s">
        <v>45</v>
      </c>
    </row>
    <row r="52" spans="2:4" hidden="1" x14ac:dyDescent="0.25">
      <c r="B52" s="10" t="s">
        <v>548</v>
      </c>
      <c r="C52" s="15" t="s">
        <v>138</v>
      </c>
      <c r="D52" s="15" t="s">
        <v>56</v>
      </c>
    </row>
    <row r="53" spans="2:4" hidden="1" x14ac:dyDescent="0.25">
      <c r="B53" s="10" t="s">
        <v>549</v>
      </c>
      <c r="C53" s="15" t="s">
        <v>139</v>
      </c>
      <c r="D53" s="15" t="s">
        <v>89</v>
      </c>
    </row>
    <row r="54" spans="2:4" hidden="1" x14ac:dyDescent="0.25">
      <c r="B54" s="10" t="s">
        <v>550</v>
      </c>
      <c r="C54" s="15" t="s">
        <v>140</v>
      </c>
      <c r="D54" s="15" t="s">
        <v>45</v>
      </c>
    </row>
    <row r="55" spans="2:4" hidden="1" x14ac:dyDescent="0.25">
      <c r="B55" s="10" t="s">
        <v>551</v>
      </c>
      <c r="C55" s="15" t="s">
        <v>141</v>
      </c>
      <c r="D55" s="15" t="s">
        <v>966</v>
      </c>
    </row>
    <row r="56" spans="2:4" hidden="1" x14ac:dyDescent="0.25">
      <c r="B56" s="10" t="s">
        <v>552</v>
      </c>
      <c r="C56" s="15" t="s">
        <v>142</v>
      </c>
      <c r="D56" s="15" t="s">
        <v>7</v>
      </c>
    </row>
    <row r="57" spans="2:4" hidden="1" x14ac:dyDescent="0.25">
      <c r="B57" s="10" t="s">
        <v>553</v>
      </c>
      <c r="C57" s="15" t="s">
        <v>143</v>
      </c>
      <c r="D57" s="15" t="s">
        <v>63</v>
      </c>
    </row>
    <row r="58" spans="2:4" hidden="1" x14ac:dyDescent="0.25">
      <c r="B58" s="10" t="s">
        <v>554</v>
      </c>
      <c r="C58" s="15" t="s">
        <v>144</v>
      </c>
      <c r="D58" s="15" t="s">
        <v>55</v>
      </c>
    </row>
    <row r="59" spans="2:4" hidden="1" x14ac:dyDescent="0.25">
      <c r="B59" s="10" t="s">
        <v>555</v>
      </c>
      <c r="C59" s="15" t="s">
        <v>145</v>
      </c>
      <c r="D59" s="15" t="s">
        <v>969</v>
      </c>
    </row>
    <row r="60" spans="2:4" hidden="1" x14ac:dyDescent="0.25">
      <c r="B60" s="10" t="s">
        <v>556</v>
      </c>
      <c r="C60" s="15" t="s">
        <v>146</v>
      </c>
      <c r="D60" s="15" t="s">
        <v>56</v>
      </c>
    </row>
    <row r="61" spans="2:4" hidden="1" x14ac:dyDescent="0.25">
      <c r="B61" s="10" t="s">
        <v>24</v>
      </c>
      <c r="C61" s="15" t="s">
        <v>147</v>
      </c>
      <c r="D61" s="15" t="s">
        <v>45</v>
      </c>
    </row>
    <row r="62" spans="2:4" hidden="1" x14ac:dyDescent="0.25">
      <c r="B62" s="10" t="s">
        <v>557</v>
      </c>
      <c r="C62" s="15" t="s">
        <v>148</v>
      </c>
      <c r="D62" s="15" t="s">
        <v>56</v>
      </c>
    </row>
    <row r="63" spans="2:4" hidden="1" x14ac:dyDescent="0.25">
      <c r="B63" s="10" t="s">
        <v>558</v>
      </c>
      <c r="C63" s="15" t="s">
        <v>149</v>
      </c>
      <c r="D63" s="15" t="s">
        <v>59</v>
      </c>
    </row>
    <row r="64" spans="2:4" hidden="1" x14ac:dyDescent="0.25">
      <c r="B64" s="10" t="s">
        <v>559</v>
      </c>
      <c r="C64" s="15" t="s">
        <v>150</v>
      </c>
      <c r="D64" s="15" t="s">
        <v>45</v>
      </c>
    </row>
    <row r="65" spans="2:4" hidden="1" x14ac:dyDescent="0.25">
      <c r="B65" s="10" t="s">
        <v>560</v>
      </c>
      <c r="C65" s="15" t="s">
        <v>151</v>
      </c>
      <c r="D65" s="15" t="s">
        <v>45</v>
      </c>
    </row>
    <row r="66" spans="2:4" hidden="1" x14ac:dyDescent="0.25">
      <c r="B66" s="10" t="s">
        <v>561</v>
      </c>
      <c r="C66" s="15" t="s">
        <v>152</v>
      </c>
      <c r="D66" s="15" t="s">
        <v>85</v>
      </c>
    </row>
    <row r="67" spans="2:4" hidden="1" x14ac:dyDescent="0.25">
      <c r="B67" s="10" t="s">
        <v>562</v>
      </c>
      <c r="C67" s="15" t="s">
        <v>153</v>
      </c>
      <c r="D67" s="15" t="s">
        <v>64</v>
      </c>
    </row>
    <row r="68" spans="2:4" hidden="1" x14ac:dyDescent="0.25">
      <c r="B68" s="10" t="s">
        <v>934</v>
      </c>
      <c r="C68" s="15" t="s">
        <v>935</v>
      </c>
      <c r="D68" s="15" t="s">
        <v>45</v>
      </c>
    </row>
    <row r="69" spans="2:4" hidden="1" x14ac:dyDescent="0.25">
      <c r="B69" s="10" t="s">
        <v>563</v>
      </c>
      <c r="C69" s="15" t="s">
        <v>154</v>
      </c>
      <c r="D69" s="15" t="s">
        <v>55</v>
      </c>
    </row>
    <row r="70" spans="2:4" hidden="1" x14ac:dyDescent="0.25">
      <c r="B70" s="10" t="s">
        <v>564</v>
      </c>
      <c r="C70" s="15" t="s">
        <v>155</v>
      </c>
      <c r="D70" s="15" t="s">
        <v>970</v>
      </c>
    </row>
    <row r="71" spans="2:4" hidden="1" x14ac:dyDescent="0.25">
      <c r="B71" s="10" t="s">
        <v>565</v>
      </c>
      <c r="C71" s="15" t="s">
        <v>156</v>
      </c>
      <c r="D71" s="15" t="s">
        <v>971</v>
      </c>
    </row>
    <row r="72" spans="2:4" hidden="1" x14ac:dyDescent="0.25">
      <c r="B72" s="10" t="s">
        <v>566</v>
      </c>
      <c r="C72" s="15" t="s">
        <v>157</v>
      </c>
      <c r="D72" s="15" t="s">
        <v>7</v>
      </c>
    </row>
    <row r="73" spans="2:4" hidden="1" x14ac:dyDescent="0.25">
      <c r="B73" s="10" t="s">
        <v>567</v>
      </c>
      <c r="C73" s="15" t="s">
        <v>158</v>
      </c>
      <c r="D73" s="15" t="s">
        <v>45</v>
      </c>
    </row>
    <row r="74" spans="2:4" hidden="1" x14ac:dyDescent="0.25">
      <c r="B74" s="10" t="s">
        <v>568</v>
      </c>
      <c r="C74" s="15" t="s">
        <v>159</v>
      </c>
      <c r="D74" s="15" t="s">
        <v>45</v>
      </c>
    </row>
    <row r="75" spans="2:4" hidden="1" x14ac:dyDescent="0.25">
      <c r="B75" s="10" t="s">
        <v>936</v>
      </c>
      <c r="C75" s="15" t="s">
        <v>937</v>
      </c>
      <c r="D75" s="15" t="s">
        <v>56</v>
      </c>
    </row>
    <row r="76" spans="2:4" hidden="1" x14ac:dyDescent="0.25">
      <c r="B76" s="10" t="s">
        <v>569</v>
      </c>
      <c r="C76" s="15" t="s">
        <v>160</v>
      </c>
      <c r="D76" s="15" t="s">
        <v>967</v>
      </c>
    </row>
    <row r="77" spans="2:4" hidden="1" x14ac:dyDescent="0.25">
      <c r="B77" s="10" t="s">
        <v>570</v>
      </c>
      <c r="C77" s="15" t="s">
        <v>161</v>
      </c>
      <c r="D77" s="15" t="s">
        <v>45</v>
      </c>
    </row>
    <row r="78" spans="2:4" hidden="1" x14ac:dyDescent="0.25">
      <c r="B78" s="10" t="s">
        <v>571</v>
      </c>
      <c r="C78" s="15" t="s">
        <v>162</v>
      </c>
      <c r="D78" s="15" t="s">
        <v>47</v>
      </c>
    </row>
    <row r="79" spans="2:4" hidden="1" x14ac:dyDescent="0.25">
      <c r="B79" s="10" t="s">
        <v>572</v>
      </c>
      <c r="C79" s="15" t="s">
        <v>163</v>
      </c>
      <c r="D79" s="15" t="s">
        <v>64</v>
      </c>
    </row>
    <row r="80" spans="2:4" hidden="1" x14ac:dyDescent="0.25">
      <c r="B80" s="10" t="s">
        <v>573</v>
      </c>
      <c r="C80" s="15" t="s">
        <v>164</v>
      </c>
      <c r="D80" s="15" t="s">
        <v>966</v>
      </c>
    </row>
    <row r="81" spans="2:4" hidden="1" x14ac:dyDescent="0.25">
      <c r="B81" s="10" t="s">
        <v>574</v>
      </c>
      <c r="C81" s="15" t="s">
        <v>165</v>
      </c>
      <c r="D81" s="15" t="s">
        <v>55</v>
      </c>
    </row>
    <row r="82" spans="2:4" hidden="1" x14ac:dyDescent="0.25">
      <c r="B82" s="10" t="s">
        <v>575</v>
      </c>
      <c r="C82" s="15" t="s">
        <v>166</v>
      </c>
      <c r="D82" s="15" t="s">
        <v>45</v>
      </c>
    </row>
    <row r="83" spans="2:4" hidden="1" x14ac:dyDescent="0.25">
      <c r="B83" s="10" t="s">
        <v>576</v>
      </c>
      <c r="C83" s="15" t="s">
        <v>167</v>
      </c>
      <c r="D83" s="15" t="s">
        <v>972</v>
      </c>
    </row>
    <row r="84" spans="2:4" hidden="1" x14ac:dyDescent="0.25">
      <c r="B84" s="10" t="s">
        <v>577</v>
      </c>
      <c r="C84" s="15" t="s">
        <v>168</v>
      </c>
      <c r="D84" s="15" t="s">
        <v>45</v>
      </c>
    </row>
    <row r="85" spans="2:4" hidden="1" x14ac:dyDescent="0.25">
      <c r="B85" s="10" t="s">
        <v>580</v>
      </c>
      <c r="C85" s="15" t="s">
        <v>170</v>
      </c>
      <c r="D85" s="15" t="s">
        <v>59</v>
      </c>
    </row>
    <row r="86" spans="2:4" hidden="1" x14ac:dyDescent="0.25">
      <c r="B86" s="10" t="s">
        <v>578</v>
      </c>
      <c r="C86" s="15" t="s">
        <v>169</v>
      </c>
      <c r="D86" s="15" t="s">
        <v>966</v>
      </c>
    </row>
    <row r="87" spans="2:4" hidden="1" x14ac:dyDescent="0.25">
      <c r="B87" s="10" t="s">
        <v>579</v>
      </c>
      <c r="C87" s="15" t="s">
        <v>48</v>
      </c>
      <c r="D87" s="15" t="s">
        <v>7</v>
      </c>
    </row>
    <row r="88" spans="2:4" hidden="1" x14ac:dyDescent="0.25">
      <c r="B88" s="10" t="s">
        <v>581</v>
      </c>
      <c r="C88" s="15" t="s">
        <v>171</v>
      </c>
      <c r="D88" s="15" t="s">
        <v>12</v>
      </c>
    </row>
    <row r="89" spans="2:4" hidden="1" x14ac:dyDescent="0.25">
      <c r="B89" s="10" t="s">
        <v>582</v>
      </c>
      <c r="C89" s="15" t="s">
        <v>172</v>
      </c>
      <c r="D89" s="15" t="s">
        <v>7</v>
      </c>
    </row>
    <row r="90" spans="2:4" hidden="1" x14ac:dyDescent="0.25">
      <c r="B90" s="10" t="s">
        <v>583</v>
      </c>
      <c r="C90" s="15" t="s">
        <v>173</v>
      </c>
      <c r="D90" s="15" t="s">
        <v>7</v>
      </c>
    </row>
    <row r="91" spans="2:4" hidden="1" x14ac:dyDescent="0.25">
      <c r="B91" s="10" t="s">
        <v>584</v>
      </c>
      <c r="C91" s="15" t="s">
        <v>174</v>
      </c>
      <c r="D91" s="15" t="s">
        <v>7</v>
      </c>
    </row>
    <row r="92" spans="2:4" hidden="1" x14ac:dyDescent="0.25">
      <c r="B92" s="10" t="s">
        <v>585</v>
      </c>
      <c r="C92" s="15" t="s">
        <v>175</v>
      </c>
      <c r="D92" s="15" t="s">
        <v>45</v>
      </c>
    </row>
    <row r="93" spans="2:4" hidden="1" x14ac:dyDescent="0.25">
      <c r="B93" s="10" t="s">
        <v>586</v>
      </c>
      <c r="C93" s="15" t="s">
        <v>176</v>
      </c>
      <c r="D93" s="15" t="s">
        <v>88</v>
      </c>
    </row>
    <row r="94" spans="2:4" hidden="1" x14ac:dyDescent="0.25">
      <c r="B94" s="10" t="s">
        <v>587</v>
      </c>
      <c r="C94" s="15" t="s">
        <v>177</v>
      </c>
      <c r="D94" s="15" t="s">
        <v>47</v>
      </c>
    </row>
    <row r="95" spans="2:4" hidden="1" x14ac:dyDescent="0.25">
      <c r="B95" s="10" t="s">
        <v>588</v>
      </c>
      <c r="C95" s="15" t="s">
        <v>178</v>
      </c>
      <c r="D95" s="15" t="s">
        <v>45</v>
      </c>
    </row>
    <row r="96" spans="2:4" hidden="1" x14ac:dyDescent="0.25">
      <c r="B96" s="10" t="s">
        <v>589</v>
      </c>
      <c r="C96" s="15" t="s">
        <v>179</v>
      </c>
      <c r="D96" s="15" t="s">
        <v>7</v>
      </c>
    </row>
    <row r="97" spans="2:4" hidden="1" x14ac:dyDescent="0.25">
      <c r="B97" s="10" t="s">
        <v>590</v>
      </c>
      <c r="C97" s="15" t="s">
        <v>180</v>
      </c>
      <c r="D97" s="15" t="s">
        <v>89</v>
      </c>
    </row>
    <row r="98" spans="2:4" hidden="1" x14ac:dyDescent="0.25">
      <c r="B98" s="10" t="s">
        <v>591</v>
      </c>
      <c r="C98" s="15" t="s">
        <v>181</v>
      </c>
      <c r="D98" s="15" t="s">
        <v>86</v>
      </c>
    </row>
    <row r="99" spans="2:4" hidden="1" x14ac:dyDescent="0.25">
      <c r="B99" s="10" t="s">
        <v>9</v>
      </c>
      <c r="C99" s="15" t="s">
        <v>50</v>
      </c>
      <c r="D99" s="15" t="s">
        <v>7</v>
      </c>
    </row>
    <row r="100" spans="2:4" hidden="1" x14ac:dyDescent="0.25">
      <c r="B100" s="10" t="s">
        <v>592</v>
      </c>
      <c r="C100" s="15" t="s">
        <v>182</v>
      </c>
      <c r="D100" s="15" t="s">
        <v>45</v>
      </c>
    </row>
    <row r="101" spans="2:4" hidden="1" x14ac:dyDescent="0.25">
      <c r="B101" s="10" t="s">
        <v>593</v>
      </c>
      <c r="C101" s="15" t="s">
        <v>183</v>
      </c>
      <c r="D101" s="15" t="s">
        <v>7</v>
      </c>
    </row>
    <row r="102" spans="2:4" hidden="1" x14ac:dyDescent="0.25">
      <c r="B102" s="10" t="s">
        <v>595</v>
      </c>
      <c r="C102" s="15" t="s">
        <v>185</v>
      </c>
      <c r="D102" s="15" t="s">
        <v>7</v>
      </c>
    </row>
    <row r="103" spans="2:4" hidden="1" x14ac:dyDescent="0.25">
      <c r="B103" s="10" t="s">
        <v>594</v>
      </c>
      <c r="C103" s="15" t="s">
        <v>184</v>
      </c>
      <c r="D103" s="15" t="s">
        <v>966</v>
      </c>
    </row>
    <row r="104" spans="2:4" hidden="1" x14ac:dyDescent="0.25">
      <c r="B104" s="10" t="s">
        <v>596</v>
      </c>
      <c r="C104" s="15" t="s">
        <v>186</v>
      </c>
      <c r="D104" s="15" t="s">
        <v>45</v>
      </c>
    </row>
    <row r="105" spans="2:4" hidden="1" x14ac:dyDescent="0.25">
      <c r="B105" s="10" t="s">
        <v>597</v>
      </c>
      <c r="C105" s="15" t="s">
        <v>187</v>
      </c>
      <c r="D105" s="15" t="s">
        <v>969</v>
      </c>
    </row>
    <row r="106" spans="2:4" hidden="1" x14ac:dyDescent="0.25">
      <c r="B106" s="10" t="s">
        <v>32</v>
      </c>
      <c r="C106" s="15" t="s">
        <v>188</v>
      </c>
      <c r="D106" s="15" t="s">
        <v>966</v>
      </c>
    </row>
    <row r="107" spans="2:4" hidden="1" x14ac:dyDescent="0.25">
      <c r="B107" s="10" t="s">
        <v>598</v>
      </c>
      <c r="C107" s="15" t="s">
        <v>189</v>
      </c>
      <c r="D107" s="15" t="s">
        <v>45</v>
      </c>
    </row>
    <row r="108" spans="2:4" hidden="1" x14ac:dyDescent="0.25">
      <c r="B108" s="10" t="s">
        <v>599</v>
      </c>
      <c r="C108" s="15" t="s">
        <v>190</v>
      </c>
      <c r="D108" s="15" t="s">
        <v>65</v>
      </c>
    </row>
    <row r="109" spans="2:4" hidden="1" x14ac:dyDescent="0.25">
      <c r="B109" s="10" t="s">
        <v>8</v>
      </c>
      <c r="C109" s="15" t="s">
        <v>191</v>
      </c>
      <c r="D109" s="15" t="s">
        <v>45</v>
      </c>
    </row>
    <row r="110" spans="2:4" hidden="1" x14ac:dyDescent="0.25">
      <c r="B110" s="10" t="s">
        <v>600</v>
      </c>
      <c r="C110" s="15" t="s">
        <v>192</v>
      </c>
      <c r="D110" s="15" t="s">
        <v>56</v>
      </c>
    </row>
    <row r="111" spans="2:4" hidden="1" x14ac:dyDescent="0.25">
      <c r="B111" s="10" t="s">
        <v>39</v>
      </c>
      <c r="C111" s="15" t="s">
        <v>193</v>
      </c>
      <c r="D111" s="15" t="s">
        <v>7</v>
      </c>
    </row>
    <row r="112" spans="2:4" hidden="1" x14ac:dyDescent="0.25">
      <c r="B112" s="10" t="s">
        <v>601</v>
      </c>
      <c r="C112" s="15" t="s">
        <v>194</v>
      </c>
      <c r="D112" s="15" t="s">
        <v>66</v>
      </c>
    </row>
    <row r="113" spans="2:4" hidden="1" x14ac:dyDescent="0.25">
      <c r="B113" s="10" t="s">
        <v>602</v>
      </c>
      <c r="C113" s="15" t="s">
        <v>195</v>
      </c>
      <c r="D113" s="15" t="s">
        <v>55</v>
      </c>
    </row>
    <row r="114" spans="2:4" hidden="1" x14ac:dyDescent="0.25">
      <c r="B114" s="10" t="s">
        <v>603</v>
      </c>
      <c r="C114" s="15" t="s">
        <v>196</v>
      </c>
      <c r="D114" s="15" t="s">
        <v>7</v>
      </c>
    </row>
    <row r="115" spans="2:4" hidden="1" x14ac:dyDescent="0.25">
      <c r="B115" s="10" t="s">
        <v>604</v>
      </c>
      <c r="C115" s="15" t="s">
        <v>197</v>
      </c>
      <c r="D115" s="15" t="s">
        <v>45</v>
      </c>
    </row>
    <row r="116" spans="2:4" hidden="1" x14ac:dyDescent="0.25">
      <c r="B116" s="10" t="s">
        <v>605</v>
      </c>
      <c r="C116" s="15" t="s">
        <v>198</v>
      </c>
      <c r="D116" s="15" t="s">
        <v>45</v>
      </c>
    </row>
    <row r="117" spans="2:4" hidden="1" x14ac:dyDescent="0.25">
      <c r="B117" s="10" t="s">
        <v>606</v>
      </c>
      <c r="C117" s="15" t="s">
        <v>199</v>
      </c>
      <c r="D117" s="15" t="s">
        <v>67</v>
      </c>
    </row>
    <row r="118" spans="2:4" hidden="1" x14ac:dyDescent="0.25">
      <c r="B118" s="10" t="s">
        <v>607</v>
      </c>
      <c r="C118" s="15" t="s">
        <v>200</v>
      </c>
      <c r="D118" s="15" t="s">
        <v>7</v>
      </c>
    </row>
    <row r="119" spans="2:4" hidden="1" x14ac:dyDescent="0.25">
      <c r="B119" s="10" t="s">
        <v>22</v>
      </c>
      <c r="C119" s="15" t="s">
        <v>201</v>
      </c>
      <c r="D119" s="15" t="s">
        <v>7</v>
      </c>
    </row>
    <row r="120" spans="2:4" hidden="1" x14ac:dyDescent="0.25">
      <c r="B120" s="10" t="s">
        <v>608</v>
      </c>
      <c r="C120" s="15" t="s">
        <v>202</v>
      </c>
      <c r="D120" s="15" t="s">
        <v>45</v>
      </c>
    </row>
    <row r="121" spans="2:4" hidden="1" x14ac:dyDescent="0.25">
      <c r="B121" s="10" t="s">
        <v>609</v>
      </c>
      <c r="C121" s="15" t="s">
        <v>203</v>
      </c>
      <c r="D121" s="15" t="s">
        <v>45</v>
      </c>
    </row>
    <row r="122" spans="2:4" hidden="1" x14ac:dyDescent="0.25">
      <c r="B122" s="10" t="s">
        <v>610</v>
      </c>
      <c r="C122" s="15" t="s">
        <v>204</v>
      </c>
      <c r="D122" s="15" t="s">
        <v>45</v>
      </c>
    </row>
    <row r="123" spans="2:4" hidden="1" x14ac:dyDescent="0.25">
      <c r="B123" s="10" t="s">
        <v>611</v>
      </c>
      <c r="C123" s="15" t="s">
        <v>205</v>
      </c>
      <c r="D123" s="15" t="s">
        <v>966</v>
      </c>
    </row>
    <row r="124" spans="2:4" hidden="1" x14ac:dyDescent="0.25">
      <c r="B124" s="10" t="s">
        <v>612</v>
      </c>
      <c r="C124" s="15" t="s">
        <v>206</v>
      </c>
      <c r="D124" s="15" t="s">
        <v>45</v>
      </c>
    </row>
    <row r="125" spans="2:4" hidden="1" x14ac:dyDescent="0.25">
      <c r="B125" s="10" t="s">
        <v>613</v>
      </c>
      <c r="C125" s="15" t="s">
        <v>207</v>
      </c>
      <c r="D125" s="15" t="s">
        <v>59</v>
      </c>
    </row>
    <row r="126" spans="2:4" hidden="1" x14ac:dyDescent="0.25">
      <c r="B126" s="10" t="s">
        <v>614</v>
      </c>
      <c r="C126" s="15" t="s">
        <v>208</v>
      </c>
      <c r="D126" s="15" t="s">
        <v>55</v>
      </c>
    </row>
    <row r="127" spans="2:4" hidden="1" x14ac:dyDescent="0.25">
      <c r="B127" s="10" t="s">
        <v>25</v>
      </c>
      <c r="C127" s="15" t="s">
        <v>209</v>
      </c>
      <c r="D127" s="15" t="s">
        <v>45</v>
      </c>
    </row>
    <row r="128" spans="2:4" hidden="1" x14ac:dyDescent="0.25">
      <c r="B128" s="10" t="s">
        <v>615</v>
      </c>
      <c r="C128" s="15" t="s">
        <v>210</v>
      </c>
      <c r="D128" s="15" t="s">
        <v>45</v>
      </c>
    </row>
    <row r="129" spans="2:4" hidden="1" x14ac:dyDescent="0.25">
      <c r="B129" s="10" t="s">
        <v>616</v>
      </c>
      <c r="C129" s="15" t="s">
        <v>211</v>
      </c>
      <c r="D129" s="15" t="s">
        <v>55</v>
      </c>
    </row>
    <row r="130" spans="2:4" hidden="1" x14ac:dyDescent="0.25">
      <c r="B130" s="10" t="s">
        <v>617</v>
      </c>
      <c r="C130" s="15" t="s">
        <v>212</v>
      </c>
      <c r="D130" s="15" t="s">
        <v>45</v>
      </c>
    </row>
    <row r="131" spans="2:4" hidden="1" x14ac:dyDescent="0.25">
      <c r="B131" s="10" t="s">
        <v>618</v>
      </c>
      <c r="C131" s="15" t="s">
        <v>213</v>
      </c>
      <c r="D131" s="15" t="s">
        <v>45</v>
      </c>
    </row>
    <row r="132" spans="2:4" hidden="1" x14ac:dyDescent="0.25">
      <c r="B132" s="10" t="s">
        <v>619</v>
      </c>
      <c r="C132" s="15" t="s">
        <v>214</v>
      </c>
      <c r="D132" s="15" t="s">
        <v>47</v>
      </c>
    </row>
    <row r="133" spans="2:4" hidden="1" x14ac:dyDescent="0.25">
      <c r="B133" s="10" t="s">
        <v>620</v>
      </c>
      <c r="C133" s="15" t="s">
        <v>215</v>
      </c>
      <c r="D133" s="15" t="s">
        <v>68</v>
      </c>
    </row>
    <row r="134" spans="2:4" hidden="1" x14ac:dyDescent="0.25">
      <c r="B134" s="10" t="s">
        <v>621</v>
      </c>
      <c r="C134" s="15" t="s">
        <v>216</v>
      </c>
      <c r="D134" s="15" t="s">
        <v>45</v>
      </c>
    </row>
    <row r="135" spans="2:4" hidden="1" x14ac:dyDescent="0.25">
      <c r="B135" s="10" t="s">
        <v>623</v>
      </c>
      <c r="C135" s="15" t="s">
        <v>218</v>
      </c>
      <c r="D135" s="15" t="s">
        <v>7</v>
      </c>
    </row>
    <row r="136" spans="2:4" hidden="1" x14ac:dyDescent="0.25">
      <c r="B136" s="10" t="s">
        <v>622</v>
      </c>
      <c r="C136" s="15" t="s">
        <v>217</v>
      </c>
      <c r="D136" s="15" t="s">
        <v>69</v>
      </c>
    </row>
    <row r="137" spans="2:4" hidden="1" x14ac:dyDescent="0.25">
      <c r="B137" s="10" t="s">
        <v>938</v>
      </c>
      <c r="C137" s="15" t="s">
        <v>939</v>
      </c>
      <c r="D137" s="15" t="s">
        <v>966</v>
      </c>
    </row>
    <row r="138" spans="2:4" hidden="1" x14ac:dyDescent="0.25">
      <c r="B138" s="10" t="s">
        <v>624</v>
      </c>
      <c r="C138" s="15" t="s">
        <v>219</v>
      </c>
      <c r="D138" s="15" t="s">
        <v>45</v>
      </c>
    </row>
    <row r="139" spans="2:4" hidden="1" x14ac:dyDescent="0.25">
      <c r="B139" s="10" t="s">
        <v>625</v>
      </c>
      <c r="C139" s="15" t="s">
        <v>220</v>
      </c>
      <c r="D139" s="15" t="s">
        <v>47</v>
      </c>
    </row>
    <row r="140" spans="2:4" hidden="1" x14ac:dyDescent="0.25">
      <c r="B140" s="10" t="s">
        <v>940</v>
      </c>
      <c r="C140" s="15" t="s">
        <v>941</v>
      </c>
      <c r="D140" s="15" t="s">
        <v>55</v>
      </c>
    </row>
    <row r="141" spans="2:4" hidden="1" x14ac:dyDescent="0.25">
      <c r="B141" s="10" t="s">
        <v>626</v>
      </c>
      <c r="C141" s="15" t="s">
        <v>221</v>
      </c>
      <c r="D141" s="15" t="s">
        <v>973</v>
      </c>
    </row>
    <row r="142" spans="2:4" hidden="1" x14ac:dyDescent="0.25">
      <c r="B142" s="10" t="s">
        <v>627</v>
      </c>
      <c r="C142" s="15" t="s">
        <v>222</v>
      </c>
      <c r="D142" s="15" t="s">
        <v>56</v>
      </c>
    </row>
    <row r="143" spans="2:4" hidden="1" x14ac:dyDescent="0.25">
      <c r="B143" s="10" t="s">
        <v>628</v>
      </c>
      <c r="C143" s="15" t="s">
        <v>223</v>
      </c>
      <c r="D143" s="15" t="s">
        <v>12</v>
      </c>
    </row>
    <row r="144" spans="2:4" hidden="1" x14ac:dyDescent="0.25">
      <c r="B144" s="10" t="s">
        <v>629</v>
      </c>
      <c r="C144" s="15" t="s">
        <v>224</v>
      </c>
      <c r="D144" s="15" t="s">
        <v>45</v>
      </c>
    </row>
    <row r="145" spans="2:4" hidden="1" x14ac:dyDescent="0.25">
      <c r="B145" s="10" t="s">
        <v>631</v>
      </c>
      <c r="C145" s="15" t="s">
        <v>226</v>
      </c>
      <c r="D145" s="15" t="s">
        <v>970</v>
      </c>
    </row>
    <row r="146" spans="2:4" hidden="1" x14ac:dyDescent="0.25">
      <c r="B146" s="10" t="s">
        <v>630</v>
      </c>
      <c r="C146" s="15" t="s">
        <v>225</v>
      </c>
      <c r="D146" s="15" t="s">
        <v>45</v>
      </c>
    </row>
    <row r="147" spans="2:4" hidden="1" x14ac:dyDescent="0.25">
      <c r="B147" s="10" t="s">
        <v>633</v>
      </c>
      <c r="C147" s="15" t="s">
        <v>228</v>
      </c>
      <c r="D147" s="15" t="s">
        <v>64</v>
      </c>
    </row>
    <row r="148" spans="2:4" hidden="1" x14ac:dyDescent="0.25">
      <c r="B148" s="10" t="s">
        <v>632</v>
      </c>
      <c r="C148" s="15" t="s">
        <v>227</v>
      </c>
      <c r="D148" s="15" t="s">
        <v>7</v>
      </c>
    </row>
    <row r="149" spans="2:4" hidden="1" x14ac:dyDescent="0.25">
      <c r="B149" s="10" t="s">
        <v>634</v>
      </c>
      <c r="C149" s="15" t="s">
        <v>229</v>
      </c>
      <c r="D149" s="15" t="s">
        <v>12</v>
      </c>
    </row>
    <row r="150" spans="2:4" hidden="1" x14ac:dyDescent="0.25">
      <c r="B150" s="10" t="s">
        <v>635</v>
      </c>
      <c r="C150" s="15" t="s">
        <v>230</v>
      </c>
      <c r="D150" s="15" t="s">
        <v>970</v>
      </c>
    </row>
    <row r="151" spans="2:4" hidden="1" x14ac:dyDescent="0.25">
      <c r="B151" s="10" t="s">
        <v>636</v>
      </c>
      <c r="C151" s="15" t="s">
        <v>231</v>
      </c>
      <c r="D151" s="15" t="s">
        <v>45</v>
      </c>
    </row>
    <row r="152" spans="2:4" hidden="1" x14ac:dyDescent="0.25">
      <c r="B152" s="10" t="s">
        <v>637</v>
      </c>
      <c r="C152" s="15" t="s">
        <v>232</v>
      </c>
      <c r="D152" s="15" t="s">
        <v>45</v>
      </c>
    </row>
    <row r="153" spans="2:4" hidden="1" x14ac:dyDescent="0.25">
      <c r="B153" s="10" t="s">
        <v>638</v>
      </c>
      <c r="C153" s="15" t="s">
        <v>233</v>
      </c>
      <c r="D153" s="15" t="s">
        <v>966</v>
      </c>
    </row>
    <row r="154" spans="2:4" hidden="1" x14ac:dyDescent="0.25">
      <c r="B154" s="10" t="s">
        <v>639</v>
      </c>
      <c r="C154" s="15" t="s">
        <v>234</v>
      </c>
      <c r="D154" s="15" t="s">
        <v>7</v>
      </c>
    </row>
    <row r="155" spans="2:4" hidden="1" x14ac:dyDescent="0.25">
      <c r="B155" s="10" t="s">
        <v>640</v>
      </c>
      <c r="C155" s="15" t="s">
        <v>235</v>
      </c>
      <c r="D155" s="15" t="s">
        <v>45</v>
      </c>
    </row>
    <row r="156" spans="2:4" hidden="1" x14ac:dyDescent="0.25">
      <c r="B156" s="10" t="s">
        <v>641</v>
      </c>
      <c r="C156" s="15" t="s">
        <v>236</v>
      </c>
      <c r="D156" s="15" t="s">
        <v>55</v>
      </c>
    </row>
    <row r="157" spans="2:4" hidden="1" x14ac:dyDescent="0.25">
      <c r="B157" s="10" t="s">
        <v>642</v>
      </c>
      <c r="C157" s="15" t="s">
        <v>237</v>
      </c>
      <c r="D157" s="15" t="s">
        <v>974</v>
      </c>
    </row>
    <row r="158" spans="2:4" hidden="1" x14ac:dyDescent="0.25">
      <c r="B158" s="10" t="s">
        <v>643</v>
      </c>
      <c r="C158" s="15" t="s">
        <v>238</v>
      </c>
      <c r="D158" s="15" t="s">
        <v>967</v>
      </c>
    </row>
    <row r="159" spans="2:4" hidden="1" x14ac:dyDescent="0.25">
      <c r="B159" s="10" t="s">
        <v>644</v>
      </c>
      <c r="C159" s="15" t="s">
        <v>239</v>
      </c>
      <c r="D159" s="15" t="s">
        <v>7</v>
      </c>
    </row>
    <row r="160" spans="2:4" hidden="1" x14ac:dyDescent="0.25">
      <c r="B160" s="10" t="s">
        <v>645</v>
      </c>
      <c r="C160" s="15" t="s">
        <v>240</v>
      </c>
      <c r="D160" s="15" t="s">
        <v>7</v>
      </c>
    </row>
    <row r="161" spans="2:4" hidden="1" x14ac:dyDescent="0.25">
      <c r="B161" s="10" t="s">
        <v>646</v>
      </c>
      <c r="C161" s="15" t="s">
        <v>241</v>
      </c>
      <c r="D161" s="15" t="s">
        <v>7</v>
      </c>
    </row>
    <row r="162" spans="2:4" hidden="1" x14ac:dyDescent="0.25">
      <c r="B162" s="10" t="s">
        <v>942</v>
      </c>
      <c r="C162" s="15" t="s">
        <v>943</v>
      </c>
      <c r="D162" s="15" t="s">
        <v>45</v>
      </c>
    </row>
    <row r="163" spans="2:4" hidden="1" x14ac:dyDescent="0.25">
      <c r="B163" s="10" t="s">
        <v>647</v>
      </c>
      <c r="C163" s="15" t="s">
        <v>242</v>
      </c>
      <c r="D163" s="15" t="s">
        <v>12</v>
      </c>
    </row>
    <row r="164" spans="2:4" hidden="1" x14ac:dyDescent="0.25">
      <c r="B164" s="10" t="s">
        <v>944</v>
      </c>
      <c r="C164" s="15" t="s">
        <v>945</v>
      </c>
      <c r="D164" s="15" t="s">
        <v>70</v>
      </c>
    </row>
    <row r="165" spans="2:4" hidden="1" x14ac:dyDescent="0.25">
      <c r="B165" s="10" t="s">
        <v>648</v>
      </c>
      <c r="C165" s="15" t="s">
        <v>243</v>
      </c>
      <c r="D165" s="15" t="s">
        <v>975</v>
      </c>
    </row>
    <row r="166" spans="2:4" hidden="1" x14ac:dyDescent="0.25">
      <c r="B166" s="10" t="s">
        <v>649</v>
      </c>
      <c r="C166" s="15" t="s">
        <v>244</v>
      </c>
      <c r="D166" s="15" t="s">
        <v>45</v>
      </c>
    </row>
    <row r="167" spans="2:4" hidden="1" x14ac:dyDescent="0.25">
      <c r="B167" s="10" t="s">
        <v>650</v>
      </c>
      <c r="C167" s="15" t="s">
        <v>245</v>
      </c>
      <c r="D167" s="15" t="s">
        <v>12</v>
      </c>
    </row>
    <row r="168" spans="2:4" hidden="1" x14ac:dyDescent="0.25">
      <c r="B168" s="10" t="s">
        <v>651</v>
      </c>
      <c r="C168" s="15" t="s">
        <v>246</v>
      </c>
      <c r="D168" s="15" t="s">
        <v>45</v>
      </c>
    </row>
    <row r="169" spans="2:4" hidden="1" x14ac:dyDescent="0.25">
      <c r="B169" s="10" t="s">
        <v>652</v>
      </c>
      <c r="C169" s="15" t="s">
        <v>247</v>
      </c>
      <c r="D169" s="15" t="s">
        <v>55</v>
      </c>
    </row>
    <row r="170" spans="2:4" hidden="1" x14ac:dyDescent="0.25">
      <c r="B170" s="10" t="s">
        <v>653</v>
      </c>
      <c r="C170" s="15" t="s">
        <v>248</v>
      </c>
      <c r="D170" s="15" t="s">
        <v>64</v>
      </c>
    </row>
    <row r="171" spans="2:4" hidden="1" x14ac:dyDescent="0.25">
      <c r="B171" s="10" t="s">
        <v>654</v>
      </c>
      <c r="C171" s="15" t="s">
        <v>249</v>
      </c>
      <c r="D171" s="15" t="s">
        <v>45</v>
      </c>
    </row>
    <row r="172" spans="2:4" hidden="1" x14ac:dyDescent="0.25">
      <c r="B172" s="10" t="s">
        <v>655</v>
      </c>
      <c r="C172" s="15" t="s">
        <v>250</v>
      </c>
      <c r="D172" s="15" t="s">
        <v>55</v>
      </c>
    </row>
    <row r="173" spans="2:4" hidden="1" x14ac:dyDescent="0.25">
      <c r="B173" s="10" t="s">
        <v>656</v>
      </c>
      <c r="C173" s="15" t="s">
        <v>251</v>
      </c>
      <c r="D173" s="15" t="s">
        <v>89</v>
      </c>
    </row>
    <row r="174" spans="2:4" hidden="1" x14ac:dyDescent="0.25">
      <c r="B174" s="10" t="s">
        <v>657</v>
      </c>
      <c r="C174" s="15" t="s">
        <v>252</v>
      </c>
      <c r="D174" s="15" t="s">
        <v>45</v>
      </c>
    </row>
    <row r="175" spans="2:4" hidden="1" x14ac:dyDescent="0.25">
      <c r="B175" s="10" t="s">
        <v>658</v>
      </c>
      <c r="C175" s="15" t="s">
        <v>253</v>
      </c>
      <c r="D175" s="15" t="s">
        <v>55</v>
      </c>
    </row>
    <row r="176" spans="2:4" hidden="1" x14ac:dyDescent="0.25">
      <c r="B176" s="10" t="s">
        <v>659</v>
      </c>
      <c r="C176" s="15" t="s">
        <v>254</v>
      </c>
      <c r="D176" s="15" t="s">
        <v>12</v>
      </c>
    </row>
    <row r="177" spans="2:4" hidden="1" x14ac:dyDescent="0.25">
      <c r="B177" s="10" t="s">
        <v>660</v>
      </c>
      <c r="C177" s="15" t="s">
        <v>255</v>
      </c>
      <c r="D177" s="15" t="s">
        <v>7</v>
      </c>
    </row>
    <row r="178" spans="2:4" hidden="1" x14ac:dyDescent="0.25">
      <c r="B178" s="10" t="s">
        <v>661</v>
      </c>
      <c r="C178" s="15" t="s">
        <v>256</v>
      </c>
      <c r="D178" s="15" t="s">
        <v>45</v>
      </c>
    </row>
    <row r="179" spans="2:4" hidden="1" x14ac:dyDescent="0.25">
      <c r="B179" s="10" t="s">
        <v>946</v>
      </c>
      <c r="C179" s="15" t="s">
        <v>947</v>
      </c>
      <c r="D179" s="15" t="s">
        <v>7</v>
      </c>
    </row>
    <row r="180" spans="2:4" hidden="1" x14ac:dyDescent="0.25">
      <c r="B180" s="10" t="s">
        <v>662</v>
      </c>
      <c r="C180" s="15" t="s">
        <v>257</v>
      </c>
      <c r="D180" s="15" t="s">
        <v>71</v>
      </c>
    </row>
    <row r="181" spans="2:4" hidden="1" x14ac:dyDescent="0.25">
      <c r="B181" s="10" t="s">
        <v>663</v>
      </c>
      <c r="C181" s="15" t="s">
        <v>258</v>
      </c>
      <c r="D181" s="15" t="s">
        <v>56</v>
      </c>
    </row>
    <row r="182" spans="2:4" hidden="1" x14ac:dyDescent="0.25">
      <c r="B182" s="10" t="s">
        <v>948</v>
      </c>
      <c r="C182" s="15" t="s">
        <v>949</v>
      </c>
      <c r="D182" s="15" t="s">
        <v>7</v>
      </c>
    </row>
    <row r="183" spans="2:4" hidden="1" x14ac:dyDescent="0.25">
      <c r="B183" s="10" t="s">
        <v>664</v>
      </c>
      <c r="C183" s="15" t="s">
        <v>259</v>
      </c>
      <c r="D183" s="15" t="s">
        <v>55</v>
      </c>
    </row>
    <row r="184" spans="2:4" hidden="1" x14ac:dyDescent="0.25">
      <c r="B184" s="10" t="s">
        <v>665</v>
      </c>
      <c r="C184" s="15" t="s">
        <v>260</v>
      </c>
      <c r="D184" s="15" t="s">
        <v>45</v>
      </c>
    </row>
    <row r="185" spans="2:4" hidden="1" x14ac:dyDescent="0.25">
      <c r="B185" s="10" t="s">
        <v>666</v>
      </c>
      <c r="C185" s="15" t="s">
        <v>261</v>
      </c>
      <c r="D185" s="15" t="s">
        <v>45</v>
      </c>
    </row>
    <row r="186" spans="2:4" hidden="1" x14ac:dyDescent="0.25">
      <c r="B186" s="10" t="s">
        <v>667</v>
      </c>
      <c r="C186" s="15" t="s">
        <v>262</v>
      </c>
      <c r="D186" s="15" t="s">
        <v>7</v>
      </c>
    </row>
    <row r="187" spans="2:4" hidden="1" x14ac:dyDescent="0.25">
      <c r="B187" s="10" t="s">
        <v>668</v>
      </c>
      <c r="C187" s="15" t="s">
        <v>263</v>
      </c>
      <c r="D187" s="15" t="s">
        <v>967</v>
      </c>
    </row>
    <row r="188" spans="2:4" hidden="1" x14ac:dyDescent="0.25">
      <c r="B188" s="10" t="s">
        <v>669</v>
      </c>
      <c r="C188" s="15" t="s">
        <v>264</v>
      </c>
      <c r="D188" s="15" t="s">
        <v>72</v>
      </c>
    </row>
    <row r="189" spans="2:4" hidden="1" x14ac:dyDescent="0.25">
      <c r="B189" s="10" t="s">
        <v>670</v>
      </c>
      <c r="C189" s="15" t="s">
        <v>265</v>
      </c>
      <c r="D189" s="15" t="s">
        <v>47</v>
      </c>
    </row>
    <row r="190" spans="2:4" hidden="1" x14ac:dyDescent="0.25">
      <c r="B190" s="10" t="s">
        <v>671</v>
      </c>
      <c r="C190" s="15" t="s">
        <v>266</v>
      </c>
      <c r="D190" s="15" t="s">
        <v>45</v>
      </c>
    </row>
    <row r="191" spans="2:4" hidden="1" x14ac:dyDescent="0.25">
      <c r="B191" s="10" t="s">
        <v>672</v>
      </c>
      <c r="C191" s="15" t="s">
        <v>267</v>
      </c>
      <c r="D191" s="15" t="s">
        <v>47</v>
      </c>
    </row>
    <row r="192" spans="2:4" hidden="1" x14ac:dyDescent="0.25">
      <c r="B192" s="10" t="s">
        <v>673</v>
      </c>
      <c r="C192" s="15" t="s">
        <v>268</v>
      </c>
      <c r="D192" s="15" t="s">
        <v>45</v>
      </c>
    </row>
    <row r="193" spans="2:4" hidden="1" x14ac:dyDescent="0.25">
      <c r="B193" s="10" t="s">
        <v>674</v>
      </c>
      <c r="C193" s="15" t="s">
        <v>269</v>
      </c>
      <c r="D193" s="15" t="s">
        <v>55</v>
      </c>
    </row>
    <row r="194" spans="2:4" hidden="1" x14ac:dyDescent="0.25">
      <c r="B194" s="10" t="s">
        <v>675</v>
      </c>
      <c r="C194" s="15" t="s">
        <v>270</v>
      </c>
      <c r="D194" s="15" t="s">
        <v>59</v>
      </c>
    </row>
    <row r="195" spans="2:4" hidden="1" x14ac:dyDescent="0.25">
      <c r="B195" s="10" t="s">
        <v>676</v>
      </c>
      <c r="C195" s="15" t="s">
        <v>271</v>
      </c>
      <c r="D195" s="15" t="s">
        <v>45</v>
      </c>
    </row>
    <row r="196" spans="2:4" hidden="1" x14ac:dyDescent="0.25">
      <c r="B196" s="10" t="s">
        <v>677</v>
      </c>
      <c r="C196" s="15" t="s">
        <v>272</v>
      </c>
      <c r="D196" s="15" t="s">
        <v>45</v>
      </c>
    </row>
    <row r="197" spans="2:4" hidden="1" x14ac:dyDescent="0.25">
      <c r="B197" s="10" t="s">
        <v>678</v>
      </c>
      <c r="C197" s="15" t="s">
        <v>273</v>
      </c>
      <c r="D197" s="15" t="s">
        <v>966</v>
      </c>
    </row>
    <row r="198" spans="2:4" hidden="1" x14ac:dyDescent="0.25">
      <c r="B198" s="10" t="s">
        <v>680</v>
      </c>
      <c r="C198" s="15" t="s">
        <v>275</v>
      </c>
      <c r="D198" s="15" t="s">
        <v>55</v>
      </c>
    </row>
    <row r="199" spans="2:4" hidden="1" x14ac:dyDescent="0.25">
      <c r="B199" s="10" t="s">
        <v>679</v>
      </c>
      <c r="C199" s="15" t="s">
        <v>274</v>
      </c>
      <c r="D199" s="15" t="s">
        <v>966</v>
      </c>
    </row>
    <row r="200" spans="2:4" hidden="1" x14ac:dyDescent="0.25">
      <c r="B200" s="10" t="s">
        <v>681</v>
      </c>
      <c r="C200" s="15" t="s">
        <v>276</v>
      </c>
      <c r="D200" s="15" t="s">
        <v>966</v>
      </c>
    </row>
    <row r="201" spans="2:4" hidden="1" x14ac:dyDescent="0.25">
      <c r="B201" s="10" t="s">
        <v>682</v>
      </c>
      <c r="C201" s="15" t="s">
        <v>277</v>
      </c>
      <c r="D201" s="15" t="s">
        <v>966</v>
      </c>
    </row>
    <row r="202" spans="2:4" hidden="1" x14ac:dyDescent="0.25">
      <c r="B202" s="10" t="s">
        <v>683</v>
      </c>
      <c r="C202" s="15" t="s">
        <v>278</v>
      </c>
      <c r="D202" s="15" t="s">
        <v>56</v>
      </c>
    </row>
    <row r="203" spans="2:4" hidden="1" x14ac:dyDescent="0.25">
      <c r="B203" s="10" t="s">
        <v>684</v>
      </c>
      <c r="C203" s="15" t="s">
        <v>279</v>
      </c>
      <c r="D203" s="15" t="s">
        <v>12</v>
      </c>
    </row>
    <row r="204" spans="2:4" hidden="1" x14ac:dyDescent="0.25">
      <c r="B204" s="10" t="s">
        <v>685</v>
      </c>
      <c r="C204" s="15" t="s">
        <v>280</v>
      </c>
      <c r="D204" s="15" t="s">
        <v>966</v>
      </c>
    </row>
    <row r="205" spans="2:4" hidden="1" x14ac:dyDescent="0.25">
      <c r="B205" s="10" t="s">
        <v>686</v>
      </c>
      <c r="C205" s="15" t="s">
        <v>281</v>
      </c>
      <c r="D205" s="15" t="s">
        <v>55</v>
      </c>
    </row>
    <row r="206" spans="2:4" hidden="1" x14ac:dyDescent="0.25">
      <c r="B206" s="10" t="s">
        <v>687</v>
      </c>
      <c r="C206" s="15" t="s">
        <v>282</v>
      </c>
      <c r="D206" s="15" t="s">
        <v>59</v>
      </c>
    </row>
    <row r="207" spans="2:4" hidden="1" x14ac:dyDescent="0.25">
      <c r="B207" s="10" t="s">
        <v>688</v>
      </c>
      <c r="C207" s="15" t="s">
        <v>283</v>
      </c>
      <c r="D207" s="15" t="s">
        <v>12</v>
      </c>
    </row>
    <row r="208" spans="2:4" hidden="1" x14ac:dyDescent="0.25">
      <c r="B208" s="10" t="s">
        <v>689</v>
      </c>
      <c r="C208" s="15" t="s">
        <v>284</v>
      </c>
      <c r="D208" s="15" t="s">
        <v>966</v>
      </c>
    </row>
    <row r="209" spans="2:4" hidden="1" x14ac:dyDescent="0.25">
      <c r="B209" s="10" t="s">
        <v>690</v>
      </c>
      <c r="C209" s="15" t="s">
        <v>285</v>
      </c>
      <c r="D209" s="15" t="s">
        <v>55</v>
      </c>
    </row>
    <row r="210" spans="2:4" hidden="1" x14ac:dyDescent="0.25">
      <c r="B210" s="10" t="s">
        <v>691</v>
      </c>
      <c r="C210" s="15" t="s">
        <v>286</v>
      </c>
      <c r="D210" s="15" t="s">
        <v>46</v>
      </c>
    </row>
    <row r="211" spans="2:4" hidden="1" x14ac:dyDescent="0.25">
      <c r="B211" s="10" t="s">
        <v>692</v>
      </c>
      <c r="C211" s="15" t="s">
        <v>287</v>
      </c>
      <c r="D211" s="15" t="s">
        <v>12</v>
      </c>
    </row>
    <row r="212" spans="2:4" hidden="1" x14ac:dyDescent="0.25">
      <c r="B212" s="10" t="s">
        <v>693</v>
      </c>
      <c r="C212" s="15" t="s">
        <v>289</v>
      </c>
      <c r="D212" s="15" t="s">
        <v>45</v>
      </c>
    </row>
    <row r="213" spans="2:4" hidden="1" x14ac:dyDescent="0.25">
      <c r="B213" s="10" t="s">
        <v>11</v>
      </c>
      <c r="C213" s="15" t="s">
        <v>288</v>
      </c>
      <c r="D213" s="15" t="s">
        <v>7</v>
      </c>
    </row>
    <row r="214" spans="2:4" hidden="1" x14ac:dyDescent="0.25">
      <c r="B214" s="10" t="s">
        <v>694</v>
      </c>
      <c r="C214" s="15" t="s">
        <v>290</v>
      </c>
      <c r="D214" s="15" t="s">
        <v>55</v>
      </c>
    </row>
    <row r="215" spans="2:4" hidden="1" x14ac:dyDescent="0.25">
      <c r="B215" s="10" t="s">
        <v>695</v>
      </c>
      <c r="C215" s="15" t="s">
        <v>291</v>
      </c>
      <c r="D215" s="15" t="s">
        <v>55</v>
      </c>
    </row>
    <row r="216" spans="2:4" hidden="1" x14ac:dyDescent="0.25">
      <c r="B216" s="10" t="s">
        <v>697</v>
      </c>
      <c r="C216" s="15" t="s">
        <v>293</v>
      </c>
      <c r="D216" s="15" t="s">
        <v>45</v>
      </c>
    </row>
    <row r="217" spans="2:4" hidden="1" x14ac:dyDescent="0.25">
      <c r="B217" s="10" t="s">
        <v>696</v>
      </c>
      <c r="C217" s="15" t="s">
        <v>292</v>
      </c>
      <c r="D217" s="15" t="s">
        <v>45</v>
      </c>
    </row>
    <row r="218" spans="2:4" hidden="1" x14ac:dyDescent="0.25">
      <c r="B218" s="10" t="s">
        <v>698</v>
      </c>
      <c r="C218" s="15" t="s">
        <v>294</v>
      </c>
      <c r="D218" s="15" t="s">
        <v>45</v>
      </c>
    </row>
    <row r="219" spans="2:4" hidden="1" x14ac:dyDescent="0.25">
      <c r="B219" s="10" t="s">
        <v>699</v>
      </c>
      <c r="C219" s="15" t="s">
        <v>295</v>
      </c>
      <c r="D219" s="15" t="s">
        <v>70</v>
      </c>
    </row>
    <row r="220" spans="2:4" hidden="1" x14ac:dyDescent="0.25">
      <c r="B220" s="10" t="s">
        <v>36</v>
      </c>
      <c r="C220" s="15" t="s">
        <v>296</v>
      </c>
      <c r="D220" s="15" t="s">
        <v>55</v>
      </c>
    </row>
    <row r="221" spans="2:4" hidden="1" x14ac:dyDescent="0.25">
      <c r="B221" s="10" t="s">
        <v>700</v>
      </c>
      <c r="C221" s="15" t="s">
        <v>297</v>
      </c>
      <c r="D221" s="15" t="s">
        <v>55</v>
      </c>
    </row>
    <row r="222" spans="2:4" hidden="1" x14ac:dyDescent="0.25">
      <c r="B222" s="10" t="s">
        <v>701</v>
      </c>
      <c r="C222" s="15" t="s">
        <v>298</v>
      </c>
      <c r="D222" s="15" t="s">
        <v>12</v>
      </c>
    </row>
    <row r="223" spans="2:4" hidden="1" x14ac:dyDescent="0.25">
      <c r="B223" s="10" t="s">
        <v>702</v>
      </c>
      <c r="C223" s="15" t="s">
        <v>299</v>
      </c>
      <c r="D223" s="15" t="s">
        <v>56</v>
      </c>
    </row>
    <row r="224" spans="2:4" hidden="1" x14ac:dyDescent="0.25">
      <c r="B224" s="10" t="s">
        <v>703</v>
      </c>
      <c r="C224" s="15" t="s">
        <v>300</v>
      </c>
      <c r="D224" s="15" t="s">
        <v>45</v>
      </c>
    </row>
    <row r="225" spans="2:4" hidden="1" x14ac:dyDescent="0.25">
      <c r="B225" s="10" t="s">
        <v>704</v>
      </c>
      <c r="C225" s="15" t="s">
        <v>301</v>
      </c>
      <c r="D225" s="15" t="s">
        <v>73</v>
      </c>
    </row>
    <row r="226" spans="2:4" hidden="1" x14ac:dyDescent="0.25">
      <c r="B226" s="10" t="s">
        <v>41</v>
      </c>
      <c r="C226" s="15" t="s">
        <v>302</v>
      </c>
      <c r="D226" s="15" t="s">
        <v>45</v>
      </c>
    </row>
    <row r="227" spans="2:4" hidden="1" x14ac:dyDescent="0.25">
      <c r="B227" s="10" t="s">
        <v>705</v>
      </c>
      <c r="C227" s="15" t="s">
        <v>303</v>
      </c>
      <c r="D227" s="15" t="s">
        <v>56</v>
      </c>
    </row>
    <row r="228" spans="2:4" hidden="1" x14ac:dyDescent="0.25">
      <c r="B228" s="10" t="s">
        <v>706</v>
      </c>
      <c r="C228" s="15" t="s">
        <v>304</v>
      </c>
      <c r="D228" s="15" t="s">
        <v>45</v>
      </c>
    </row>
    <row r="229" spans="2:4" hidden="1" x14ac:dyDescent="0.25">
      <c r="B229" s="10" t="s">
        <v>707</v>
      </c>
      <c r="C229" s="15" t="s">
        <v>305</v>
      </c>
      <c r="D229" s="15" t="s">
        <v>45</v>
      </c>
    </row>
    <row r="230" spans="2:4" hidden="1" x14ac:dyDescent="0.25">
      <c r="B230" s="10" t="s">
        <v>708</v>
      </c>
      <c r="C230" s="15" t="s">
        <v>306</v>
      </c>
      <c r="D230" s="15" t="s">
        <v>45</v>
      </c>
    </row>
    <row r="231" spans="2:4" hidden="1" x14ac:dyDescent="0.25">
      <c r="B231" s="10" t="s">
        <v>709</v>
      </c>
      <c r="C231" s="15" t="s">
        <v>307</v>
      </c>
      <c r="D231" s="15" t="s">
        <v>7</v>
      </c>
    </row>
    <row r="232" spans="2:4" hidden="1" x14ac:dyDescent="0.25">
      <c r="B232" s="10" t="s">
        <v>710</v>
      </c>
      <c r="C232" s="15" t="s">
        <v>308</v>
      </c>
      <c r="D232" s="15" t="s">
        <v>7</v>
      </c>
    </row>
    <row r="233" spans="2:4" hidden="1" x14ac:dyDescent="0.25">
      <c r="B233" s="10" t="s">
        <v>711</v>
      </c>
      <c r="C233" s="15" t="s">
        <v>309</v>
      </c>
      <c r="D233" s="15" t="s">
        <v>966</v>
      </c>
    </row>
    <row r="234" spans="2:4" hidden="1" x14ac:dyDescent="0.25">
      <c r="B234" s="10" t="s">
        <v>712</v>
      </c>
      <c r="C234" s="15" t="s">
        <v>310</v>
      </c>
      <c r="D234" s="15" t="s">
        <v>45</v>
      </c>
    </row>
    <row r="235" spans="2:4" hidden="1" x14ac:dyDescent="0.25">
      <c r="B235" s="10" t="s">
        <v>713</v>
      </c>
      <c r="C235" s="15" t="s">
        <v>311</v>
      </c>
      <c r="D235" s="15" t="s">
        <v>966</v>
      </c>
    </row>
    <row r="236" spans="2:4" hidden="1" x14ac:dyDescent="0.25">
      <c r="B236" s="10" t="s">
        <v>714</v>
      </c>
      <c r="C236" s="15" t="s">
        <v>312</v>
      </c>
      <c r="D236" s="15" t="s">
        <v>45</v>
      </c>
    </row>
    <row r="237" spans="2:4" hidden="1" x14ac:dyDescent="0.25">
      <c r="B237" s="10" t="s">
        <v>715</v>
      </c>
      <c r="C237" s="15" t="s">
        <v>313</v>
      </c>
      <c r="D237" s="15" t="s">
        <v>45</v>
      </c>
    </row>
    <row r="238" spans="2:4" hidden="1" x14ac:dyDescent="0.25">
      <c r="B238" s="10" t="s">
        <v>716</v>
      </c>
      <c r="C238" s="15" t="s">
        <v>314</v>
      </c>
      <c r="D238" s="15" t="s">
        <v>7</v>
      </c>
    </row>
    <row r="239" spans="2:4" hidden="1" x14ac:dyDescent="0.25">
      <c r="B239" s="10" t="s">
        <v>717</v>
      </c>
      <c r="C239" s="15" t="s">
        <v>315</v>
      </c>
      <c r="D239" s="15" t="s">
        <v>7</v>
      </c>
    </row>
    <row r="240" spans="2:4" hidden="1" x14ac:dyDescent="0.25">
      <c r="B240" s="10" t="s">
        <v>718</v>
      </c>
      <c r="C240" s="15" t="s">
        <v>316</v>
      </c>
      <c r="D240" s="15" t="s">
        <v>965</v>
      </c>
    </row>
    <row r="241" spans="2:4" hidden="1" x14ac:dyDescent="0.25">
      <c r="B241" s="10" t="s">
        <v>26</v>
      </c>
      <c r="C241" s="15" t="s">
        <v>317</v>
      </c>
      <c r="D241" s="15" t="s">
        <v>12</v>
      </c>
    </row>
    <row r="242" spans="2:4" hidden="1" x14ac:dyDescent="0.25">
      <c r="B242" s="10" t="s">
        <v>719</v>
      </c>
      <c r="C242" s="15" t="s">
        <v>318</v>
      </c>
      <c r="D242" s="15" t="s">
        <v>12</v>
      </c>
    </row>
    <row r="243" spans="2:4" hidden="1" x14ac:dyDescent="0.25">
      <c r="B243" s="10" t="s">
        <v>720</v>
      </c>
      <c r="C243" s="15" t="s">
        <v>319</v>
      </c>
      <c r="D243" s="15" t="s">
        <v>970</v>
      </c>
    </row>
    <row r="244" spans="2:4" hidden="1" x14ac:dyDescent="0.25">
      <c r="B244" s="10" t="s">
        <v>721</v>
      </c>
      <c r="C244" s="15" t="s">
        <v>320</v>
      </c>
      <c r="D244" s="15" t="s">
        <v>56</v>
      </c>
    </row>
    <row r="245" spans="2:4" hidden="1" x14ac:dyDescent="0.25">
      <c r="B245" s="10" t="s">
        <v>722</v>
      </c>
      <c r="C245" s="15" t="s">
        <v>321</v>
      </c>
      <c r="D245" s="15" t="s">
        <v>45</v>
      </c>
    </row>
    <row r="246" spans="2:4" hidden="1" x14ac:dyDescent="0.25">
      <c r="B246" s="10" t="s">
        <v>723</v>
      </c>
      <c r="C246" s="15" t="s">
        <v>322</v>
      </c>
      <c r="D246" s="15" t="s">
        <v>45</v>
      </c>
    </row>
    <row r="247" spans="2:4" hidden="1" x14ac:dyDescent="0.25">
      <c r="B247" s="10" t="s">
        <v>950</v>
      </c>
      <c r="C247" s="15" t="s">
        <v>951</v>
      </c>
      <c r="D247" s="15" t="s">
        <v>12</v>
      </c>
    </row>
    <row r="248" spans="2:4" hidden="1" x14ac:dyDescent="0.25">
      <c r="B248" s="10" t="s">
        <v>724</v>
      </c>
      <c r="C248" s="15" t="s">
        <v>323</v>
      </c>
      <c r="D248" s="15" t="s">
        <v>45</v>
      </c>
    </row>
    <row r="249" spans="2:4" hidden="1" x14ac:dyDescent="0.25">
      <c r="B249" s="10" t="s">
        <v>725</v>
      </c>
      <c r="C249" s="15" t="s">
        <v>324</v>
      </c>
      <c r="D249" s="15" t="s">
        <v>74</v>
      </c>
    </row>
    <row r="250" spans="2:4" hidden="1" x14ac:dyDescent="0.25">
      <c r="B250" s="10" t="s">
        <v>726</v>
      </c>
      <c r="C250" s="15" t="s">
        <v>325</v>
      </c>
      <c r="D250" s="15" t="s">
        <v>45</v>
      </c>
    </row>
    <row r="251" spans="2:4" hidden="1" x14ac:dyDescent="0.25">
      <c r="B251" s="10" t="s">
        <v>30</v>
      </c>
      <c r="C251" s="15" t="s">
        <v>326</v>
      </c>
      <c r="D251" s="15" t="s">
        <v>47</v>
      </c>
    </row>
    <row r="252" spans="2:4" hidden="1" x14ac:dyDescent="0.25">
      <c r="B252" s="10" t="s">
        <v>727</v>
      </c>
      <c r="C252" s="15" t="s">
        <v>327</v>
      </c>
      <c r="D252" s="15" t="s">
        <v>55</v>
      </c>
    </row>
    <row r="253" spans="2:4" hidden="1" x14ac:dyDescent="0.25">
      <c r="B253" s="10" t="s">
        <v>728</v>
      </c>
      <c r="C253" s="15" t="s">
        <v>328</v>
      </c>
      <c r="D253" s="15" t="s">
        <v>59</v>
      </c>
    </row>
    <row r="254" spans="2:4" hidden="1" x14ac:dyDescent="0.25">
      <c r="B254" s="10" t="s">
        <v>729</v>
      </c>
      <c r="C254" s="15" t="s">
        <v>329</v>
      </c>
      <c r="D254" s="15" t="s">
        <v>7</v>
      </c>
    </row>
    <row r="255" spans="2:4" hidden="1" x14ac:dyDescent="0.25">
      <c r="B255" s="10" t="s">
        <v>730</v>
      </c>
      <c r="C255" s="15" t="s">
        <v>330</v>
      </c>
      <c r="D255" s="15" t="s">
        <v>966</v>
      </c>
    </row>
    <row r="256" spans="2:4" hidden="1" x14ac:dyDescent="0.25">
      <c r="B256" s="10" t="s">
        <v>731</v>
      </c>
      <c r="C256" s="15" t="s">
        <v>331</v>
      </c>
      <c r="D256" s="15" t="s">
        <v>55</v>
      </c>
    </row>
    <row r="257" spans="2:4" hidden="1" x14ac:dyDescent="0.25">
      <c r="B257" s="10" t="s">
        <v>732</v>
      </c>
      <c r="C257" s="15" t="s">
        <v>332</v>
      </c>
      <c r="D257" s="15" t="s">
        <v>12</v>
      </c>
    </row>
    <row r="258" spans="2:4" hidden="1" x14ac:dyDescent="0.25">
      <c r="B258" s="10" t="s">
        <v>733</v>
      </c>
      <c r="C258" s="15" t="s">
        <v>333</v>
      </c>
      <c r="D258" s="15" t="s">
        <v>55</v>
      </c>
    </row>
    <row r="259" spans="2:4" hidden="1" x14ac:dyDescent="0.25">
      <c r="B259" s="10" t="s">
        <v>734</v>
      </c>
      <c r="C259" s="15" t="s">
        <v>334</v>
      </c>
      <c r="D259" s="15" t="s">
        <v>7</v>
      </c>
    </row>
    <row r="260" spans="2:4" hidden="1" x14ac:dyDescent="0.25">
      <c r="B260" s="10" t="s">
        <v>736</v>
      </c>
      <c r="C260" s="15" t="s">
        <v>337</v>
      </c>
      <c r="D260" s="15" t="s">
        <v>45</v>
      </c>
    </row>
    <row r="261" spans="2:4" hidden="1" x14ac:dyDescent="0.25">
      <c r="B261" s="10" t="s">
        <v>952</v>
      </c>
      <c r="C261" s="15" t="s">
        <v>953</v>
      </c>
      <c r="D261" s="15" t="s">
        <v>45</v>
      </c>
    </row>
    <row r="262" spans="2:4" hidden="1" x14ac:dyDescent="0.25">
      <c r="B262" s="10" t="s">
        <v>29</v>
      </c>
      <c r="C262" s="15" t="s">
        <v>335</v>
      </c>
      <c r="D262" s="15" t="s">
        <v>46</v>
      </c>
    </row>
    <row r="263" spans="2:4" hidden="1" x14ac:dyDescent="0.25">
      <c r="B263" s="10" t="s">
        <v>735</v>
      </c>
      <c r="C263" s="15" t="s">
        <v>336</v>
      </c>
      <c r="D263" s="15" t="s">
        <v>966</v>
      </c>
    </row>
    <row r="264" spans="2:4" hidden="1" x14ac:dyDescent="0.25">
      <c r="B264" s="10" t="s">
        <v>737</v>
      </c>
      <c r="C264" s="15" t="s">
        <v>338</v>
      </c>
      <c r="D264" s="15" t="s">
        <v>85</v>
      </c>
    </row>
    <row r="265" spans="2:4" hidden="1" x14ac:dyDescent="0.25">
      <c r="B265" s="10" t="s">
        <v>738</v>
      </c>
      <c r="C265" s="15" t="s">
        <v>339</v>
      </c>
      <c r="D265" s="15" t="s">
        <v>7</v>
      </c>
    </row>
    <row r="266" spans="2:4" hidden="1" x14ac:dyDescent="0.25">
      <c r="B266" s="10" t="s">
        <v>739</v>
      </c>
      <c r="C266" s="15" t="s">
        <v>340</v>
      </c>
      <c r="D266" s="15" t="s">
        <v>45</v>
      </c>
    </row>
    <row r="267" spans="2:4" hidden="1" x14ac:dyDescent="0.25">
      <c r="B267" s="10" t="s">
        <v>740</v>
      </c>
      <c r="C267" s="15" t="s">
        <v>341</v>
      </c>
      <c r="D267" s="15" t="s">
        <v>56</v>
      </c>
    </row>
    <row r="268" spans="2:4" hidden="1" x14ac:dyDescent="0.25">
      <c r="B268" s="10" t="s">
        <v>19</v>
      </c>
      <c r="C268" s="15" t="s">
        <v>342</v>
      </c>
      <c r="D268" s="15" t="s">
        <v>45</v>
      </c>
    </row>
    <row r="269" spans="2:4" hidden="1" x14ac:dyDescent="0.25">
      <c r="B269" s="10" t="s">
        <v>741</v>
      </c>
      <c r="C269" s="15" t="s">
        <v>343</v>
      </c>
      <c r="D269" s="15" t="s">
        <v>45</v>
      </c>
    </row>
    <row r="270" spans="2:4" hidden="1" x14ac:dyDescent="0.25">
      <c r="B270" s="10" t="s">
        <v>742</v>
      </c>
      <c r="C270" s="15" t="s">
        <v>344</v>
      </c>
      <c r="D270" s="15" t="s">
        <v>976</v>
      </c>
    </row>
    <row r="271" spans="2:4" hidden="1" x14ac:dyDescent="0.25">
      <c r="B271" s="10" t="s">
        <v>743</v>
      </c>
      <c r="C271" s="15" t="s">
        <v>345</v>
      </c>
      <c r="D271" s="15" t="s">
        <v>56</v>
      </c>
    </row>
    <row r="272" spans="2:4" hidden="1" x14ac:dyDescent="0.25">
      <c r="B272" s="10" t="s">
        <v>744</v>
      </c>
      <c r="C272" s="15" t="s">
        <v>346</v>
      </c>
      <c r="D272" s="15" t="s">
        <v>7</v>
      </c>
    </row>
    <row r="273" spans="2:4" hidden="1" x14ac:dyDescent="0.25">
      <c r="B273" s="10" t="s">
        <v>745</v>
      </c>
      <c r="C273" s="15" t="s">
        <v>347</v>
      </c>
      <c r="D273" s="15" t="s">
        <v>45</v>
      </c>
    </row>
    <row r="274" spans="2:4" hidden="1" x14ac:dyDescent="0.25">
      <c r="B274" s="10" t="s">
        <v>746</v>
      </c>
      <c r="C274" s="15" t="s">
        <v>348</v>
      </c>
      <c r="D274" s="15" t="s">
        <v>55</v>
      </c>
    </row>
    <row r="275" spans="2:4" hidden="1" x14ac:dyDescent="0.25">
      <c r="B275" s="10" t="s">
        <v>747</v>
      </c>
      <c r="C275" s="15" t="s">
        <v>349</v>
      </c>
      <c r="D275" s="15" t="s">
        <v>55</v>
      </c>
    </row>
    <row r="276" spans="2:4" hidden="1" x14ac:dyDescent="0.25">
      <c r="B276" s="10" t="s">
        <v>748</v>
      </c>
      <c r="C276" s="15" t="s">
        <v>350</v>
      </c>
      <c r="D276" s="15" t="s">
        <v>55</v>
      </c>
    </row>
    <row r="277" spans="2:4" hidden="1" x14ac:dyDescent="0.25">
      <c r="B277" s="10" t="s">
        <v>749</v>
      </c>
      <c r="C277" s="15" t="s">
        <v>351</v>
      </c>
      <c r="D277" s="15" t="s">
        <v>45</v>
      </c>
    </row>
    <row r="278" spans="2:4" hidden="1" x14ac:dyDescent="0.25">
      <c r="B278" s="10" t="s">
        <v>37</v>
      </c>
      <c r="C278" s="15" t="s">
        <v>352</v>
      </c>
      <c r="D278" s="15" t="s">
        <v>966</v>
      </c>
    </row>
    <row r="279" spans="2:4" hidden="1" x14ac:dyDescent="0.25">
      <c r="B279" s="10" t="s">
        <v>750</v>
      </c>
      <c r="C279" s="15" t="s">
        <v>353</v>
      </c>
      <c r="D279" s="15" t="s">
        <v>45</v>
      </c>
    </row>
    <row r="280" spans="2:4" hidden="1" x14ac:dyDescent="0.25">
      <c r="B280" s="10" t="s">
        <v>751</v>
      </c>
      <c r="C280" s="15" t="s">
        <v>354</v>
      </c>
      <c r="D280" s="15" t="s">
        <v>75</v>
      </c>
    </row>
    <row r="281" spans="2:4" hidden="1" x14ac:dyDescent="0.25">
      <c r="B281" s="10" t="s">
        <v>752</v>
      </c>
      <c r="C281" s="15" t="s">
        <v>355</v>
      </c>
      <c r="D281" s="15" t="s">
        <v>45</v>
      </c>
    </row>
    <row r="282" spans="2:4" hidden="1" x14ac:dyDescent="0.25">
      <c r="B282" s="10" t="s">
        <v>753</v>
      </c>
      <c r="C282" s="15" t="s">
        <v>356</v>
      </c>
      <c r="D282" s="15" t="s">
        <v>47</v>
      </c>
    </row>
    <row r="283" spans="2:4" hidden="1" x14ac:dyDescent="0.25">
      <c r="B283" s="10" t="s">
        <v>754</v>
      </c>
      <c r="C283" s="15" t="s">
        <v>357</v>
      </c>
      <c r="D283" s="15" t="s">
        <v>967</v>
      </c>
    </row>
    <row r="284" spans="2:4" hidden="1" x14ac:dyDescent="0.25">
      <c r="B284" s="10" t="s">
        <v>755</v>
      </c>
      <c r="C284" s="15" t="s">
        <v>358</v>
      </c>
      <c r="D284" s="15" t="s">
        <v>965</v>
      </c>
    </row>
    <row r="285" spans="2:4" hidden="1" x14ac:dyDescent="0.25">
      <c r="B285" s="10" t="s">
        <v>756</v>
      </c>
      <c r="C285" s="15" t="s">
        <v>359</v>
      </c>
      <c r="D285" s="15" t="s">
        <v>46</v>
      </c>
    </row>
    <row r="286" spans="2:4" hidden="1" x14ac:dyDescent="0.25">
      <c r="B286" s="10" t="s">
        <v>44</v>
      </c>
      <c r="C286" s="15" t="s">
        <v>360</v>
      </c>
      <c r="D286" s="15" t="s">
        <v>966</v>
      </c>
    </row>
    <row r="287" spans="2:4" hidden="1" x14ac:dyDescent="0.25">
      <c r="B287" s="10" t="s">
        <v>757</v>
      </c>
      <c r="C287" s="15" t="s">
        <v>361</v>
      </c>
      <c r="D287" s="15" t="s">
        <v>7</v>
      </c>
    </row>
    <row r="288" spans="2:4" hidden="1" x14ac:dyDescent="0.25">
      <c r="B288" s="10" t="s">
        <v>954</v>
      </c>
      <c r="C288" s="15" t="s">
        <v>955</v>
      </c>
      <c r="D288" s="15" t="s">
        <v>55</v>
      </c>
    </row>
    <row r="289" spans="2:4" hidden="1" x14ac:dyDescent="0.25">
      <c r="B289" s="10" t="s">
        <v>758</v>
      </c>
      <c r="C289" s="15" t="s">
        <v>362</v>
      </c>
      <c r="D289" s="15" t="s">
        <v>45</v>
      </c>
    </row>
    <row r="290" spans="2:4" hidden="1" x14ac:dyDescent="0.25">
      <c r="B290" s="10" t="s">
        <v>38</v>
      </c>
      <c r="C290" s="15" t="s">
        <v>363</v>
      </c>
      <c r="D290" s="15" t="s">
        <v>7</v>
      </c>
    </row>
    <row r="291" spans="2:4" hidden="1" x14ac:dyDescent="0.25">
      <c r="B291" s="10" t="s">
        <v>759</v>
      </c>
      <c r="C291" s="15" t="s">
        <v>364</v>
      </c>
      <c r="D291" s="15" t="s">
        <v>7</v>
      </c>
    </row>
    <row r="292" spans="2:4" hidden="1" x14ac:dyDescent="0.25">
      <c r="B292" s="10" t="s">
        <v>18</v>
      </c>
      <c r="C292" s="15" t="s">
        <v>365</v>
      </c>
      <c r="D292" s="15" t="s">
        <v>7</v>
      </c>
    </row>
    <row r="293" spans="2:4" hidden="1" x14ac:dyDescent="0.25">
      <c r="B293" s="10" t="s">
        <v>760</v>
      </c>
      <c r="C293" s="15" t="s">
        <v>366</v>
      </c>
      <c r="D293" s="15" t="s">
        <v>966</v>
      </c>
    </row>
    <row r="294" spans="2:4" hidden="1" x14ac:dyDescent="0.25">
      <c r="B294" s="10" t="s">
        <v>761</v>
      </c>
      <c r="C294" s="15" t="s">
        <v>367</v>
      </c>
      <c r="D294" s="15" t="s">
        <v>86</v>
      </c>
    </row>
    <row r="295" spans="2:4" hidden="1" x14ac:dyDescent="0.25">
      <c r="B295" s="10" t="s">
        <v>762</v>
      </c>
      <c r="C295" s="15" t="s">
        <v>368</v>
      </c>
      <c r="D295" s="15" t="s">
        <v>977</v>
      </c>
    </row>
    <row r="296" spans="2:4" hidden="1" x14ac:dyDescent="0.25">
      <c r="B296" s="10" t="s">
        <v>16</v>
      </c>
      <c r="C296" s="15" t="s">
        <v>369</v>
      </c>
      <c r="D296" s="15" t="s">
        <v>45</v>
      </c>
    </row>
    <row r="297" spans="2:4" hidden="1" x14ac:dyDescent="0.25">
      <c r="B297" s="10" t="s">
        <v>763</v>
      </c>
      <c r="C297" s="15" t="s">
        <v>370</v>
      </c>
      <c r="D297" s="15" t="s">
        <v>7</v>
      </c>
    </row>
    <row r="298" spans="2:4" hidden="1" x14ac:dyDescent="0.25">
      <c r="B298" s="10" t="s">
        <v>764</v>
      </c>
      <c r="C298" s="15" t="s">
        <v>371</v>
      </c>
      <c r="D298" s="15" t="s">
        <v>45</v>
      </c>
    </row>
    <row r="299" spans="2:4" hidden="1" x14ac:dyDescent="0.25">
      <c r="B299" s="10" t="s">
        <v>765</v>
      </c>
      <c r="C299" s="15" t="s">
        <v>372</v>
      </c>
      <c r="D299" s="15" t="s">
        <v>55</v>
      </c>
    </row>
    <row r="300" spans="2:4" hidden="1" x14ac:dyDescent="0.25">
      <c r="B300" s="10" t="s">
        <v>766</v>
      </c>
      <c r="C300" s="15" t="s">
        <v>373</v>
      </c>
      <c r="D300" s="15" t="s">
        <v>7</v>
      </c>
    </row>
    <row r="301" spans="2:4" hidden="1" x14ac:dyDescent="0.25">
      <c r="B301" s="10" t="s">
        <v>956</v>
      </c>
      <c r="C301" s="15" t="s">
        <v>957</v>
      </c>
      <c r="D301" s="15" t="s">
        <v>55</v>
      </c>
    </row>
    <row r="302" spans="2:4" hidden="1" x14ac:dyDescent="0.25">
      <c r="B302" s="10" t="s">
        <v>767</v>
      </c>
      <c r="C302" s="15" t="s">
        <v>374</v>
      </c>
      <c r="D302" s="15" t="s">
        <v>7</v>
      </c>
    </row>
    <row r="303" spans="2:4" hidden="1" x14ac:dyDescent="0.25">
      <c r="B303" s="10" t="s">
        <v>768</v>
      </c>
      <c r="C303" s="15" t="s">
        <v>375</v>
      </c>
      <c r="D303" s="15" t="s">
        <v>7</v>
      </c>
    </row>
    <row r="304" spans="2:4" hidden="1" x14ac:dyDescent="0.25">
      <c r="B304" s="10" t="s">
        <v>769</v>
      </c>
      <c r="C304" s="15" t="s">
        <v>376</v>
      </c>
      <c r="D304" s="15" t="s">
        <v>46</v>
      </c>
    </row>
    <row r="305" spans="2:4" hidden="1" x14ac:dyDescent="0.25">
      <c r="B305" s="10" t="s">
        <v>958</v>
      </c>
      <c r="C305" s="15" t="s">
        <v>959</v>
      </c>
      <c r="D305" s="15" t="s">
        <v>45</v>
      </c>
    </row>
    <row r="306" spans="2:4" hidden="1" x14ac:dyDescent="0.25">
      <c r="B306" s="10" t="s">
        <v>770</v>
      </c>
      <c r="C306" s="15" t="s">
        <v>377</v>
      </c>
      <c r="D306" s="15" t="s">
        <v>7</v>
      </c>
    </row>
    <row r="307" spans="2:4" hidden="1" x14ac:dyDescent="0.25">
      <c r="B307" s="10" t="s">
        <v>771</v>
      </c>
      <c r="C307" s="15" t="s">
        <v>378</v>
      </c>
      <c r="D307" s="15" t="s">
        <v>59</v>
      </c>
    </row>
    <row r="308" spans="2:4" hidden="1" x14ac:dyDescent="0.25">
      <c r="B308" s="10" t="s">
        <v>772</v>
      </c>
      <c r="C308" s="15" t="s">
        <v>379</v>
      </c>
      <c r="D308" s="15" t="s">
        <v>7</v>
      </c>
    </row>
    <row r="309" spans="2:4" hidden="1" x14ac:dyDescent="0.25">
      <c r="B309" s="10" t="s">
        <v>773</v>
      </c>
      <c r="C309" s="15" t="s">
        <v>380</v>
      </c>
      <c r="D309" s="15" t="s">
        <v>55</v>
      </c>
    </row>
    <row r="310" spans="2:4" hidden="1" x14ac:dyDescent="0.25">
      <c r="B310" s="10" t="s">
        <v>774</v>
      </c>
      <c r="C310" s="15" t="s">
        <v>381</v>
      </c>
      <c r="D310" s="15" t="s">
        <v>965</v>
      </c>
    </row>
    <row r="311" spans="2:4" hidden="1" x14ac:dyDescent="0.25">
      <c r="B311" s="10" t="s">
        <v>775</v>
      </c>
      <c r="C311" s="15" t="s">
        <v>382</v>
      </c>
      <c r="D311" s="15" t="s">
        <v>45</v>
      </c>
    </row>
    <row r="312" spans="2:4" hidden="1" x14ac:dyDescent="0.25">
      <c r="B312" s="10" t="s">
        <v>776</v>
      </c>
      <c r="C312" s="15" t="s">
        <v>383</v>
      </c>
      <c r="D312" s="15" t="s">
        <v>970</v>
      </c>
    </row>
    <row r="313" spans="2:4" hidden="1" x14ac:dyDescent="0.25">
      <c r="B313" s="10" t="s">
        <v>777</v>
      </c>
      <c r="C313" s="15" t="s">
        <v>384</v>
      </c>
      <c r="D313" s="15" t="s">
        <v>45</v>
      </c>
    </row>
    <row r="314" spans="2:4" hidden="1" x14ac:dyDescent="0.25">
      <c r="B314" s="10" t="s">
        <v>960</v>
      </c>
      <c r="C314" s="15" t="s">
        <v>961</v>
      </c>
      <c r="D314" s="15" t="s">
        <v>45</v>
      </c>
    </row>
    <row r="315" spans="2:4" hidden="1" x14ac:dyDescent="0.25">
      <c r="B315" s="10" t="s">
        <v>778</v>
      </c>
      <c r="C315" s="15" t="s">
        <v>385</v>
      </c>
      <c r="D315" s="15" t="s">
        <v>7</v>
      </c>
    </row>
    <row r="316" spans="2:4" hidden="1" x14ac:dyDescent="0.25">
      <c r="B316" s="10" t="s">
        <v>779</v>
      </c>
      <c r="C316" s="15" t="s">
        <v>386</v>
      </c>
      <c r="D316" s="15" t="s">
        <v>45</v>
      </c>
    </row>
    <row r="317" spans="2:4" hidden="1" x14ac:dyDescent="0.25">
      <c r="B317" s="10" t="s">
        <v>780</v>
      </c>
      <c r="C317" s="15" t="s">
        <v>387</v>
      </c>
      <c r="D317" s="15" t="s">
        <v>966</v>
      </c>
    </row>
    <row r="318" spans="2:4" hidden="1" x14ac:dyDescent="0.25">
      <c r="B318" s="10" t="s">
        <v>781</v>
      </c>
      <c r="C318" s="15" t="s">
        <v>388</v>
      </c>
      <c r="D318" s="15" t="s">
        <v>12</v>
      </c>
    </row>
    <row r="319" spans="2:4" hidden="1" x14ac:dyDescent="0.25">
      <c r="B319" s="10" t="s">
        <v>782</v>
      </c>
      <c r="C319" s="15" t="s">
        <v>389</v>
      </c>
      <c r="D319" s="15" t="s">
        <v>965</v>
      </c>
    </row>
    <row r="320" spans="2:4" hidden="1" x14ac:dyDescent="0.25">
      <c r="B320" s="10" t="s">
        <v>783</v>
      </c>
      <c r="C320" s="15" t="s">
        <v>390</v>
      </c>
      <c r="D320" s="15" t="s">
        <v>59</v>
      </c>
    </row>
    <row r="321" spans="2:4" hidden="1" x14ac:dyDescent="0.25">
      <c r="B321" s="10" t="s">
        <v>784</v>
      </c>
      <c r="C321" s="15" t="s">
        <v>391</v>
      </c>
      <c r="D321" s="15" t="s">
        <v>45</v>
      </c>
    </row>
    <row r="322" spans="2:4" hidden="1" x14ac:dyDescent="0.25">
      <c r="B322" s="10" t="s">
        <v>785</v>
      </c>
      <c r="C322" s="15" t="s">
        <v>392</v>
      </c>
      <c r="D322" s="15" t="s">
        <v>7</v>
      </c>
    </row>
    <row r="323" spans="2:4" hidden="1" x14ac:dyDescent="0.25">
      <c r="B323" s="10" t="s">
        <v>786</v>
      </c>
      <c r="C323" s="15" t="s">
        <v>393</v>
      </c>
      <c r="D323" s="15" t="s">
        <v>55</v>
      </c>
    </row>
    <row r="324" spans="2:4" hidden="1" x14ac:dyDescent="0.25">
      <c r="B324" s="10" t="s">
        <v>787</v>
      </c>
      <c r="C324" s="15" t="s">
        <v>394</v>
      </c>
      <c r="D324" s="15" t="s">
        <v>55</v>
      </c>
    </row>
    <row r="325" spans="2:4" hidden="1" x14ac:dyDescent="0.25">
      <c r="B325" s="10" t="s">
        <v>788</v>
      </c>
      <c r="C325" s="15" t="s">
        <v>395</v>
      </c>
      <c r="D325" s="15" t="s">
        <v>45</v>
      </c>
    </row>
    <row r="326" spans="2:4" hidden="1" x14ac:dyDescent="0.25">
      <c r="B326" s="10" t="s">
        <v>42</v>
      </c>
      <c r="C326" s="15" t="s">
        <v>396</v>
      </c>
      <c r="D326" s="15" t="s">
        <v>45</v>
      </c>
    </row>
    <row r="327" spans="2:4" hidden="1" x14ac:dyDescent="0.25">
      <c r="B327" s="10" t="s">
        <v>789</v>
      </c>
      <c r="C327" s="15" t="s">
        <v>397</v>
      </c>
      <c r="D327" s="15" t="s">
        <v>7</v>
      </c>
    </row>
    <row r="328" spans="2:4" hidden="1" x14ac:dyDescent="0.25">
      <c r="B328" s="10" t="s">
        <v>13</v>
      </c>
      <c r="C328" s="15" t="s">
        <v>398</v>
      </c>
      <c r="D328" s="15" t="s">
        <v>59</v>
      </c>
    </row>
    <row r="329" spans="2:4" hidden="1" x14ac:dyDescent="0.25">
      <c r="B329" s="10" t="s">
        <v>790</v>
      </c>
      <c r="C329" s="15" t="s">
        <v>399</v>
      </c>
      <c r="D329" s="15" t="s">
        <v>55</v>
      </c>
    </row>
    <row r="330" spans="2:4" hidden="1" x14ac:dyDescent="0.25">
      <c r="B330" s="10" t="s">
        <v>791</v>
      </c>
      <c r="C330" s="15" t="s">
        <v>400</v>
      </c>
      <c r="D330" s="15" t="s">
        <v>55</v>
      </c>
    </row>
    <row r="331" spans="2:4" x14ac:dyDescent="0.25">
      <c r="B331" s="10" t="s">
        <v>792</v>
      </c>
      <c r="C331" s="15" t="s">
        <v>401</v>
      </c>
      <c r="D331" s="15" t="s">
        <v>47</v>
      </c>
    </row>
    <row r="332" spans="2:4" hidden="1" x14ac:dyDescent="0.25">
      <c r="B332" s="10" t="s">
        <v>793</v>
      </c>
      <c r="C332" s="15" t="s">
        <v>402</v>
      </c>
      <c r="D332" s="15" t="s">
        <v>978</v>
      </c>
    </row>
    <row r="333" spans="2:4" hidden="1" x14ac:dyDescent="0.25">
      <c r="B333" s="10" t="s">
        <v>794</v>
      </c>
      <c r="C333" s="15" t="s">
        <v>403</v>
      </c>
      <c r="D333" s="15" t="s">
        <v>7</v>
      </c>
    </row>
    <row r="334" spans="2:4" hidden="1" x14ac:dyDescent="0.25">
      <c r="B334" s="10" t="s">
        <v>795</v>
      </c>
      <c r="C334" s="15" t="s">
        <v>404</v>
      </c>
      <c r="D334" s="15" t="s">
        <v>45</v>
      </c>
    </row>
    <row r="335" spans="2:4" hidden="1" x14ac:dyDescent="0.25">
      <c r="B335" s="10" t="s">
        <v>796</v>
      </c>
      <c r="C335" s="15" t="s">
        <v>405</v>
      </c>
      <c r="D335" s="15" t="s">
        <v>55</v>
      </c>
    </row>
    <row r="336" spans="2:4" hidden="1" x14ac:dyDescent="0.25">
      <c r="B336" s="10" t="s">
        <v>797</v>
      </c>
      <c r="C336" s="15" t="s">
        <v>406</v>
      </c>
      <c r="D336" s="15" t="s">
        <v>87</v>
      </c>
    </row>
    <row r="337" spans="2:4" hidden="1" x14ac:dyDescent="0.25">
      <c r="B337" s="10" t="s">
        <v>798</v>
      </c>
      <c r="C337" s="15" t="s">
        <v>407</v>
      </c>
      <c r="D337" s="15" t="s">
        <v>45</v>
      </c>
    </row>
    <row r="338" spans="2:4" hidden="1" x14ac:dyDescent="0.25">
      <c r="B338" s="10" t="s">
        <v>799</v>
      </c>
      <c r="C338" s="15" t="s">
        <v>408</v>
      </c>
      <c r="D338" s="15" t="s">
        <v>59</v>
      </c>
    </row>
    <row r="339" spans="2:4" hidden="1" x14ac:dyDescent="0.25">
      <c r="B339" s="10" t="s">
        <v>800</v>
      </c>
      <c r="C339" s="15" t="s">
        <v>409</v>
      </c>
      <c r="D339" s="15" t="s">
        <v>45</v>
      </c>
    </row>
    <row r="340" spans="2:4" hidden="1" x14ac:dyDescent="0.25">
      <c r="B340" s="10" t="s">
        <v>801</v>
      </c>
      <c r="C340" s="15" t="s">
        <v>410</v>
      </c>
      <c r="D340" s="15" t="s">
        <v>7</v>
      </c>
    </row>
    <row r="341" spans="2:4" hidden="1" x14ac:dyDescent="0.25">
      <c r="B341" s="10" t="s">
        <v>802</v>
      </c>
      <c r="C341" s="15" t="s">
        <v>411</v>
      </c>
      <c r="D341" s="15" t="s">
        <v>45</v>
      </c>
    </row>
    <row r="342" spans="2:4" hidden="1" x14ac:dyDescent="0.25">
      <c r="B342" s="10" t="s">
        <v>31</v>
      </c>
      <c r="C342" s="15" t="s">
        <v>412</v>
      </c>
      <c r="D342" s="15" t="s">
        <v>966</v>
      </c>
    </row>
    <row r="343" spans="2:4" hidden="1" x14ac:dyDescent="0.25">
      <c r="B343" s="10" t="s">
        <v>40</v>
      </c>
      <c r="C343" s="15" t="s">
        <v>413</v>
      </c>
      <c r="D343" s="15" t="s">
        <v>45</v>
      </c>
    </row>
    <row r="344" spans="2:4" hidden="1" x14ac:dyDescent="0.25">
      <c r="B344" s="10" t="s">
        <v>803</v>
      </c>
      <c r="C344" s="15" t="s">
        <v>414</v>
      </c>
      <c r="D344" s="15" t="s">
        <v>966</v>
      </c>
    </row>
    <row r="345" spans="2:4" hidden="1" x14ac:dyDescent="0.25">
      <c r="B345" s="10" t="s">
        <v>804</v>
      </c>
      <c r="C345" s="15" t="s">
        <v>415</v>
      </c>
      <c r="D345" s="15" t="s">
        <v>7</v>
      </c>
    </row>
    <row r="346" spans="2:4" hidden="1" x14ac:dyDescent="0.25">
      <c r="B346" s="10" t="s">
        <v>805</v>
      </c>
      <c r="C346" s="15" t="s">
        <v>416</v>
      </c>
      <c r="D346" s="15" t="s">
        <v>45</v>
      </c>
    </row>
    <row r="347" spans="2:4" hidden="1" x14ac:dyDescent="0.25">
      <c r="B347" s="10" t="s">
        <v>28</v>
      </c>
      <c r="C347" s="15" t="s">
        <v>417</v>
      </c>
      <c r="D347" s="15" t="s">
        <v>12</v>
      </c>
    </row>
    <row r="348" spans="2:4" hidden="1" x14ac:dyDescent="0.25">
      <c r="B348" s="10" t="s">
        <v>806</v>
      </c>
      <c r="C348" s="15" t="s">
        <v>418</v>
      </c>
      <c r="D348" s="15" t="s">
        <v>59</v>
      </c>
    </row>
    <row r="349" spans="2:4" hidden="1" x14ac:dyDescent="0.25">
      <c r="B349" s="10" t="s">
        <v>34</v>
      </c>
      <c r="C349" s="15" t="s">
        <v>419</v>
      </c>
      <c r="D349" s="15" t="s">
        <v>56</v>
      </c>
    </row>
    <row r="350" spans="2:4" hidden="1" x14ac:dyDescent="0.25">
      <c r="B350" s="10" t="s">
        <v>807</v>
      </c>
      <c r="C350" s="15" t="s">
        <v>420</v>
      </c>
      <c r="D350" s="15" t="s">
        <v>979</v>
      </c>
    </row>
    <row r="351" spans="2:4" hidden="1" x14ac:dyDescent="0.25">
      <c r="B351" s="10" t="s">
        <v>808</v>
      </c>
      <c r="C351" s="15" t="s">
        <v>421</v>
      </c>
      <c r="D351" s="15" t="s">
        <v>45</v>
      </c>
    </row>
    <row r="352" spans="2:4" hidden="1" x14ac:dyDescent="0.25">
      <c r="B352" s="10" t="s">
        <v>809</v>
      </c>
      <c r="C352" s="15" t="s">
        <v>422</v>
      </c>
      <c r="D352" s="15" t="s">
        <v>966</v>
      </c>
    </row>
    <row r="353" spans="2:4" hidden="1" x14ac:dyDescent="0.25">
      <c r="B353" s="10" t="s">
        <v>810</v>
      </c>
      <c r="C353" s="15" t="s">
        <v>423</v>
      </c>
      <c r="D353" s="15" t="s">
        <v>46</v>
      </c>
    </row>
    <row r="354" spans="2:4" hidden="1" x14ac:dyDescent="0.25">
      <c r="B354" s="10" t="s">
        <v>811</v>
      </c>
      <c r="C354" s="15" t="s">
        <v>424</v>
      </c>
      <c r="D354" s="15" t="s">
        <v>980</v>
      </c>
    </row>
    <row r="355" spans="2:4" hidden="1" x14ac:dyDescent="0.25">
      <c r="B355" s="10" t="s">
        <v>43</v>
      </c>
      <c r="C355" s="15" t="s">
        <v>425</v>
      </c>
      <c r="D355" s="15" t="s">
        <v>45</v>
      </c>
    </row>
    <row r="356" spans="2:4" hidden="1" x14ac:dyDescent="0.25">
      <c r="B356" s="10" t="s">
        <v>812</v>
      </c>
      <c r="C356" s="15" t="s">
        <v>426</v>
      </c>
      <c r="D356" s="15" t="s">
        <v>55</v>
      </c>
    </row>
    <row r="357" spans="2:4" hidden="1" x14ac:dyDescent="0.25">
      <c r="B357" s="10" t="s">
        <v>813</v>
      </c>
      <c r="C357" s="15" t="s">
        <v>427</v>
      </c>
      <c r="D357" s="15" t="s">
        <v>45</v>
      </c>
    </row>
    <row r="358" spans="2:4" hidden="1" x14ac:dyDescent="0.25">
      <c r="B358" s="10" t="s">
        <v>814</v>
      </c>
      <c r="C358" s="15" t="s">
        <v>428</v>
      </c>
      <c r="D358" s="15" t="s">
        <v>966</v>
      </c>
    </row>
    <row r="359" spans="2:4" hidden="1" x14ac:dyDescent="0.25">
      <c r="B359" s="10" t="s">
        <v>815</v>
      </c>
      <c r="C359" s="15" t="s">
        <v>429</v>
      </c>
      <c r="D359" s="15" t="s">
        <v>45</v>
      </c>
    </row>
    <row r="360" spans="2:4" hidden="1" x14ac:dyDescent="0.25">
      <c r="B360" s="10" t="s">
        <v>816</v>
      </c>
      <c r="C360" s="15" t="s">
        <v>430</v>
      </c>
      <c r="D360" s="15" t="s">
        <v>45</v>
      </c>
    </row>
    <row r="361" spans="2:4" hidden="1" x14ac:dyDescent="0.25">
      <c r="B361" s="10" t="s">
        <v>817</v>
      </c>
      <c r="C361" s="15" t="s">
        <v>431</v>
      </c>
      <c r="D361" s="15" t="s">
        <v>45</v>
      </c>
    </row>
    <row r="362" spans="2:4" hidden="1" x14ac:dyDescent="0.25">
      <c r="B362" s="10" t="s">
        <v>818</v>
      </c>
      <c r="C362" s="15" t="s">
        <v>432</v>
      </c>
      <c r="D362" s="15" t="s">
        <v>966</v>
      </c>
    </row>
    <row r="363" spans="2:4" hidden="1" x14ac:dyDescent="0.25">
      <c r="B363" s="10" t="s">
        <v>819</v>
      </c>
      <c r="C363" s="15" t="s">
        <v>433</v>
      </c>
      <c r="D363" s="15" t="s">
        <v>45</v>
      </c>
    </row>
    <row r="364" spans="2:4" hidden="1" x14ac:dyDescent="0.25">
      <c r="B364" s="10" t="s">
        <v>820</v>
      </c>
      <c r="C364" s="15" t="s">
        <v>434</v>
      </c>
      <c r="D364" s="15" t="s">
        <v>59</v>
      </c>
    </row>
    <row r="365" spans="2:4" hidden="1" x14ac:dyDescent="0.25">
      <c r="B365" s="10" t="s">
        <v>821</v>
      </c>
      <c r="C365" s="15" t="s">
        <v>435</v>
      </c>
      <c r="D365" s="15" t="s">
        <v>7</v>
      </c>
    </row>
    <row r="366" spans="2:4" hidden="1" x14ac:dyDescent="0.25">
      <c r="B366" s="10" t="s">
        <v>822</v>
      </c>
      <c r="C366" s="15" t="s">
        <v>436</v>
      </c>
      <c r="D366" s="15" t="s">
        <v>76</v>
      </c>
    </row>
    <row r="367" spans="2:4" hidden="1" x14ac:dyDescent="0.25">
      <c r="B367" s="10" t="s">
        <v>824</v>
      </c>
      <c r="C367" s="15" t="s">
        <v>438</v>
      </c>
      <c r="D367" s="15" t="s">
        <v>77</v>
      </c>
    </row>
    <row r="368" spans="2:4" hidden="1" x14ac:dyDescent="0.25">
      <c r="B368" s="10" t="s">
        <v>823</v>
      </c>
      <c r="C368" s="15" t="s">
        <v>437</v>
      </c>
      <c r="D368" s="15" t="s">
        <v>55</v>
      </c>
    </row>
    <row r="369" spans="2:4" hidden="1" x14ac:dyDescent="0.25">
      <c r="B369" s="10" t="s">
        <v>825</v>
      </c>
      <c r="C369" s="15" t="s">
        <v>439</v>
      </c>
      <c r="D369" s="15" t="s">
        <v>78</v>
      </c>
    </row>
    <row r="370" spans="2:4" hidden="1" x14ac:dyDescent="0.25">
      <c r="B370" s="10" t="s">
        <v>826</v>
      </c>
      <c r="C370" s="15" t="s">
        <v>440</v>
      </c>
      <c r="D370" s="15" t="s">
        <v>966</v>
      </c>
    </row>
    <row r="371" spans="2:4" hidden="1" x14ac:dyDescent="0.25">
      <c r="B371" s="10" t="s">
        <v>33</v>
      </c>
      <c r="C371" s="15" t="s">
        <v>441</v>
      </c>
      <c r="D371" s="15" t="s">
        <v>79</v>
      </c>
    </row>
    <row r="372" spans="2:4" hidden="1" x14ac:dyDescent="0.25">
      <c r="B372" s="10" t="s">
        <v>827</v>
      </c>
      <c r="C372" s="15" t="s">
        <v>442</v>
      </c>
      <c r="D372" s="15" t="s">
        <v>981</v>
      </c>
    </row>
    <row r="373" spans="2:4" hidden="1" x14ac:dyDescent="0.25">
      <c r="B373" s="10" t="s">
        <v>830</v>
      </c>
      <c r="C373" s="15" t="s">
        <v>445</v>
      </c>
      <c r="D373" s="15" t="s">
        <v>7</v>
      </c>
    </row>
    <row r="374" spans="2:4" hidden="1" x14ac:dyDescent="0.25">
      <c r="B374" s="10" t="s">
        <v>829</v>
      </c>
      <c r="C374" s="15" t="s">
        <v>444</v>
      </c>
      <c r="D374" s="15" t="s">
        <v>45</v>
      </c>
    </row>
    <row r="375" spans="2:4" hidden="1" x14ac:dyDescent="0.25">
      <c r="B375" s="10" t="s">
        <v>828</v>
      </c>
      <c r="C375" s="15" t="s">
        <v>443</v>
      </c>
      <c r="D375" s="15" t="s">
        <v>45</v>
      </c>
    </row>
    <row r="376" spans="2:4" hidden="1" x14ac:dyDescent="0.25">
      <c r="B376" s="10" t="s">
        <v>831</v>
      </c>
      <c r="C376" s="15" t="s">
        <v>446</v>
      </c>
      <c r="D376" s="15" t="s">
        <v>7</v>
      </c>
    </row>
    <row r="377" spans="2:4" hidden="1" x14ac:dyDescent="0.25">
      <c r="B377" s="10" t="s">
        <v>832</v>
      </c>
      <c r="C377" s="15" t="s">
        <v>447</v>
      </c>
      <c r="D377" s="15" t="s">
        <v>47</v>
      </c>
    </row>
    <row r="378" spans="2:4" hidden="1" x14ac:dyDescent="0.25">
      <c r="B378" s="10" t="s">
        <v>833</v>
      </c>
      <c r="C378" s="15" t="s">
        <v>448</v>
      </c>
      <c r="D378" s="15" t="s">
        <v>12</v>
      </c>
    </row>
    <row r="379" spans="2:4" hidden="1" x14ac:dyDescent="0.25">
      <c r="B379" s="10" t="s">
        <v>834</v>
      </c>
      <c r="C379" s="15" t="s">
        <v>449</v>
      </c>
      <c r="D379" s="15" t="s">
        <v>47</v>
      </c>
    </row>
    <row r="380" spans="2:4" hidden="1" x14ac:dyDescent="0.25">
      <c r="B380" s="10" t="s">
        <v>835</v>
      </c>
      <c r="C380" s="15" t="s">
        <v>450</v>
      </c>
      <c r="D380" s="15" t="s">
        <v>45</v>
      </c>
    </row>
    <row r="381" spans="2:4" hidden="1" x14ac:dyDescent="0.25">
      <c r="B381" s="10" t="s">
        <v>836</v>
      </c>
      <c r="C381" s="15" t="s">
        <v>451</v>
      </c>
      <c r="D381" s="15" t="s">
        <v>969</v>
      </c>
    </row>
    <row r="382" spans="2:4" hidden="1" x14ac:dyDescent="0.25">
      <c r="B382" s="10" t="s">
        <v>837</v>
      </c>
      <c r="C382" s="15" t="s">
        <v>452</v>
      </c>
      <c r="D382" s="15" t="s">
        <v>45</v>
      </c>
    </row>
    <row r="383" spans="2:4" hidden="1" x14ac:dyDescent="0.25">
      <c r="B383" s="10" t="s">
        <v>838</v>
      </c>
      <c r="C383" s="15" t="s">
        <v>453</v>
      </c>
      <c r="D383" s="15" t="s">
        <v>45</v>
      </c>
    </row>
    <row r="384" spans="2:4" hidden="1" x14ac:dyDescent="0.25">
      <c r="B384" s="10" t="s">
        <v>839</v>
      </c>
      <c r="C384" s="15" t="s">
        <v>454</v>
      </c>
      <c r="D384" s="15" t="s">
        <v>89</v>
      </c>
    </row>
    <row r="385" spans="2:4" hidden="1" x14ac:dyDescent="0.25">
      <c r="B385" s="10" t="s">
        <v>840</v>
      </c>
      <c r="C385" s="15" t="s">
        <v>455</v>
      </c>
      <c r="D385" s="15" t="s">
        <v>55</v>
      </c>
    </row>
    <row r="386" spans="2:4" hidden="1" x14ac:dyDescent="0.25">
      <c r="B386" s="10" t="s">
        <v>841</v>
      </c>
      <c r="C386" s="15" t="s">
        <v>456</v>
      </c>
      <c r="D386" s="15" t="s">
        <v>7</v>
      </c>
    </row>
    <row r="387" spans="2:4" hidden="1" x14ac:dyDescent="0.25">
      <c r="B387" s="10" t="s">
        <v>842</v>
      </c>
      <c r="C387" s="15" t="s">
        <v>457</v>
      </c>
      <c r="D387" s="15" t="s">
        <v>45</v>
      </c>
    </row>
    <row r="388" spans="2:4" hidden="1" x14ac:dyDescent="0.25">
      <c r="B388" s="10" t="s">
        <v>843</v>
      </c>
      <c r="C388" s="15" t="s">
        <v>458</v>
      </c>
      <c r="D388" s="15" t="s">
        <v>59</v>
      </c>
    </row>
    <row r="389" spans="2:4" hidden="1" x14ac:dyDescent="0.25">
      <c r="B389" s="10" t="s">
        <v>844</v>
      </c>
      <c r="C389" s="15" t="s">
        <v>459</v>
      </c>
      <c r="D389" s="15" t="s">
        <v>966</v>
      </c>
    </row>
    <row r="390" spans="2:4" hidden="1" x14ac:dyDescent="0.25">
      <c r="B390" s="10" t="s">
        <v>845</v>
      </c>
      <c r="C390" s="15" t="s">
        <v>49</v>
      </c>
      <c r="D390" s="15" t="s">
        <v>45</v>
      </c>
    </row>
    <row r="391" spans="2:4" hidden="1" x14ac:dyDescent="0.25">
      <c r="B391" s="10" t="s">
        <v>846</v>
      </c>
      <c r="C391" s="15" t="s">
        <v>460</v>
      </c>
      <c r="D391" s="15" t="s">
        <v>45</v>
      </c>
    </row>
    <row r="392" spans="2:4" hidden="1" x14ac:dyDescent="0.25">
      <c r="B392" s="10" t="s">
        <v>847</v>
      </c>
      <c r="C392" s="15" t="s">
        <v>461</v>
      </c>
      <c r="D392" s="15" t="s">
        <v>45</v>
      </c>
    </row>
    <row r="393" spans="2:4" hidden="1" x14ac:dyDescent="0.25">
      <c r="B393" s="10" t="s">
        <v>17</v>
      </c>
      <c r="C393" s="15" t="s">
        <v>462</v>
      </c>
      <c r="D393" s="15" t="s">
        <v>45</v>
      </c>
    </row>
    <row r="394" spans="2:4" hidden="1" x14ac:dyDescent="0.25">
      <c r="B394" s="10" t="s">
        <v>848</v>
      </c>
      <c r="C394" s="15" t="s">
        <v>463</v>
      </c>
      <c r="D394" s="15" t="s">
        <v>45</v>
      </c>
    </row>
    <row r="395" spans="2:4" hidden="1" x14ac:dyDescent="0.25">
      <c r="B395" s="10" t="s">
        <v>849</v>
      </c>
      <c r="C395" s="15" t="s">
        <v>464</v>
      </c>
      <c r="D395" s="15" t="s">
        <v>46</v>
      </c>
    </row>
    <row r="396" spans="2:4" hidden="1" x14ac:dyDescent="0.25">
      <c r="B396" s="10" t="s">
        <v>962</v>
      </c>
      <c r="C396" s="15" t="s">
        <v>963</v>
      </c>
      <c r="D396" s="15" t="s">
        <v>7</v>
      </c>
    </row>
    <row r="397" spans="2:4" hidden="1" x14ac:dyDescent="0.25">
      <c r="B397" s="10" t="s">
        <v>850</v>
      </c>
      <c r="C397" s="15" t="s">
        <v>465</v>
      </c>
      <c r="D397" s="15" t="s">
        <v>966</v>
      </c>
    </row>
    <row r="398" spans="2:4" hidden="1" x14ac:dyDescent="0.25">
      <c r="B398" s="10" t="s">
        <v>851</v>
      </c>
      <c r="C398" s="15" t="s">
        <v>466</v>
      </c>
      <c r="D398" s="15" t="s">
        <v>966</v>
      </c>
    </row>
    <row r="399" spans="2:4" hidden="1" x14ac:dyDescent="0.25">
      <c r="B399" s="10" t="s">
        <v>852</v>
      </c>
      <c r="C399" s="15" t="s">
        <v>467</v>
      </c>
      <c r="D399" s="15" t="s">
        <v>45</v>
      </c>
    </row>
    <row r="400" spans="2:4" hidden="1" x14ac:dyDescent="0.25">
      <c r="B400" s="10" t="s">
        <v>853</v>
      </c>
      <c r="C400" s="15" t="s">
        <v>468</v>
      </c>
      <c r="D400" s="15" t="s">
        <v>45</v>
      </c>
    </row>
    <row r="401" spans="2:4" hidden="1" x14ac:dyDescent="0.25">
      <c r="B401" s="10" t="s">
        <v>854</v>
      </c>
      <c r="C401" s="15" t="s">
        <v>469</v>
      </c>
      <c r="D401" s="15" t="s">
        <v>45</v>
      </c>
    </row>
    <row r="402" spans="2:4" hidden="1" x14ac:dyDescent="0.25">
      <c r="B402" s="10" t="s">
        <v>855</v>
      </c>
      <c r="C402" s="15" t="s">
        <v>470</v>
      </c>
      <c r="D402" s="15" t="s">
        <v>80</v>
      </c>
    </row>
    <row r="403" spans="2:4" hidden="1" x14ac:dyDescent="0.25">
      <c r="B403" s="10" t="s">
        <v>856</v>
      </c>
      <c r="C403" s="15" t="s">
        <v>471</v>
      </c>
      <c r="D403" s="15" t="s">
        <v>46</v>
      </c>
    </row>
    <row r="404" spans="2:4" hidden="1" x14ac:dyDescent="0.25">
      <c r="B404" s="10" t="s">
        <v>857</v>
      </c>
      <c r="C404" s="15" t="s">
        <v>472</v>
      </c>
      <c r="D404" s="15" t="s">
        <v>7</v>
      </c>
    </row>
    <row r="405" spans="2:4" hidden="1" x14ac:dyDescent="0.25">
      <c r="B405" s="10" t="s">
        <v>858</v>
      </c>
      <c r="C405" s="15" t="s">
        <v>473</v>
      </c>
      <c r="D405" s="15" t="s">
        <v>69</v>
      </c>
    </row>
    <row r="406" spans="2:4" hidden="1" x14ac:dyDescent="0.25">
      <c r="B406" s="10" t="s">
        <v>859</v>
      </c>
      <c r="C406" s="15" t="s">
        <v>474</v>
      </c>
      <c r="D406" s="15" t="s">
        <v>46</v>
      </c>
    </row>
    <row r="407" spans="2:4" hidden="1" x14ac:dyDescent="0.25">
      <c r="B407" s="10" t="s">
        <v>860</v>
      </c>
      <c r="C407" s="15" t="s">
        <v>475</v>
      </c>
      <c r="D407" s="15" t="s">
        <v>967</v>
      </c>
    </row>
    <row r="408" spans="2:4" hidden="1" x14ac:dyDescent="0.25">
      <c r="B408" s="10" t="s">
        <v>861</v>
      </c>
      <c r="C408" s="15" t="s">
        <v>476</v>
      </c>
      <c r="D408" s="15" t="s">
        <v>55</v>
      </c>
    </row>
    <row r="409" spans="2:4" hidden="1" x14ac:dyDescent="0.25">
      <c r="B409" s="10" t="s">
        <v>862</v>
      </c>
      <c r="C409" s="15" t="s">
        <v>477</v>
      </c>
      <c r="D409" s="15" t="s">
        <v>81</v>
      </c>
    </row>
    <row r="410" spans="2:4" hidden="1" x14ac:dyDescent="0.25">
      <c r="B410" s="10" t="s">
        <v>863</v>
      </c>
      <c r="C410" s="15" t="s">
        <v>478</v>
      </c>
      <c r="D410" s="15" t="s">
        <v>7</v>
      </c>
    </row>
    <row r="411" spans="2:4" hidden="1" x14ac:dyDescent="0.25">
      <c r="B411" s="10" t="s">
        <v>864</v>
      </c>
      <c r="C411" s="15" t="s">
        <v>479</v>
      </c>
      <c r="D411" s="15" t="s">
        <v>7</v>
      </c>
    </row>
    <row r="412" spans="2:4" hidden="1" x14ac:dyDescent="0.25">
      <c r="B412" s="10" t="s">
        <v>865</v>
      </c>
      <c r="C412" s="15" t="s">
        <v>480</v>
      </c>
      <c r="D412" s="15" t="s">
        <v>12</v>
      </c>
    </row>
    <row r="413" spans="2:4" hidden="1" x14ac:dyDescent="0.25">
      <c r="B413" s="10" t="s">
        <v>866</v>
      </c>
      <c r="C413" s="15" t="s">
        <v>481</v>
      </c>
      <c r="D413" s="15" t="s">
        <v>82</v>
      </c>
    </row>
    <row r="414" spans="2:4" hidden="1" x14ac:dyDescent="0.25">
      <c r="B414" s="10" t="s">
        <v>867</v>
      </c>
      <c r="C414" s="15" t="s">
        <v>482</v>
      </c>
      <c r="D414" s="15" t="s">
        <v>7</v>
      </c>
    </row>
    <row r="415" spans="2:4" hidden="1" x14ac:dyDescent="0.25">
      <c r="B415" s="10" t="s">
        <v>868</v>
      </c>
      <c r="C415" s="15" t="s">
        <v>483</v>
      </c>
      <c r="D415" s="15" t="s">
        <v>83</v>
      </c>
    </row>
    <row r="416" spans="2:4" hidden="1" x14ac:dyDescent="0.25">
      <c r="B416" s="10" t="s">
        <v>869</v>
      </c>
      <c r="C416" s="15" t="s">
        <v>484</v>
      </c>
      <c r="D416" s="15" t="s">
        <v>84</v>
      </c>
    </row>
    <row r="417" spans="2:4" hidden="1" x14ac:dyDescent="0.25">
      <c r="B417" s="10" t="s">
        <v>870</v>
      </c>
      <c r="C417" s="15" t="s">
        <v>485</v>
      </c>
      <c r="D417" s="15" t="s">
        <v>45</v>
      </c>
    </row>
    <row r="418" spans="2:4" hidden="1" x14ac:dyDescent="0.25">
      <c r="B418" s="10" t="s">
        <v>871</v>
      </c>
      <c r="C418" s="15" t="s">
        <v>486</v>
      </c>
      <c r="D418" s="15" t="s">
        <v>12</v>
      </c>
    </row>
    <row r="419" spans="2:4" hidden="1" x14ac:dyDescent="0.25">
      <c r="B419" s="10" t="s">
        <v>23</v>
      </c>
      <c r="C419" s="15" t="s">
        <v>487</v>
      </c>
      <c r="D419" s="15" t="s">
        <v>7</v>
      </c>
    </row>
    <row r="420" spans="2:4" hidden="1" x14ac:dyDescent="0.25">
      <c r="B420" s="10" t="s">
        <v>872</v>
      </c>
      <c r="C420" s="15" t="s">
        <v>488</v>
      </c>
      <c r="D420" s="15" t="s">
        <v>55</v>
      </c>
    </row>
    <row r="421" spans="2:4" hidden="1" x14ac:dyDescent="0.25">
      <c r="B421" s="10" t="s">
        <v>873</v>
      </c>
      <c r="C421" s="15" t="s">
        <v>489</v>
      </c>
      <c r="D421" s="15" t="s">
        <v>47</v>
      </c>
    </row>
    <row r="422" spans="2:4" hidden="1" x14ac:dyDescent="0.25">
      <c r="B422" s="10" t="s">
        <v>875</v>
      </c>
      <c r="C422" s="15" t="s">
        <v>491</v>
      </c>
      <c r="D422" s="15" t="s">
        <v>45</v>
      </c>
    </row>
    <row r="423" spans="2:4" hidden="1" x14ac:dyDescent="0.25">
      <c r="B423" s="10" t="s">
        <v>874</v>
      </c>
      <c r="C423" s="15" t="s">
        <v>490</v>
      </c>
      <c r="D423" s="15" t="s">
        <v>45</v>
      </c>
    </row>
    <row r="424" spans="2:4" hidden="1" x14ac:dyDescent="0.25">
      <c r="B424" s="10" t="s">
        <v>876</v>
      </c>
      <c r="C424" s="15" t="s">
        <v>492</v>
      </c>
      <c r="D424" s="15" t="s">
        <v>45</v>
      </c>
    </row>
    <row r="425" spans="2:4" hidden="1" x14ac:dyDescent="0.25">
      <c r="B425" s="10" t="s">
        <v>877</v>
      </c>
      <c r="C425" s="15" t="s">
        <v>493</v>
      </c>
      <c r="D425" s="15" t="s">
        <v>7</v>
      </c>
    </row>
    <row r="426" spans="2:4" hidden="1" x14ac:dyDescent="0.25">
      <c r="B426" s="10" t="s">
        <v>878</v>
      </c>
      <c r="C426" s="15" t="s">
        <v>494</v>
      </c>
      <c r="D426" s="15" t="s">
        <v>56</v>
      </c>
    </row>
    <row r="427" spans="2:4" hidden="1" x14ac:dyDescent="0.25">
      <c r="B427" s="10" t="s">
        <v>879</v>
      </c>
      <c r="C427" s="15" t="s">
        <v>495</v>
      </c>
      <c r="D427" s="15" t="s">
        <v>55</v>
      </c>
    </row>
    <row r="428" spans="2:4" hidden="1" x14ac:dyDescent="0.25">
      <c r="B428" s="10" t="s">
        <v>880</v>
      </c>
      <c r="C428" s="15" t="s">
        <v>496</v>
      </c>
      <c r="D428" s="15" t="s">
        <v>7</v>
      </c>
    </row>
    <row r="429" spans="2:4" hidden="1" x14ac:dyDescent="0.25">
      <c r="B429" s="10" t="s">
        <v>881</v>
      </c>
      <c r="C429" s="15" t="s">
        <v>497</v>
      </c>
      <c r="D429" s="15" t="s">
        <v>56</v>
      </c>
    </row>
    <row r="430" spans="2:4" hidden="1" x14ac:dyDescent="0.25">
      <c r="B430" s="10" t="s">
        <v>882</v>
      </c>
      <c r="C430" s="15" t="s">
        <v>498</v>
      </c>
      <c r="D430" s="15" t="s">
        <v>55</v>
      </c>
    </row>
    <row r="431" spans="2:4" hidden="1" x14ac:dyDescent="0.25">
      <c r="B431" s="10" t="s">
        <v>883</v>
      </c>
      <c r="C431" s="15" t="s">
        <v>499</v>
      </c>
      <c r="D431" s="15" t="s">
        <v>7</v>
      </c>
    </row>
    <row r="432" spans="2:4" hidden="1" x14ac:dyDescent="0.25">
      <c r="B432" s="10" t="s">
        <v>884</v>
      </c>
      <c r="C432" s="15" t="s">
        <v>500</v>
      </c>
      <c r="D432" s="15" t="s">
        <v>966</v>
      </c>
    </row>
    <row r="433" spans="2:4" hidden="1" x14ac:dyDescent="0.25">
      <c r="B433" s="10" t="s">
        <v>885</v>
      </c>
      <c r="C433" s="15" t="s">
        <v>501</v>
      </c>
      <c r="D433" s="15" t="s">
        <v>965</v>
      </c>
    </row>
    <row r="434" spans="2:4" hidden="1" x14ac:dyDescent="0.25">
      <c r="B434" s="10" t="s">
        <v>886</v>
      </c>
      <c r="C434" s="15" t="s">
        <v>502</v>
      </c>
      <c r="D434" s="15" t="s">
        <v>12</v>
      </c>
    </row>
    <row r="435" spans="2:4" hidden="1" x14ac:dyDescent="0.25">
      <c r="B435" s="10" t="s">
        <v>887</v>
      </c>
      <c r="C435" s="15" t="s">
        <v>503</v>
      </c>
      <c r="D435" s="15" t="s">
        <v>88</v>
      </c>
    </row>
    <row r="436" spans="2:4" hidden="1" x14ac:dyDescent="0.25">
      <c r="B436" s="10" t="s">
        <v>888</v>
      </c>
      <c r="C436" s="15" t="s">
        <v>504</v>
      </c>
      <c r="D436" s="15" t="s">
        <v>46</v>
      </c>
    </row>
  </sheetData>
  <autoFilter ref="B1:D436" xr:uid="{8A2DF9D3-6F36-4902-9530-AA583BD87307}">
    <filterColumn colId="1">
      <filters>
        <filter val="PAOLO ALEJANDRO MANRIQUEZ SILVA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975D075854844CA974E19316141396" ma:contentTypeVersion="10" ma:contentTypeDescription="Crear nuevo documento." ma:contentTypeScope="" ma:versionID="9f6efa7add8a1b5781c0e62134d5020c">
  <xsd:schema xmlns:xsd="http://www.w3.org/2001/XMLSchema" xmlns:xs="http://www.w3.org/2001/XMLSchema" xmlns:p="http://schemas.microsoft.com/office/2006/metadata/properties" xmlns:ns2="6bfdf7ac-8f78-4d67-95af-fde742865d26" targetNamespace="http://schemas.microsoft.com/office/2006/metadata/properties" ma:root="true" ma:fieldsID="70842140aac34ccf9264690b8c6e0a82" ns2:_="">
    <xsd:import namespace="6bfdf7ac-8f78-4d67-95af-fde742865d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df7ac-8f78-4d67-95af-fde742865d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3a8c11-bec2-451f-9370-7a79a365e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df7ac-8f78-4d67-95af-fde742865d2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C164C2-4FA0-4099-A2BF-080A5C3D25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F31133-1E13-4FC2-AA6B-5F0EC0CF44E3}"/>
</file>

<file path=customXml/itemProps3.xml><?xml version="1.0" encoding="utf-8"?>
<ds:datastoreItem xmlns:ds="http://schemas.openxmlformats.org/officeDocument/2006/customXml" ds:itemID="{7703FDFA-5FBF-4FF0-A656-29FE6F76A3E3}">
  <ds:schemaRefs>
    <ds:schemaRef ds:uri="http://schemas.microsoft.com/office/2006/metadata/properties"/>
    <ds:schemaRef ds:uri="http://schemas.microsoft.com/office/infopath/2007/PartnerControls"/>
    <ds:schemaRef ds:uri="6bfdf7ac-8f78-4d67-95af-fde742865d2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31</vt:i4>
      </vt:variant>
      <vt:variant>
        <vt:lpstr>Rangos con nombre</vt:lpstr>
      </vt:variant>
      <vt:variant>
        <vt:i4>30</vt:i4>
      </vt:variant>
    </vt:vector>
  </HeadingPairs>
  <TitlesOfParts>
    <vt:vector size="6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Lista desplegable</vt:lpstr>
      <vt:lpstr>'01'!Área_de_impresión</vt:lpstr>
      <vt:lpstr>'02'!Área_de_impresión</vt:lpstr>
      <vt:lpstr>'03'!Área_de_impresión</vt:lpstr>
      <vt:lpstr>'04'!Área_de_impresión</vt:lpstr>
      <vt:lpstr>'05'!Área_de_impresión</vt:lpstr>
      <vt:lpstr>'06'!Área_de_impresión</vt:lpstr>
      <vt:lpstr>'07'!Área_de_impresión</vt:lpstr>
      <vt:lpstr>'08'!Área_de_impresión</vt:lpstr>
      <vt:lpstr>'09'!Área_de_impresión</vt:lpstr>
      <vt:lpstr>'10'!Área_de_impresión</vt:lpstr>
      <vt:lpstr>'11'!Área_de_impresión</vt:lpstr>
      <vt:lpstr>'12'!Área_de_impresión</vt:lpstr>
      <vt:lpstr>'13'!Área_de_impresión</vt:lpstr>
      <vt:lpstr>'14'!Área_de_impresión</vt:lpstr>
      <vt:lpstr>'15'!Área_de_impresión</vt:lpstr>
      <vt:lpstr>'16'!Área_de_impresión</vt:lpstr>
      <vt:lpstr>'17'!Área_de_impresión</vt:lpstr>
      <vt:lpstr>'18'!Área_de_impresión</vt:lpstr>
      <vt:lpstr>'19'!Área_de_impresión</vt:lpstr>
      <vt:lpstr>'20'!Área_de_impresión</vt:lpstr>
      <vt:lpstr>'21'!Área_de_impresión</vt:lpstr>
      <vt:lpstr>'22'!Área_de_impresión</vt:lpstr>
      <vt:lpstr>'23'!Área_de_impresión</vt:lpstr>
      <vt:lpstr>'24'!Área_de_impresión</vt:lpstr>
      <vt:lpstr>'25'!Área_de_impresión</vt:lpstr>
      <vt:lpstr>'26'!Área_de_impresión</vt:lpstr>
      <vt:lpstr>'27'!Área_de_impresión</vt:lpstr>
      <vt:lpstr>'28'!Área_de_impresión</vt:lpstr>
      <vt:lpstr>'29'!Área_de_impresión</vt:lpstr>
      <vt:lpstr>'30'!Área_de_impresión</vt:lpstr>
    </vt:vector>
  </TitlesOfParts>
  <Manager/>
  <Company>Major Drilling Group Int.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Major Drilling Chile S.A.</dc:creator>
  <cp:keywords/>
  <dc:description/>
  <cp:lastModifiedBy>Faena La Coipa | Recondrilling</cp:lastModifiedBy>
  <cp:revision/>
  <cp:lastPrinted>2026-09-26T15:24:59Z</cp:lastPrinted>
  <dcterms:created xsi:type="dcterms:W3CDTF">2006-02-10T16:42:01Z</dcterms:created>
  <dcterms:modified xsi:type="dcterms:W3CDTF">2026-10-02T11:22:48Z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0x01010089975D075854844CA974E19316141396</vt:lpwstr>
  </property>
  <property fmtid="{D5CDD505-2E9C-101B-9397-08002B2CF9AE}" pid="3" name="MediaServiceImageTags">
    <vt:lpwstr/>
  </property>
</Properties>
</file>