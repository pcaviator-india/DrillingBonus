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con\Desktop\Bonos Julio pago Agosto\"/>
    </mc:Choice>
  </mc:AlternateContent>
  <xr:revisionPtr revIDLastSave="0" documentId="8_{32727B64-0767-49CD-A642-BE7CA5E843AD}" xr6:coauthVersionLast="47" xr6:coauthVersionMax="47" xr10:uidLastSave="{00000000-0000-0000-0000-000000000000}"/>
  <bookViews>
    <workbookView xWindow="28680" yWindow="-120" windowWidth="29040" windowHeight="15720" tabRatio="639" firstSheet="10" activeTab="10" xr2:uid="{00000000-000D-0000-FFFF-FFFF00000000}"/>
  </bookViews>
  <sheets>
    <sheet name="A PAGAR FINAL" sheetId="19" r:id="rId1"/>
    <sheet name="ASISTENCIA JULIO" sheetId="44" r:id="rId2"/>
    <sheet name="NO OP" sheetId="12" r:id="rId3"/>
    <sheet name="SUP- PREV" sheetId="3" r:id="rId4"/>
    <sheet name="FORMULAS" sheetId="43" state="hidden" r:id="rId5"/>
    <sheet name="PERFOR." sheetId="20" r:id="rId6"/>
    <sheet name="AYUD." sheetId="15" r:id="rId7"/>
    <sheet name="Resumen" sheetId="45" r:id="rId8"/>
    <sheet name="BONO EXTRA" sheetId="38" r:id="rId9"/>
    <sheet name="Hoja2" sheetId="40" state="hidden" r:id="rId10"/>
    <sheet name="740-7" sheetId="28" r:id="rId11"/>
    <sheet name="740-14 " sheetId="33" r:id="rId12"/>
    <sheet name="1200-01" sheetId="42" r:id="rId13"/>
    <sheet name="Hoja1" sheetId="39" state="hidden" r:id="rId14"/>
  </sheets>
  <externalReferences>
    <externalReference r:id="rId15"/>
  </externalReferences>
  <definedNames>
    <definedName name="_xlnm._FilterDatabase" localSheetId="12" hidden="1">'1200-01'!$A$10:$AQ$90</definedName>
    <definedName name="_xlnm._FilterDatabase" localSheetId="11" hidden="1">'740-14 '!$A$10:$AS$90</definedName>
    <definedName name="_xlnm._FilterDatabase" localSheetId="10" hidden="1">'740-7'!$B$10:$AS$90</definedName>
    <definedName name="_xlnm._FilterDatabase" localSheetId="0" hidden="1">'A PAGAR FINAL'!$A$1:$S$115</definedName>
    <definedName name="_xlnm._FilterDatabase" localSheetId="1" hidden="1">'ASISTENCIA JULIO'!$A$3:$AR$129</definedName>
    <definedName name="_xlnm._FilterDatabase" localSheetId="6" hidden="1">AYUD.!$B$3:$AC$54</definedName>
    <definedName name="_xlnm._FilterDatabase" localSheetId="8" hidden="1">'BONO EXTRA'!$A$6:$AT$86</definedName>
    <definedName name="_xlnm._FilterDatabase" localSheetId="13" hidden="1">Hoja1!$B$1:$F$131</definedName>
    <definedName name="_xlnm._FilterDatabase" localSheetId="2" hidden="1">'NO OP'!$A$42:$AF$60</definedName>
    <definedName name="_xlnm._FilterDatabase" localSheetId="5" hidden="1">PERFOR.!$A$3:$AD$26</definedName>
    <definedName name="ColorTexto" localSheetId="8">_xludf.GET.CELL (BONO EXTRA !$Q$1)</definedName>
    <definedName name="_xlnm.Print_Area" localSheetId="1">'ASISTENCIA JULIO'!#REF!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20" l="1"/>
  <c r="AK56" i="28"/>
  <c r="AL6" i="28"/>
  <c r="AK6" i="28"/>
  <c r="AL3" i="28"/>
  <c r="AK3" i="28"/>
  <c r="AL12" i="45"/>
  <c r="AL23" i="45" s="1"/>
  <c r="AL25" i="45" s="1"/>
  <c r="AK12" i="45"/>
  <c r="AK23" i="45" s="1"/>
  <c r="AP3" i="45"/>
  <c r="AP2" i="45"/>
  <c r="Z20" i="45"/>
  <c r="Z9" i="45"/>
  <c r="Y9" i="45"/>
  <c r="Y20" i="45"/>
  <c r="Y12" i="45"/>
  <c r="Z12" i="45"/>
  <c r="Z23" i="45" s="1"/>
  <c r="AQ25" i="45"/>
  <c r="AQ24" i="45"/>
  <c r="AN23" i="45"/>
  <c r="AM23" i="45"/>
  <c r="AN22" i="45"/>
  <c r="AM22" i="45"/>
  <c r="AQ21" i="45"/>
  <c r="AN20" i="45"/>
  <c r="AM20" i="45"/>
  <c r="AK20" i="45"/>
  <c r="AQ19" i="45"/>
  <c r="AN19" i="45"/>
  <c r="AN21" i="45" s="1"/>
  <c r="AM19" i="45"/>
  <c r="AM21" i="45" s="1"/>
  <c r="AL19" i="45"/>
  <c r="AL21" i="45" s="1"/>
  <c r="AK19" i="45"/>
  <c r="AK21" i="45" s="1"/>
  <c r="AJ18" i="45"/>
  <c r="AJ19" i="45" s="1"/>
  <c r="AN17" i="45"/>
  <c r="AM17" i="45"/>
  <c r="AL17" i="45"/>
  <c r="AK17" i="45"/>
  <c r="AJ12" i="45"/>
  <c r="AH10" i="45"/>
  <c r="AN9" i="45"/>
  <c r="AM9" i="45"/>
  <c r="AL9" i="45"/>
  <c r="AK9" i="45"/>
  <c r="AJ8" i="45"/>
  <c r="AH7" i="45"/>
  <c r="AI18" i="45"/>
  <c r="AH4" i="45"/>
  <c r="AB23" i="45"/>
  <c r="AA23" i="45"/>
  <c r="AB22" i="45"/>
  <c r="AA22" i="45"/>
  <c r="AB20" i="45"/>
  <c r="AA20" i="45"/>
  <c r="AE19" i="45"/>
  <c r="AB19" i="45"/>
  <c r="AB21" i="45" s="1"/>
  <c r="AA19" i="45"/>
  <c r="AA21" i="45" s="1"/>
  <c r="Z19" i="45"/>
  <c r="Y19" i="45"/>
  <c r="X18" i="45"/>
  <c r="AB17" i="45"/>
  <c r="AA17" i="45"/>
  <c r="Z17" i="45"/>
  <c r="Y17" i="45"/>
  <c r="X11" i="45"/>
  <c r="V10" i="45"/>
  <c r="AB9" i="45"/>
  <c r="AA9" i="45"/>
  <c r="X8" i="45"/>
  <c r="V7" i="45"/>
  <c r="W18" i="45"/>
  <c r="V4" i="45"/>
  <c r="AD3" i="45"/>
  <c r="AD2" i="45"/>
  <c r="J10" i="45"/>
  <c r="R3" i="45"/>
  <c r="J7" i="45"/>
  <c r="J4" i="45"/>
  <c r="S25" i="45"/>
  <c r="S24" i="45"/>
  <c r="P23" i="45"/>
  <c r="O23" i="45"/>
  <c r="N23" i="45"/>
  <c r="N25" i="45" s="1"/>
  <c r="M23" i="45"/>
  <c r="P22" i="45"/>
  <c r="O22" i="45"/>
  <c r="S21" i="45"/>
  <c r="P20" i="45"/>
  <c r="O20" i="45"/>
  <c r="M20" i="45"/>
  <c r="S19" i="45"/>
  <c r="P19" i="45"/>
  <c r="P21" i="45" s="1"/>
  <c r="O19" i="45"/>
  <c r="O21" i="45" s="1"/>
  <c r="N19" i="45"/>
  <c r="N21" i="45" s="1"/>
  <c r="M19" i="45"/>
  <c r="L18" i="45"/>
  <c r="P17" i="45"/>
  <c r="O17" i="45"/>
  <c r="N17" i="45"/>
  <c r="M17" i="45"/>
  <c r="L12" i="45"/>
  <c r="N11" i="45"/>
  <c r="M11" i="45"/>
  <c r="P9" i="45"/>
  <c r="O9" i="45"/>
  <c r="N9" i="45"/>
  <c r="M9" i="45"/>
  <c r="L8" i="45"/>
  <c r="K6" i="45"/>
  <c r="K18" i="45" s="1"/>
  <c r="R2" i="45"/>
  <c r="N37" i="3"/>
  <c r="N54" i="12"/>
  <c r="N56" i="12"/>
  <c r="N46" i="12"/>
  <c r="N27" i="12"/>
  <c r="Z25" i="45" l="1"/>
  <c r="Z21" i="45"/>
  <c r="Y21" i="45"/>
  <c r="AE21" i="45"/>
  <c r="AE24" i="45"/>
  <c r="AE37" i="45" s="1"/>
  <c r="AE25" i="45"/>
  <c r="AE38" i="45" s="1"/>
  <c r="AJ11" i="45"/>
  <c r="AJ13" i="45" s="1"/>
  <c r="L11" i="45"/>
  <c r="L13" i="45" s="1"/>
  <c r="X19" i="45"/>
  <c r="X12" i="45"/>
  <c r="X13" i="45" s="1"/>
  <c r="Y23" i="45"/>
  <c r="AN25" i="45"/>
  <c r="AM25" i="45"/>
  <c r="AK25" i="45"/>
  <c r="AN24" i="45"/>
  <c r="AM24" i="45"/>
  <c r="AB25" i="45"/>
  <c r="AA25" i="45"/>
  <c r="Y25" i="45"/>
  <c r="AB24" i="45"/>
  <c r="AA24" i="45"/>
  <c r="M21" i="45"/>
  <c r="Q21" i="45" s="1"/>
  <c r="L19" i="45"/>
  <c r="AQ38" i="45"/>
  <c r="AQ37" i="45"/>
  <c r="AL22" i="45"/>
  <c r="AL24" i="45" s="1"/>
  <c r="AL13" i="45"/>
  <c r="AK22" i="45"/>
  <c r="AK24" i="45" s="1"/>
  <c r="AK13" i="45"/>
  <c r="AN14" i="45"/>
  <c r="AN13" i="45"/>
  <c r="AN10" i="45"/>
  <c r="AM14" i="45"/>
  <c r="AM13" i="45"/>
  <c r="AM10" i="45"/>
  <c r="AQ14" i="45"/>
  <c r="AL14" i="45"/>
  <c r="AQ13" i="45"/>
  <c r="AQ10" i="45"/>
  <c r="AL10" i="45"/>
  <c r="AK14" i="45"/>
  <c r="AK10" i="45"/>
  <c r="AO21" i="45"/>
  <c r="Z22" i="45"/>
  <c r="Z24" i="45" s="1"/>
  <c r="Z13" i="45"/>
  <c r="Y22" i="45"/>
  <c r="Y24" i="45" s="1"/>
  <c r="Y13" i="45"/>
  <c r="AB14" i="45"/>
  <c r="AB13" i="45"/>
  <c r="AB10" i="45"/>
  <c r="AA14" i="45"/>
  <c r="AA13" i="45"/>
  <c r="AA10" i="45"/>
  <c r="AE14" i="45"/>
  <c r="Z14" i="45"/>
  <c r="AE13" i="45"/>
  <c r="AE10" i="45"/>
  <c r="Z10" i="45"/>
  <c r="Y14" i="45"/>
  <c r="Y10" i="45"/>
  <c r="P25" i="45"/>
  <c r="O25" i="45"/>
  <c r="M25" i="45"/>
  <c r="P24" i="45"/>
  <c r="O24" i="45"/>
  <c r="S38" i="45"/>
  <c r="S37" i="45"/>
  <c r="N22" i="45"/>
  <c r="N24" i="45" s="1"/>
  <c r="N13" i="45"/>
  <c r="M22" i="45"/>
  <c r="M24" i="45" s="1"/>
  <c r="M13" i="45"/>
  <c r="P14" i="45"/>
  <c r="P13" i="45"/>
  <c r="P10" i="45"/>
  <c r="O14" i="45"/>
  <c r="O13" i="45"/>
  <c r="O10" i="45"/>
  <c r="S14" i="45"/>
  <c r="N14" i="45"/>
  <c r="S13" i="45"/>
  <c r="S10" i="45"/>
  <c r="N10" i="45"/>
  <c r="M14" i="45"/>
  <c r="M10" i="45"/>
  <c r="AC21" i="45" l="1"/>
  <c r="AF21" i="45" s="1"/>
  <c r="AO25" i="45"/>
  <c r="AC25" i="45"/>
  <c r="AC13" i="45"/>
  <c r="AO13" i="45"/>
  <c r="AJ37" i="45" s="1"/>
  <c r="Q25" i="45"/>
  <c r="Q13" i="45"/>
  <c r="AK38" i="45"/>
  <c r="AR13" i="45"/>
  <c r="AK37" i="45"/>
  <c r="AR21" i="45"/>
  <c r="AO24" i="45"/>
  <c r="AO14" i="45"/>
  <c r="AO10" i="45"/>
  <c r="AC24" i="45"/>
  <c r="AF24" i="45" s="1"/>
  <c r="Y38" i="45"/>
  <c r="Y37" i="45"/>
  <c r="AC10" i="45"/>
  <c r="AC14" i="45"/>
  <c r="Q24" i="45"/>
  <c r="M38" i="45"/>
  <c r="M37" i="45"/>
  <c r="T21" i="45"/>
  <c r="Q10" i="45"/>
  <c r="Q14" i="45"/>
  <c r="AO26" i="45" l="1"/>
  <c r="AR25" i="45"/>
  <c r="AP38" i="45"/>
  <c r="AR38" i="45" s="1"/>
  <c r="AD38" i="45"/>
  <c r="AF38" i="45" s="1"/>
  <c r="AF25" i="45"/>
  <c r="AF26" i="45" s="1"/>
  <c r="X37" i="45"/>
  <c r="Z37" i="45" s="1"/>
  <c r="AF13" i="45"/>
  <c r="AL37" i="45"/>
  <c r="T25" i="45"/>
  <c r="R38" i="45"/>
  <c r="T38" i="45" s="1"/>
  <c r="L37" i="45"/>
  <c r="N37" i="45" s="1"/>
  <c r="T13" i="45"/>
  <c r="AC26" i="45"/>
  <c r="AD37" i="45"/>
  <c r="AF37" i="45" s="1"/>
  <c r="AR24" i="45"/>
  <c r="AP37" i="45"/>
  <c r="AR37" i="45" s="1"/>
  <c r="AR10" i="45"/>
  <c r="AO15" i="45"/>
  <c r="AJ38" i="45"/>
  <c r="AL38" i="45" s="1"/>
  <c r="AR14" i="45"/>
  <c r="AF10" i="45"/>
  <c r="AC15" i="45"/>
  <c r="X38" i="45"/>
  <c r="Z38" i="45" s="1"/>
  <c r="AF14" i="45"/>
  <c r="Q26" i="45"/>
  <c r="R37" i="45"/>
  <c r="T37" i="45" s="1"/>
  <c r="T24" i="45"/>
  <c r="T10" i="45"/>
  <c r="Q15" i="45"/>
  <c r="L38" i="45"/>
  <c r="N38" i="45" s="1"/>
  <c r="T14" i="45"/>
  <c r="AP4" i="44"/>
  <c r="P16" i="3" s="1"/>
  <c r="AP5" i="44"/>
  <c r="P17" i="3" s="1"/>
  <c r="AP6" i="44"/>
  <c r="AP7" i="44"/>
  <c r="AP8" i="44"/>
  <c r="AP128" i="44"/>
  <c r="AN128" i="44"/>
  <c r="AM128" i="44"/>
  <c r="AL128" i="44"/>
  <c r="AP127" i="44"/>
  <c r="AN127" i="44"/>
  <c r="AM127" i="44"/>
  <c r="AL127" i="44"/>
  <c r="AP126" i="44"/>
  <c r="AN126" i="44"/>
  <c r="AM126" i="44"/>
  <c r="AL126" i="44"/>
  <c r="AP125" i="44"/>
  <c r="AN125" i="44"/>
  <c r="AM125" i="44"/>
  <c r="AL125" i="44"/>
  <c r="AP124" i="44"/>
  <c r="AN124" i="44"/>
  <c r="AM124" i="44"/>
  <c r="AL124" i="44"/>
  <c r="AP123" i="44"/>
  <c r="AN123" i="44"/>
  <c r="AM123" i="44"/>
  <c r="AL123" i="44"/>
  <c r="AP122" i="44"/>
  <c r="AN122" i="44"/>
  <c r="AM122" i="44"/>
  <c r="AL122" i="44"/>
  <c r="AP121" i="44"/>
  <c r="AN121" i="44"/>
  <c r="AM121" i="44"/>
  <c r="AL121" i="44"/>
  <c r="AP120" i="44"/>
  <c r="AN120" i="44"/>
  <c r="AM120" i="44"/>
  <c r="AL120" i="44"/>
  <c r="AP119" i="44"/>
  <c r="AN119" i="44"/>
  <c r="AM119" i="44"/>
  <c r="AL119" i="44"/>
  <c r="AP118" i="44"/>
  <c r="P47" i="12" s="1"/>
  <c r="AN118" i="44"/>
  <c r="AM118" i="44"/>
  <c r="AL118" i="44"/>
  <c r="AP117" i="44"/>
  <c r="AN117" i="44"/>
  <c r="AM117" i="44"/>
  <c r="AL117" i="44"/>
  <c r="AP116" i="44"/>
  <c r="AN116" i="44"/>
  <c r="AM116" i="44"/>
  <c r="AL116" i="44"/>
  <c r="AP115" i="44"/>
  <c r="AN115" i="44"/>
  <c r="AM115" i="44"/>
  <c r="AL115" i="44"/>
  <c r="AP114" i="44"/>
  <c r="AN114" i="44"/>
  <c r="AM114" i="44"/>
  <c r="AL114" i="44"/>
  <c r="AP113" i="44"/>
  <c r="AN113" i="44"/>
  <c r="AM113" i="44"/>
  <c r="AL113" i="44"/>
  <c r="AP112" i="44"/>
  <c r="AN112" i="44"/>
  <c r="AM112" i="44"/>
  <c r="AL112" i="44"/>
  <c r="AP111" i="44"/>
  <c r="AN111" i="44"/>
  <c r="AM111" i="44"/>
  <c r="AL111" i="44"/>
  <c r="AP110" i="44"/>
  <c r="AN110" i="44"/>
  <c r="AM110" i="44"/>
  <c r="AL110" i="44"/>
  <c r="AP109" i="44"/>
  <c r="AN109" i="44"/>
  <c r="AM109" i="44"/>
  <c r="AL109" i="44"/>
  <c r="AP108" i="44"/>
  <c r="AN108" i="44"/>
  <c r="AM108" i="44"/>
  <c r="AL108" i="44"/>
  <c r="AP107" i="44"/>
  <c r="AN107" i="44"/>
  <c r="AM107" i="44"/>
  <c r="AL107" i="44"/>
  <c r="AP106" i="44"/>
  <c r="AN106" i="44"/>
  <c r="AM106" i="44"/>
  <c r="AL106" i="44"/>
  <c r="AP105" i="44"/>
  <c r="P26" i="12" s="1"/>
  <c r="AN105" i="44"/>
  <c r="AM105" i="44"/>
  <c r="AL105" i="44"/>
  <c r="AP104" i="44"/>
  <c r="AN104" i="44"/>
  <c r="AM104" i="44"/>
  <c r="AL104" i="44"/>
  <c r="AP103" i="44"/>
  <c r="P54" i="12" s="1"/>
  <c r="AN103" i="44"/>
  <c r="AM103" i="44"/>
  <c r="AL103" i="44"/>
  <c r="AP102" i="44"/>
  <c r="AN102" i="44"/>
  <c r="AM102" i="44"/>
  <c r="AL102" i="44"/>
  <c r="AP101" i="44"/>
  <c r="AN101" i="44"/>
  <c r="AM101" i="44"/>
  <c r="AL101" i="44"/>
  <c r="AP100" i="44"/>
  <c r="AN100" i="44"/>
  <c r="AM100" i="44"/>
  <c r="AL100" i="44"/>
  <c r="AP99" i="44"/>
  <c r="AN99" i="44"/>
  <c r="AM99" i="44"/>
  <c r="AL99" i="44"/>
  <c r="AP98" i="44"/>
  <c r="AN98" i="44"/>
  <c r="AM98" i="44"/>
  <c r="AL98" i="44"/>
  <c r="AP97" i="44"/>
  <c r="AN97" i="44"/>
  <c r="AM97" i="44"/>
  <c r="AL97" i="44"/>
  <c r="AP96" i="44"/>
  <c r="AN96" i="44"/>
  <c r="AM96" i="44"/>
  <c r="AL96" i="44"/>
  <c r="AP95" i="44"/>
  <c r="AN95" i="44"/>
  <c r="AM95" i="44"/>
  <c r="AL95" i="44"/>
  <c r="AP94" i="44"/>
  <c r="AN94" i="44"/>
  <c r="AM94" i="44"/>
  <c r="AL94" i="44"/>
  <c r="AP93" i="44"/>
  <c r="P52" i="12" s="1"/>
  <c r="AN93" i="44"/>
  <c r="AM93" i="44"/>
  <c r="AL93" i="44"/>
  <c r="AP92" i="44"/>
  <c r="AN92" i="44"/>
  <c r="AM92" i="44"/>
  <c r="AL92" i="44"/>
  <c r="AP91" i="44"/>
  <c r="AN91" i="44"/>
  <c r="AM91" i="44"/>
  <c r="AL91" i="44"/>
  <c r="AP90" i="44"/>
  <c r="AN90" i="44"/>
  <c r="AM90" i="44"/>
  <c r="AL90" i="44"/>
  <c r="AP89" i="44"/>
  <c r="AN89" i="44"/>
  <c r="AM89" i="44"/>
  <c r="AL89" i="44"/>
  <c r="AP88" i="44"/>
  <c r="AN88" i="44"/>
  <c r="AM88" i="44"/>
  <c r="AL88" i="44"/>
  <c r="AP87" i="44"/>
  <c r="AN87" i="44"/>
  <c r="AM87" i="44"/>
  <c r="AL87" i="44"/>
  <c r="AP86" i="44"/>
  <c r="P57" i="12" s="1"/>
  <c r="AN86" i="44"/>
  <c r="AM86" i="44"/>
  <c r="AL86" i="44"/>
  <c r="AP85" i="44"/>
  <c r="AN85" i="44"/>
  <c r="AM85" i="44"/>
  <c r="AL85" i="44"/>
  <c r="AP84" i="44"/>
  <c r="AN84" i="44"/>
  <c r="AM84" i="44"/>
  <c r="AL84" i="44"/>
  <c r="AP83" i="44"/>
  <c r="AN83" i="44"/>
  <c r="AM83" i="44"/>
  <c r="AL83" i="44"/>
  <c r="AP82" i="44"/>
  <c r="P49" i="12" s="1"/>
  <c r="AN82" i="44"/>
  <c r="AM82" i="44"/>
  <c r="AL82" i="44"/>
  <c r="AP81" i="44"/>
  <c r="AN81" i="44"/>
  <c r="AM81" i="44"/>
  <c r="AL81" i="44"/>
  <c r="AP80" i="44"/>
  <c r="AN80" i="44"/>
  <c r="AM80" i="44"/>
  <c r="AL80" i="44"/>
  <c r="AP79" i="44"/>
  <c r="AN79" i="44"/>
  <c r="AM79" i="44"/>
  <c r="AL79" i="44"/>
  <c r="AP78" i="44"/>
  <c r="AN78" i="44"/>
  <c r="AM78" i="44"/>
  <c r="AL78" i="44"/>
  <c r="AP77" i="44"/>
  <c r="P48" i="12" s="1"/>
  <c r="AN77" i="44"/>
  <c r="AM77" i="44"/>
  <c r="AL77" i="44"/>
  <c r="AP76" i="44"/>
  <c r="AN76" i="44"/>
  <c r="AM76" i="44"/>
  <c r="AL76" i="44"/>
  <c r="AP75" i="44"/>
  <c r="AN75" i="44"/>
  <c r="AM75" i="44"/>
  <c r="AL75" i="44"/>
  <c r="AP74" i="44"/>
  <c r="AN74" i="44"/>
  <c r="AM74" i="44"/>
  <c r="AL74" i="44"/>
  <c r="AP73" i="44"/>
  <c r="P59" i="12" s="1"/>
  <c r="AN73" i="44"/>
  <c r="AM73" i="44"/>
  <c r="AL73" i="44"/>
  <c r="AP72" i="44"/>
  <c r="AN72" i="44"/>
  <c r="AM72" i="44"/>
  <c r="AL72" i="44"/>
  <c r="AP71" i="44"/>
  <c r="AN71" i="44"/>
  <c r="AM71" i="44"/>
  <c r="AL71" i="44"/>
  <c r="AP70" i="44"/>
  <c r="AN70" i="44"/>
  <c r="AM70" i="44"/>
  <c r="AL70" i="44"/>
  <c r="AP69" i="44"/>
  <c r="AN69" i="44"/>
  <c r="AM69" i="44"/>
  <c r="AL69" i="44"/>
  <c r="AP68" i="44"/>
  <c r="P58" i="12" s="1"/>
  <c r="AN68" i="44"/>
  <c r="AM68" i="44"/>
  <c r="AL68" i="44"/>
  <c r="AP67" i="44"/>
  <c r="AN67" i="44"/>
  <c r="AM67" i="44"/>
  <c r="AL67" i="44"/>
  <c r="AP66" i="44"/>
  <c r="AN66" i="44"/>
  <c r="AM66" i="44"/>
  <c r="AL66" i="44"/>
  <c r="AP65" i="44"/>
  <c r="AN65" i="44"/>
  <c r="AM65" i="44"/>
  <c r="AL65" i="44"/>
  <c r="AP64" i="44"/>
  <c r="AN64" i="44"/>
  <c r="AM64" i="44"/>
  <c r="AL64" i="44"/>
  <c r="AP63" i="44"/>
  <c r="AN63" i="44"/>
  <c r="AM63" i="44"/>
  <c r="AL63" i="44"/>
  <c r="AP62" i="44"/>
  <c r="AN62" i="44"/>
  <c r="AM62" i="44"/>
  <c r="AL62" i="44"/>
  <c r="AP61" i="44"/>
  <c r="P35" i="3" s="1"/>
  <c r="AN61" i="44"/>
  <c r="AM61" i="44"/>
  <c r="AL61" i="44"/>
  <c r="AP60" i="44"/>
  <c r="AN60" i="44"/>
  <c r="AM60" i="44"/>
  <c r="AL60" i="44"/>
  <c r="AP59" i="44"/>
  <c r="P34" i="3" s="1"/>
  <c r="AN59" i="44"/>
  <c r="AM59" i="44"/>
  <c r="AL59" i="44"/>
  <c r="AP58" i="44"/>
  <c r="AN58" i="44"/>
  <c r="AM58" i="44"/>
  <c r="AL58" i="44"/>
  <c r="AP57" i="44"/>
  <c r="AN57" i="44"/>
  <c r="AM57" i="44"/>
  <c r="AL57" i="44"/>
  <c r="AP56" i="44"/>
  <c r="P19" i="3" s="1"/>
  <c r="AN56" i="44"/>
  <c r="AM56" i="44"/>
  <c r="AL56" i="44"/>
  <c r="AP55" i="44"/>
  <c r="AN55" i="44"/>
  <c r="AM55" i="44"/>
  <c r="AL55" i="44"/>
  <c r="AP54" i="44"/>
  <c r="P20" i="3" s="1"/>
  <c r="AN54" i="44"/>
  <c r="AM54" i="44"/>
  <c r="AL54" i="44"/>
  <c r="AP53" i="44"/>
  <c r="P18" i="3" s="1"/>
  <c r="AN53" i="44"/>
  <c r="AM53" i="44"/>
  <c r="AL53" i="44"/>
  <c r="AP52" i="44"/>
  <c r="AN52" i="44"/>
  <c r="AM52" i="44"/>
  <c r="AL52" i="44"/>
  <c r="AP51" i="44"/>
  <c r="AN51" i="44"/>
  <c r="AM51" i="44"/>
  <c r="AL51" i="44"/>
  <c r="AP50" i="44"/>
  <c r="P32" i="12" s="1"/>
  <c r="AN50" i="44"/>
  <c r="AM50" i="44"/>
  <c r="AL50" i="44"/>
  <c r="AP49" i="44"/>
  <c r="P28" i="3" s="1"/>
  <c r="AN49" i="44"/>
  <c r="AM49" i="44"/>
  <c r="AL49" i="44"/>
  <c r="AP48" i="44"/>
  <c r="AN48" i="44"/>
  <c r="AM48" i="44"/>
  <c r="AL48" i="44"/>
  <c r="AP47" i="44"/>
  <c r="AN47" i="44"/>
  <c r="AM47" i="44"/>
  <c r="AL47" i="44"/>
  <c r="AP46" i="44"/>
  <c r="P25" i="12" s="1"/>
  <c r="AN46" i="44"/>
  <c r="AM46" i="44"/>
  <c r="AL46" i="44"/>
  <c r="AP45" i="44"/>
  <c r="P28" i="12" s="1"/>
  <c r="AN45" i="44"/>
  <c r="AM45" i="44"/>
  <c r="AL45" i="44"/>
  <c r="AP44" i="44"/>
  <c r="AN44" i="44"/>
  <c r="AM44" i="44"/>
  <c r="AL44" i="44"/>
  <c r="AP43" i="44"/>
  <c r="AN43" i="44"/>
  <c r="AM43" i="44"/>
  <c r="AL43" i="44"/>
  <c r="AP42" i="44"/>
  <c r="AN42" i="44"/>
  <c r="AM42" i="44"/>
  <c r="AL42" i="44"/>
  <c r="AP41" i="44"/>
  <c r="AN41" i="44"/>
  <c r="AM41" i="44"/>
  <c r="AL41" i="44"/>
  <c r="AP40" i="44"/>
  <c r="AN40" i="44"/>
  <c r="AM40" i="44"/>
  <c r="AL40" i="44"/>
  <c r="AP39" i="44"/>
  <c r="AN39" i="44"/>
  <c r="AM39" i="44"/>
  <c r="AL39" i="44"/>
  <c r="AP38" i="44"/>
  <c r="AN38" i="44"/>
  <c r="AM38" i="44"/>
  <c r="AL38" i="44"/>
  <c r="AP37" i="44"/>
  <c r="P27" i="3" s="1"/>
  <c r="AN37" i="44"/>
  <c r="AM37" i="44"/>
  <c r="AL37" i="44"/>
  <c r="AP36" i="44"/>
  <c r="AN36" i="44"/>
  <c r="AM36" i="44"/>
  <c r="AL36" i="44"/>
  <c r="AP35" i="44"/>
  <c r="AN35" i="44"/>
  <c r="AM35" i="44"/>
  <c r="AL35" i="44"/>
  <c r="AP34" i="44"/>
  <c r="AN34" i="44"/>
  <c r="AM34" i="44"/>
  <c r="AL34" i="44"/>
  <c r="AP33" i="44"/>
  <c r="AN33" i="44"/>
  <c r="AM33" i="44"/>
  <c r="AL33" i="44"/>
  <c r="AP32" i="44"/>
  <c r="AN32" i="44"/>
  <c r="AM32" i="44"/>
  <c r="AL32" i="44"/>
  <c r="AP31" i="44"/>
  <c r="P23" i="12" s="1"/>
  <c r="AN31" i="44"/>
  <c r="AM31" i="44"/>
  <c r="AL31" i="44"/>
  <c r="AP30" i="44"/>
  <c r="P38" i="3" s="1"/>
  <c r="AN30" i="44"/>
  <c r="AM30" i="44"/>
  <c r="AL30" i="44"/>
  <c r="AP29" i="44"/>
  <c r="AN29" i="44"/>
  <c r="AM29" i="44"/>
  <c r="AL29" i="44"/>
  <c r="AP28" i="44"/>
  <c r="P22" i="12" s="1"/>
  <c r="AN28" i="44"/>
  <c r="AM28" i="44"/>
  <c r="AL28" i="44"/>
  <c r="AP27" i="44"/>
  <c r="AN27" i="44"/>
  <c r="AM27" i="44"/>
  <c r="AL27" i="44"/>
  <c r="AP26" i="44"/>
  <c r="AN26" i="44"/>
  <c r="AM26" i="44"/>
  <c r="AL26" i="44"/>
  <c r="AP25" i="44"/>
  <c r="AN25" i="44"/>
  <c r="AM25" i="44"/>
  <c r="AL25" i="44"/>
  <c r="AP24" i="44"/>
  <c r="AN24" i="44"/>
  <c r="AM24" i="44"/>
  <c r="AL24" i="44"/>
  <c r="AP23" i="44"/>
  <c r="AN23" i="44"/>
  <c r="AM23" i="44"/>
  <c r="AL23" i="44"/>
  <c r="AP22" i="44"/>
  <c r="AN22" i="44"/>
  <c r="AM22" i="44"/>
  <c r="AL22" i="44"/>
  <c r="AP21" i="44"/>
  <c r="AN21" i="44"/>
  <c r="AM21" i="44"/>
  <c r="AL21" i="44"/>
  <c r="AP20" i="44"/>
  <c r="AN20" i="44"/>
  <c r="AM20" i="44"/>
  <c r="AL20" i="44"/>
  <c r="AP19" i="44"/>
  <c r="AN19" i="44"/>
  <c r="AM19" i="44"/>
  <c r="AL19" i="44"/>
  <c r="AP18" i="44"/>
  <c r="P19" i="12" s="1"/>
  <c r="AN18" i="44"/>
  <c r="AM18" i="44"/>
  <c r="AL18" i="44"/>
  <c r="AP17" i="44"/>
  <c r="AN17" i="44"/>
  <c r="AM17" i="44"/>
  <c r="AL17" i="44"/>
  <c r="AP16" i="44"/>
  <c r="AN16" i="44"/>
  <c r="AM16" i="44"/>
  <c r="AL16" i="44"/>
  <c r="AP15" i="44"/>
  <c r="AN15" i="44"/>
  <c r="AM15" i="44"/>
  <c r="AL15" i="44"/>
  <c r="AP14" i="44"/>
  <c r="AN14" i="44"/>
  <c r="AM14" i="44"/>
  <c r="AL14" i="44"/>
  <c r="AP13" i="44"/>
  <c r="P26" i="3" s="1"/>
  <c r="AN13" i="44"/>
  <c r="AM13" i="44"/>
  <c r="AL13" i="44"/>
  <c r="AP12" i="44"/>
  <c r="AN12" i="44"/>
  <c r="AM12" i="44"/>
  <c r="AL12" i="44"/>
  <c r="AP11" i="44"/>
  <c r="AN11" i="44"/>
  <c r="AM11" i="44"/>
  <c r="AL11" i="44"/>
  <c r="AP10" i="44"/>
  <c r="AN10" i="44"/>
  <c r="AM10" i="44"/>
  <c r="AL10" i="44"/>
  <c r="AP9" i="44"/>
  <c r="AN9" i="44"/>
  <c r="AM9" i="44"/>
  <c r="AL9" i="44"/>
  <c r="AN8" i="44"/>
  <c r="AM8" i="44"/>
  <c r="AL8" i="44"/>
  <c r="AN7" i="44"/>
  <c r="AM7" i="44"/>
  <c r="AL7" i="44"/>
  <c r="AN6" i="44"/>
  <c r="AM6" i="44"/>
  <c r="AL6" i="44"/>
  <c r="AN5" i="44"/>
  <c r="AM5" i="44"/>
  <c r="AL5" i="44"/>
  <c r="A5" i="44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N4" i="44"/>
  <c r="AM4" i="44"/>
  <c r="AL4" i="44"/>
  <c r="AR26" i="45" l="1"/>
  <c r="T26" i="45"/>
  <c r="AR15" i="45"/>
  <c r="AF15" i="45"/>
  <c r="T15" i="45"/>
  <c r="AO103" i="44"/>
  <c r="AO83" i="44"/>
  <c r="AO107" i="44"/>
  <c r="AO32" i="44"/>
  <c r="AO46" i="44"/>
  <c r="AO92" i="44"/>
  <c r="AO108" i="44"/>
  <c r="AO93" i="44"/>
  <c r="AO15" i="44"/>
  <c r="AO91" i="44"/>
  <c r="AO111" i="44"/>
  <c r="AO109" i="44"/>
  <c r="AO38" i="44"/>
  <c r="AO34" i="44"/>
  <c r="AO95" i="44"/>
  <c r="AO23" i="44"/>
  <c r="AO44" i="44"/>
  <c r="AO99" i="44"/>
  <c r="AO87" i="44"/>
  <c r="AO31" i="44"/>
  <c r="AO7" i="44"/>
  <c r="AO27" i="44"/>
  <c r="AO115" i="44"/>
  <c r="AO19" i="44"/>
  <c r="AO11" i="44"/>
  <c r="AO122" i="44"/>
  <c r="AO126" i="44"/>
  <c r="AO78" i="44"/>
  <c r="AO9" i="44"/>
  <c r="AO30" i="44"/>
  <c r="AO13" i="44"/>
  <c r="AO17" i="44"/>
  <c r="AO21" i="44"/>
  <c r="AO25" i="44"/>
  <c r="AO33" i="44"/>
  <c r="AO14" i="44"/>
  <c r="AO22" i="44"/>
  <c r="AO42" i="44"/>
  <c r="AO51" i="44"/>
  <c r="AO53" i="44"/>
  <c r="AO55" i="44"/>
  <c r="AO58" i="44"/>
  <c r="AO67" i="44"/>
  <c r="AO71" i="44"/>
  <c r="AO74" i="44"/>
  <c r="AO75" i="44"/>
  <c r="AO76" i="44"/>
  <c r="AO90" i="44"/>
  <c r="AO119" i="44"/>
  <c r="AO123" i="44"/>
  <c r="AO124" i="44"/>
  <c r="AO125" i="44"/>
  <c r="AO127" i="44"/>
  <c r="AO62" i="44"/>
  <c r="AO106" i="44"/>
  <c r="P60" i="12"/>
  <c r="P51" i="12"/>
  <c r="AO6" i="44"/>
  <c r="AO12" i="44"/>
  <c r="AO20" i="44"/>
  <c r="AO28" i="44"/>
  <c r="AO37" i="44"/>
  <c r="AO63" i="44"/>
  <c r="AO64" i="44"/>
  <c r="AO66" i="44"/>
  <c r="AO70" i="44"/>
  <c r="AO86" i="44"/>
  <c r="AO88" i="44"/>
  <c r="AO89" i="44"/>
  <c r="AO102" i="44"/>
  <c r="AO104" i="44"/>
  <c r="AO105" i="44"/>
  <c r="AO118" i="44"/>
  <c r="AO120" i="44"/>
  <c r="AO121" i="44"/>
  <c r="P22" i="3"/>
  <c r="P32" i="3"/>
  <c r="P31" i="12"/>
  <c r="P18" i="12"/>
  <c r="P55" i="12"/>
  <c r="P50" i="12"/>
  <c r="AO5" i="44"/>
  <c r="AO10" i="44"/>
  <c r="AO26" i="44"/>
  <c r="AO39" i="44"/>
  <c r="AO40" i="44"/>
  <c r="AO43" i="44"/>
  <c r="AO59" i="44"/>
  <c r="AO60" i="44"/>
  <c r="AO65" i="44"/>
  <c r="AO69" i="44"/>
  <c r="AO82" i="44"/>
  <c r="AO84" i="44"/>
  <c r="AO85" i="44"/>
  <c r="AO98" i="44"/>
  <c r="AO100" i="44"/>
  <c r="AO101" i="44"/>
  <c r="AO114" i="44"/>
  <c r="AO116" i="44"/>
  <c r="AO117" i="44"/>
  <c r="P21" i="3"/>
  <c r="P33" i="3"/>
  <c r="P30" i="12"/>
  <c r="P21" i="12"/>
  <c r="P17" i="12"/>
  <c r="P53" i="12"/>
  <c r="P45" i="12"/>
  <c r="AO18" i="44"/>
  <c r="AO4" i="44"/>
  <c r="AO8" i="44"/>
  <c r="AO16" i="44"/>
  <c r="AO24" i="44"/>
  <c r="AO29" i="44"/>
  <c r="AO35" i="44"/>
  <c r="AO36" i="44"/>
  <c r="AO47" i="44"/>
  <c r="AO48" i="44"/>
  <c r="AO50" i="44"/>
  <c r="AO54" i="44"/>
  <c r="AO79" i="44"/>
  <c r="AO80" i="44"/>
  <c r="AO81" i="44"/>
  <c r="AO94" i="44"/>
  <c r="AO96" i="44"/>
  <c r="AO97" i="44"/>
  <c r="AO110" i="44"/>
  <c r="AO112" i="44"/>
  <c r="AO113" i="44"/>
  <c r="AO128" i="44"/>
  <c r="P25" i="3"/>
  <c r="P36" i="3"/>
  <c r="P16" i="12"/>
  <c r="P29" i="12"/>
  <c r="P24" i="12"/>
  <c r="P20" i="12"/>
  <c r="P43" i="12"/>
  <c r="P44" i="12"/>
  <c r="AO41" i="44"/>
  <c r="AO49" i="44"/>
  <c r="AO45" i="44"/>
  <c r="AO56" i="44"/>
  <c r="AO61" i="44"/>
  <c r="AO72" i="44"/>
  <c r="AO77" i="44"/>
  <c r="AO52" i="44"/>
  <c r="AO57" i="44"/>
  <c r="AO68" i="44"/>
  <c r="AO73" i="44"/>
  <c r="K17" i="20" l="1"/>
  <c r="K18" i="20"/>
  <c r="K19" i="20"/>
  <c r="K20" i="20"/>
  <c r="K21" i="20"/>
  <c r="K22" i="20"/>
  <c r="K5" i="20"/>
  <c r="K6" i="20"/>
  <c r="K7" i="20"/>
  <c r="K8" i="20"/>
  <c r="K9" i="20"/>
  <c r="K10" i="20"/>
  <c r="K11" i="20"/>
  <c r="K12" i="20"/>
  <c r="K13" i="20"/>
  <c r="K14" i="20"/>
  <c r="K15" i="20"/>
  <c r="K16" i="20"/>
  <c r="K4" i="20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" i="15"/>
  <c r="N36" i="3"/>
  <c r="N38" i="3"/>
  <c r="AN13" i="33"/>
  <c r="O4" i="20" s="1"/>
  <c r="AN12" i="33"/>
  <c r="O5" i="15" s="1"/>
  <c r="AM12" i="33"/>
  <c r="N5" i="15" s="1"/>
  <c r="AM13" i="33"/>
  <c r="N4" i="20" s="1"/>
  <c r="AM15" i="33"/>
  <c r="N5" i="20" s="1"/>
  <c r="AN15" i="33"/>
  <c r="O5" i="20" s="1"/>
  <c r="AM16" i="33"/>
  <c r="N7" i="15" s="1"/>
  <c r="AN16" i="33"/>
  <c r="O7" i="15" s="1"/>
  <c r="AM17" i="33"/>
  <c r="N6" i="20" s="1"/>
  <c r="AN17" i="33"/>
  <c r="O6" i="20" s="1"/>
  <c r="AM18" i="33"/>
  <c r="N8" i="15" s="1"/>
  <c r="AN18" i="33"/>
  <c r="O8" i="15" s="1"/>
  <c r="AM19" i="33"/>
  <c r="N7" i="20" s="1"/>
  <c r="AN19" i="33"/>
  <c r="O7" i="20" s="1"/>
  <c r="AM20" i="33"/>
  <c r="N8" i="20" s="1"/>
  <c r="AN20" i="33"/>
  <c r="O8" i="20" s="1"/>
  <c r="AN21" i="33"/>
  <c r="O9" i="20" s="1"/>
  <c r="AN22" i="33"/>
  <c r="O9" i="15" s="1"/>
  <c r="AM23" i="33"/>
  <c r="N10" i="15" s="1"/>
  <c r="AN23" i="33"/>
  <c r="O10" i="15" s="1"/>
  <c r="AM24" i="33"/>
  <c r="N11" i="15" s="1"/>
  <c r="AN24" i="33"/>
  <c r="O11" i="15" s="1"/>
  <c r="AM25" i="33"/>
  <c r="N12" i="15" s="1"/>
  <c r="AN25" i="33"/>
  <c r="O12" i="15" s="1"/>
  <c r="AM28" i="33"/>
  <c r="AN28" i="33"/>
  <c r="O22" i="20" s="1"/>
  <c r="P22" i="20" s="1"/>
  <c r="AM29" i="33"/>
  <c r="N13" i="15" s="1"/>
  <c r="AN29" i="33"/>
  <c r="O13" i="15" s="1"/>
  <c r="AM30" i="33"/>
  <c r="N14" i="15" s="1"/>
  <c r="AN30" i="33"/>
  <c r="O14" i="15" s="1"/>
  <c r="AM31" i="33"/>
  <c r="N12" i="20" s="1"/>
  <c r="AN31" i="33"/>
  <c r="O12" i="20" s="1"/>
  <c r="AM32" i="33"/>
  <c r="N15" i="15" s="1"/>
  <c r="AN32" i="33"/>
  <c r="O15" i="15" s="1"/>
  <c r="AM33" i="33"/>
  <c r="N16" i="15" s="1"/>
  <c r="AN33" i="33"/>
  <c r="O16" i="15" s="1"/>
  <c r="AM34" i="33"/>
  <c r="N17" i="15" s="1"/>
  <c r="AN34" i="33"/>
  <c r="O17" i="15" s="1"/>
  <c r="AM36" i="33"/>
  <c r="N19" i="15" s="1"/>
  <c r="AN36" i="33"/>
  <c r="O19" i="15" s="1"/>
  <c r="AM37" i="33"/>
  <c r="N20" i="15" s="1"/>
  <c r="AN37" i="33"/>
  <c r="O20" i="15" s="1"/>
  <c r="AM38" i="33"/>
  <c r="N13" i="20" s="1"/>
  <c r="AN38" i="33"/>
  <c r="O13" i="20" s="1"/>
  <c r="AM40" i="33"/>
  <c r="N22" i="15" s="1"/>
  <c r="AN40" i="33"/>
  <c r="O22" i="15" s="1"/>
  <c r="AM42" i="33"/>
  <c r="AN42" i="33"/>
  <c r="AM43" i="33"/>
  <c r="AN43" i="33"/>
  <c r="AM44" i="33"/>
  <c r="AN44" i="33"/>
  <c r="AM45" i="33"/>
  <c r="AN45" i="33"/>
  <c r="AM46" i="33"/>
  <c r="AN46" i="33"/>
  <c r="AM47" i="33"/>
  <c r="AN47" i="33"/>
  <c r="AM48" i="33"/>
  <c r="AN48" i="33"/>
  <c r="AM49" i="33"/>
  <c r="AN49" i="33"/>
  <c r="AM50" i="33"/>
  <c r="AN50" i="33"/>
  <c r="AM51" i="33"/>
  <c r="N24" i="15" s="1"/>
  <c r="AN51" i="33"/>
  <c r="O24" i="15" s="1"/>
  <c r="AN53" i="33"/>
  <c r="O26" i="15" s="1"/>
  <c r="AN54" i="33"/>
  <c r="O27" i="15" s="1"/>
  <c r="AM55" i="33"/>
  <c r="N14" i="20" s="1"/>
  <c r="AN55" i="33"/>
  <c r="O14" i="20" s="1"/>
  <c r="AM56" i="33"/>
  <c r="N15" i="20" s="1"/>
  <c r="AN56" i="33"/>
  <c r="O15" i="20" s="1"/>
  <c r="AM60" i="33"/>
  <c r="N30" i="15" s="1"/>
  <c r="AN60" i="33"/>
  <c r="O30" i="15" s="1"/>
  <c r="AM61" i="33"/>
  <c r="N31" i="15" s="1"/>
  <c r="AN61" i="33"/>
  <c r="O31" i="15" s="1"/>
  <c r="AM62" i="33"/>
  <c r="N32" i="15" s="1"/>
  <c r="AN62" i="33"/>
  <c r="O32" i="15" s="1"/>
  <c r="AM63" i="33"/>
  <c r="N33" i="15" s="1"/>
  <c r="AN63" i="33"/>
  <c r="O33" i="15" s="1"/>
  <c r="AM64" i="33"/>
  <c r="N34" i="15" s="1"/>
  <c r="AN64" i="33"/>
  <c r="O34" i="15" s="1"/>
  <c r="AM66" i="33"/>
  <c r="N36" i="15" s="1"/>
  <c r="AN66" i="33"/>
  <c r="O36" i="15" s="1"/>
  <c r="AM67" i="33"/>
  <c r="N37" i="15" s="1"/>
  <c r="AN67" i="33"/>
  <c r="O37" i="15" s="1"/>
  <c r="AM68" i="33"/>
  <c r="N17" i="20" s="1"/>
  <c r="AN68" i="33"/>
  <c r="O17" i="20" s="1"/>
  <c r="AM69" i="33"/>
  <c r="N38" i="15" s="1"/>
  <c r="AN69" i="33"/>
  <c r="O38" i="15" s="1"/>
  <c r="AN70" i="33"/>
  <c r="O39" i="15" s="1"/>
  <c r="AM71" i="33"/>
  <c r="N40" i="15" s="1"/>
  <c r="AN71" i="33"/>
  <c r="O40" i="15" s="1"/>
  <c r="AM72" i="33"/>
  <c r="N41" i="15" s="1"/>
  <c r="AN72" i="33"/>
  <c r="O41" i="15" s="1"/>
  <c r="AN73" i="33"/>
  <c r="O18" i="20" s="1"/>
  <c r="AM75" i="33"/>
  <c r="N20" i="20" s="1"/>
  <c r="AN75" i="33"/>
  <c r="O20" i="20" s="1"/>
  <c r="AN77" i="33"/>
  <c r="O42" i="15" s="1"/>
  <c r="AN78" i="33"/>
  <c r="O43" i="15" s="1"/>
  <c r="AM79" i="33"/>
  <c r="AN79" i="33"/>
  <c r="AM82" i="33"/>
  <c r="AN82" i="33"/>
  <c r="AM83" i="33"/>
  <c r="AN83" i="33"/>
  <c r="AM84" i="33"/>
  <c r="AN84" i="33"/>
  <c r="AM85" i="33"/>
  <c r="AN85" i="33"/>
  <c r="AM86" i="33"/>
  <c r="AN86" i="33"/>
  <c r="AM87" i="33"/>
  <c r="AN87" i="33"/>
  <c r="AM88" i="33"/>
  <c r="AN88" i="33"/>
  <c r="AM89" i="33"/>
  <c r="AN89" i="33"/>
  <c r="AM90" i="33"/>
  <c r="AN90" i="33"/>
  <c r="V7" i="15" l="1"/>
  <c r="V6" i="20"/>
  <c r="V13" i="15"/>
  <c r="P20" i="20"/>
  <c r="V5" i="15"/>
  <c r="V34" i="15"/>
  <c r="V36" i="15"/>
  <c r="V9" i="15"/>
  <c r="V10" i="15"/>
  <c r="V12" i="15"/>
  <c r="V33" i="15"/>
  <c r="V30" i="15"/>
  <c r="V31" i="15"/>
  <c r="V32" i="15"/>
  <c r="V11" i="15"/>
  <c r="V15" i="20"/>
  <c r="V5" i="20"/>
  <c r="V15" i="15"/>
  <c r="V16" i="15"/>
  <c r="V17" i="15"/>
  <c r="V19" i="15"/>
  <c r="V20" i="15"/>
  <c r="V22" i="15"/>
  <c r="V24" i="15"/>
  <c r="V8" i="20"/>
  <c r="V9" i="20"/>
  <c r="V12" i="20"/>
  <c r="V14" i="20"/>
  <c r="V26" i="15"/>
  <c r="V27" i="15"/>
  <c r="V40" i="15"/>
  <c r="V18" i="20"/>
  <c r="Z18" i="20" s="1"/>
  <c r="V13" i="20"/>
  <c r="V7" i="20"/>
  <c r="V17" i="20"/>
  <c r="Z17" i="20" s="1"/>
  <c r="V8" i="15"/>
  <c r="V22" i="20"/>
  <c r="Z22" i="20" s="1"/>
  <c r="V4" i="20"/>
  <c r="V42" i="15"/>
  <c r="V38" i="15"/>
  <c r="V14" i="15"/>
  <c r="P17" i="20"/>
  <c r="V20" i="20"/>
  <c r="Z20" i="20" s="1"/>
  <c r="V43" i="15"/>
  <c r="V41" i="15"/>
  <c r="V39" i="15"/>
  <c r="V37" i="15"/>
  <c r="AH6" i="42"/>
  <c r="AH8" i="42" s="1"/>
  <c r="P6" i="42" l="1"/>
  <c r="M6" i="42"/>
  <c r="G6" i="42"/>
  <c r="AB6" i="28" l="1"/>
  <c r="Y3" i="28"/>
  <c r="W5" i="33" l="1"/>
  <c r="G6" i="33" l="1"/>
  <c r="G8" i="33" s="1"/>
  <c r="H6" i="33"/>
  <c r="H8" i="33" s="1"/>
  <c r="I6" i="33"/>
  <c r="I8" i="33" s="1"/>
  <c r="J6" i="33"/>
  <c r="J8" i="33" s="1"/>
  <c r="K6" i="33"/>
  <c r="K8" i="33" s="1"/>
  <c r="L6" i="33"/>
  <c r="L8" i="33" s="1"/>
  <c r="M6" i="33"/>
  <c r="M8" i="33" s="1"/>
  <c r="N6" i="33"/>
  <c r="N8" i="33" s="1"/>
  <c r="O6" i="33"/>
  <c r="O8" i="33" s="1"/>
  <c r="P6" i="33"/>
  <c r="P8" i="33" s="1"/>
  <c r="Q6" i="33"/>
  <c r="Q8" i="33" s="1"/>
  <c r="R6" i="33"/>
  <c r="R8" i="33" s="1"/>
  <c r="S6" i="33"/>
  <c r="S8" i="33" s="1"/>
  <c r="T6" i="33"/>
  <c r="T8" i="33" s="1"/>
  <c r="U6" i="33"/>
  <c r="U8" i="33" s="1"/>
  <c r="V6" i="33"/>
  <c r="V8" i="33" s="1"/>
  <c r="X6" i="33"/>
  <c r="X8" i="33" s="1"/>
  <c r="Y6" i="33"/>
  <c r="Y8" i="33" s="1"/>
  <c r="Z6" i="33"/>
  <c r="Z8" i="33" s="1"/>
  <c r="AA6" i="33"/>
  <c r="AA8" i="33" s="1"/>
  <c r="AB6" i="33"/>
  <c r="AB8" i="33" s="1"/>
  <c r="AC6" i="33"/>
  <c r="AC8" i="33" s="1"/>
  <c r="AD6" i="33"/>
  <c r="AD8" i="33" s="1"/>
  <c r="AE6" i="33"/>
  <c r="AE8" i="33" s="1"/>
  <c r="AF6" i="33"/>
  <c r="AF8" i="33" s="1"/>
  <c r="AG6" i="33"/>
  <c r="AG8" i="33" s="1"/>
  <c r="AH6" i="33"/>
  <c r="AH8" i="33" s="1"/>
  <c r="AI6" i="33"/>
  <c r="AI8" i="33" s="1"/>
  <c r="AJ6" i="33"/>
  <c r="AJ8" i="33" s="1"/>
  <c r="K3" i="33"/>
  <c r="K5" i="33" s="1"/>
  <c r="L3" i="33"/>
  <c r="L5" i="33" s="1"/>
  <c r="M3" i="33"/>
  <c r="M5" i="33" s="1"/>
  <c r="N3" i="33"/>
  <c r="N5" i="33" s="1"/>
  <c r="O3" i="33"/>
  <c r="O5" i="33" s="1"/>
  <c r="P3" i="33"/>
  <c r="P5" i="33" s="1"/>
  <c r="Q3" i="33"/>
  <c r="Q5" i="33" s="1"/>
  <c r="R3" i="33"/>
  <c r="R5" i="33" s="1"/>
  <c r="S3" i="33"/>
  <c r="S5" i="33" s="1"/>
  <c r="T3" i="33"/>
  <c r="T5" i="33" s="1"/>
  <c r="U3" i="33"/>
  <c r="U5" i="33" s="1"/>
  <c r="V3" i="33"/>
  <c r="X3" i="33"/>
  <c r="X5" i="33" s="1"/>
  <c r="Y3" i="33"/>
  <c r="Y5" i="33" s="1"/>
  <c r="Z3" i="33"/>
  <c r="Z5" i="33" s="1"/>
  <c r="AA3" i="33"/>
  <c r="AA5" i="33" s="1"/>
  <c r="AB3" i="33"/>
  <c r="AB5" i="33" s="1"/>
  <c r="AC3" i="33"/>
  <c r="AC5" i="33" s="1"/>
  <c r="AD3" i="33"/>
  <c r="AD5" i="33" s="1"/>
  <c r="AE3" i="33"/>
  <c r="AE5" i="33" s="1"/>
  <c r="AF3" i="33"/>
  <c r="AF5" i="33" s="1"/>
  <c r="AG3" i="33"/>
  <c r="AG5" i="33" s="1"/>
  <c r="AH3" i="33"/>
  <c r="AH5" i="33" s="1"/>
  <c r="AI3" i="33"/>
  <c r="AI5" i="33" s="1"/>
  <c r="AJ5" i="33"/>
  <c r="AE6" i="28"/>
  <c r="AE8" i="28" s="1"/>
  <c r="AF6" i="28"/>
  <c r="AF8" i="28" s="1"/>
  <c r="AG6" i="28"/>
  <c r="AG8" i="28" s="1"/>
  <c r="AH6" i="28"/>
  <c r="AH8" i="28" s="1"/>
  <c r="AI6" i="28"/>
  <c r="AI8" i="28" s="1"/>
  <c r="T6" i="28"/>
  <c r="T8" i="28" s="1"/>
  <c r="U6" i="28"/>
  <c r="U8" i="28" s="1"/>
  <c r="V6" i="28"/>
  <c r="V8" i="28" s="1"/>
  <c r="W6" i="28"/>
  <c r="W8" i="28" s="1"/>
  <c r="X6" i="28"/>
  <c r="X8" i="28" s="1"/>
  <c r="Y6" i="28"/>
  <c r="Y8" i="28" s="1"/>
  <c r="S6" i="28"/>
  <c r="S8" i="28" s="1"/>
  <c r="P6" i="28"/>
  <c r="P8" i="28" s="1"/>
  <c r="M6" i="28"/>
  <c r="M8" i="28" s="1"/>
  <c r="J6" i="28"/>
  <c r="J8" i="28" s="1"/>
  <c r="G6" i="28"/>
  <c r="G8" i="28" s="1"/>
  <c r="AI6" i="42"/>
  <c r="AI8" i="42" s="1"/>
  <c r="AF6" i="42"/>
  <c r="AD6" i="42"/>
  <c r="AC6" i="42"/>
  <c r="AA6" i="42"/>
  <c r="Z6" i="42"/>
  <c r="X6" i="42"/>
  <c r="U6" i="42"/>
  <c r="T6" i="42"/>
  <c r="R6" i="42"/>
  <c r="Q6" i="42"/>
  <c r="O6" i="42"/>
  <c r="K6" i="42"/>
  <c r="I6" i="42"/>
  <c r="I8" i="42" s="1"/>
  <c r="H6" i="42"/>
  <c r="H8" i="42" s="1"/>
  <c r="F6" i="42"/>
  <c r="F8" i="42" s="1"/>
  <c r="E6" i="42"/>
  <c r="AI3" i="42"/>
  <c r="AI5" i="42" s="1"/>
  <c r="AH3" i="42"/>
  <c r="AH5" i="42" s="1"/>
  <c r="AH9" i="42" s="1"/>
  <c r="AG3" i="42"/>
  <c r="AF3" i="42"/>
  <c r="AE3" i="42"/>
  <c r="AD3" i="42"/>
  <c r="AC3" i="42"/>
  <c r="AB3" i="42"/>
  <c r="AA3" i="42"/>
  <c r="Z3" i="42"/>
  <c r="Y3" i="42"/>
  <c r="X3" i="42"/>
  <c r="W3" i="42"/>
  <c r="V3" i="42"/>
  <c r="T3" i="42"/>
  <c r="R3" i="42"/>
  <c r="Q3" i="42"/>
  <c r="P3" i="42"/>
  <c r="O3" i="42"/>
  <c r="N3" i="42"/>
  <c r="M3" i="42"/>
  <c r="L3" i="42"/>
  <c r="K3" i="42"/>
  <c r="I3" i="42"/>
  <c r="H3" i="42"/>
  <c r="G3" i="42"/>
  <c r="F3" i="42"/>
  <c r="AP90" i="33"/>
  <c r="AL90" i="33"/>
  <c r="AP89" i="33"/>
  <c r="AL89" i="33"/>
  <c r="AP88" i="33"/>
  <c r="AL88" i="33"/>
  <c r="AP87" i="33"/>
  <c r="AL87" i="33"/>
  <c r="AP86" i="33"/>
  <c r="AL86" i="33"/>
  <c r="AP85" i="33"/>
  <c r="AL85" i="33"/>
  <c r="AP84" i="33"/>
  <c r="AL84" i="33"/>
  <c r="AP83" i="33"/>
  <c r="AL83" i="33"/>
  <c r="AP82" i="33"/>
  <c r="AL82" i="33"/>
  <c r="AP79" i="33"/>
  <c r="AL79" i="33"/>
  <c r="AP75" i="33"/>
  <c r="AL75" i="33"/>
  <c r="AP72" i="33"/>
  <c r="AL72" i="33"/>
  <c r="AP71" i="33"/>
  <c r="AL71" i="33"/>
  <c r="AP69" i="33"/>
  <c r="AL69" i="33"/>
  <c r="AP68" i="33"/>
  <c r="AL68" i="33"/>
  <c r="AP67" i="33"/>
  <c r="AL67" i="33"/>
  <c r="AP66" i="33"/>
  <c r="AL66" i="33"/>
  <c r="AP64" i="33"/>
  <c r="AL64" i="33"/>
  <c r="AP63" i="33"/>
  <c r="AL63" i="33"/>
  <c r="AP62" i="33"/>
  <c r="AL62" i="33"/>
  <c r="AP61" i="33"/>
  <c r="AL61" i="33"/>
  <c r="AP60" i="33"/>
  <c r="AL60" i="33"/>
  <c r="AP56" i="33"/>
  <c r="AL56" i="33"/>
  <c r="AP55" i="33"/>
  <c r="AL55" i="33"/>
  <c r="AP51" i="33"/>
  <c r="AL51" i="33"/>
  <c r="AP50" i="33"/>
  <c r="AL50" i="33"/>
  <c r="AP49" i="33"/>
  <c r="AL49" i="33"/>
  <c r="AP48" i="33"/>
  <c r="AL48" i="33"/>
  <c r="AP47" i="33"/>
  <c r="AL47" i="33"/>
  <c r="AP46" i="33"/>
  <c r="AL46" i="33"/>
  <c r="AP45" i="33"/>
  <c r="AL45" i="33"/>
  <c r="AP44" i="33"/>
  <c r="AL44" i="33"/>
  <c r="AP43" i="33"/>
  <c r="AL43" i="33"/>
  <c r="AP42" i="33"/>
  <c r="AL42" i="33"/>
  <c r="AP40" i="33"/>
  <c r="AL40" i="33"/>
  <c r="AP38" i="33"/>
  <c r="AL38" i="33"/>
  <c r="AP37" i="33"/>
  <c r="AL37" i="33"/>
  <c r="AP36" i="33"/>
  <c r="AL36" i="33"/>
  <c r="AP34" i="33"/>
  <c r="AL34" i="33"/>
  <c r="AP33" i="33"/>
  <c r="AL33" i="33"/>
  <c r="AP32" i="33"/>
  <c r="AL32" i="33"/>
  <c r="AP31" i="33"/>
  <c r="AL31" i="33"/>
  <c r="AP30" i="33"/>
  <c r="AL30" i="33"/>
  <c r="AP29" i="33"/>
  <c r="AL29" i="33"/>
  <c r="AP28" i="33"/>
  <c r="AL28" i="33"/>
  <c r="AP25" i="33"/>
  <c r="AL25" i="33"/>
  <c r="AP24" i="33"/>
  <c r="AL24" i="33"/>
  <c r="AP23" i="33"/>
  <c r="AL23" i="33"/>
  <c r="AP20" i="33"/>
  <c r="AL20" i="33"/>
  <c r="AP19" i="33"/>
  <c r="AL19" i="33"/>
  <c r="AP18" i="33"/>
  <c r="AL18" i="33"/>
  <c r="AP17" i="33"/>
  <c r="AL17" i="33"/>
  <c r="AP16" i="33"/>
  <c r="AL16" i="33"/>
  <c r="AP15" i="33"/>
  <c r="AL15" i="33"/>
  <c r="AP13" i="33"/>
  <c r="AL13" i="33"/>
  <c r="AP12" i="33"/>
  <c r="AL12" i="33"/>
  <c r="F6" i="33"/>
  <c r="F8" i="33" s="1"/>
  <c r="E6" i="33"/>
  <c r="E8" i="33" s="1"/>
  <c r="E5" i="33"/>
  <c r="J5" i="33"/>
  <c r="I5" i="33"/>
  <c r="H3" i="33"/>
  <c r="H5" i="33" s="1"/>
  <c r="G3" i="33"/>
  <c r="G5" i="33" s="1"/>
  <c r="F5" i="33"/>
  <c r="AL90" i="28"/>
  <c r="AO90" i="28" s="1"/>
  <c r="AK90" i="28"/>
  <c r="AL89" i="28"/>
  <c r="AO89" i="28" s="1"/>
  <c r="AK89" i="28"/>
  <c r="AL88" i="28"/>
  <c r="AO88" i="28" s="1"/>
  <c r="AK88" i="28"/>
  <c r="AL87" i="28"/>
  <c r="AO87" i="28" s="1"/>
  <c r="AK87" i="28"/>
  <c r="AL86" i="28"/>
  <c r="AO86" i="28" s="1"/>
  <c r="AK86" i="28"/>
  <c r="AL85" i="28"/>
  <c r="AO85" i="28" s="1"/>
  <c r="AK85" i="28"/>
  <c r="AL84" i="28"/>
  <c r="AO84" i="28" s="1"/>
  <c r="AK84" i="28"/>
  <c r="AL83" i="28"/>
  <c r="AO83" i="28" s="1"/>
  <c r="AK83" i="28"/>
  <c r="AL82" i="28"/>
  <c r="AO82" i="28" s="1"/>
  <c r="AK82" i="28"/>
  <c r="AL81" i="28"/>
  <c r="AK81" i="28"/>
  <c r="AL80" i="28"/>
  <c r="AK80" i="28"/>
  <c r="AL79" i="28"/>
  <c r="AO79" i="28" s="1"/>
  <c r="AK79" i="28"/>
  <c r="AL76" i="28"/>
  <c r="AK76" i="28"/>
  <c r="AL75" i="28"/>
  <c r="AK75" i="28"/>
  <c r="AL73" i="28"/>
  <c r="AK73" i="28"/>
  <c r="AL71" i="28"/>
  <c r="AK71" i="28"/>
  <c r="AL70" i="28"/>
  <c r="AK70" i="28"/>
  <c r="AL67" i="28"/>
  <c r="AK67" i="28"/>
  <c r="AL66" i="28"/>
  <c r="AK66" i="28"/>
  <c r="AL62" i="28"/>
  <c r="AK62" i="28"/>
  <c r="AL61" i="28"/>
  <c r="AK61" i="28"/>
  <c r="AL60" i="28"/>
  <c r="AK60" i="28"/>
  <c r="AL59" i="28"/>
  <c r="AK59" i="28"/>
  <c r="AL58" i="28"/>
  <c r="AK58" i="28"/>
  <c r="AL55" i="28"/>
  <c r="AK55" i="28"/>
  <c r="AL53" i="28"/>
  <c r="AK53" i="28"/>
  <c r="AL52" i="28"/>
  <c r="AK52" i="28"/>
  <c r="AL51" i="28"/>
  <c r="AK51" i="28"/>
  <c r="AL50" i="28"/>
  <c r="AO50" i="28" s="1"/>
  <c r="AK50" i="28"/>
  <c r="AL49" i="28"/>
  <c r="AO49" i="28" s="1"/>
  <c r="AK49" i="28"/>
  <c r="AL48" i="28"/>
  <c r="AO48" i="28" s="1"/>
  <c r="AK48" i="28"/>
  <c r="AL47" i="28"/>
  <c r="AO47" i="28" s="1"/>
  <c r="AK47" i="28"/>
  <c r="AL46" i="28"/>
  <c r="AO46" i="28" s="1"/>
  <c r="AK46" i="28"/>
  <c r="AL45" i="28"/>
  <c r="AO45" i="28" s="1"/>
  <c r="AK45" i="28"/>
  <c r="AL44" i="28"/>
  <c r="AO44" i="28" s="1"/>
  <c r="AK44" i="28"/>
  <c r="AL43" i="28"/>
  <c r="AO43" i="28" s="1"/>
  <c r="AK43" i="28"/>
  <c r="AL42" i="28"/>
  <c r="AO42" i="28" s="1"/>
  <c r="AK42" i="28"/>
  <c r="AL41" i="28"/>
  <c r="AK41" i="28"/>
  <c r="AL40" i="28"/>
  <c r="AK40" i="28"/>
  <c r="AL39" i="28"/>
  <c r="AK39" i="28"/>
  <c r="AL38" i="28"/>
  <c r="AK38" i="28"/>
  <c r="AL36" i="28"/>
  <c r="AK36" i="28"/>
  <c r="AL35" i="28"/>
  <c r="AK35" i="28"/>
  <c r="AL32" i="28"/>
  <c r="AK32" i="28"/>
  <c r="AL30" i="28"/>
  <c r="AK30" i="28"/>
  <c r="AL29" i="28"/>
  <c r="AK29" i="28"/>
  <c r="AL28" i="28"/>
  <c r="AK28" i="28"/>
  <c r="AL27" i="28"/>
  <c r="AK27" i="28"/>
  <c r="AL26" i="28"/>
  <c r="AK26" i="28"/>
  <c r="AL25" i="28"/>
  <c r="AK25" i="28"/>
  <c r="AL24" i="28"/>
  <c r="AK24" i="28"/>
  <c r="AL22" i="28"/>
  <c r="AK22" i="28"/>
  <c r="AL19" i="28"/>
  <c r="AK19" i="28"/>
  <c r="AL18" i="28"/>
  <c r="AK18" i="28"/>
  <c r="AL17" i="28"/>
  <c r="AK17" i="28"/>
  <c r="AL14" i="28"/>
  <c r="AK14" i="28"/>
  <c r="AL13" i="28"/>
  <c r="AK13" i="28"/>
  <c r="AL12" i="28"/>
  <c r="AK12" i="28"/>
  <c r="AQ9" i="28"/>
  <c r="AO9" i="28"/>
  <c r="AB8" i="28"/>
  <c r="AD6" i="28"/>
  <c r="AD8" i="28" s="1"/>
  <c r="AC6" i="28"/>
  <c r="AC8" i="28" s="1"/>
  <c r="AA6" i="28"/>
  <c r="AA8" i="28" s="1"/>
  <c r="Z6" i="28"/>
  <c r="Z8" i="28" s="1"/>
  <c r="R6" i="28"/>
  <c r="R8" i="28" s="1"/>
  <c r="Q6" i="28"/>
  <c r="Q8" i="28" s="1"/>
  <c r="O6" i="28"/>
  <c r="O8" i="28" s="1"/>
  <c r="N6" i="28"/>
  <c r="N8" i="28" s="1"/>
  <c r="L6" i="28"/>
  <c r="L8" i="28" s="1"/>
  <c r="K6" i="28"/>
  <c r="K8" i="28" s="1"/>
  <c r="I6" i="28"/>
  <c r="I8" i="28" s="1"/>
  <c r="H6" i="28"/>
  <c r="H8" i="28" s="1"/>
  <c r="F6" i="28"/>
  <c r="F8" i="28" s="1"/>
  <c r="E6" i="28"/>
  <c r="E8" i="28" s="1"/>
  <c r="E5" i="28"/>
  <c r="AI3" i="28"/>
  <c r="AI5" i="28" s="1"/>
  <c r="AH3" i="28"/>
  <c r="AH5" i="28" s="1"/>
  <c r="AG3" i="28"/>
  <c r="AG5" i="28" s="1"/>
  <c r="AF5" i="28"/>
  <c r="AE3" i="28"/>
  <c r="AE5" i="28" s="1"/>
  <c r="AD3" i="28"/>
  <c r="AD5" i="28" s="1"/>
  <c r="AC3" i="28"/>
  <c r="AC5" i="28" s="1"/>
  <c r="AB3" i="28"/>
  <c r="AB5" i="28" s="1"/>
  <c r="AA3" i="28"/>
  <c r="AA5" i="28" s="1"/>
  <c r="Z3" i="28"/>
  <c r="Z5" i="28" s="1"/>
  <c r="Y5" i="28"/>
  <c r="X3" i="28"/>
  <c r="X5" i="28" s="1"/>
  <c r="W3" i="28"/>
  <c r="W5" i="28" s="1"/>
  <c r="V3" i="28"/>
  <c r="V5" i="28" s="1"/>
  <c r="U3" i="28"/>
  <c r="U5" i="28" s="1"/>
  <c r="T3" i="28"/>
  <c r="T5" i="28" s="1"/>
  <c r="S3" i="28"/>
  <c r="S5" i="28" s="1"/>
  <c r="R3" i="28"/>
  <c r="R5" i="28" s="1"/>
  <c r="Q3" i="28"/>
  <c r="Q5" i="28" s="1"/>
  <c r="P3" i="28"/>
  <c r="P5" i="28" s="1"/>
  <c r="O3" i="28"/>
  <c r="O5" i="28" s="1"/>
  <c r="N3" i="28"/>
  <c r="N5" i="28" s="1"/>
  <c r="M3" i="28"/>
  <c r="M5" i="28" s="1"/>
  <c r="L3" i="28"/>
  <c r="L5" i="28" s="1"/>
  <c r="K3" i="28"/>
  <c r="K5" i="28" s="1"/>
  <c r="J3" i="28"/>
  <c r="J5" i="28" s="1"/>
  <c r="I3" i="28"/>
  <c r="I5" i="28" s="1"/>
  <c r="H3" i="28"/>
  <c r="H5" i="28" s="1"/>
  <c r="G5" i="28"/>
  <c r="F3" i="28"/>
  <c r="F5" i="28" s="1"/>
  <c r="AI9" i="42" l="1"/>
  <c r="AP3" i="33"/>
  <c r="AP6" i="33"/>
  <c r="AQ6" i="33"/>
  <c r="AO3" i="33"/>
  <c r="AR3" i="33"/>
  <c r="AR6" i="33"/>
  <c r="AO6" i="33"/>
  <c r="AO81" i="28"/>
  <c r="AP81" i="28" s="1"/>
  <c r="J45" i="15"/>
  <c r="AO80" i="28"/>
  <c r="AP80" i="28" s="1"/>
  <c r="J44" i="15"/>
  <c r="AO76" i="28"/>
  <c r="AP76" i="28" s="1"/>
  <c r="J21" i="20"/>
  <c r="AO75" i="28"/>
  <c r="AP75" i="28" s="1"/>
  <c r="J20" i="20"/>
  <c r="AO73" i="28"/>
  <c r="AP73" i="28" s="1"/>
  <c r="J18" i="20"/>
  <c r="AO71" i="28"/>
  <c r="AP71" i="28" s="1"/>
  <c r="J40" i="15"/>
  <c r="U40" i="15" s="1"/>
  <c r="AO70" i="28"/>
  <c r="AP70" i="28" s="1"/>
  <c r="J39" i="15"/>
  <c r="AO67" i="28"/>
  <c r="AP67" i="28" s="1"/>
  <c r="J37" i="15"/>
  <c r="U37" i="15" s="1"/>
  <c r="AO66" i="28"/>
  <c r="AP66" i="28" s="1"/>
  <c r="J36" i="15"/>
  <c r="U36" i="15" s="1"/>
  <c r="AO62" i="28"/>
  <c r="AP62" i="28" s="1"/>
  <c r="J32" i="15"/>
  <c r="U32" i="15" s="1"/>
  <c r="AO61" i="28"/>
  <c r="AP61" i="28" s="1"/>
  <c r="J31" i="15"/>
  <c r="U31" i="15" s="1"/>
  <c r="AO60" i="28"/>
  <c r="AP60" i="28" s="1"/>
  <c r="J30" i="15"/>
  <c r="U30" i="15" s="1"/>
  <c r="AO59" i="28"/>
  <c r="AP59" i="28" s="1"/>
  <c r="J29" i="15"/>
  <c r="AO58" i="28"/>
  <c r="AP58" i="28" s="1"/>
  <c r="J16" i="20"/>
  <c r="AO55" i="28"/>
  <c r="AP55" i="28" s="1"/>
  <c r="J14" i="20"/>
  <c r="U14" i="20" s="1"/>
  <c r="AO53" i="28"/>
  <c r="AP53" i="28" s="1"/>
  <c r="J26" i="15"/>
  <c r="AO52" i="28"/>
  <c r="AP52" i="28" s="1"/>
  <c r="J25" i="15"/>
  <c r="AO51" i="28"/>
  <c r="AP51" i="28" s="1"/>
  <c r="J24" i="15"/>
  <c r="U24" i="15" s="1"/>
  <c r="AO41" i="28"/>
  <c r="AP41" i="28" s="1"/>
  <c r="J23" i="15"/>
  <c r="AO40" i="28"/>
  <c r="AP40" i="28" s="1"/>
  <c r="J22" i="15"/>
  <c r="U22" i="15" s="1"/>
  <c r="AO39" i="28"/>
  <c r="AP39" i="28" s="1"/>
  <c r="J21" i="15"/>
  <c r="AO38" i="28"/>
  <c r="AP38" i="28" s="1"/>
  <c r="J13" i="20"/>
  <c r="U13" i="20" s="1"/>
  <c r="AO36" i="28"/>
  <c r="AP36" i="28" s="1"/>
  <c r="J19" i="15"/>
  <c r="U19" i="15" s="1"/>
  <c r="AO35" i="28"/>
  <c r="AP35" i="28" s="1"/>
  <c r="J18" i="15"/>
  <c r="AO32" i="28"/>
  <c r="AP32" i="28" s="1"/>
  <c r="J15" i="15"/>
  <c r="U15" i="15" s="1"/>
  <c r="AO30" i="28"/>
  <c r="AP30" i="28" s="1"/>
  <c r="J14" i="15"/>
  <c r="U14" i="15" s="1"/>
  <c r="AO29" i="28"/>
  <c r="AP29" i="28" s="1"/>
  <c r="J13" i="15"/>
  <c r="U13" i="15" s="1"/>
  <c r="AO28" i="28"/>
  <c r="AP28" i="28" s="1"/>
  <c r="J22" i="20"/>
  <c r="AO27" i="28"/>
  <c r="AP27" i="28" s="1"/>
  <c r="J11" i="20"/>
  <c r="AO26" i="28"/>
  <c r="AP26" i="28" s="1"/>
  <c r="J10" i="20"/>
  <c r="AO25" i="28"/>
  <c r="AP25" i="28" s="1"/>
  <c r="J12" i="15"/>
  <c r="U12" i="15" s="1"/>
  <c r="AO24" i="28"/>
  <c r="AP24" i="28" s="1"/>
  <c r="J11" i="15"/>
  <c r="U11" i="15" s="1"/>
  <c r="AO22" i="28"/>
  <c r="AP22" i="28" s="1"/>
  <c r="J9" i="15"/>
  <c r="AO19" i="28"/>
  <c r="AP19" i="28" s="1"/>
  <c r="J7" i="20"/>
  <c r="U7" i="20" s="1"/>
  <c r="AO18" i="28"/>
  <c r="AP18" i="28" s="1"/>
  <c r="J8" i="15"/>
  <c r="U8" i="15" s="1"/>
  <c r="AO17" i="28"/>
  <c r="AP17" i="28" s="1"/>
  <c r="J6" i="20"/>
  <c r="U6" i="20" s="1"/>
  <c r="AO14" i="28"/>
  <c r="AP14" i="28" s="1"/>
  <c r="J6" i="15"/>
  <c r="AO13" i="28"/>
  <c r="AP13" i="28" s="1"/>
  <c r="J4" i="20"/>
  <c r="U4" i="20" s="1"/>
  <c r="AO12" i="28"/>
  <c r="AP12" i="28" s="1"/>
  <c r="J5" i="15"/>
  <c r="U5" i="15" s="1"/>
  <c r="K6" i="3"/>
  <c r="K6" i="12"/>
  <c r="K4" i="3"/>
  <c r="K10" i="3" s="1"/>
  <c r="K4" i="12"/>
  <c r="V5" i="33"/>
  <c r="AQ3" i="33" s="1"/>
  <c r="AD9" i="33"/>
  <c r="Z9" i="33"/>
  <c r="Z74" i="33" s="1"/>
  <c r="Q9" i="33"/>
  <c r="Q74" i="33" s="1"/>
  <c r="AB9" i="28"/>
  <c r="AB23" i="28" s="1"/>
  <c r="AP43" i="28"/>
  <c r="T9" i="33"/>
  <c r="T74" i="33" s="1"/>
  <c r="AI9" i="28"/>
  <c r="AP50" i="28"/>
  <c r="AC9" i="33"/>
  <c r="AE9" i="33"/>
  <c r="W9" i="33"/>
  <c r="R9" i="33"/>
  <c r="R74" i="33" s="1"/>
  <c r="N9" i="33"/>
  <c r="N14" i="33" s="1"/>
  <c r="AQ13" i="33"/>
  <c r="AQ15" i="33"/>
  <c r="AQ17" i="33"/>
  <c r="AQ19" i="33"/>
  <c r="AQ23" i="33"/>
  <c r="AQ25" i="33"/>
  <c r="AQ29" i="33"/>
  <c r="AQ31" i="33"/>
  <c r="AQ33" i="33"/>
  <c r="AQ37" i="33"/>
  <c r="AQ43" i="33"/>
  <c r="AQ45" i="33"/>
  <c r="AQ47" i="33"/>
  <c r="AQ49" i="33"/>
  <c r="AQ51" i="33"/>
  <c r="AQ55" i="33"/>
  <c r="AQ61" i="33"/>
  <c r="AQ63" i="33"/>
  <c r="AQ67" i="33"/>
  <c r="AQ69" i="33"/>
  <c r="AQ71" i="33"/>
  <c r="AQ75" i="33"/>
  <c r="AQ79" i="33"/>
  <c r="AQ83" i="33"/>
  <c r="AQ85" i="33"/>
  <c r="AQ87" i="33"/>
  <c r="AQ89" i="33"/>
  <c r="AP47" i="28"/>
  <c r="AP79" i="28"/>
  <c r="AP84" i="28"/>
  <c r="M9" i="28"/>
  <c r="M15" i="28" s="1"/>
  <c r="AP88" i="28"/>
  <c r="L9" i="33"/>
  <c r="L14" i="33" s="1"/>
  <c r="P9" i="33"/>
  <c r="P14" i="33" s="1"/>
  <c r="Y9" i="33"/>
  <c r="Y74" i="33" s="1"/>
  <c r="AP44" i="28"/>
  <c r="AP85" i="28"/>
  <c r="K9" i="28"/>
  <c r="K16" i="28" s="1"/>
  <c r="AP46" i="28"/>
  <c r="AP87" i="28"/>
  <c r="H9" i="33"/>
  <c r="AG9" i="33"/>
  <c r="AG39" i="33" s="1"/>
  <c r="L9" i="28"/>
  <c r="L31" i="28" s="1"/>
  <c r="AF9" i="28"/>
  <c r="AF23" i="28" s="1"/>
  <c r="AP42" i="28"/>
  <c r="AP48" i="28"/>
  <c r="AP83" i="28"/>
  <c r="AP89" i="28"/>
  <c r="I9" i="33"/>
  <c r="M9" i="33"/>
  <c r="M14" i="33" s="1"/>
  <c r="U9" i="33"/>
  <c r="U74" i="33" s="1"/>
  <c r="AH9" i="33"/>
  <c r="J9" i="33"/>
  <c r="AA9" i="33"/>
  <c r="AA74" i="33" s="1"/>
  <c r="AI9" i="33"/>
  <c r="AQ12" i="33"/>
  <c r="AQ16" i="33"/>
  <c r="AQ18" i="33"/>
  <c r="AQ20" i="33"/>
  <c r="AQ24" i="33"/>
  <c r="AQ28" i="33"/>
  <c r="AQ30" i="33"/>
  <c r="AQ32" i="33"/>
  <c r="AQ34" i="33"/>
  <c r="AQ36" i="33"/>
  <c r="AQ38" i="33"/>
  <c r="AQ40" i="33"/>
  <c r="AQ42" i="33"/>
  <c r="AQ44" i="33"/>
  <c r="AQ46" i="33"/>
  <c r="AQ48" i="33"/>
  <c r="AQ50" i="33"/>
  <c r="AQ56" i="33"/>
  <c r="AQ60" i="33"/>
  <c r="AQ62" i="33"/>
  <c r="AQ64" i="33"/>
  <c r="AQ66" i="33"/>
  <c r="AQ68" i="33"/>
  <c r="AQ72" i="33"/>
  <c r="AQ82" i="33"/>
  <c r="AQ84" i="33"/>
  <c r="AQ86" i="33"/>
  <c r="AQ88" i="33"/>
  <c r="AQ90" i="33"/>
  <c r="N9" i="28"/>
  <c r="N21" i="28" s="1"/>
  <c r="Z9" i="28"/>
  <c r="AD9" i="28"/>
  <c r="AP45" i="28"/>
  <c r="AP49" i="28"/>
  <c r="AP82" i="28"/>
  <c r="AP86" i="28"/>
  <c r="AP90" i="28"/>
  <c r="K9" i="33"/>
  <c r="K14" i="33" s="1"/>
  <c r="O9" i="33"/>
  <c r="O14" i="33" s="1"/>
  <c r="S9" i="33"/>
  <c r="S74" i="33" s="1"/>
  <c r="X9" i="33"/>
  <c r="X74" i="33" s="1"/>
  <c r="AF9" i="33"/>
  <c r="AJ9" i="33"/>
  <c r="X9" i="28"/>
  <c r="X64" i="28" s="1"/>
  <c r="V9" i="28"/>
  <c r="V56" i="28" s="1"/>
  <c r="T9" i="28"/>
  <c r="T64" i="28" s="1"/>
  <c r="AH9" i="28"/>
  <c r="AE9" i="28"/>
  <c r="AE23" i="28" s="1"/>
  <c r="W9" i="28"/>
  <c r="Y9" i="28"/>
  <c r="S9" i="28"/>
  <c r="S54" i="28" s="1"/>
  <c r="R9" i="28"/>
  <c r="P9" i="28"/>
  <c r="P21" i="28" s="1"/>
  <c r="O9" i="28"/>
  <c r="O37" i="28" s="1"/>
  <c r="J9" i="28"/>
  <c r="J31" i="28" s="1"/>
  <c r="H9" i="28"/>
  <c r="E9" i="28"/>
  <c r="G9" i="33"/>
  <c r="AL3" i="33"/>
  <c r="AB9" i="33"/>
  <c r="E9" i="33"/>
  <c r="E59" i="33" s="1"/>
  <c r="AL6" i="33"/>
  <c r="AN6" i="33"/>
  <c r="F9" i="33"/>
  <c r="AM6" i="33"/>
  <c r="AP3" i="28"/>
  <c r="AM3" i="28"/>
  <c r="F9" i="28"/>
  <c r="AN3" i="28"/>
  <c r="G9" i="28"/>
  <c r="AP6" i="28"/>
  <c r="AA9" i="28"/>
  <c r="AA23" i="28" s="1"/>
  <c r="I9" i="28"/>
  <c r="Q9" i="28"/>
  <c r="U9" i="28"/>
  <c r="AC9" i="28"/>
  <c r="AC23" i="28" s="1"/>
  <c r="AG9" i="28"/>
  <c r="AG23" i="28" s="1"/>
  <c r="AN6" i="28"/>
  <c r="AM6" i="28"/>
  <c r="AN81" i="38"/>
  <c r="AN75" i="38"/>
  <c r="AN74" i="38"/>
  <c r="AN73" i="38"/>
  <c r="AN71" i="38"/>
  <c r="AN70" i="38"/>
  <c r="AN64" i="38"/>
  <c r="AN56" i="38"/>
  <c r="AN53" i="38"/>
  <c r="AN52" i="38"/>
  <c r="AN50" i="38"/>
  <c r="AN42" i="38"/>
  <c r="AN36" i="38"/>
  <c r="AN27" i="38"/>
  <c r="AN25" i="38"/>
  <c r="AN24" i="38"/>
  <c r="AN23" i="38"/>
  <c r="AN22" i="38"/>
  <c r="AN19" i="38"/>
  <c r="AN16" i="38"/>
  <c r="AN15" i="38"/>
  <c r="AN13" i="38"/>
  <c r="AN11" i="38"/>
  <c r="AN9" i="38"/>
  <c r="AN85" i="38"/>
  <c r="AN84" i="38"/>
  <c r="AN83" i="38"/>
  <c r="AN82" i="38"/>
  <c r="AN80" i="38"/>
  <c r="AN79" i="38"/>
  <c r="AN78" i="38"/>
  <c r="AN77" i="38"/>
  <c r="AN76" i="38"/>
  <c r="AN72" i="38"/>
  <c r="AN69" i="38"/>
  <c r="AN68" i="38"/>
  <c r="AN67" i="38"/>
  <c r="AN66" i="38"/>
  <c r="AN65" i="38"/>
  <c r="AN63" i="38"/>
  <c r="AN62" i="38"/>
  <c r="AN61" i="38"/>
  <c r="AN60" i="38"/>
  <c r="AN59" i="38"/>
  <c r="AN58" i="38"/>
  <c r="AN57" i="38"/>
  <c r="AN55" i="38"/>
  <c r="AN54" i="38"/>
  <c r="AN51" i="38"/>
  <c r="AN49" i="38"/>
  <c r="AN48" i="38"/>
  <c r="AN47" i="38"/>
  <c r="AN41" i="38"/>
  <c r="AN40" i="38"/>
  <c r="AN39" i="38"/>
  <c r="AN38" i="38"/>
  <c r="AN37" i="38"/>
  <c r="AN35" i="38"/>
  <c r="AN34" i="38"/>
  <c r="AN33" i="38"/>
  <c r="AN32" i="38"/>
  <c r="AN31" i="38"/>
  <c r="AN30" i="38"/>
  <c r="AN29" i="38"/>
  <c r="AN28" i="38"/>
  <c r="AN26" i="38"/>
  <c r="AN21" i="38"/>
  <c r="AN20" i="38"/>
  <c r="AN18" i="38"/>
  <c r="AN17" i="38"/>
  <c r="AN14" i="38"/>
  <c r="AN12" i="38"/>
  <c r="AN10" i="38"/>
  <c r="AN8" i="38"/>
  <c r="AN7" i="38"/>
  <c r="N21" i="3"/>
  <c r="AK74" i="42"/>
  <c r="AL74" i="42"/>
  <c r="AK75" i="42"/>
  <c r="AL75" i="42"/>
  <c r="AK76" i="42"/>
  <c r="AL76" i="42"/>
  <c r="AO76" i="42" s="1"/>
  <c r="AK78" i="42"/>
  <c r="AL78" i="42"/>
  <c r="AK79" i="42"/>
  <c r="AL79" i="42"/>
  <c r="AO79" i="42" s="1"/>
  <c r="AK80" i="42"/>
  <c r="AL80" i="42"/>
  <c r="AO80" i="42" s="1"/>
  <c r="AK81" i="42"/>
  <c r="AL81" i="42"/>
  <c r="AO81" i="42" s="1"/>
  <c r="AK88" i="42"/>
  <c r="AL88" i="42"/>
  <c r="AO88" i="42" s="1"/>
  <c r="AK90" i="42"/>
  <c r="AL90" i="42"/>
  <c r="AO90" i="42" s="1"/>
  <c r="AI24" i="42" l="1"/>
  <c r="AI43" i="42"/>
  <c r="AI30" i="42"/>
  <c r="AI28" i="42"/>
  <c r="AI46" i="42"/>
  <c r="AI21" i="42"/>
  <c r="AI32" i="42"/>
  <c r="AR9" i="33"/>
  <c r="AP9" i="33"/>
  <c r="L21" i="20"/>
  <c r="U20" i="20"/>
  <c r="L20" i="20"/>
  <c r="L18" i="20"/>
  <c r="L22" i="20"/>
  <c r="U22" i="20"/>
  <c r="AI21" i="28"/>
  <c r="AI23" i="28"/>
  <c r="AD16" i="28"/>
  <c r="AD23" i="28"/>
  <c r="AH21" i="28"/>
  <c r="AH23" i="28"/>
  <c r="AL23" i="28"/>
  <c r="AO74" i="42"/>
  <c r="AP74" i="42" s="1"/>
  <c r="R18" i="20"/>
  <c r="S18" i="20" s="1"/>
  <c r="W18" i="20" s="1"/>
  <c r="AA18" i="20" s="1"/>
  <c r="AO75" i="42"/>
  <c r="AP75" i="42" s="1"/>
  <c r="R19" i="20"/>
  <c r="S19" i="20" s="1"/>
  <c r="W19" i="20" s="1"/>
  <c r="AA19" i="20" s="1"/>
  <c r="AO78" i="42"/>
  <c r="AP78" i="42" s="1"/>
  <c r="R21" i="20"/>
  <c r="S21" i="20" s="1"/>
  <c r="W21" i="20" s="1"/>
  <c r="AA21" i="20" s="1"/>
  <c r="AI14" i="33"/>
  <c r="AI39" i="33"/>
  <c r="AI11" i="33"/>
  <c r="AI35" i="33"/>
  <c r="AI27" i="33"/>
  <c r="AI26" i="33"/>
  <c r="AI41" i="33"/>
  <c r="AJ26" i="33"/>
  <c r="AJ41" i="33"/>
  <c r="AJ14" i="33"/>
  <c r="AM14" i="33" s="1"/>
  <c r="N6" i="15" s="1"/>
  <c r="U6" i="15" s="1"/>
  <c r="AJ39" i="33"/>
  <c r="AJ11" i="33"/>
  <c r="AJ35" i="33"/>
  <c r="AJ27" i="33"/>
  <c r="AH11" i="33"/>
  <c r="AH35" i="33"/>
  <c r="AH26" i="33"/>
  <c r="AH27" i="33"/>
  <c r="AH41" i="33"/>
  <c r="AH14" i="33"/>
  <c r="AH39" i="33"/>
  <c r="AG41" i="33"/>
  <c r="AG14" i="33"/>
  <c r="AG35" i="33"/>
  <c r="AG27" i="33"/>
  <c r="AG11" i="33"/>
  <c r="AG26" i="33"/>
  <c r="AH16" i="28"/>
  <c r="AH34" i="28"/>
  <c r="AH15" i="28"/>
  <c r="AH33" i="28"/>
  <c r="AH20" i="28"/>
  <c r="AH37" i="28"/>
  <c r="AH31" i="28"/>
  <c r="AG20" i="28"/>
  <c r="AG37" i="28"/>
  <c r="AG16" i="28"/>
  <c r="AG34" i="28"/>
  <c r="AG31" i="28"/>
  <c r="AG15" i="28"/>
  <c r="AG33" i="28"/>
  <c r="AF31" i="28"/>
  <c r="AF20" i="28"/>
  <c r="AF37" i="28"/>
  <c r="AF15" i="28"/>
  <c r="AF33" i="28"/>
  <c r="AF16" i="28"/>
  <c r="AF34" i="28"/>
  <c r="AI15" i="28"/>
  <c r="AI33" i="28"/>
  <c r="AI31" i="28"/>
  <c r="AI16" i="28"/>
  <c r="AI34" i="28"/>
  <c r="AI20" i="28"/>
  <c r="AI37" i="28"/>
  <c r="AE15" i="28"/>
  <c r="AE33" i="28"/>
  <c r="AE31" i="28"/>
  <c r="AE16" i="28"/>
  <c r="AE34" i="28"/>
  <c r="AE20" i="28"/>
  <c r="AE37" i="28"/>
  <c r="AD31" i="28"/>
  <c r="AD33" i="28"/>
  <c r="AD37" i="28"/>
  <c r="AD20" i="28"/>
  <c r="AD15" i="28"/>
  <c r="AD34" i="28"/>
  <c r="W52" i="33"/>
  <c r="W58" i="33"/>
  <c r="W65" i="33"/>
  <c r="W76" i="33"/>
  <c r="W81" i="33"/>
  <c r="W57" i="33"/>
  <c r="W59" i="33"/>
  <c r="W74" i="33"/>
  <c r="AN74" i="33" s="1"/>
  <c r="O19" i="20" s="1"/>
  <c r="V19" i="20" s="1"/>
  <c r="Z19" i="20" s="1"/>
  <c r="W80" i="33"/>
  <c r="AN3" i="33"/>
  <c r="AN9" i="33" s="1"/>
  <c r="V9" i="33"/>
  <c r="AQ9" i="33"/>
  <c r="AM3" i="33"/>
  <c r="AM9" i="33" s="1"/>
  <c r="T58" i="33"/>
  <c r="T80" i="33"/>
  <c r="T59" i="33"/>
  <c r="T81" i="33"/>
  <c r="T52" i="33"/>
  <c r="T65" i="33"/>
  <c r="T57" i="33"/>
  <c r="T76" i="33"/>
  <c r="Z57" i="33"/>
  <c r="Z76" i="33"/>
  <c r="Z58" i="33"/>
  <c r="Z80" i="33"/>
  <c r="Z59" i="33"/>
  <c r="Z81" i="33"/>
  <c r="Z52" i="33"/>
  <c r="Z65" i="33"/>
  <c r="X59" i="33"/>
  <c r="X81" i="33"/>
  <c r="X52" i="33"/>
  <c r="X65" i="33"/>
  <c r="X57" i="33"/>
  <c r="X76" i="33"/>
  <c r="X58" i="33"/>
  <c r="X80" i="33"/>
  <c r="U57" i="33"/>
  <c r="U76" i="33"/>
  <c r="U58" i="33"/>
  <c r="U80" i="33"/>
  <c r="U59" i="33"/>
  <c r="U81" i="33"/>
  <c r="U52" i="33"/>
  <c r="U65" i="33"/>
  <c r="R52" i="33"/>
  <c r="R65" i="33"/>
  <c r="R57" i="33"/>
  <c r="R76" i="33"/>
  <c r="R58" i="33"/>
  <c r="R80" i="33"/>
  <c r="R59" i="33"/>
  <c r="R81" i="33"/>
  <c r="S59" i="33"/>
  <c r="S81" i="33"/>
  <c r="S52" i="33"/>
  <c r="S65" i="33"/>
  <c r="S57" i="33"/>
  <c r="S76" i="33"/>
  <c r="S58" i="33"/>
  <c r="S80" i="33"/>
  <c r="AA52" i="33"/>
  <c r="AA65" i="33"/>
  <c r="AA57" i="33"/>
  <c r="AA76" i="33"/>
  <c r="AA58" i="33"/>
  <c r="AA80" i="33"/>
  <c r="AA59" i="33"/>
  <c r="AA81" i="33"/>
  <c r="Y58" i="33"/>
  <c r="Y80" i="33"/>
  <c r="Y59" i="33"/>
  <c r="Y81" i="33"/>
  <c r="Y52" i="33"/>
  <c r="Y65" i="33"/>
  <c r="Y57" i="33"/>
  <c r="Y76" i="33"/>
  <c r="Q65" i="33"/>
  <c r="Q81" i="33"/>
  <c r="Q58" i="33"/>
  <c r="Q52" i="33"/>
  <c r="Q80" i="33"/>
  <c r="Q57" i="33"/>
  <c r="Q76" i="33"/>
  <c r="Q59" i="33"/>
  <c r="K11" i="33"/>
  <c r="K21" i="33"/>
  <c r="M11" i="33"/>
  <c r="M21" i="33"/>
  <c r="N11" i="33"/>
  <c r="N21" i="33"/>
  <c r="J11" i="33"/>
  <c r="J21" i="33"/>
  <c r="I11" i="33"/>
  <c r="I21" i="33"/>
  <c r="P11" i="33"/>
  <c r="P21" i="33"/>
  <c r="O11" i="33"/>
  <c r="O21" i="33"/>
  <c r="L11" i="33"/>
  <c r="L21" i="33"/>
  <c r="H21" i="33"/>
  <c r="H11" i="33"/>
  <c r="J27" i="33"/>
  <c r="J35" i="33"/>
  <c r="J22" i="33"/>
  <c r="J39" i="33"/>
  <c r="J26" i="33"/>
  <c r="J41" i="33"/>
  <c r="I35" i="33"/>
  <c r="I22" i="33"/>
  <c r="I39" i="33"/>
  <c r="I27" i="33"/>
  <c r="I26" i="33"/>
  <c r="I41" i="33"/>
  <c r="P22" i="33"/>
  <c r="P39" i="33"/>
  <c r="P26" i="33"/>
  <c r="P41" i="33"/>
  <c r="P35" i="33"/>
  <c r="P27" i="33"/>
  <c r="L22" i="33"/>
  <c r="L39" i="33"/>
  <c r="L26" i="33"/>
  <c r="L41" i="33"/>
  <c r="L27" i="33"/>
  <c r="L35" i="33"/>
  <c r="N27" i="33"/>
  <c r="N35" i="33"/>
  <c r="N41" i="33"/>
  <c r="N22" i="33"/>
  <c r="N39" i="33"/>
  <c r="N26" i="33"/>
  <c r="O26" i="33"/>
  <c r="O41" i="33"/>
  <c r="O27" i="33"/>
  <c r="O22" i="33"/>
  <c r="O39" i="33"/>
  <c r="O35" i="33"/>
  <c r="H22" i="33"/>
  <c r="H39" i="33"/>
  <c r="H26" i="33"/>
  <c r="H41" i="33"/>
  <c r="H35" i="33"/>
  <c r="H27" i="33"/>
  <c r="K26" i="33"/>
  <c r="K41" i="33"/>
  <c r="K27" i="33"/>
  <c r="K35" i="33"/>
  <c r="K22" i="33"/>
  <c r="K39" i="33"/>
  <c r="M35" i="33"/>
  <c r="M22" i="33"/>
  <c r="M39" i="33"/>
  <c r="M26" i="33"/>
  <c r="M41" i="33"/>
  <c r="M27" i="33"/>
  <c r="G35" i="33"/>
  <c r="G22" i="33"/>
  <c r="G39" i="33"/>
  <c r="G26" i="33"/>
  <c r="G27" i="33"/>
  <c r="G41" i="33"/>
  <c r="F52" i="33"/>
  <c r="F70" i="33"/>
  <c r="F78" i="33"/>
  <c r="F53" i="33"/>
  <c r="F73" i="33"/>
  <c r="F80" i="33"/>
  <c r="F77" i="33"/>
  <c r="F54" i="33"/>
  <c r="F76" i="33"/>
  <c r="F81" i="33"/>
  <c r="F59" i="33"/>
  <c r="E53" i="33"/>
  <c r="E70" i="33"/>
  <c r="E80" i="33"/>
  <c r="E78" i="33"/>
  <c r="AM78" i="33" s="1"/>
  <c r="N43" i="15" s="1"/>
  <c r="E52" i="33"/>
  <c r="E76" i="33"/>
  <c r="L21" i="28"/>
  <c r="E54" i="33"/>
  <c r="AM54" i="33" s="1"/>
  <c r="N27" i="15" s="1"/>
  <c r="E81" i="33"/>
  <c r="P31" i="28"/>
  <c r="E73" i="33"/>
  <c r="E77" i="33"/>
  <c r="M21" i="28"/>
  <c r="P34" i="28"/>
  <c r="M37" i="28"/>
  <c r="V77" i="28"/>
  <c r="L37" i="28"/>
  <c r="N34" i="28"/>
  <c r="S64" i="28"/>
  <c r="V64" i="28"/>
  <c r="O15" i="28"/>
  <c r="K15" i="28"/>
  <c r="P15" i="28"/>
  <c r="N37" i="28"/>
  <c r="N33" i="28"/>
  <c r="X77" i="28"/>
  <c r="N16" i="28"/>
  <c r="P37" i="28"/>
  <c r="P16" i="28"/>
  <c r="M31" i="28"/>
  <c r="O31" i="28"/>
  <c r="S63" i="28"/>
  <c r="M33" i="28"/>
  <c r="M16" i="28"/>
  <c r="M34" i="28"/>
  <c r="T56" i="28"/>
  <c r="K37" i="28"/>
  <c r="K34" i="28"/>
  <c r="O34" i="28"/>
  <c r="T63" i="28"/>
  <c r="K33" i="28"/>
  <c r="K31" i="28"/>
  <c r="O21" i="28"/>
  <c r="T77" i="28"/>
  <c r="T74" i="28"/>
  <c r="T54" i="28"/>
  <c r="X54" i="28"/>
  <c r="K21" i="28"/>
  <c r="S56" i="28"/>
  <c r="T68" i="28"/>
  <c r="L15" i="28"/>
  <c r="L16" i="28"/>
  <c r="O16" i="28"/>
  <c r="O20" i="28"/>
  <c r="S77" i="28"/>
  <c r="S68" i="28"/>
  <c r="G37" i="28"/>
  <c r="G15" i="28"/>
  <c r="G11" i="28"/>
  <c r="G34" i="28"/>
  <c r="E64" i="28"/>
  <c r="E78" i="28"/>
  <c r="E57" i="28"/>
  <c r="E63" i="28"/>
  <c r="E68" i="28"/>
  <c r="V54" i="28"/>
  <c r="Z54" i="28"/>
  <c r="Z68" i="28"/>
  <c r="Z56" i="28"/>
  <c r="Z77" i="28"/>
  <c r="Z63" i="28"/>
  <c r="Z64" i="28"/>
  <c r="AO9" i="33"/>
  <c r="L33" i="28"/>
  <c r="L34" i="28"/>
  <c r="N15" i="28"/>
  <c r="N31" i="28"/>
  <c r="O33" i="28"/>
  <c r="P33" i="28"/>
  <c r="P20" i="28"/>
  <c r="S74" i="28"/>
  <c r="V63" i="28"/>
  <c r="V68" i="28"/>
  <c r="X56" i="28"/>
  <c r="X63" i="28"/>
  <c r="X68" i="28"/>
  <c r="Y54" i="28"/>
  <c r="Y68" i="28"/>
  <c r="Y64" i="28"/>
  <c r="Y63" i="28"/>
  <c r="Y77" i="28"/>
  <c r="Y56" i="28"/>
  <c r="U54" i="28"/>
  <c r="U68" i="28"/>
  <c r="U56" i="28"/>
  <c r="U64" i="28"/>
  <c r="U63" i="28"/>
  <c r="U77" i="28"/>
  <c r="W63" i="28"/>
  <c r="W77" i="28"/>
  <c r="W56" i="28"/>
  <c r="W54" i="28"/>
  <c r="W68" i="28"/>
  <c r="W64" i="28"/>
  <c r="R54" i="28"/>
  <c r="R68" i="28"/>
  <c r="R64" i="28"/>
  <c r="R56" i="28"/>
  <c r="R74" i="28"/>
  <c r="R63" i="28"/>
  <c r="R77" i="28"/>
  <c r="Q74" i="28"/>
  <c r="Q54" i="28"/>
  <c r="Q64" i="28"/>
  <c r="Q63" i="28"/>
  <c r="Q77" i="28"/>
  <c r="Q56" i="28"/>
  <c r="Q68" i="28"/>
  <c r="J15" i="28"/>
  <c r="J16" i="28"/>
  <c r="J21" i="28"/>
  <c r="J37" i="28"/>
  <c r="J33" i="28"/>
  <c r="J34" i="28"/>
  <c r="I15" i="28"/>
  <c r="I16" i="28"/>
  <c r="I21" i="28"/>
  <c r="I31" i="28"/>
  <c r="I33" i="28"/>
  <c r="I34" i="28"/>
  <c r="I37" i="28"/>
  <c r="H15" i="28"/>
  <c r="H33" i="28"/>
  <c r="H16" i="28"/>
  <c r="H34" i="28"/>
  <c r="H21" i="28"/>
  <c r="H37" i="28"/>
  <c r="H31" i="28"/>
  <c r="G31" i="28"/>
  <c r="G16" i="28"/>
  <c r="G21" i="28"/>
  <c r="G33" i="28"/>
  <c r="AK9" i="28"/>
  <c r="F56" i="28"/>
  <c r="F65" i="28"/>
  <c r="F78" i="28"/>
  <c r="F69" i="28"/>
  <c r="F64" i="28"/>
  <c r="F57" i="28"/>
  <c r="F68" i="28"/>
  <c r="F63" i="28"/>
  <c r="F72" i="28"/>
  <c r="AM9" i="28"/>
  <c r="E65" i="28"/>
  <c r="E56" i="28"/>
  <c r="E69" i="28"/>
  <c r="E72" i="28"/>
  <c r="AL9" i="33"/>
  <c r="AP9" i="28"/>
  <c r="AN9" i="28"/>
  <c r="AL9" i="28"/>
  <c r="AL85" i="38"/>
  <c r="AM82" i="38"/>
  <c r="AM78" i="38"/>
  <c r="AM84" i="38"/>
  <c r="AL83" i="38"/>
  <c r="AM80" i="38"/>
  <c r="AL79" i="38"/>
  <c r="AL81" i="38"/>
  <c r="AM85" i="38"/>
  <c r="AL84" i="38"/>
  <c r="AM83" i="38"/>
  <c r="AL82" i="38"/>
  <c r="AM81" i="38"/>
  <c r="AL80" i="38"/>
  <c r="AM79" i="38"/>
  <c r="AL78" i="38"/>
  <c r="P8" i="20"/>
  <c r="AP88" i="42"/>
  <c r="AP81" i="42"/>
  <c r="AP79" i="42"/>
  <c r="AP76" i="42"/>
  <c r="AP90" i="42"/>
  <c r="AP80" i="42"/>
  <c r="AK23" i="28" l="1"/>
  <c r="AM21" i="33"/>
  <c r="N9" i="20" s="1"/>
  <c r="AM53" i="33"/>
  <c r="AM70" i="33"/>
  <c r="N39" i="15" s="1"/>
  <c r="U39" i="15" s="1"/>
  <c r="AN39" i="33"/>
  <c r="O21" i="15" s="1"/>
  <c r="V21" i="15" s="1"/>
  <c r="AN41" i="33"/>
  <c r="O23" i="15" s="1"/>
  <c r="V23" i="15" s="1"/>
  <c r="AN14" i="33"/>
  <c r="O6" i="15" s="1"/>
  <c r="V6" i="15" s="1"/>
  <c r="AN35" i="33"/>
  <c r="O18" i="15" s="1"/>
  <c r="V18" i="15" s="1"/>
  <c r="AN27" i="33"/>
  <c r="O11" i="20" s="1"/>
  <c r="V11" i="20" s="1"/>
  <c r="AN11" i="33"/>
  <c r="O4" i="15" s="1"/>
  <c r="V4" i="15" s="1"/>
  <c r="AN26" i="33"/>
  <c r="O10" i="20" s="1"/>
  <c r="V10" i="20" s="1"/>
  <c r="O6" i="3"/>
  <c r="O6" i="12"/>
  <c r="AM22" i="33"/>
  <c r="N9" i="15" s="1"/>
  <c r="U9" i="15" s="1"/>
  <c r="O4" i="3"/>
  <c r="O4" i="12"/>
  <c r="AN52" i="33"/>
  <c r="O25" i="15" s="1"/>
  <c r="V25" i="15" s="1"/>
  <c r="AN58" i="33"/>
  <c r="O16" i="20" s="1"/>
  <c r="V16" i="20" s="1"/>
  <c r="AN65" i="33"/>
  <c r="O35" i="15" s="1"/>
  <c r="V35" i="15" s="1"/>
  <c r="AN76" i="33"/>
  <c r="O21" i="20" s="1"/>
  <c r="V21" i="20" s="1"/>
  <c r="Z21" i="20" s="1"/>
  <c r="AN57" i="33"/>
  <c r="O28" i="15" s="1"/>
  <c r="V28" i="15" s="1"/>
  <c r="AN59" i="33"/>
  <c r="O29" i="15" s="1"/>
  <c r="V29" i="15" s="1"/>
  <c r="AM35" i="33"/>
  <c r="N18" i="15" s="1"/>
  <c r="U18" i="15" s="1"/>
  <c r="AN81" i="33"/>
  <c r="O45" i="15" s="1"/>
  <c r="V45" i="15" s="1"/>
  <c r="AN80" i="33"/>
  <c r="O44" i="15" s="1"/>
  <c r="V44" i="15" s="1"/>
  <c r="AM11" i="33"/>
  <c r="N4" i="15" s="1"/>
  <c r="AM39" i="33"/>
  <c r="N21" i="15" s="1"/>
  <c r="U21" i="15" s="1"/>
  <c r="AM26" i="33"/>
  <c r="N10" i="20" s="1"/>
  <c r="U10" i="20" s="1"/>
  <c r="AM27" i="33"/>
  <c r="N11" i="20" s="1"/>
  <c r="U11" i="20" s="1"/>
  <c r="AM41" i="33"/>
  <c r="N23" i="15" s="1"/>
  <c r="U23" i="15" s="1"/>
  <c r="AM73" i="33"/>
  <c r="N18" i="20" s="1"/>
  <c r="AM77" i="33"/>
  <c r="Y20" i="20"/>
  <c r="Y22" i="20"/>
  <c r="J10" i="15"/>
  <c r="U10" i="15" s="1"/>
  <c r="AO23" i="28"/>
  <c r="N6" i="3"/>
  <c r="N6" i="12"/>
  <c r="N4" i="12"/>
  <c r="N4" i="3"/>
  <c r="J6" i="12"/>
  <c r="J6" i="3"/>
  <c r="J7" i="3" s="1"/>
  <c r="J4" i="12"/>
  <c r="J4" i="3"/>
  <c r="AL14" i="33"/>
  <c r="V52" i="33"/>
  <c r="AM52" i="33" s="1"/>
  <c r="V58" i="33"/>
  <c r="V65" i="33"/>
  <c r="V76" i="33"/>
  <c r="V81" i="33"/>
  <c r="AM81" i="33" s="1"/>
  <c r="V57" i="33"/>
  <c r="V59" i="33"/>
  <c r="V74" i="33"/>
  <c r="AM74" i="33" s="1"/>
  <c r="N19" i="20" s="1"/>
  <c r="P19" i="20" s="1"/>
  <c r="V80" i="33"/>
  <c r="AL21" i="33"/>
  <c r="AL11" i="33"/>
  <c r="AL27" i="33"/>
  <c r="AL35" i="33"/>
  <c r="AL22" i="33"/>
  <c r="AL39" i="33"/>
  <c r="AL26" i="33"/>
  <c r="AL41" i="33"/>
  <c r="AL54" i="33"/>
  <c r="AL53" i="33"/>
  <c r="AL70" i="33"/>
  <c r="AL78" i="33"/>
  <c r="AK20" i="28"/>
  <c r="AP54" i="33"/>
  <c r="AL73" i="33"/>
  <c r="AL77" i="33"/>
  <c r="AL20" i="28"/>
  <c r="AL11" i="28"/>
  <c r="AK11" i="28"/>
  <c r="AK54" i="28"/>
  <c r="AL54" i="28"/>
  <c r="AL77" i="28"/>
  <c r="AK77" i="28"/>
  <c r="AL74" i="28"/>
  <c r="AK74" i="28"/>
  <c r="AK37" i="28"/>
  <c r="AL37" i="28"/>
  <c r="AK15" i="28"/>
  <c r="AL15" i="28"/>
  <c r="AL34" i="28"/>
  <c r="AK34" i="28"/>
  <c r="AL33" i="28"/>
  <c r="AK33" i="28"/>
  <c r="AK16" i="28"/>
  <c r="AL16" i="28"/>
  <c r="AL21" i="28"/>
  <c r="AK21" i="28"/>
  <c r="AK31" i="28"/>
  <c r="AL31" i="28"/>
  <c r="AK63" i="28"/>
  <c r="AL63" i="28"/>
  <c r="AL68" i="28"/>
  <c r="AK68" i="28"/>
  <c r="AK78" i="28"/>
  <c r="AL78" i="28"/>
  <c r="AK57" i="28"/>
  <c r="AL57" i="28"/>
  <c r="AL64" i="28"/>
  <c r="AK64" i="28"/>
  <c r="AK69" i="28"/>
  <c r="AL69" i="28"/>
  <c r="AL56" i="28"/>
  <c r="AK72" i="28"/>
  <c r="AL72" i="28"/>
  <c r="AK65" i="28"/>
  <c r="AL65" i="28"/>
  <c r="AO84" i="38"/>
  <c r="AO78" i="38"/>
  <c r="L77" i="19" s="1"/>
  <c r="AO82" i="38"/>
  <c r="L66" i="19" s="1"/>
  <c r="AO81" i="38"/>
  <c r="L94" i="19" s="1"/>
  <c r="AO83" i="38"/>
  <c r="L65" i="19" s="1"/>
  <c r="AO80" i="38"/>
  <c r="L58" i="19" s="1"/>
  <c r="AO79" i="38"/>
  <c r="L78" i="19" s="1"/>
  <c r="AO85" i="38"/>
  <c r="L64" i="19" s="1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J8" i="42"/>
  <c r="G8" i="42"/>
  <c r="E8" i="42"/>
  <c r="AP23" i="28" l="1"/>
  <c r="O10" i="3"/>
  <c r="N26" i="15"/>
  <c r="U26" i="15" s="1"/>
  <c r="AP53" i="33"/>
  <c r="AQ53" i="33" s="1"/>
  <c r="N7" i="3"/>
  <c r="U18" i="20"/>
  <c r="X18" i="20" s="1"/>
  <c r="P18" i="20"/>
  <c r="N42" i="15"/>
  <c r="AP77" i="33"/>
  <c r="AQ77" i="33" s="1"/>
  <c r="Y18" i="20"/>
  <c r="AB18" i="20" s="1"/>
  <c r="K98" i="19" s="1"/>
  <c r="N5" i="3"/>
  <c r="N10" i="3"/>
  <c r="J5" i="3"/>
  <c r="J10" i="3"/>
  <c r="J11" i="3" s="1"/>
  <c r="AP52" i="33"/>
  <c r="N25" i="15"/>
  <c r="U25" i="15" s="1"/>
  <c r="AL58" i="33"/>
  <c r="AM58" i="33"/>
  <c r="AL65" i="33"/>
  <c r="AM65" i="33"/>
  <c r="AL76" i="33"/>
  <c r="AM76" i="33"/>
  <c r="AP81" i="33"/>
  <c r="N45" i="15"/>
  <c r="U45" i="15" s="1"/>
  <c r="AL57" i="33"/>
  <c r="AM57" i="33"/>
  <c r="AL59" i="33"/>
  <c r="AM59" i="33"/>
  <c r="AL80" i="33"/>
  <c r="AM80" i="33"/>
  <c r="AO20" i="28"/>
  <c r="AP20" i="28" s="1"/>
  <c r="J8" i="20"/>
  <c r="U8" i="20" s="1"/>
  <c r="AO11" i="28"/>
  <c r="AP11" i="28" s="1"/>
  <c r="J4" i="15"/>
  <c r="U4" i="15" s="1"/>
  <c r="AO54" i="28"/>
  <c r="AP54" i="28" s="1"/>
  <c r="J27" i="15"/>
  <c r="U27" i="15" s="1"/>
  <c r="AO77" i="28"/>
  <c r="AP77" i="28" s="1"/>
  <c r="J42" i="15"/>
  <c r="AO74" i="28"/>
  <c r="AP74" i="28" s="1"/>
  <c r="J19" i="20"/>
  <c r="AO37" i="28"/>
  <c r="AP37" i="28" s="1"/>
  <c r="J20" i="15"/>
  <c r="U20" i="15" s="1"/>
  <c r="AO15" i="28"/>
  <c r="AP15" i="28" s="1"/>
  <c r="J5" i="20"/>
  <c r="U5" i="20" s="1"/>
  <c r="AO34" i="28"/>
  <c r="AP34" i="28" s="1"/>
  <c r="J17" i="15"/>
  <c r="U17" i="15" s="1"/>
  <c r="AO33" i="28"/>
  <c r="AP33" i="28" s="1"/>
  <c r="J16" i="15"/>
  <c r="U16" i="15" s="1"/>
  <c r="AO16" i="28"/>
  <c r="AP16" i="28" s="1"/>
  <c r="J7" i="15"/>
  <c r="U7" i="15" s="1"/>
  <c r="AO21" i="28"/>
  <c r="AP21" i="28" s="1"/>
  <c r="J9" i="20"/>
  <c r="U9" i="20" s="1"/>
  <c r="AO31" i="28"/>
  <c r="AP31" i="28" s="1"/>
  <c r="J12" i="20"/>
  <c r="U12" i="20" s="1"/>
  <c r="AO63" i="28"/>
  <c r="AP63" i="28" s="1"/>
  <c r="J33" i="15"/>
  <c r="U33" i="15" s="1"/>
  <c r="AO68" i="28"/>
  <c r="AP68" i="28" s="1"/>
  <c r="J17" i="20"/>
  <c r="AO78" i="28"/>
  <c r="AP78" i="28" s="1"/>
  <c r="J43" i="15"/>
  <c r="U43" i="15" s="1"/>
  <c r="AO57" i="28"/>
  <c r="AP57" i="28" s="1"/>
  <c r="J28" i="15"/>
  <c r="AO64" i="28"/>
  <c r="AP64" i="28" s="1"/>
  <c r="J34" i="15"/>
  <c r="U34" i="15" s="1"/>
  <c r="AO69" i="28"/>
  <c r="AP69" i="28" s="1"/>
  <c r="J38" i="15"/>
  <c r="U38" i="15" s="1"/>
  <c r="AO56" i="28"/>
  <c r="AP56" i="28" s="1"/>
  <c r="J15" i="20"/>
  <c r="U15" i="20" s="1"/>
  <c r="AO72" i="28"/>
  <c r="AP72" i="28" s="1"/>
  <c r="J41" i="15"/>
  <c r="U41" i="15" s="1"/>
  <c r="AO65" i="28"/>
  <c r="AP65" i="28" s="1"/>
  <c r="J35" i="15"/>
  <c r="AN6" i="42"/>
  <c r="AK6" i="42"/>
  <c r="AO6" i="42"/>
  <c r="AL6" i="42"/>
  <c r="AC44" i="15"/>
  <c r="AP14" i="33"/>
  <c r="AQ14" i="33" s="1"/>
  <c r="AL81" i="33"/>
  <c r="AL52" i="33"/>
  <c r="AL74" i="33"/>
  <c r="AP73" i="33"/>
  <c r="AQ73" i="33" s="1"/>
  <c r="AP26" i="33"/>
  <c r="AQ26" i="33" s="1"/>
  <c r="AP22" i="33"/>
  <c r="AQ22" i="33" s="1"/>
  <c r="AP39" i="33"/>
  <c r="AQ39" i="33" s="1"/>
  <c r="AP11" i="33"/>
  <c r="AQ11" i="33" s="1"/>
  <c r="AP70" i="33"/>
  <c r="AQ70" i="33" s="1"/>
  <c r="AP41" i="33"/>
  <c r="AQ41" i="33" s="1"/>
  <c r="AP35" i="33"/>
  <c r="AQ35" i="33" s="1"/>
  <c r="AP21" i="33"/>
  <c r="AQ21" i="33" s="1"/>
  <c r="AP78" i="33"/>
  <c r="AQ78" i="33" s="1"/>
  <c r="AP27" i="33"/>
  <c r="AQ27" i="33" s="1"/>
  <c r="AQ54" i="33"/>
  <c r="AM6" i="42"/>
  <c r="AC24" i="15"/>
  <c r="AC45" i="15"/>
  <c r="AG5" i="42"/>
  <c r="AG9" i="42" s="1"/>
  <c r="AF5" i="42"/>
  <c r="AE5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N11" i="3" l="1"/>
  <c r="J33" i="3" s="1" a="1"/>
  <c r="N29" i="15"/>
  <c r="U29" i="15" s="1"/>
  <c r="AP59" i="33"/>
  <c r="AQ59" i="33" s="1"/>
  <c r="N44" i="15"/>
  <c r="U44" i="15" s="1"/>
  <c r="AP80" i="33"/>
  <c r="AQ80" i="33" s="1"/>
  <c r="N16" i="20"/>
  <c r="U16" i="20" s="1"/>
  <c r="AP58" i="33"/>
  <c r="AQ58" i="33" s="1"/>
  <c r="N28" i="15"/>
  <c r="U28" i="15" s="1"/>
  <c r="AP57" i="33"/>
  <c r="AQ57" i="33" s="1"/>
  <c r="U42" i="15"/>
  <c r="AQ52" i="33"/>
  <c r="AQ81" i="33"/>
  <c r="N35" i="15"/>
  <c r="U35" i="15" s="1"/>
  <c r="AP65" i="33"/>
  <c r="AQ65" i="33" s="1"/>
  <c r="U19" i="20"/>
  <c r="L19" i="20"/>
  <c r="U17" i="20"/>
  <c r="L17" i="20"/>
  <c r="N21" i="20"/>
  <c r="AP76" i="33"/>
  <c r="AQ76" i="33" s="1"/>
  <c r="AK3" i="42"/>
  <c r="AN3" i="42"/>
  <c r="AL3" i="42"/>
  <c r="AO3" i="42"/>
  <c r="AP74" i="33"/>
  <c r="AQ74" i="33" s="1"/>
  <c r="AM3" i="42"/>
  <c r="Q9" i="42"/>
  <c r="I38" i="3" l="1" a="1"/>
  <c r="L38" i="3" s="1"/>
  <c r="I19" i="3" a="1"/>
  <c r="H28" i="3"/>
  <c r="I26" i="3" a="1"/>
  <c r="I25" i="3" a="1"/>
  <c r="I36" i="3" a="1"/>
  <c r="L36" i="3" s="1"/>
  <c r="I16" i="3" a="1"/>
  <c r="H32" i="3"/>
  <c r="H20" i="3"/>
  <c r="J17" i="3" a="1"/>
  <c r="J16" i="3" a="1"/>
  <c r="H18" i="3"/>
  <c r="H38" i="3"/>
  <c r="I18" i="3" a="1"/>
  <c r="H27" i="3"/>
  <c r="I17" i="3" a="1"/>
  <c r="J26" i="3" a="1"/>
  <c r="I20" i="3" a="1"/>
  <c r="J34" i="3" a="1"/>
  <c r="I35" i="3" a="1"/>
  <c r="J35" i="3" a="1"/>
  <c r="I22" i="3" a="1"/>
  <c r="I28" i="3" a="1"/>
  <c r="I27" i="3" a="1"/>
  <c r="H19" i="3"/>
  <c r="H33" i="3"/>
  <c r="H25" i="3"/>
  <c r="J27" i="3" a="1"/>
  <c r="H21" i="3"/>
  <c r="J21" i="3" a="1"/>
  <c r="H22" i="3"/>
  <c r="I32" i="3" a="1"/>
  <c r="H35" i="3"/>
  <c r="I34" i="3" a="1"/>
  <c r="J28" i="3" a="1"/>
  <c r="H17" i="3"/>
  <c r="J38" i="3" a="1"/>
  <c r="M38" i="3" s="1"/>
  <c r="J20" i="3" a="1"/>
  <c r="H26" i="3"/>
  <c r="J18" i="3" a="1"/>
  <c r="I21" i="3" a="1"/>
  <c r="J22" i="3" a="1"/>
  <c r="H37" i="3"/>
  <c r="J37" i="3" a="1"/>
  <c r="M37" i="3" s="1"/>
  <c r="I37" i="3" a="1"/>
  <c r="L37" i="3" s="1"/>
  <c r="H36" i="3"/>
  <c r="H34" i="3"/>
  <c r="J32" i="3" a="1"/>
  <c r="J25" i="3" a="1"/>
  <c r="J36" i="3" a="1"/>
  <c r="M36" i="3" s="1"/>
  <c r="I33" i="3" a="1"/>
  <c r="H16" i="3"/>
  <c r="J19" i="3" a="1"/>
  <c r="X19" i="20"/>
  <c r="Y19" i="20"/>
  <c r="AB19" i="20" s="1"/>
  <c r="K99" i="19" s="1"/>
  <c r="Y17" i="20"/>
  <c r="U21" i="20"/>
  <c r="P21" i="20"/>
  <c r="Q89" i="42"/>
  <c r="Q73" i="42"/>
  <c r="Q72" i="42"/>
  <c r="Q85" i="42"/>
  <c r="Q77" i="42"/>
  <c r="Q87" i="42"/>
  <c r="Z45" i="15"/>
  <c r="Z8" i="20"/>
  <c r="N55" i="12"/>
  <c r="N57" i="12"/>
  <c r="N58" i="12"/>
  <c r="N59" i="12"/>
  <c r="N60" i="12"/>
  <c r="N31" i="12"/>
  <c r="N32" i="12"/>
  <c r="AM77" i="38"/>
  <c r="AM71" i="38"/>
  <c r="AM70" i="38"/>
  <c r="AM69" i="38"/>
  <c r="AM67" i="38"/>
  <c r="AM66" i="38"/>
  <c r="AM60" i="38"/>
  <c r="AM52" i="38"/>
  <c r="AM49" i="38"/>
  <c r="AM48" i="38"/>
  <c r="AM46" i="38"/>
  <c r="AM42" i="38"/>
  <c r="AM36" i="38"/>
  <c r="AM27" i="38"/>
  <c r="AM25" i="38"/>
  <c r="AM24" i="38"/>
  <c r="AM23" i="38"/>
  <c r="AM22" i="38"/>
  <c r="AM19" i="38"/>
  <c r="AM16" i="38"/>
  <c r="AM15" i="38"/>
  <c r="AM13" i="38"/>
  <c r="AN46" i="38"/>
  <c r="AN45" i="38"/>
  <c r="AN44" i="38"/>
  <c r="AN43" i="38"/>
  <c r="AM76" i="38"/>
  <c r="AM75" i="38"/>
  <c r="AM74" i="38"/>
  <c r="AM73" i="38"/>
  <c r="AM72" i="38"/>
  <c r="AM68" i="38"/>
  <c r="AM65" i="38"/>
  <c r="AM64" i="38"/>
  <c r="AM63" i="38"/>
  <c r="AM62" i="38"/>
  <c r="AM61" i="38"/>
  <c r="AM59" i="38"/>
  <c r="AM58" i="38"/>
  <c r="AM57" i="38"/>
  <c r="AM56" i="38"/>
  <c r="AM55" i="38"/>
  <c r="AM54" i="38"/>
  <c r="AM53" i="38"/>
  <c r="AM51" i="38"/>
  <c r="AM50" i="38"/>
  <c r="AM47" i="38"/>
  <c r="AM45" i="38"/>
  <c r="AM44" i="38"/>
  <c r="AM43" i="38"/>
  <c r="AM41" i="38"/>
  <c r="AM40" i="38"/>
  <c r="AM39" i="38"/>
  <c r="AM38" i="38"/>
  <c r="AM37" i="38"/>
  <c r="AM35" i="38"/>
  <c r="AM34" i="38"/>
  <c r="AM33" i="38"/>
  <c r="AM32" i="38"/>
  <c r="AM31" i="38"/>
  <c r="AM30" i="38"/>
  <c r="AM29" i="38"/>
  <c r="AM28" i="38"/>
  <c r="AM26" i="38"/>
  <c r="AM21" i="38"/>
  <c r="AM20" i="38"/>
  <c r="AM18" i="38"/>
  <c r="AM17" i="38"/>
  <c r="AM14" i="38"/>
  <c r="AM12" i="38"/>
  <c r="AM8" i="38"/>
  <c r="AL76" i="38"/>
  <c r="AL75" i="38"/>
  <c r="AL74" i="38"/>
  <c r="AL73" i="38"/>
  <c r="AL72" i="38"/>
  <c r="AL68" i="38"/>
  <c r="AL65" i="38"/>
  <c r="AL64" i="38"/>
  <c r="AL63" i="38"/>
  <c r="AL62" i="38"/>
  <c r="AL61" i="38"/>
  <c r="AL59" i="38"/>
  <c r="AL58" i="38"/>
  <c r="AL57" i="38"/>
  <c r="AL56" i="38"/>
  <c r="AL55" i="38"/>
  <c r="AL54" i="38"/>
  <c r="AL53" i="38"/>
  <c r="AL51" i="38"/>
  <c r="AL50" i="38"/>
  <c r="AL47" i="38"/>
  <c r="AL45" i="38"/>
  <c r="AL44" i="38"/>
  <c r="AL43" i="38"/>
  <c r="AL41" i="38"/>
  <c r="AL40" i="38"/>
  <c r="AL39" i="38"/>
  <c r="AL38" i="38"/>
  <c r="AL37" i="38"/>
  <c r="AL35" i="38"/>
  <c r="AL34" i="38"/>
  <c r="AL33" i="38"/>
  <c r="AL32" i="38"/>
  <c r="AL31" i="38"/>
  <c r="AL30" i="38"/>
  <c r="AL29" i="38"/>
  <c r="AL28" i="38"/>
  <c r="AL26" i="38"/>
  <c r="AL21" i="38"/>
  <c r="AL20" i="38"/>
  <c r="AL18" i="38"/>
  <c r="AL17" i="38"/>
  <c r="AL14" i="38"/>
  <c r="AL12" i="38"/>
  <c r="AL10" i="38"/>
  <c r="N53" i="12"/>
  <c r="N52" i="12"/>
  <c r="N51" i="12"/>
  <c r="N50" i="12"/>
  <c r="N49" i="12"/>
  <c r="N48" i="12"/>
  <c r="N47" i="12"/>
  <c r="N45" i="12"/>
  <c r="N44" i="12"/>
  <c r="N43" i="12"/>
  <c r="N30" i="12"/>
  <c r="N29" i="12"/>
  <c r="N28" i="12"/>
  <c r="N26" i="12"/>
  <c r="N25" i="12"/>
  <c r="N24" i="12"/>
  <c r="N23" i="12"/>
  <c r="N22" i="12"/>
  <c r="N21" i="12"/>
  <c r="N20" i="12"/>
  <c r="N19" i="12"/>
  <c r="N18" i="12"/>
  <c r="N17" i="12"/>
  <c r="N16" i="12"/>
  <c r="N35" i="3"/>
  <c r="N34" i="3"/>
  <c r="N33" i="3"/>
  <c r="N32" i="3"/>
  <c r="N28" i="3"/>
  <c r="N27" i="3"/>
  <c r="N26" i="3"/>
  <c r="N25" i="3"/>
  <c r="N22" i="3"/>
  <c r="N20" i="3"/>
  <c r="N19" i="3"/>
  <c r="N18" i="3"/>
  <c r="N17" i="3"/>
  <c r="N16" i="3"/>
  <c r="AK54" i="42"/>
  <c r="AK56" i="42"/>
  <c r="AK57" i="42"/>
  <c r="AK58" i="42"/>
  <c r="AK59" i="42"/>
  <c r="AK60" i="42"/>
  <c r="AK61" i="42"/>
  <c r="AK62" i="42"/>
  <c r="AK63" i="42"/>
  <c r="AK64" i="42"/>
  <c r="AK65" i="42"/>
  <c r="AK68" i="42"/>
  <c r="AK70" i="42"/>
  <c r="C19" i="3"/>
  <c r="C18" i="3"/>
  <c r="AL70" i="42"/>
  <c r="AO70" i="42" s="1"/>
  <c r="AL68" i="42"/>
  <c r="AL65" i="42"/>
  <c r="AO65" i="42" s="1"/>
  <c r="AL64" i="42"/>
  <c r="AO64" i="42" s="1"/>
  <c r="AL63" i="42"/>
  <c r="AO63" i="42" s="1"/>
  <c r="AL62" i="42"/>
  <c r="AO62" i="42" s="1"/>
  <c r="AL61" i="42"/>
  <c r="AO61" i="42" s="1"/>
  <c r="AL60" i="42"/>
  <c r="AO60" i="42" s="1"/>
  <c r="AL59" i="42"/>
  <c r="AO59" i="42" s="1"/>
  <c r="AL58" i="42"/>
  <c r="AO58" i="42" s="1"/>
  <c r="AL57" i="42"/>
  <c r="AO57" i="42" s="1"/>
  <c r="AL56" i="42"/>
  <c r="AO56" i="42" s="1"/>
  <c r="AL54" i="42"/>
  <c r="AO54" i="42" s="1"/>
  <c r="AL53" i="42"/>
  <c r="AO53" i="42" s="1"/>
  <c r="AK53" i="42"/>
  <c r="AL52" i="42"/>
  <c r="AO52" i="42" s="1"/>
  <c r="AK52" i="42"/>
  <c r="AL51" i="42"/>
  <c r="AO51" i="42" s="1"/>
  <c r="AK51" i="42"/>
  <c r="AL50" i="42"/>
  <c r="AO50" i="42" s="1"/>
  <c r="AK50" i="42"/>
  <c r="AL49" i="42"/>
  <c r="AO49" i="42" s="1"/>
  <c r="AK49" i="42"/>
  <c r="AL48" i="42"/>
  <c r="AO48" i="42" s="1"/>
  <c r="AK48" i="42"/>
  <c r="AL47" i="42"/>
  <c r="AO47" i="42" s="1"/>
  <c r="AK47" i="42"/>
  <c r="AL44" i="42"/>
  <c r="AO44" i="42" s="1"/>
  <c r="AK44" i="42"/>
  <c r="AL42" i="42"/>
  <c r="AO42" i="42" s="1"/>
  <c r="AK42" i="42"/>
  <c r="AL41" i="42"/>
  <c r="AO41" i="42" s="1"/>
  <c r="AK41" i="42"/>
  <c r="AL40" i="42"/>
  <c r="AO40" i="42" s="1"/>
  <c r="AK40" i="42"/>
  <c r="AL39" i="42"/>
  <c r="AO39" i="42" s="1"/>
  <c r="AK39" i="42"/>
  <c r="AL38" i="42"/>
  <c r="AO38" i="42" s="1"/>
  <c r="AK38" i="42"/>
  <c r="AL36" i="42"/>
  <c r="AO36" i="42" s="1"/>
  <c r="AK36" i="42"/>
  <c r="AL35" i="42"/>
  <c r="AO35" i="42" s="1"/>
  <c r="AK35" i="42"/>
  <c r="AL34" i="42"/>
  <c r="AO34" i="42" s="1"/>
  <c r="AK34" i="42"/>
  <c r="AL31" i="42"/>
  <c r="AO31" i="42" s="1"/>
  <c r="AK31" i="42"/>
  <c r="AL29" i="42"/>
  <c r="AO29" i="42" s="1"/>
  <c r="AK29" i="42"/>
  <c r="AL27" i="42"/>
  <c r="AO27" i="42" s="1"/>
  <c r="AK27" i="42"/>
  <c r="AL26" i="42"/>
  <c r="AO26" i="42" s="1"/>
  <c r="AK26" i="42"/>
  <c r="AL25" i="42"/>
  <c r="AO25" i="42" s="1"/>
  <c r="AK25" i="42"/>
  <c r="AL23" i="42"/>
  <c r="AO23" i="42" s="1"/>
  <c r="AK23" i="42"/>
  <c r="AL22" i="42"/>
  <c r="AO22" i="42" s="1"/>
  <c r="AK22" i="42"/>
  <c r="AL20" i="42"/>
  <c r="AK20" i="42"/>
  <c r="AL19" i="42"/>
  <c r="AO19" i="42" s="1"/>
  <c r="AK19" i="42"/>
  <c r="AL17" i="42"/>
  <c r="AO17" i="42" s="1"/>
  <c r="AK17" i="42"/>
  <c r="AL16" i="42"/>
  <c r="AO16" i="42" s="1"/>
  <c r="AK16" i="42"/>
  <c r="AL15" i="42"/>
  <c r="AO15" i="42" s="1"/>
  <c r="AK15" i="42"/>
  <c r="AL14" i="42"/>
  <c r="AO14" i="42" s="1"/>
  <c r="AK14" i="42"/>
  <c r="AL13" i="42"/>
  <c r="AO13" i="42" s="1"/>
  <c r="AK13" i="42"/>
  <c r="AL11" i="42"/>
  <c r="AO11" i="42" s="1"/>
  <c r="AK11" i="42"/>
  <c r="F9" i="42"/>
  <c r="E9" i="42"/>
  <c r="AG32" i="42"/>
  <c r="AF9" i="42"/>
  <c r="AE9" i="42"/>
  <c r="AC9" i="42"/>
  <c r="AA9" i="42"/>
  <c r="Z9" i="42"/>
  <c r="X9" i="42"/>
  <c r="W9" i="42"/>
  <c r="V9" i="42"/>
  <c r="U9" i="42"/>
  <c r="T9" i="42"/>
  <c r="S9" i="42"/>
  <c r="P9" i="42"/>
  <c r="O9" i="42"/>
  <c r="N9" i="42"/>
  <c r="M9" i="42"/>
  <c r="L9" i="42"/>
  <c r="K9" i="42"/>
  <c r="J9" i="42"/>
  <c r="I9" i="42"/>
  <c r="M110" i="19"/>
  <c r="Q38" i="3" l="1"/>
  <c r="Q37" i="3"/>
  <c r="K108" i="19" s="1"/>
  <c r="Q36" i="3"/>
  <c r="K107" i="19" s="1"/>
  <c r="Y21" i="20"/>
  <c r="AB21" i="20" s="1"/>
  <c r="K101" i="19" s="1"/>
  <c r="X21" i="20"/>
  <c r="AO68" i="42"/>
  <c r="AP68" i="42" s="1"/>
  <c r="R17" i="20"/>
  <c r="S17" i="20" s="1"/>
  <c r="W17" i="20" s="1"/>
  <c r="AH21" i="42"/>
  <c r="AH28" i="42"/>
  <c r="AH32" i="42"/>
  <c r="AH46" i="42"/>
  <c r="AH24" i="42"/>
  <c r="AH30" i="42"/>
  <c r="AH43" i="42"/>
  <c r="AG30" i="42"/>
  <c r="AG24" i="42"/>
  <c r="AG21" i="42"/>
  <c r="AG28" i="42"/>
  <c r="AG46" i="42"/>
  <c r="AG43" i="42"/>
  <c r="AP57" i="42"/>
  <c r="U89" i="42"/>
  <c r="U55" i="42"/>
  <c r="Z89" i="42"/>
  <c r="Z55" i="42"/>
  <c r="V89" i="42"/>
  <c r="V55" i="42"/>
  <c r="W89" i="42"/>
  <c r="W55" i="42"/>
  <c r="X89" i="42"/>
  <c r="X55" i="42"/>
  <c r="T89" i="42"/>
  <c r="T55" i="42"/>
  <c r="S89" i="42"/>
  <c r="S71" i="42"/>
  <c r="Z73" i="42"/>
  <c r="Z85" i="42"/>
  <c r="W73" i="42"/>
  <c r="W85" i="42"/>
  <c r="U73" i="42"/>
  <c r="U85" i="42"/>
  <c r="V73" i="42"/>
  <c r="V85" i="42"/>
  <c r="S73" i="42"/>
  <c r="S85" i="42"/>
  <c r="T73" i="42"/>
  <c r="T85" i="42"/>
  <c r="X73" i="42"/>
  <c r="X85" i="42"/>
  <c r="AP59" i="42"/>
  <c r="AP63" i="42"/>
  <c r="V77" i="42"/>
  <c r="V87" i="42"/>
  <c r="S77" i="42"/>
  <c r="S87" i="42"/>
  <c r="W77" i="42"/>
  <c r="W87" i="42"/>
  <c r="T77" i="42"/>
  <c r="T87" i="42"/>
  <c r="X77" i="42"/>
  <c r="X87" i="42"/>
  <c r="U77" i="42"/>
  <c r="U87" i="42"/>
  <c r="Z77" i="42"/>
  <c r="Z87" i="42"/>
  <c r="J24" i="42"/>
  <c r="J43" i="42"/>
  <c r="J18" i="42"/>
  <c r="J28" i="42"/>
  <c r="J46" i="42"/>
  <c r="J12" i="42"/>
  <c r="J30" i="42"/>
  <c r="J32" i="42"/>
  <c r="K18" i="42"/>
  <c r="K32" i="42"/>
  <c r="K46" i="42"/>
  <c r="K24" i="42"/>
  <c r="K43" i="42"/>
  <c r="K28" i="42"/>
  <c r="K12" i="42"/>
  <c r="K30" i="42"/>
  <c r="O18" i="42"/>
  <c r="O32" i="42"/>
  <c r="O12" i="42"/>
  <c r="O30" i="42"/>
  <c r="O24" i="42"/>
  <c r="O43" i="42"/>
  <c r="O28" i="42"/>
  <c r="O46" i="42"/>
  <c r="L12" i="42"/>
  <c r="L30" i="42"/>
  <c r="L43" i="42"/>
  <c r="L46" i="42"/>
  <c r="L18" i="42"/>
  <c r="L32" i="42"/>
  <c r="L24" i="42"/>
  <c r="L28" i="42"/>
  <c r="P12" i="42"/>
  <c r="P30" i="42"/>
  <c r="P28" i="42"/>
  <c r="P18" i="42"/>
  <c r="P32" i="42"/>
  <c r="P24" i="42"/>
  <c r="P43" i="42"/>
  <c r="P46" i="42"/>
  <c r="N24" i="42"/>
  <c r="N43" i="42"/>
  <c r="N32" i="42"/>
  <c r="N28" i="42"/>
  <c r="N46" i="42"/>
  <c r="N12" i="42"/>
  <c r="N30" i="42"/>
  <c r="N18" i="42"/>
  <c r="I28" i="42"/>
  <c r="I46" i="42"/>
  <c r="I24" i="42"/>
  <c r="I12" i="42"/>
  <c r="I30" i="42"/>
  <c r="I18" i="42"/>
  <c r="I32" i="42"/>
  <c r="I43" i="42"/>
  <c r="M28" i="42"/>
  <c r="M46" i="42"/>
  <c r="M32" i="42"/>
  <c r="M43" i="42"/>
  <c r="M12" i="42"/>
  <c r="M30" i="42"/>
  <c r="M18" i="42"/>
  <c r="M24" i="42"/>
  <c r="F87" i="42"/>
  <c r="F72" i="42"/>
  <c r="F77" i="42"/>
  <c r="F86" i="42"/>
  <c r="F89" i="42"/>
  <c r="F67" i="42"/>
  <c r="F85" i="42"/>
  <c r="F84" i="42"/>
  <c r="L41" i="15"/>
  <c r="L44" i="15"/>
  <c r="AO20" i="42"/>
  <c r="AP20" i="42" s="1"/>
  <c r="R8" i="20"/>
  <c r="S8" i="20" s="1"/>
  <c r="W8" i="20" s="1"/>
  <c r="P40" i="15"/>
  <c r="AP58" i="42"/>
  <c r="AP64" i="42"/>
  <c r="AP65" i="42"/>
  <c r="R17" i="15"/>
  <c r="W17" i="15" s="1"/>
  <c r="AA17" i="15" s="1"/>
  <c r="AP70" i="42"/>
  <c r="AP61" i="42"/>
  <c r="R12" i="20"/>
  <c r="R10" i="15"/>
  <c r="S10" i="15" s="1"/>
  <c r="R38" i="15"/>
  <c r="S38" i="15" s="1"/>
  <c r="AP56" i="42"/>
  <c r="AP62" i="42"/>
  <c r="R10" i="20"/>
  <c r="R29" i="15"/>
  <c r="W29" i="15" s="1"/>
  <c r="AA29" i="15" s="1"/>
  <c r="R23" i="15"/>
  <c r="W23" i="15" s="1"/>
  <c r="AA23" i="15" s="1"/>
  <c r="R6" i="20"/>
  <c r="R35" i="15"/>
  <c r="W35" i="15" s="1"/>
  <c r="AA35" i="15" s="1"/>
  <c r="R21" i="15"/>
  <c r="W21" i="15" s="1"/>
  <c r="AA21" i="15" s="1"/>
  <c r="R16" i="20"/>
  <c r="R4" i="15"/>
  <c r="S4" i="15" s="1"/>
  <c r="R33" i="15"/>
  <c r="W33" i="15" s="1"/>
  <c r="AA33" i="15" s="1"/>
  <c r="R27" i="15"/>
  <c r="W27" i="15" s="1"/>
  <c r="AA27" i="15" s="1"/>
  <c r="R20" i="15"/>
  <c r="W20" i="15" s="1"/>
  <c r="AA20" i="15" s="1"/>
  <c r="R7" i="15"/>
  <c r="S7" i="15" s="1"/>
  <c r="R4" i="20"/>
  <c r="R9" i="20"/>
  <c r="R26" i="15"/>
  <c r="W26" i="15" s="1"/>
  <c r="AA26" i="15" s="1"/>
  <c r="R6" i="15"/>
  <c r="W6" i="15" s="1"/>
  <c r="AA6" i="15" s="1"/>
  <c r="AP54" i="42"/>
  <c r="AP60" i="42"/>
  <c r="R5" i="20"/>
  <c r="R7" i="20"/>
  <c r="R25" i="15"/>
  <c r="W25" i="15" s="1"/>
  <c r="AA25" i="15" s="1"/>
  <c r="R11" i="15"/>
  <c r="S11" i="15" s="1"/>
  <c r="R34" i="15"/>
  <c r="W34" i="15" s="1"/>
  <c r="AA34" i="15" s="1"/>
  <c r="AN9" i="42"/>
  <c r="AP11" i="42"/>
  <c r="AP13" i="42"/>
  <c r="AP15" i="42"/>
  <c r="AP17" i="42"/>
  <c r="AP23" i="42"/>
  <c r="AP25" i="42"/>
  <c r="AP27" i="42"/>
  <c r="AP48" i="42"/>
  <c r="AP50" i="42"/>
  <c r="AP52" i="42"/>
  <c r="AP14" i="42"/>
  <c r="AP16" i="42"/>
  <c r="AP22" i="42"/>
  <c r="AP26" i="42"/>
  <c r="AP35" i="42"/>
  <c r="AP47" i="42"/>
  <c r="AP49" i="42"/>
  <c r="AP51" i="42"/>
  <c r="AP53" i="42"/>
  <c r="AP31" i="42"/>
  <c r="AP39" i="42"/>
  <c r="AP41" i="42"/>
  <c r="AP44" i="42"/>
  <c r="AL37" i="42"/>
  <c r="R19" i="15" s="1"/>
  <c r="W19" i="15" s="1"/>
  <c r="AA19" i="15" s="1"/>
  <c r="AK37" i="42"/>
  <c r="AP29" i="42"/>
  <c r="AP34" i="42"/>
  <c r="AP36" i="42"/>
  <c r="AP38" i="42"/>
  <c r="AP40" i="42"/>
  <c r="AP42" i="42"/>
  <c r="AD9" i="42"/>
  <c r="AL45" i="42"/>
  <c r="AK45" i="42"/>
  <c r="Y9" i="42"/>
  <c r="AP19" i="42"/>
  <c r="AO9" i="42"/>
  <c r="AB9" i="42"/>
  <c r="R9" i="42"/>
  <c r="H9" i="42"/>
  <c r="G9" i="42"/>
  <c r="X17" i="20" l="1"/>
  <c r="AA17" i="20"/>
  <c r="AB17" i="20" s="1"/>
  <c r="K97" i="19" s="1"/>
  <c r="AK21" i="42"/>
  <c r="AL21" i="42"/>
  <c r="AO21" i="42" s="1"/>
  <c r="Y89" i="42"/>
  <c r="Y55" i="42"/>
  <c r="AK55" i="42" s="1"/>
  <c r="R89" i="42"/>
  <c r="R71" i="42"/>
  <c r="R73" i="42"/>
  <c r="R85" i="42"/>
  <c r="Y73" i="42"/>
  <c r="Y85" i="42"/>
  <c r="Y77" i="42"/>
  <c r="Y87" i="42"/>
  <c r="R77" i="42"/>
  <c r="R87" i="42"/>
  <c r="H12" i="42"/>
  <c r="H30" i="42"/>
  <c r="H28" i="42"/>
  <c r="H18" i="42"/>
  <c r="H32" i="42"/>
  <c r="H24" i="42"/>
  <c r="H43" i="42"/>
  <c r="H46" i="42"/>
  <c r="G18" i="42"/>
  <c r="G12" i="42"/>
  <c r="G46" i="42"/>
  <c r="G43" i="42"/>
  <c r="G24" i="42"/>
  <c r="G32" i="42"/>
  <c r="G28" i="42"/>
  <c r="G30" i="42"/>
  <c r="AK67" i="42"/>
  <c r="AK84" i="42"/>
  <c r="L45" i="15"/>
  <c r="L8" i="20"/>
  <c r="AA8" i="20"/>
  <c r="P41" i="15"/>
  <c r="P43" i="15"/>
  <c r="Z44" i="15"/>
  <c r="P44" i="15"/>
  <c r="W38" i="15"/>
  <c r="AA38" i="15" s="1"/>
  <c r="S6" i="15"/>
  <c r="W7" i="15"/>
  <c r="AA7" i="15" s="1"/>
  <c r="W10" i="15"/>
  <c r="AA10" i="15" s="1"/>
  <c r="W11" i="15"/>
  <c r="AA11" i="15" s="1"/>
  <c r="AO45" i="42"/>
  <c r="AP45" i="42" s="1"/>
  <c r="AO37" i="42"/>
  <c r="AP37" i="42" s="1"/>
  <c r="R18" i="15"/>
  <c r="W18" i="15" s="1"/>
  <c r="AA18" i="15" s="1"/>
  <c r="Z41" i="15"/>
  <c r="AO58" i="38"/>
  <c r="AO65" i="38"/>
  <c r="AO73" i="38"/>
  <c r="AO56" i="38"/>
  <c r="AO54" i="38"/>
  <c r="L63" i="19" s="1"/>
  <c r="AO76" i="38"/>
  <c r="L75" i="19" s="1"/>
  <c r="AO55" i="38"/>
  <c r="AO75" i="38"/>
  <c r="AO68" i="38"/>
  <c r="L73" i="19" s="1"/>
  <c r="AO57" i="38"/>
  <c r="AO61" i="38"/>
  <c r="L69" i="19" s="1"/>
  <c r="AO59" i="38"/>
  <c r="L67" i="19" s="1"/>
  <c r="AO74" i="38"/>
  <c r="AO62" i="38"/>
  <c r="AO72" i="38"/>
  <c r="AO63" i="38"/>
  <c r="L70" i="19" s="1"/>
  <c r="AO64" i="38"/>
  <c r="L97" i="19" s="1"/>
  <c r="AK33" i="42"/>
  <c r="AL33" i="42"/>
  <c r="AK9" i="42"/>
  <c r="AL9" i="42"/>
  <c r="R42" i="15"/>
  <c r="R43" i="15"/>
  <c r="AM9" i="42"/>
  <c r="AC20" i="20" l="1"/>
  <c r="L100" i="19"/>
  <c r="AC21" i="20"/>
  <c r="L101" i="19"/>
  <c r="P4" i="3"/>
  <c r="P4" i="12"/>
  <c r="P6" i="3"/>
  <c r="P6" i="12"/>
  <c r="AC17" i="20"/>
  <c r="AP21" i="42"/>
  <c r="R9" i="15"/>
  <c r="AL89" i="42"/>
  <c r="AL55" i="42"/>
  <c r="R28" i="15" s="1"/>
  <c r="W28" i="15" s="1"/>
  <c r="AA28" i="15" s="1"/>
  <c r="AL71" i="42"/>
  <c r="AK71" i="42"/>
  <c r="AK73" i="42"/>
  <c r="AL73" i="42"/>
  <c r="AK87" i="42"/>
  <c r="AK77" i="42"/>
  <c r="AL87" i="42"/>
  <c r="AO87" i="42" s="1"/>
  <c r="AK18" i="42"/>
  <c r="AL30" i="42"/>
  <c r="AO30" i="42" s="1"/>
  <c r="AL46" i="42"/>
  <c r="AO46" i="42" s="1"/>
  <c r="AL24" i="42"/>
  <c r="AO24" i="42" s="1"/>
  <c r="AL18" i="42"/>
  <c r="R8" i="15" s="1"/>
  <c r="AK46" i="42"/>
  <c r="AL12" i="42"/>
  <c r="AK12" i="42"/>
  <c r="AK24" i="42"/>
  <c r="AL32" i="42"/>
  <c r="AK32" i="42"/>
  <c r="AK30" i="42"/>
  <c r="AL67" i="42"/>
  <c r="R37" i="15" s="1"/>
  <c r="W37" i="15" s="1"/>
  <c r="AA37" i="15" s="1"/>
  <c r="AK72" i="42"/>
  <c r="AK66" i="42"/>
  <c r="AL66" i="42"/>
  <c r="AL82" i="42"/>
  <c r="AK82" i="42"/>
  <c r="AK89" i="42"/>
  <c r="AK85" i="42"/>
  <c r="AL84" i="42"/>
  <c r="AL85" i="42"/>
  <c r="R16" i="15"/>
  <c r="W16" i="15" s="1"/>
  <c r="AA16" i="15" s="1"/>
  <c r="AL86" i="42"/>
  <c r="AL69" i="42"/>
  <c r="AO69" i="42" s="1"/>
  <c r="AK69" i="42"/>
  <c r="R15" i="20"/>
  <c r="AK86" i="42"/>
  <c r="AL77" i="42"/>
  <c r="R20" i="20" s="1"/>
  <c r="S20" i="20" s="1"/>
  <c r="W20" i="20" s="1"/>
  <c r="AK83" i="42"/>
  <c r="AL83" i="42"/>
  <c r="AL72" i="42"/>
  <c r="AC29" i="15"/>
  <c r="AC30" i="15"/>
  <c r="AC42" i="15"/>
  <c r="AC36" i="15"/>
  <c r="AC31" i="15"/>
  <c r="AC35" i="15"/>
  <c r="AC32" i="15"/>
  <c r="W43" i="15"/>
  <c r="AA43" i="15" s="1"/>
  <c r="S43" i="15"/>
  <c r="S42" i="15"/>
  <c r="W42" i="15"/>
  <c r="AA42" i="15" s="1"/>
  <c r="AK43" i="42"/>
  <c r="AL43" i="42"/>
  <c r="AO33" i="42"/>
  <c r="AP33" i="42" s="1"/>
  <c r="AL28" i="42"/>
  <c r="AK28" i="42"/>
  <c r="P11" i="12" l="1"/>
  <c r="P11" i="3"/>
  <c r="AO89" i="42"/>
  <c r="AP89" i="42" s="1"/>
  <c r="R30" i="15"/>
  <c r="W30" i="15" s="1"/>
  <c r="AA30" i="15" s="1"/>
  <c r="X20" i="20"/>
  <c r="AA20" i="20"/>
  <c r="AB20" i="20" s="1"/>
  <c r="K100" i="19" s="1"/>
  <c r="R11" i="20"/>
  <c r="R22" i="20"/>
  <c r="S22" i="20" s="1"/>
  <c r="W22" i="20" s="1"/>
  <c r="AO55" i="42"/>
  <c r="AP55" i="42" s="1"/>
  <c r="S9" i="15"/>
  <c r="W9" i="15"/>
  <c r="AA9" i="15" s="1"/>
  <c r="AP87" i="42"/>
  <c r="AO71" i="42"/>
  <c r="AP71" i="42" s="1"/>
  <c r="R39" i="15"/>
  <c r="R31" i="15"/>
  <c r="W31" i="15" s="1"/>
  <c r="AA31" i="15" s="1"/>
  <c r="AO73" i="42"/>
  <c r="AP73" i="42" s="1"/>
  <c r="R41" i="15"/>
  <c r="R14" i="15"/>
  <c r="W14" i="15" s="1"/>
  <c r="AA14" i="15" s="1"/>
  <c r="AO67" i="42"/>
  <c r="AP67" i="42" s="1"/>
  <c r="R13" i="20"/>
  <c r="AO18" i="42"/>
  <c r="AP18" i="42" s="1"/>
  <c r="R12" i="15"/>
  <c r="W12" i="15" s="1"/>
  <c r="AA12" i="15" s="1"/>
  <c r="AP24" i="42"/>
  <c r="AP30" i="42"/>
  <c r="AP46" i="42"/>
  <c r="AO12" i="42"/>
  <c r="AP12" i="42" s="1"/>
  <c r="R5" i="15"/>
  <c r="S5" i="15" s="1"/>
  <c r="W8" i="15"/>
  <c r="AA8" i="15" s="1"/>
  <c r="S8" i="15"/>
  <c r="AO32" i="42"/>
  <c r="AP32" i="42" s="1"/>
  <c r="R15" i="15"/>
  <c r="W15" i="15" s="1"/>
  <c r="AA15" i="15" s="1"/>
  <c r="AP69" i="42"/>
  <c r="AO72" i="42"/>
  <c r="AP72" i="42" s="1"/>
  <c r="R40" i="15"/>
  <c r="S40" i="15" s="1"/>
  <c r="AO84" i="42"/>
  <c r="AP84" i="42" s="1"/>
  <c r="R24" i="15"/>
  <c r="W24" i="15" s="1"/>
  <c r="AA24" i="15" s="1"/>
  <c r="AO82" i="42"/>
  <c r="AP82" i="42" s="1"/>
  <c r="R44" i="15"/>
  <c r="AO83" i="42"/>
  <c r="AP83" i="42" s="1"/>
  <c r="R45" i="15"/>
  <c r="AO66" i="42"/>
  <c r="AP66" i="42" s="1"/>
  <c r="R36" i="15"/>
  <c r="W36" i="15" s="1"/>
  <c r="AA36" i="15" s="1"/>
  <c r="R22" i="15"/>
  <c r="W22" i="15" s="1"/>
  <c r="AA22" i="15" s="1"/>
  <c r="R13" i="15"/>
  <c r="W13" i="15" s="1"/>
  <c r="AA13" i="15" s="1"/>
  <c r="AO77" i="42"/>
  <c r="AP77" i="42" s="1"/>
  <c r="AO85" i="42"/>
  <c r="AP85" i="42" s="1"/>
  <c r="R14" i="20"/>
  <c r="AO86" i="42"/>
  <c r="AP86" i="42" s="1"/>
  <c r="R32" i="15"/>
  <c r="W32" i="15" s="1"/>
  <c r="AA32" i="15" s="1"/>
  <c r="L42" i="15"/>
  <c r="L40" i="15"/>
  <c r="L43" i="15"/>
  <c r="Z40" i="15"/>
  <c r="AO28" i="42"/>
  <c r="AP28" i="42" s="1"/>
  <c r="AO43" i="42"/>
  <c r="AP43" i="42" s="1"/>
  <c r="X22" i="20" l="1"/>
  <c r="AA22" i="20"/>
  <c r="AB22" i="20" s="1"/>
  <c r="K41" i="19" s="1"/>
  <c r="S39" i="15"/>
  <c r="W39" i="15"/>
  <c r="AA39" i="15" s="1"/>
  <c r="S41" i="15"/>
  <c r="W41" i="15"/>
  <c r="AA41" i="15" s="1"/>
  <c r="S12" i="15"/>
  <c r="W40" i="15"/>
  <c r="AA40" i="15" s="1"/>
  <c r="W45" i="15"/>
  <c r="AA45" i="15" s="1"/>
  <c r="S45" i="15"/>
  <c r="W44" i="15"/>
  <c r="AA44" i="15" s="1"/>
  <c r="S44" i="15"/>
  <c r="P45" i="15"/>
  <c r="Z42" i="15"/>
  <c r="Z43" i="15"/>
  <c r="P42" i="15"/>
  <c r="P39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X12" i="15" l="1"/>
  <c r="X21" i="15"/>
  <c r="X19" i="15"/>
  <c r="X15" i="15"/>
  <c r="X17" i="15"/>
  <c r="Y13" i="15"/>
  <c r="AB13" i="15" s="1"/>
  <c r="K15" i="19" s="1"/>
  <c r="L37" i="15"/>
  <c r="L36" i="15"/>
  <c r="Y8" i="20" l="1"/>
  <c r="AB8" i="20" s="1"/>
  <c r="K37" i="19" s="1"/>
  <c r="X8" i="20"/>
  <c r="Y43" i="15"/>
  <c r="AB43" i="15" s="1"/>
  <c r="K76" i="19" s="1"/>
  <c r="X43" i="15"/>
  <c r="Y42" i="15"/>
  <c r="AB42" i="15" s="1"/>
  <c r="K75" i="19" s="1"/>
  <c r="X42" i="15"/>
  <c r="Y41" i="15"/>
  <c r="AB41" i="15" s="1"/>
  <c r="K74" i="19" s="1"/>
  <c r="X41" i="15"/>
  <c r="X40" i="15"/>
  <c r="Y40" i="15"/>
  <c r="AB40" i="15" s="1"/>
  <c r="K73" i="19" s="1"/>
  <c r="X20" i="15"/>
  <c r="Y20" i="15"/>
  <c r="AB20" i="15" s="1"/>
  <c r="K21" i="19" s="1"/>
  <c r="X9" i="15"/>
  <c r="Y9" i="15"/>
  <c r="AB9" i="15" s="1"/>
  <c r="K12" i="19" s="1"/>
  <c r="Y15" i="15"/>
  <c r="AB15" i="15" s="1"/>
  <c r="K17" i="19" s="1"/>
  <c r="Y12" i="15"/>
  <c r="AB12" i="15" s="1"/>
  <c r="K14" i="19" s="1"/>
  <c r="X13" i="15"/>
  <c r="Y19" i="15"/>
  <c r="AB19" i="15" s="1"/>
  <c r="Y21" i="15"/>
  <c r="AB21" i="15" s="1"/>
  <c r="K22" i="19" s="1"/>
  <c r="Y17" i="15"/>
  <c r="AB17" i="15" s="1"/>
  <c r="K19" i="19" s="1"/>
  <c r="AM11" i="38" l="1"/>
  <c r="AM10" i="38"/>
  <c r="AL77" i="38"/>
  <c r="AL71" i="38"/>
  <c r="AL70" i="38"/>
  <c r="AL69" i="38"/>
  <c r="AL67" i="38"/>
  <c r="AL60" i="38"/>
  <c r="AL49" i="38"/>
  <c r="AL48" i="38"/>
  <c r="AL42" i="38"/>
  <c r="AL36" i="38"/>
  <c r="AL22" i="38"/>
  <c r="AL19" i="38"/>
  <c r="AL15" i="38"/>
  <c r="AL13" i="38"/>
  <c r="AL11" i="38"/>
  <c r="AL8" i="38" l="1"/>
  <c r="AL9" i="38"/>
  <c r="AL16" i="38"/>
  <c r="AL23" i="38"/>
  <c r="AL24" i="38"/>
  <c r="AL25" i="38"/>
  <c r="AL27" i="38"/>
  <c r="AL46" i="38"/>
  <c r="AL52" i="38"/>
  <c r="AL66" i="38"/>
  <c r="AM9" i="38"/>
  <c r="AO69" i="38"/>
  <c r="L74" i="19" s="1"/>
  <c r="AC41" i="15" l="1"/>
  <c r="AC40" i="15"/>
  <c r="L38" i="15"/>
  <c r="L39" i="15"/>
  <c r="X23" i="15"/>
  <c r="Y23" i="15"/>
  <c r="AB23" i="15" s="1"/>
  <c r="K24" i="19" s="1"/>
  <c r="AO9" i="38"/>
  <c r="AC4" i="20" l="1"/>
  <c r="X26" i="15"/>
  <c r="Y26" i="15"/>
  <c r="AB26" i="15" s="1"/>
  <c r="K60" i="19" s="1"/>
  <c r="X30" i="15"/>
  <c r="Y30" i="15"/>
  <c r="AB30" i="15" s="1"/>
  <c r="K64" i="19" s="1"/>
  <c r="X33" i="15"/>
  <c r="Y33" i="15"/>
  <c r="AB33" i="15" s="1"/>
  <c r="K67" i="19" s="1"/>
  <c r="Y27" i="15"/>
  <c r="AB27" i="15" s="1"/>
  <c r="K61" i="19" s="1"/>
  <c r="X27" i="15"/>
  <c r="X24" i="15"/>
  <c r="Y24" i="15"/>
  <c r="AB24" i="15" s="1"/>
  <c r="K58" i="19" s="1"/>
  <c r="O10" i="12" l="1"/>
  <c r="N10" i="12"/>
  <c r="C32" i="3"/>
  <c r="C33" i="3"/>
  <c r="C34" i="3"/>
  <c r="C35" i="3"/>
  <c r="C36" i="3"/>
  <c r="C27" i="3"/>
  <c r="C28" i="3"/>
  <c r="C26" i="3"/>
  <c r="C25" i="3"/>
  <c r="C16" i="3"/>
  <c r="K10" i="12"/>
  <c r="N11" i="12" l="1"/>
  <c r="M18" i="3"/>
  <c r="L22" i="3"/>
  <c r="M28" i="3"/>
  <c r="L19" i="3"/>
  <c r="M32" i="3"/>
  <c r="M21" i="3"/>
  <c r="M22" i="3"/>
  <c r="M20" i="3"/>
  <c r="L28" i="3"/>
  <c r="L35" i="3"/>
  <c r="L21" i="3"/>
  <c r="L34" i="3"/>
  <c r="L32" i="3"/>
  <c r="X45" i="15"/>
  <c r="Y45" i="15"/>
  <c r="AB45" i="15" s="1"/>
  <c r="K78" i="19" s="1"/>
  <c r="X31" i="15"/>
  <c r="Y8" i="15"/>
  <c r="AB8" i="15" s="1"/>
  <c r="K11" i="19" s="1"/>
  <c r="X8" i="15"/>
  <c r="X29" i="15"/>
  <c r="Y36" i="15"/>
  <c r="AB36" i="15" s="1"/>
  <c r="X36" i="15"/>
  <c r="Y7" i="15"/>
  <c r="AB7" i="15" s="1"/>
  <c r="K10" i="19" s="1"/>
  <c r="X7" i="15"/>
  <c r="P13" i="20"/>
  <c r="P15" i="20"/>
  <c r="P16" i="20"/>
  <c r="P14" i="20"/>
  <c r="L16" i="20"/>
  <c r="L15" i="20"/>
  <c r="L14" i="20"/>
  <c r="L13" i="20"/>
  <c r="Q21" i="3" l="1"/>
  <c r="Y31" i="15"/>
  <c r="AB31" i="15" s="1"/>
  <c r="K65" i="19" s="1"/>
  <c r="X18" i="15"/>
  <c r="Y18" i="15"/>
  <c r="AB18" i="15" s="1"/>
  <c r="K20" i="19" s="1"/>
  <c r="X28" i="15"/>
  <c r="Y28" i="15"/>
  <c r="AB28" i="15" s="1"/>
  <c r="K62" i="19" s="1"/>
  <c r="L33" i="3"/>
  <c r="L25" i="3"/>
  <c r="M35" i="3"/>
  <c r="Q35" i="3" s="1"/>
  <c r="K106" i="19" s="1"/>
  <c r="L26" i="3"/>
  <c r="L17" i="3"/>
  <c r="M17" i="3"/>
  <c r="M16" i="3"/>
  <c r="M27" i="3"/>
  <c r="M33" i="3"/>
  <c r="L18" i="3"/>
  <c r="Q18" i="3" s="1"/>
  <c r="K52" i="19" s="1"/>
  <c r="L16" i="3"/>
  <c r="L27" i="3"/>
  <c r="M25" i="3"/>
  <c r="M34" i="3"/>
  <c r="M26" i="3"/>
  <c r="L20" i="3"/>
  <c r="Q20" i="3" s="1"/>
  <c r="K54" i="19" s="1"/>
  <c r="M19" i="3"/>
  <c r="Q19" i="3" s="1"/>
  <c r="K53" i="19" s="1"/>
  <c r="Y29" i="15"/>
  <c r="AB29" i="15" s="1"/>
  <c r="K63" i="19" s="1"/>
  <c r="X16" i="15"/>
  <c r="Y16" i="15"/>
  <c r="AB16" i="15" s="1"/>
  <c r="K18" i="19" s="1"/>
  <c r="Y11" i="15"/>
  <c r="AB11" i="15" s="1"/>
  <c r="X11" i="15"/>
  <c r="Y10" i="15"/>
  <c r="AB10" i="15" s="1"/>
  <c r="K13" i="19" s="1"/>
  <c r="X10" i="15"/>
  <c r="Y14" i="15"/>
  <c r="AB14" i="15" s="1"/>
  <c r="K16" i="19" s="1"/>
  <c r="X14" i="15"/>
  <c r="Q22" i="3"/>
  <c r="Q32" i="3"/>
  <c r="K102" i="19" s="1"/>
  <c r="Q28" i="3"/>
  <c r="K51" i="19" s="1"/>
  <c r="X32" i="15"/>
  <c r="Y32" i="15"/>
  <c r="AB32" i="15" s="1"/>
  <c r="K66" i="19" s="1"/>
  <c r="Y35" i="15"/>
  <c r="AB35" i="15" s="1"/>
  <c r="K69" i="19" s="1"/>
  <c r="X35" i="15"/>
  <c r="Y22" i="15"/>
  <c r="AB22" i="15" s="1"/>
  <c r="X22" i="15"/>
  <c r="X25" i="15"/>
  <c r="Y25" i="15"/>
  <c r="AB25" i="15" s="1"/>
  <c r="K59" i="19" s="1"/>
  <c r="X37" i="15"/>
  <c r="Y37" i="15"/>
  <c r="AB37" i="15" s="1"/>
  <c r="K70" i="19" s="1"/>
  <c r="Y6" i="15"/>
  <c r="AB6" i="15" s="1"/>
  <c r="K9" i="19" s="1"/>
  <c r="X6" i="15"/>
  <c r="Y34" i="15"/>
  <c r="AB34" i="15" s="1"/>
  <c r="K68" i="19" s="1"/>
  <c r="X34" i="15"/>
  <c r="Q34" i="3" l="1"/>
  <c r="K49" i="19" s="1"/>
  <c r="K55" i="19"/>
  <c r="K90" i="19"/>
  <c r="Y44" i="15"/>
  <c r="AB44" i="15" s="1"/>
  <c r="K77" i="19" s="1"/>
  <c r="X44" i="15"/>
  <c r="Q27" i="3"/>
  <c r="K50" i="19" s="1"/>
  <c r="Q26" i="3"/>
  <c r="K45" i="19" s="1"/>
  <c r="Q25" i="3"/>
  <c r="K44" i="19" s="1"/>
  <c r="Q17" i="3"/>
  <c r="K4" i="19" s="1"/>
  <c r="Q16" i="3"/>
  <c r="K2" i="19" s="1"/>
  <c r="Q33" i="3"/>
  <c r="K103" i="19" s="1"/>
  <c r="K46" i="19"/>
  <c r="Y39" i="15"/>
  <c r="AB39" i="15" s="1"/>
  <c r="K72" i="19" s="1"/>
  <c r="X39" i="15"/>
  <c r="Y38" i="15"/>
  <c r="AB38" i="15" s="1"/>
  <c r="K71" i="19" s="1"/>
  <c r="X38" i="15"/>
  <c r="Q6" i="19" l="1"/>
  <c r="Q40" i="3"/>
  <c r="J10" i="12" l="1"/>
  <c r="J11" i="12" s="1"/>
  <c r="J54" i="12" l="1" a="1"/>
  <c r="M54" i="12" s="1"/>
  <c r="H54" i="12"/>
  <c r="I54" i="12" a="1"/>
  <c r="L54" i="12" s="1"/>
  <c r="J56" i="12" a="1"/>
  <c r="M56" i="12" s="1"/>
  <c r="H56" i="12"/>
  <c r="I56" i="12" a="1"/>
  <c r="L56" i="12" s="1"/>
  <c r="J46" i="12" a="1"/>
  <c r="M46" i="12" s="1"/>
  <c r="H46" i="12"/>
  <c r="I46" i="12" a="1"/>
  <c r="L46" i="12" s="1"/>
  <c r="J27" i="12" a="1"/>
  <c r="M27" i="12" s="1"/>
  <c r="H27" i="12"/>
  <c r="I27" i="12" a="1"/>
  <c r="L27" i="12" s="1"/>
  <c r="J17" i="12" a="1"/>
  <c r="J19" i="12" a="1"/>
  <c r="J21" i="12" a="1"/>
  <c r="J22" i="12" a="1"/>
  <c r="J24" i="12" a="1"/>
  <c r="J26" i="12" a="1"/>
  <c r="J30" i="12" a="1"/>
  <c r="J16" i="12" a="1"/>
  <c r="I19" i="12" a="1"/>
  <c r="I26" i="12" a="1"/>
  <c r="I29" i="12" a="1"/>
  <c r="I16" i="12" a="1"/>
  <c r="J18" i="12" a="1"/>
  <c r="J23" i="12" a="1"/>
  <c r="J28" i="12" a="1"/>
  <c r="J29" i="12" a="1"/>
  <c r="J32" i="12" a="1"/>
  <c r="I22" i="12" a="1"/>
  <c r="I30" i="12" a="1"/>
  <c r="I23" i="12" a="1"/>
  <c r="I31" i="12" a="1"/>
  <c r="I17" i="12" a="1"/>
  <c r="I20" i="12" a="1"/>
  <c r="I24" i="12" a="1"/>
  <c r="I28" i="12" a="1"/>
  <c r="J20" i="12" a="1"/>
  <c r="J25" i="12" a="1"/>
  <c r="J31" i="12" a="1"/>
  <c r="I18" i="12" a="1"/>
  <c r="I25" i="12" a="1"/>
  <c r="I32" i="12" a="1"/>
  <c r="I21" i="12" a="1"/>
  <c r="P37" i="15"/>
  <c r="P36" i="15"/>
  <c r="L12" i="20"/>
  <c r="P6" i="20"/>
  <c r="P12" i="20"/>
  <c r="P35" i="15"/>
  <c r="L35" i="15"/>
  <c r="P34" i="15"/>
  <c r="L34" i="15"/>
  <c r="L29" i="15"/>
  <c r="P18" i="15"/>
  <c r="P15" i="15"/>
  <c r="P24" i="15"/>
  <c r="P5" i="15"/>
  <c r="P7" i="20"/>
  <c r="P22" i="15"/>
  <c r="P29" i="15"/>
  <c r="P21" i="15"/>
  <c r="P16" i="15"/>
  <c r="P31" i="15"/>
  <c r="P28" i="15"/>
  <c r="P26" i="15"/>
  <c r="P13" i="15"/>
  <c r="L16" i="15"/>
  <c r="L22" i="15"/>
  <c r="L21" i="15"/>
  <c r="L27" i="15"/>
  <c r="L5" i="20"/>
  <c r="L4" i="20"/>
  <c r="L4" i="15"/>
  <c r="L6" i="15"/>
  <c r="P11" i="20"/>
  <c r="P6" i="15"/>
  <c r="L7" i="20"/>
  <c r="L6" i="20"/>
  <c r="L33" i="15"/>
  <c r="P32" i="15"/>
  <c r="L32" i="15"/>
  <c r="L26" i="15"/>
  <c r="P25" i="15"/>
  <c r="L20" i="15"/>
  <c r="P19" i="15"/>
  <c r="L19" i="15"/>
  <c r="L31" i="15"/>
  <c r="L30" i="15"/>
  <c r="P23" i="15"/>
  <c r="L23" i="15"/>
  <c r="P14" i="15"/>
  <c r="L14" i="15"/>
  <c r="P10" i="15"/>
  <c r="L10" i="15"/>
  <c r="P4" i="15"/>
  <c r="P8" i="15"/>
  <c r="L17" i="15"/>
  <c r="L11" i="15"/>
  <c r="L9" i="15"/>
  <c r="L7" i="15"/>
  <c r="AM7" i="38"/>
  <c r="AO12" i="38"/>
  <c r="L10" i="19" s="1"/>
  <c r="AO13" i="38"/>
  <c r="AL7" i="38"/>
  <c r="Q54" i="12" l="1"/>
  <c r="K88" i="19" s="1"/>
  <c r="Q56" i="12"/>
  <c r="K92" i="19" s="1"/>
  <c r="Q46" i="12"/>
  <c r="K80" i="19" s="1"/>
  <c r="Q27" i="12"/>
  <c r="K33" i="19" s="1"/>
  <c r="AC7" i="15"/>
  <c r="AC6" i="20"/>
  <c r="AO7" i="38"/>
  <c r="L7" i="19" s="1"/>
  <c r="L12" i="15"/>
  <c r="AC4" i="15" l="1"/>
  <c r="L9" i="20"/>
  <c r="P30" i="15"/>
  <c r="L5" i="15"/>
  <c r="L28" i="15"/>
  <c r="Z7" i="20"/>
  <c r="Z9" i="20"/>
  <c r="Z10" i="20"/>
  <c r="Z13" i="20"/>
  <c r="Z14" i="20"/>
  <c r="Z15" i="20"/>
  <c r="Z16" i="20"/>
  <c r="AO10" i="38"/>
  <c r="L9" i="19" s="1"/>
  <c r="AO11" i="38"/>
  <c r="L36" i="19" s="1"/>
  <c r="AO14" i="38"/>
  <c r="L11" i="19" s="1"/>
  <c r="AO15" i="38"/>
  <c r="AO16" i="38"/>
  <c r="L38" i="19" s="1"/>
  <c r="AO17" i="38"/>
  <c r="L12" i="19" s="1"/>
  <c r="AO18" i="38"/>
  <c r="L13" i="19" s="1"/>
  <c r="AO19" i="38"/>
  <c r="AO20" i="38"/>
  <c r="L14" i="19" s="1"/>
  <c r="AO21" i="38"/>
  <c r="AO22" i="38"/>
  <c r="L39" i="19" s="1"/>
  <c r="AO23" i="38"/>
  <c r="L40" i="19" s="1"/>
  <c r="AO24" i="38"/>
  <c r="L41" i="19" s="1"/>
  <c r="AO25" i="38"/>
  <c r="AO26" i="38"/>
  <c r="L16" i="19" s="1"/>
  <c r="AO27" i="38"/>
  <c r="L42" i="19" s="1"/>
  <c r="AO28" i="38"/>
  <c r="L17" i="19" s="1"/>
  <c r="AO29" i="38"/>
  <c r="L18" i="19" s="1"/>
  <c r="AO30" i="38"/>
  <c r="AO31" i="38"/>
  <c r="L19" i="19" s="1"/>
  <c r="AO32" i="38"/>
  <c r="L20" i="19" s="1"/>
  <c r="AO33" i="38"/>
  <c r="AO34" i="38"/>
  <c r="L21" i="19" s="1"/>
  <c r="AO35" i="38"/>
  <c r="L22" i="19" s="1"/>
  <c r="AO36" i="38"/>
  <c r="AO37" i="38"/>
  <c r="AO38" i="38"/>
  <c r="L24" i="19" s="1"/>
  <c r="AO39" i="38"/>
  <c r="L15" i="19" s="1"/>
  <c r="AO40" i="38"/>
  <c r="AO42" i="38"/>
  <c r="L43" i="19" s="1"/>
  <c r="AO43" i="38"/>
  <c r="AO44" i="38"/>
  <c r="AO45" i="38"/>
  <c r="AO46" i="38"/>
  <c r="AO47" i="38"/>
  <c r="L59" i="19" s="1"/>
  <c r="AO48" i="38"/>
  <c r="L60" i="19" s="1"/>
  <c r="AO49" i="38"/>
  <c r="L61" i="19" s="1"/>
  <c r="AO50" i="38"/>
  <c r="L95" i="19" s="1"/>
  <c r="AO51" i="38"/>
  <c r="AO52" i="38"/>
  <c r="L37" i="19" s="1"/>
  <c r="AO53" i="38"/>
  <c r="L96" i="19" s="1"/>
  <c r="AO60" i="38"/>
  <c r="L68" i="19" s="1"/>
  <c r="AO66" i="38"/>
  <c r="L71" i="19" s="1"/>
  <c r="AO67" i="38"/>
  <c r="L72" i="19" s="1"/>
  <c r="AO70" i="38"/>
  <c r="AO77" i="38"/>
  <c r="L76" i="19" s="1"/>
  <c r="AC18" i="20" l="1"/>
  <c r="L98" i="19"/>
  <c r="AC28" i="15"/>
  <c r="L62" i="19"/>
  <c r="AC22" i="20"/>
  <c r="AC12" i="15"/>
  <c r="AC39" i="15"/>
  <c r="AC34" i="15"/>
  <c r="AC8" i="20"/>
  <c r="AC33" i="15"/>
  <c r="AC38" i="15"/>
  <c r="AC26" i="15"/>
  <c r="AC22" i="15"/>
  <c r="AC20" i="15"/>
  <c r="AC16" i="15"/>
  <c r="AC37" i="15"/>
  <c r="AC25" i="15"/>
  <c r="AC21" i="15"/>
  <c r="AC19" i="15"/>
  <c r="AC15" i="15"/>
  <c r="AC10" i="15"/>
  <c r="AC8" i="15"/>
  <c r="AC43" i="15"/>
  <c r="AC18" i="15"/>
  <c r="AC14" i="15"/>
  <c r="AC9" i="15"/>
  <c r="AC27" i="15"/>
  <c r="AC23" i="15"/>
  <c r="AC17" i="15"/>
  <c r="AC13" i="15"/>
  <c r="AC11" i="15"/>
  <c r="AC6" i="15"/>
  <c r="AC15" i="20"/>
  <c r="AC14" i="20"/>
  <c r="AC11" i="20"/>
  <c r="AC9" i="20"/>
  <c r="AC13" i="20"/>
  <c r="AC12" i="20"/>
  <c r="AC5" i="20"/>
  <c r="AC10" i="20"/>
  <c r="AC7" i="20"/>
  <c r="AC16" i="20"/>
  <c r="AO71" i="38"/>
  <c r="P33" i="15"/>
  <c r="L25" i="15"/>
  <c r="P38" i="15"/>
  <c r="Z6" i="20"/>
  <c r="P5" i="20"/>
  <c r="Z11" i="20"/>
  <c r="P9" i="20"/>
  <c r="L15" i="15"/>
  <c r="L13" i="15"/>
  <c r="P9" i="15"/>
  <c r="L18" i="15"/>
  <c r="P27" i="15"/>
  <c r="P4" i="20"/>
  <c r="P10" i="20"/>
  <c r="P20" i="15"/>
  <c r="L11" i="20"/>
  <c r="L8" i="15"/>
  <c r="P11" i="15"/>
  <c r="AC19" i="20" l="1"/>
  <c r="AC30" i="20" s="1"/>
  <c r="L99" i="19"/>
  <c r="P17" i="15"/>
  <c r="L24" i="15"/>
  <c r="L10" i="20"/>
  <c r="P12" i="15"/>
  <c r="S37" i="15"/>
  <c r="P7" i="15" l="1"/>
  <c r="S12" i="20"/>
  <c r="O13" i="19"/>
  <c r="S6" i="20"/>
  <c r="S7" i="20"/>
  <c r="S9" i="20"/>
  <c r="S15" i="20"/>
  <c r="S13" i="20" l="1"/>
  <c r="S16" i="20"/>
  <c r="AO8" i="38" l="1"/>
  <c r="L8" i="19" s="1"/>
  <c r="L110" i="19" l="1"/>
  <c r="AO86" i="38"/>
  <c r="AC5" i="15"/>
  <c r="AC56" i="15" s="1"/>
  <c r="S23" i="15"/>
  <c r="S21" i="15"/>
  <c r="S22" i="15"/>
  <c r="Y14" i="20" l="1"/>
  <c r="S14" i="20" l="1"/>
  <c r="W14" i="20" s="1"/>
  <c r="S10" i="20"/>
  <c r="S11" i="20"/>
  <c r="AA14" i="20" l="1"/>
  <c r="AB14" i="20" s="1"/>
  <c r="K94" i="19" s="1"/>
  <c r="X14" i="20"/>
  <c r="S35" i="15"/>
  <c r="S34" i="15" l="1"/>
  <c r="S29" i="15" l="1"/>
  <c r="W5" i="15" l="1"/>
  <c r="W15" i="20" l="1"/>
  <c r="AA15" i="20" s="1"/>
  <c r="W16" i="20"/>
  <c r="AA16" i="20" s="1"/>
  <c r="AB15" i="20" l="1"/>
  <c r="K95" i="19" s="1"/>
  <c r="X16" i="20" l="1"/>
  <c r="X15" i="20"/>
  <c r="Y16" i="20" l="1"/>
  <c r="AB16" i="20" s="1"/>
  <c r="K96" i="19" s="1"/>
  <c r="S13" i="15" l="1"/>
  <c r="S14" i="15"/>
  <c r="S16" i="15"/>
  <c r="S17" i="15"/>
  <c r="S18" i="15"/>
  <c r="S19" i="15"/>
  <c r="S20" i="15"/>
  <c r="S24" i="15"/>
  <c r="S26" i="15"/>
  <c r="S27" i="15"/>
  <c r="S28" i="15"/>
  <c r="S30" i="15"/>
  <c r="S33" i="15"/>
  <c r="S36" i="15"/>
  <c r="AA5" i="15"/>
  <c r="W4" i="15" l="1"/>
  <c r="AA4" i="15" s="1"/>
  <c r="S25" i="15"/>
  <c r="S32" i="15"/>
  <c r="S15" i="15"/>
  <c r="O10" i="19" l="1"/>
  <c r="O12" i="19"/>
  <c r="Q12" i="19" l="1"/>
  <c r="R12" i="19" l="1"/>
  <c r="O11" i="19"/>
  <c r="S12" i="19" l="1"/>
  <c r="S31" i="15" l="1"/>
  <c r="Z5" i="15" l="1"/>
  <c r="Y5" i="15"/>
  <c r="AB5" i="15" l="1"/>
  <c r="K8" i="19" s="1"/>
  <c r="X5" i="15" l="1"/>
  <c r="W7" i="20" l="1"/>
  <c r="S5" i="20" l="1"/>
  <c r="W5" i="20" s="1"/>
  <c r="AA5" i="20" l="1"/>
  <c r="AA7" i="20"/>
  <c r="Z5" i="20" l="1"/>
  <c r="Y7" i="20" l="1"/>
  <c r="AB7" i="20" s="1"/>
  <c r="X7" i="20"/>
  <c r="Z4" i="15" l="1"/>
  <c r="X5" i="20"/>
  <c r="Y5" i="20" l="1"/>
  <c r="AB5" i="20" l="1"/>
  <c r="K36" i="19" s="1"/>
  <c r="Y4" i="15"/>
  <c r="AB4" i="15" s="1"/>
  <c r="K7" i="19" s="1"/>
  <c r="Y13" i="20" l="1"/>
  <c r="N7" i="12" l="1"/>
  <c r="N5" i="12"/>
  <c r="W10" i="20" l="1"/>
  <c r="W11" i="20"/>
  <c r="W12" i="20"/>
  <c r="W6" i="20"/>
  <c r="S4" i="20"/>
  <c r="W4" i="20" s="1"/>
  <c r="AA11" i="20" l="1"/>
  <c r="AA12" i="20"/>
  <c r="AA10" i="20"/>
  <c r="Y12" i="20"/>
  <c r="Y9" i="20"/>
  <c r="Y6" i="20"/>
  <c r="Y11" i="20"/>
  <c r="AB11" i="20" l="1"/>
  <c r="K40" i="19" s="1"/>
  <c r="AA6" i="20"/>
  <c r="X6" i="20"/>
  <c r="X4" i="15"/>
  <c r="AB6" i="20" l="1"/>
  <c r="W9" i="20"/>
  <c r="W13" i="20"/>
  <c r="AA13" i="20" l="1"/>
  <c r="AB13" i="20" s="1"/>
  <c r="K43" i="19" s="1"/>
  <c r="X13" i="20"/>
  <c r="AA9" i="20"/>
  <c r="AB9" i="20" s="1"/>
  <c r="K38" i="19" s="1"/>
  <c r="X9" i="20"/>
  <c r="Y4" i="20"/>
  <c r="X11" i="20" l="1"/>
  <c r="Y10" i="20" l="1"/>
  <c r="AB10" i="20" s="1"/>
  <c r="K39" i="19" s="1"/>
  <c r="X10" i="20"/>
  <c r="AA4" i="20" l="1"/>
  <c r="X4" i="20"/>
  <c r="AE15" i="12" l="1"/>
  <c r="AD15" i="12"/>
  <c r="J5" i="12" l="1"/>
  <c r="J7" i="12" l="1"/>
  <c r="Z4" i="20"/>
  <c r="AB4" i="20" s="1"/>
  <c r="Z12" i="20" l="1"/>
  <c r="AB12" i="20" s="1"/>
  <c r="K42" i="19" s="1"/>
  <c r="Q7" i="19" s="1"/>
  <c r="J45" i="12" l="1" a="1"/>
  <c r="M45" i="12" s="1"/>
  <c r="I53" i="12" a="1"/>
  <c r="L53" i="12" s="1"/>
  <c r="M21" i="12"/>
  <c r="J58" i="12" a="1"/>
  <c r="M58" i="12" s="1"/>
  <c r="I51" i="12" a="1"/>
  <c r="L51" i="12" s="1"/>
  <c r="I55" i="12" a="1"/>
  <c r="L55" i="12" s="1"/>
  <c r="J55" i="12" a="1"/>
  <c r="M55" i="12" s="1"/>
  <c r="I47" i="12" a="1"/>
  <c r="L47" i="12" s="1"/>
  <c r="I45" i="12" a="1"/>
  <c r="L45" i="12" s="1"/>
  <c r="M24" i="12"/>
  <c r="H16" i="12"/>
  <c r="L30" i="12"/>
  <c r="I60" i="12" a="1"/>
  <c r="L60" i="12" s="1"/>
  <c r="M18" i="12"/>
  <c r="I50" i="12" a="1"/>
  <c r="L50" i="12" s="1"/>
  <c r="L32" i="12"/>
  <c r="J60" i="12" a="1"/>
  <c r="M60" i="12" s="1"/>
  <c r="M30" i="12"/>
  <c r="L19" i="12"/>
  <c r="L31" i="12"/>
  <c r="J47" i="12" a="1"/>
  <c r="M47" i="12" s="1"/>
  <c r="L29" i="12"/>
  <c r="M28" i="12"/>
  <c r="J51" i="12" a="1"/>
  <c r="M51" i="12" s="1"/>
  <c r="M25" i="12"/>
  <c r="L18" i="12"/>
  <c r="I52" i="12" a="1"/>
  <c r="L52" i="12" s="1"/>
  <c r="M16" i="12"/>
  <c r="M23" i="12"/>
  <c r="J44" i="12" a="1"/>
  <c r="M44" i="12" s="1"/>
  <c r="I58" i="12" a="1"/>
  <c r="L58" i="12" s="1"/>
  <c r="M31" i="12"/>
  <c r="I48" i="12" a="1"/>
  <c r="L48" i="12" s="1"/>
  <c r="I43" i="12" a="1"/>
  <c r="L43" i="12" s="1"/>
  <c r="M19" i="12"/>
  <c r="J48" i="12" a="1"/>
  <c r="M48" i="12" s="1"/>
  <c r="L28" i="12"/>
  <c r="J57" i="12" a="1"/>
  <c r="M57" i="12" s="1"/>
  <c r="J59" i="12" a="1"/>
  <c r="M59" i="12" s="1"/>
  <c r="I59" i="12" a="1"/>
  <c r="L59" i="12" s="1"/>
  <c r="J49" i="12" a="1"/>
  <c r="M49" i="12" s="1"/>
  <c r="L21" i="12"/>
  <c r="I44" i="12" a="1"/>
  <c r="L44" i="12" s="1"/>
  <c r="J43" i="12" a="1"/>
  <c r="M43" i="12" s="1"/>
  <c r="J53" i="12" a="1"/>
  <c r="M53" i="12" s="1"/>
  <c r="L25" i="12"/>
  <c r="M20" i="12"/>
  <c r="M32" i="12"/>
  <c r="J52" i="12" a="1"/>
  <c r="M52" i="12" s="1"/>
  <c r="L20" i="12"/>
  <c r="I57" i="12" a="1"/>
  <c r="L57" i="12" s="1"/>
  <c r="J50" i="12" a="1"/>
  <c r="M50" i="12" s="1"/>
  <c r="L23" i="12"/>
  <c r="M17" i="12"/>
  <c r="M22" i="12"/>
  <c r="M29" i="12"/>
  <c r="I49" i="12" a="1"/>
  <c r="L49" i="12" s="1"/>
  <c r="L26" i="12"/>
  <c r="H31" i="12"/>
  <c r="H60" i="12"/>
  <c r="H32" i="12"/>
  <c r="H30" i="12"/>
  <c r="M26" i="12"/>
  <c r="H58" i="12"/>
  <c r="L24" i="12"/>
  <c r="L17" i="12"/>
  <c r="L22" i="12"/>
  <c r="H17" i="12"/>
  <c r="H59" i="12"/>
  <c r="H20" i="12"/>
  <c r="H21" i="12"/>
  <c r="H19" i="12"/>
  <c r="H18" i="12"/>
  <c r="L16" i="12"/>
  <c r="X12" i="20"/>
  <c r="Q53" i="12" l="1"/>
  <c r="K87" i="19" s="1"/>
  <c r="Q43" i="12"/>
  <c r="K56" i="19" s="1"/>
  <c r="Q57" i="12"/>
  <c r="K93" i="19" s="1"/>
  <c r="Q49" i="12"/>
  <c r="K83" i="19" s="1"/>
  <c r="Q50" i="12"/>
  <c r="K84" i="19" s="1"/>
  <c r="Q59" i="12"/>
  <c r="K105" i="19" s="1"/>
  <c r="Q58" i="12"/>
  <c r="K104" i="19" s="1"/>
  <c r="Q51" i="12"/>
  <c r="K85" i="19" s="1"/>
  <c r="Q47" i="12"/>
  <c r="K81" i="19" s="1"/>
  <c r="Q60" i="12"/>
  <c r="K89" i="19" s="1"/>
  <c r="Q45" i="12"/>
  <c r="K79" i="19" s="1"/>
  <c r="Q44" i="12"/>
  <c r="K57" i="19" s="1"/>
  <c r="Q52" i="12"/>
  <c r="K86" i="19" s="1"/>
  <c r="Q31" i="12"/>
  <c r="K48" i="19" s="1"/>
  <c r="Q8" i="19"/>
  <c r="Q48" i="12"/>
  <c r="K82" i="19" s="1"/>
  <c r="Q55" i="12"/>
  <c r="K91" i="19" s="1"/>
  <c r="Q32" i="12"/>
  <c r="K23" i="19" s="1"/>
  <c r="Q18" i="12"/>
  <c r="K3" i="19" s="1"/>
  <c r="Q20" i="12"/>
  <c r="K26" i="19" s="1"/>
  <c r="Q21" i="12"/>
  <c r="K27" i="19" s="1"/>
  <c r="Q19" i="12"/>
  <c r="K25" i="19" s="1"/>
  <c r="Q17" i="12"/>
  <c r="K5" i="19" s="1"/>
  <c r="Q16" i="12"/>
  <c r="O6" i="19"/>
  <c r="Q28" i="12"/>
  <c r="K34" i="19" s="1"/>
  <c r="Q29" i="12"/>
  <c r="K35" i="19" s="1"/>
  <c r="Q30" i="12"/>
  <c r="K47" i="19" s="1"/>
  <c r="Q25" i="12"/>
  <c r="K32" i="19" s="1"/>
  <c r="Q22" i="12"/>
  <c r="K28" i="19" s="1"/>
  <c r="Q23" i="12"/>
  <c r="K29" i="19" s="1"/>
  <c r="Q24" i="12"/>
  <c r="K31" i="19" s="1"/>
  <c r="Q26" i="12"/>
  <c r="K30" i="19" s="1"/>
  <c r="Q69" i="12" l="1"/>
  <c r="K6" i="19"/>
  <c r="Q5" i="19" s="1"/>
  <c r="H47" i="12"/>
  <c r="H23" i="12"/>
  <c r="H53" i="12"/>
  <c r="H43" i="12"/>
  <c r="H26" i="12"/>
  <c r="H55" i="12"/>
  <c r="H57" i="12"/>
  <c r="H49" i="12"/>
  <c r="H29" i="12"/>
  <c r="H48" i="12"/>
  <c r="H28" i="12"/>
  <c r="H52" i="12"/>
  <c r="H45" i="12"/>
  <c r="H25" i="12"/>
  <c r="H51" i="12"/>
  <c r="H22" i="12"/>
  <c r="H50" i="12"/>
  <c r="H24" i="12"/>
  <c r="H44" i="12"/>
  <c r="AB30" i="20"/>
  <c r="O7" i="19" s="1"/>
  <c r="K110" i="19" l="1"/>
  <c r="K112" i="19" s="1"/>
  <c r="R7" i="19"/>
  <c r="S7" i="19"/>
  <c r="AB56" i="15"/>
  <c r="R6" i="19"/>
  <c r="S6" i="19"/>
  <c r="O8" i="19" l="1"/>
  <c r="R8" i="19" s="1"/>
  <c r="O5" i="19"/>
  <c r="O4" i="19" l="1"/>
  <c r="S8" i="19"/>
  <c r="S5" i="19"/>
  <c r="O2" i="19"/>
  <c r="O3" i="19" l="1"/>
  <c r="R5" i="19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28" i="3"/>
  <c r="I28" i="3"/>
  <c r="J27" i="3"/>
  <c r="I27" i="3"/>
  <c r="J26" i="3"/>
  <c r="I26" i="3"/>
  <c r="J25" i="3"/>
  <c r="I25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P4" authorId="0" shapeId="0" xr:uid="{2F5ACD4E-1D66-4348-850C-A54998469DC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SEMANAS POR 44 HORAS</t>
        </r>
      </text>
    </comment>
    <comment ref="AP5" authorId="0" shapeId="0" xr:uid="{2FE95194-C586-4F64-A854-2DFE6366814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SEMANAS POR 44 HORAS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<sst xmlns="http://schemas.openxmlformats.org/spreadsheetml/2006/main" count="7809" uniqueCount="522">
  <si>
    <t>N°</t>
  </si>
  <si>
    <t>RUT</t>
  </si>
  <si>
    <t>FECHA INGRESO MV</t>
  </si>
  <si>
    <t>FECHA TÉRMINO</t>
  </si>
  <si>
    <t>VIGENCIA</t>
  </si>
  <si>
    <t>TURNO</t>
  </si>
  <si>
    <t>NOMBRE</t>
  </si>
  <si>
    <t>CARGO</t>
  </si>
  <si>
    <t>HOJA DE DATOS</t>
  </si>
  <si>
    <t>OBSERVACION</t>
  </si>
  <si>
    <t>BONO PRODUCCIÓN JULIO A CARGAR EN AGOSTO 2026</t>
  </si>
  <si>
    <t>BONO EXTRA JULIO A CARGAR EN AGOSTO 2026</t>
  </si>
  <si>
    <t>BONO SOBRE 1000 M A CARGAR EN AGOSTO 2026</t>
  </si>
  <si>
    <t>TOTAL A PAGAR VALIDACIONES</t>
  </si>
  <si>
    <t>HOJA</t>
  </si>
  <si>
    <t>12419789-9</t>
  </si>
  <si>
    <t>4X3</t>
  </si>
  <si>
    <t>NUÑEZ GONZALEZ ROBERTO CARLOS</t>
  </si>
  <si>
    <t>ADMINISTRADOR DE CONTRATO</t>
  </si>
  <si>
    <t>SUP-PREV</t>
  </si>
  <si>
    <t>A PAGAR FINAL</t>
  </si>
  <si>
    <t>15050618-2</t>
  </si>
  <si>
    <t>VIGORENA DUARTE KAREN ANDREA</t>
  </si>
  <si>
    <t>ADMINISTRATIVA/O DE FAENA</t>
  </si>
  <si>
    <t>NO OP</t>
  </si>
  <si>
    <t>DIFERENCIA</t>
  </si>
  <si>
    <t>ALFARO VEAS RODRIGO FERNANDO</t>
  </si>
  <si>
    <t>LIDER HSEC</t>
  </si>
  <si>
    <t>VERIFICACIÓN HOJAS</t>
  </si>
  <si>
    <t>VERIFICACION</t>
  </si>
  <si>
    <t>VERD O FALSO</t>
  </si>
  <si>
    <t>21336141-4</t>
  </si>
  <si>
    <t>A</t>
  </si>
  <si>
    <t>ASTORGA PINTO BARBARA ANAIS</t>
  </si>
  <si>
    <t>17118820-2</t>
  </si>
  <si>
    <t>FERNANDEZ CASTILLO CLAUDIO ANDRES</t>
  </si>
  <si>
    <t>21236457-6</t>
  </si>
  <si>
    <t>ANGEL MUNITA DIANA CATALINA</t>
  </si>
  <si>
    <t>AYUDANTE DE PERFORISTA</t>
  </si>
  <si>
    <t>AYUD.</t>
  </si>
  <si>
    <t>PERFORISTAS</t>
  </si>
  <si>
    <t>21637836-9</t>
  </si>
  <si>
    <t>AQUEA GONZALEZ MARIO ALBERTO</t>
  </si>
  <si>
    <t>AYUDANTES</t>
  </si>
  <si>
    <t>17939732-3</t>
  </si>
  <si>
    <t>CASSRA ORELLANA DAVID JESUS</t>
  </si>
  <si>
    <t>3 al 6 vacaciones</t>
  </si>
  <si>
    <t>19454353-0</t>
  </si>
  <si>
    <t xml:space="preserve">CASTRO HOHMANN KASUKI </t>
  </si>
  <si>
    <t>BONO EXTRA AYUD</t>
  </si>
  <si>
    <t>13425369-K</t>
  </si>
  <si>
    <t>CONTRERAS FLORES RICHARD FERNANDO</t>
  </si>
  <si>
    <t>BONO EXTRA PERF</t>
  </si>
  <si>
    <t>19214178-8</t>
  </si>
  <si>
    <t>GAETE PAZ GERARDO ANTONIO</t>
  </si>
  <si>
    <t>16892590-5</t>
  </si>
  <si>
    <t>GALLEGUILLOS DIAZ ERIC ALFONSO</t>
  </si>
  <si>
    <t>3 al 12 vacaciones</t>
  </si>
  <si>
    <t>BONO SOBRE 1000 MTS</t>
  </si>
  <si>
    <t>17827549-6</t>
  </si>
  <si>
    <t>GONZALEZ ROMERO JUAN EDUARDO</t>
  </si>
  <si>
    <t>25606451-0</t>
  </si>
  <si>
    <t>MUJICA MENDEZ ENDER ALEXANDER</t>
  </si>
  <si>
    <t>20111998-7</t>
  </si>
  <si>
    <t>NOVOA TORO BORIS ALEXIS</t>
  </si>
  <si>
    <t>21303273-9</t>
  </si>
  <si>
    <t>PEREZ LORCA VICTOR IGNACIO</t>
  </si>
  <si>
    <t>18011716-4</t>
  </si>
  <si>
    <t>RAMIREZ RAMIREZ RICHARD FABIAN</t>
  </si>
  <si>
    <t>14401561-4</t>
  </si>
  <si>
    <t>RODRIGUEZ OPAZO PAULO ANDRES</t>
  </si>
  <si>
    <t>15521744-8</t>
  </si>
  <si>
    <t>ROJAS FERNANDEZ JILBERTO FRANCISCO</t>
  </si>
  <si>
    <t>17295192-9</t>
  </si>
  <si>
    <t>SAN FRANCISCO ARDILES IVAN ALEJANDRO</t>
  </si>
  <si>
    <t>19167554-1</t>
  </si>
  <si>
    <t>THOMPSON DIAZ FREDDY IGNACIO</t>
  </si>
  <si>
    <t>13743972-7</t>
  </si>
  <si>
    <t>VEGA GONZALEZ PATRICIO COLLO</t>
  </si>
  <si>
    <t>17775054-9</t>
  </si>
  <si>
    <t>ZAPATA SEGUEL CARLOS ANDRES</t>
  </si>
  <si>
    <t>15446035-7</t>
  </si>
  <si>
    <t>COFRE ROMERO VICTORIA DEL PILAR</t>
  </si>
  <si>
    <t>BODEGUERA/O</t>
  </si>
  <si>
    <t>15056140-K</t>
  </si>
  <si>
    <t>ARDILES NUÑEZ JONATHAN ANDRES</t>
  </si>
  <si>
    <t>CHOFER</t>
  </si>
  <si>
    <t>16052742-0</t>
  </si>
  <si>
    <t>ARDILES NUÑEZ JOSE MIGUEL</t>
  </si>
  <si>
    <t>17294428-0</t>
  </si>
  <si>
    <t>JIMENEZ VEGA  LUIS RENATO DE JESUS</t>
  </si>
  <si>
    <t>18633143-5</t>
  </si>
  <si>
    <t>MALDONADO MONDACA CRISTOFER JESUS</t>
  </si>
  <si>
    <t>15831074-0</t>
  </si>
  <si>
    <t>NAETER QUIROZ ESTEFANIA CONSTANZA</t>
  </si>
  <si>
    <t>10-07 con traslado</t>
  </si>
  <si>
    <t>19460207-3</t>
  </si>
  <si>
    <t>POBLETE KUHNE PABLO LUCAS</t>
  </si>
  <si>
    <t>13804452-1</t>
  </si>
  <si>
    <t>SANDOVAL SEPULVEDA GERSON ANDRES</t>
  </si>
  <si>
    <t>15909798-6</t>
  </si>
  <si>
    <t>GALLEGUILLOS ARANCIBIA GABRIEL ALEJANDRO</t>
  </si>
  <si>
    <t>MECANICO</t>
  </si>
  <si>
    <t>19910908-1</t>
  </si>
  <si>
    <t>SANDERSON SALCEDO CRISTOBAL ALEXIC</t>
  </si>
  <si>
    <t>17998731-7</t>
  </si>
  <si>
    <t>RIVERA HERRERA ANGELO PATRICIO</t>
  </si>
  <si>
    <t>MECANICO FLOTA</t>
  </si>
  <si>
    <t>17624527-1</t>
  </si>
  <si>
    <t>CASTRO AVALOS NELSON ANDRES</t>
  </si>
  <si>
    <t>PERFORISTA</t>
  </si>
  <si>
    <t>PERFOR.</t>
  </si>
  <si>
    <t>17629034-K</t>
  </si>
  <si>
    <t>CORTES GONZALEZ JUAN IGNACIO</t>
  </si>
  <si>
    <t>16280454-5</t>
  </si>
  <si>
    <t>ESCALONA VERA MANUEL ANTONIO</t>
  </si>
  <si>
    <t>17294242-3</t>
  </si>
  <si>
    <t>JERALDO CORTES DANIEL EDUARDO</t>
  </si>
  <si>
    <t>12115176-6</t>
  </si>
  <si>
    <t>LEIVA LEIVA FRANCISCO JAVIER</t>
  </si>
  <si>
    <t>17818652-3</t>
  </si>
  <si>
    <t>MILLA PALACIOS JAVIER ANDRES</t>
  </si>
  <si>
    <t>13176765-K</t>
  </si>
  <si>
    <t>OLIVARES ALVAREZ PEDRO OCTAVIO</t>
  </si>
  <si>
    <t>15061835-5</t>
  </si>
  <si>
    <t>SUAREZ MORALES NESTOR RENE</t>
  </si>
  <si>
    <t>16442692-0</t>
  </si>
  <si>
    <t>AGUIRRE CASTILLO ANITA FERNANDA</t>
  </si>
  <si>
    <t xml:space="preserve">PREVENCIONISTA </t>
  </si>
  <si>
    <t>17979787-9</t>
  </si>
  <si>
    <t>BRICEÑO HONORES JOHN ALEXIS</t>
  </si>
  <si>
    <t>Licencia médica, luego traslado</t>
  </si>
  <si>
    <t>18688482-5</t>
  </si>
  <si>
    <t>LORCA SANCHEZ LUIS DAVID</t>
  </si>
  <si>
    <t>En serena y algunos días en faena</t>
  </si>
  <si>
    <t>16581787-7</t>
  </si>
  <si>
    <t>CASTILLO VALDIVIA FELIX JOEL</t>
  </si>
  <si>
    <t>SOLDADOR</t>
  </si>
  <si>
    <t>13533794-3</t>
  </si>
  <si>
    <t>MUÑOZ PORTILLA CRISTIAN GUMERCINDO</t>
  </si>
  <si>
    <t>12951196-6</t>
  </si>
  <si>
    <t>APABLAZA GUZMAN ALEJANDRO MIGUEL</t>
  </si>
  <si>
    <t>SUPERVISOR DE OPERACIONES</t>
  </si>
  <si>
    <t>Vacaciones junio al 2 de julio, luego cambio de turno del B al A</t>
  </si>
  <si>
    <t>10792747-6</t>
  </si>
  <si>
    <t>PASTEN GUERRERO GUMERCINDO DEL ROSARIO</t>
  </si>
  <si>
    <t>14903561-3</t>
  </si>
  <si>
    <t>VALENCIA CAMPOS ANDRES ALEJANDRO</t>
  </si>
  <si>
    <t>13011075-4</t>
  </si>
  <si>
    <t>AB</t>
  </si>
  <si>
    <t xml:space="preserve">BORQUEZ CARVAJAL IBAR ALEXIS </t>
  </si>
  <si>
    <t xml:space="preserve">JEFE DE FAENA </t>
  </si>
  <si>
    <t>16463792-1</t>
  </si>
  <si>
    <t>ROJAS MARTINEZ FRANCISCO JAVIER</t>
  </si>
  <si>
    <t>17169171-0</t>
  </si>
  <si>
    <t>LOPEZ OLAVE LUIS GERARDO</t>
  </si>
  <si>
    <t>LIDER MECANICO</t>
  </si>
  <si>
    <t>19948246-7</t>
  </si>
  <si>
    <t>RAMIREZ BARRAZA MARCELO GIOVANNI</t>
  </si>
  <si>
    <t>16892086-5</t>
  </si>
  <si>
    <t>B</t>
  </si>
  <si>
    <t>LISAMBARTH CARABANTES MANUEL ANDRES</t>
  </si>
  <si>
    <t>10726051-k</t>
  </si>
  <si>
    <t>SOTO FARIÑA JORGE IVAN</t>
  </si>
  <si>
    <t>2 días y traslado</t>
  </si>
  <si>
    <t>13748728-4</t>
  </si>
  <si>
    <t>ALFARO CASTELLANOS CARLOS JAVIER</t>
  </si>
  <si>
    <t>traslado el 13-07</t>
  </si>
  <si>
    <t>18710376-2</t>
  </si>
  <si>
    <t>ALVAREZ RIVERA CARLOS JAVIER</t>
  </si>
  <si>
    <t>18755121-8</t>
  </si>
  <si>
    <t>ARANCIBIA LEDEZMA JORGE ANDRES</t>
  </si>
  <si>
    <t>15785558-1</t>
  </si>
  <si>
    <t>ARAYA GALLARDO DANIEL SEBASTIAN</t>
  </si>
  <si>
    <t>19911323-2</t>
  </si>
  <si>
    <t>CARVAJAL ALVARADO JAIME NICOLAS</t>
  </si>
  <si>
    <t>16400165-2</t>
  </si>
  <si>
    <t xml:space="preserve">DIAZ GUAJARDO CRISTIAN ESTEBAN </t>
  </si>
  <si>
    <t>19690710-6</t>
  </si>
  <si>
    <t>DONAIRE VADULLI EMERSON GIOVANNY</t>
  </si>
  <si>
    <t>16058317-7</t>
  </si>
  <si>
    <t>FERNANDEZ BRICEÑO RODRIGO ARMANDO</t>
  </si>
  <si>
    <t>19662155-5</t>
  </si>
  <si>
    <t>GOMEZ PIZARRO ANGELO IGNACIO</t>
  </si>
  <si>
    <t>Vacaciones 13 al 22</t>
  </si>
  <si>
    <t>17015679-K</t>
  </si>
  <si>
    <t>GONZALEZ RODRIGUEZ RODRIGO ALEJANDRO</t>
  </si>
  <si>
    <t>19347572-8</t>
  </si>
  <si>
    <t>HENRIQUEZ VARGAS VICTOR IGNACIO</t>
  </si>
  <si>
    <t>25073481-6</t>
  </si>
  <si>
    <t>LEON AVELLA BRENDA LIZETH</t>
  </si>
  <si>
    <t>19349275-4</t>
  </si>
  <si>
    <t>MORALES CASTILLO CLAUDIO ANDRES</t>
  </si>
  <si>
    <t>Traslado</t>
  </si>
  <si>
    <t>19506760-0</t>
  </si>
  <si>
    <t>NEGRETE MADRID ANGELO JAVIER</t>
  </si>
  <si>
    <t>Finiquito</t>
  </si>
  <si>
    <t>18632466-8</t>
  </si>
  <si>
    <t>OLIVA CASTILLO FRANCO HERNAN</t>
  </si>
  <si>
    <t>15051336-7</t>
  </si>
  <si>
    <t>ORMEÑO ARREDONDO JOSE MIGUEL</t>
  </si>
  <si>
    <t>Renuncia</t>
  </si>
  <si>
    <t>19349419-6</t>
  </si>
  <si>
    <t>PERALTA CORTES SEBASTIAN ALFONSO</t>
  </si>
  <si>
    <t>16581290-5</t>
  </si>
  <si>
    <t>VEGA ESPINOSA JUAN ANTONIO</t>
  </si>
  <si>
    <t>12982701-7</t>
  </si>
  <si>
    <t>VELASQUEZ CIFUENTES MARCO ANTONIO</t>
  </si>
  <si>
    <t>16772735-2</t>
  </si>
  <si>
    <t>YAÑEZ VARAS DANIEL ALEJANDRO</t>
  </si>
  <si>
    <t>17293877-9</t>
  </si>
  <si>
    <t>ZEPEDA SOTO ERNESTO ALIRO</t>
  </si>
  <si>
    <t>19825638-2</t>
  </si>
  <si>
    <t>SOTO  FLORES JENNIFER ALEJANDRA</t>
  </si>
  <si>
    <t>18403993-1</t>
  </si>
  <si>
    <t>CARO GALLARDO JOEL</t>
  </si>
  <si>
    <t>12707776-2</t>
  </si>
  <si>
    <t>GUTIERREZ FUENTES RICARDO DE LAS NIEVES</t>
  </si>
  <si>
    <t>16581882-2</t>
  </si>
  <si>
    <t>JUAREZ MORALES MIGUEL SEBASTIAN</t>
  </si>
  <si>
    <t>13223287-3</t>
  </si>
  <si>
    <t>LOPEZ BARRIOS ESTEBAN DAGOBERTO</t>
  </si>
  <si>
    <t>18575188-0</t>
  </si>
  <si>
    <t>LOPEZ GARCIA IVAN ESTEBAN</t>
  </si>
  <si>
    <t>13904830-K</t>
  </si>
  <si>
    <t>NUÑEZ PENDOLA HUGO ITALO</t>
  </si>
  <si>
    <t>11730786-7</t>
  </si>
  <si>
    <t>QUIROZ  APABLAZA JAVIER AURELIO</t>
  </si>
  <si>
    <t>15594928-7</t>
  </si>
  <si>
    <t>VEGA ASTUDILLO FELIPE OCTAVIO</t>
  </si>
  <si>
    <t>23868099-9</t>
  </si>
  <si>
    <t>TINOCO OSPINO JORGE ARMANDO</t>
  </si>
  <si>
    <t>CHOFER TRADUCTOR</t>
  </si>
  <si>
    <t>2 días en Julio</t>
  </si>
  <si>
    <t>16281802-3</t>
  </si>
  <si>
    <t>NAVARRO ESPINOZA FRANCISCO JAVIER</t>
  </si>
  <si>
    <t>ELECTROMECÁNICO</t>
  </si>
  <si>
    <t>17293946-5</t>
  </si>
  <si>
    <t xml:space="preserve">GONZALEZ JERALDO HAMIR ALONSO </t>
  </si>
  <si>
    <t>INSTRUCTOR</t>
  </si>
  <si>
    <t>Licencia médica</t>
  </si>
  <si>
    <t>15031055-5</t>
  </si>
  <si>
    <t>BARRIOS GODOY JONATHAN FERNANDO</t>
  </si>
  <si>
    <t>20600531-9</t>
  </si>
  <si>
    <t>LOPEZ ARAYA PEDRO BALDOMERO</t>
  </si>
  <si>
    <t>14310737-K</t>
  </si>
  <si>
    <t>NARANJO ACUÑA PEDRO GABRIEL</t>
  </si>
  <si>
    <t xml:space="preserve">MECANICO </t>
  </si>
  <si>
    <t>15232639-4</t>
  </si>
  <si>
    <t>AVILES VERGARA RODRIGO ALEJANDRO</t>
  </si>
  <si>
    <t>17626566-3</t>
  </si>
  <si>
    <t>BRIONES BRIONES PAUL GIOVANNI</t>
  </si>
  <si>
    <t>19041873-1</t>
  </si>
  <si>
    <t>CORTES OLIVARES MAIKOL MANUEL</t>
  </si>
  <si>
    <t>16550436-4</t>
  </si>
  <si>
    <t>MOYANO GUERRERO MILENCO ALEXIS</t>
  </si>
  <si>
    <t>16442931-8</t>
  </si>
  <si>
    <t>ROJAS JOPIA DIEGO ALEJANDRO</t>
  </si>
  <si>
    <t>16442547-9</t>
  </si>
  <si>
    <t>ROJAS ROJAS MARCO ANDRES</t>
  </si>
  <si>
    <t>16133155-4</t>
  </si>
  <si>
    <t>SASSO ARAYA SEBASTIAN ENRIQUE</t>
  </si>
  <si>
    <t>14117235-2</t>
  </si>
  <si>
    <t>TABILO ARAYA JUAN MAURICIO</t>
  </si>
  <si>
    <t>15196627-6</t>
  </si>
  <si>
    <t>FLORES SANHUEZA NELSON PATRICIO</t>
  </si>
  <si>
    <t>17542518-7</t>
  </si>
  <si>
    <t>MOHAMED MOHAMED ESLEMAN GONZALO</t>
  </si>
  <si>
    <t>13541133-7</t>
  </si>
  <si>
    <t>CORTÉS PAZ JORGE ALEXIS</t>
  </si>
  <si>
    <t>18520647-5</t>
  </si>
  <si>
    <t>GATICA CASTRO LEONARDO PATRICIO</t>
  </si>
  <si>
    <t>13423391-5</t>
  </si>
  <si>
    <t>ARAYA ROJAS RODRIGO ANDRES</t>
  </si>
  <si>
    <t>16597409-3</t>
  </si>
  <si>
    <t>LINDERMANN LINDERMANN DANIEL ARMANDO</t>
  </si>
  <si>
    <t>12802451-4</t>
  </si>
  <si>
    <t>VALENZUELA PASTEN VICTOR ALEJANDRO</t>
  </si>
  <si>
    <t>Total turno B</t>
  </si>
  <si>
    <t>BONO SOBRE 1.000 TA</t>
  </si>
  <si>
    <t>BONO SOBRE 1.000 TB</t>
  </si>
  <si>
    <t>NOCHE</t>
  </si>
  <si>
    <t>NUEVOS INGRESOS</t>
  </si>
  <si>
    <t>HOTEL</t>
  </si>
  <si>
    <t>DESCANSO</t>
  </si>
  <si>
    <t>JULIO</t>
  </si>
  <si>
    <t>DICIEMBRE</t>
  </si>
  <si>
    <t>Lic</t>
  </si>
  <si>
    <t>DÍA</t>
  </si>
  <si>
    <t>PERMISO</t>
  </si>
  <si>
    <t>VACACIONES</t>
  </si>
  <si>
    <t>FALLA</t>
  </si>
  <si>
    <t>M</t>
  </si>
  <si>
    <t>J</t>
  </si>
  <si>
    <t>V</t>
  </si>
  <si>
    <t>S</t>
  </si>
  <si>
    <t>D</t>
  </si>
  <si>
    <t>L</t>
  </si>
  <si>
    <t>HH</t>
  </si>
  <si>
    <t>NRO</t>
  </si>
  <si>
    <t>GENERO</t>
  </si>
  <si>
    <t>Descanso</t>
  </si>
  <si>
    <t>TOTAL</t>
  </si>
  <si>
    <t>DIA</t>
  </si>
  <si>
    <t>ADC</t>
  </si>
  <si>
    <t>DE</t>
  </si>
  <si>
    <t>F</t>
  </si>
  <si>
    <t>N</t>
  </si>
  <si>
    <t>AYUDANTE DE PERFORISTA(RIGGER)</t>
  </si>
  <si>
    <t>T</t>
  </si>
  <si>
    <t xml:space="preserve">L </t>
  </si>
  <si>
    <t xml:space="preserve">CASTRO HOHMANN KAZUKI </t>
  </si>
  <si>
    <t>LS</t>
  </si>
  <si>
    <t>MUJICA  MENDEZ ENDER ALEXANDER</t>
  </si>
  <si>
    <t>PERFORISTA (INSTRUCTOR)</t>
  </si>
  <si>
    <t>R</t>
  </si>
  <si>
    <t>RA5905928</t>
  </si>
  <si>
    <t>MULLAN TRENT GEORGE</t>
  </si>
  <si>
    <t>BACK UP</t>
  </si>
  <si>
    <t>GERENTE TECNICO CIVIL</t>
  </si>
  <si>
    <t>WHITEHURST MEJIA STEWART PHILLIP</t>
  </si>
  <si>
    <t>13173870-6</t>
  </si>
  <si>
    <t>ARAYA REYES DANIEL OSVALDO</t>
  </si>
  <si>
    <t>10997323-8</t>
  </si>
  <si>
    <t>ASTROZA INOSTROZA WILLIAMS RENAN</t>
  </si>
  <si>
    <t>17521166-7</t>
  </si>
  <si>
    <t>BOSSA ZAMORANO PABLO ROMARIO</t>
  </si>
  <si>
    <t>11345634-5</t>
  </si>
  <si>
    <t>CALDERON CALDERON ALBERTO PATRICIO</t>
  </si>
  <si>
    <t>10362133-K</t>
  </si>
  <si>
    <t>CASTRO CORTES NIBALDO ENRIQUE</t>
  </si>
  <si>
    <t>17014579-8</t>
  </si>
  <si>
    <t>CASTRO VARAS JOSUE SALOMON</t>
  </si>
  <si>
    <t>20457549-5</t>
  </si>
  <si>
    <t>CARMONA LEITON FELIPE ANTONIO</t>
  </si>
  <si>
    <t>v</t>
  </si>
  <si>
    <t>11778172-0</t>
  </si>
  <si>
    <t>CONTRERAS RIOS ORLANDO PATRICIO</t>
  </si>
  <si>
    <t>19662114-8</t>
  </si>
  <si>
    <t>GALVEZ ABALOS BRAHYAN SCARLY</t>
  </si>
  <si>
    <t>14128763-K</t>
  </si>
  <si>
    <t>GUERRA CUBILLOS JORGE ANDRES</t>
  </si>
  <si>
    <t>17015514-9</t>
  </si>
  <si>
    <t>ROJAS IRIARTE JUAN CARLOS</t>
  </si>
  <si>
    <t>18139820-5</t>
  </si>
  <si>
    <t>MALDONADO OLIVARES GUSTAVO ADOLFO</t>
  </si>
  <si>
    <t>METROS POR MÁQUINA DDH</t>
  </si>
  <si>
    <t>METROS RC</t>
  </si>
  <si>
    <t>VALOR METRO 0-500</t>
  </si>
  <si>
    <t>VALOR METRO 501-1000</t>
  </si>
  <si>
    <t>VALOR METRO 1001-</t>
  </si>
  <si>
    <t>740/7</t>
  </si>
  <si>
    <t>740/14</t>
  </si>
  <si>
    <t>1200-01</t>
  </si>
  <si>
    <t>0-500</t>
  </si>
  <si>
    <t>501-1000</t>
  </si>
  <si>
    <t>0-600</t>
  </si>
  <si>
    <t>AYUDANTE</t>
  </si>
  <si>
    <t>TURNO A</t>
  </si>
  <si>
    <t>TURNO B</t>
  </si>
  <si>
    <t>0-600              RC</t>
  </si>
  <si>
    <t>TOTAL MES</t>
  </si>
  <si>
    <t>METROS</t>
  </si>
  <si>
    <t>VALOR EN PESO</t>
  </si>
  <si>
    <t>FECHA SALIDA</t>
  </si>
  <si>
    <t>MEJOR MAQUINA</t>
  </si>
  <si>
    <t>1001-1500</t>
  </si>
  <si>
    <t>VALOR 0-500</t>
  </si>
  <si>
    <t>VALOR 501-1000</t>
  </si>
  <si>
    <t>VALOR 1001-1500</t>
  </si>
  <si>
    <t>ASISTENCIA</t>
  </si>
  <si>
    <t>TOTAL A PAGO</t>
  </si>
  <si>
    <t>CONTRATO HASTA</t>
  </si>
  <si>
    <t>VIGENTE</t>
  </si>
  <si>
    <t>Traslado el 23-07</t>
  </si>
  <si>
    <t>RIGGER</t>
  </si>
  <si>
    <t>4X3 Y TRASLAPADOS</t>
  </si>
  <si>
    <t>10X10 TRASLAPADO</t>
  </si>
  <si>
    <t xml:space="preserve">LIDER MECÁNICO </t>
  </si>
  <si>
    <t>LIDER MECÁNICO</t>
  </si>
  <si>
    <t>10X10 TRASLAPADO + licencia médica</t>
  </si>
  <si>
    <t>=SI.CONJUNTO(</t>
  </si>
  <si>
    <t>$H$11=MAX($H$11;$J$11;$L$11;$N$11;$P$11);$H$10;</t>
  </si>
  <si>
    <t>$H$11=MAX($H$11;$J$11;$L$11;$N$11;$P$11);$I$10;</t>
  </si>
  <si>
    <t>$J$11=MAX($H$11;$J$11;$L$11;$N$11;$P$11);$J$10;</t>
  </si>
  <si>
    <t>$J$11=MAX($H$11;$J$11;$L$11;$N$11;$P$11);$K$10;</t>
  </si>
  <si>
    <t>$L$11=MAX($H$11;$J$11;$L$11;$N$11;$P$11);$L$10;</t>
  </si>
  <si>
    <t>$L$11=MAX($H$11;$J$11;$L$11;$N$11;$P$11);$M$10;</t>
  </si>
  <si>
    <t>$N$11=MAX($H$11;$J$11;$L$11;$N$11;$P$11);$N$10;</t>
  </si>
  <si>
    <t>$N$11=MAX($H$11;$J$11;$L$11;$N$11;$P$11);$O$10;</t>
  </si>
  <si>
    <t>$P$11=MAX($H$11;$J$11;$L$11;$N$11;$P$11);$P$10)</t>
  </si>
  <si>
    <t>$P$11=MAX($H$11;$J$11;$L$11;$N$11;$P$11);$Q$10)</t>
  </si>
  <si>
    <t>740-7</t>
  </si>
  <si>
    <t>740-14.</t>
  </si>
  <si>
    <t>CANTIDAD DE METROS POR TRAMOS</t>
  </si>
  <si>
    <t>VALOR DE METROS POR TRAMOS</t>
  </si>
  <si>
    <t>TOTAL A PAGAR</t>
  </si>
  <si>
    <t>BONO</t>
  </si>
  <si>
    <t>Turno</t>
  </si>
  <si>
    <t>total</t>
  </si>
  <si>
    <t>Total mts todas</t>
  </si>
  <si>
    <t>740-14</t>
  </si>
  <si>
    <t>.</t>
  </si>
  <si>
    <t>BONO EXTRA</t>
  </si>
  <si>
    <t>03-07-2026/12-07-2026</t>
  </si>
  <si>
    <t>23-07-2026/31-07-2026</t>
  </si>
  <si>
    <t>01-07-2026/02-07-2026</t>
  </si>
  <si>
    <t>13-07-2026/22-07-2026</t>
  </si>
  <si>
    <t>1200-2</t>
  </si>
  <si>
    <t>Julio</t>
  </si>
  <si>
    <t>Total Meters</t>
  </si>
  <si>
    <t>1000-1500</t>
  </si>
  <si>
    <t>1500-2000</t>
  </si>
  <si>
    <t>Other Extra</t>
  </si>
  <si>
    <t>Devico</t>
  </si>
  <si>
    <t>Total to be Paid</t>
  </si>
  <si>
    <t>Metros</t>
  </si>
  <si>
    <t>NQ</t>
  </si>
  <si>
    <t>TARIFA AYUDANTE</t>
  </si>
  <si>
    <t>Ayudante</t>
  </si>
  <si>
    <t>Metros turno</t>
  </si>
  <si>
    <t>Shift A</t>
  </si>
  <si>
    <t>Shift B</t>
  </si>
  <si>
    <t>Validación</t>
  </si>
  <si>
    <t>TARIFA PERFORISTA</t>
  </si>
  <si>
    <t>Perforista</t>
  </si>
  <si>
    <t>Driller</t>
  </si>
  <si>
    <t>Others</t>
  </si>
  <si>
    <t>Diameter</t>
  </si>
  <si>
    <t>PQ
0 - 500</t>
  </si>
  <si>
    <t>PQ
500-1000</t>
  </si>
  <si>
    <t>HQ/NQ
0-500</t>
  </si>
  <si>
    <t>HQ/NQ
500-1000</t>
  </si>
  <si>
    <t>HQ/NQ
1000-1500</t>
  </si>
  <si>
    <t>HQ/NQ
 1500-2000</t>
  </si>
  <si>
    <t>HQ/NQ
 2000-2500</t>
  </si>
  <si>
    <t>RC</t>
  </si>
  <si>
    <t>Resumen a Pago Junio</t>
  </si>
  <si>
    <t xml:space="preserve">Total a Pago Ayudantes </t>
  </si>
  <si>
    <t>Total</t>
  </si>
  <si>
    <t>Total a Pago Operadores</t>
  </si>
  <si>
    <t>Ayudantes turno A</t>
  </si>
  <si>
    <t>Operadores Turno A</t>
  </si>
  <si>
    <t>Ayudanntes Turno B</t>
  </si>
  <si>
    <t>Operadores Turno B</t>
  </si>
  <si>
    <t>VALOR</t>
  </si>
  <si>
    <t>500-1000</t>
  </si>
  <si>
    <t>0-500  +50%</t>
  </si>
  <si>
    <t>501-1000 +50%</t>
  </si>
  <si>
    <t>0-300 +50%</t>
  </si>
  <si>
    <t>CONTRERAS RIOS ORLANDO</t>
  </si>
  <si>
    <t>13424843-2</t>
  </si>
  <si>
    <t>ITER LAZO JOAN ALEJANDRO</t>
  </si>
  <si>
    <t>17713235-7</t>
  </si>
  <si>
    <t>NETTLE MALUENDA JAMIS ALONSO</t>
  </si>
  <si>
    <t>17605585-5</t>
  </si>
  <si>
    <t>RODRIGUEZ LUNA JOSE ANTONIO</t>
  </si>
  <si>
    <t>15038779-5</t>
  </si>
  <si>
    <t>TRIGO TRIGO JORGE GREGORY</t>
  </si>
  <si>
    <t>13802507-1</t>
  </si>
  <si>
    <t>TORRES NAVARRO ANCHELO JAVIER</t>
  </si>
  <si>
    <t>16914867-8</t>
  </si>
  <si>
    <t>SEPULVEDA MORENO HERNAN</t>
  </si>
  <si>
    <t>15494173-8</t>
  </si>
  <si>
    <t>FLORES FLORES JOSE LUIS</t>
  </si>
  <si>
    <t>13424802-5</t>
  </si>
  <si>
    <t>FUENTES ROBLEDO JORGE CRISTIAN</t>
  </si>
  <si>
    <t>17016281-1</t>
  </si>
  <si>
    <t>GALLARDO VERGARA JOSE LUIS</t>
  </si>
  <si>
    <t>20912297-9</t>
  </si>
  <si>
    <t>MUÑOZ ARANDA NICOLAS NEIL</t>
  </si>
  <si>
    <t>20962133-9</t>
  </si>
  <si>
    <t>ROJO TORRES DANIEL IGNACIO</t>
  </si>
  <si>
    <t>13017660-7</t>
  </si>
  <si>
    <t>VALENCIA CAMPOS ERNESTO RAMIRO</t>
  </si>
  <si>
    <t>17723194-0</t>
  </si>
  <si>
    <t>PAZ CORTES MANUEL SEBASTIAN</t>
  </si>
  <si>
    <t>16687524-2</t>
  </si>
  <si>
    <t>PIZARRO CASTILLO FRANCISCO JAVIER</t>
  </si>
  <si>
    <t>16463566-K</t>
  </si>
  <si>
    <t>ROJAS PIZARRO VICTOR ANGEL</t>
  </si>
  <si>
    <t>15909715-3</t>
  </si>
  <si>
    <t>HENRIQUEZ VARGAS ANDRES JOAQUIN</t>
  </si>
  <si>
    <t>12877491-2</t>
  </si>
  <si>
    <t>ROJAS VERGARA PABLO ARTURO</t>
  </si>
  <si>
    <t>16603465-5</t>
  </si>
  <si>
    <t>SANCHEZ ACUÑA RODRIGO ALEJANDRO</t>
  </si>
  <si>
    <t>18317424-k</t>
  </si>
  <si>
    <t>SEGOVIA MANZANO JULIO ALBERTO</t>
  </si>
  <si>
    <t>13223956-8</t>
  </si>
  <si>
    <t>VILLARROEL ZAMBRA YERSON PATRICIO</t>
  </si>
  <si>
    <t>740/07</t>
  </si>
  <si>
    <t>TOTAL TURNO A</t>
  </si>
  <si>
    <t>TOTAL TURNO B</t>
  </si>
  <si>
    <t>TURNO DIA</t>
  </si>
  <si>
    <t>FONDO INICIO</t>
  </si>
  <si>
    <t>FONDO FINAL</t>
  </si>
  <si>
    <t>TURNO NOCHE</t>
  </si>
  <si>
    <t>TOTAL TURNO</t>
  </si>
  <si>
    <t xml:space="preserve">Fecha Ingreso MV </t>
  </si>
  <si>
    <t>10988972-5</t>
  </si>
  <si>
    <t>SOTO BAUTISTA MILTON ALEJANDRO</t>
  </si>
  <si>
    <t>20486145-5</t>
  </si>
  <si>
    <t>DIAZ ROJAS FELIPE NICOLAS</t>
  </si>
  <si>
    <t>13745724-5</t>
  </si>
  <si>
    <t>CASTILLO GARCIA JOSE MANUEL</t>
  </si>
  <si>
    <t>11210318-K</t>
  </si>
  <si>
    <t>ALVARADO MUÑOZ FABIAN SEGUNDO</t>
  </si>
  <si>
    <t>15037464-2</t>
  </si>
  <si>
    <t>CUELLO CUELLO JACQUELINNE ANDREA</t>
  </si>
  <si>
    <t>15050755-3</t>
  </si>
  <si>
    <t>MERY ROBLEDO FELIX ALEJANDRO</t>
  </si>
  <si>
    <t>11818450-5</t>
  </si>
  <si>
    <t xml:space="preserve">GONZALEZ RIVERA DAVID </t>
  </si>
  <si>
    <t>15412546-9</t>
  </si>
  <si>
    <t>REYES GONZALEZ ERICK ADOLFO</t>
  </si>
  <si>
    <t>19451050-0</t>
  </si>
  <si>
    <t>SEGOVIA LOPEZ OMAR FRANCESCOLY</t>
  </si>
  <si>
    <t>20057898-8</t>
  </si>
  <si>
    <t>NILO BERGUÑO SEBASTIAN ALEJANDRO</t>
  </si>
  <si>
    <t>16833424-9</t>
  </si>
  <si>
    <t>ROJAS PINTO PAULINO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</si>
</sst>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;[Red]&quot;$&quot;\-#,##0"/>
    <numFmt numFmtId="165" formatCode="_ &quot;$&quot;* #,##0_ ;_ &quot;$&quot;* \-#,##0_ ;_ &quot;$&quot;* &quot;-&quot;_ ;_ @_ "/>
    <numFmt numFmtId="166" formatCode="_ &quot;$&quot;* #,##0.00_ ;_ &quot;$&quot;* \-#,##0.00_ ;_ &quot;$&quot;* &quot;-&quot;??_ ;_ @_ "/>
    <numFmt numFmtId="167" formatCode="_-&quot;$&quot;* #,##0.00_-;\-&quot;$&quot;* #,##0.00_-;_-&quot;$&quot;* &quot;-&quot;??_-;_-@_-"/>
    <numFmt numFmtId="168" formatCode="0.0"/>
    <numFmt numFmtId="169" formatCode="_ [$$-340A]* #,##0_ ;_ [$$-340A]* \-#,##0_ ;_ [$$-340A]* &quot;-&quot;??_ ;_ @_ "/>
    <numFmt numFmtId="170" formatCode="&quot;$&quot;#,##0"/>
    <numFmt numFmtId="171" formatCode="_-&quot;$&quot;* #,##0_-;\-&quot;$&quot;* #,##0_-;_-&quot;$&quot;* &quot;-&quot;??_-;_-@_-"/>
    <numFmt numFmtId="172" formatCode="_-* #,##0\ [$CLP]_-;\-* #,##0\ [$CLP]_-;_-* &quot;-&quot;??\ [$CLP]_-;_-@_-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color theme="1"/>
      <name val="Calibri "/>
    </font>
    <font>
      <sz val="8"/>
      <color rgb="FF000000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theme="1"/>
      <name val="Calibri "/>
    </font>
    <font>
      <sz val="8"/>
      <name val="Calibri Light"/>
      <family val="2"/>
      <scheme val="major"/>
    </font>
    <font>
      <b/>
      <sz val="20"/>
      <color rgb="FFFF000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9"/>
      <color theme="1"/>
      <name val="Calibri "/>
    </font>
    <font>
      <b/>
      <sz val="11"/>
      <color rgb="FF3F3F3F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</font>
    <font>
      <b/>
      <sz val="11"/>
      <color rgb="FF9C0006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rgb="FFDDDDDD"/>
        <bgColor rgb="FFDDDDDD"/>
      </patternFill>
    </fill>
  </fills>
  <borders count="10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12" borderId="79" applyNumberFormat="0" applyAlignment="0" applyProtection="0"/>
    <xf numFmtId="0" fontId="33" fillId="20" borderId="0" applyNumberFormat="0" applyBorder="0" applyAlignment="0" applyProtection="0"/>
    <xf numFmtId="0" fontId="34" fillId="21" borderId="0" applyNumberFormat="0" applyBorder="0" applyAlignment="0" applyProtection="0"/>
    <xf numFmtId="0" fontId="35" fillId="22" borderId="0" applyNumberFormat="0" applyBorder="0" applyAlignment="0" applyProtection="0"/>
  </cellStyleXfs>
  <cellXfs count="6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2" borderId="14" xfId="0" applyNumberFormat="1" applyFill="1" applyBorder="1" applyAlignment="1">
      <alignment horizontal="center" vertical="center" textRotation="90"/>
    </xf>
    <xf numFmtId="168" fontId="0" fillId="0" borderId="17" xfId="0" applyNumberFormat="1" applyBorder="1"/>
    <xf numFmtId="0" fontId="0" fillId="2" borderId="16" xfId="0" applyFill="1" applyBorder="1" applyAlignment="1">
      <alignment horizontal="center" vertical="center" wrapText="1"/>
    </xf>
    <xf numFmtId="2" fontId="0" fillId="0" borderId="2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3" fillId="0" borderId="20" xfId="0" applyFont="1" applyBorder="1"/>
    <xf numFmtId="0" fontId="3" fillId="0" borderId="0" xfId="0" applyFont="1"/>
    <xf numFmtId="14" fontId="3" fillId="0" borderId="0" xfId="0" applyNumberFormat="1" applyFont="1"/>
    <xf numFmtId="169" fontId="3" fillId="0" borderId="16" xfId="1" applyNumberFormat="1" applyFont="1" applyBorder="1" applyAlignment="1">
      <alignment vertical="center"/>
    </xf>
    <xf numFmtId="169" fontId="3" fillId="0" borderId="16" xfId="0" applyNumberFormat="1" applyFont="1" applyBorder="1" applyAlignment="1">
      <alignment vertical="center"/>
    </xf>
    <xf numFmtId="169" fontId="3" fillId="0" borderId="18" xfId="1" applyNumberFormat="1" applyFont="1" applyBorder="1" applyAlignment="1">
      <alignment vertical="center"/>
    </xf>
    <xf numFmtId="169" fontId="3" fillId="0" borderId="18" xfId="0" applyNumberFormat="1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2" fontId="3" fillId="0" borderId="0" xfId="0" applyNumberFormat="1" applyFont="1"/>
    <xf numFmtId="14" fontId="3" fillId="0" borderId="20" xfId="0" applyNumberFormat="1" applyFont="1" applyBorder="1"/>
    <xf numFmtId="0" fontId="3" fillId="0" borderId="0" xfId="0" applyFont="1" applyAlignment="1">
      <alignment wrapText="1"/>
    </xf>
    <xf numFmtId="0" fontId="3" fillId="0" borderId="20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169" fontId="3" fillId="0" borderId="19" xfId="0" applyNumberFormat="1" applyFont="1" applyBorder="1"/>
    <xf numFmtId="169" fontId="3" fillId="0" borderId="35" xfId="0" applyNumberFormat="1" applyFont="1" applyBorder="1"/>
    <xf numFmtId="169" fontId="3" fillId="0" borderId="20" xfId="0" applyNumberFormat="1" applyFont="1" applyBorder="1"/>
    <xf numFmtId="169" fontId="3" fillId="0" borderId="26" xfId="0" applyNumberFormat="1" applyFont="1" applyBorder="1"/>
    <xf numFmtId="169" fontId="3" fillId="0" borderId="33" xfId="0" applyNumberFormat="1" applyFont="1" applyBorder="1"/>
    <xf numFmtId="169" fontId="3" fillId="0" borderId="27" xfId="0" applyNumberFormat="1" applyFont="1" applyBorder="1"/>
    <xf numFmtId="2" fontId="3" fillId="0" borderId="19" xfId="0" applyNumberFormat="1" applyFont="1" applyBorder="1" applyAlignment="1">
      <alignment vertical="center"/>
    </xf>
    <xf numFmtId="2" fontId="3" fillId="0" borderId="33" xfId="0" applyNumberFormat="1" applyFont="1" applyBorder="1"/>
    <xf numFmtId="2" fontId="3" fillId="0" borderId="35" xfId="0" applyNumberFormat="1" applyFont="1" applyBorder="1"/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15" fillId="2" borderId="4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0" fillId="0" borderId="30" xfId="0" applyFont="1" applyBorder="1" applyAlignment="1">
      <alignment vertical="center"/>
    </xf>
    <xf numFmtId="2" fontId="0" fillId="0" borderId="13" xfId="0" applyNumberFormat="1" applyBorder="1" applyAlignment="1">
      <alignment horizontal="center" vertical="center"/>
    </xf>
    <xf numFmtId="14" fontId="3" fillId="8" borderId="30" xfId="0" applyNumberFormat="1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vertical="center"/>
    </xf>
    <xf numFmtId="0" fontId="3" fillId="4" borderId="20" xfId="0" applyFont="1" applyFill="1" applyBorder="1"/>
    <xf numFmtId="0" fontId="3" fillId="4" borderId="27" xfId="0" applyFont="1" applyFill="1" applyBorder="1" applyAlignment="1">
      <alignment vertical="center"/>
    </xf>
    <xf numFmtId="0" fontId="3" fillId="0" borderId="27" xfId="0" applyFont="1" applyBorder="1"/>
    <xf numFmtId="14" fontId="3" fillId="0" borderId="27" xfId="0" applyNumberFormat="1" applyFont="1" applyBorder="1"/>
    <xf numFmtId="0" fontId="13" fillId="0" borderId="9" xfId="0" applyFont="1" applyBorder="1" applyAlignment="1">
      <alignment horizontal="center" vertical="center"/>
    </xf>
    <xf numFmtId="2" fontId="3" fillId="0" borderId="49" xfId="0" applyNumberFormat="1" applyFont="1" applyBorder="1"/>
    <xf numFmtId="2" fontId="3" fillId="0" borderId="50" xfId="0" applyNumberFormat="1" applyFont="1" applyBorder="1"/>
    <xf numFmtId="0" fontId="13" fillId="0" borderId="0" xfId="0" applyFont="1" applyAlignment="1">
      <alignment vertical="center"/>
    </xf>
    <xf numFmtId="14" fontId="3" fillId="0" borderId="35" xfId="0" applyNumberFormat="1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169" fontId="3" fillId="0" borderId="0" xfId="1" applyNumberFormat="1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9" fontId="9" fillId="0" borderId="0" xfId="0" applyNumberFormat="1" applyFont="1"/>
    <xf numFmtId="169" fontId="3" fillId="4" borderId="27" xfId="0" applyNumberFormat="1" applyFont="1" applyFill="1" applyBorder="1"/>
    <xf numFmtId="169" fontId="3" fillId="4" borderId="20" xfId="0" applyNumberFormat="1" applyFont="1" applyFill="1" applyBorder="1"/>
    <xf numFmtId="2" fontId="3" fillId="0" borderId="27" xfId="0" applyNumberFormat="1" applyFont="1" applyBorder="1" applyAlignment="1">
      <alignment vertical="center"/>
    </xf>
    <xf numFmtId="2" fontId="3" fillId="0" borderId="20" xfId="0" applyNumberFormat="1" applyFont="1" applyBorder="1" applyAlignment="1">
      <alignment vertical="center"/>
    </xf>
    <xf numFmtId="2" fontId="3" fillId="0" borderId="25" xfId="0" applyNumberFormat="1" applyFont="1" applyBorder="1" applyAlignment="1">
      <alignment vertical="center"/>
    </xf>
    <xf numFmtId="2" fontId="3" fillId="0" borderId="26" xfId="0" applyNumberFormat="1" applyFont="1" applyBorder="1" applyAlignment="1">
      <alignment vertical="center"/>
    </xf>
    <xf numFmtId="165" fontId="3" fillId="0" borderId="0" xfId="1" applyFont="1"/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5" fontId="7" fillId="0" borderId="0" xfId="1" applyFont="1" applyBorder="1"/>
    <xf numFmtId="2" fontId="13" fillId="0" borderId="0" xfId="0" applyNumberFormat="1" applyFont="1"/>
    <xf numFmtId="0" fontId="1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2" fillId="4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0" fillId="0" borderId="25" xfId="0" applyBorder="1"/>
    <xf numFmtId="0" fontId="0" fillId="0" borderId="7" xfId="0" applyBorder="1"/>
    <xf numFmtId="0" fontId="0" fillId="0" borderId="28" xfId="0" applyBorder="1"/>
    <xf numFmtId="0" fontId="0" fillId="0" borderId="24" xfId="0" applyBorder="1"/>
    <xf numFmtId="0" fontId="0" fillId="0" borderId="4" xfId="0" applyBorder="1"/>
    <xf numFmtId="0" fontId="13" fillId="0" borderId="0" xfId="0" applyFont="1"/>
    <xf numFmtId="0" fontId="13" fillId="6" borderId="11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14" fontId="3" fillId="0" borderId="27" xfId="0" applyNumberFormat="1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14" fontId="3" fillId="0" borderId="20" xfId="0" applyNumberFormat="1" applyFont="1" applyBorder="1" applyAlignment="1">
      <alignment vertical="center"/>
    </xf>
    <xf numFmtId="14" fontId="3" fillId="0" borderId="37" xfId="0" applyNumberFormat="1" applyFont="1" applyBorder="1" applyAlignment="1">
      <alignment horizontal="center" vertical="center"/>
    </xf>
    <xf numFmtId="2" fontId="3" fillId="0" borderId="34" xfId="0" applyNumberFormat="1" applyFont="1" applyBorder="1"/>
    <xf numFmtId="0" fontId="3" fillId="0" borderId="37" xfId="0" applyFont="1" applyBorder="1"/>
    <xf numFmtId="0" fontId="3" fillId="0" borderId="30" xfId="0" applyFont="1" applyBorder="1"/>
    <xf numFmtId="2" fontId="3" fillId="0" borderId="30" xfId="0" applyNumberFormat="1" applyFont="1" applyBorder="1" applyAlignment="1">
      <alignment vertical="center"/>
    </xf>
    <xf numFmtId="2" fontId="3" fillId="0" borderId="28" xfId="0" applyNumberFormat="1" applyFont="1" applyBorder="1" applyAlignment="1">
      <alignment vertical="center"/>
    </xf>
    <xf numFmtId="2" fontId="3" fillId="0" borderId="29" xfId="0" applyNumberFormat="1" applyFont="1" applyBorder="1" applyAlignment="1">
      <alignment vertical="center"/>
    </xf>
    <xf numFmtId="169" fontId="3" fillId="0" borderId="29" xfId="0" applyNumberFormat="1" applyFont="1" applyBorder="1"/>
    <xf numFmtId="169" fontId="3" fillId="0" borderId="34" xfId="0" applyNumberFormat="1" applyFont="1" applyBorder="1"/>
    <xf numFmtId="169" fontId="3" fillId="0" borderId="30" xfId="0" applyNumberFormat="1" applyFont="1" applyBorder="1"/>
    <xf numFmtId="169" fontId="3" fillId="4" borderId="30" xfId="0" applyNumberFormat="1" applyFont="1" applyFill="1" applyBorder="1"/>
    <xf numFmtId="14" fontId="3" fillId="0" borderId="30" xfId="0" applyNumberFormat="1" applyFont="1" applyBorder="1"/>
    <xf numFmtId="0" fontId="3" fillId="0" borderId="24" xfId="0" applyFont="1" applyBorder="1" applyAlignment="1">
      <alignment horizontal="right" vertical="center"/>
    </xf>
    <xf numFmtId="0" fontId="3" fillId="0" borderId="37" xfId="0" applyFont="1" applyBorder="1" applyAlignment="1">
      <alignment horizontal="center" vertical="center"/>
    </xf>
    <xf numFmtId="2" fontId="3" fillId="0" borderId="24" xfId="0" applyNumberFormat="1" applyFont="1" applyBorder="1" applyAlignment="1">
      <alignment vertical="center"/>
    </xf>
    <xf numFmtId="169" fontId="3" fillId="0" borderId="23" xfId="0" applyNumberFormat="1" applyFont="1" applyBorder="1"/>
    <xf numFmtId="169" fontId="3" fillId="4" borderId="37" xfId="0" applyNumberFormat="1" applyFont="1" applyFill="1" applyBorder="1"/>
    <xf numFmtId="14" fontId="3" fillId="0" borderId="37" xfId="0" applyNumberFormat="1" applyFont="1" applyBorder="1"/>
    <xf numFmtId="0" fontId="3" fillId="4" borderId="30" xfId="0" applyFont="1" applyFill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9" fillId="0" borderId="9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39" xfId="0" applyFont="1" applyBorder="1" applyAlignment="1">
      <alignment horizontal="left" vertical="center"/>
    </xf>
    <xf numFmtId="170" fontId="19" fillId="0" borderId="62" xfId="0" applyNumberFormat="1" applyFont="1" applyBorder="1" applyAlignment="1">
      <alignment horizontal="left" vertical="center"/>
    </xf>
    <xf numFmtId="171" fontId="19" fillId="0" borderId="39" xfId="2" applyNumberFormat="1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170" fontId="19" fillId="3" borderId="4" xfId="1" applyNumberFormat="1" applyFont="1" applyFill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14" fontId="16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71" fontId="20" fillId="0" borderId="0" xfId="2" applyNumberFormat="1" applyFont="1" applyAlignment="1">
      <alignment vertical="center"/>
    </xf>
    <xf numFmtId="0" fontId="18" fillId="0" borderId="0" xfId="0" applyFont="1"/>
    <xf numFmtId="165" fontId="18" fillId="0" borderId="62" xfId="0" applyNumberFormat="1" applyFont="1" applyBorder="1" applyAlignment="1">
      <alignment vertical="center"/>
    </xf>
    <xf numFmtId="165" fontId="18" fillId="0" borderId="39" xfId="1" applyFont="1" applyFill="1" applyBorder="1" applyAlignment="1">
      <alignment vertical="center"/>
    </xf>
    <xf numFmtId="165" fontId="18" fillId="0" borderId="68" xfId="1" applyFont="1" applyFill="1" applyBorder="1" applyAlignment="1">
      <alignment vertical="center"/>
    </xf>
    <xf numFmtId="165" fontId="18" fillId="0" borderId="63" xfId="1" applyFont="1" applyFill="1" applyBorder="1" applyAlignment="1">
      <alignment vertical="center"/>
    </xf>
    <xf numFmtId="0" fontId="18" fillId="0" borderId="68" xfId="0" applyFont="1" applyBorder="1" applyAlignment="1">
      <alignment vertical="center"/>
    </xf>
    <xf numFmtId="0" fontId="18" fillId="0" borderId="63" xfId="0" applyFont="1" applyBorder="1" applyAlignment="1">
      <alignment vertical="center"/>
    </xf>
    <xf numFmtId="165" fontId="18" fillId="0" borderId="69" xfId="1" applyFont="1" applyFill="1" applyBorder="1" applyAlignment="1">
      <alignment vertical="center"/>
    </xf>
    <xf numFmtId="0" fontId="18" fillId="4" borderId="9" xfId="0" applyFont="1" applyFill="1" applyBorder="1" applyAlignment="1">
      <alignment vertical="center"/>
    </xf>
    <xf numFmtId="165" fontId="18" fillId="0" borderId="9" xfId="0" applyNumberFormat="1" applyFont="1" applyBorder="1" applyAlignment="1">
      <alignment vertical="center"/>
    </xf>
    <xf numFmtId="165" fontId="18" fillId="0" borderId="67" xfId="0" applyNumberFormat="1" applyFont="1" applyBorder="1" applyAlignment="1">
      <alignment vertical="center"/>
    </xf>
    <xf numFmtId="165" fontId="18" fillId="0" borderId="71" xfId="0" applyNumberFormat="1" applyFont="1" applyBorder="1" applyAlignment="1">
      <alignment vertical="center"/>
    </xf>
    <xf numFmtId="165" fontId="18" fillId="0" borderId="72" xfId="0" applyNumberFormat="1" applyFont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8" fontId="0" fillId="0" borderId="5" xfId="0" applyNumberFormat="1" applyBorder="1" applyAlignment="1">
      <alignment vertical="center"/>
    </xf>
    <xf numFmtId="169" fontId="7" fillId="0" borderId="0" xfId="1" applyNumberFormat="1" applyFont="1" applyFill="1" applyBorder="1" applyAlignment="1"/>
    <xf numFmtId="0" fontId="14" fillId="9" borderId="1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4" fontId="3" fillId="0" borderId="18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vertical="center"/>
    </xf>
    <xf numFmtId="165" fontId="18" fillId="0" borderId="51" xfId="1" applyFont="1" applyFill="1" applyBorder="1" applyAlignment="1">
      <alignment vertical="center"/>
    </xf>
    <xf numFmtId="165" fontId="18" fillId="0" borderId="72" xfId="1" applyFont="1" applyFill="1" applyBorder="1" applyAlignment="1">
      <alignment vertical="center"/>
    </xf>
    <xf numFmtId="165" fontId="19" fillId="0" borderId="72" xfId="1" applyFont="1" applyFill="1" applyBorder="1" applyAlignment="1">
      <alignment vertical="center"/>
    </xf>
    <xf numFmtId="165" fontId="18" fillId="0" borderId="9" xfId="1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13" fillId="5" borderId="0" xfId="0" applyFont="1" applyFill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2" fontId="3" fillId="0" borderId="33" xfId="0" applyNumberFormat="1" applyFont="1" applyBorder="1" applyAlignment="1">
      <alignment vertical="center"/>
    </xf>
    <xf numFmtId="0" fontId="3" fillId="5" borderId="0" xfId="0" applyFont="1" applyFill="1" applyAlignment="1">
      <alignment vertical="center"/>
    </xf>
    <xf numFmtId="165" fontId="3" fillId="0" borderId="27" xfId="1" applyFont="1" applyBorder="1" applyAlignment="1">
      <alignment vertical="center"/>
    </xf>
    <xf numFmtId="2" fontId="3" fillId="0" borderId="35" xfId="0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65" fontId="3" fillId="0" borderId="20" xfId="1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165" fontId="0" fillId="0" borderId="55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2" fontId="0" fillId="0" borderId="58" xfId="0" applyNumberFormat="1" applyBorder="1" applyAlignment="1">
      <alignment vertical="center"/>
    </xf>
    <xf numFmtId="2" fontId="0" fillId="0" borderId="59" xfId="0" applyNumberFormat="1" applyBorder="1" applyAlignment="1">
      <alignment vertical="center"/>
    </xf>
    <xf numFmtId="165" fontId="0" fillId="0" borderId="57" xfId="0" applyNumberFormat="1" applyBorder="1" applyAlignment="1">
      <alignment vertical="center"/>
    </xf>
    <xf numFmtId="165" fontId="0" fillId="0" borderId="58" xfId="0" applyNumberFormat="1" applyBorder="1" applyAlignment="1">
      <alignment vertical="center"/>
    </xf>
    <xf numFmtId="165" fontId="0" fillId="0" borderId="59" xfId="0" applyNumberFormat="1" applyBorder="1" applyAlignment="1">
      <alignment vertical="center"/>
    </xf>
    <xf numFmtId="165" fontId="0" fillId="4" borderId="20" xfId="0" applyNumberFormat="1" applyFill="1" applyBorder="1" applyAlignment="1">
      <alignment vertical="center"/>
    </xf>
    <xf numFmtId="0" fontId="23" fillId="11" borderId="4" xfId="0" applyFont="1" applyFill="1" applyBorder="1" applyAlignment="1">
      <alignment vertical="center"/>
    </xf>
    <xf numFmtId="14" fontId="21" fillId="0" borderId="39" xfId="0" applyNumberFormat="1" applyFont="1" applyBorder="1" applyAlignment="1">
      <alignment horizontal="left" vertical="center"/>
    </xf>
    <xf numFmtId="0" fontId="21" fillId="0" borderId="39" xfId="0" applyFont="1" applyBorder="1" applyAlignment="1">
      <alignment horizontal="left" vertical="center"/>
    </xf>
    <xf numFmtId="165" fontId="19" fillId="0" borderId="39" xfId="1" applyFont="1" applyBorder="1" applyAlignment="1">
      <alignment vertical="center"/>
    </xf>
    <xf numFmtId="0" fontId="18" fillId="0" borderId="51" xfId="0" applyFont="1" applyBorder="1" applyAlignment="1">
      <alignment vertical="center"/>
    </xf>
    <xf numFmtId="0" fontId="18" fillId="0" borderId="72" xfId="0" applyFont="1" applyBorder="1" applyAlignment="1">
      <alignment vertical="center"/>
    </xf>
    <xf numFmtId="171" fontId="18" fillId="0" borderId="9" xfId="2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12" fillId="0" borderId="18" xfId="0" applyNumberFormat="1" applyFont="1" applyBorder="1" applyAlignment="1">
      <alignment vertical="center"/>
    </xf>
    <xf numFmtId="165" fontId="3" fillId="0" borderId="20" xfId="1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vertical="center"/>
    </xf>
    <xf numFmtId="165" fontId="24" fillId="0" borderId="6" xfId="1" applyFont="1" applyBorder="1" applyAlignment="1">
      <alignment vertical="center"/>
    </xf>
    <xf numFmtId="0" fontId="4" fillId="0" borderId="37" xfId="0" applyFont="1" applyBorder="1" applyAlignment="1">
      <alignment horizontal="left" vertical="center"/>
    </xf>
    <xf numFmtId="14" fontId="3" fillId="0" borderId="37" xfId="0" applyNumberFormat="1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2" fontId="3" fillId="0" borderId="37" xfId="0" applyNumberFormat="1" applyFont="1" applyBorder="1" applyAlignment="1">
      <alignment vertical="center"/>
    </xf>
    <xf numFmtId="2" fontId="3" fillId="0" borderId="23" xfId="0" applyNumberFormat="1" applyFont="1" applyBorder="1" applyAlignment="1">
      <alignment vertical="center"/>
    </xf>
    <xf numFmtId="14" fontId="0" fillId="2" borderId="32" xfId="0" applyNumberFormat="1" applyFill="1" applyBorder="1" applyAlignment="1">
      <alignment horizontal="center" vertical="center" textRotation="90"/>
    </xf>
    <xf numFmtId="2" fontId="3" fillId="0" borderId="31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5" borderId="10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14" fontId="3" fillId="0" borderId="58" xfId="0" applyNumberFormat="1" applyFont="1" applyBorder="1" applyAlignment="1">
      <alignment vertical="center"/>
    </xf>
    <xf numFmtId="14" fontId="3" fillId="0" borderId="58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2" fontId="3" fillId="5" borderId="0" xfId="0" applyNumberFormat="1" applyFont="1" applyFill="1" applyAlignment="1">
      <alignment vertical="center"/>
    </xf>
    <xf numFmtId="165" fontId="3" fillId="0" borderId="20" xfId="0" applyNumberFormat="1" applyFont="1" applyBorder="1" applyAlignment="1">
      <alignment vertical="center"/>
    </xf>
    <xf numFmtId="14" fontId="3" fillId="0" borderId="60" xfId="0" applyNumberFormat="1" applyFont="1" applyBorder="1" applyAlignment="1">
      <alignment vertical="center"/>
    </xf>
    <xf numFmtId="14" fontId="3" fillId="0" borderId="60" xfId="0" applyNumberFormat="1" applyFont="1" applyBorder="1" applyAlignment="1">
      <alignment horizontal="center" vertical="center"/>
    </xf>
    <xf numFmtId="0" fontId="3" fillId="0" borderId="6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14" fontId="3" fillId="0" borderId="48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vertical="center"/>
    </xf>
    <xf numFmtId="2" fontId="3" fillId="5" borderId="13" xfId="0" applyNumberFormat="1" applyFont="1" applyFill="1" applyBorder="1" applyAlignment="1">
      <alignment vertical="center"/>
    </xf>
    <xf numFmtId="165" fontId="3" fillId="0" borderId="30" xfId="1" applyFont="1" applyFill="1" applyBorder="1" applyAlignment="1">
      <alignment vertical="center"/>
    </xf>
    <xf numFmtId="165" fontId="3" fillId="0" borderId="30" xfId="0" applyNumberFormat="1" applyFont="1" applyBorder="1" applyAlignment="1">
      <alignment vertical="center"/>
    </xf>
    <xf numFmtId="2" fontId="3" fillId="0" borderId="74" xfId="0" applyNumberFormat="1" applyFont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165" fontId="3" fillId="0" borderId="30" xfId="1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165" fontId="19" fillId="4" borderId="9" xfId="0" applyNumberFormat="1" applyFont="1" applyFill="1" applyBorder="1" applyAlignment="1">
      <alignment vertical="center"/>
    </xf>
    <xf numFmtId="165" fontId="16" fillId="0" borderId="0" xfId="0" applyNumberFormat="1" applyFont="1" applyAlignment="1">
      <alignment vertical="center"/>
    </xf>
    <xf numFmtId="171" fontId="19" fillId="4" borderId="0" xfId="2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textRotation="90"/>
    </xf>
    <xf numFmtId="0" fontId="22" fillId="6" borderId="4" xfId="0" applyFont="1" applyFill="1" applyBorder="1" applyAlignment="1">
      <alignment vertical="center"/>
    </xf>
    <xf numFmtId="2" fontId="3" fillId="0" borderId="75" xfId="0" applyNumberFormat="1" applyFont="1" applyBorder="1"/>
    <xf numFmtId="165" fontId="7" fillId="0" borderId="0" xfId="1" applyFont="1" applyFill="1" applyBorder="1" applyAlignment="1"/>
    <xf numFmtId="14" fontId="3" fillId="0" borderId="30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2" fillId="4" borderId="76" xfId="0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1" fontId="0" fillId="0" borderId="69" xfId="0" applyNumberForma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165" fontId="19" fillId="0" borderId="39" xfId="1" applyFont="1" applyFill="1" applyBorder="1" applyAlignment="1">
      <alignment vertical="center"/>
    </xf>
    <xf numFmtId="0" fontId="26" fillId="0" borderId="32" xfId="4" applyFont="1" applyFill="1" applyBorder="1" applyAlignment="1" applyProtection="1">
      <alignment horizontal="left" vertical="center" wrapText="1"/>
    </xf>
    <xf numFmtId="0" fontId="26" fillId="0" borderId="15" xfId="4" applyFont="1" applyFill="1" applyBorder="1" applyAlignment="1" applyProtection="1">
      <alignment horizontal="center" vertical="center" wrapText="1"/>
    </xf>
    <xf numFmtId="0" fontId="26" fillId="13" borderId="9" xfId="4" applyFont="1" applyFill="1" applyBorder="1" applyAlignment="1" applyProtection="1">
      <alignment horizontal="center" vertical="center" wrapText="1"/>
    </xf>
    <xf numFmtId="0" fontId="26" fillId="13" borderId="32" xfId="4" applyFont="1" applyFill="1" applyBorder="1" applyAlignment="1" applyProtection="1">
      <alignment horizontal="center" vertical="center" wrapText="1"/>
    </xf>
    <xf numFmtId="0" fontId="7" fillId="0" borderId="65" xfId="0" applyFont="1" applyBorder="1" applyAlignment="1">
      <alignment horizontal="left" vertical="center"/>
    </xf>
    <xf numFmtId="0" fontId="7" fillId="0" borderId="65" xfId="0" applyFont="1" applyBorder="1" applyAlignment="1">
      <alignment vertical="center"/>
    </xf>
    <xf numFmtId="0" fontId="7" fillId="0" borderId="39" xfId="0" applyFont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39" xfId="0" applyFont="1" applyBorder="1" applyAlignment="1">
      <alignment horizontal="left" vertical="center"/>
    </xf>
    <xf numFmtId="0" fontId="27" fillId="0" borderId="39" xfId="0" applyFont="1" applyBorder="1" applyAlignment="1">
      <alignment horizontal="left" vertical="center" wrapText="1"/>
    </xf>
    <xf numFmtId="0" fontId="7" fillId="14" borderId="39" xfId="0" applyFont="1" applyFill="1" applyBorder="1" applyAlignment="1">
      <alignment horizontal="left" vertical="center"/>
    </xf>
    <xf numFmtId="0" fontId="7" fillId="14" borderId="39" xfId="0" applyFont="1" applyFill="1" applyBorder="1" applyAlignment="1">
      <alignment vertical="center"/>
    </xf>
    <xf numFmtId="14" fontId="9" fillId="0" borderId="65" xfId="0" applyNumberFormat="1" applyFont="1" applyBorder="1" applyAlignment="1">
      <alignment vertical="center"/>
    </xf>
    <xf numFmtId="14" fontId="9" fillId="0" borderId="39" xfId="0" applyNumberFormat="1" applyFont="1" applyBorder="1" applyAlignment="1">
      <alignment vertical="center"/>
    </xf>
    <xf numFmtId="14" fontId="9" fillId="4" borderId="39" xfId="0" applyNumberFormat="1" applyFont="1" applyFill="1" applyBorder="1" applyAlignment="1">
      <alignment vertical="center"/>
    </xf>
    <xf numFmtId="14" fontId="9" fillId="15" borderId="39" xfId="0" applyNumberFormat="1" applyFont="1" applyFill="1" applyBorder="1" applyAlignment="1">
      <alignment vertical="center"/>
    </xf>
    <xf numFmtId="14" fontId="26" fillId="0" borderId="39" xfId="0" applyNumberFormat="1" applyFont="1" applyBorder="1" applyAlignment="1">
      <alignment vertical="center"/>
    </xf>
    <xf numFmtId="14" fontId="9" fillId="0" borderId="39" xfId="0" applyNumberFormat="1" applyFont="1" applyBorder="1" applyAlignment="1">
      <alignment vertical="center" wrapText="1"/>
    </xf>
    <xf numFmtId="14" fontId="9" fillId="14" borderId="39" xfId="0" applyNumberFormat="1" applyFont="1" applyFill="1" applyBorder="1" applyAlignment="1">
      <alignment vertical="center"/>
    </xf>
    <xf numFmtId="14" fontId="26" fillId="4" borderId="39" xfId="0" applyNumberFormat="1" applyFont="1" applyFill="1" applyBorder="1" applyAlignment="1">
      <alignment vertical="center"/>
    </xf>
    <xf numFmtId="165" fontId="3" fillId="0" borderId="31" xfId="1" applyFont="1" applyFill="1" applyBorder="1" applyAlignment="1">
      <alignment vertical="center"/>
    </xf>
    <xf numFmtId="0" fontId="3" fillId="5" borderId="23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2" fontId="0" fillId="0" borderId="54" xfId="0" applyNumberFormat="1" applyBorder="1" applyAlignment="1">
      <alignment vertical="center"/>
    </xf>
    <xf numFmtId="2" fontId="0" fillId="0" borderId="55" xfId="0" applyNumberFormat="1" applyBorder="1" applyAlignment="1">
      <alignment vertical="center"/>
    </xf>
    <xf numFmtId="2" fontId="0" fillId="0" borderId="56" xfId="0" applyNumberFormat="1" applyBorder="1" applyAlignment="1">
      <alignment vertical="center"/>
    </xf>
    <xf numFmtId="2" fontId="0" fillId="0" borderId="80" xfId="0" applyNumberFormat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0" fontId="3" fillId="0" borderId="20" xfId="0" applyFont="1" applyBorder="1" applyAlignment="1">
      <alignment horizontal="right"/>
    </xf>
    <xf numFmtId="0" fontId="3" fillId="0" borderId="20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14" fontId="3" fillId="0" borderId="17" xfId="0" applyNumberFormat="1" applyFont="1" applyBorder="1"/>
    <xf numFmtId="0" fontId="3" fillId="0" borderId="27" xfId="0" applyFont="1" applyBorder="1" applyAlignment="1">
      <alignment vertical="center"/>
    </xf>
    <xf numFmtId="169" fontId="3" fillId="0" borderId="25" xfId="0" applyNumberFormat="1" applyFont="1" applyBorder="1"/>
    <xf numFmtId="169" fontId="3" fillId="0" borderId="7" xfId="0" applyNumberFormat="1" applyFont="1" applyBorder="1"/>
    <xf numFmtId="169" fontId="3" fillId="0" borderId="28" xfId="0" applyNumberFormat="1" applyFont="1" applyBorder="1"/>
    <xf numFmtId="0" fontId="4" fillId="0" borderId="0" xfId="0" applyFont="1" applyAlignment="1">
      <alignment horizontal="right" vertical="center"/>
    </xf>
    <xf numFmtId="0" fontId="11" fillId="0" borderId="37" xfId="0" applyFont="1" applyBorder="1" applyAlignment="1">
      <alignment horizontal="left" vertical="center"/>
    </xf>
    <xf numFmtId="0" fontId="11" fillId="0" borderId="37" xfId="0" applyFont="1" applyBorder="1" applyAlignment="1">
      <alignment vertical="center"/>
    </xf>
    <xf numFmtId="0" fontId="11" fillId="0" borderId="83" xfId="0" applyFont="1" applyBorder="1" applyAlignment="1">
      <alignment horizontal="left" vertical="center"/>
    </xf>
    <xf numFmtId="0" fontId="11" fillId="0" borderId="83" xfId="0" applyFont="1" applyBorder="1" applyAlignment="1">
      <alignment vertical="center"/>
    </xf>
    <xf numFmtId="2" fontId="3" fillId="0" borderId="4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65" fontId="19" fillId="0" borderId="66" xfId="1" applyFont="1" applyBorder="1" applyAlignment="1">
      <alignment vertical="center"/>
    </xf>
    <xf numFmtId="0" fontId="19" fillId="0" borderId="68" xfId="0" applyFont="1" applyBorder="1" applyAlignment="1">
      <alignment vertical="center"/>
    </xf>
    <xf numFmtId="2" fontId="1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165" fontId="3" fillId="0" borderId="0" xfId="1" applyFont="1" applyFill="1" applyBorder="1" applyAlignment="1">
      <alignment horizontal="center" vertical="center"/>
    </xf>
    <xf numFmtId="165" fontId="3" fillId="0" borderId="0" xfId="0" applyNumberFormat="1" applyFont="1"/>
    <xf numFmtId="165" fontId="13" fillId="0" borderId="0" xfId="1" applyFont="1" applyFill="1" applyBorder="1" applyAlignment="1">
      <alignment vertical="center"/>
    </xf>
    <xf numFmtId="165" fontId="13" fillId="0" borderId="0" xfId="1" applyFont="1" applyBorder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169" fontId="3" fillId="0" borderId="0" xfId="1" applyNumberFormat="1" applyFont="1" applyFill="1" applyBorder="1" applyAlignment="1">
      <alignment vertical="center"/>
    </xf>
    <xf numFmtId="165" fontId="13" fillId="0" borderId="0" xfId="1" applyFont="1" applyFill="1" applyBorder="1" applyAlignment="1"/>
    <xf numFmtId="165" fontId="13" fillId="0" borderId="0" xfId="1" applyFont="1" applyBorder="1" applyAlignment="1"/>
    <xf numFmtId="165" fontId="13" fillId="0" borderId="0" xfId="1" applyFont="1" applyFill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3" fillId="4" borderId="30" xfId="0" applyFont="1" applyFill="1" applyBorder="1"/>
    <xf numFmtId="169" fontId="3" fillId="0" borderId="0" xfId="0" applyNumberFormat="1" applyFont="1"/>
    <xf numFmtId="166" fontId="3" fillId="0" borderId="0" xfId="0" applyNumberFormat="1" applyFont="1"/>
    <xf numFmtId="14" fontId="3" fillId="0" borderId="7" xfId="1" applyNumberFormat="1" applyFont="1" applyFill="1" applyBorder="1" applyAlignment="1">
      <alignment horizontal="center"/>
    </xf>
    <xf numFmtId="14" fontId="3" fillId="0" borderId="28" xfId="1" applyNumberFormat="1" applyFont="1" applyFill="1" applyBorder="1" applyAlignment="1">
      <alignment horizontal="center"/>
    </xf>
    <xf numFmtId="0" fontId="3" fillId="4" borderId="18" xfId="0" applyFont="1" applyFill="1" applyBorder="1"/>
    <xf numFmtId="169" fontId="13" fillId="0" borderId="0" xfId="0" applyNumberFormat="1" applyFont="1"/>
    <xf numFmtId="165" fontId="13" fillId="0" borderId="0" xfId="1" applyFont="1" applyAlignment="1">
      <alignment horizontal="center"/>
    </xf>
    <xf numFmtId="0" fontId="3" fillId="4" borderId="27" xfId="0" applyFont="1" applyFill="1" applyBorder="1"/>
    <xf numFmtId="169" fontId="3" fillId="0" borderId="13" xfId="0" applyNumberFormat="1" applyFont="1" applyBorder="1"/>
    <xf numFmtId="164" fontId="16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3" fillId="16" borderId="32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13" fillId="16" borderId="36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2" fontId="3" fillId="0" borderId="32" xfId="0" applyNumberFormat="1" applyFont="1" applyBorder="1"/>
    <xf numFmtId="2" fontId="3" fillId="0" borderId="6" xfId="0" applyNumberFormat="1" applyFont="1" applyBorder="1"/>
    <xf numFmtId="2" fontId="3" fillId="0" borderId="7" xfId="1" applyNumberFormat="1" applyFont="1" applyBorder="1" applyAlignment="1">
      <alignment vertical="center"/>
    </xf>
    <xf numFmtId="2" fontId="4" fillId="0" borderId="28" xfId="1" applyNumberFormat="1" applyFont="1" applyBorder="1" applyAlignment="1">
      <alignment vertical="center"/>
    </xf>
    <xf numFmtId="169" fontId="13" fillId="0" borderId="0" xfId="1" applyNumberFormat="1" applyFont="1" applyFill="1" applyBorder="1" applyAlignment="1">
      <alignment vertical="center"/>
    </xf>
    <xf numFmtId="2" fontId="3" fillId="0" borderId="9" xfId="0" applyNumberFormat="1" applyFont="1" applyBorder="1"/>
    <xf numFmtId="2" fontId="3" fillId="0" borderId="22" xfId="0" applyNumberFormat="1" applyFont="1" applyBorder="1" applyAlignment="1">
      <alignment vertical="center"/>
    </xf>
    <xf numFmtId="169" fontId="3" fillId="0" borderId="40" xfId="0" applyNumberFormat="1" applyFont="1" applyBorder="1"/>
    <xf numFmtId="0" fontId="3" fillId="4" borderId="31" xfId="0" applyFont="1" applyFill="1" applyBorder="1"/>
    <xf numFmtId="169" fontId="3" fillId="4" borderId="31" xfId="0" applyNumberFormat="1" applyFont="1" applyFill="1" applyBorder="1"/>
    <xf numFmtId="0" fontId="3" fillId="0" borderId="31" xfId="0" applyFont="1" applyBorder="1"/>
    <xf numFmtId="14" fontId="3" fillId="0" borderId="31" xfId="0" applyNumberFormat="1" applyFont="1" applyBorder="1"/>
    <xf numFmtId="2" fontId="3" fillId="0" borderId="9" xfId="0" applyNumberFormat="1" applyFont="1" applyBorder="1" applyAlignment="1">
      <alignment horizontal="center" vertical="center"/>
    </xf>
    <xf numFmtId="2" fontId="3" fillId="0" borderId="4" xfId="0" applyNumberFormat="1" applyFont="1" applyBorder="1"/>
    <xf numFmtId="2" fontId="3" fillId="0" borderId="5" xfId="0" applyNumberFormat="1" applyFont="1" applyBorder="1"/>
    <xf numFmtId="2" fontId="3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0" fontId="19" fillId="0" borderId="39" xfId="0" applyFont="1" applyBorder="1" applyAlignment="1">
      <alignment horizontal="center" vertical="center" wrapText="1"/>
    </xf>
    <xf numFmtId="14" fontId="19" fillId="0" borderId="39" xfId="0" applyNumberFormat="1" applyFont="1" applyBorder="1" applyAlignment="1">
      <alignment horizontal="center" vertical="center" wrapText="1"/>
    </xf>
    <xf numFmtId="14" fontId="19" fillId="3" borderId="39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165" fontId="18" fillId="0" borderId="66" xfId="1" applyFont="1" applyFill="1" applyBorder="1" applyAlignment="1">
      <alignment vertical="center"/>
    </xf>
    <xf numFmtId="0" fontId="18" fillId="0" borderId="66" xfId="0" applyFont="1" applyBorder="1" applyAlignment="1">
      <alignment vertical="center"/>
    </xf>
    <xf numFmtId="165" fontId="18" fillId="0" borderId="65" xfId="1" applyFont="1" applyFill="1" applyBorder="1" applyAlignment="1">
      <alignment vertical="center"/>
    </xf>
    <xf numFmtId="165" fontId="18" fillId="0" borderId="70" xfId="0" applyNumberFormat="1" applyFont="1" applyBorder="1" applyAlignment="1">
      <alignment vertical="center"/>
    </xf>
    <xf numFmtId="165" fontId="18" fillId="0" borderId="86" xfId="0" applyNumberFormat="1" applyFont="1" applyBorder="1" applyAlignment="1">
      <alignment vertical="center"/>
    </xf>
    <xf numFmtId="165" fontId="18" fillId="0" borderId="84" xfId="1" applyFont="1" applyFill="1" applyBorder="1" applyAlignment="1">
      <alignment vertical="center"/>
    </xf>
    <xf numFmtId="0" fontId="18" fillId="0" borderId="84" xfId="0" applyFont="1" applyBorder="1" applyAlignment="1">
      <alignment vertical="center"/>
    </xf>
    <xf numFmtId="165" fontId="18" fillId="0" borderId="76" xfId="1" applyFont="1" applyFill="1" applyBorder="1" applyAlignment="1">
      <alignment vertical="center"/>
    </xf>
    <xf numFmtId="165" fontId="18" fillId="0" borderId="76" xfId="0" applyNumberFormat="1" applyFont="1" applyBorder="1" applyAlignment="1">
      <alignment vertical="center"/>
    </xf>
    <xf numFmtId="165" fontId="18" fillId="0" borderId="50" xfId="0" applyNumberFormat="1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165" fontId="19" fillId="3" borderId="9" xfId="0" applyNumberFormat="1" applyFont="1" applyFill="1" applyBorder="1" applyAlignment="1">
      <alignment horizontal="center" vertical="center"/>
    </xf>
    <xf numFmtId="2" fontId="0" fillId="0" borderId="87" xfId="0" applyNumberFormat="1" applyBorder="1" applyAlignment="1">
      <alignment horizontal="center" vertical="center"/>
    </xf>
    <xf numFmtId="14" fontId="0" fillId="2" borderId="36" xfId="0" applyNumberFormat="1" applyFill="1" applyBorder="1" applyAlignment="1">
      <alignment horizontal="center" vertical="center" textRotation="90"/>
    </xf>
    <xf numFmtId="2" fontId="0" fillId="0" borderId="23" xfId="0" applyNumberFormat="1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0" fillId="0" borderId="81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" fontId="0" fillId="0" borderId="94" xfId="0" applyNumberFormat="1" applyBorder="1" applyAlignment="1">
      <alignment horizontal="center" vertical="center" wrapText="1"/>
    </xf>
    <xf numFmtId="165" fontId="0" fillId="0" borderId="25" xfId="0" applyNumberFormat="1" applyBorder="1" applyAlignment="1">
      <alignment vertical="center"/>
    </xf>
    <xf numFmtId="165" fontId="0" fillId="4" borderId="33" xfId="0" applyNumberFormat="1" applyFill="1" applyBorder="1" applyAlignment="1">
      <alignment vertical="center"/>
    </xf>
    <xf numFmtId="165" fontId="0" fillId="0" borderId="73" xfId="0" applyNumberFormat="1" applyBorder="1" applyAlignment="1">
      <alignment vertical="center"/>
    </xf>
    <xf numFmtId="0" fontId="19" fillId="0" borderId="6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left" vertical="center"/>
    </xf>
    <xf numFmtId="2" fontId="0" fillId="0" borderId="24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168" fontId="0" fillId="0" borderId="84" xfId="0" applyNumberFormat="1" applyBorder="1" applyAlignment="1">
      <alignment vertical="center"/>
    </xf>
    <xf numFmtId="168" fontId="0" fillId="0" borderId="95" xfId="0" applyNumberFormat="1" applyBorder="1" applyAlignment="1">
      <alignment vertical="center"/>
    </xf>
    <xf numFmtId="168" fontId="0" fillId="0" borderId="96" xfId="0" applyNumberFormat="1" applyBorder="1" applyAlignment="1">
      <alignment vertical="center"/>
    </xf>
    <xf numFmtId="168" fontId="0" fillId="0" borderId="86" xfId="0" applyNumberFormat="1" applyBorder="1"/>
    <xf numFmtId="0" fontId="0" fillId="4" borderId="51" xfId="0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0" fillId="0" borderId="66" xfId="0" applyBorder="1"/>
    <xf numFmtId="0" fontId="0" fillId="0" borderId="96" xfId="0" applyBorder="1"/>
    <xf numFmtId="2" fontId="0" fillId="0" borderId="97" xfId="0" applyNumberFormat="1" applyBorder="1" applyAlignment="1">
      <alignment horizontal="center" vertical="center"/>
    </xf>
    <xf numFmtId="2" fontId="0" fillId="0" borderId="98" xfId="0" applyNumberFormat="1" applyBorder="1" applyAlignment="1">
      <alignment horizontal="center" vertical="center"/>
    </xf>
    <xf numFmtId="2" fontId="0" fillId="0" borderId="99" xfId="0" applyNumberFormat="1" applyBorder="1" applyAlignment="1">
      <alignment horizontal="center" vertical="center"/>
    </xf>
    <xf numFmtId="2" fontId="0" fillId="0" borderId="100" xfId="0" applyNumberFormat="1" applyBorder="1" applyAlignment="1">
      <alignment horizontal="center" vertical="center"/>
    </xf>
    <xf numFmtId="2" fontId="0" fillId="0" borderId="101" xfId="0" applyNumberFormat="1" applyBorder="1" applyAlignment="1">
      <alignment horizontal="center" vertical="center"/>
    </xf>
    <xf numFmtId="2" fontId="0" fillId="0" borderId="102" xfId="0" applyNumberFormat="1" applyBorder="1" applyAlignment="1">
      <alignment horizontal="center" vertical="center"/>
    </xf>
    <xf numFmtId="14" fontId="3" fillId="0" borderId="5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2" fontId="13" fillId="0" borderId="4" xfId="0" applyNumberFormat="1" applyFont="1" applyBorder="1" applyAlignment="1">
      <alignment vertical="center" wrapText="1"/>
    </xf>
    <xf numFmtId="2" fontId="13" fillId="0" borderId="5" xfId="0" applyNumberFormat="1" applyFont="1" applyBorder="1" applyAlignment="1">
      <alignment vertical="center" wrapText="1"/>
    </xf>
    <xf numFmtId="2" fontId="13" fillId="0" borderId="6" xfId="0" applyNumberFormat="1" applyFont="1" applyBorder="1" applyAlignment="1">
      <alignment vertical="center" wrapText="1"/>
    </xf>
    <xf numFmtId="2" fontId="0" fillId="0" borderId="35" xfId="0" applyNumberFormat="1" applyBorder="1" applyAlignment="1">
      <alignment horizontal="center" vertical="center"/>
    </xf>
    <xf numFmtId="2" fontId="0" fillId="0" borderId="103" xfId="0" applyNumberFormat="1" applyBorder="1" applyAlignment="1">
      <alignment horizontal="center" vertical="center"/>
    </xf>
    <xf numFmtId="2" fontId="28" fillId="0" borderId="80" xfId="0" applyNumberFormat="1" applyFont="1" applyBorder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2" fontId="28" fillId="0" borderId="46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4" borderId="39" xfId="0" applyFont="1" applyFill="1" applyBorder="1" applyAlignment="1">
      <alignment vertical="center"/>
    </xf>
    <xf numFmtId="0" fontId="7" fillId="17" borderId="39" xfId="0" applyFont="1" applyFill="1" applyBorder="1"/>
    <xf numFmtId="0" fontId="8" fillId="7" borderId="39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0" borderId="105" xfId="0" applyFont="1" applyBorder="1" applyAlignment="1">
      <alignment horizontal="left" vertical="center"/>
    </xf>
    <xf numFmtId="0" fontId="8" fillId="18" borderId="82" xfId="0" applyFont="1" applyFill="1" applyBorder="1" applyAlignment="1">
      <alignment horizontal="center" vertical="center"/>
    </xf>
    <xf numFmtId="0" fontId="7" fillId="4" borderId="82" xfId="0" applyFont="1" applyFill="1" applyBorder="1"/>
    <xf numFmtId="0" fontId="29" fillId="6" borderId="8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9" fillId="3" borderId="106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26" fillId="13" borderId="5" xfId="4" applyFont="1" applyFill="1" applyBorder="1" applyAlignment="1" applyProtection="1">
      <alignment horizontal="center" vertical="center" wrapText="1"/>
    </xf>
    <xf numFmtId="0" fontId="9" fillId="19" borderId="32" xfId="0" applyFont="1" applyFill="1" applyBorder="1" applyAlignment="1">
      <alignment horizontal="center" vertical="center" wrapText="1"/>
    </xf>
    <xf numFmtId="0" fontId="9" fillId="19" borderId="14" xfId="0" applyFont="1" applyFill="1" applyBorder="1" applyAlignment="1">
      <alignment horizontal="center" vertical="center" wrapText="1"/>
    </xf>
    <xf numFmtId="0" fontId="26" fillId="19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5" fontId="7" fillId="0" borderId="0" xfId="1" applyFont="1" applyAlignment="1">
      <alignment vertical="center" wrapText="1"/>
    </xf>
    <xf numFmtId="0" fontId="8" fillId="0" borderId="65" xfId="0" applyFont="1" applyBorder="1" applyAlignment="1">
      <alignment vertical="center"/>
    </xf>
    <xf numFmtId="0" fontId="8" fillId="0" borderId="39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10" borderId="107" xfId="0" applyFont="1" applyFill="1" applyBorder="1" applyAlignment="1">
      <alignment horizontal="center" vertical="center"/>
    </xf>
    <xf numFmtId="0" fontId="8" fillId="10" borderId="65" xfId="0" applyFont="1" applyFill="1" applyBorder="1" applyAlignment="1">
      <alignment horizontal="center" vertical="center"/>
    </xf>
    <xf numFmtId="0" fontId="7" fillId="10" borderId="68" xfId="0" applyFont="1" applyFill="1" applyBorder="1" applyAlignment="1">
      <alignment vertical="center"/>
    </xf>
    <xf numFmtId="165" fontId="7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8" fillId="3" borderId="3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39" xfId="0" applyFont="1" applyBorder="1" applyAlignment="1">
      <alignment vertical="center" wrapText="1"/>
    </xf>
    <xf numFmtId="0" fontId="8" fillId="0" borderId="62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3" borderId="10" xfId="0" applyFont="1" applyFill="1" applyBorder="1" applyAlignment="1">
      <alignment vertical="center" wrapText="1"/>
    </xf>
    <xf numFmtId="14" fontId="4" fillId="0" borderId="30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14" fontId="3" fillId="0" borderId="25" xfId="1" applyNumberFormat="1" applyFont="1" applyFill="1" applyBorder="1" applyAlignment="1">
      <alignment horizontal="center" vertical="center"/>
    </xf>
    <xf numFmtId="14" fontId="3" fillId="0" borderId="7" xfId="1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4" fontId="4" fillId="0" borderId="37" xfId="0" applyNumberFormat="1" applyFont="1" applyBorder="1" applyAlignment="1">
      <alignment horizontal="center" vertical="center"/>
    </xf>
    <xf numFmtId="0" fontId="18" fillId="0" borderId="77" xfId="0" applyFont="1" applyBorder="1" applyAlignment="1">
      <alignment horizontal="left" vertical="center"/>
    </xf>
    <xf numFmtId="0" fontId="17" fillId="0" borderId="39" xfId="0" applyFont="1" applyBorder="1" applyAlignment="1">
      <alignment vertical="center"/>
    </xf>
    <xf numFmtId="0" fontId="21" fillId="0" borderId="77" xfId="0" applyFont="1" applyBorder="1" applyAlignment="1">
      <alignment horizontal="left" vertical="center"/>
    </xf>
    <xf numFmtId="0" fontId="4" fillId="0" borderId="37" xfId="0" applyFont="1" applyBorder="1" applyAlignment="1">
      <alignment horizontal="right" vertical="center"/>
    </xf>
    <xf numFmtId="14" fontId="13" fillId="0" borderId="4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0" fontId="37" fillId="20" borderId="0" xfId="5" applyFont="1"/>
    <xf numFmtId="4" fontId="0" fillId="0" borderId="0" xfId="0" applyNumberFormat="1"/>
    <xf numFmtId="0" fontId="38" fillId="2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/>
    <xf numFmtId="0" fontId="0" fillId="0" borderId="17" xfId="0" applyBorder="1"/>
    <xf numFmtId="0" fontId="34" fillId="21" borderId="0" xfId="6" applyBorder="1"/>
    <xf numFmtId="0" fontId="1" fillId="0" borderId="1" xfId="0" applyFont="1" applyBorder="1"/>
    <xf numFmtId="172" fontId="0" fillId="0" borderId="0" xfId="0" applyNumberFormat="1"/>
    <xf numFmtId="4" fontId="1" fillId="0" borderId="0" xfId="0" applyNumberFormat="1" applyFont="1"/>
    <xf numFmtId="4" fontId="1" fillId="0" borderId="17" xfId="0" applyNumberFormat="1" applyFont="1" applyBorder="1"/>
    <xf numFmtId="1" fontId="1" fillId="0" borderId="0" xfId="0" applyNumberFormat="1" applyFont="1"/>
    <xf numFmtId="0" fontId="39" fillId="21" borderId="4" xfId="6" applyFont="1" applyBorder="1"/>
    <xf numFmtId="0" fontId="39" fillId="21" borderId="5" xfId="6" applyFont="1" applyBorder="1"/>
    <xf numFmtId="4" fontId="39" fillId="21" borderId="6" xfId="6" applyNumberFormat="1" applyFont="1" applyBorder="1"/>
    <xf numFmtId="4" fontId="39" fillId="21" borderId="9" xfId="6" applyNumberFormat="1" applyFont="1" applyBorder="1"/>
    <xf numFmtId="0" fontId="0" fillId="0" borderId="2" xfId="0" applyBorder="1"/>
    <xf numFmtId="0" fontId="0" fillId="0" borderId="13" xfId="0" applyBorder="1"/>
    <xf numFmtId="4" fontId="0" fillId="0" borderId="13" xfId="0" applyNumberFormat="1" applyBorder="1"/>
    <xf numFmtId="0" fontId="0" fillId="0" borderId="49" xfId="0" applyBorder="1"/>
    <xf numFmtId="172" fontId="0" fillId="0" borderId="76" xfId="0" applyNumberFormat="1" applyBorder="1"/>
    <xf numFmtId="172" fontId="0" fillId="0" borderId="50" xfId="0" applyNumberFormat="1" applyBorder="1"/>
    <xf numFmtId="0" fontId="0" fillId="0" borderId="52" xfId="0" applyBorder="1"/>
    <xf numFmtId="172" fontId="0" fillId="0" borderId="69" xfId="0" applyNumberFormat="1" applyBorder="1"/>
    <xf numFmtId="172" fontId="0" fillId="0" borderId="53" xfId="0" applyNumberFormat="1" applyBorder="1"/>
    <xf numFmtId="0" fontId="7" fillId="3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0" xfId="0" applyFont="1" applyAlignment="1">
      <alignment horizontal="center"/>
    </xf>
    <xf numFmtId="4" fontId="37" fillId="20" borderId="0" xfId="5" applyNumberFormat="1" applyFont="1"/>
    <xf numFmtId="0" fontId="36" fillId="23" borderId="1" xfId="0" applyFont="1" applyFill="1" applyBorder="1" applyAlignment="1">
      <alignment horizontal="center"/>
    </xf>
    <xf numFmtId="0" fontId="36" fillId="23" borderId="0" xfId="0" applyFont="1" applyFill="1" applyAlignment="1">
      <alignment horizontal="center"/>
    </xf>
    <xf numFmtId="0" fontId="36" fillId="23" borderId="12" xfId="0" applyFont="1" applyFill="1" applyBorder="1" applyAlignment="1">
      <alignment horizontal="center"/>
    </xf>
    <xf numFmtId="0" fontId="35" fillId="22" borderId="0" xfId="7" applyBorder="1" applyAlignment="1">
      <alignment horizontal="center"/>
    </xf>
    <xf numFmtId="170" fontId="20" fillId="3" borderId="0" xfId="0" applyNumberFormat="1" applyFont="1" applyFill="1" applyAlignment="1">
      <alignment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2" fontId="3" fillId="0" borderId="63" xfId="0" applyNumberFormat="1" applyFont="1" applyBorder="1" applyAlignment="1">
      <alignment horizontal="center"/>
    </xf>
    <xf numFmtId="2" fontId="3" fillId="0" borderId="64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2" fontId="3" fillId="0" borderId="52" xfId="0" applyNumberFormat="1" applyFont="1" applyBorder="1" applyAlignment="1">
      <alignment horizontal="center"/>
    </xf>
    <xf numFmtId="2" fontId="3" fillId="0" borderId="53" xfId="0" applyNumberFormat="1" applyFont="1" applyBorder="1" applyAlignment="1">
      <alignment horizontal="center"/>
    </xf>
    <xf numFmtId="165" fontId="7" fillId="0" borderId="0" xfId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2" fontId="3" fillId="0" borderId="84" xfId="0" applyNumberFormat="1" applyFont="1" applyBorder="1" applyAlignment="1">
      <alignment horizontal="center"/>
    </xf>
    <xf numFmtId="2" fontId="3" fillId="0" borderId="8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2" fontId="13" fillId="0" borderId="4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9" borderId="84" xfId="0" applyFont="1" applyFill="1" applyBorder="1" applyAlignment="1">
      <alignment horizontal="center" vertical="center" wrapText="1"/>
    </xf>
    <xf numFmtId="0" fontId="1" fillId="9" borderId="89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9" fontId="0" fillId="0" borderId="92" xfId="0" applyNumberFormat="1" applyBorder="1" applyAlignment="1">
      <alignment horizontal="center" vertical="center" wrapText="1"/>
    </xf>
    <xf numFmtId="9" fontId="0" fillId="0" borderId="93" xfId="0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 wrapText="1"/>
    </xf>
    <xf numFmtId="0" fontId="1" fillId="9" borderId="76" xfId="0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9" fontId="0" fillId="0" borderId="52" xfId="0" applyNumberFormat="1" applyBorder="1" applyAlignment="1">
      <alignment horizontal="center" vertical="center" wrapText="1"/>
    </xf>
    <xf numFmtId="9" fontId="0" fillId="0" borderId="69" xfId="0" applyNumberFormat="1" applyBorder="1" applyAlignment="1">
      <alignment horizontal="center" vertical="center" wrapText="1"/>
    </xf>
    <xf numFmtId="9" fontId="0" fillId="0" borderId="91" xfId="0" applyNumberFormat="1" applyBorder="1" applyAlignment="1">
      <alignment horizontal="center" vertical="center" wrapText="1"/>
    </xf>
    <xf numFmtId="9" fontId="0" fillId="0" borderId="82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104" xfId="0" applyNumberFormat="1" applyBorder="1" applyAlignment="1">
      <alignment horizontal="center" vertical="center"/>
    </xf>
    <xf numFmtId="2" fontId="0" fillId="0" borderId="105" xfId="0" applyNumberFormat="1" applyBorder="1" applyAlignment="1">
      <alignment horizontal="center" vertical="center"/>
    </xf>
    <xf numFmtId="2" fontId="0" fillId="0" borderId="106" xfId="0" applyNumberFormat="1" applyBorder="1" applyAlignment="1">
      <alignment horizontal="center" vertical="center"/>
    </xf>
    <xf numFmtId="14" fontId="0" fillId="2" borderId="81" xfId="0" applyNumberFormat="1" applyFill="1" applyBorder="1" applyAlignment="1">
      <alignment horizontal="center" vertical="center" textRotation="90"/>
    </xf>
    <xf numFmtId="14" fontId="0" fillId="2" borderId="36" xfId="0" applyNumberFormat="1" applyFill="1" applyBorder="1" applyAlignment="1">
      <alignment horizontal="center" vertical="center" textRotation="90"/>
    </xf>
    <xf numFmtId="0" fontId="0" fillId="0" borderId="0" xfId="0" applyAlignment="1">
      <alignment horizontal="center"/>
    </xf>
  </cellXfs>
  <cellStyles count="8">
    <cellStyle name="Bad" xfId="6" builtinId="27"/>
    <cellStyle name="Currency" xfId="2" builtinId="4"/>
    <cellStyle name="Currency [0]" xfId="1" builtinId="7"/>
    <cellStyle name="Good" xfId="5" builtinId="26"/>
    <cellStyle name="Moneda [0] 2" xfId="3" xr:uid="{00000000-0005-0000-0000-000002000000}"/>
    <cellStyle name="Neutral" xfId="7" builtinId="28"/>
    <cellStyle name="Normal" xfId="0" builtinId="0"/>
    <cellStyle name="Output" xfId="4" builtinId="21"/>
  </cellStyles>
  <dxfs count="5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FF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ill>
        <patternFill>
          <bgColor rgb="FF00FFFF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24994659260841701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rgb="FFFF0000"/>
      </font>
      <fill>
        <patternFill>
          <bgColor rgb="FFFCD4D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FFFF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00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24994659260841701"/>
        </patternFill>
      </fill>
    </dxf>
    <dxf>
      <fill>
        <patternFill>
          <bgColor theme="3" tint="0.49998474074526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FF00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rgb="FF00FF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  <fill>
        <patternFill>
          <bgColor rgb="FFFCD4D4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ill>
        <patternFill>
          <bgColor rgb="FFFFC000"/>
        </patternFill>
      </fill>
    </dxf>
    <dxf>
      <fill>
        <patternFill>
          <bgColor theme="3" tint="0.24994659260841701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79998168889431442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FFFF"/>
        </patternFill>
      </fill>
    </dxf>
    <dxf>
      <fill>
        <patternFill>
          <bgColor theme="4" tint="0.39994506668294322"/>
        </patternFill>
      </fill>
    </dxf>
    <dxf>
      <fill>
        <patternFill>
          <bgColor rgb="FF00FF00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79998168889431442"/>
        </patternFill>
      </fill>
    </dxf>
    <dxf>
      <font>
        <color rgb="FFFFFFFF"/>
      </font>
      <fill>
        <patternFill>
          <bgColor theme="9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FFFF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FFFF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9.9948118533890809E-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FFFF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9.9948118533890809E-2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ont>
        <color rgb="FFFFFFFF"/>
      </font>
      <fill>
        <patternFill>
          <bgColor theme="3" tint="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00FFFF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66FF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9.9948118533890809E-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ill>
        <patternFill>
          <bgColor rgb="FF00FF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</font>
      <fill>
        <patternFill>
          <bgColor theme="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66FF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b/>
        <i/>
      </font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45954</xdr:rowOff>
    </xdr:from>
    <xdr:to>
      <xdr:col>7</xdr:col>
      <xdr:colOff>617220</xdr:colOff>
      <xdr:row>10</xdr:row>
      <xdr:rowOff>99357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D5B12A-4EB5-4D41-8AAA-FAC139733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54"/>
          <a:ext cx="6164580" cy="18974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120578</xdr:rowOff>
    </xdr:from>
    <xdr:to>
      <xdr:col>7</xdr:col>
      <xdr:colOff>631110</xdr:colOff>
      <xdr:row>20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D878B7-50B9-1BB5-624F-5BF8BD1E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9378"/>
          <a:ext cx="6178470" cy="1792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64586</xdr:rowOff>
    </xdr:from>
    <xdr:to>
      <xdr:col>7</xdr:col>
      <xdr:colOff>685800</xdr:colOff>
      <xdr:row>30</xdr:row>
      <xdr:rowOff>18815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68AD8F-CCDA-5B74-7D5E-1B6E7F6A4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22186"/>
          <a:ext cx="6233160" cy="18135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Usuario/Desktop/ASISTENCIA%20MV/ASISTENCIA%2007-03-2026.xlsx" TargetMode="External"/><Relationship Id="rId2" Type="http://schemas.openxmlformats.org/officeDocument/2006/relationships/externalLinkPath" Target="file:///C:\Users\Usuario\Desktop\ASISTENCIA%20MV\ASISTENCIA%2007-03-2026.xlsx" TargetMode="External"/><Relationship Id="rId1" Type="http://schemas.openxmlformats.org/officeDocument/2006/relationships/externalLinkPath" Target="/Users/Usuario/Desktop/ASISTENCIA%20MV/ASISTENCIA%2007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ISTENCIA"/>
      <sheetName val="CURSO TRINCAJE"/>
      <sheetName val="SIMULACIÓN LIQUIDACIÓN PACTADA"/>
      <sheetName val="Solic. de vacac. por correo"/>
      <sheetName val="KAREN"/>
      <sheetName val="ASIST PARA BONO"/>
      <sheetName val="Back up"/>
      <sheetName val="hh Marzo"/>
      <sheetName val="Hoja1"/>
      <sheetName val="INFORME"/>
    </sheetNames>
    <sheetDataSet>
      <sheetData sheetId="0">
        <row r="4">
          <cell r="B4" t="str">
            <v>12419789-9</v>
          </cell>
          <cell r="C4" t="str">
            <v>NUÑEZ GONZALEZ ROBERTO CARLOS</v>
          </cell>
          <cell r="D4" t="str">
            <v>4X3</v>
          </cell>
          <cell r="E4" t="str">
            <v>M</v>
          </cell>
          <cell r="F4" t="str">
            <v>ADMINISTRADOR DE CONTRATO</v>
          </cell>
          <cell r="G4" t="str">
            <v>ANTOFAGASTA</v>
          </cell>
          <cell r="H4" t="str">
            <v>8 meses, 13 días</v>
          </cell>
          <cell r="I4">
            <v>56994864893</v>
          </cell>
          <cell r="J4">
            <v>26820</v>
          </cell>
          <cell r="L4" t="str">
            <v>BANCO DE CHILE</v>
          </cell>
          <cell r="M4" t="str">
            <v>1150150109</v>
          </cell>
          <cell r="N4" t="str">
            <v>rnunez041@gmail.com</v>
          </cell>
          <cell r="O4">
            <v>45832</v>
          </cell>
          <cell r="P4">
            <v>45869</v>
          </cell>
          <cell r="Q4">
            <v>45930</v>
          </cell>
          <cell r="R4" t="str">
            <v>Indefinido</v>
          </cell>
          <cell r="S4" t="str">
            <v>Indefinido</v>
          </cell>
          <cell r="T4">
            <v>45944</v>
          </cell>
          <cell r="U4">
            <v>45964</v>
          </cell>
        </row>
        <row r="5">
          <cell r="B5" t="str">
            <v>10988972-5</v>
          </cell>
          <cell r="C5" t="str">
            <v>SOTO BAUTISTA MILTON ALEJANDRO</v>
          </cell>
          <cell r="D5" t="str">
            <v>4X3</v>
          </cell>
          <cell r="E5" t="str">
            <v>M</v>
          </cell>
          <cell r="F5" t="str">
            <v>LIDER HSEC</v>
          </cell>
          <cell r="G5" t="str">
            <v>COQUIMBO</v>
          </cell>
          <cell r="H5" t="str">
            <v>7 meses, 8 días</v>
          </cell>
          <cell r="I5">
            <v>56944239226</v>
          </cell>
          <cell r="J5">
            <v>28687</v>
          </cell>
          <cell r="K5" t="str">
            <v>Si</v>
          </cell>
          <cell r="N5" t="str">
            <v>milton.soto@gmail.com</v>
          </cell>
          <cell r="O5">
            <v>45868</v>
          </cell>
          <cell r="P5">
            <v>45900</v>
          </cell>
          <cell r="Q5">
            <v>45961</v>
          </cell>
          <cell r="R5" t="str">
            <v>Indefinido</v>
          </cell>
          <cell r="S5" t="str">
            <v>Indefinido</v>
          </cell>
          <cell r="T5">
            <v>45888</v>
          </cell>
          <cell r="U5">
            <v>45910</v>
          </cell>
        </row>
        <row r="6">
          <cell r="B6" t="str">
            <v>16442692-0</v>
          </cell>
          <cell r="C6" t="str">
            <v>AGUIRRE CASTILLO ANITA FERNANDA</v>
          </cell>
          <cell r="D6" t="str">
            <v>A</v>
          </cell>
          <cell r="E6" t="str">
            <v>F</v>
          </cell>
          <cell r="F6" t="str">
            <v xml:space="preserve">PREVENCIONISTA </v>
          </cell>
          <cell r="G6" t="str">
            <v>LA SERENA</v>
          </cell>
          <cell r="H6" t="str">
            <v>8 meses, 27 días</v>
          </cell>
          <cell r="I6">
            <v>56976508640</v>
          </cell>
          <cell r="J6">
            <v>31722</v>
          </cell>
          <cell r="K6" t="str">
            <v>Si</v>
          </cell>
          <cell r="L6" t="str">
            <v>BANCO DE CHILE</v>
          </cell>
          <cell r="M6" t="str">
            <v>1202484510</v>
          </cell>
          <cell r="N6" t="str">
            <v>fernandaexperto@gmail.com</v>
          </cell>
          <cell r="O6">
            <v>45818</v>
          </cell>
          <cell r="P6">
            <v>45853</v>
          </cell>
          <cell r="Q6">
            <v>45915</v>
          </cell>
          <cell r="R6" t="str">
            <v>Indefinido</v>
          </cell>
          <cell r="S6" t="str">
            <v>Indefinido</v>
          </cell>
          <cell r="T6">
            <v>45818</v>
          </cell>
          <cell r="U6">
            <v>45826</v>
          </cell>
        </row>
        <row r="7">
          <cell r="B7" t="str">
            <v>21236457-6</v>
          </cell>
          <cell r="C7" t="str">
            <v>ANGEL MUNITA DIANA CATALINA</v>
          </cell>
          <cell r="D7" t="str">
            <v>A</v>
          </cell>
          <cell r="E7" t="str">
            <v>F</v>
          </cell>
          <cell r="F7" t="str">
            <v>AYUDANTE DE PERFORISTA</v>
          </cell>
          <cell r="G7" t="str">
            <v>CALAMA</v>
          </cell>
          <cell r="H7" t="str">
            <v>1 meses, 22 días</v>
          </cell>
          <cell r="I7">
            <v>56989916280</v>
          </cell>
          <cell r="J7">
            <v>37666</v>
          </cell>
          <cell r="N7" t="str">
            <v>dianacatalinaangel.m@gmail.com</v>
          </cell>
          <cell r="O7">
            <v>46038</v>
          </cell>
          <cell r="P7">
            <v>46081</v>
          </cell>
          <cell r="R7" t="str">
            <v>Plazo fijo</v>
          </cell>
          <cell r="S7" t="str">
            <v>Plazo fijo</v>
          </cell>
          <cell r="T7">
            <v>46038</v>
          </cell>
          <cell r="U7">
            <v>46063</v>
          </cell>
        </row>
        <row r="8">
          <cell r="B8" t="str">
            <v>21637836-9</v>
          </cell>
          <cell r="C8" t="str">
            <v>AQUEA GONZALEZ MARIO ALBERTO</v>
          </cell>
          <cell r="D8" t="str">
            <v>A</v>
          </cell>
          <cell r="E8" t="str">
            <v>M</v>
          </cell>
          <cell r="F8" t="str">
            <v>AYUDANTE DE PERFORISTA</v>
          </cell>
          <cell r="G8" t="str">
            <v>LA SERENA</v>
          </cell>
          <cell r="H8" t="str">
            <v>1 años, 4 meses, 6 días</v>
          </cell>
          <cell r="I8">
            <v>56939416436</v>
          </cell>
          <cell r="J8">
            <v>38205</v>
          </cell>
          <cell r="K8" t="str">
            <v>Si</v>
          </cell>
          <cell r="L8" t="str">
            <v>BANCOESTADO</v>
          </cell>
          <cell r="M8" t="str">
            <v>21637836</v>
          </cell>
          <cell r="N8" t="str">
            <v>marioaquea3@gmail.com</v>
          </cell>
          <cell r="O8">
            <v>45597</v>
          </cell>
          <cell r="P8">
            <v>45688</v>
          </cell>
          <cell r="Q8" t="str">
            <v>Indefinido</v>
          </cell>
          <cell r="R8" t="str">
            <v>Indefinido</v>
          </cell>
          <cell r="S8" t="str">
            <v>Indefinido</v>
          </cell>
          <cell r="T8">
            <v>45597</v>
          </cell>
          <cell r="U8">
            <v>45646</v>
          </cell>
        </row>
        <row r="9">
          <cell r="B9" t="str">
            <v>15056140-K</v>
          </cell>
          <cell r="C9" t="str">
            <v>ARDILES NUÑEZ JONATHAN ANDRES</v>
          </cell>
          <cell r="D9" t="str">
            <v>A</v>
          </cell>
          <cell r="E9" t="str">
            <v>M</v>
          </cell>
          <cell r="F9" t="str">
            <v>CHOFER</v>
          </cell>
          <cell r="G9" t="str">
            <v>COQUIMBO</v>
          </cell>
          <cell r="H9" t="str">
            <v>1 años, 4 meses, 23 días</v>
          </cell>
          <cell r="I9">
            <v>56991896605</v>
          </cell>
          <cell r="J9">
            <v>30352</v>
          </cell>
          <cell r="K9" t="str">
            <v>Si</v>
          </cell>
          <cell r="L9" t="str">
            <v>BANCO FALABELLA</v>
          </cell>
          <cell r="M9" t="str">
            <v>13720031533</v>
          </cell>
          <cell r="N9" t="str">
            <v>jonathan.ardiles1621@gmail.com</v>
          </cell>
          <cell r="O9">
            <v>45580</v>
          </cell>
          <cell r="P9">
            <v>45672</v>
          </cell>
          <cell r="Q9" t="str">
            <v>Indefinido</v>
          </cell>
          <cell r="R9" t="str">
            <v>Indefinido</v>
          </cell>
          <cell r="S9" t="str">
            <v>Indefinido</v>
          </cell>
          <cell r="T9">
            <v>45580</v>
          </cell>
          <cell r="U9">
            <v>45627</v>
          </cell>
        </row>
        <row r="10">
          <cell r="B10" t="str">
            <v>16052742-0</v>
          </cell>
          <cell r="C10" t="str">
            <v>ARDILES NUÑEZ JOSE MIGUEL</v>
          </cell>
          <cell r="D10" t="str">
            <v>A</v>
          </cell>
          <cell r="E10" t="str">
            <v>M</v>
          </cell>
          <cell r="F10" t="str">
            <v>CHOFER</v>
          </cell>
          <cell r="G10" t="str">
            <v>COQUIMBO</v>
          </cell>
          <cell r="H10" t="str">
            <v>28 días</v>
          </cell>
          <cell r="I10">
            <v>56974420322</v>
          </cell>
          <cell r="J10">
            <v>31078</v>
          </cell>
          <cell r="K10" t="str">
            <v>Si</v>
          </cell>
          <cell r="L10" t="str">
            <v>BANCOESTADO</v>
          </cell>
          <cell r="M10" t="str">
            <v>16052742</v>
          </cell>
          <cell r="N10" t="str">
            <v>jomiardnu@hotmail.com</v>
          </cell>
          <cell r="O10">
            <v>45726</v>
          </cell>
          <cell r="P10">
            <v>45762</v>
          </cell>
          <cell r="Q10">
            <v>45823</v>
          </cell>
          <cell r="R10" t="str">
            <v>Indefinido</v>
          </cell>
          <cell r="S10" t="str">
            <v>Indefinido</v>
          </cell>
          <cell r="T10">
            <v>45726</v>
          </cell>
          <cell r="U10">
            <v>45733</v>
          </cell>
        </row>
        <row r="11">
          <cell r="B11" t="str">
            <v>15232639-4</v>
          </cell>
          <cell r="C11" t="str">
            <v>AVILES VERGARA RODRIGO ALEJANDRO</v>
          </cell>
          <cell r="D11" t="str">
            <v>A</v>
          </cell>
          <cell r="E11" t="str">
            <v>M</v>
          </cell>
          <cell r="F11" t="str">
            <v>PERFORISTA</v>
          </cell>
          <cell r="G11" t="str">
            <v>COPIAPO</v>
          </cell>
          <cell r="H11" t="str">
            <v>8 meses, 25 días</v>
          </cell>
          <cell r="I11">
            <v>56975490138</v>
          </cell>
          <cell r="J11">
            <v>30481</v>
          </cell>
          <cell r="L11" t="e">
            <v>#N/A</v>
          </cell>
          <cell r="M11" t="e">
            <v>#N/A</v>
          </cell>
          <cell r="N11" t="str">
            <v>rodrigoaviles1025@gmail.com</v>
          </cell>
          <cell r="O11">
            <v>45820</v>
          </cell>
          <cell r="P11">
            <v>45853</v>
          </cell>
          <cell r="Q11">
            <v>45915</v>
          </cell>
          <cell r="R11" t="str">
            <v>Indefinido</v>
          </cell>
          <cell r="S11" t="str">
            <v>Indefinido</v>
          </cell>
          <cell r="T11">
            <v>45944</v>
          </cell>
          <cell r="U11">
            <v>45959</v>
          </cell>
        </row>
        <row r="12">
          <cell r="B12" t="str">
            <v>17521166-7</v>
          </cell>
          <cell r="C12" t="str">
            <v>BOSSA ZAMORANO PABLO ROMARIO</v>
          </cell>
          <cell r="D12" t="str">
            <v>A</v>
          </cell>
          <cell r="E12" t="str">
            <v>M</v>
          </cell>
          <cell r="F12" t="str">
            <v>CHOFER</v>
          </cell>
          <cell r="G12" t="str">
            <v>RANCAGUA</v>
          </cell>
          <cell r="H12" t="str">
            <v>1 años, 3 meses, 26 días</v>
          </cell>
          <cell r="I12">
            <v>56938715154</v>
          </cell>
          <cell r="J12">
            <v>33306</v>
          </cell>
          <cell r="K12" t="str">
            <v>Si</v>
          </cell>
          <cell r="L12" t="str">
            <v>SANTANDER</v>
          </cell>
          <cell r="M12" t="str">
            <v>000098503757</v>
          </cell>
          <cell r="N12" t="str">
            <v>pablo.bossaz@gmail.com</v>
          </cell>
          <cell r="O12">
            <v>45607</v>
          </cell>
          <cell r="P12">
            <v>45703</v>
          </cell>
          <cell r="Q12" t="str">
            <v>Indefinido</v>
          </cell>
          <cell r="R12" t="str">
            <v>Indefinido</v>
          </cell>
          <cell r="S12" t="str">
            <v>Indefinido</v>
          </cell>
          <cell r="T12">
            <v>45607</v>
          </cell>
          <cell r="U12">
            <v>45627</v>
          </cell>
        </row>
        <row r="13">
          <cell r="B13" t="str">
            <v>17979787-9</v>
          </cell>
          <cell r="C13" t="str">
            <v>BRICEÑO HONORES JOHN ALEXIS</v>
          </cell>
          <cell r="D13" t="str">
            <v>A</v>
          </cell>
          <cell r="E13" t="str">
            <v>M</v>
          </cell>
          <cell r="F13" t="str">
            <v xml:space="preserve">PREVENCIONISTA </v>
          </cell>
          <cell r="G13" t="str">
            <v>LA SERENA</v>
          </cell>
          <cell r="H13" t="str">
            <v>1 años, 4 meses, 0 días</v>
          </cell>
          <cell r="I13">
            <v>56942485600</v>
          </cell>
          <cell r="J13">
            <v>33541</v>
          </cell>
          <cell r="K13" t="str">
            <v>Si</v>
          </cell>
          <cell r="L13" t="str">
            <v>BANCO DE CHILE</v>
          </cell>
          <cell r="M13" t="str">
            <v>2650353510</v>
          </cell>
          <cell r="N13" t="str">
            <v>jbh91@hotmail.cl</v>
          </cell>
          <cell r="O13">
            <v>45603</v>
          </cell>
          <cell r="P13">
            <v>45703</v>
          </cell>
          <cell r="Q13" t="str">
            <v>Indefinido</v>
          </cell>
          <cell r="R13" t="str">
            <v>Indefinido</v>
          </cell>
          <cell r="S13" t="str">
            <v>Indefinido</v>
          </cell>
          <cell r="T13">
            <v>45603</v>
          </cell>
          <cell r="U13">
            <v>45628</v>
          </cell>
        </row>
        <row r="14">
          <cell r="B14" t="str">
            <v>11345634-5</v>
          </cell>
          <cell r="C14" t="str">
            <v>CALDERON CALDERON ALBERTO PATRICIO</v>
          </cell>
          <cell r="D14" t="str">
            <v>A</v>
          </cell>
          <cell r="E14" t="str">
            <v>M</v>
          </cell>
          <cell r="F14" t="str">
            <v>SUPERVISOR DE OPERACIONES</v>
          </cell>
          <cell r="G14" t="str">
            <v>COPIAPO</v>
          </cell>
          <cell r="H14" t="str">
            <v>8 meses, 27 días</v>
          </cell>
          <cell r="I14">
            <v>56998304439</v>
          </cell>
          <cell r="J14">
            <v>25010</v>
          </cell>
          <cell r="K14" t="str">
            <v>Si</v>
          </cell>
          <cell r="L14" t="str">
            <v>BANCO FALABELLA</v>
          </cell>
          <cell r="M14" t="str">
            <v>13010091293</v>
          </cell>
          <cell r="N14" t="str">
            <v>albertho.kalderon68@gmail.com</v>
          </cell>
          <cell r="O14">
            <v>45818</v>
          </cell>
          <cell r="P14">
            <v>45853</v>
          </cell>
          <cell r="Q14">
            <v>45915</v>
          </cell>
          <cell r="R14" t="str">
            <v>Indefinido</v>
          </cell>
          <cell r="S14" t="str">
            <v>Indefinido</v>
          </cell>
          <cell r="T14">
            <v>45818</v>
          </cell>
          <cell r="U14">
            <v>45826</v>
          </cell>
        </row>
        <row r="15">
          <cell r="B15" t="str">
            <v>17939732-3</v>
          </cell>
          <cell r="C15" t="str">
            <v>CASSRA ORELLANA DAVID JESUS</v>
          </cell>
          <cell r="D15" t="str">
            <v>A</v>
          </cell>
          <cell r="E15" t="str">
            <v>M</v>
          </cell>
          <cell r="F15" t="str">
            <v>AYUDANTE DE PERFORISTA</v>
          </cell>
          <cell r="G15" t="str">
            <v>CABILDO</v>
          </cell>
          <cell r="H15" t="str">
            <v>1 años, 4 meses, 15 días</v>
          </cell>
          <cell r="I15">
            <v>56936983311</v>
          </cell>
          <cell r="J15">
            <v>33246</v>
          </cell>
          <cell r="K15" t="str">
            <v>Si</v>
          </cell>
          <cell r="L15" t="str">
            <v>BANCOESTADO</v>
          </cell>
          <cell r="M15" t="str">
            <v>17939732</v>
          </cell>
          <cell r="N15" t="str">
            <v>chef221991@gmail.com</v>
          </cell>
          <cell r="O15">
            <v>45588</v>
          </cell>
          <cell r="P15">
            <v>45688</v>
          </cell>
          <cell r="Q15" t="str">
            <v>Indefinido</v>
          </cell>
          <cell r="R15" t="str">
            <v>Indefinido</v>
          </cell>
          <cell r="S15" t="str">
            <v>Indefinido</v>
          </cell>
          <cell r="T15">
            <v>45588</v>
          </cell>
          <cell r="U15">
            <v>45666</v>
          </cell>
        </row>
        <row r="16">
          <cell r="B16" t="str">
            <v>16581787-7</v>
          </cell>
          <cell r="C16" t="str">
            <v>CASTILLO VALDIVIA FELIX JOEL</v>
          </cell>
          <cell r="D16" t="str">
            <v>A</v>
          </cell>
          <cell r="E16" t="str">
            <v>M</v>
          </cell>
          <cell r="F16" t="str">
            <v>SOLDADOR</v>
          </cell>
          <cell r="G16" t="str">
            <v>COQUIMBO</v>
          </cell>
          <cell r="H16" t="str">
            <v>5 meses, 25 días</v>
          </cell>
          <cell r="I16">
            <v>56996467059</v>
          </cell>
          <cell r="J16">
            <v>32055</v>
          </cell>
          <cell r="L16" t="str">
            <v>BANCOESTADO</v>
          </cell>
          <cell r="M16" t="str">
            <v>16581787</v>
          </cell>
          <cell r="N16" t="str">
            <v>felixjcastillov1987@gmail.com</v>
          </cell>
          <cell r="O16">
            <v>45912</v>
          </cell>
          <cell r="P16">
            <v>45945</v>
          </cell>
          <cell r="Q16">
            <v>46006</v>
          </cell>
          <cell r="R16" t="str">
            <v>Plazo fijo</v>
          </cell>
          <cell r="S16" t="str">
            <v>Plazo fijo</v>
          </cell>
          <cell r="T16">
            <v>45931</v>
          </cell>
          <cell r="U16">
            <v>45946</v>
          </cell>
        </row>
        <row r="17">
          <cell r="B17" t="str">
            <v>17624527-1</v>
          </cell>
          <cell r="C17" t="str">
            <v>CASTRO AVALOS NELSON ANDRES</v>
          </cell>
          <cell r="D17" t="str">
            <v>A</v>
          </cell>
          <cell r="E17" t="str">
            <v>M</v>
          </cell>
          <cell r="F17" t="str">
            <v>PERFORISTA</v>
          </cell>
          <cell r="G17" t="str">
            <v>COQUIMBO</v>
          </cell>
          <cell r="H17" t="str">
            <v>1 años, 4 meses, 13 días</v>
          </cell>
          <cell r="I17">
            <v>56942434439</v>
          </cell>
          <cell r="J17">
            <v>33037</v>
          </cell>
          <cell r="K17" t="str">
            <v>Si</v>
          </cell>
          <cell r="L17" t="str">
            <v>BANCO FALABELLA</v>
          </cell>
          <cell r="M17" t="str">
            <v>19802720554</v>
          </cell>
          <cell r="N17" t="str">
            <v>ncastro.avalos@gmail.com</v>
          </cell>
          <cell r="O17">
            <v>45590</v>
          </cell>
          <cell r="P17">
            <v>45688</v>
          </cell>
          <cell r="Q17" t="str">
            <v>Indefinido</v>
          </cell>
          <cell r="R17" t="str">
            <v>Indefinido</v>
          </cell>
          <cell r="S17" t="str">
            <v>Indefinido</v>
          </cell>
          <cell r="T17">
            <v>45590</v>
          </cell>
          <cell r="U17">
            <v>45666</v>
          </cell>
        </row>
        <row r="18">
          <cell r="B18" t="str">
            <v>19454353-0</v>
          </cell>
          <cell r="C18" t="str">
            <v xml:space="preserve">CASTRO HOHMANN KASUKI </v>
          </cell>
          <cell r="D18" t="str">
            <v>A</v>
          </cell>
          <cell r="E18" t="str">
            <v>M</v>
          </cell>
          <cell r="F18" t="str">
            <v>AYUDANTE DE PERFORISTA</v>
          </cell>
          <cell r="G18" t="str">
            <v>LA SERENA</v>
          </cell>
          <cell r="H18" t="str">
            <v>4 meses, 2 días</v>
          </cell>
          <cell r="I18">
            <v>56997048954</v>
          </cell>
          <cell r="J18">
            <v>34502</v>
          </cell>
          <cell r="N18" t="str">
            <v>kazukicastro@hotmail.com</v>
          </cell>
          <cell r="O18">
            <v>45966</v>
          </cell>
          <cell r="P18">
            <v>46006</v>
          </cell>
          <cell r="R18" t="str">
            <v>Plazo fijo</v>
          </cell>
          <cell r="S18" t="str">
            <v>Plazo fijo</v>
          </cell>
          <cell r="T18">
            <v>45966</v>
          </cell>
          <cell r="U18">
            <v>45986</v>
          </cell>
        </row>
        <row r="19">
          <cell r="B19" t="str">
            <v>17014579-8</v>
          </cell>
          <cell r="C19" t="str">
            <v>CASTRO VARAS JOSUE SALOMON</v>
          </cell>
          <cell r="D19" t="str">
            <v>A</v>
          </cell>
          <cell r="E19" t="str">
            <v>M</v>
          </cell>
          <cell r="F19" t="str">
            <v>PERFORISTA</v>
          </cell>
          <cell r="G19" t="str">
            <v>LA SERENA</v>
          </cell>
          <cell r="H19" t="str">
            <v>8 meses, 6 días</v>
          </cell>
          <cell r="I19">
            <v>56940915793</v>
          </cell>
          <cell r="J19">
            <v>32319</v>
          </cell>
          <cell r="K19" t="str">
            <v>Si</v>
          </cell>
          <cell r="L19" t="str">
            <v>BANCOESTADO</v>
          </cell>
          <cell r="M19" t="str">
            <v>17014579</v>
          </cell>
          <cell r="N19" t="str">
            <v>jscv2506@gmail.com</v>
          </cell>
          <cell r="O19">
            <v>45839</v>
          </cell>
          <cell r="P19">
            <v>45869</v>
          </cell>
          <cell r="Q19">
            <v>45930</v>
          </cell>
          <cell r="R19" t="str">
            <v>Indefinido</v>
          </cell>
          <cell r="S19" t="str">
            <v>Indefinido</v>
          </cell>
          <cell r="T19">
            <v>45839</v>
          </cell>
          <cell r="U19">
            <v>45854</v>
          </cell>
        </row>
        <row r="20">
          <cell r="B20" t="str">
            <v>15446035-7</v>
          </cell>
          <cell r="C20" t="str">
            <v>COFRE ROMERO VICTORIA DEL PILAR</v>
          </cell>
          <cell r="D20" t="str">
            <v>A</v>
          </cell>
          <cell r="E20" t="str">
            <v>F</v>
          </cell>
          <cell r="F20" t="str">
            <v>BODEGUERA/O</v>
          </cell>
          <cell r="G20" t="str">
            <v>COQUIMBO</v>
          </cell>
          <cell r="H20" t="str">
            <v>1 años, 4 meses, 15 días</v>
          </cell>
          <cell r="I20">
            <v>56964961148</v>
          </cell>
          <cell r="J20">
            <v>30365</v>
          </cell>
          <cell r="K20" t="str">
            <v>Si</v>
          </cell>
          <cell r="L20" t="str">
            <v>BANCOESTADO</v>
          </cell>
          <cell r="M20" t="str">
            <v>31600026014</v>
          </cell>
          <cell r="N20" t="str">
            <v>vcofrer@gmail.com</v>
          </cell>
          <cell r="O20">
            <v>45588</v>
          </cell>
          <cell r="P20">
            <v>45688</v>
          </cell>
          <cell r="Q20" t="str">
            <v>Indefinido</v>
          </cell>
          <cell r="R20" t="str">
            <v>Indefinido</v>
          </cell>
          <cell r="S20" t="str">
            <v>Indefinido</v>
          </cell>
          <cell r="T20">
            <v>45588</v>
          </cell>
          <cell r="U20">
            <v>45627</v>
          </cell>
        </row>
        <row r="21">
          <cell r="B21" t="str">
            <v>13425369-K</v>
          </cell>
          <cell r="C21" t="str">
            <v>CONTRERAS FLORES RICHARD FERNANDO</v>
          </cell>
          <cell r="D21" t="str">
            <v>A</v>
          </cell>
          <cell r="E21" t="str">
            <v>M</v>
          </cell>
          <cell r="F21" t="str">
            <v>AYUDANTE DE PERFORISTA</v>
          </cell>
          <cell r="G21" t="str">
            <v>LA SERENA</v>
          </cell>
          <cell r="H21" t="str">
            <v>8 meses, 25 días</v>
          </cell>
          <cell r="I21">
            <v>56956136273</v>
          </cell>
          <cell r="J21">
            <v>28302</v>
          </cell>
          <cell r="L21" t="str">
            <v>Los Andes Tarjetas de Prepago S.A.</v>
          </cell>
          <cell r="M21" t="str">
            <v>13425369</v>
          </cell>
          <cell r="N21" t="str">
            <v>richardchamello77@gmail.com</v>
          </cell>
          <cell r="O21">
            <v>45820</v>
          </cell>
          <cell r="P21">
            <v>45853</v>
          </cell>
          <cell r="Q21">
            <v>45915</v>
          </cell>
          <cell r="R21" t="str">
            <v>Indefinido</v>
          </cell>
          <cell r="S21" t="str">
            <v>Indefinido</v>
          </cell>
          <cell r="T21">
            <v>45943</v>
          </cell>
          <cell r="U21">
            <v>45951</v>
          </cell>
        </row>
        <row r="22">
          <cell r="B22" t="str">
            <v>11778172-0</v>
          </cell>
          <cell r="C22" t="str">
            <v>CONTRERAS RIOS ORLANDO</v>
          </cell>
          <cell r="D22" t="str">
            <v>A</v>
          </cell>
          <cell r="E22" t="str">
            <v>M</v>
          </cell>
          <cell r="F22" t="str">
            <v>PERFORISTA</v>
          </cell>
          <cell r="G22" t="str">
            <v>NUEVA IMPERIAL</v>
          </cell>
          <cell r="H22" t="str">
            <v>8 meses, 6 días</v>
          </cell>
          <cell r="I22">
            <v>56982318618</v>
          </cell>
          <cell r="J22">
            <v>26012</v>
          </cell>
          <cell r="K22" t="str">
            <v>Si</v>
          </cell>
          <cell r="L22" t="str">
            <v>BANCOESTADO</v>
          </cell>
          <cell r="M22" t="str">
            <v>11778172</v>
          </cell>
          <cell r="N22" t="str">
            <v>orlandocontreras4344@gmail.com</v>
          </cell>
          <cell r="O22">
            <v>45839</v>
          </cell>
          <cell r="P22">
            <v>45869</v>
          </cell>
          <cell r="Q22">
            <v>45930</v>
          </cell>
          <cell r="R22" t="str">
            <v>Indefinido</v>
          </cell>
          <cell r="S22" t="str">
            <v>Indefinido</v>
          </cell>
          <cell r="T22">
            <v>45839</v>
          </cell>
          <cell r="U22">
            <v>45846</v>
          </cell>
        </row>
        <row r="23">
          <cell r="B23" t="str">
            <v>20486145-5</v>
          </cell>
          <cell r="C23" t="str">
            <v>DIAZ ROJAS FELIPE NICOLAS</v>
          </cell>
          <cell r="D23" t="str">
            <v>A</v>
          </cell>
          <cell r="E23" t="str">
            <v>M</v>
          </cell>
          <cell r="F23" t="str">
            <v>ELECTROMECÁNICO</v>
          </cell>
          <cell r="G23" t="str">
            <v>LA SERENA</v>
          </cell>
          <cell r="H23" t="str">
            <v>2 años, 3 meses, 3 días</v>
          </cell>
          <cell r="I23">
            <v>56968665555</v>
          </cell>
          <cell r="J23">
            <v>36634</v>
          </cell>
          <cell r="K23" t="str">
            <v>Si</v>
          </cell>
          <cell r="L23" t="str">
            <v>BANCO FALABELLA</v>
          </cell>
          <cell r="M23" t="str">
            <v>19998448023</v>
          </cell>
          <cell r="N23" t="str">
            <v>felipedr00@hotmail.com</v>
          </cell>
          <cell r="O23">
            <v>45264</v>
          </cell>
          <cell r="P23" t="str">
            <v>Indefinido</v>
          </cell>
          <cell r="Q23" t="str">
            <v>Indefinido</v>
          </cell>
          <cell r="R23" t="str">
            <v>Indefinido</v>
          </cell>
          <cell r="S23" t="str">
            <v>Indefinido</v>
          </cell>
          <cell r="T23">
            <v>45597</v>
          </cell>
          <cell r="U23">
            <v>45700</v>
          </cell>
        </row>
        <row r="24">
          <cell r="B24" t="str">
            <v>16280454-5</v>
          </cell>
          <cell r="C24" t="str">
            <v>ESCALONA VERA MANUEL ANTONIO</v>
          </cell>
          <cell r="D24" t="str">
            <v>A</v>
          </cell>
          <cell r="E24" t="str">
            <v>M</v>
          </cell>
          <cell r="F24" t="str">
            <v>PERFORISTA</v>
          </cell>
          <cell r="G24" t="str">
            <v>CHILLAN</v>
          </cell>
          <cell r="H24" t="str">
            <v>6 meses, 13 días</v>
          </cell>
          <cell r="I24">
            <v>56955860295</v>
          </cell>
          <cell r="J24">
            <v>31587</v>
          </cell>
          <cell r="L24" t="str">
            <v>BANCO FALABELLA</v>
          </cell>
          <cell r="M24" t="str">
            <v>15841344108</v>
          </cell>
          <cell r="N24" t="str">
            <v>chevynolo.70@gmail.com</v>
          </cell>
          <cell r="O24">
            <v>45894</v>
          </cell>
          <cell r="P24">
            <v>45930</v>
          </cell>
          <cell r="Q24">
            <v>45991</v>
          </cell>
          <cell r="R24" t="str">
            <v>Indefinido</v>
          </cell>
          <cell r="S24" t="str">
            <v>Indefinido</v>
          </cell>
          <cell r="T24">
            <v>45894</v>
          </cell>
          <cell r="U24">
            <v>45946</v>
          </cell>
        </row>
        <row r="25">
          <cell r="B25" t="str">
            <v>17118820-2</v>
          </cell>
          <cell r="C25" t="str">
            <v>FERNANDEZ CASTILLO CLAUDIO ANDRES</v>
          </cell>
          <cell r="D25" t="str">
            <v>A</v>
          </cell>
          <cell r="E25" t="str">
            <v>M</v>
          </cell>
          <cell r="F25" t="str">
            <v>ADMINISTRATIVA/O DE FAENA</v>
          </cell>
          <cell r="G25" t="str">
            <v>HIJUELAS</v>
          </cell>
          <cell r="H25" t="str">
            <v>1 años, 2 meses, 28 días</v>
          </cell>
          <cell r="I25">
            <v>56999603092</v>
          </cell>
          <cell r="J25">
            <v>32493</v>
          </cell>
          <cell r="K25" t="str">
            <v>Si</v>
          </cell>
          <cell r="L25" t="str">
            <v>BANCO DE CHILE</v>
          </cell>
          <cell r="M25" t="str">
            <v>1371042305</v>
          </cell>
          <cell r="N25" t="str">
            <v>c16fernandez@gmail.com</v>
          </cell>
          <cell r="O25">
            <v>45636</v>
          </cell>
          <cell r="P25">
            <v>45731</v>
          </cell>
          <cell r="Q25" t="str">
            <v>Indefinido</v>
          </cell>
          <cell r="R25" t="str">
            <v>Indefinido</v>
          </cell>
          <cell r="S25" t="str">
            <v>Indefinido</v>
          </cell>
          <cell r="T25">
            <v>45684</v>
          </cell>
          <cell r="U25">
            <v>45691</v>
          </cell>
        </row>
        <row r="26">
          <cell r="B26" t="str">
            <v>19214178-8</v>
          </cell>
          <cell r="C26" t="str">
            <v>GAETE PAZ GERARDO ANTONIO</v>
          </cell>
          <cell r="D26" t="str">
            <v>A</v>
          </cell>
          <cell r="E26" t="str">
            <v>M</v>
          </cell>
          <cell r="F26" t="str">
            <v>AYUDANTE DE PERFORISTA</v>
          </cell>
          <cell r="G26" t="str">
            <v>LA CALERA</v>
          </cell>
          <cell r="H26" t="str">
            <v>7 meses, 0 días</v>
          </cell>
          <cell r="I26">
            <v>56999089218</v>
          </cell>
          <cell r="J26">
            <v>35106</v>
          </cell>
          <cell r="L26" t="str">
            <v>BANCO FALABELLA</v>
          </cell>
          <cell r="M26" t="str">
            <v>19997799953</v>
          </cell>
          <cell r="N26" t="str">
            <v>ggaetepaz@gmail.com</v>
          </cell>
          <cell r="O26">
            <v>45876</v>
          </cell>
          <cell r="P26">
            <v>45915</v>
          </cell>
          <cell r="Q26">
            <v>45976</v>
          </cell>
          <cell r="R26" t="str">
            <v>Indefinido</v>
          </cell>
          <cell r="S26" t="str">
            <v>Indefinido</v>
          </cell>
          <cell r="T26">
            <v>45876</v>
          </cell>
          <cell r="U26">
            <v>45925</v>
          </cell>
        </row>
        <row r="27">
          <cell r="B27" t="str">
            <v>16892590-5</v>
          </cell>
          <cell r="C27" t="str">
            <v>GALLEGUILLOS DIAZ ERIC ALFONSO</v>
          </cell>
          <cell r="D27" t="str">
            <v>A</v>
          </cell>
          <cell r="E27" t="str">
            <v>M</v>
          </cell>
          <cell r="F27" t="str">
            <v>AYUDANTE DE PERFORISTA</v>
          </cell>
          <cell r="G27" t="str">
            <v>COQUIMBO</v>
          </cell>
          <cell r="H27" t="str">
            <v>17 días</v>
          </cell>
          <cell r="I27">
            <v>56966532873</v>
          </cell>
          <cell r="J27">
            <v>32310</v>
          </cell>
          <cell r="K27" t="str">
            <v>Si</v>
          </cell>
          <cell r="L27" t="str">
            <v>BANCO FALABELLA</v>
          </cell>
          <cell r="M27" t="str">
            <v>19812214073</v>
          </cell>
          <cell r="N27" t="str">
            <v>fune_125@hotmail.com</v>
          </cell>
          <cell r="O27">
            <v>45737</v>
          </cell>
          <cell r="P27">
            <v>45777</v>
          </cell>
          <cell r="Q27">
            <v>45838</v>
          </cell>
          <cell r="R27" t="str">
            <v>Indefinido</v>
          </cell>
          <cell r="S27" t="str">
            <v>Indefinido</v>
          </cell>
          <cell r="T27">
            <v>45737</v>
          </cell>
          <cell r="U27">
            <v>45746</v>
          </cell>
        </row>
        <row r="28">
          <cell r="B28" t="str">
            <v>17293946-5</v>
          </cell>
          <cell r="C28" t="str">
            <v xml:space="preserve">GONZALEZ JERALDO HAMIR ALONSO </v>
          </cell>
          <cell r="D28" t="str">
            <v>A</v>
          </cell>
          <cell r="E28" t="str">
            <v>M</v>
          </cell>
          <cell r="F28" t="str">
            <v>PERFORISTA</v>
          </cell>
          <cell r="G28" t="str">
            <v>COQUIMBO</v>
          </cell>
          <cell r="H28" t="str">
            <v>27 días</v>
          </cell>
          <cell r="I28">
            <v>56977665879</v>
          </cell>
          <cell r="J28">
            <v>32736</v>
          </cell>
          <cell r="K28" t="str">
            <v>Si</v>
          </cell>
          <cell r="L28" t="str">
            <v>BANCO FALABELLA</v>
          </cell>
          <cell r="M28" t="str">
            <v>10013639147</v>
          </cell>
          <cell r="N28" t="str">
            <v>hamir.1989_gonzalez@hotmail.com</v>
          </cell>
          <cell r="O28">
            <v>45727</v>
          </cell>
          <cell r="P28">
            <v>45762</v>
          </cell>
          <cell r="Q28">
            <v>45823</v>
          </cell>
          <cell r="R28" t="str">
            <v>Indefinido</v>
          </cell>
          <cell r="S28" t="str">
            <v>Indefinido</v>
          </cell>
          <cell r="T28">
            <v>45727</v>
          </cell>
          <cell r="U28">
            <v>45756</v>
          </cell>
        </row>
        <row r="29">
          <cell r="B29" t="str">
            <v>13972659-6</v>
          </cell>
          <cell r="C29" t="str">
            <v>GONZALEZ PIZARRO ALEXI ALBERTO</v>
          </cell>
          <cell r="D29" t="str">
            <v>A</v>
          </cell>
          <cell r="E29" t="str">
            <v>M</v>
          </cell>
          <cell r="F29" t="str">
            <v>AYUDANTE DE PERFORISTA</v>
          </cell>
          <cell r="G29" t="str">
            <v>LA SERENA</v>
          </cell>
          <cell r="H29" t="str">
            <v>1 años, 4 meses, 23 días</v>
          </cell>
          <cell r="I29">
            <v>56985143983</v>
          </cell>
          <cell r="J29">
            <v>29615</v>
          </cell>
          <cell r="K29" t="str">
            <v>Si</v>
          </cell>
          <cell r="L29" t="str">
            <v>SANTANDER</v>
          </cell>
          <cell r="M29" t="str">
            <v>65502674</v>
          </cell>
          <cell r="N29" t="str">
            <v>alexigp34@gmail.com</v>
          </cell>
          <cell r="O29">
            <v>45580</v>
          </cell>
          <cell r="P29" t="str">
            <v>Indefinido</v>
          </cell>
          <cell r="Q29" t="str">
            <v>Indefinido</v>
          </cell>
          <cell r="R29" t="str">
            <v>Indefinido</v>
          </cell>
          <cell r="S29" t="str">
            <v>Indefinido</v>
          </cell>
          <cell r="T29">
            <v>45580</v>
          </cell>
          <cell r="U29">
            <v>45627</v>
          </cell>
        </row>
        <row r="30">
          <cell r="B30" t="str">
            <v>17827549-6</v>
          </cell>
          <cell r="C30" t="str">
            <v>GONZALEZ ROMERO JUAN EDUARDO</v>
          </cell>
          <cell r="D30" t="str">
            <v>A</v>
          </cell>
          <cell r="E30" t="str">
            <v>M</v>
          </cell>
          <cell r="F30" t="str">
            <v>AYUDANTE DE PERFORISTA</v>
          </cell>
          <cell r="G30" t="str">
            <v>LA SERENA</v>
          </cell>
          <cell r="H30" t="str">
            <v>1 años, 16 días</v>
          </cell>
          <cell r="I30">
            <v>56958405155</v>
          </cell>
          <cell r="J30">
            <v>33234</v>
          </cell>
          <cell r="K30" t="str">
            <v>Si</v>
          </cell>
          <cell r="L30" t="str">
            <v>BCI</v>
          </cell>
          <cell r="M30" t="str">
            <v>777917827549</v>
          </cell>
          <cell r="N30" t="str">
            <v>juangonzalezromero222@gmail.com</v>
          </cell>
          <cell r="O30">
            <v>45707</v>
          </cell>
          <cell r="P30">
            <v>45747</v>
          </cell>
          <cell r="Q30">
            <v>45808</v>
          </cell>
          <cell r="R30" t="str">
            <v>Indefinido</v>
          </cell>
          <cell r="S30" t="str">
            <v>Indefinido</v>
          </cell>
          <cell r="T30">
            <v>45707</v>
          </cell>
          <cell r="U30">
            <v>45726</v>
          </cell>
        </row>
        <row r="31">
          <cell r="B31" t="str">
            <v>14128763-K</v>
          </cell>
          <cell r="C31" t="str">
            <v>GUERRA CUBILLOS JORGE ANDRES</v>
          </cell>
          <cell r="D31" t="str">
            <v>A</v>
          </cell>
          <cell r="E31" t="str">
            <v>M</v>
          </cell>
          <cell r="F31" t="str">
            <v>SUPERVISOR DE OPERACIONES</v>
          </cell>
          <cell r="G31" t="str">
            <v>SANTIAGO</v>
          </cell>
          <cell r="H31" t="str">
            <v>6 meses, 26 días</v>
          </cell>
          <cell r="I31">
            <v>56932004100</v>
          </cell>
          <cell r="J31">
            <v>29830</v>
          </cell>
          <cell r="L31" t="str">
            <v>SANTANDER</v>
          </cell>
          <cell r="M31" t="str">
            <v>7058140435</v>
          </cell>
          <cell r="N31" t="str">
            <v>jguerracubillos@gmail.com</v>
          </cell>
          <cell r="O31">
            <v>45881</v>
          </cell>
          <cell r="P31">
            <v>45915</v>
          </cell>
          <cell r="Q31">
            <v>45976</v>
          </cell>
          <cell r="R31" t="str">
            <v>Indefinido</v>
          </cell>
          <cell r="S31" t="str">
            <v>Indefinido</v>
          </cell>
          <cell r="T31">
            <v>45881</v>
          </cell>
          <cell r="U31">
            <v>45916</v>
          </cell>
        </row>
        <row r="32">
          <cell r="B32" t="str">
            <v>13424843-2</v>
          </cell>
          <cell r="C32" t="str">
            <v>ITER LAZO JOAN ALEJANDRO</v>
          </cell>
          <cell r="D32" t="str">
            <v>A</v>
          </cell>
          <cell r="E32" t="str">
            <v>M</v>
          </cell>
          <cell r="F32" t="str">
            <v>AYUDANTE DE PERFORISTA</v>
          </cell>
          <cell r="G32" t="str">
            <v>VICUÑA</v>
          </cell>
          <cell r="H32" t="str">
            <v>7 meses, 2 días</v>
          </cell>
          <cell r="I32">
            <v>56941250029</v>
          </cell>
          <cell r="J32">
            <v>28666</v>
          </cell>
          <cell r="L32" t="str">
            <v>BCI</v>
          </cell>
          <cell r="M32" t="str">
            <v>50391411</v>
          </cell>
          <cell r="N32" t="str">
            <v>iter_alaniz@hotmail.com</v>
          </cell>
          <cell r="O32">
            <v>45874</v>
          </cell>
          <cell r="P32">
            <v>45915</v>
          </cell>
          <cell r="Q32">
            <v>45976</v>
          </cell>
          <cell r="R32" t="str">
            <v>Indefinido</v>
          </cell>
          <cell r="S32" t="str">
            <v>Indefinido</v>
          </cell>
          <cell r="T32">
            <v>45874</v>
          </cell>
          <cell r="U32">
            <v>45925</v>
          </cell>
        </row>
        <row r="33">
          <cell r="B33" t="str">
            <v>17294242-3</v>
          </cell>
          <cell r="C33" t="str">
            <v>JERALDO CORTES DANIEL EDUARDO</v>
          </cell>
          <cell r="D33" t="str">
            <v>A</v>
          </cell>
          <cell r="E33" t="str">
            <v>M</v>
          </cell>
          <cell r="F33" t="str">
            <v>PERFORISTA</v>
          </cell>
          <cell r="G33" t="str">
            <v>LA SERENA</v>
          </cell>
          <cell r="H33" t="str">
            <v>1 años, 4 meses, 6 días</v>
          </cell>
          <cell r="I33">
            <v>56996327947</v>
          </cell>
          <cell r="J33">
            <v>32776</v>
          </cell>
          <cell r="K33" t="str">
            <v>Si</v>
          </cell>
          <cell r="L33" t="str">
            <v>BANCO FALABELLA</v>
          </cell>
          <cell r="M33" t="str">
            <v>10300165785</v>
          </cell>
          <cell r="N33" t="str">
            <v>danielpsx230@gmail.com</v>
          </cell>
          <cell r="O33">
            <v>45597</v>
          </cell>
          <cell r="P33" t="str">
            <v>Indefinido</v>
          </cell>
          <cell r="Q33" t="str">
            <v>Indefinido</v>
          </cell>
          <cell r="R33" t="str">
            <v>Indefinido</v>
          </cell>
          <cell r="S33" t="str">
            <v>Indefinido</v>
          </cell>
          <cell r="T33">
            <v>45597</v>
          </cell>
          <cell r="U33">
            <v>45646</v>
          </cell>
        </row>
        <row r="34">
          <cell r="B34" t="str">
            <v>17294428-0</v>
          </cell>
          <cell r="C34" t="str">
            <v>JIMENEZ VEGA  LUIS RENATO DE JESUS</v>
          </cell>
          <cell r="D34" t="str">
            <v>A</v>
          </cell>
          <cell r="E34" t="str">
            <v>M</v>
          </cell>
          <cell r="F34" t="str">
            <v>CHOFER</v>
          </cell>
          <cell r="G34" t="str">
            <v>LA SERENA</v>
          </cell>
          <cell r="H34" t="str">
            <v>9 meses, 22 días</v>
          </cell>
          <cell r="I34">
            <v>56977697722</v>
          </cell>
          <cell r="J34">
            <v>32782</v>
          </cell>
          <cell r="K34" t="str">
            <v>Si</v>
          </cell>
          <cell r="L34" t="str">
            <v>BCI</v>
          </cell>
          <cell r="M34" t="str">
            <v>85371131</v>
          </cell>
          <cell r="N34" t="str">
            <v>rhenato2036@gmail.com</v>
          </cell>
          <cell r="O34">
            <v>45793</v>
          </cell>
          <cell r="P34">
            <v>45838</v>
          </cell>
          <cell r="Q34">
            <v>45900</v>
          </cell>
          <cell r="R34" t="str">
            <v>Indefinido</v>
          </cell>
          <cell r="S34" t="str">
            <v>Indefinido</v>
          </cell>
          <cell r="T34">
            <v>45793</v>
          </cell>
          <cell r="U34">
            <v>45804</v>
          </cell>
        </row>
        <row r="35">
          <cell r="B35" t="str">
            <v>12115176-6</v>
          </cell>
          <cell r="C35" t="str">
            <v>LEIVA LEIVA FRANCISCO JAVIER</v>
          </cell>
          <cell r="D35" t="str">
            <v>A</v>
          </cell>
          <cell r="E35" t="str">
            <v>M</v>
          </cell>
          <cell r="F35" t="str">
            <v>PERFORISTA</v>
          </cell>
          <cell r="G35" t="str">
            <v>OVALLE</v>
          </cell>
          <cell r="H35" t="str">
            <v>1 años, 4 meses, 23 días</v>
          </cell>
          <cell r="I35">
            <v>56999676649</v>
          </cell>
          <cell r="J35">
            <v>29545</v>
          </cell>
          <cell r="K35" t="str">
            <v>Si</v>
          </cell>
          <cell r="L35" t="str">
            <v>COOPEUCH</v>
          </cell>
          <cell r="M35" t="str">
            <v>211029503</v>
          </cell>
          <cell r="N35" t="str">
            <v>fco_leiva2011@hotmail.com</v>
          </cell>
          <cell r="O35">
            <v>45580</v>
          </cell>
          <cell r="P35" t="str">
            <v>Indefinido</v>
          </cell>
          <cell r="Q35" t="str">
            <v>Indefinido</v>
          </cell>
          <cell r="R35" t="str">
            <v>Indefinido</v>
          </cell>
          <cell r="S35" t="str">
            <v>Indefinido</v>
          </cell>
          <cell r="T35">
            <v>45580</v>
          </cell>
          <cell r="U35">
            <v>45628</v>
          </cell>
        </row>
        <row r="36">
          <cell r="B36" t="str">
            <v>16892086-5</v>
          </cell>
          <cell r="C36" t="str">
            <v>LISAMBARTH CARABANTES MANUEL ANDRES</v>
          </cell>
          <cell r="D36" t="str">
            <v>A</v>
          </cell>
          <cell r="E36" t="str">
            <v>M</v>
          </cell>
          <cell r="F36" t="str">
            <v>ADMINISTRATIVA/O DE FAENA</v>
          </cell>
          <cell r="G36" t="str">
            <v>COQUIMBO</v>
          </cell>
          <cell r="H36" t="str">
            <v>1 años, 4 meses, 2 días</v>
          </cell>
          <cell r="I36">
            <v>56987530375</v>
          </cell>
          <cell r="J36">
            <v>32220</v>
          </cell>
          <cell r="K36" t="str">
            <v>Si</v>
          </cell>
          <cell r="L36" t="str">
            <v>SANTANDER</v>
          </cell>
          <cell r="M36" t="str">
            <v>000082177450</v>
          </cell>
          <cell r="N36" t="str">
            <v>andres.lisambarth88@gmail.com</v>
          </cell>
          <cell r="O36">
            <v>45601</v>
          </cell>
          <cell r="P36">
            <v>45703</v>
          </cell>
          <cell r="Q36" t="str">
            <v>Indefinido</v>
          </cell>
          <cell r="R36" t="str">
            <v>Indefinido</v>
          </cell>
          <cell r="S36" t="str">
            <v>Indefinido</v>
          </cell>
          <cell r="T36">
            <v>45601</v>
          </cell>
          <cell r="U36">
            <v>45627</v>
          </cell>
        </row>
        <row r="37">
          <cell r="B37" t="str">
            <v>17169171-0</v>
          </cell>
          <cell r="C37" t="str">
            <v>LOPEZ OLAVE LUIS GERARDO</v>
          </cell>
          <cell r="D37" t="str">
            <v>A</v>
          </cell>
          <cell r="E37" t="str">
            <v>M</v>
          </cell>
          <cell r="F37" t="str">
            <v xml:space="preserve">MECANICO </v>
          </cell>
          <cell r="G37" t="str">
            <v>SANTIAGO</v>
          </cell>
          <cell r="H37" t="str">
            <v>1 años, 4 meses, 24 días</v>
          </cell>
          <cell r="I37">
            <v>56993496560</v>
          </cell>
          <cell r="J37">
            <v>32693</v>
          </cell>
          <cell r="K37" t="str">
            <v>Si</v>
          </cell>
          <cell r="L37" t="str">
            <v>BCI</v>
          </cell>
          <cell r="M37" t="str">
            <v>32760892</v>
          </cell>
          <cell r="N37" t="str">
            <v>lopezolaveluis.89@hotmail.com</v>
          </cell>
          <cell r="O37">
            <v>45579</v>
          </cell>
          <cell r="P37">
            <v>45672</v>
          </cell>
          <cell r="Q37" t="str">
            <v>Indefinido</v>
          </cell>
          <cell r="R37" t="str">
            <v>Indefinido</v>
          </cell>
          <cell r="S37" t="str">
            <v>Indefinido</v>
          </cell>
          <cell r="T37">
            <v>45737</v>
          </cell>
          <cell r="U37">
            <v>45746</v>
          </cell>
        </row>
        <row r="38">
          <cell r="B38" t="str">
            <v>18688482-5</v>
          </cell>
          <cell r="C38" t="str">
            <v>LORCA SANCHEZ LUIS DAVID</v>
          </cell>
          <cell r="D38" t="str">
            <v>A</v>
          </cell>
          <cell r="E38" t="str">
            <v>M</v>
          </cell>
          <cell r="F38" t="str">
            <v xml:space="preserve">PREVENCIONISTA </v>
          </cell>
          <cell r="G38" t="str">
            <v>OVALLE</v>
          </cell>
          <cell r="H38" t="str">
            <v>5 meses, 25 días</v>
          </cell>
          <cell r="I38">
            <v>56991847167</v>
          </cell>
          <cell r="J38">
            <v>34401</v>
          </cell>
          <cell r="N38" t="str">
            <v>LLORCA885@GMAIL.COM</v>
          </cell>
          <cell r="O38">
            <v>45912</v>
          </cell>
          <cell r="P38">
            <v>46006</v>
          </cell>
          <cell r="Q38" t="str">
            <v>Indefinido</v>
          </cell>
          <cell r="R38" t="str">
            <v>Indefinido</v>
          </cell>
          <cell r="S38" t="str">
            <v>Indefinido</v>
          </cell>
          <cell r="T38">
            <v>45916</v>
          </cell>
          <cell r="U38">
            <v>46069</v>
          </cell>
        </row>
        <row r="39">
          <cell r="B39" t="str">
            <v>18633143-5</v>
          </cell>
          <cell r="C39" t="str">
            <v>MALDONADO MONDACA CRISTOFER JESUS</v>
          </cell>
          <cell r="D39" t="str">
            <v>A</v>
          </cell>
          <cell r="E39" t="str">
            <v>M</v>
          </cell>
          <cell r="F39" t="str">
            <v>CHOFER</v>
          </cell>
          <cell r="G39" t="str">
            <v>QUILLOTA</v>
          </cell>
          <cell r="H39" t="str">
            <v>1 meses, 26 días</v>
          </cell>
          <cell r="I39">
            <v>56961943941</v>
          </cell>
          <cell r="J39">
            <v>34424</v>
          </cell>
          <cell r="N39" t="str">
            <v>cristofermaldonado033@hotmail.com</v>
          </cell>
          <cell r="O39">
            <v>46034</v>
          </cell>
          <cell r="P39">
            <v>46068</v>
          </cell>
          <cell r="Q39">
            <v>46127</v>
          </cell>
          <cell r="R39" t="str">
            <v>Plazo fijo</v>
          </cell>
          <cell r="S39" t="str">
            <v>Plazo fijo</v>
          </cell>
          <cell r="T39">
            <v>46034</v>
          </cell>
          <cell r="U39">
            <v>46063</v>
          </cell>
        </row>
        <row r="40">
          <cell r="B40" t="str">
            <v>17818652-3</v>
          </cell>
          <cell r="C40" t="str">
            <v>MILLA PALACIOS JAVIER ANDRES</v>
          </cell>
          <cell r="D40" t="str">
            <v>A</v>
          </cell>
          <cell r="E40" t="str">
            <v>M</v>
          </cell>
          <cell r="F40" t="str">
            <v>PERFORISTA</v>
          </cell>
          <cell r="G40" t="str">
            <v>LA SERENA</v>
          </cell>
          <cell r="H40" t="str">
            <v>1 años, 3 meses, 27 días</v>
          </cell>
          <cell r="I40">
            <v>56929338866</v>
          </cell>
          <cell r="J40">
            <v>26060</v>
          </cell>
          <cell r="K40" t="str">
            <v>Si</v>
          </cell>
          <cell r="L40" t="str">
            <v>Mercado Pago Emisora</v>
          </cell>
          <cell r="M40" t="str">
            <v>1056192673</v>
          </cell>
          <cell r="N40" t="str">
            <v>javier.milla.palacios91@gmail.com</v>
          </cell>
          <cell r="O40">
            <v>45606</v>
          </cell>
          <cell r="P40">
            <v>45703</v>
          </cell>
          <cell r="Q40" t="str">
            <v>Indefinido</v>
          </cell>
          <cell r="R40" t="str">
            <v>Indefinido</v>
          </cell>
          <cell r="S40" t="str">
            <v>Indefinido</v>
          </cell>
          <cell r="T40">
            <v>45606</v>
          </cell>
          <cell r="U40">
            <v>45646</v>
          </cell>
        </row>
        <row r="41">
          <cell r="B41" t="str">
            <v>25606451-0</v>
          </cell>
          <cell r="C41" t="str">
            <v>MUJICA  MENDEZ ENDER ALEXANDER</v>
          </cell>
          <cell r="D41" t="str">
            <v>A</v>
          </cell>
          <cell r="E41" t="str">
            <v>M</v>
          </cell>
          <cell r="F41" t="str">
            <v>AYUDANTE DE PERFORISTA</v>
          </cell>
          <cell r="G41" t="str">
            <v>SANTIAGO</v>
          </cell>
          <cell r="H41" t="str">
            <v>1 años, 4 meses, 20 días</v>
          </cell>
          <cell r="I41">
            <v>56999675901</v>
          </cell>
          <cell r="J41">
            <v>33875</v>
          </cell>
          <cell r="K41" t="str">
            <v>Si</v>
          </cell>
          <cell r="L41" t="str">
            <v>BCI</v>
          </cell>
          <cell r="M41" t="str">
            <v>72847832</v>
          </cell>
          <cell r="N41" t="str">
            <v>emujica09@gmail.com</v>
          </cell>
          <cell r="O41">
            <v>45583</v>
          </cell>
          <cell r="P41" t="str">
            <v>Indefinido</v>
          </cell>
          <cell r="Q41" t="str">
            <v>Indefinido</v>
          </cell>
          <cell r="R41" t="str">
            <v>Indefinido</v>
          </cell>
          <cell r="S41" t="str">
            <v>Indefinido</v>
          </cell>
          <cell r="T41">
            <v>45583</v>
          </cell>
          <cell r="U41">
            <v>45646</v>
          </cell>
        </row>
        <row r="42">
          <cell r="B42" t="str">
            <v>13533794-3</v>
          </cell>
          <cell r="C42" t="str">
            <v>MUÑOZ PORTILLA CRISTIAN GUMERCINDO</v>
          </cell>
          <cell r="D42" t="str">
            <v>A</v>
          </cell>
          <cell r="E42" t="str">
            <v>M</v>
          </cell>
          <cell r="F42" t="str">
            <v>SOLDADOR</v>
          </cell>
          <cell r="G42" t="str">
            <v>LA SERENA</v>
          </cell>
          <cell r="H42" t="str">
            <v>5 meses, 21 días</v>
          </cell>
          <cell r="I42">
            <v>56982767080</v>
          </cell>
          <cell r="J42">
            <v>28973</v>
          </cell>
          <cell r="L42" t="e">
            <v>#N/A</v>
          </cell>
          <cell r="M42" t="e">
            <v>#N/A</v>
          </cell>
          <cell r="N42" t="str">
            <v>cristianmunozportilla28@gmail.com</v>
          </cell>
          <cell r="O42">
            <v>45916</v>
          </cell>
          <cell r="P42">
            <v>45961</v>
          </cell>
          <cell r="Q42">
            <v>46022</v>
          </cell>
          <cell r="R42" t="str">
            <v>Plazo fijo</v>
          </cell>
          <cell r="S42" t="str">
            <v>Plazo fijo</v>
          </cell>
          <cell r="T42">
            <v>45932</v>
          </cell>
          <cell r="U42">
            <v>45946</v>
          </cell>
        </row>
        <row r="43">
          <cell r="B43" t="str">
            <v>15831074-0</v>
          </cell>
          <cell r="C43" t="str">
            <v>NAETER QUIROZ ESTEFANIA CONSTANZA</v>
          </cell>
          <cell r="D43" t="str">
            <v>A</v>
          </cell>
          <cell r="E43" t="str">
            <v>F</v>
          </cell>
          <cell r="F43" t="str">
            <v>CHOFER TRADUCTOR</v>
          </cell>
          <cell r="G43" t="str">
            <v>LIMACHE</v>
          </cell>
          <cell r="H43" t="str">
            <v>3 meses, 18 días</v>
          </cell>
          <cell r="I43">
            <v>56991405748</v>
          </cell>
          <cell r="J43">
            <v>31044</v>
          </cell>
          <cell r="N43" t="str">
            <v>estefa.naeter@gmail.com</v>
          </cell>
          <cell r="O43">
            <v>45980</v>
          </cell>
          <cell r="P43">
            <v>46022</v>
          </cell>
          <cell r="Q43">
            <v>46081</v>
          </cell>
          <cell r="R43" t="str">
            <v>Plazo fijo</v>
          </cell>
          <cell r="S43" t="str">
            <v>Plazo fijo</v>
          </cell>
          <cell r="T43">
            <v>45980</v>
          </cell>
          <cell r="U43">
            <v>46049</v>
          </cell>
        </row>
        <row r="44">
          <cell r="B44" t="str">
            <v>14310737-K</v>
          </cell>
          <cell r="C44" t="str">
            <v>NARANJO ACUÑA PEDRO GABRIEL</v>
          </cell>
          <cell r="D44" t="str">
            <v>A</v>
          </cell>
          <cell r="E44" t="str">
            <v>M</v>
          </cell>
          <cell r="F44" t="str">
            <v xml:space="preserve">MECANICO </v>
          </cell>
          <cell r="G44" t="str">
            <v>LA SERENA</v>
          </cell>
          <cell r="H44" t="str">
            <v>1 años, 3 días</v>
          </cell>
          <cell r="I44">
            <v>56984343252</v>
          </cell>
          <cell r="J44">
            <v>27887</v>
          </cell>
          <cell r="K44" t="str">
            <v>Parcialmente</v>
          </cell>
          <cell r="L44" t="str">
            <v>BANCOESTADO</v>
          </cell>
          <cell r="M44" t="str">
            <v>14310737</v>
          </cell>
          <cell r="N44" t="str">
            <v>gabriel.naranjoacuna@gmail.com</v>
          </cell>
          <cell r="O44">
            <v>45720</v>
          </cell>
          <cell r="P44">
            <v>45762</v>
          </cell>
          <cell r="Q44">
            <v>45823</v>
          </cell>
          <cell r="R44" t="str">
            <v>Indefinido</v>
          </cell>
          <cell r="S44" t="str">
            <v>Indefinido</v>
          </cell>
          <cell r="T44">
            <v>45720</v>
          </cell>
          <cell r="U44">
            <v>45728</v>
          </cell>
        </row>
        <row r="45">
          <cell r="B45" t="str">
            <v>17713235-7</v>
          </cell>
          <cell r="C45" t="str">
            <v>NETTLE MALUENDA JAMIS ALONSO</v>
          </cell>
          <cell r="D45" t="str">
            <v>A</v>
          </cell>
          <cell r="E45" t="str">
            <v>M</v>
          </cell>
          <cell r="F45" t="str">
            <v>PERFORISTA</v>
          </cell>
          <cell r="G45" t="str">
            <v>PUNITAQUI</v>
          </cell>
          <cell r="H45" t="str">
            <v>1 años, 4 meses, 2 días</v>
          </cell>
          <cell r="I45">
            <v>56931285474</v>
          </cell>
          <cell r="J45">
            <v>33303</v>
          </cell>
          <cell r="K45" t="str">
            <v>Si</v>
          </cell>
          <cell r="L45" t="str">
            <v>BANCO DE CHILE</v>
          </cell>
          <cell r="M45" t="str">
            <v>000102120069</v>
          </cell>
          <cell r="N45" t="str">
            <v>manara_cr7.308@hotmail.com</v>
          </cell>
          <cell r="O45">
            <v>45601</v>
          </cell>
          <cell r="P45">
            <v>45703</v>
          </cell>
          <cell r="Q45" t="str">
            <v>Indefinido</v>
          </cell>
          <cell r="R45" t="str">
            <v>Indefinido</v>
          </cell>
          <cell r="S45" t="str">
            <v>Indefinido</v>
          </cell>
          <cell r="T45">
            <v>45601</v>
          </cell>
          <cell r="U45">
            <v>45666</v>
          </cell>
        </row>
        <row r="46">
          <cell r="B46" t="str">
            <v>20111998-7</v>
          </cell>
          <cell r="C46" t="str">
            <v>NOVOA TORO BORIS ALEXIS</v>
          </cell>
          <cell r="D46" t="str">
            <v>A</v>
          </cell>
          <cell r="E46" t="str">
            <v>M</v>
          </cell>
          <cell r="F46" t="str">
            <v>AYUDANTE DE PERFORISTA</v>
          </cell>
          <cell r="G46" t="str">
            <v>CHILLAN</v>
          </cell>
          <cell r="H46" t="str">
            <v>8 meses, 4 días</v>
          </cell>
          <cell r="I46">
            <v>56923706808</v>
          </cell>
          <cell r="J46">
            <v>36243</v>
          </cell>
          <cell r="N46" t="str">
            <v>novoa.toro.boris.alexis@gmail.com</v>
          </cell>
          <cell r="O46">
            <v>45841</v>
          </cell>
          <cell r="P46">
            <v>45884</v>
          </cell>
          <cell r="Q46">
            <v>45945</v>
          </cell>
          <cell r="R46" t="str">
            <v>Indefinido</v>
          </cell>
          <cell r="S46" t="str">
            <v>Indefinido</v>
          </cell>
          <cell r="T46">
            <v>45943</v>
          </cell>
          <cell r="U46">
            <v>45966</v>
          </cell>
        </row>
        <row r="47">
          <cell r="B47" t="str">
            <v>13176765-K</v>
          </cell>
          <cell r="C47" t="str">
            <v>OLIVARES ALVAREZ PEDRO OCTAVIO</v>
          </cell>
          <cell r="D47" t="str">
            <v>A</v>
          </cell>
          <cell r="E47" t="str">
            <v>M</v>
          </cell>
          <cell r="F47" t="str">
            <v>PERFORISTA</v>
          </cell>
          <cell r="G47" t="str">
            <v>COQUIMBO</v>
          </cell>
          <cell r="H47" t="str">
            <v>1 años, 5 meses, 6 días</v>
          </cell>
          <cell r="I47">
            <v>56988232739</v>
          </cell>
          <cell r="J47">
            <v>28163</v>
          </cell>
          <cell r="K47" t="str">
            <v>Si</v>
          </cell>
          <cell r="L47" t="str">
            <v>BANCOESTADO</v>
          </cell>
          <cell r="M47" t="str">
            <v>13176765</v>
          </cell>
          <cell r="N47" t="str">
            <v>p77olivaresa@gmail.com</v>
          </cell>
          <cell r="O47">
            <v>45566</v>
          </cell>
          <cell r="P47" t="str">
            <v>Indefinido</v>
          </cell>
          <cell r="Q47" t="str">
            <v>Indefinido</v>
          </cell>
          <cell r="R47" t="str">
            <v>Indefinido</v>
          </cell>
          <cell r="S47" t="str">
            <v>Indefinido</v>
          </cell>
          <cell r="T47">
            <v>45597</v>
          </cell>
          <cell r="U47">
            <v>45628</v>
          </cell>
        </row>
        <row r="48">
          <cell r="B48" t="str">
            <v>10792747-6</v>
          </cell>
          <cell r="C48" t="str">
            <v>PASTEN GUERRERO GUMERCINDO DEL ROSARIO</v>
          </cell>
          <cell r="D48" t="str">
            <v>A</v>
          </cell>
          <cell r="E48" t="str">
            <v>M</v>
          </cell>
          <cell r="F48" t="str">
            <v>SUPERVISOR DE OPERACIONES</v>
          </cell>
          <cell r="G48" t="str">
            <v>LA SERENA</v>
          </cell>
          <cell r="H48" t="str">
            <v>6 meses, 3 días</v>
          </cell>
          <cell r="I48">
            <v>56979661032</v>
          </cell>
          <cell r="J48">
            <v>25428</v>
          </cell>
          <cell r="L48" t="str">
            <v>BCI</v>
          </cell>
          <cell r="M48" t="str">
            <v>81500670</v>
          </cell>
          <cell r="N48" t="str">
            <v>gumepasten@gmail.com</v>
          </cell>
          <cell r="O48">
            <v>45904</v>
          </cell>
          <cell r="P48">
            <v>45945</v>
          </cell>
          <cell r="Q48">
            <v>46006</v>
          </cell>
          <cell r="R48" t="str">
            <v>Plazo fijo</v>
          </cell>
          <cell r="S48" t="str">
            <v>Plazo fijo</v>
          </cell>
          <cell r="T48">
            <v>45904</v>
          </cell>
          <cell r="U48">
            <v>45936</v>
          </cell>
        </row>
        <row r="49">
          <cell r="B49" t="str">
            <v>21303273-9</v>
          </cell>
          <cell r="C49" t="str">
            <v>PEREZ LORCA VICTOR IGNACIO</v>
          </cell>
          <cell r="D49" t="str">
            <v>A</v>
          </cell>
          <cell r="E49" t="str">
            <v>M</v>
          </cell>
          <cell r="F49" t="str">
            <v>AYUDANTE DE PERFORISTA</v>
          </cell>
          <cell r="G49" t="str">
            <v>LA SERENA</v>
          </cell>
          <cell r="H49" t="str">
            <v>11 meses, 6 días</v>
          </cell>
          <cell r="I49">
            <v>56933016265</v>
          </cell>
          <cell r="J49">
            <v>37758</v>
          </cell>
          <cell r="K49" t="str">
            <v>Si</v>
          </cell>
          <cell r="L49" t="str">
            <v>BANCOESTADO</v>
          </cell>
          <cell r="M49" t="str">
            <v>21303273</v>
          </cell>
          <cell r="N49" t="str">
            <v>victorignacio2323@gmail.com</v>
          </cell>
          <cell r="O49">
            <v>45748</v>
          </cell>
          <cell r="P49">
            <v>45777</v>
          </cell>
          <cell r="Q49">
            <v>45838</v>
          </cell>
          <cell r="R49" t="str">
            <v>Indefinido</v>
          </cell>
          <cell r="S49" t="str">
            <v>Indefinido</v>
          </cell>
          <cell r="T49">
            <v>45748</v>
          </cell>
          <cell r="U49">
            <v>45754</v>
          </cell>
        </row>
        <row r="50">
          <cell r="B50" t="str">
            <v>16687524-2</v>
          </cell>
          <cell r="C50" t="str">
            <v>PIZARRO CASTILLO FRANCISCO JAVIER</v>
          </cell>
          <cell r="D50" t="str">
            <v>A</v>
          </cell>
          <cell r="E50" t="str">
            <v>M</v>
          </cell>
          <cell r="F50" t="str">
            <v>AYUDANTE DE PERFORISTA</v>
          </cell>
          <cell r="G50" t="str">
            <v>LA SERENA</v>
          </cell>
          <cell r="H50" t="str">
            <v>4 meses, 2 días</v>
          </cell>
          <cell r="I50">
            <v>56940449614</v>
          </cell>
          <cell r="J50">
            <v>32069</v>
          </cell>
          <cell r="N50" t="str">
            <v>fcop113@gmail.com</v>
          </cell>
          <cell r="O50">
            <v>45966</v>
          </cell>
          <cell r="P50">
            <v>46006</v>
          </cell>
          <cell r="R50" t="str">
            <v>Plazo fijo</v>
          </cell>
          <cell r="S50" t="str">
            <v>Plazo fijo</v>
          </cell>
          <cell r="T50">
            <v>45966</v>
          </cell>
          <cell r="U50">
            <v>45986</v>
          </cell>
        </row>
        <row r="51">
          <cell r="B51" t="str">
            <v>19460207-3</v>
          </cell>
          <cell r="C51" t="str">
            <v>POBLETE KUHNE PABLO LUCAS</v>
          </cell>
          <cell r="D51" t="str">
            <v>A</v>
          </cell>
          <cell r="E51" t="str">
            <v>M</v>
          </cell>
          <cell r="F51" t="str">
            <v>CHOFER</v>
          </cell>
          <cell r="G51" t="str">
            <v>COQUIMBO</v>
          </cell>
          <cell r="H51" t="str">
            <v>7 meses, 29 días</v>
          </cell>
          <cell r="I51">
            <v>56931832236</v>
          </cell>
          <cell r="J51">
            <v>35695</v>
          </cell>
          <cell r="K51" t="str">
            <v>Si</v>
          </cell>
          <cell r="L51" t="str">
            <v>BANCOESTADO</v>
          </cell>
          <cell r="M51" t="str">
            <v>19460207</v>
          </cell>
          <cell r="N51" t="str">
            <v>pablolucaspobletekuhne@gmail.com</v>
          </cell>
          <cell r="O51">
            <v>45847</v>
          </cell>
          <cell r="P51">
            <v>45884</v>
          </cell>
          <cell r="Q51">
            <v>45945</v>
          </cell>
          <cell r="R51" t="str">
            <v>Indefinido</v>
          </cell>
          <cell r="S51" t="str">
            <v>Indefinido</v>
          </cell>
          <cell r="T51">
            <v>45847</v>
          </cell>
          <cell r="U51">
            <v>45876</v>
          </cell>
        </row>
        <row r="52">
          <cell r="B52" t="str">
            <v>18011716-4</v>
          </cell>
          <cell r="C52" t="str">
            <v>RAMIREZ RAMIREZ RICHARD FABIAN</v>
          </cell>
          <cell r="D52" t="str">
            <v>A</v>
          </cell>
          <cell r="E52" t="str">
            <v>M</v>
          </cell>
          <cell r="F52" t="str">
            <v>AYUDANTE DE PERFORISTA</v>
          </cell>
          <cell r="G52" t="str">
            <v>IQUIQUE</v>
          </cell>
          <cell r="H52" t="str">
            <v>1 años, 4 meses, 6 días</v>
          </cell>
          <cell r="I52">
            <v>56934192743</v>
          </cell>
          <cell r="J52">
            <v>33704</v>
          </cell>
          <cell r="K52" t="str">
            <v>Si</v>
          </cell>
          <cell r="L52" t="str">
            <v>BANCO DE CHILE</v>
          </cell>
          <cell r="M52" t="str">
            <v>3817095</v>
          </cell>
          <cell r="N52" t="str">
            <v>fabianramirez008@gmail.com</v>
          </cell>
          <cell r="O52">
            <v>45597</v>
          </cell>
          <cell r="P52" t="str">
            <v>Indefinido</v>
          </cell>
          <cell r="Q52" t="str">
            <v>Indefinido</v>
          </cell>
          <cell r="R52" t="str">
            <v>Indefinido</v>
          </cell>
          <cell r="S52" t="str">
            <v>Indefinido</v>
          </cell>
          <cell r="T52">
            <v>45597</v>
          </cell>
          <cell r="U52">
            <v>45646</v>
          </cell>
        </row>
        <row r="53">
          <cell r="B53" t="str">
            <v>15412546-9</v>
          </cell>
          <cell r="C53" t="str">
            <v>REYES GONZALEZ ERICK ADOLFO</v>
          </cell>
          <cell r="D53" t="str">
            <v>B</v>
          </cell>
          <cell r="E53" t="str">
            <v>M</v>
          </cell>
          <cell r="F53" t="str">
            <v>MECANICO</v>
          </cell>
          <cell r="G53" t="str">
            <v>SANTIAGO</v>
          </cell>
          <cell r="H53" t="str">
            <v>21 días</v>
          </cell>
          <cell r="I53">
            <v>56920942559</v>
          </cell>
          <cell r="J53">
            <v>30094</v>
          </cell>
          <cell r="K53" t="str">
            <v>Parcialmente</v>
          </cell>
          <cell r="L53" t="str">
            <v>BANCO RIPLEY</v>
          </cell>
          <cell r="M53" t="str">
            <v>4015860414</v>
          </cell>
          <cell r="N53" t="str">
            <v>electromecanico.erickreyes1@gmail.com</v>
          </cell>
          <cell r="O53">
            <v>45733</v>
          </cell>
          <cell r="P53">
            <v>45777</v>
          </cell>
          <cell r="Q53">
            <v>45838</v>
          </cell>
          <cell r="R53" t="str">
            <v>Indefinido</v>
          </cell>
          <cell r="S53" t="str">
            <v>Indefinido</v>
          </cell>
          <cell r="T53">
            <v>45839</v>
          </cell>
          <cell r="U53">
            <v>45847</v>
          </cell>
        </row>
        <row r="54">
          <cell r="B54" t="str">
            <v>17998731-7</v>
          </cell>
          <cell r="C54" t="str">
            <v>RIVERA HERRERA ANGELO PATRICIO</v>
          </cell>
          <cell r="D54" t="str">
            <v>A</v>
          </cell>
          <cell r="E54" t="str">
            <v>M</v>
          </cell>
          <cell r="F54" t="str">
            <v>MECANICO FLOTA</v>
          </cell>
          <cell r="G54" t="str">
            <v>LA SERENA</v>
          </cell>
          <cell r="H54" t="str">
            <v>6 meses, 30 días</v>
          </cell>
          <cell r="I54">
            <v>56952799838</v>
          </cell>
          <cell r="J54">
            <v>33793</v>
          </cell>
          <cell r="L54" t="str">
            <v>BANCO DE CHILE</v>
          </cell>
          <cell r="M54" t="str">
            <v>7080095202</v>
          </cell>
          <cell r="N54" t="str">
            <v>angeloriverah@hmail.com</v>
          </cell>
          <cell r="O54">
            <v>45877</v>
          </cell>
          <cell r="P54">
            <v>45915</v>
          </cell>
          <cell r="Q54">
            <v>45976</v>
          </cell>
          <cell r="R54" t="str">
            <v>Indefinido</v>
          </cell>
          <cell r="S54" t="str">
            <v>Indefinido</v>
          </cell>
          <cell r="T54">
            <v>45877</v>
          </cell>
          <cell r="U54">
            <v>45946</v>
          </cell>
        </row>
        <row r="55">
          <cell r="B55" t="str">
            <v>17605585-5</v>
          </cell>
          <cell r="C55" t="str">
            <v>RODRIGUEZ LUNA JOSE ANTONIO</v>
          </cell>
          <cell r="D55" t="str">
            <v>A</v>
          </cell>
          <cell r="E55" t="str">
            <v>M</v>
          </cell>
          <cell r="F55" t="str">
            <v>AYUDANTE DE PERFORISTA</v>
          </cell>
          <cell r="G55" t="str">
            <v>LA SERENA</v>
          </cell>
          <cell r="H55" t="str">
            <v>1 años, 4 meses, 17 días</v>
          </cell>
          <cell r="I55">
            <v>56957282368</v>
          </cell>
          <cell r="J55">
            <v>33089</v>
          </cell>
          <cell r="K55" t="str">
            <v>Si</v>
          </cell>
          <cell r="L55" t="str">
            <v>BANCO FALABELLA</v>
          </cell>
          <cell r="M55" t="str">
            <v>13710040396</v>
          </cell>
          <cell r="N55" t="str">
            <v>rodriguezjvalentin@gmail.com</v>
          </cell>
          <cell r="O55">
            <v>45586</v>
          </cell>
          <cell r="P55" t="str">
            <v>Indefinido</v>
          </cell>
          <cell r="Q55" t="str">
            <v>Indefinido</v>
          </cell>
          <cell r="R55" t="str">
            <v>Indefinido</v>
          </cell>
          <cell r="S55" t="str">
            <v>Indefinido</v>
          </cell>
          <cell r="T55">
            <v>45586</v>
          </cell>
          <cell r="U55">
            <v>45627</v>
          </cell>
        </row>
        <row r="56">
          <cell r="B56" t="str">
            <v>14401561-4</v>
          </cell>
          <cell r="C56" t="str">
            <v>RODRIGUEZ OPAZO PAULO ANDRES</v>
          </cell>
          <cell r="D56" t="str">
            <v>A</v>
          </cell>
          <cell r="E56" t="str">
            <v>M</v>
          </cell>
          <cell r="F56" t="str">
            <v>AYUDANTE DE PERFORISTA</v>
          </cell>
          <cell r="G56" t="str">
            <v>COQUIMBO</v>
          </cell>
          <cell r="H56" t="str">
            <v>1 años, 3 meses, 26 días</v>
          </cell>
          <cell r="I56">
            <v>56995780849</v>
          </cell>
          <cell r="J56">
            <v>29097</v>
          </cell>
          <cell r="K56" t="str">
            <v>Si</v>
          </cell>
          <cell r="L56" t="str">
            <v>BANCOESTADO</v>
          </cell>
          <cell r="M56" t="str">
            <v>14401561</v>
          </cell>
          <cell r="N56" t="str">
            <v>pauloandresopazo@gmail.com</v>
          </cell>
          <cell r="O56">
            <v>45607</v>
          </cell>
          <cell r="P56">
            <v>45703</v>
          </cell>
          <cell r="Q56" t="str">
            <v>Indefinido</v>
          </cell>
          <cell r="R56" t="str">
            <v>Indefinido</v>
          </cell>
          <cell r="S56" t="str">
            <v>Indefinido</v>
          </cell>
          <cell r="T56">
            <v>45607</v>
          </cell>
          <cell r="U56">
            <v>45666</v>
          </cell>
        </row>
        <row r="57">
          <cell r="B57" t="str">
            <v>15521744-8</v>
          </cell>
          <cell r="C57" t="str">
            <v>ROJAS FERNANDEZ JILBERTO FRANCISCO</v>
          </cell>
          <cell r="D57" t="str">
            <v>A</v>
          </cell>
          <cell r="E57" t="str">
            <v>M</v>
          </cell>
          <cell r="F57" t="str">
            <v>AYUDANTE DE PERFORISTA</v>
          </cell>
          <cell r="G57" t="str">
            <v>LA CALERA</v>
          </cell>
          <cell r="H57" t="str">
            <v>1 años, 4 meses, 14 días</v>
          </cell>
          <cell r="I57">
            <v>56944901153</v>
          </cell>
          <cell r="J57">
            <v>30537</v>
          </cell>
          <cell r="K57" t="str">
            <v>Si</v>
          </cell>
          <cell r="L57" t="str">
            <v>BANCO RIPLEY</v>
          </cell>
          <cell r="M57" t="str">
            <v>4014516474</v>
          </cell>
          <cell r="N57" t="str">
            <v>betorojasfernandez83@gmail.com</v>
          </cell>
          <cell r="O57">
            <v>45589</v>
          </cell>
          <cell r="P57" t="str">
            <v>Indefinido</v>
          </cell>
          <cell r="Q57" t="str">
            <v>Indefinido</v>
          </cell>
          <cell r="R57" t="str">
            <v>Indefinido</v>
          </cell>
          <cell r="S57" t="str">
            <v>Indefinido</v>
          </cell>
          <cell r="T57">
            <v>45589</v>
          </cell>
          <cell r="U57">
            <v>45636</v>
          </cell>
        </row>
        <row r="58">
          <cell r="B58" t="str">
            <v>17015514-9</v>
          </cell>
          <cell r="C58" t="str">
            <v>ROJAS IRIARTE JUAN CARLOS</v>
          </cell>
          <cell r="D58" t="str">
            <v>A</v>
          </cell>
          <cell r="E58" t="str">
            <v>M</v>
          </cell>
          <cell r="F58" t="str">
            <v>AYUDANTE DE PERFORISTA</v>
          </cell>
          <cell r="G58" t="str">
            <v>LA SERENA</v>
          </cell>
          <cell r="H58" t="str">
            <v>1 años, 4 meses, 13 días</v>
          </cell>
          <cell r="I58">
            <v>56938990784</v>
          </cell>
          <cell r="J58">
            <v>32430</v>
          </cell>
          <cell r="K58" t="str">
            <v>Si</v>
          </cell>
          <cell r="L58" t="str">
            <v>Los Andes Tarjetas de Prepago S.A.</v>
          </cell>
          <cell r="M58" t="str">
            <v>17015514</v>
          </cell>
          <cell r="N58" t="str">
            <v>lucasluciany@gmail.com</v>
          </cell>
          <cell r="O58">
            <v>45590</v>
          </cell>
          <cell r="P58" t="str">
            <v>Indefinido</v>
          </cell>
          <cell r="Q58" t="str">
            <v>Indefinido</v>
          </cell>
          <cell r="R58" t="str">
            <v>Indefinido</v>
          </cell>
          <cell r="S58" t="str">
            <v>Indefinido</v>
          </cell>
          <cell r="T58">
            <v>45590</v>
          </cell>
          <cell r="U58">
            <v>45646</v>
          </cell>
        </row>
        <row r="59">
          <cell r="B59" t="str">
            <v>16463566-K</v>
          </cell>
          <cell r="C59" t="str">
            <v>ROJAS PIZARRO VICTOR ANGEL</v>
          </cell>
          <cell r="D59" t="str">
            <v>A</v>
          </cell>
          <cell r="E59" t="str">
            <v>M</v>
          </cell>
          <cell r="F59" t="str">
            <v>AYUDANTE DE PERFORISTA</v>
          </cell>
          <cell r="G59" t="str">
            <v>COQUIMBO</v>
          </cell>
          <cell r="H59" t="str">
            <v>1 años, 4 meses, 13 días</v>
          </cell>
          <cell r="I59">
            <v>56926433521</v>
          </cell>
          <cell r="J59">
            <v>31612</v>
          </cell>
          <cell r="K59" t="str">
            <v>Si</v>
          </cell>
          <cell r="L59" t="str">
            <v>BANCOESTADO</v>
          </cell>
          <cell r="M59" t="str">
            <v>16463566</v>
          </cell>
          <cell r="N59" t="str">
            <v>rojaspizarro.07@gmail.com</v>
          </cell>
          <cell r="O59">
            <v>45590</v>
          </cell>
          <cell r="P59" t="str">
            <v>Indefinido</v>
          </cell>
          <cell r="Q59" t="str">
            <v>Indefinido</v>
          </cell>
          <cell r="R59" t="str">
            <v>Indefinido</v>
          </cell>
          <cell r="S59" t="str">
            <v>Indefinido</v>
          </cell>
          <cell r="T59">
            <v>45590</v>
          </cell>
          <cell r="U59">
            <v>45646</v>
          </cell>
        </row>
        <row r="60">
          <cell r="B60" t="str">
            <v>17295192-9</v>
          </cell>
          <cell r="C60" t="str">
            <v>SAN FRANCISCO ARDILES IVAN ALEJANDRO</v>
          </cell>
          <cell r="D60" t="str">
            <v>A</v>
          </cell>
          <cell r="E60" t="str">
            <v>M</v>
          </cell>
          <cell r="F60" t="str">
            <v>AYUDANTE DE PERFORISTA</v>
          </cell>
          <cell r="G60" t="str">
            <v>LA SERENA</v>
          </cell>
          <cell r="H60" t="str">
            <v>6 meses, 19 días</v>
          </cell>
          <cell r="I60">
            <v>56926298347</v>
          </cell>
          <cell r="J60">
            <v>32721</v>
          </cell>
          <cell r="L60" t="str">
            <v>BANCOESTADO</v>
          </cell>
          <cell r="M60" t="str">
            <v>17295192</v>
          </cell>
          <cell r="N60" t="str">
            <v>ivansanfrancisco77@gmail.com</v>
          </cell>
          <cell r="O60">
            <v>45888</v>
          </cell>
          <cell r="P60">
            <v>45930</v>
          </cell>
          <cell r="Q60">
            <v>45991</v>
          </cell>
          <cell r="R60" t="str">
            <v>Indefinido</v>
          </cell>
          <cell r="S60" t="str">
            <v>Indefinido</v>
          </cell>
          <cell r="T60">
            <v>45888</v>
          </cell>
          <cell r="U60">
            <v>45925</v>
          </cell>
        </row>
        <row r="61">
          <cell r="B61" t="str">
            <v>19910908-1</v>
          </cell>
          <cell r="C61" t="str">
            <v>SANDERSON SALCEDO CRISTOBAL ALEXIC</v>
          </cell>
          <cell r="D61" t="str">
            <v>A</v>
          </cell>
          <cell r="E61" t="str">
            <v>M</v>
          </cell>
          <cell r="F61" t="str">
            <v>MECANICO</v>
          </cell>
          <cell r="G61" t="str">
            <v>COPIAPO</v>
          </cell>
          <cell r="H61" t="str">
            <v>11 meses, 0 días</v>
          </cell>
          <cell r="I61">
            <v>56938940243</v>
          </cell>
          <cell r="J61">
            <v>35164</v>
          </cell>
          <cell r="K61" t="str">
            <v>Si</v>
          </cell>
          <cell r="L61" t="str">
            <v>BANCOESTADO</v>
          </cell>
          <cell r="M61" t="str">
            <v>19910908</v>
          </cell>
          <cell r="N61" t="str">
            <v>cristobalsanderson@gmail.com</v>
          </cell>
          <cell r="O61">
            <v>45754</v>
          </cell>
          <cell r="P61">
            <v>45792</v>
          </cell>
          <cell r="Q61">
            <v>45853</v>
          </cell>
          <cell r="R61" t="str">
            <v>Indefinido</v>
          </cell>
          <cell r="S61" t="str">
            <v>Indefinido</v>
          </cell>
          <cell r="T61">
            <v>45810</v>
          </cell>
          <cell r="U61">
            <v>45826</v>
          </cell>
        </row>
        <row r="62">
          <cell r="B62" t="str">
            <v>13804452-1</v>
          </cell>
          <cell r="C62" t="str">
            <v>SANDOVAL SEPULVEDA GERSON ANDRES</v>
          </cell>
          <cell r="D62" t="str">
            <v>A</v>
          </cell>
          <cell r="E62" t="str">
            <v>M</v>
          </cell>
          <cell r="F62" t="str">
            <v>CHOFER</v>
          </cell>
          <cell r="G62" t="str">
            <v>COQUIMBO</v>
          </cell>
          <cell r="H62" t="str">
            <v>1 años, 3 meses, 15 días</v>
          </cell>
          <cell r="I62">
            <v>56987330431</v>
          </cell>
          <cell r="J62">
            <v>29422</v>
          </cell>
          <cell r="K62" t="str">
            <v>Si</v>
          </cell>
          <cell r="L62" t="str">
            <v>BANCO DE CHILE</v>
          </cell>
          <cell r="M62" t="str">
            <v>1201402401</v>
          </cell>
          <cell r="N62" t="str">
            <v>gersansep@hotmail.com</v>
          </cell>
          <cell r="O62">
            <v>45618</v>
          </cell>
          <cell r="P62">
            <v>45716</v>
          </cell>
          <cell r="Q62" t="str">
            <v>Indefinido</v>
          </cell>
          <cell r="R62" t="str">
            <v>Indefinido</v>
          </cell>
          <cell r="S62" t="str">
            <v>Indefinido</v>
          </cell>
          <cell r="T62">
            <v>45618</v>
          </cell>
          <cell r="U62">
            <v>45646</v>
          </cell>
        </row>
        <row r="63">
          <cell r="B63" t="str">
            <v>16133155-4</v>
          </cell>
          <cell r="C63" t="str">
            <v>SASSO ARAYA SEBASTIAN ENRIQUE</v>
          </cell>
          <cell r="D63" t="str">
            <v>A</v>
          </cell>
          <cell r="E63" t="str">
            <v>M</v>
          </cell>
          <cell r="F63" t="str">
            <v>PERFORISTA</v>
          </cell>
          <cell r="G63" t="str">
            <v>ANTOFAGASTA</v>
          </cell>
          <cell r="H63" t="str">
            <v>9 meses, 16 días</v>
          </cell>
          <cell r="I63">
            <v>56931816072</v>
          </cell>
          <cell r="J63">
            <v>31153</v>
          </cell>
          <cell r="K63" t="str">
            <v>Si</v>
          </cell>
          <cell r="L63" t="str">
            <v>BANCO DE CHILE</v>
          </cell>
          <cell r="M63">
            <v>650321095</v>
          </cell>
          <cell r="N63" t="str">
            <v>sebastian.sasso@outlook.com</v>
          </cell>
          <cell r="O63">
            <v>45799</v>
          </cell>
          <cell r="P63">
            <v>45838</v>
          </cell>
          <cell r="Q63">
            <v>45900</v>
          </cell>
          <cell r="R63" t="str">
            <v>Indefinido</v>
          </cell>
          <cell r="S63" t="str">
            <v>Indefinido</v>
          </cell>
          <cell r="T63">
            <v>45803</v>
          </cell>
          <cell r="U63">
            <v>45816</v>
          </cell>
        </row>
        <row r="64">
          <cell r="B64" t="str">
            <v>19167554-1</v>
          </cell>
          <cell r="C64" t="str">
            <v>THOMPSON DIAZ FREDDY IGNACIO</v>
          </cell>
          <cell r="D64" t="str">
            <v>A</v>
          </cell>
          <cell r="E64" t="str">
            <v>M</v>
          </cell>
          <cell r="F64" t="str">
            <v>AYUDANTE DE PERFORISTA</v>
          </cell>
          <cell r="G64" t="str">
            <v>PAIHUANO</v>
          </cell>
          <cell r="H64" t="str">
            <v>1 años, 4 meses, 14 días</v>
          </cell>
          <cell r="I64">
            <v>56972039650</v>
          </cell>
          <cell r="J64">
            <v>34912</v>
          </cell>
          <cell r="K64" t="str">
            <v>Si</v>
          </cell>
          <cell r="L64" t="str">
            <v>BANCO FALABELLA</v>
          </cell>
          <cell r="M64" t="str">
            <v>19992477008</v>
          </cell>
          <cell r="N64" t="str">
            <v>fthompson193@gmail.com</v>
          </cell>
          <cell r="O64">
            <v>45589</v>
          </cell>
          <cell r="P64" t="str">
            <v>Indefinido</v>
          </cell>
          <cell r="Q64" t="str">
            <v>Indefinido</v>
          </cell>
          <cell r="R64" t="str">
            <v>Indefinido</v>
          </cell>
          <cell r="S64" t="str">
            <v>Indefinido</v>
          </cell>
          <cell r="T64">
            <v>45589</v>
          </cell>
          <cell r="U64">
            <v>45627</v>
          </cell>
        </row>
        <row r="65">
          <cell r="B65" t="str">
            <v>15038779-5</v>
          </cell>
          <cell r="C65" t="str">
            <v>TRIGO TRIGO JORGE GREGORY</v>
          </cell>
          <cell r="D65" t="str">
            <v>A</v>
          </cell>
          <cell r="E65" t="str">
            <v>M</v>
          </cell>
          <cell r="F65" t="str">
            <v>PERFORISTA</v>
          </cell>
          <cell r="G65" t="str">
            <v>COQUIMBO</v>
          </cell>
          <cell r="H65" t="str">
            <v>1 años, 4 meses, 2 días</v>
          </cell>
          <cell r="I65">
            <v>56941356493</v>
          </cell>
          <cell r="J65">
            <v>32372</v>
          </cell>
          <cell r="K65" t="str">
            <v>Si</v>
          </cell>
          <cell r="L65" t="str">
            <v>BANCO FALABELLA</v>
          </cell>
          <cell r="M65" t="str">
            <v>15841773890</v>
          </cell>
          <cell r="N65" t="str">
            <v>gregorytrigo31@gmail.com</v>
          </cell>
          <cell r="O65">
            <v>45601</v>
          </cell>
          <cell r="P65">
            <v>45703</v>
          </cell>
          <cell r="Q65" t="str">
            <v>Indefinido</v>
          </cell>
          <cell r="R65" t="str">
            <v>Indefinido</v>
          </cell>
          <cell r="S65" t="str">
            <v>Indefinido</v>
          </cell>
          <cell r="T65">
            <v>45601</v>
          </cell>
          <cell r="U65">
            <v>45646</v>
          </cell>
        </row>
        <row r="66">
          <cell r="B66" t="str">
            <v>14903561-3</v>
          </cell>
          <cell r="C66" t="str">
            <v>VALENCIA CAMPOS ANDRES ALEJANDRO</v>
          </cell>
          <cell r="D66" t="str">
            <v>A</v>
          </cell>
          <cell r="E66" t="str">
            <v>M</v>
          </cell>
          <cell r="F66" t="str">
            <v>SUPERVISOR DE OPERACIONES</v>
          </cell>
          <cell r="G66" t="str">
            <v>COQUIMBO</v>
          </cell>
          <cell r="H66" t="str">
            <v>8 meses, 13 días</v>
          </cell>
          <cell r="I66">
            <v>56941129058</v>
          </cell>
          <cell r="J66">
            <v>29805</v>
          </cell>
          <cell r="K66" t="str">
            <v>Si</v>
          </cell>
          <cell r="L66" t="str">
            <v>BANCO FALABELLA</v>
          </cell>
          <cell r="M66" t="str">
            <v>13700113324</v>
          </cell>
          <cell r="N66" t="str">
            <v>lukas_valencia.04@hotmail.com</v>
          </cell>
          <cell r="O66">
            <v>45832</v>
          </cell>
          <cell r="P66">
            <v>45869</v>
          </cell>
          <cell r="Q66">
            <v>45930</v>
          </cell>
          <cell r="R66" t="str">
            <v>Indefinido</v>
          </cell>
          <cell r="S66" t="str">
            <v>Indefinido</v>
          </cell>
          <cell r="T66">
            <v>45832</v>
          </cell>
          <cell r="U66">
            <v>45846</v>
          </cell>
        </row>
        <row r="67">
          <cell r="B67" t="str">
            <v>13743972-7</v>
          </cell>
          <cell r="C67" t="str">
            <v>VEGA GONZALEZ PATRICIO COLLO</v>
          </cell>
          <cell r="D67" t="str">
            <v>A</v>
          </cell>
          <cell r="E67" t="str">
            <v>M</v>
          </cell>
          <cell r="F67" t="str">
            <v>AYUDANTE DE PERFORISTA</v>
          </cell>
          <cell r="G67" t="str">
            <v>LA SERENA</v>
          </cell>
          <cell r="H67" t="str">
            <v>1 años, 4 meses, 23 días</v>
          </cell>
          <cell r="I67">
            <v>56957708054</v>
          </cell>
          <cell r="J67">
            <v>29207</v>
          </cell>
          <cell r="K67" t="str">
            <v>Si</v>
          </cell>
          <cell r="L67" t="str">
            <v>Los Andes Tarjetas de Prepago S.A.</v>
          </cell>
          <cell r="M67" t="str">
            <v>13743972</v>
          </cell>
          <cell r="N67" t="str">
            <v>Patriciovegagonzalez@live.com</v>
          </cell>
          <cell r="O67">
            <v>45580</v>
          </cell>
          <cell r="P67" t="str">
            <v>Indefinido</v>
          </cell>
          <cell r="Q67" t="str">
            <v>Indefinido</v>
          </cell>
          <cell r="R67" t="str">
            <v>Indefinido</v>
          </cell>
          <cell r="S67" t="str">
            <v>Indefinido</v>
          </cell>
          <cell r="T67">
            <v>45580</v>
          </cell>
          <cell r="U67">
            <v>45627</v>
          </cell>
        </row>
        <row r="68">
          <cell r="B68" t="str">
            <v>15050618-2</v>
          </cell>
          <cell r="C68" t="str">
            <v>VIGORENA DUARTE KAREN ANDREA</v>
          </cell>
          <cell r="D68" t="str">
            <v>A</v>
          </cell>
          <cell r="E68" t="str">
            <v>F</v>
          </cell>
          <cell r="F68" t="str">
            <v>ADMINISTRATIVA/O DE FAENA</v>
          </cell>
          <cell r="G68" t="str">
            <v>COPIAPO</v>
          </cell>
          <cell r="H68" t="str">
            <v>6 meses, 6 días</v>
          </cell>
          <cell r="I68">
            <v>56938914164</v>
          </cell>
          <cell r="J68">
            <v>29946</v>
          </cell>
          <cell r="L68" t="str">
            <v>BANCO DE CHILE</v>
          </cell>
          <cell r="M68" t="str">
            <v>4390168403</v>
          </cell>
          <cell r="N68" t="str">
            <v>kary.vigorena@gmail.com</v>
          </cell>
          <cell r="O68">
            <v>45901</v>
          </cell>
          <cell r="P68">
            <v>45930</v>
          </cell>
          <cell r="Q68">
            <v>45991</v>
          </cell>
          <cell r="R68" t="str">
            <v>Indefinido</v>
          </cell>
          <cell r="S68" t="str">
            <v>Indefinido</v>
          </cell>
          <cell r="T68">
            <v>45901</v>
          </cell>
          <cell r="U68">
            <v>45967</v>
          </cell>
        </row>
        <row r="69">
          <cell r="B69" t="str">
            <v>17775054-9</v>
          </cell>
          <cell r="C69" t="str">
            <v>ZAPATA SEGUEL CARLOS ANDRES</v>
          </cell>
          <cell r="D69" t="str">
            <v>A</v>
          </cell>
          <cell r="E69" t="str">
            <v>M</v>
          </cell>
          <cell r="F69" t="str">
            <v>AYUDANTE DE PERFORISTA</v>
          </cell>
          <cell r="G69" t="str">
            <v>LOS ANDES</v>
          </cell>
          <cell r="H69" t="str">
            <v>4 meses, 15 días</v>
          </cell>
          <cell r="I69">
            <v>56945837667</v>
          </cell>
          <cell r="J69">
            <v>33113</v>
          </cell>
          <cell r="L69" t="str">
            <v>BANCOESTADO</v>
          </cell>
          <cell r="M69" t="str">
            <v>17775054</v>
          </cell>
          <cell r="N69" t="str">
            <v>carloszapata280906@gmail.com</v>
          </cell>
          <cell r="O69">
            <v>45953</v>
          </cell>
          <cell r="P69">
            <v>45991</v>
          </cell>
          <cell r="R69" t="str">
            <v>Plazo fijo</v>
          </cell>
          <cell r="S69" t="str">
            <v>Plazo fijo</v>
          </cell>
          <cell r="T69">
            <v>45953</v>
          </cell>
          <cell r="U69">
            <v>45966</v>
          </cell>
        </row>
        <row r="70">
          <cell r="B70" t="str">
            <v>13011075-4</v>
          </cell>
          <cell r="C70" t="str">
            <v xml:space="preserve">BORQUEZ CARVAJAL IBAR ALEXIS </v>
          </cell>
          <cell r="D70" t="str">
            <v>AB</v>
          </cell>
          <cell r="E70" t="str">
            <v>M</v>
          </cell>
          <cell r="F70" t="str">
            <v xml:space="preserve">JEFE DE FAENA </v>
          </cell>
          <cell r="G70" t="str">
            <v>CALAMA</v>
          </cell>
          <cell r="H70" t="str">
            <v>2 años, 10 meses, 12 días</v>
          </cell>
          <cell r="I70">
            <v>56956280312</v>
          </cell>
          <cell r="J70">
            <v>28093</v>
          </cell>
          <cell r="K70" t="str">
            <v>Parcialmente</v>
          </cell>
          <cell r="L70" t="str">
            <v>SCOTIABANK</v>
          </cell>
          <cell r="M70" t="str">
            <v>3690001915</v>
          </cell>
          <cell r="N70" t="str">
            <v>ibar_borquez@hotmail.com</v>
          </cell>
          <cell r="O70">
            <v>45041</v>
          </cell>
          <cell r="P70">
            <v>45070</v>
          </cell>
          <cell r="Q70" t="str">
            <v>Indefinido</v>
          </cell>
          <cell r="R70" t="str">
            <v>Indefinido</v>
          </cell>
          <cell r="S70" t="str">
            <v>Indefinido</v>
          </cell>
          <cell r="T70">
            <v>45596</v>
          </cell>
          <cell r="U70">
            <v>45627</v>
          </cell>
        </row>
        <row r="71">
          <cell r="B71" t="str">
            <v>19948246-7</v>
          </cell>
          <cell r="C71" t="str">
            <v>RAMIREZ BARRAZA MARCELO GIOVANNI</v>
          </cell>
          <cell r="D71" t="str">
            <v>AB</v>
          </cell>
          <cell r="E71" t="str">
            <v>M</v>
          </cell>
          <cell r="F71" t="str">
            <v>MECANICO</v>
          </cell>
          <cell r="G71" t="str">
            <v>LA HIGUERA</v>
          </cell>
          <cell r="H71" t="str">
            <v>2 años, 8 meses, 4 días</v>
          </cell>
          <cell r="I71">
            <v>56979635549</v>
          </cell>
          <cell r="J71">
            <v>36007</v>
          </cell>
          <cell r="K71" t="str">
            <v>Parcialmente</v>
          </cell>
          <cell r="L71" t="str">
            <v>SANTANDER</v>
          </cell>
          <cell r="M71" t="str">
            <v>93372000</v>
          </cell>
          <cell r="N71" t="str">
            <v>marceloramirez40@gmail.com</v>
          </cell>
          <cell r="O71">
            <v>45110</v>
          </cell>
          <cell r="P71" t="str">
            <v>Indefinido</v>
          </cell>
          <cell r="Q71" t="str">
            <v>Indefinido</v>
          </cell>
          <cell r="R71" t="str">
            <v>Indefinido</v>
          </cell>
          <cell r="S71" t="str">
            <v>Indefinido</v>
          </cell>
          <cell r="T71">
            <v>45611</v>
          </cell>
          <cell r="U71">
            <v>45646</v>
          </cell>
        </row>
        <row r="72">
          <cell r="B72" t="str">
            <v>16463792-1</v>
          </cell>
          <cell r="C72" t="str">
            <v>ROJAS MARTINEZ FRANCISCO JAVIER</v>
          </cell>
          <cell r="D72" t="str">
            <v>AB</v>
          </cell>
          <cell r="E72" t="str">
            <v>M</v>
          </cell>
          <cell r="F72" t="str">
            <v xml:space="preserve">JEFE DE FAENA </v>
          </cell>
          <cell r="G72" t="str">
            <v>LA SERENA</v>
          </cell>
          <cell r="H72" t="str">
            <v>1 años, 3 meses, 10 días</v>
          </cell>
          <cell r="I72">
            <v>56932522189</v>
          </cell>
          <cell r="J72">
            <v>31976</v>
          </cell>
          <cell r="K72" t="str">
            <v>Parcialmente</v>
          </cell>
          <cell r="L72" t="str">
            <v>SANTANDER</v>
          </cell>
          <cell r="M72" t="str">
            <v>1702367430</v>
          </cell>
          <cell r="N72" t="str">
            <v>fco.rojas.martinez@gmail.com</v>
          </cell>
          <cell r="O72">
            <v>45623</v>
          </cell>
          <cell r="P72">
            <v>45657</v>
          </cell>
          <cell r="Q72">
            <v>45716</v>
          </cell>
          <cell r="R72" t="str">
            <v>Indefinido</v>
          </cell>
          <cell r="S72" t="str">
            <v>Indefinido</v>
          </cell>
          <cell r="T72">
            <v>45623</v>
          </cell>
          <cell r="U72">
            <v>45638</v>
          </cell>
        </row>
        <row r="73">
          <cell r="B73" t="str">
            <v>13745724-5</v>
          </cell>
          <cell r="C73" t="str">
            <v>CASTILLO GARCIA JOSE MANUEL</v>
          </cell>
          <cell r="D73" t="str">
            <v>BACK UP</v>
          </cell>
          <cell r="E73" t="str">
            <v>M</v>
          </cell>
          <cell r="F73" t="str">
            <v xml:space="preserve">JEFE DE FAENA </v>
          </cell>
          <cell r="G73" t="str">
            <v>ANDACOLLO</v>
          </cell>
          <cell r="H73" t="e">
            <v>#VALUE!</v>
          </cell>
          <cell r="I73">
            <v>56968355539</v>
          </cell>
          <cell r="K73" t="str">
            <v>Si</v>
          </cell>
          <cell r="L73" t="e">
            <v>#N/A</v>
          </cell>
          <cell r="M73" t="e">
            <v>#N/A</v>
          </cell>
          <cell r="N73" t="e">
            <v>#N/A</v>
          </cell>
          <cell r="O73" t="str">
            <v>BACK UP</v>
          </cell>
          <cell r="P73" t="str">
            <v>BACK UP</v>
          </cell>
          <cell r="R73" t="str">
            <v>Indefinido</v>
          </cell>
          <cell r="S73" t="str">
            <v>Indefinido</v>
          </cell>
          <cell r="T73">
            <v>45717</v>
          </cell>
          <cell r="U73">
            <v>45719</v>
          </cell>
        </row>
        <row r="74">
          <cell r="B74" t="str">
            <v>13748728-4</v>
          </cell>
          <cell r="C74" t="str">
            <v>ALFARO CASTELLANOS CARLOS JAVIER</v>
          </cell>
          <cell r="D74" t="str">
            <v>B</v>
          </cell>
          <cell r="E74" t="str">
            <v>M</v>
          </cell>
          <cell r="F74" t="str">
            <v>AYUDANTE DE PERFORISTA</v>
          </cell>
          <cell r="G74" t="str">
            <v>SANTIAGO</v>
          </cell>
          <cell r="H74" t="str">
            <v>1 años, 4 meses, 18 días</v>
          </cell>
          <cell r="I74">
            <v>56993075801</v>
          </cell>
          <cell r="J74">
            <v>29470</v>
          </cell>
          <cell r="K74" t="str">
            <v>Si</v>
          </cell>
          <cell r="L74" t="str">
            <v>BANCO FALABELLA</v>
          </cell>
          <cell r="M74" t="str">
            <v>19995792076</v>
          </cell>
          <cell r="N74" t="str">
            <v>alfarocarlos972@gmail.com</v>
          </cell>
          <cell r="O74">
            <v>45585</v>
          </cell>
          <cell r="P74">
            <v>45626</v>
          </cell>
          <cell r="Q74">
            <v>45688</v>
          </cell>
          <cell r="R74" t="str">
            <v>Indefinido</v>
          </cell>
          <cell r="S74" t="str">
            <v>Indefinido</v>
          </cell>
          <cell r="T74">
            <v>45585</v>
          </cell>
          <cell r="U74">
            <v>45656</v>
          </cell>
        </row>
        <row r="75">
          <cell r="B75" t="str">
            <v>18710376-2</v>
          </cell>
          <cell r="C75" t="str">
            <v>ALVAREZ RIVERA CARLOS JAVIER</v>
          </cell>
          <cell r="D75" t="str">
            <v>B</v>
          </cell>
          <cell r="E75" t="str">
            <v>M</v>
          </cell>
          <cell r="F75" t="str">
            <v>AYUDANTE DE PERFORISTA</v>
          </cell>
          <cell r="G75" t="str">
            <v>LINARES</v>
          </cell>
          <cell r="H75" t="str">
            <v>11 meses, 6 días</v>
          </cell>
          <cell r="I75">
            <v>56936997489</v>
          </cell>
          <cell r="J75">
            <v>34439</v>
          </cell>
          <cell r="K75" t="str">
            <v>Si</v>
          </cell>
          <cell r="L75" t="str">
            <v>BANCOESTADO</v>
          </cell>
          <cell r="M75" t="str">
            <v>18710376</v>
          </cell>
          <cell r="N75" t="str">
            <v>carlonchi24@gmail.com</v>
          </cell>
          <cell r="O75">
            <v>45748</v>
          </cell>
          <cell r="P75">
            <v>45777</v>
          </cell>
          <cell r="Q75">
            <v>45838</v>
          </cell>
          <cell r="R75" t="str">
            <v>Indefinido</v>
          </cell>
          <cell r="S75" t="str">
            <v>Indefinido</v>
          </cell>
          <cell r="T75">
            <v>45748</v>
          </cell>
          <cell r="U75">
            <v>45756</v>
          </cell>
        </row>
        <row r="76">
          <cell r="B76" t="str">
            <v>12951196-6</v>
          </cell>
          <cell r="C76" t="str">
            <v>APABLAZA GUZMAN ALEJANDRO MIGUEL</v>
          </cell>
          <cell r="D76" t="str">
            <v>B</v>
          </cell>
          <cell r="E76" t="str">
            <v>M</v>
          </cell>
          <cell r="F76" t="str">
            <v>SUPERVISOR DE OPERACIONES</v>
          </cell>
          <cell r="G76" t="str">
            <v>QUILLOTA</v>
          </cell>
          <cell r="H76" t="str">
            <v>6 meses, 24 días</v>
          </cell>
          <cell r="I76">
            <v>56982976200</v>
          </cell>
          <cell r="J76">
            <v>27954</v>
          </cell>
          <cell r="L76" t="str">
            <v>BANCO DE CHILE</v>
          </cell>
          <cell r="M76" t="str">
            <v>000027622229</v>
          </cell>
          <cell r="N76" t="str">
            <v>alejandroapablaza04@gmail.com</v>
          </cell>
          <cell r="O76">
            <v>45883</v>
          </cell>
          <cell r="P76">
            <v>45915</v>
          </cell>
          <cell r="Q76">
            <v>45976</v>
          </cell>
          <cell r="R76" t="str">
            <v>Indefinido</v>
          </cell>
          <cell r="S76" t="str">
            <v>Indefinido</v>
          </cell>
          <cell r="T76">
            <v>45883</v>
          </cell>
          <cell r="U76">
            <v>45946</v>
          </cell>
        </row>
        <row r="77">
          <cell r="B77" t="str">
            <v>18755121-8</v>
          </cell>
          <cell r="C77" t="str">
            <v>ARANCIBIA LEDEZMA JORGE ANDRES</v>
          </cell>
          <cell r="D77" t="str">
            <v>B</v>
          </cell>
          <cell r="E77" t="str">
            <v>M</v>
          </cell>
          <cell r="F77" t="str">
            <v>AYUDANTE DE PERFORISTA</v>
          </cell>
          <cell r="G77" t="str">
            <v>LA SERENA</v>
          </cell>
          <cell r="H77" t="str">
            <v>1 años, 4 meses, 13 días</v>
          </cell>
          <cell r="I77">
            <v>56948731691</v>
          </cell>
          <cell r="J77">
            <v>34722</v>
          </cell>
          <cell r="K77" t="str">
            <v>Parcialmente</v>
          </cell>
          <cell r="L77" t="str">
            <v>BANCO FALABELLA</v>
          </cell>
          <cell r="M77" t="str">
            <v>19822041775</v>
          </cell>
          <cell r="N77" t="str">
            <v>jarancibia@gmail.com</v>
          </cell>
          <cell r="O77">
            <v>45590</v>
          </cell>
          <cell r="P77">
            <v>45626</v>
          </cell>
          <cell r="Q77">
            <v>45688</v>
          </cell>
          <cell r="R77" t="str">
            <v>Indefinido</v>
          </cell>
          <cell r="S77" t="str">
            <v>Indefinido</v>
          </cell>
          <cell r="T77">
            <v>45590</v>
          </cell>
          <cell r="U77">
            <v>45636</v>
          </cell>
        </row>
        <row r="78">
          <cell r="B78" t="str">
            <v>15785558-1</v>
          </cell>
          <cell r="C78" t="str">
            <v>ARAYA GALLARDO DANIEL SEBASTIAN</v>
          </cell>
          <cell r="D78" t="str">
            <v>B</v>
          </cell>
          <cell r="E78" t="str">
            <v>M</v>
          </cell>
          <cell r="F78" t="str">
            <v>AYUDANTE DE PERFORISTA</v>
          </cell>
          <cell r="G78" t="str">
            <v>ILLAPEL</v>
          </cell>
          <cell r="H78" t="str">
            <v>4 meses, 16 días</v>
          </cell>
          <cell r="I78">
            <v>56957062121</v>
          </cell>
          <cell r="J78">
            <v>31040</v>
          </cell>
          <cell r="L78" t="str">
            <v>BANCOESTADO</v>
          </cell>
          <cell r="M78" t="str">
            <v>34770913847</v>
          </cell>
          <cell r="N78" t="str">
            <v>arayadaniel076@gmail.com</v>
          </cell>
          <cell r="O78">
            <v>45952</v>
          </cell>
          <cell r="P78">
            <v>45991</v>
          </cell>
          <cell r="Q78">
            <v>46053</v>
          </cell>
          <cell r="R78" t="str">
            <v>Plazo fijo</v>
          </cell>
          <cell r="S78" t="str">
            <v>Plazo fijo</v>
          </cell>
          <cell r="T78">
            <v>45952</v>
          </cell>
          <cell r="U78">
            <v>45974</v>
          </cell>
        </row>
        <row r="79">
          <cell r="B79" t="str">
            <v>13423391-5</v>
          </cell>
          <cell r="C79" t="str">
            <v>ARAYA ROJAS RODRIGO ANDRES</v>
          </cell>
          <cell r="D79" t="str">
            <v>B</v>
          </cell>
          <cell r="E79" t="str">
            <v>M</v>
          </cell>
          <cell r="F79" t="str">
            <v>SUPERVISOR DE OPERACIONES</v>
          </cell>
          <cell r="G79" t="str">
            <v>COPIAPO</v>
          </cell>
          <cell r="H79" t="str">
            <v>8 meses, 18 días</v>
          </cell>
          <cell r="I79">
            <v>56999094767</v>
          </cell>
          <cell r="J79">
            <v>28786</v>
          </cell>
          <cell r="K79" t="str">
            <v>Si</v>
          </cell>
          <cell r="L79" t="str">
            <v>BCI</v>
          </cell>
          <cell r="M79" t="str">
            <v>89249968</v>
          </cell>
          <cell r="N79" t="str">
            <v>r.arayarojas@yahoo.com</v>
          </cell>
          <cell r="O79">
            <v>45827</v>
          </cell>
          <cell r="P79">
            <v>45869</v>
          </cell>
          <cell r="Q79">
            <v>45930</v>
          </cell>
          <cell r="R79" t="str">
            <v>Indefinido</v>
          </cell>
          <cell r="S79" t="str">
            <v>Indefinido</v>
          </cell>
          <cell r="T79">
            <v>45827</v>
          </cell>
          <cell r="U79">
            <v>45836</v>
          </cell>
        </row>
        <row r="80">
          <cell r="B80" t="str">
            <v>21336141-4</v>
          </cell>
          <cell r="C80" t="str">
            <v>ASTORGA PINTO BARBARA ANAIS</v>
          </cell>
          <cell r="D80" t="str">
            <v>B</v>
          </cell>
          <cell r="E80" t="str">
            <v>M</v>
          </cell>
          <cell r="F80" t="str">
            <v>ADMINISTRATIVA/O DE FAENA</v>
          </cell>
          <cell r="G80" t="str">
            <v>EL SALADO</v>
          </cell>
          <cell r="H80" t="str">
            <v>22 días</v>
          </cell>
          <cell r="I80">
            <v>56940606576</v>
          </cell>
          <cell r="J80">
            <v>37815</v>
          </cell>
          <cell r="N80" t="str">
            <v>barbara.astorga003@gmail.com</v>
          </cell>
          <cell r="O80">
            <v>46066</v>
          </cell>
          <cell r="P80">
            <v>46096</v>
          </cell>
          <cell r="Q80">
            <v>46096</v>
          </cell>
          <cell r="R80" t="str">
            <v>Plazo fijo</v>
          </cell>
          <cell r="S80" t="str">
            <v>Plazo fijo</v>
          </cell>
          <cell r="T80">
            <v>46066</v>
          </cell>
          <cell r="U80">
            <v>46087</v>
          </cell>
        </row>
        <row r="81">
          <cell r="B81" t="str">
            <v>10997323-8</v>
          </cell>
          <cell r="C81" t="str">
            <v>ASTROZA INOSTROZA WILLIAMS RENAN</v>
          </cell>
          <cell r="D81" t="str">
            <v>B</v>
          </cell>
          <cell r="E81" t="str">
            <v>M</v>
          </cell>
          <cell r="F81" t="str">
            <v>CHOFER</v>
          </cell>
          <cell r="G81" t="str">
            <v>SANTIAGO</v>
          </cell>
          <cell r="H81" t="str">
            <v>9 meses, 4 días</v>
          </cell>
          <cell r="I81">
            <v>56966722388</v>
          </cell>
          <cell r="J81">
            <v>27361</v>
          </cell>
          <cell r="K81" t="str">
            <v>Si</v>
          </cell>
          <cell r="L81" t="str">
            <v>BANCO FALABELLA</v>
          </cell>
          <cell r="M81" t="str">
            <v>19994184713</v>
          </cell>
          <cell r="N81" t="str">
            <v>william.astroza.1974@gmail.com</v>
          </cell>
          <cell r="O81">
            <v>45811</v>
          </cell>
          <cell r="P81">
            <v>45853</v>
          </cell>
          <cell r="Q81">
            <v>45915</v>
          </cell>
          <cell r="R81" t="str">
            <v>Indefinido</v>
          </cell>
          <cell r="S81" t="str">
            <v>Indefinido</v>
          </cell>
          <cell r="T81">
            <v>45811</v>
          </cell>
          <cell r="U81">
            <v>45826</v>
          </cell>
        </row>
        <row r="82">
          <cell r="B82" t="str">
            <v>15031055-5</v>
          </cell>
          <cell r="C82" t="str">
            <v>BARRIOS GODOY JONATHAN FERNANDO</v>
          </cell>
          <cell r="D82" t="str">
            <v>B</v>
          </cell>
          <cell r="E82" t="str">
            <v>M</v>
          </cell>
          <cell r="F82" t="str">
            <v>MECANICO</v>
          </cell>
          <cell r="G82" t="str">
            <v>COQUIMBO</v>
          </cell>
          <cell r="H82" t="str">
            <v>6 meses, 5 días</v>
          </cell>
          <cell r="I82">
            <v>56999944423</v>
          </cell>
          <cell r="J82">
            <v>30232</v>
          </cell>
          <cell r="L82" t="str">
            <v>BANCOESTADO</v>
          </cell>
          <cell r="M82" t="str">
            <v>14000016871</v>
          </cell>
          <cell r="N82" t="str">
            <v>jonathan.bgodoy@gmail.com</v>
          </cell>
          <cell r="O82">
            <v>45902</v>
          </cell>
          <cell r="P82">
            <v>45945</v>
          </cell>
          <cell r="Q82">
            <v>46006</v>
          </cell>
          <cell r="R82" t="str">
            <v>Plazo fijo</v>
          </cell>
          <cell r="S82" t="str">
            <v>Plazo fijo</v>
          </cell>
          <cell r="T82">
            <v>45902</v>
          </cell>
          <cell r="U82">
            <v>45936</v>
          </cell>
        </row>
        <row r="83">
          <cell r="B83" t="str">
            <v>17626566-3</v>
          </cell>
          <cell r="C83" t="str">
            <v>BRIONES BRIONES PAUL GIOVANNI</v>
          </cell>
          <cell r="D83" t="str">
            <v>B</v>
          </cell>
          <cell r="E83" t="str">
            <v>M</v>
          </cell>
          <cell r="F83" t="str">
            <v>PERFORISTA</v>
          </cell>
          <cell r="G83" t="str">
            <v>LA SERENA</v>
          </cell>
          <cell r="H83" t="str">
            <v>6 meses, 26 días</v>
          </cell>
          <cell r="I83">
            <v>56971394707</v>
          </cell>
          <cell r="J83">
            <v>33320</v>
          </cell>
          <cell r="L83" t="str">
            <v>BANCOESTADO</v>
          </cell>
          <cell r="M83" t="str">
            <v>12500290828</v>
          </cell>
          <cell r="N83" t="str">
            <v>paulbriones.b@gmail.com</v>
          </cell>
          <cell r="O83">
            <v>45881</v>
          </cell>
          <cell r="P83">
            <v>45915</v>
          </cell>
          <cell r="Q83">
            <v>45976</v>
          </cell>
          <cell r="R83" t="str">
            <v>Indefinido</v>
          </cell>
          <cell r="S83" t="str">
            <v>Indefinido</v>
          </cell>
          <cell r="T83">
            <v>45881</v>
          </cell>
          <cell r="U83">
            <v>45924</v>
          </cell>
        </row>
        <row r="84">
          <cell r="B84" t="str">
            <v>20457549-5</v>
          </cell>
          <cell r="C84" t="str">
            <v>CARMONA LEITON FELIPE ANTONIO</v>
          </cell>
          <cell r="D84" t="str">
            <v>B</v>
          </cell>
          <cell r="E84" t="str">
            <v>M</v>
          </cell>
          <cell r="F84" t="str">
            <v>MECANICO</v>
          </cell>
          <cell r="G84" t="str">
            <v>LA SERENA</v>
          </cell>
          <cell r="H84" t="str">
            <v>6 meses, 12 días</v>
          </cell>
          <cell r="I84">
            <v>56983686073</v>
          </cell>
          <cell r="J84">
            <v>36696</v>
          </cell>
          <cell r="L84" t="str">
            <v>BANCOESTADO</v>
          </cell>
          <cell r="M84" t="str">
            <v>20457549</v>
          </cell>
          <cell r="N84" t="str">
            <v>felipe.carmona.aj@gmail.com</v>
          </cell>
          <cell r="O84">
            <v>45895</v>
          </cell>
          <cell r="P84">
            <v>45930</v>
          </cell>
          <cell r="Q84">
            <v>45991</v>
          </cell>
          <cell r="R84" t="str">
            <v>Indefinido</v>
          </cell>
          <cell r="S84" t="str">
            <v>Indefinido</v>
          </cell>
          <cell r="T84">
            <v>45896</v>
          </cell>
          <cell r="U84">
            <v>45943</v>
          </cell>
        </row>
        <row r="85">
          <cell r="B85" t="str">
            <v>19911323-2</v>
          </cell>
          <cell r="C85" t="str">
            <v>CARVAJAL ALVARADO JAIME NICOLAS</v>
          </cell>
          <cell r="D85" t="str">
            <v>B</v>
          </cell>
          <cell r="E85" t="str">
            <v>M</v>
          </cell>
          <cell r="F85" t="str">
            <v>AYUDANTE DE PERFORISTA</v>
          </cell>
          <cell r="G85" t="str">
            <v>LINARES</v>
          </cell>
          <cell r="H85" t="str">
            <v>1 años, 4 meses, 23 días</v>
          </cell>
          <cell r="I85">
            <v>56941654177</v>
          </cell>
          <cell r="J85">
            <v>36073</v>
          </cell>
          <cell r="K85" t="str">
            <v>Parcialmente</v>
          </cell>
          <cell r="L85" t="str">
            <v>BANCO FALABELLA</v>
          </cell>
          <cell r="M85" t="str">
            <v>13020009390</v>
          </cell>
          <cell r="N85" t="str">
            <v>niko_jaime221@hotmail.com</v>
          </cell>
          <cell r="O85">
            <v>45580</v>
          </cell>
          <cell r="P85">
            <v>45611</v>
          </cell>
          <cell r="Q85">
            <v>45672</v>
          </cell>
          <cell r="R85" t="str">
            <v>Indefinido</v>
          </cell>
          <cell r="S85" t="str">
            <v>Indefinido</v>
          </cell>
          <cell r="T85">
            <v>45797</v>
          </cell>
          <cell r="U85">
            <v>45836</v>
          </cell>
        </row>
        <row r="86">
          <cell r="B86" t="str">
            <v>17629034-K</v>
          </cell>
          <cell r="C86" t="str">
            <v>CORTES GONZALEZ JUAN IGNACIO</v>
          </cell>
          <cell r="D86" t="str">
            <v>B</v>
          </cell>
          <cell r="E86" t="str">
            <v>M</v>
          </cell>
          <cell r="F86" t="str">
            <v>PERFORISTA</v>
          </cell>
          <cell r="G86" t="str">
            <v>LA SERENA</v>
          </cell>
          <cell r="H86" t="str">
            <v>7 meses, 9 días</v>
          </cell>
          <cell r="I86">
            <v>56945432919</v>
          </cell>
          <cell r="J86">
            <v>33150</v>
          </cell>
          <cell r="K86" t="str">
            <v>Si</v>
          </cell>
          <cell r="L86" t="str">
            <v>SANTANDER</v>
          </cell>
          <cell r="M86" t="str">
            <v>86763117</v>
          </cell>
          <cell r="N86" t="str">
            <v>j.i.c.g@hotmail.com</v>
          </cell>
          <cell r="O86">
            <v>45867</v>
          </cell>
          <cell r="P86">
            <v>45900</v>
          </cell>
          <cell r="Q86">
            <v>45961</v>
          </cell>
          <cell r="R86" t="str">
            <v>Indefinido</v>
          </cell>
          <cell r="S86" t="str">
            <v>Indefinido</v>
          </cell>
          <cell r="T86">
            <v>45867</v>
          </cell>
          <cell r="U86">
            <v>45896</v>
          </cell>
        </row>
        <row r="87">
          <cell r="B87" t="str">
            <v>19041873-1</v>
          </cell>
          <cell r="C87" t="str">
            <v>CORTES OLIVARES MAIKOL MANUEL</v>
          </cell>
          <cell r="D87" t="str">
            <v>B</v>
          </cell>
          <cell r="E87" t="str">
            <v>M</v>
          </cell>
          <cell r="F87" t="str">
            <v>PERFORISTA</v>
          </cell>
          <cell r="G87" t="str">
            <v>LA SERENA</v>
          </cell>
          <cell r="H87" t="str">
            <v>1 años, 4 meses, 18 días</v>
          </cell>
          <cell r="I87">
            <v>56998200930</v>
          </cell>
          <cell r="J87">
            <v>34987</v>
          </cell>
          <cell r="K87" t="str">
            <v>Si</v>
          </cell>
          <cell r="L87" t="str">
            <v>BANCO FALABELLA</v>
          </cell>
          <cell r="M87" t="str">
            <v>19991272012</v>
          </cell>
          <cell r="N87" t="str">
            <v>maikolcortes736@gmail.com</v>
          </cell>
          <cell r="O87">
            <v>45585</v>
          </cell>
          <cell r="P87">
            <v>45626</v>
          </cell>
          <cell r="Q87">
            <v>45688</v>
          </cell>
          <cell r="R87" t="str">
            <v>Indefinido</v>
          </cell>
          <cell r="S87" t="str">
            <v>Indefinido</v>
          </cell>
          <cell r="T87">
            <v>45585</v>
          </cell>
          <cell r="U87">
            <v>45636</v>
          </cell>
        </row>
        <row r="88">
          <cell r="B88" t="str">
            <v>13541133-7</v>
          </cell>
          <cell r="C88" t="str">
            <v>CORTÉS PAZ JORGE ALEXIS</v>
          </cell>
          <cell r="D88" t="str">
            <v>B</v>
          </cell>
          <cell r="E88" t="str">
            <v>M</v>
          </cell>
          <cell r="F88" t="str">
            <v>SOLDADOR</v>
          </cell>
          <cell r="G88" t="str">
            <v>NOGALES</v>
          </cell>
          <cell r="H88" t="str">
            <v>7 meses, 27 días</v>
          </cell>
          <cell r="I88">
            <v>56940501177</v>
          </cell>
          <cell r="J88">
            <v>29181</v>
          </cell>
          <cell r="K88" t="str">
            <v>Si</v>
          </cell>
          <cell r="L88" t="str">
            <v>Los Andes Tarjetas de Prepago S.A.</v>
          </cell>
          <cell r="M88" t="str">
            <v>13541133</v>
          </cell>
          <cell r="N88" t="str">
            <v>jorge.cortespaz1979@gmail.com</v>
          </cell>
          <cell r="O88">
            <v>45849</v>
          </cell>
          <cell r="P88">
            <v>45884</v>
          </cell>
          <cell r="Q88">
            <v>45945</v>
          </cell>
          <cell r="R88" t="str">
            <v>Indefinido</v>
          </cell>
          <cell r="S88" t="str">
            <v>Indefinido</v>
          </cell>
          <cell r="T88">
            <v>45849</v>
          </cell>
          <cell r="U88">
            <v>45876</v>
          </cell>
        </row>
        <row r="89">
          <cell r="B89" t="str">
            <v>15037464-2</v>
          </cell>
          <cell r="C89" t="str">
            <v>CUELLO CUELLO JACQUELINNE ANDREA</v>
          </cell>
          <cell r="D89" t="str">
            <v>B</v>
          </cell>
          <cell r="E89" t="str">
            <v>F</v>
          </cell>
          <cell r="F89" t="str">
            <v>ADMINISTRATIVA/O DE FAENA</v>
          </cell>
          <cell r="G89" t="str">
            <v>LA SERENA</v>
          </cell>
          <cell r="H89" t="str">
            <v>9 meses, 6 días</v>
          </cell>
          <cell r="I89">
            <v>56920690511</v>
          </cell>
          <cell r="J89">
            <v>30721</v>
          </cell>
          <cell r="K89" t="str">
            <v>Si</v>
          </cell>
          <cell r="L89" t="str">
            <v>BANCOESTADO</v>
          </cell>
          <cell r="M89" t="str">
            <v>15037464</v>
          </cell>
          <cell r="N89" t="str">
            <v>jacquelinne.cuello@gmail.com</v>
          </cell>
          <cell r="O89">
            <v>45809</v>
          </cell>
          <cell r="P89">
            <v>45853</v>
          </cell>
          <cell r="Q89">
            <v>45915</v>
          </cell>
          <cell r="R89" t="str">
            <v>Indefinido</v>
          </cell>
          <cell r="S89" t="str">
            <v>Indefinido</v>
          </cell>
          <cell r="T89">
            <v>45809</v>
          </cell>
          <cell r="U89">
            <v>45846</v>
          </cell>
        </row>
        <row r="90">
          <cell r="B90" t="str">
            <v>16627778-7</v>
          </cell>
          <cell r="C90" t="str">
            <v>DAHLBOKUM OLIVARES STEPHANIA ANDREA</v>
          </cell>
          <cell r="D90" t="str">
            <v>B</v>
          </cell>
          <cell r="E90" t="str">
            <v>F</v>
          </cell>
          <cell r="F90" t="str">
            <v>ADMINISTRATIVA/O DE FAENA</v>
          </cell>
          <cell r="G90" t="str">
            <v>LA SERENA</v>
          </cell>
          <cell r="H90" t="str">
            <v>1 años, 10 días</v>
          </cell>
          <cell r="I90">
            <v>56942519076</v>
          </cell>
          <cell r="J90">
            <v>32104</v>
          </cell>
          <cell r="K90" t="str">
            <v>Si</v>
          </cell>
          <cell r="L90" t="str">
            <v>SCOTIABANK</v>
          </cell>
          <cell r="M90" t="str">
            <v>984320682</v>
          </cell>
          <cell r="N90" t="str">
            <v>sdahlbokum@gmail.com</v>
          </cell>
          <cell r="O90">
            <v>45713</v>
          </cell>
          <cell r="P90">
            <v>45747</v>
          </cell>
          <cell r="Q90">
            <v>45808</v>
          </cell>
          <cell r="R90" t="str">
            <v>Indefinido</v>
          </cell>
          <cell r="S90" t="str">
            <v>Indefinido</v>
          </cell>
          <cell r="T90">
            <v>45713</v>
          </cell>
          <cell r="U90">
            <v>45721</v>
          </cell>
        </row>
        <row r="91">
          <cell r="B91" t="str">
            <v>16400165-2</v>
          </cell>
          <cell r="C91" t="str">
            <v xml:space="preserve">DIAZ GUAJARDO CRISTIAN ESTEBAN </v>
          </cell>
          <cell r="D91" t="str">
            <v>B</v>
          </cell>
          <cell r="E91" t="str">
            <v>M</v>
          </cell>
          <cell r="F91" t="str">
            <v>AYUDANTE DE PERFORISTA</v>
          </cell>
          <cell r="G91" t="str">
            <v>NOGALES</v>
          </cell>
          <cell r="H91" t="str">
            <v>1 años, 4 meses, 23 días</v>
          </cell>
          <cell r="I91">
            <v>56953717765</v>
          </cell>
          <cell r="J91">
            <v>31492</v>
          </cell>
          <cell r="K91" t="str">
            <v>Si</v>
          </cell>
          <cell r="L91" t="str">
            <v>BANCO DE CHILE</v>
          </cell>
          <cell r="M91" t="str">
            <v>107190080675</v>
          </cell>
          <cell r="N91" t="str">
            <v>cristian.estebandiaz@gmail.com</v>
          </cell>
          <cell r="O91">
            <v>45580</v>
          </cell>
          <cell r="P91">
            <v>45611</v>
          </cell>
          <cell r="Q91">
            <v>45672</v>
          </cell>
          <cell r="R91" t="str">
            <v>Indefinido</v>
          </cell>
          <cell r="S91" t="str">
            <v>Indefinido</v>
          </cell>
          <cell r="T91">
            <v>45580</v>
          </cell>
          <cell r="U91">
            <v>45656</v>
          </cell>
        </row>
        <row r="92">
          <cell r="B92" t="str">
            <v>15494173-8</v>
          </cell>
          <cell r="C92" t="str">
            <v>FLORES FLORES JOSE LUIS</v>
          </cell>
          <cell r="D92" t="str">
            <v>B</v>
          </cell>
          <cell r="E92" t="str">
            <v>M</v>
          </cell>
          <cell r="F92" t="str">
            <v>AYUDANTE DE PERFORISTA</v>
          </cell>
          <cell r="G92" t="str">
            <v>ANDACOLLO</v>
          </cell>
          <cell r="H92" t="str">
            <v>4 meses, 23 días</v>
          </cell>
          <cell r="I92">
            <v>56979610431</v>
          </cell>
          <cell r="J92">
            <v>30265</v>
          </cell>
          <cell r="K92" t="str">
            <v>Si</v>
          </cell>
          <cell r="L92" t="str">
            <v>COOPEUCH</v>
          </cell>
          <cell r="M92" t="str">
            <v>184114226</v>
          </cell>
          <cell r="N92" t="str">
            <v>lujo.fj@gmail.com</v>
          </cell>
          <cell r="O92">
            <v>45945</v>
          </cell>
          <cell r="P92">
            <v>45976</v>
          </cell>
          <cell r="Q92">
            <v>45672</v>
          </cell>
          <cell r="R92" t="str">
            <v>Indefinido</v>
          </cell>
          <cell r="S92" t="str">
            <v>Indefinido</v>
          </cell>
          <cell r="T92">
            <v>45797</v>
          </cell>
          <cell r="U92">
            <v>45836</v>
          </cell>
        </row>
        <row r="93">
          <cell r="B93" t="str">
            <v>15196627-6</v>
          </cell>
          <cell r="C93" t="str">
            <v>FLORES SANHUEZA NELSON PATRICIO</v>
          </cell>
          <cell r="D93" t="str">
            <v>B</v>
          </cell>
          <cell r="E93" t="str">
            <v>M</v>
          </cell>
          <cell r="F93" t="str">
            <v xml:space="preserve">PREVENCIONISTA </v>
          </cell>
          <cell r="G93" t="str">
            <v>CURANILAHUE</v>
          </cell>
          <cell r="H93" t="str">
            <v>6 meses, 20 días</v>
          </cell>
          <cell r="I93">
            <v>56946482495</v>
          </cell>
          <cell r="J93">
            <v>30430</v>
          </cell>
          <cell r="L93" t="str">
            <v>BANCOESTADO</v>
          </cell>
          <cell r="M93">
            <v>15196627</v>
          </cell>
          <cell r="N93" t="str">
            <v>nelsonpflores@gmail.com</v>
          </cell>
          <cell r="O93">
            <v>45887</v>
          </cell>
          <cell r="P93">
            <v>45930</v>
          </cell>
          <cell r="Q93">
            <v>45991</v>
          </cell>
          <cell r="R93" t="str">
            <v>Indefinido</v>
          </cell>
          <cell r="S93" t="str">
            <v>Indefinido</v>
          </cell>
          <cell r="T93">
            <v>45887</v>
          </cell>
          <cell r="U93">
            <v>46017</v>
          </cell>
        </row>
        <row r="94">
          <cell r="B94" t="str">
            <v>13424802-5</v>
          </cell>
          <cell r="C94" t="str">
            <v>FUENTES ROBLEDO JORGE CRISTIAN</v>
          </cell>
          <cell r="D94" t="str">
            <v>B</v>
          </cell>
          <cell r="E94" t="str">
            <v>M</v>
          </cell>
          <cell r="F94" t="str">
            <v>PERFORISTA</v>
          </cell>
          <cell r="G94" t="str">
            <v>LA SERENA</v>
          </cell>
          <cell r="H94" t="str">
            <v>1 años, 4 meses, 2 días</v>
          </cell>
          <cell r="I94">
            <v>56942830194</v>
          </cell>
          <cell r="J94">
            <v>28675</v>
          </cell>
          <cell r="K94" t="str">
            <v>Parcialmente</v>
          </cell>
          <cell r="L94" t="str">
            <v>BANCOESTADO</v>
          </cell>
          <cell r="M94" t="str">
            <v>13424802</v>
          </cell>
          <cell r="N94" t="str">
            <v>jorgefuentrob@gmail.com</v>
          </cell>
          <cell r="O94">
            <v>45601</v>
          </cell>
          <cell r="P94">
            <v>45641</v>
          </cell>
          <cell r="Q94">
            <v>45703</v>
          </cell>
          <cell r="R94" t="str">
            <v>Indefinido</v>
          </cell>
          <cell r="S94" t="str">
            <v>Indefinido</v>
          </cell>
          <cell r="T94">
            <v>45601</v>
          </cell>
          <cell r="U94">
            <v>45656</v>
          </cell>
        </row>
        <row r="95">
          <cell r="B95" t="str">
            <v>17016281-1</v>
          </cell>
          <cell r="C95" t="str">
            <v>GALLARDO VERGARA JOSE LUIS</v>
          </cell>
          <cell r="D95" t="str">
            <v>B</v>
          </cell>
          <cell r="E95" t="str">
            <v>M</v>
          </cell>
          <cell r="F95" t="str">
            <v>AYUDANTE DE PERFORISTA</v>
          </cell>
          <cell r="G95" t="str">
            <v>LA SERENA</v>
          </cell>
          <cell r="H95" t="str">
            <v>1 años, 3 meses, 26 días</v>
          </cell>
          <cell r="I95">
            <v>56964876750</v>
          </cell>
          <cell r="J95">
            <v>32535</v>
          </cell>
          <cell r="K95" t="str">
            <v>Si</v>
          </cell>
          <cell r="L95" t="str">
            <v>Mercado Pago Emisora</v>
          </cell>
          <cell r="M95" t="str">
            <v>1012191038</v>
          </cell>
          <cell r="N95" t="str">
            <v>josegallardo556@gmail.com</v>
          </cell>
          <cell r="O95">
            <v>45607</v>
          </cell>
          <cell r="P95">
            <v>45641</v>
          </cell>
          <cell r="Q95">
            <v>45703</v>
          </cell>
          <cell r="R95" t="str">
            <v>Indefinido</v>
          </cell>
          <cell r="S95" t="str">
            <v>Indefinido</v>
          </cell>
          <cell r="T95">
            <v>45607</v>
          </cell>
          <cell r="U95">
            <v>45676</v>
          </cell>
        </row>
        <row r="96">
          <cell r="B96" t="str">
            <v>20925256-2</v>
          </cell>
          <cell r="C96" t="str">
            <v>GALLEGUILLOS ROJAS FABIAN NICOLAS</v>
          </cell>
          <cell r="D96" t="str">
            <v>B</v>
          </cell>
          <cell r="E96" t="str">
            <v>M</v>
          </cell>
          <cell r="F96" t="str">
            <v>AYUDANTE DE PERFORISTA</v>
          </cell>
          <cell r="G96" t="str">
            <v>COQUIMBO</v>
          </cell>
          <cell r="H96" t="str">
            <v>1 años, 1 meses, 4 días</v>
          </cell>
          <cell r="I96">
            <v>56971406597</v>
          </cell>
          <cell r="J96">
            <v>37205</v>
          </cell>
          <cell r="K96" t="str">
            <v>Si</v>
          </cell>
          <cell r="L96" t="str">
            <v>BANCOESTADO</v>
          </cell>
          <cell r="M96" t="str">
            <v>12700192260</v>
          </cell>
          <cell r="N96" t="str">
            <v>fabianfabianrojas1@gmail.com</v>
          </cell>
          <cell r="O96">
            <v>45691</v>
          </cell>
          <cell r="P96">
            <v>45731</v>
          </cell>
          <cell r="Q96">
            <v>45792</v>
          </cell>
          <cell r="R96" t="str">
            <v>Indefinido</v>
          </cell>
          <cell r="S96" t="str">
            <v>Indefinido</v>
          </cell>
          <cell r="T96">
            <v>45691</v>
          </cell>
          <cell r="U96">
            <v>45716</v>
          </cell>
        </row>
        <row r="97">
          <cell r="B97" t="str">
            <v>19662114-8</v>
          </cell>
          <cell r="C97" t="str">
            <v>GALVEZ ABALOS BRAHYAN SCARLY</v>
          </cell>
          <cell r="D97" t="str">
            <v>B</v>
          </cell>
          <cell r="E97" t="str">
            <v>M</v>
          </cell>
          <cell r="F97" t="str">
            <v>AYUDANTE DE PERFORISTA</v>
          </cell>
          <cell r="G97" t="str">
            <v>LA SERENA</v>
          </cell>
          <cell r="H97" t="str">
            <v>1 años, 4 meses, 15 días</v>
          </cell>
          <cell r="I97">
            <v>56952141067</v>
          </cell>
          <cell r="J97">
            <v>35838</v>
          </cell>
          <cell r="K97" t="str">
            <v>Si</v>
          </cell>
          <cell r="L97" t="str">
            <v>BANCOESTADO</v>
          </cell>
          <cell r="M97" t="str">
            <v>19662114</v>
          </cell>
          <cell r="N97" t="str">
            <v>brahyan.galvez.a@gmail.com</v>
          </cell>
          <cell r="O97">
            <v>45588</v>
          </cell>
          <cell r="P97">
            <v>45626</v>
          </cell>
          <cell r="Q97">
            <v>45688</v>
          </cell>
          <cell r="R97" t="str">
            <v>Indefinido</v>
          </cell>
          <cell r="S97" t="str">
            <v>Indefinido</v>
          </cell>
          <cell r="T97">
            <v>45588</v>
          </cell>
          <cell r="U97">
            <v>45636</v>
          </cell>
        </row>
        <row r="98">
          <cell r="B98" t="str">
            <v>18520647-5</v>
          </cell>
          <cell r="C98" t="str">
            <v>GATICA CASTRO LEONARDO PATRICIO</v>
          </cell>
          <cell r="D98" t="str">
            <v>B</v>
          </cell>
          <cell r="E98" t="str">
            <v>M</v>
          </cell>
          <cell r="F98" t="str">
            <v>SOLDADOR</v>
          </cell>
          <cell r="G98" t="str">
            <v>VALLENAR</v>
          </cell>
          <cell r="H98" t="str">
            <v>8 meses, 0 días</v>
          </cell>
          <cell r="I98">
            <v>56978786343</v>
          </cell>
          <cell r="J98">
            <v>34185</v>
          </cell>
          <cell r="L98" t="e">
            <v>#N/A</v>
          </cell>
          <cell r="M98" t="e">
            <v>#N/A</v>
          </cell>
          <cell r="N98" t="str">
            <v>gatica.castrolgc@gmail.com</v>
          </cell>
          <cell r="O98">
            <v>45845</v>
          </cell>
          <cell r="P98">
            <v>45884</v>
          </cell>
          <cell r="Q98">
            <v>45945</v>
          </cell>
          <cell r="R98" t="str">
            <v>Indefinido</v>
          </cell>
          <cell r="S98" t="str">
            <v>Indefinido</v>
          </cell>
          <cell r="T98">
            <v>45943</v>
          </cell>
          <cell r="U98">
            <v>45959</v>
          </cell>
        </row>
        <row r="99">
          <cell r="B99" t="str">
            <v>11818450-5</v>
          </cell>
          <cell r="C99" t="str">
            <v xml:space="preserve">GONZALEZ RIVERA DAVID </v>
          </cell>
          <cell r="D99" t="str">
            <v>B</v>
          </cell>
          <cell r="E99" t="str">
            <v>M</v>
          </cell>
          <cell r="F99" t="str">
            <v>CHOFER TRADUCTOR</v>
          </cell>
          <cell r="G99" t="str">
            <v>ANTOFAGASTA</v>
          </cell>
          <cell r="H99" t="str">
            <v>3 meses, 18 días</v>
          </cell>
          <cell r="I99">
            <v>56939469204</v>
          </cell>
          <cell r="J99">
            <v>25996</v>
          </cell>
          <cell r="N99" t="str">
            <v>dargor071@gmail.com</v>
          </cell>
          <cell r="O99">
            <v>45980</v>
          </cell>
          <cell r="P99">
            <v>46022</v>
          </cell>
          <cell r="Q99">
            <v>46081</v>
          </cell>
          <cell r="R99" t="str">
            <v>Plazo fijo</v>
          </cell>
          <cell r="S99" t="str">
            <v>Plazo fijo</v>
          </cell>
          <cell r="T99">
            <v>45980</v>
          </cell>
          <cell r="U99">
            <v>46056</v>
          </cell>
        </row>
        <row r="100">
          <cell r="B100" t="str">
            <v>17015679-K</v>
          </cell>
          <cell r="C100" t="str">
            <v>GONZALEZ RODRIGUEZ RODRIGO ALEJANDRO</v>
          </cell>
          <cell r="D100" t="str">
            <v>B</v>
          </cell>
          <cell r="E100" t="str">
            <v>M</v>
          </cell>
          <cell r="F100" t="str">
            <v>AYUDANTE DE PERFORISTA</v>
          </cell>
          <cell r="G100" t="str">
            <v>LA SERENA</v>
          </cell>
          <cell r="H100" t="str">
            <v>7 meses, 15 días</v>
          </cell>
          <cell r="I100">
            <v>56940000867</v>
          </cell>
          <cell r="J100">
            <v>32428</v>
          </cell>
          <cell r="L100" t="e">
            <v>#N/A</v>
          </cell>
          <cell r="M100" t="e">
            <v>#N/A</v>
          </cell>
          <cell r="N100" t="str">
            <v>alejandro25gr@gmail.com</v>
          </cell>
          <cell r="O100">
            <v>45861</v>
          </cell>
          <cell r="P100">
            <v>45900</v>
          </cell>
          <cell r="Q100">
            <v>45961</v>
          </cell>
          <cell r="R100" t="str">
            <v>Indefinido</v>
          </cell>
          <cell r="S100" t="str">
            <v>Indefinido</v>
          </cell>
          <cell r="T100">
            <v>45931</v>
          </cell>
          <cell r="U100">
            <v>45936</v>
          </cell>
        </row>
        <row r="101">
          <cell r="B101" t="str">
            <v>12707776-2</v>
          </cell>
          <cell r="C101" t="str">
            <v>GUTIERREZ FUENTES RICARDO DE LAS NIEVES</v>
          </cell>
          <cell r="D101" t="str">
            <v>B</v>
          </cell>
          <cell r="E101" t="str">
            <v>M</v>
          </cell>
          <cell r="F101" t="str">
            <v>CHOFER</v>
          </cell>
          <cell r="G101" t="str">
            <v>COQUIMBO</v>
          </cell>
          <cell r="H101" t="str">
            <v>8 meses, 27 días</v>
          </cell>
          <cell r="I101">
            <v>56936166828</v>
          </cell>
          <cell r="J101">
            <v>26684</v>
          </cell>
          <cell r="K101" t="str">
            <v>Si</v>
          </cell>
          <cell r="L101" t="str">
            <v>BANCO FALABELLA</v>
          </cell>
          <cell r="M101" t="str">
            <v>19995508241</v>
          </cell>
          <cell r="N101" t="str">
            <v>ricardozf73@gmail.com</v>
          </cell>
          <cell r="O101">
            <v>45818</v>
          </cell>
          <cell r="P101">
            <v>45853</v>
          </cell>
          <cell r="Q101">
            <v>45915</v>
          </cell>
          <cell r="R101" t="str">
            <v>Indefinido</v>
          </cell>
          <cell r="S101" t="str">
            <v>Indefinido</v>
          </cell>
          <cell r="T101">
            <v>45818</v>
          </cell>
          <cell r="U101">
            <v>45836</v>
          </cell>
        </row>
        <row r="102">
          <cell r="B102" t="str">
            <v>15909715-3</v>
          </cell>
          <cell r="C102" t="str">
            <v>HENRIQUEZ VARGAS ANDRES JOAQUIN</v>
          </cell>
          <cell r="D102" t="str">
            <v>B</v>
          </cell>
          <cell r="E102" t="str">
            <v>M</v>
          </cell>
          <cell r="F102" t="str">
            <v>PERFORISTA</v>
          </cell>
          <cell r="G102" t="str">
            <v>COMBARBALÁ</v>
          </cell>
          <cell r="H102" t="str">
            <v>11 meses, 4 días</v>
          </cell>
          <cell r="I102">
            <v>56932670415</v>
          </cell>
          <cell r="J102">
            <v>31123</v>
          </cell>
          <cell r="K102" t="str">
            <v>Si</v>
          </cell>
          <cell r="L102" t="str">
            <v>BANCO FALABELLA</v>
          </cell>
          <cell r="M102" t="str">
            <v>1980115252-7</v>
          </cell>
          <cell r="N102" t="str">
            <v>andreshenvar@gmail.com</v>
          </cell>
          <cell r="O102">
            <v>45750</v>
          </cell>
          <cell r="P102">
            <v>45792</v>
          </cell>
          <cell r="Q102">
            <v>45853</v>
          </cell>
          <cell r="R102" t="str">
            <v>Indefinido</v>
          </cell>
          <cell r="S102" t="str">
            <v>Indefinido</v>
          </cell>
          <cell r="T102">
            <v>45789</v>
          </cell>
          <cell r="U102">
            <v>45817</v>
          </cell>
        </row>
        <row r="103">
          <cell r="B103" t="str">
            <v>19347572-8</v>
          </cell>
          <cell r="C103" t="str">
            <v>HENRIQUEZ VARGAS VICTOR IGNACIO</v>
          </cell>
          <cell r="D103" t="str">
            <v>B</v>
          </cell>
          <cell r="E103" t="str">
            <v>M</v>
          </cell>
          <cell r="F103" t="str">
            <v>AYUDANTE DE PERFORISTA</v>
          </cell>
          <cell r="G103" t="str">
            <v>LA SERENA</v>
          </cell>
          <cell r="H103" t="str">
            <v>7 meses, 3 días</v>
          </cell>
          <cell r="I103">
            <v>56987279590</v>
          </cell>
          <cell r="J103">
            <v>35094</v>
          </cell>
          <cell r="L103" t="str">
            <v>BANCOESTADO</v>
          </cell>
          <cell r="M103" t="str">
            <v>19347572</v>
          </cell>
          <cell r="N103" t="str">
            <v>vitinalexis.26@gmail.com</v>
          </cell>
          <cell r="O103">
            <v>45873</v>
          </cell>
          <cell r="P103">
            <v>45915</v>
          </cell>
          <cell r="Q103">
            <v>45976</v>
          </cell>
          <cell r="R103" t="str">
            <v>Indefinido</v>
          </cell>
          <cell r="S103" t="str">
            <v>Indefinido</v>
          </cell>
          <cell r="T103">
            <v>45873</v>
          </cell>
          <cell r="U103">
            <v>45929</v>
          </cell>
        </row>
        <row r="104">
          <cell r="B104" t="str">
            <v>16581882-2</v>
          </cell>
          <cell r="C104" t="str">
            <v>JUAREZ MORALES MIGUEL SEBASTIAN</v>
          </cell>
          <cell r="D104" t="str">
            <v>B</v>
          </cell>
          <cell r="E104" t="str">
            <v>M</v>
          </cell>
          <cell r="F104" t="str">
            <v>CHOFER</v>
          </cell>
          <cell r="G104" t="str">
            <v>LA SERENA</v>
          </cell>
          <cell r="H104" t="str">
            <v>4 meses, 10 días</v>
          </cell>
          <cell r="I104">
            <v>56968436477</v>
          </cell>
          <cell r="J104">
            <v>32115</v>
          </cell>
          <cell r="N104" t="str">
            <v>miguel.juarez.morales27@gmail.com</v>
          </cell>
          <cell r="O104">
            <v>45958</v>
          </cell>
          <cell r="P104">
            <v>45991</v>
          </cell>
          <cell r="Q104">
            <v>46053</v>
          </cell>
          <cell r="R104" t="str">
            <v>Indefinido</v>
          </cell>
          <cell r="S104" t="str">
            <v>Indefinido</v>
          </cell>
          <cell r="T104">
            <v>46051</v>
          </cell>
          <cell r="U104">
            <v>46063</v>
          </cell>
        </row>
        <row r="105">
          <cell r="B105" t="str">
            <v>18754207-3</v>
          </cell>
          <cell r="C105" t="str">
            <v>LABRIN ESPINOZA CLAUDIO ALEXIS</v>
          </cell>
          <cell r="D105" t="str">
            <v>B</v>
          </cell>
          <cell r="E105" t="str">
            <v>M</v>
          </cell>
          <cell r="F105" t="str">
            <v>CHOFER</v>
          </cell>
          <cell r="G105" t="str">
            <v>TEMUCO</v>
          </cell>
          <cell r="H105" t="str">
            <v>9 meses, 25 días</v>
          </cell>
          <cell r="I105">
            <v>56930374843</v>
          </cell>
          <cell r="J105">
            <v>34701</v>
          </cell>
          <cell r="K105" t="str">
            <v>Si</v>
          </cell>
          <cell r="L105" t="str">
            <v>BANCO FALABELLA</v>
          </cell>
          <cell r="M105" t="str">
            <v>19840446736</v>
          </cell>
          <cell r="N105" t="str">
            <v>labrin.clsudio26@gmail.com</v>
          </cell>
          <cell r="O105">
            <v>45790</v>
          </cell>
          <cell r="P105">
            <v>45823</v>
          </cell>
          <cell r="Q105">
            <v>45884</v>
          </cell>
          <cell r="R105" t="str">
            <v>Indefinido</v>
          </cell>
          <cell r="S105" t="str">
            <v>Indefinido</v>
          </cell>
          <cell r="T105">
            <v>45790</v>
          </cell>
          <cell r="U105">
            <v>45839</v>
          </cell>
        </row>
        <row r="106">
          <cell r="B106" t="str">
            <v>25073481-6</v>
          </cell>
          <cell r="C106" t="str">
            <v>LEON AVELLA BRENDA LIZETH</v>
          </cell>
          <cell r="D106" t="str">
            <v>B</v>
          </cell>
          <cell r="E106" t="str">
            <v>M</v>
          </cell>
          <cell r="F106" t="str">
            <v>AYUDANTE DE PERFORISTA</v>
          </cell>
          <cell r="G106" t="str">
            <v>ANTOFAGASTA</v>
          </cell>
          <cell r="H106" t="str">
            <v>2 meses, 16 días</v>
          </cell>
          <cell r="I106">
            <v>56967587507</v>
          </cell>
          <cell r="J106">
            <v>36050</v>
          </cell>
          <cell r="N106" t="str">
            <v>brendaleon98@hotmail.com</v>
          </cell>
          <cell r="O106">
            <v>46013</v>
          </cell>
          <cell r="P106">
            <v>46053</v>
          </cell>
          <cell r="Q106">
            <v>46112</v>
          </cell>
          <cell r="R106" t="str">
            <v>Plazo fijo</v>
          </cell>
          <cell r="S106" t="str">
            <v>Plazo fijo</v>
          </cell>
          <cell r="T106">
            <v>46013</v>
          </cell>
          <cell r="U106">
            <v>46063</v>
          </cell>
        </row>
        <row r="107">
          <cell r="B107" t="str">
            <v>16597409-3</v>
          </cell>
          <cell r="C107" t="str">
            <v>LINDERMANN LINDERMANN DANIEL ARMANDO</v>
          </cell>
          <cell r="D107" t="str">
            <v>B</v>
          </cell>
          <cell r="E107" t="str">
            <v>M</v>
          </cell>
          <cell r="F107" t="str">
            <v>SUPERVISOR DE OPERACIONES</v>
          </cell>
          <cell r="G107" t="str">
            <v>LA CALERA</v>
          </cell>
          <cell r="H107" t="str">
            <v>1 años, 5 meses, 6 días</v>
          </cell>
          <cell r="I107">
            <v>56986764022</v>
          </cell>
          <cell r="J107">
            <v>32043</v>
          </cell>
          <cell r="K107" t="str">
            <v>Parcialmente</v>
          </cell>
          <cell r="L107" t="e">
            <v>#N/A</v>
          </cell>
          <cell r="M107" t="e">
            <v>#N/A</v>
          </cell>
          <cell r="N107" t="str">
            <v>daniellinder2314@gmail.com</v>
          </cell>
          <cell r="O107">
            <v>45566</v>
          </cell>
          <cell r="P107">
            <v>45596</v>
          </cell>
          <cell r="Q107">
            <v>45657</v>
          </cell>
          <cell r="R107" t="str">
            <v>Indefinido</v>
          </cell>
          <cell r="S107" t="str">
            <v>Indefinido</v>
          </cell>
          <cell r="T107">
            <v>45597</v>
          </cell>
          <cell r="U107">
            <v>45636</v>
          </cell>
        </row>
        <row r="108">
          <cell r="B108" t="str">
            <v>13223287-3</v>
          </cell>
          <cell r="C108" t="str">
            <v>LOPEZ BARRIOS ESTEBAN DAGOBERTO</v>
          </cell>
          <cell r="D108" t="str">
            <v>B</v>
          </cell>
          <cell r="E108" t="str">
            <v>M</v>
          </cell>
          <cell r="F108" t="str">
            <v>CHOFER</v>
          </cell>
          <cell r="G108" t="str">
            <v>LA SERENA</v>
          </cell>
          <cell r="H108" t="str">
            <v>1 años, 4 meses, 23 días</v>
          </cell>
          <cell r="I108">
            <v>56978941300</v>
          </cell>
          <cell r="J108">
            <v>28122</v>
          </cell>
          <cell r="K108" t="str">
            <v>Si</v>
          </cell>
          <cell r="L108" t="str">
            <v>BANCOESTADO</v>
          </cell>
          <cell r="M108" t="str">
            <v>13000013891</v>
          </cell>
          <cell r="N108" t="str">
            <v>esteban.lopezbarrios@gmail.com</v>
          </cell>
          <cell r="O108">
            <v>45580</v>
          </cell>
          <cell r="P108">
            <v>45611</v>
          </cell>
          <cell r="Q108">
            <v>45672</v>
          </cell>
          <cell r="R108" t="str">
            <v>Indefinido</v>
          </cell>
          <cell r="S108" t="str">
            <v>Indefinido</v>
          </cell>
          <cell r="T108">
            <v>45698</v>
          </cell>
          <cell r="U108">
            <v>45716</v>
          </cell>
        </row>
        <row r="109">
          <cell r="B109" t="str">
            <v>18575188-0</v>
          </cell>
          <cell r="C109" t="str">
            <v>LOPEZ GARCIA IVAN ESTEBAN</v>
          </cell>
          <cell r="D109" t="str">
            <v>B</v>
          </cell>
          <cell r="E109" t="str">
            <v>M</v>
          </cell>
          <cell r="F109" t="str">
            <v>CHOFER</v>
          </cell>
          <cell r="G109" t="str">
            <v>LA SERENA</v>
          </cell>
          <cell r="H109" t="str">
            <v>1 años, 4 meses, 14 días</v>
          </cell>
          <cell r="I109">
            <v>56966948258</v>
          </cell>
          <cell r="J109">
            <v>34600</v>
          </cell>
          <cell r="K109" t="str">
            <v>Si</v>
          </cell>
          <cell r="L109" t="str">
            <v>BANCO FALABELLA</v>
          </cell>
          <cell r="M109" t="str">
            <v>19996210638</v>
          </cell>
          <cell r="N109" t="str">
            <v>ivan.lopez.ge@gmail.com</v>
          </cell>
          <cell r="O109">
            <v>45589</v>
          </cell>
          <cell r="P109">
            <v>45626</v>
          </cell>
          <cell r="Q109">
            <v>45688</v>
          </cell>
          <cell r="R109" t="str">
            <v>Indefinido</v>
          </cell>
          <cell r="S109" t="str">
            <v>Indefinido</v>
          </cell>
          <cell r="T109">
            <v>45589</v>
          </cell>
          <cell r="U109">
            <v>45636</v>
          </cell>
        </row>
        <row r="110">
          <cell r="B110" t="str">
            <v>18139820-5</v>
          </cell>
          <cell r="C110" t="str">
            <v>MALDONADO OLIVARES GUSTAVO ADOLFO</v>
          </cell>
          <cell r="D110" t="str">
            <v>B</v>
          </cell>
          <cell r="E110" t="str">
            <v>M</v>
          </cell>
          <cell r="F110" t="str">
            <v>AYUDANTE DE PERFORISTA</v>
          </cell>
          <cell r="G110" t="str">
            <v>COPIAPO</v>
          </cell>
          <cell r="H110" t="str">
            <v>1 años, 1 meses, 0 días</v>
          </cell>
          <cell r="I110">
            <v>56949966706</v>
          </cell>
          <cell r="J110">
            <v>33617</v>
          </cell>
          <cell r="K110" t="str">
            <v>Si</v>
          </cell>
          <cell r="L110" t="str">
            <v>SANTANDER</v>
          </cell>
          <cell r="M110" t="str">
            <v>96873956</v>
          </cell>
          <cell r="N110" t="str">
            <v>gmaldonadoolivares@gmail.com</v>
          </cell>
          <cell r="O110">
            <v>45695</v>
          </cell>
          <cell r="P110">
            <v>45731</v>
          </cell>
          <cell r="Q110">
            <v>45792</v>
          </cell>
          <cell r="R110" t="str">
            <v>Indefinido</v>
          </cell>
          <cell r="S110" t="str">
            <v>Indefinido</v>
          </cell>
          <cell r="T110">
            <v>45695</v>
          </cell>
          <cell r="U110">
            <v>45716</v>
          </cell>
        </row>
        <row r="111">
          <cell r="B111" t="str">
            <v>15050755-3</v>
          </cell>
          <cell r="C111" t="str">
            <v>MERY ROBLEDO FELIX ALEJANDRO</v>
          </cell>
          <cell r="D111" t="str">
            <v>B</v>
          </cell>
          <cell r="E111" t="str">
            <v>M</v>
          </cell>
          <cell r="F111" t="str">
            <v>ADMINISTRATIVA/O DE FAENA</v>
          </cell>
          <cell r="G111" t="str">
            <v>COQUIMBO</v>
          </cell>
          <cell r="H111" t="str">
            <v>1 años, 4 meses, 17 días</v>
          </cell>
          <cell r="I111">
            <v>56971874754</v>
          </cell>
          <cell r="J111">
            <v>29974</v>
          </cell>
          <cell r="K111" t="str">
            <v>Si</v>
          </cell>
          <cell r="L111" t="str">
            <v>BANCO FALABELLA</v>
          </cell>
          <cell r="M111" t="str">
            <v>13710049395</v>
          </cell>
          <cell r="N111" t="str">
            <v>felix.mery.robledo@gmail.com</v>
          </cell>
          <cell r="O111">
            <v>45586</v>
          </cell>
          <cell r="P111">
            <v>45626</v>
          </cell>
          <cell r="Q111">
            <v>45688</v>
          </cell>
          <cell r="R111" t="str">
            <v>Indefinido</v>
          </cell>
          <cell r="S111" t="str">
            <v>Indefinido</v>
          </cell>
          <cell r="T111">
            <v>45586</v>
          </cell>
          <cell r="U111">
            <v>45636</v>
          </cell>
        </row>
        <row r="112">
          <cell r="B112" t="str">
            <v>17542518-7</v>
          </cell>
          <cell r="C112" t="str">
            <v>MOHAMED MOHAMED ESLEMAN GONZALO</v>
          </cell>
          <cell r="D112" t="str">
            <v>B</v>
          </cell>
          <cell r="E112" t="str">
            <v>M</v>
          </cell>
          <cell r="F112" t="str">
            <v xml:space="preserve">PREVENCIONISTA </v>
          </cell>
          <cell r="G112" t="str">
            <v>SANTIAGO</v>
          </cell>
          <cell r="H112" t="str">
            <v>13 días</v>
          </cell>
          <cell r="I112">
            <v>56967223026</v>
          </cell>
          <cell r="J112">
            <v>33017</v>
          </cell>
          <cell r="K112" t="str">
            <v>Si</v>
          </cell>
          <cell r="L112" t="e">
            <v>#N/A</v>
          </cell>
          <cell r="M112" t="e">
            <v>#N/A</v>
          </cell>
          <cell r="N112" t="e">
            <v>#N/A</v>
          </cell>
          <cell r="O112">
            <v>45741</v>
          </cell>
          <cell r="P112">
            <v>45777</v>
          </cell>
          <cell r="Q112">
            <v>45838</v>
          </cell>
          <cell r="R112" t="str">
            <v>Indefinido</v>
          </cell>
          <cell r="S112" t="str">
            <v>Indefinido</v>
          </cell>
          <cell r="T112">
            <v>45779</v>
          </cell>
          <cell r="U112">
            <v>46036</v>
          </cell>
        </row>
        <row r="113">
          <cell r="B113" t="str">
            <v>19349275-4</v>
          </cell>
          <cell r="C113" t="str">
            <v>MORALES CASTILLO CLAUDIO ANDRES</v>
          </cell>
          <cell r="D113" t="str">
            <v>B</v>
          </cell>
          <cell r="E113" t="str">
            <v>M</v>
          </cell>
          <cell r="F113" t="str">
            <v>AYUDANTE DE PERFORISTA</v>
          </cell>
          <cell r="G113" t="str">
            <v>COQUIMBO</v>
          </cell>
          <cell r="H113" t="str">
            <v>6 meses, 17 días</v>
          </cell>
          <cell r="I113">
            <v>56982566702</v>
          </cell>
          <cell r="J113">
            <v>35345</v>
          </cell>
          <cell r="L113" t="str">
            <v>Los Andes Tarjetas de Prepago S.A.</v>
          </cell>
          <cell r="M113" t="str">
            <v>19349275</v>
          </cell>
          <cell r="N113" t="str">
            <v>claudiomorales528@gmail.com</v>
          </cell>
          <cell r="O113">
            <v>45890</v>
          </cell>
          <cell r="P113">
            <v>45930</v>
          </cell>
          <cell r="Q113">
            <v>45991</v>
          </cell>
          <cell r="R113" t="str">
            <v>Indefinido</v>
          </cell>
          <cell r="S113" t="str">
            <v>Indefinido</v>
          </cell>
          <cell r="T113">
            <v>45890</v>
          </cell>
          <cell r="U113">
            <v>45936</v>
          </cell>
        </row>
        <row r="114">
          <cell r="B114" t="str">
            <v>16550436-4</v>
          </cell>
          <cell r="C114" t="str">
            <v>MOYANO GUERRERO MILENCO ALEXIS</v>
          </cell>
          <cell r="D114" t="str">
            <v>B</v>
          </cell>
          <cell r="E114" t="str">
            <v>M</v>
          </cell>
          <cell r="F114" t="str">
            <v>PERFORISTA</v>
          </cell>
          <cell r="G114" t="str">
            <v>COQUIMBO</v>
          </cell>
          <cell r="H114" t="str">
            <v>7 meses, 0 días</v>
          </cell>
          <cell r="I114">
            <v>56998387416</v>
          </cell>
          <cell r="J114">
            <v>31710</v>
          </cell>
          <cell r="L114" t="str">
            <v>SANTANDER</v>
          </cell>
          <cell r="M114" t="str">
            <v>96910258</v>
          </cell>
          <cell r="N114" t="str">
            <v>mmilenco86moyano@gmail.com</v>
          </cell>
          <cell r="O114">
            <v>45876</v>
          </cell>
          <cell r="P114">
            <v>45915</v>
          </cell>
          <cell r="Q114">
            <v>45976</v>
          </cell>
          <cell r="R114" t="str">
            <v>Indefinido</v>
          </cell>
          <cell r="S114" t="str">
            <v>Indefinido</v>
          </cell>
          <cell r="T114">
            <v>45876</v>
          </cell>
          <cell r="U114">
            <v>45924</v>
          </cell>
        </row>
        <row r="115">
          <cell r="B115" t="str">
            <v>20912297-9</v>
          </cell>
          <cell r="C115" t="str">
            <v>MUÑOZ ARANDA NICOLAS NEIL</v>
          </cell>
          <cell r="D115" t="str">
            <v>B</v>
          </cell>
          <cell r="E115" t="str">
            <v>M</v>
          </cell>
          <cell r="F115" t="str">
            <v>AYUDANTE DE PERFORISTA</v>
          </cell>
          <cell r="G115" t="str">
            <v>LA SERENA</v>
          </cell>
          <cell r="H115" t="str">
            <v>5 meses, 8 días</v>
          </cell>
          <cell r="I115">
            <v>56962924314</v>
          </cell>
          <cell r="J115">
            <v>37164</v>
          </cell>
          <cell r="L115" t="str">
            <v>BANCO FALABELLA</v>
          </cell>
          <cell r="M115" t="str">
            <v>19831919777</v>
          </cell>
          <cell r="N115" t="str">
            <v>nicolasmunozaranda2018@gmail.com</v>
          </cell>
          <cell r="O115">
            <v>45929</v>
          </cell>
          <cell r="P115">
            <v>45991</v>
          </cell>
          <cell r="Q115">
            <v>46053</v>
          </cell>
          <cell r="R115" t="str">
            <v>Plazo fijo</v>
          </cell>
          <cell r="S115" t="str">
            <v>Plazo fijo</v>
          </cell>
          <cell r="T115">
            <v>45888</v>
          </cell>
          <cell r="U115">
            <v>45959</v>
          </cell>
        </row>
        <row r="116">
          <cell r="B116" t="str">
            <v>16281802-3</v>
          </cell>
          <cell r="C116" t="str">
            <v>NAVARRO ESPINOZA FRANCISCO JAVIER</v>
          </cell>
          <cell r="D116" t="str">
            <v>B</v>
          </cell>
          <cell r="E116" t="str">
            <v>M</v>
          </cell>
          <cell r="F116" t="str">
            <v>ELECTROMECÁNICO</v>
          </cell>
          <cell r="G116" t="str">
            <v>ANTOFAGASTA</v>
          </cell>
          <cell r="H116" t="str">
            <v>2 meses, 0 días</v>
          </cell>
          <cell r="I116">
            <v>56988877854</v>
          </cell>
          <cell r="J116">
            <v>46029</v>
          </cell>
          <cell r="N116" t="str">
            <v>francisconavarro.e@gmail.com</v>
          </cell>
          <cell r="O116">
            <v>46029</v>
          </cell>
          <cell r="P116">
            <v>46068</v>
          </cell>
          <cell r="Q116">
            <v>46127</v>
          </cell>
          <cell r="R116" t="str">
            <v>Plazo fijo</v>
          </cell>
          <cell r="S116" t="str">
            <v>Plazo fijo</v>
          </cell>
          <cell r="T116">
            <v>46029</v>
          </cell>
          <cell r="U116">
            <v>46063</v>
          </cell>
        </row>
        <row r="117">
          <cell r="B117" t="str">
            <v>19506760-0</v>
          </cell>
          <cell r="C117" t="str">
            <v>NEGRETE MADRID ANGELO JAVIER</v>
          </cell>
          <cell r="D117" t="str">
            <v>B</v>
          </cell>
          <cell r="E117" t="str">
            <v>M</v>
          </cell>
          <cell r="F117" t="str">
            <v>AYUDANTE DE PERFORISTA</v>
          </cell>
          <cell r="G117" t="str">
            <v>COQUIMBO</v>
          </cell>
          <cell r="H117" t="str">
            <v>1 años, 4 meses, 6 días</v>
          </cell>
          <cell r="I117">
            <v>56933678091</v>
          </cell>
          <cell r="J117">
            <v>35599</v>
          </cell>
          <cell r="K117" t="str">
            <v>Si</v>
          </cell>
          <cell r="L117" t="str">
            <v>BANCO RIPLEY</v>
          </cell>
          <cell r="M117" t="str">
            <v>4012055719</v>
          </cell>
          <cell r="N117" t="str">
            <v>angeloxcx.am@gmail.com</v>
          </cell>
          <cell r="O117">
            <v>45597</v>
          </cell>
          <cell r="P117">
            <v>45626</v>
          </cell>
          <cell r="Q117">
            <v>45688</v>
          </cell>
          <cell r="R117" t="str">
            <v>Indefinido</v>
          </cell>
          <cell r="S117" t="str">
            <v>Indefinido</v>
          </cell>
          <cell r="T117">
            <v>45597</v>
          </cell>
          <cell r="U117">
            <v>45636</v>
          </cell>
        </row>
        <row r="118">
          <cell r="B118" t="str">
            <v>20057898-8</v>
          </cell>
          <cell r="C118" t="str">
            <v>NILO BERGUÑO SEBASTIAN ALEJANDRO</v>
          </cell>
          <cell r="D118" t="str">
            <v>B</v>
          </cell>
          <cell r="E118" t="str">
            <v>M</v>
          </cell>
          <cell r="F118" t="str">
            <v xml:space="preserve">MECANICO </v>
          </cell>
          <cell r="G118" t="str">
            <v>SANTIAGO</v>
          </cell>
          <cell r="H118" t="str">
            <v>1 años, 5 meses, 6 días</v>
          </cell>
          <cell r="I118">
            <v>56984899318</v>
          </cell>
          <cell r="J118">
            <v>36172</v>
          </cell>
          <cell r="K118" t="str">
            <v>Parcialmente</v>
          </cell>
          <cell r="L118" t="str">
            <v>BANCO FALABELLA</v>
          </cell>
          <cell r="M118" t="str">
            <v>19996537547</v>
          </cell>
          <cell r="N118" t="str">
            <v>s.alejandro.nilo@gmail.com</v>
          </cell>
          <cell r="O118">
            <v>45566</v>
          </cell>
          <cell r="P118">
            <v>45611</v>
          </cell>
          <cell r="Q118">
            <v>45672</v>
          </cell>
          <cell r="R118" t="str">
            <v>Indefinido</v>
          </cell>
          <cell r="S118" t="str">
            <v>Indefinido</v>
          </cell>
          <cell r="T118">
            <v>45629</v>
          </cell>
          <cell r="U118">
            <v>45636</v>
          </cell>
        </row>
        <row r="119">
          <cell r="B119" t="str">
            <v>13904830-K</v>
          </cell>
          <cell r="C119" t="str">
            <v>NUÑEZ PENDOLA HUGO ITALO</v>
          </cell>
          <cell r="D119" t="str">
            <v>B</v>
          </cell>
          <cell r="E119" t="str">
            <v>M</v>
          </cell>
          <cell r="F119" t="str">
            <v>CHOFER</v>
          </cell>
          <cell r="G119" t="str">
            <v>SANTIAGO</v>
          </cell>
          <cell r="H119" t="str">
            <v>1 años, 23 días</v>
          </cell>
          <cell r="I119">
            <v>56996548488</v>
          </cell>
          <cell r="J119">
            <v>29234</v>
          </cell>
          <cell r="K119" t="str">
            <v>Si</v>
          </cell>
          <cell r="L119" t="str">
            <v>BANCOESTADO</v>
          </cell>
          <cell r="M119" t="str">
            <v>13904830</v>
          </cell>
          <cell r="N119" t="str">
            <v>Hugol23@hotmail.com</v>
          </cell>
          <cell r="O119">
            <v>45700</v>
          </cell>
          <cell r="P119">
            <v>45731</v>
          </cell>
          <cell r="Q119">
            <v>45792</v>
          </cell>
          <cell r="R119" t="str">
            <v>Indefinido</v>
          </cell>
          <cell r="S119" t="str">
            <v>Indefinido</v>
          </cell>
          <cell r="T119">
            <v>45700</v>
          </cell>
          <cell r="U119">
            <v>45719</v>
          </cell>
        </row>
        <row r="120">
          <cell r="B120" t="str">
            <v>18632466-8</v>
          </cell>
          <cell r="C120" t="str">
            <v>OLIVA CASTILLO FRANCO HERNAN</v>
          </cell>
          <cell r="D120" t="str">
            <v>B</v>
          </cell>
          <cell r="E120" t="str">
            <v>M</v>
          </cell>
          <cell r="F120" t="str">
            <v>AYUDANTE DE PERFORISTA</v>
          </cell>
          <cell r="G120" t="str">
            <v>LA SERENA</v>
          </cell>
          <cell r="H120" t="str">
            <v>11 meses, 6 días</v>
          </cell>
          <cell r="I120">
            <v>56984407628</v>
          </cell>
          <cell r="J120">
            <v>34317</v>
          </cell>
          <cell r="K120" t="str">
            <v>Parcialmente</v>
          </cell>
          <cell r="L120" t="str">
            <v>BANCOESTADO</v>
          </cell>
          <cell r="M120" t="str">
            <v>18632466</v>
          </cell>
          <cell r="N120" t="str">
            <v>franco.oliva.castillo@gmail.com</v>
          </cell>
          <cell r="O120">
            <v>45748</v>
          </cell>
          <cell r="P120">
            <v>45777</v>
          </cell>
          <cell r="Q120">
            <v>45838</v>
          </cell>
          <cell r="R120" t="str">
            <v>Indefinido</v>
          </cell>
          <cell r="S120" t="str">
            <v>Indefinido</v>
          </cell>
          <cell r="T120">
            <v>45748</v>
          </cell>
          <cell r="U120">
            <v>45756</v>
          </cell>
        </row>
        <row r="121">
          <cell r="B121" t="str">
            <v>15051336-7</v>
          </cell>
          <cell r="C121" t="str">
            <v>ORMEÑO ARREDONDO JOSE MIGUEL</v>
          </cell>
          <cell r="D121" t="str">
            <v>B</v>
          </cell>
          <cell r="E121" t="str">
            <v>M</v>
          </cell>
          <cell r="F121" t="str">
            <v>AYUDANTE DE PERFORISTA</v>
          </cell>
          <cell r="G121" t="str">
            <v>VICUÑA</v>
          </cell>
          <cell r="H121" t="str">
            <v>6 meses, 20 días</v>
          </cell>
          <cell r="I121">
            <v>56926398385</v>
          </cell>
          <cell r="J121">
            <v>30055</v>
          </cell>
          <cell r="L121" t="str">
            <v>BANCOESTADO</v>
          </cell>
          <cell r="M121" t="str">
            <v>12900062581</v>
          </cell>
          <cell r="N121" t="str">
            <v>j4206285@gmail.com</v>
          </cell>
          <cell r="O121">
            <v>45887</v>
          </cell>
          <cell r="P121">
            <v>45930</v>
          </cell>
          <cell r="Q121">
            <v>45991</v>
          </cell>
          <cell r="R121" t="str">
            <v>Indefinido</v>
          </cell>
          <cell r="S121" t="str">
            <v>Indefinido</v>
          </cell>
          <cell r="T121">
            <v>45887</v>
          </cell>
          <cell r="U121">
            <v>45936</v>
          </cell>
        </row>
        <row r="122">
          <cell r="B122" t="str">
            <v>19349419-6</v>
          </cell>
          <cell r="C122" t="str">
            <v>PERALTA CORTES SEBASTIAN ALFONSO</v>
          </cell>
          <cell r="D122" t="str">
            <v>B</v>
          </cell>
          <cell r="E122" t="str">
            <v>M</v>
          </cell>
          <cell r="F122" t="str">
            <v>AYUDANTE DE PERFORISTA</v>
          </cell>
          <cell r="G122" t="str">
            <v>LA SERENA</v>
          </cell>
          <cell r="H122" t="str">
            <v>7 meses, 2 días</v>
          </cell>
          <cell r="I122">
            <v>56977729743</v>
          </cell>
          <cell r="J122">
            <v>35353</v>
          </cell>
          <cell r="L122" t="str">
            <v>BANCO FALABELLA</v>
          </cell>
          <cell r="M122" t="str">
            <v>13700231170</v>
          </cell>
          <cell r="N122" t="str">
            <v>sebastianalfonsoperaltacortes@gmail.com</v>
          </cell>
          <cell r="O122">
            <v>45874</v>
          </cell>
          <cell r="P122">
            <v>45915</v>
          </cell>
          <cell r="Q122">
            <v>45976</v>
          </cell>
          <cell r="R122" t="str">
            <v>Indefinido</v>
          </cell>
          <cell r="S122" t="str">
            <v>Indefinido</v>
          </cell>
          <cell r="T122">
            <v>45874</v>
          </cell>
          <cell r="U122">
            <v>45925</v>
          </cell>
        </row>
        <row r="123">
          <cell r="B123" t="str">
            <v>11730786-7</v>
          </cell>
          <cell r="C123" t="str">
            <v>QUIROZ  APABLAZA JAVIER AURELIO</v>
          </cell>
          <cell r="D123" t="str">
            <v>B</v>
          </cell>
          <cell r="E123" t="str">
            <v>M</v>
          </cell>
          <cell r="F123" t="str">
            <v>CHOFER</v>
          </cell>
          <cell r="G123" t="str">
            <v>LOS ANDES</v>
          </cell>
          <cell r="H123" t="str">
            <v>1 años, 4 meses, 13 días</v>
          </cell>
          <cell r="I123">
            <v>56977307871</v>
          </cell>
          <cell r="J123">
            <v>26157</v>
          </cell>
          <cell r="K123" t="str">
            <v>Si</v>
          </cell>
          <cell r="L123" t="str">
            <v>BCI</v>
          </cell>
          <cell r="M123" t="str">
            <v>58582355</v>
          </cell>
          <cell r="N123" t="str">
            <v>javierquirozapablaza@gmail.com</v>
          </cell>
          <cell r="O123">
            <v>45590</v>
          </cell>
          <cell r="P123">
            <v>45626</v>
          </cell>
          <cell r="Q123">
            <v>45688</v>
          </cell>
          <cell r="R123" t="str">
            <v>Indefinido</v>
          </cell>
          <cell r="S123" t="str">
            <v>Indefinido</v>
          </cell>
          <cell r="T123">
            <v>45590</v>
          </cell>
          <cell r="U123">
            <v>45636</v>
          </cell>
        </row>
        <row r="124">
          <cell r="B124" t="str">
            <v>16442931-8</v>
          </cell>
          <cell r="C124" t="str">
            <v>ROJAS JOPIA DIEGO ALEJANDRO</v>
          </cell>
          <cell r="D124" t="str">
            <v>B</v>
          </cell>
          <cell r="E124" t="str">
            <v>M</v>
          </cell>
          <cell r="F124" t="str">
            <v>PERFORISTA</v>
          </cell>
          <cell r="G124" t="str">
            <v>CANELA</v>
          </cell>
          <cell r="H124" t="str">
            <v>1 años, 4 meses, 23 días</v>
          </cell>
          <cell r="I124">
            <v>56939084647</v>
          </cell>
          <cell r="J124">
            <v>31757</v>
          </cell>
          <cell r="K124" t="str">
            <v>Parcialmente</v>
          </cell>
          <cell r="L124" t="str">
            <v>BANCOESTADO</v>
          </cell>
          <cell r="M124" t="str">
            <v>16442931</v>
          </cell>
          <cell r="N124" t="str">
            <v>diego.rjopia@gmail.com</v>
          </cell>
          <cell r="O124">
            <v>45580</v>
          </cell>
          <cell r="P124">
            <v>45611</v>
          </cell>
          <cell r="Q124">
            <v>45306</v>
          </cell>
          <cell r="R124" t="str">
            <v>Indefinido</v>
          </cell>
          <cell r="S124" t="str">
            <v>Indefinido</v>
          </cell>
          <cell r="T124">
            <v>45580</v>
          </cell>
          <cell r="U124">
            <v>45636</v>
          </cell>
        </row>
        <row r="125">
          <cell r="B125" t="str">
            <v>16833424-9</v>
          </cell>
          <cell r="C125" t="str">
            <v>ROJAS PINTO PAULINO DANIEL</v>
          </cell>
          <cell r="D125" t="str">
            <v>B</v>
          </cell>
          <cell r="E125" t="str">
            <v>M</v>
          </cell>
          <cell r="F125" t="str">
            <v xml:space="preserve">MECANICO </v>
          </cell>
          <cell r="G125" t="str">
            <v>COPIAPO</v>
          </cell>
          <cell r="H125" t="str">
            <v>10 meses, 23 días</v>
          </cell>
          <cell r="I125">
            <v>56983723119</v>
          </cell>
          <cell r="J125">
            <v>32186</v>
          </cell>
          <cell r="K125" t="str">
            <v>Si</v>
          </cell>
          <cell r="L125" t="str">
            <v>BCI</v>
          </cell>
          <cell r="M125" t="str">
            <v>87825261</v>
          </cell>
          <cell r="N125" t="str">
            <v>projaspinto24@gmail.com</v>
          </cell>
          <cell r="O125">
            <v>45761</v>
          </cell>
          <cell r="P125">
            <v>45792</v>
          </cell>
          <cell r="Q125">
            <v>45853</v>
          </cell>
          <cell r="R125" t="str">
            <v>Indefinido</v>
          </cell>
          <cell r="S125" t="str">
            <v>Indefinido</v>
          </cell>
          <cell r="T125">
            <v>45810</v>
          </cell>
          <cell r="U125">
            <v>45816</v>
          </cell>
        </row>
        <row r="126">
          <cell r="B126" t="str">
            <v>16442547-9</v>
          </cell>
          <cell r="C126" t="str">
            <v>ROJAS ROJAS MARCO ANDRES</v>
          </cell>
          <cell r="D126" t="str">
            <v>B</v>
          </cell>
          <cell r="E126" t="str">
            <v>M</v>
          </cell>
          <cell r="F126" t="str">
            <v>PERFORISTA</v>
          </cell>
          <cell r="G126" t="str">
            <v>LA SERENA</v>
          </cell>
          <cell r="H126" t="str">
            <v>1 años, 4 meses, 23 días</v>
          </cell>
          <cell r="I126">
            <v>56966247790</v>
          </cell>
          <cell r="J126">
            <v>31686</v>
          </cell>
          <cell r="K126" t="str">
            <v>Si</v>
          </cell>
          <cell r="L126" t="str">
            <v>BANCO FALABELLA</v>
          </cell>
          <cell r="M126" t="str">
            <v>19831667034</v>
          </cell>
          <cell r="N126" t="str">
            <v>rojasrojasmarco@hotmail.com</v>
          </cell>
          <cell r="O126">
            <v>45580</v>
          </cell>
          <cell r="P126">
            <v>45611</v>
          </cell>
          <cell r="Q126">
            <v>45672</v>
          </cell>
          <cell r="R126" t="str">
            <v>Indefinido</v>
          </cell>
          <cell r="S126" t="str">
            <v>Indefinido</v>
          </cell>
          <cell r="T126">
            <v>45580</v>
          </cell>
          <cell r="U126">
            <v>45636</v>
          </cell>
        </row>
        <row r="127">
          <cell r="B127" t="str">
            <v>12877491-2</v>
          </cell>
          <cell r="C127" t="str">
            <v>ROJAS VERGARA PABLO ARTURO</v>
          </cell>
          <cell r="D127" t="str">
            <v>B</v>
          </cell>
          <cell r="E127" t="str">
            <v>M</v>
          </cell>
          <cell r="F127" t="str">
            <v>AYUDANTE DE PERFORISTA</v>
          </cell>
          <cell r="G127" t="str">
            <v>SANTIAGO</v>
          </cell>
          <cell r="H127" t="str">
            <v>4 meses, 18 días</v>
          </cell>
          <cell r="I127">
            <v>56971649652</v>
          </cell>
          <cell r="J127">
            <v>27573</v>
          </cell>
          <cell r="L127" t="str">
            <v>BANCOESTADO</v>
          </cell>
          <cell r="M127" t="str">
            <v>12877491</v>
          </cell>
          <cell r="N127" t="str">
            <v>rojapablo600@gmail.com</v>
          </cell>
          <cell r="O127">
            <v>45950</v>
          </cell>
          <cell r="P127">
            <v>45991</v>
          </cell>
          <cell r="Q127">
            <v>46053</v>
          </cell>
          <cell r="R127" t="str">
            <v>Plazo fijo</v>
          </cell>
          <cell r="S127" t="str">
            <v>Plazo fijo</v>
          </cell>
          <cell r="T127">
            <v>45950</v>
          </cell>
          <cell r="U127">
            <v>45974</v>
          </cell>
        </row>
        <row r="128">
          <cell r="B128" t="str">
            <v>20962133-9</v>
          </cell>
          <cell r="C128" t="str">
            <v>ROJO TORRES DANIEL IGNACIO</v>
          </cell>
          <cell r="D128" t="str">
            <v>B</v>
          </cell>
          <cell r="E128" t="str">
            <v>M</v>
          </cell>
          <cell r="F128" t="str">
            <v>AYUDANTE DE PERFORISTA</v>
          </cell>
          <cell r="G128" t="str">
            <v>COQUIMBO</v>
          </cell>
          <cell r="H128" t="str">
            <v>6 meses, 19 días</v>
          </cell>
          <cell r="I128">
            <v>56952197606</v>
          </cell>
          <cell r="J128">
            <v>37267</v>
          </cell>
          <cell r="L128" t="str">
            <v>BANCO FALABELLA</v>
          </cell>
          <cell r="M128" t="str">
            <v>19832051108</v>
          </cell>
          <cell r="N128" t="str">
            <v>danielrojotorres28@gmail.com</v>
          </cell>
          <cell r="O128">
            <v>45888</v>
          </cell>
          <cell r="P128">
            <v>45930</v>
          </cell>
          <cell r="Q128">
            <v>45991</v>
          </cell>
          <cell r="R128" t="str">
            <v>Indefinido</v>
          </cell>
          <cell r="S128" t="str">
            <v>Indefinido</v>
          </cell>
          <cell r="T128">
            <v>45888</v>
          </cell>
          <cell r="U128">
            <v>45936</v>
          </cell>
        </row>
        <row r="129">
          <cell r="B129" t="str">
            <v>16603465-5</v>
          </cell>
          <cell r="C129" t="str">
            <v>SANCHEZ ACUÑA RODRIGO ALEJANDRO</v>
          </cell>
          <cell r="D129" t="str">
            <v>B</v>
          </cell>
          <cell r="E129" t="str">
            <v>M</v>
          </cell>
          <cell r="F129" t="str">
            <v>PERFORISTA</v>
          </cell>
          <cell r="G129" t="str">
            <v>PARRAL</v>
          </cell>
          <cell r="H129" t="str">
            <v>7 meses, 10 días</v>
          </cell>
          <cell r="J129">
            <v>31764</v>
          </cell>
          <cell r="N129" t="str">
            <v>rodrigosanchez160706@gmail.com</v>
          </cell>
          <cell r="O129">
            <v>45866</v>
          </cell>
          <cell r="P129">
            <v>45900</v>
          </cell>
          <cell r="Q129">
            <v>45961</v>
          </cell>
          <cell r="R129" t="str">
            <v>Indefinido</v>
          </cell>
          <cell r="S129" t="str">
            <v>Indefinido</v>
          </cell>
          <cell r="T129">
            <v>45957</v>
          </cell>
          <cell r="U129">
            <v>45979</v>
          </cell>
        </row>
        <row r="130">
          <cell r="B130" t="str">
            <v>19451050-0</v>
          </cell>
          <cell r="C130" t="str">
            <v>SEGOVIA LOPEZ OMAR FRANCESCOLY</v>
          </cell>
          <cell r="D130" t="str">
            <v>B</v>
          </cell>
          <cell r="E130" t="str">
            <v>M</v>
          </cell>
          <cell r="F130" t="str">
            <v>MECANICO</v>
          </cell>
          <cell r="G130" t="str">
            <v>COPIAPO</v>
          </cell>
          <cell r="H130" t="str">
            <v>5 meses, 8 días</v>
          </cell>
          <cell r="I130">
            <v>56961587698</v>
          </cell>
          <cell r="J130">
            <v>35463</v>
          </cell>
          <cell r="L130" t="str">
            <v>SANTANDER</v>
          </cell>
          <cell r="M130" t="str">
            <v>80319894</v>
          </cell>
          <cell r="N130" t="str">
            <v>omarsegovialopez95@gmail.com</v>
          </cell>
          <cell r="O130">
            <v>45929</v>
          </cell>
          <cell r="P130">
            <v>45961</v>
          </cell>
          <cell r="Q130">
            <v>46022</v>
          </cell>
          <cell r="R130" t="str">
            <v>Plazo fijo</v>
          </cell>
          <cell r="S130" t="str">
            <v>Plazo fijo</v>
          </cell>
          <cell r="T130">
            <v>45929</v>
          </cell>
          <cell r="U130">
            <v>45936</v>
          </cell>
        </row>
        <row r="131">
          <cell r="B131" t="str">
            <v>18317424-k</v>
          </cell>
          <cell r="C131" t="str">
            <v>SEGOVIA MANZANO JULIO ALBERTO</v>
          </cell>
          <cell r="D131" t="str">
            <v>B</v>
          </cell>
          <cell r="E131" t="str">
            <v>M</v>
          </cell>
          <cell r="F131" t="str">
            <v>AYUDANTE DE PERFORISTA</v>
          </cell>
          <cell r="G131" t="str">
            <v>LA SERENA</v>
          </cell>
          <cell r="H131" t="str">
            <v>6 meses, 6 días</v>
          </cell>
          <cell r="I131">
            <v>56992316783</v>
          </cell>
          <cell r="J131">
            <v>34036</v>
          </cell>
          <cell r="L131" t="str">
            <v>BANCOESTADO</v>
          </cell>
          <cell r="M131" t="str">
            <v>18317424</v>
          </cell>
          <cell r="N131" t="str">
            <v>julio.segoviamanzano@gmail.com</v>
          </cell>
          <cell r="O131">
            <v>45901</v>
          </cell>
          <cell r="P131">
            <v>45930</v>
          </cell>
          <cell r="Q131">
            <v>45991</v>
          </cell>
          <cell r="R131" t="str">
            <v>Indefinido</v>
          </cell>
          <cell r="S131" t="str">
            <v>Indefinido</v>
          </cell>
          <cell r="T131">
            <v>45901</v>
          </cell>
          <cell r="U131">
            <v>45925</v>
          </cell>
        </row>
        <row r="132">
          <cell r="B132" t="str">
            <v>19825638-2</v>
          </cell>
          <cell r="C132" t="str">
            <v>SOTO  FLORES JENNIFER ALEJANDRA</v>
          </cell>
          <cell r="D132" t="str">
            <v>B</v>
          </cell>
          <cell r="E132" t="str">
            <v>F</v>
          </cell>
          <cell r="F132" t="str">
            <v>BODEGUERA/O</v>
          </cell>
          <cell r="G132" t="str">
            <v>LA SERENA</v>
          </cell>
          <cell r="H132" t="str">
            <v>1 años, 4 meses, 6 días</v>
          </cell>
          <cell r="I132">
            <v>56926299961</v>
          </cell>
          <cell r="J132">
            <v>35918</v>
          </cell>
          <cell r="K132" t="str">
            <v>Si</v>
          </cell>
          <cell r="L132" t="str">
            <v>SANTANDER</v>
          </cell>
          <cell r="M132" t="str">
            <v>75847300</v>
          </cell>
          <cell r="N132" t="str">
            <v>jennifersotof@gmail.com</v>
          </cell>
          <cell r="O132">
            <v>45597</v>
          </cell>
          <cell r="P132">
            <v>45626</v>
          </cell>
          <cell r="Q132">
            <v>45688</v>
          </cell>
          <cell r="R132" t="str">
            <v>Indefinido</v>
          </cell>
          <cell r="S132" t="str">
            <v>Indefinido</v>
          </cell>
          <cell r="T132">
            <v>45597</v>
          </cell>
          <cell r="U132">
            <v>45636</v>
          </cell>
        </row>
        <row r="133">
          <cell r="B133" t="str">
            <v>15061835-5</v>
          </cell>
          <cell r="C133" t="str">
            <v>SUAREZ MORALES NESTOR RENE</v>
          </cell>
          <cell r="D133" t="str">
            <v>B</v>
          </cell>
          <cell r="E133" t="str">
            <v>M</v>
          </cell>
          <cell r="F133" t="str">
            <v>PERFORISTA</v>
          </cell>
          <cell r="G133" t="str">
            <v>SAN FELIPE</v>
          </cell>
          <cell r="H133" t="str">
            <v>1 años, 4 meses, 23 días</v>
          </cell>
          <cell r="I133">
            <v>56957130215</v>
          </cell>
          <cell r="J133">
            <v>30329</v>
          </cell>
          <cell r="K133" t="str">
            <v>Si</v>
          </cell>
          <cell r="L133" t="str">
            <v>BANCOESTADO</v>
          </cell>
          <cell r="M133" t="str">
            <v>15061835</v>
          </cell>
          <cell r="N133" t="str">
            <v>nestor.suarez.bomberos@gmail.com</v>
          </cell>
          <cell r="O133">
            <v>45580</v>
          </cell>
          <cell r="P133">
            <v>45611</v>
          </cell>
          <cell r="Q133">
            <v>45672</v>
          </cell>
          <cell r="R133" t="str">
            <v>Indefinido</v>
          </cell>
          <cell r="S133" t="str">
            <v>Indefinido</v>
          </cell>
          <cell r="T133">
            <v>45580</v>
          </cell>
          <cell r="U133">
            <v>45646</v>
          </cell>
        </row>
        <row r="134">
          <cell r="B134" t="str">
            <v>14117235-2</v>
          </cell>
          <cell r="C134" t="str">
            <v>TABILO ARAYA JUAN MAURICIO</v>
          </cell>
          <cell r="D134" t="str">
            <v>B</v>
          </cell>
          <cell r="E134" t="str">
            <v>M</v>
          </cell>
          <cell r="F134" t="str">
            <v>PERFORISTA</v>
          </cell>
          <cell r="G134" t="str">
            <v>LA SERENA</v>
          </cell>
          <cell r="H134" t="str">
            <v>8 meses, 0 días</v>
          </cell>
          <cell r="I134">
            <v>56971554390</v>
          </cell>
          <cell r="J134">
            <v>29678</v>
          </cell>
          <cell r="K134" t="str">
            <v>Si</v>
          </cell>
          <cell r="L134" t="str">
            <v>SANTANDER</v>
          </cell>
          <cell r="M134" t="str">
            <v>92834875</v>
          </cell>
          <cell r="N134" t="str">
            <v>tabilomauricio61@gmail.com</v>
          </cell>
          <cell r="O134">
            <v>45845</v>
          </cell>
          <cell r="P134">
            <v>45884</v>
          </cell>
          <cell r="Q134">
            <v>45945</v>
          </cell>
          <cell r="R134" t="str">
            <v>Indefinido</v>
          </cell>
          <cell r="S134" t="str">
            <v>Indefinido</v>
          </cell>
          <cell r="T134">
            <v>45845</v>
          </cell>
          <cell r="U134">
            <v>45856</v>
          </cell>
        </row>
        <row r="135">
          <cell r="B135" t="str">
            <v>13017660-7</v>
          </cell>
          <cell r="C135" t="str">
            <v>VALENCIA CAMPOS ERNESTO RAMIRO</v>
          </cell>
          <cell r="D135" t="str">
            <v>B</v>
          </cell>
          <cell r="E135" t="str">
            <v>M</v>
          </cell>
          <cell r="F135" t="str">
            <v>PERFORISTA</v>
          </cell>
          <cell r="G135" t="str">
            <v>EL MELON</v>
          </cell>
          <cell r="H135" t="str">
            <v>6 meses, 20 días</v>
          </cell>
          <cell r="I135">
            <v>56926184881</v>
          </cell>
          <cell r="J135">
            <v>27885</v>
          </cell>
          <cell r="L135" t="str">
            <v>BANCOESTADO</v>
          </cell>
          <cell r="M135" t="str">
            <v>13017660</v>
          </cell>
          <cell r="N135" t="str">
            <v>ernestovalencia620@gmail.com</v>
          </cell>
          <cell r="O135">
            <v>45887</v>
          </cell>
          <cell r="P135">
            <v>45930</v>
          </cell>
          <cell r="Q135">
            <v>45991</v>
          </cell>
          <cell r="R135" t="str">
            <v>Indefinido</v>
          </cell>
          <cell r="S135" t="str">
            <v>Indefinido</v>
          </cell>
          <cell r="T135">
            <v>45887</v>
          </cell>
          <cell r="U135">
            <v>45924</v>
          </cell>
        </row>
        <row r="136">
          <cell r="B136" t="str">
            <v>15594928-7</v>
          </cell>
          <cell r="C136" t="str">
            <v>VEGA ASTUDILLO FELIPE OCTAVIO</v>
          </cell>
          <cell r="D136" t="str">
            <v>B</v>
          </cell>
          <cell r="E136" t="str">
            <v>M</v>
          </cell>
          <cell r="F136" t="str">
            <v>CHOFER</v>
          </cell>
          <cell r="G136" t="str">
            <v>LA SERENA</v>
          </cell>
          <cell r="H136" t="str">
            <v>6 meses, 17 días</v>
          </cell>
          <cell r="I136">
            <v>56931340681</v>
          </cell>
          <cell r="J136">
            <v>30606</v>
          </cell>
          <cell r="L136" t="str">
            <v>BANCO FALABELLA</v>
          </cell>
          <cell r="M136" t="str">
            <v>19821284206</v>
          </cell>
          <cell r="N136" t="str">
            <v>ovegacademico@gmail.com</v>
          </cell>
          <cell r="O136">
            <v>45890</v>
          </cell>
          <cell r="P136">
            <v>45930</v>
          </cell>
          <cell r="Q136">
            <v>45930</v>
          </cell>
          <cell r="R136" t="str">
            <v>Indefinido</v>
          </cell>
          <cell r="S136" t="str">
            <v>Indefinido</v>
          </cell>
          <cell r="T136">
            <v>45890</v>
          </cell>
          <cell r="U136">
            <v>45915</v>
          </cell>
        </row>
        <row r="137">
          <cell r="B137" t="str">
            <v>16581290-5</v>
          </cell>
          <cell r="C137" t="str">
            <v>VEGA ESPINOSA JUAN ANTONIO</v>
          </cell>
          <cell r="D137" t="str">
            <v>B</v>
          </cell>
          <cell r="E137" t="str">
            <v>M</v>
          </cell>
          <cell r="F137" t="str">
            <v>AYUDANTE DE PERFORISTA</v>
          </cell>
          <cell r="G137" t="str">
            <v>COQUIMBO</v>
          </cell>
          <cell r="H137" t="str">
            <v>1 años, 4 meses, 17 días</v>
          </cell>
          <cell r="I137">
            <v>56945184635</v>
          </cell>
          <cell r="J137">
            <v>32021</v>
          </cell>
          <cell r="K137" t="str">
            <v>Si</v>
          </cell>
          <cell r="L137" t="str">
            <v>BANCO DE CHILE</v>
          </cell>
          <cell r="M137" t="str">
            <v>49325031</v>
          </cell>
          <cell r="N137" t="str">
            <v>vega_espinos@hotmail.com</v>
          </cell>
          <cell r="O137">
            <v>45586</v>
          </cell>
          <cell r="P137">
            <v>45626</v>
          </cell>
          <cell r="Q137">
            <v>45688</v>
          </cell>
          <cell r="R137" t="str">
            <v>Indefinido</v>
          </cell>
          <cell r="S137" t="str">
            <v>Indefinido</v>
          </cell>
          <cell r="T137">
            <v>45586</v>
          </cell>
          <cell r="U137">
            <v>45636</v>
          </cell>
        </row>
        <row r="138">
          <cell r="B138" t="str">
            <v>12982701-7</v>
          </cell>
          <cell r="C138" t="str">
            <v>VELASQUEZ CIFUENTES MARCO ANTONIO</v>
          </cell>
          <cell r="D138" t="str">
            <v>B</v>
          </cell>
          <cell r="E138" t="str">
            <v>M</v>
          </cell>
          <cell r="F138" t="str">
            <v>AYUDANTE DE PERFORISTA</v>
          </cell>
          <cell r="G138" t="str">
            <v>CURANILAHUE</v>
          </cell>
          <cell r="H138" t="str">
            <v>1 años, 3 meses, 5 días</v>
          </cell>
          <cell r="I138">
            <v>56988978527</v>
          </cell>
          <cell r="J138">
            <v>27875</v>
          </cell>
          <cell r="K138" t="str">
            <v>Parcialmente</v>
          </cell>
          <cell r="L138" t="str">
            <v>BANCOESTADO</v>
          </cell>
          <cell r="M138" t="str">
            <v>12982701</v>
          </cell>
          <cell r="N138" t="str">
            <v>velascifuentes@gmail.com</v>
          </cell>
          <cell r="O138">
            <v>45628</v>
          </cell>
          <cell r="P138">
            <v>45657</v>
          </cell>
          <cell r="Q138">
            <v>45716</v>
          </cell>
          <cell r="R138" t="str">
            <v>Indefinido</v>
          </cell>
          <cell r="S138" t="str">
            <v>Indefinido</v>
          </cell>
          <cell r="T138">
            <v>45628</v>
          </cell>
          <cell r="U138">
            <v>45676</v>
          </cell>
        </row>
        <row r="139">
          <cell r="B139" t="str">
            <v>13223956-8</v>
          </cell>
          <cell r="C139" t="str">
            <v>VILLARROEL ZAMBRA YERSON PATRICIO</v>
          </cell>
          <cell r="D139" t="str">
            <v>B</v>
          </cell>
          <cell r="E139" t="str">
            <v>M</v>
          </cell>
          <cell r="F139" t="str">
            <v>PERFORISTA</v>
          </cell>
          <cell r="G139" t="str">
            <v>LA SERENA</v>
          </cell>
          <cell r="H139" t="str">
            <v>1 años, 4 meses, 15 días</v>
          </cell>
          <cell r="I139">
            <v>56992816571</v>
          </cell>
          <cell r="J139">
            <v>28250</v>
          </cell>
          <cell r="K139" t="str">
            <v>Parcialmente</v>
          </cell>
          <cell r="L139" t="str">
            <v>BCI</v>
          </cell>
          <cell r="M139" t="str">
            <v>89603338</v>
          </cell>
          <cell r="N139" t="str">
            <v>yersonvillarroel@gmail.com</v>
          </cell>
          <cell r="O139">
            <v>45588</v>
          </cell>
          <cell r="P139">
            <v>45626</v>
          </cell>
          <cell r="Q139">
            <v>45688</v>
          </cell>
          <cell r="R139" t="str">
            <v>Indefinido</v>
          </cell>
          <cell r="S139" t="str">
            <v>Indefinido</v>
          </cell>
          <cell r="T139">
            <v>45588</v>
          </cell>
          <cell r="U139">
            <v>45656</v>
          </cell>
        </row>
        <row r="140">
          <cell r="B140" t="str">
            <v>16772735-2</v>
          </cell>
          <cell r="C140" t="str">
            <v>YAÑEZ VARAS DANIEL ALEJANDRO</v>
          </cell>
          <cell r="D140" t="str">
            <v>B</v>
          </cell>
          <cell r="E140" t="str">
            <v>M</v>
          </cell>
          <cell r="F140" t="str">
            <v>AYUDANTE DE PERFORISTA</v>
          </cell>
          <cell r="G140" t="str">
            <v>COQUIMBO</v>
          </cell>
          <cell r="H140" t="str">
            <v>19 días</v>
          </cell>
          <cell r="I140">
            <v>56977133661</v>
          </cell>
          <cell r="J140">
            <v>32264</v>
          </cell>
          <cell r="K140" t="str">
            <v>Parcialmente</v>
          </cell>
          <cell r="L140" t="str">
            <v>SANTANDER</v>
          </cell>
          <cell r="M140" t="str">
            <v>98807675</v>
          </cell>
          <cell r="N140" t="str">
            <v>festinalenterechars@gmail.com</v>
          </cell>
          <cell r="O140">
            <v>45735</v>
          </cell>
          <cell r="P140">
            <v>45777</v>
          </cell>
          <cell r="Q140">
            <v>45838</v>
          </cell>
          <cell r="R140" t="str">
            <v>Indefinido</v>
          </cell>
          <cell r="S140" t="str">
            <v>Indefinido</v>
          </cell>
          <cell r="T140">
            <v>45789</v>
          </cell>
          <cell r="U140">
            <v>45804</v>
          </cell>
        </row>
        <row r="141">
          <cell r="B141" t="str">
            <v>17293877-9</v>
          </cell>
          <cell r="C141" t="str">
            <v>ZEPEDA SOTO ERNESTO ALIRO</v>
          </cell>
          <cell r="D141" t="str">
            <v>B</v>
          </cell>
          <cell r="E141" t="str">
            <v>M</v>
          </cell>
          <cell r="F141" t="str">
            <v>AYUDANTE DE PERFORISTA</v>
          </cell>
          <cell r="G141" t="str">
            <v>LA SERENA</v>
          </cell>
          <cell r="H141" t="str">
            <v>1 años, 4 meses, 6 días</v>
          </cell>
          <cell r="I141">
            <v>56954977260</v>
          </cell>
          <cell r="J141">
            <v>32710</v>
          </cell>
          <cell r="K141" t="str">
            <v>Si</v>
          </cell>
          <cell r="L141" t="str">
            <v>BANCO FALABELLA</v>
          </cell>
          <cell r="M141" t="str">
            <v>19999246750</v>
          </cell>
          <cell r="N141" t="str">
            <v>aliro.z.soto@gmail.com</v>
          </cell>
          <cell r="O141">
            <v>45597</v>
          </cell>
          <cell r="P141">
            <v>45626</v>
          </cell>
          <cell r="Q141">
            <v>45688</v>
          </cell>
          <cell r="R141" t="str">
            <v>Indefinido</v>
          </cell>
          <cell r="S141" t="str">
            <v>Indefinido</v>
          </cell>
          <cell r="T141">
            <v>45597</v>
          </cell>
          <cell r="U141">
            <v>45636</v>
          </cell>
        </row>
        <row r="142">
          <cell r="B142" t="str">
            <v>PA122385322</v>
          </cell>
          <cell r="C142" t="str">
            <v>BORNAZ DELGADO FRANCISCO PEDRO</v>
          </cell>
          <cell r="D142" t="str">
            <v>BACK UP</v>
          </cell>
          <cell r="E142" t="str">
            <v>M</v>
          </cell>
          <cell r="F142" t="str">
            <v>SUPERVISOR EXPATRIADO</v>
          </cell>
          <cell r="G142" t="str">
            <v>AREQUIPA</v>
          </cell>
          <cell r="H142" t="e">
            <v>#VALUE!</v>
          </cell>
          <cell r="I142">
            <v>51993984266</v>
          </cell>
          <cell r="K142" t="str">
            <v>N/A</v>
          </cell>
          <cell r="L142" t="e">
            <v>#N/A</v>
          </cell>
          <cell r="M142" t="e">
            <v>#N/A</v>
          </cell>
          <cell r="N142" t="e">
            <v>#N/A</v>
          </cell>
          <cell r="O142" t="str">
            <v>BACK UP</v>
          </cell>
          <cell r="P142" t="str">
            <v>BACK UP</v>
          </cell>
          <cell r="T142">
            <v>45629</v>
          </cell>
          <cell r="U142">
            <v>45638</v>
          </cell>
        </row>
        <row r="143">
          <cell r="B143" t="str">
            <v>PA124926726</v>
          </cell>
          <cell r="C143" t="str">
            <v>CORNEJO DELGADO JUAN CARLOS</v>
          </cell>
          <cell r="D143" t="str">
            <v>BACK UP</v>
          </cell>
          <cell r="E143" t="str">
            <v>M</v>
          </cell>
          <cell r="F143" t="str">
            <v>SUPERVISOR EXPATRIADO</v>
          </cell>
          <cell r="G143" t="str">
            <v>PERU</v>
          </cell>
          <cell r="H143" t="e">
            <v>#VALUE!</v>
          </cell>
          <cell r="I143">
            <v>51979351161</v>
          </cell>
          <cell r="K143" t="str">
            <v>N/A</v>
          </cell>
          <cell r="L143" t="e">
            <v>#N/A</v>
          </cell>
          <cell r="M143" t="e">
            <v>#N/A</v>
          </cell>
          <cell r="N143" t="e">
            <v>#N/A</v>
          </cell>
          <cell r="O143" t="str">
            <v>BACK UP</v>
          </cell>
          <cell r="P143" t="str">
            <v>BACK UP</v>
          </cell>
          <cell r="T143">
            <v>45740</v>
          </cell>
          <cell r="U143">
            <v>45753</v>
          </cell>
        </row>
        <row r="144">
          <cell r="B144" t="str">
            <v>11406296-0</v>
          </cell>
          <cell r="C144" t="str">
            <v>MILLAR CONTRERAS OSCAR ALEJANDRO</v>
          </cell>
          <cell r="D144" t="str">
            <v>BACK UP</v>
          </cell>
          <cell r="E144" t="str">
            <v>M</v>
          </cell>
          <cell r="F144" t="str">
            <v>SUPERINTENDENTE CTTO</v>
          </cell>
          <cell r="G144" t="str">
            <v>LA SERENA</v>
          </cell>
          <cell r="I144">
            <v>56930836806</v>
          </cell>
          <cell r="J144">
            <v>25279</v>
          </cell>
          <cell r="K144" t="str">
            <v>Parcialmente</v>
          </cell>
          <cell r="L144" t="str">
            <v>BANCO DE CHILE</v>
          </cell>
          <cell r="M144" t="str">
            <v>1203153305</v>
          </cell>
          <cell r="N144" t="str">
            <v>omicon69@hotmail.com</v>
          </cell>
          <cell r="O144" t="str">
            <v>BACK UP</v>
          </cell>
          <cell r="P144" t="str">
            <v>BACK UP</v>
          </cell>
          <cell r="Q144" t="str">
            <v>BACK UP</v>
          </cell>
          <cell r="R144" t="str">
            <v>Indefinido</v>
          </cell>
          <cell r="S144" t="str">
            <v>Indefinido</v>
          </cell>
          <cell r="T144">
            <v>45839</v>
          </cell>
          <cell r="U144">
            <v>45845</v>
          </cell>
        </row>
        <row r="145">
          <cell r="B145" t="str">
            <v>20406500-4</v>
          </cell>
          <cell r="C145" t="str">
            <v>ARAYA CAMPAÑA JUAN CARLOS</v>
          </cell>
          <cell r="D145" t="str">
            <v>BACK UP</v>
          </cell>
          <cell r="E145" t="str">
            <v>M</v>
          </cell>
          <cell r="F145" t="str">
            <v>SOLDADOR</v>
          </cell>
          <cell r="G145" t="e">
            <v>#N/A</v>
          </cell>
          <cell r="H145" t="str">
            <v>1 años, 2 meses, 5 días</v>
          </cell>
          <cell r="I145">
            <v>56953924015</v>
          </cell>
          <cell r="K145" t="str">
            <v>Si</v>
          </cell>
          <cell r="L145" t="e">
            <v>#N/A</v>
          </cell>
          <cell r="M145" t="e">
            <v>#N/A</v>
          </cell>
          <cell r="N145" t="e">
            <v>#N/A</v>
          </cell>
          <cell r="O145">
            <v>45659</v>
          </cell>
          <cell r="P145">
            <v>45703</v>
          </cell>
          <cell r="Q145" t="str">
            <v>Indefinido</v>
          </cell>
          <cell r="R145" t="str">
            <v>Indefinido</v>
          </cell>
          <cell r="S145" t="str">
            <v>Indefinido</v>
          </cell>
          <cell r="T145">
            <v>45672</v>
          </cell>
          <cell r="U145">
            <v>45836</v>
          </cell>
        </row>
        <row r="146">
          <cell r="B146" t="str">
            <v>20864085-2</v>
          </cell>
          <cell r="C146" t="str">
            <v>GALVEZ CARMONA NICOLÁS ANDRÉS</v>
          </cell>
          <cell r="D146" t="str">
            <v>BACK UP</v>
          </cell>
          <cell r="E146" t="str">
            <v>M</v>
          </cell>
          <cell r="F146" t="str">
            <v>ELECTROMECÁNICO</v>
          </cell>
          <cell r="G146" t="str">
            <v>LA SERENA</v>
          </cell>
          <cell r="H146" t="str">
            <v>10 meses, 16 días</v>
          </cell>
          <cell r="I146">
            <v>56920058681</v>
          </cell>
          <cell r="K146" t="str">
            <v>Parcialmente</v>
          </cell>
          <cell r="L146" t="e">
            <v>#N/A</v>
          </cell>
          <cell r="M146" t="e">
            <v>#N/A</v>
          </cell>
          <cell r="N146" t="e">
            <v>#N/A</v>
          </cell>
          <cell r="O146">
            <v>45768</v>
          </cell>
          <cell r="P146">
            <v>45808</v>
          </cell>
          <cell r="Q146">
            <v>45869</v>
          </cell>
          <cell r="R146" t="str">
            <v>Indefinido</v>
          </cell>
          <cell r="S146" t="str">
            <v>Indefinido</v>
          </cell>
          <cell r="T146">
            <v>45852</v>
          </cell>
        </row>
        <row r="147">
          <cell r="B147" t="str">
            <v>LM716169</v>
          </cell>
          <cell r="C147" t="str">
            <v>HOSKING BALDIE JAMES ADAM</v>
          </cell>
          <cell r="D147" t="str">
            <v>BACK UP</v>
          </cell>
          <cell r="E147" t="str">
            <v>M</v>
          </cell>
          <cell r="F147" t="str">
            <v>OPERADOR/ENTRENADOR</v>
          </cell>
          <cell r="G147" t="str">
            <v>LA SERENA</v>
          </cell>
          <cell r="H147" t="e">
            <v>#VALUE!</v>
          </cell>
          <cell r="I147" t="str">
            <v>255 742 682 063</v>
          </cell>
          <cell r="K147" t="str">
            <v>N/A</v>
          </cell>
          <cell r="L147" t="e">
            <v>#N/A</v>
          </cell>
          <cell r="M147" t="e">
            <v>#N/A</v>
          </cell>
          <cell r="N147" t="e">
            <v>#N/A</v>
          </cell>
          <cell r="O147" t="str">
            <v>BACK UP</v>
          </cell>
          <cell r="P147" t="str">
            <v>BACK UP</v>
          </cell>
          <cell r="U147">
            <v>45775</v>
          </cell>
        </row>
        <row r="148">
          <cell r="B148" t="str">
            <v>14359121-2</v>
          </cell>
          <cell r="C148" t="str">
            <v>LAHSEN TRUJILLO PATRICIA SOLLANGE</v>
          </cell>
          <cell r="D148" t="str">
            <v>BACK UP</v>
          </cell>
          <cell r="E148" t="str">
            <v>F</v>
          </cell>
          <cell r="F148" t="str">
            <v xml:space="preserve">ENCARGADA DE ACREDTACION </v>
          </cell>
          <cell r="H148" t="str">
            <v>126 años, 2 meses, 7 días</v>
          </cell>
          <cell r="K148" t="str">
            <v>Si</v>
          </cell>
          <cell r="L148" t="e">
            <v>#N/A</v>
          </cell>
          <cell r="M148" t="e">
            <v>#N/A</v>
          </cell>
          <cell r="N148" t="e">
            <v>#N/A</v>
          </cell>
          <cell r="R148" t="str">
            <v>Indefinido</v>
          </cell>
          <cell r="S148" t="str">
            <v>Indefinido</v>
          </cell>
        </row>
        <row r="149">
          <cell r="B149" t="str">
            <v>AL082005</v>
          </cell>
          <cell r="C149" t="str">
            <v>LINDLEY WILLIAM ARTHUR</v>
          </cell>
          <cell r="D149" t="str">
            <v>BACK UP</v>
          </cell>
          <cell r="E149" t="str">
            <v>M</v>
          </cell>
          <cell r="F149" t="str">
            <v>SUPERVISOR EXPATRIADO</v>
          </cell>
          <cell r="G149" t="str">
            <v>LA SERENA</v>
          </cell>
          <cell r="H149" t="e">
            <v>#VALUE!</v>
          </cell>
          <cell r="K149" t="e">
            <v>#N/A</v>
          </cell>
          <cell r="L149" t="e">
            <v>#N/A</v>
          </cell>
          <cell r="M149" t="e">
            <v>#N/A</v>
          </cell>
          <cell r="N149" t="e">
            <v>#N/A</v>
          </cell>
          <cell r="O149" t="str">
            <v>BACK UP</v>
          </cell>
          <cell r="P149" t="str">
            <v>BACK UP</v>
          </cell>
          <cell r="T149">
            <v>45623</v>
          </cell>
          <cell r="U149">
            <v>45631</v>
          </cell>
        </row>
        <row r="150">
          <cell r="B150" t="str">
            <v>PB6434947</v>
          </cell>
          <cell r="C150" t="str">
            <v>MANN JOSHUA</v>
          </cell>
          <cell r="D150" t="str">
            <v>BACK UP</v>
          </cell>
          <cell r="E150" t="str">
            <v>M</v>
          </cell>
          <cell r="F150" t="str">
            <v>SUPERVISOR EXPATRIADO</v>
          </cell>
          <cell r="G150" t="str">
            <v>LA SERENA</v>
          </cell>
          <cell r="H150" t="e">
            <v>#VALUE!</v>
          </cell>
          <cell r="K150" t="e">
            <v>#N/A</v>
          </cell>
          <cell r="L150" t="e">
            <v>#N/A</v>
          </cell>
          <cell r="M150" t="e">
            <v>#N/A</v>
          </cell>
          <cell r="N150" t="e">
            <v>#N/A</v>
          </cell>
          <cell r="O150" t="str">
            <v>BACK UP</v>
          </cell>
          <cell r="P150" t="str">
            <v>BACK UP</v>
          </cell>
          <cell r="T150">
            <v>45623</v>
          </cell>
          <cell r="U150">
            <v>45697</v>
          </cell>
        </row>
        <row r="151">
          <cell r="C151" t="str">
            <v>MARK SCOLES</v>
          </cell>
          <cell r="D151" t="str">
            <v>BACK UP</v>
          </cell>
          <cell r="E151" t="str">
            <v>M</v>
          </cell>
          <cell r="F151" t="str">
            <v>GERENTE GENERAL</v>
          </cell>
          <cell r="H151" t="e">
            <v>#VALUE!</v>
          </cell>
          <cell r="K151" t="e">
            <v>#N/A</v>
          </cell>
          <cell r="L151" t="e">
            <v>#N/A</v>
          </cell>
          <cell r="M151" t="e">
            <v>#N/A</v>
          </cell>
          <cell r="N151" t="e">
            <v>#N/A</v>
          </cell>
          <cell r="O151" t="str">
            <v>BACK UP</v>
          </cell>
          <cell r="P151" t="str">
            <v>BACK UP</v>
          </cell>
        </row>
        <row r="152">
          <cell r="B152" t="str">
            <v>19460307-K</v>
          </cell>
          <cell r="C152" t="str">
            <v>ORTEGA GOMEZ SEBASTIAN IGNACIO</v>
          </cell>
          <cell r="D152" t="str">
            <v>BACK UP</v>
          </cell>
          <cell r="E152" t="str">
            <v>M</v>
          </cell>
          <cell r="F152" t="str">
            <v>MECANICO</v>
          </cell>
          <cell r="G152" t="str">
            <v>COQUIMBO</v>
          </cell>
          <cell r="H152" t="str">
            <v>2 años, 8 meses, 7 días</v>
          </cell>
          <cell r="K152" t="str">
            <v>Parcialmente</v>
          </cell>
          <cell r="L152" t="e">
            <v>#N/A</v>
          </cell>
          <cell r="M152" t="e">
            <v>#N/A</v>
          </cell>
          <cell r="N152" t="e">
            <v>#N/A</v>
          </cell>
          <cell r="O152">
            <v>45107</v>
          </cell>
          <cell r="P152" t="str">
            <v>Indefinido</v>
          </cell>
          <cell r="Q152" t="str">
            <v>Indefinido</v>
          </cell>
          <cell r="R152" t="str">
            <v>Indefinido</v>
          </cell>
          <cell r="S152" t="str">
            <v>Indefinido</v>
          </cell>
          <cell r="T152">
            <v>45797</v>
          </cell>
          <cell r="U152">
            <v>45811</v>
          </cell>
        </row>
        <row r="153">
          <cell r="B153" t="str">
            <v>17016836-4</v>
          </cell>
          <cell r="C153" t="str">
            <v>OYANADEL SAPIAIN ARNOLDO ARTURO</v>
          </cell>
          <cell r="D153" t="str">
            <v>BACK UP</v>
          </cell>
          <cell r="E153" t="str">
            <v>M</v>
          </cell>
          <cell r="F153" t="str">
            <v>AYUDANTE DE PERFORISTA</v>
          </cell>
          <cell r="G153" t="str">
            <v>LA SERENA</v>
          </cell>
          <cell r="H153" t="str">
            <v>17 días</v>
          </cell>
          <cell r="I153">
            <v>56993440064</v>
          </cell>
          <cell r="L153" t="e">
            <v>#N/A</v>
          </cell>
          <cell r="M153" t="e">
            <v>#N/A</v>
          </cell>
          <cell r="N153" t="e">
            <v>#N/A</v>
          </cell>
          <cell r="O153">
            <v>45737</v>
          </cell>
          <cell r="P153">
            <v>45777</v>
          </cell>
          <cell r="Q153">
            <v>45838</v>
          </cell>
          <cell r="R153" t="str">
            <v>Indefinido</v>
          </cell>
          <cell r="S153" t="str">
            <v>Indefinido</v>
          </cell>
          <cell r="T153">
            <v>45943</v>
          </cell>
          <cell r="U153" t="str">
            <v>no acreditado aun</v>
          </cell>
        </row>
        <row r="154">
          <cell r="B154" t="str">
            <v>18088679-6</v>
          </cell>
          <cell r="C154" t="str">
            <v>PINOCHET TOMAS</v>
          </cell>
          <cell r="D154" t="str">
            <v>BACK UP</v>
          </cell>
          <cell r="E154" t="str">
            <v>M</v>
          </cell>
          <cell r="F154" t="str">
            <v>MANTENCIÓN</v>
          </cell>
          <cell r="H154" t="str">
            <v>126 años, 2 meses, 7 días</v>
          </cell>
          <cell r="K154" t="e">
            <v>#N/A</v>
          </cell>
          <cell r="L154" t="e">
            <v>#N/A</v>
          </cell>
          <cell r="M154" t="e">
            <v>#N/A</v>
          </cell>
          <cell r="N154" t="e">
            <v>#N/A</v>
          </cell>
        </row>
        <row r="155">
          <cell r="B155" t="str">
            <v>11346903-K</v>
          </cell>
          <cell r="C155" t="str">
            <v>PIZARRO CONTRERAS JUAN ALBERTO</v>
          </cell>
          <cell r="D155" t="str">
            <v>BACK UP</v>
          </cell>
          <cell r="E155" t="str">
            <v>M</v>
          </cell>
          <cell r="F155" t="str">
            <v>SOLDADOR</v>
          </cell>
          <cell r="G155" t="str">
            <v>LA SERENA</v>
          </cell>
          <cell r="H155" t="str">
            <v>1 años, 2 meses, 5 días</v>
          </cell>
          <cell r="I155">
            <v>56981280779</v>
          </cell>
          <cell r="J155">
            <v>25014</v>
          </cell>
          <cell r="K155" t="str">
            <v>Parcialmente</v>
          </cell>
          <cell r="L155" t="e">
            <v>#N/A</v>
          </cell>
          <cell r="M155" t="e">
            <v>#N/A</v>
          </cell>
          <cell r="N155" t="str">
            <v>juan.pizarro.contreras@gmail.com</v>
          </cell>
          <cell r="O155">
            <v>45659</v>
          </cell>
          <cell r="P155" t="str">
            <v>BACK UP</v>
          </cell>
          <cell r="Q155" t="str">
            <v>BACK UP</v>
          </cell>
          <cell r="R155" t="str">
            <v>Indefinido</v>
          </cell>
          <cell r="S155" t="str">
            <v>Indefinido</v>
          </cell>
          <cell r="T155">
            <v>45666</v>
          </cell>
          <cell r="U155">
            <v>45836</v>
          </cell>
        </row>
        <row r="156">
          <cell r="B156" t="str">
            <v>13973699-0</v>
          </cell>
          <cell r="C156" t="str">
            <v>ROJAS GARCIA ANGELO SEBASTIAN</v>
          </cell>
          <cell r="D156" t="str">
            <v>BACK UP</v>
          </cell>
          <cell r="E156" t="str">
            <v>M</v>
          </cell>
          <cell r="F156" t="str">
            <v>GERENTE HSEC</v>
          </cell>
          <cell r="H156" t="e">
            <v>#VALUE!</v>
          </cell>
          <cell r="K156" t="str">
            <v>Parcialmente</v>
          </cell>
          <cell r="L156" t="e">
            <v>#N/A</v>
          </cell>
          <cell r="M156" t="e">
            <v>#N/A</v>
          </cell>
          <cell r="N156" t="e">
            <v>#N/A</v>
          </cell>
          <cell r="O156" t="str">
            <v>BACK UP</v>
          </cell>
          <cell r="P156" t="str">
            <v>BACK UP</v>
          </cell>
          <cell r="R156" t="str">
            <v>Indefinido</v>
          </cell>
          <cell r="S156" t="str">
            <v>Indefinido</v>
          </cell>
        </row>
        <row r="157">
          <cell r="B157" t="str">
            <v>13937893-8</v>
          </cell>
          <cell r="C157" t="str">
            <v>SANTELICES FUENTES CARLOS PATRICIO</v>
          </cell>
          <cell r="D157" t="str">
            <v>BACK UP</v>
          </cell>
          <cell r="E157" t="str">
            <v>M</v>
          </cell>
          <cell r="F157" t="str">
            <v xml:space="preserve">MECANICO </v>
          </cell>
          <cell r="G157" t="str">
            <v>SANTIAGO</v>
          </cell>
          <cell r="H157" t="e">
            <v>#VALUE!</v>
          </cell>
          <cell r="I157">
            <v>56996291155</v>
          </cell>
          <cell r="K157" t="str">
            <v>Si</v>
          </cell>
          <cell r="L157" t="e">
            <v>#N/A</v>
          </cell>
          <cell r="M157" t="e">
            <v>#N/A</v>
          </cell>
          <cell r="N157" t="e">
            <v>#N/A</v>
          </cell>
          <cell r="O157" t="str">
            <v>BACK UP</v>
          </cell>
          <cell r="P157" t="str">
            <v>BACK UP</v>
          </cell>
          <cell r="R157" t="str">
            <v>Indefinido</v>
          </cell>
          <cell r="S157" t="str">
            <v>Indefinido</v>
          </cell>
          <cell r="T157">
            <v>45597</v>
          </cell>
          <cell r="U157">
            <v>45669</v>
          </cell>
        </row>
        <row r="158">
          <cell r="B158" t="str">
            <v>27565857-K</v>
          </cell>
          <cell r="C158" t="str">
            <v>SHAYNE MATTHEW LUCAS</v>
          </cell>
          <cell r="D158" t="str">
            <v>BACK UP</v>
          </cell>
          <cell r="E158" t="str">
            <v>M</v>
          </cell>
          <cell r="F158" t="str">
            <v>GERENTE DE OPERACIONES</v>
          </cell>
          <cell r="G158" t="e">
            <v>#N/A</v>
          </cell>
          <cell r="H158" t="e">
            <v>#VALUE!</v>
          </cell>
          <cell r="K158" t="str">
            <v>Parcialmente</v>
          </cell>
          <cell r="L158" t="e">
            <v>#N/A</v>
          </cell>
          <cell r="M158" t="e">
            <v>#N/A</v>
          </cell>
          <cell r="N158" t="e">
            <v>#N/A</v>
          </cell>
          <cell r="O158" t="str">
            <v>BACK UP</v>
          </cell>
          <cell r="P158" t="str">
            <v>BACK UP</v>
          </cell>
          <cell r="R158" t="str">
            <v>Indefinido</v>
          </cell>
          <cell r="S158" t="str">
            <v>Indefinido</v>
          </cell>
          <cell r="T158">
            <v>45659</v>
          </cell>
        </row>
        <row r="159">
          <cell r="B159">
            <v>62156327</v>
          </cell>
          <cell r="C159" t="str">
            <v>SUCIU ROMEO ALEXANDRU</v>
          </cell>
          <cell r="D159" t="str">
            <v>BACK UP</v>
          </cell>
          <cell r="E159" t="str">
            <v>M</v>
          </cell>
          <cell r="F159" t="str">
            <v>SUPERVISOR EXPATRIADO</v>
          </cell>
          <cell r="H159" t="e">
            <v>#VALUE!</v>
          </cell>
          <cell r="K159" t="e">
            <v>#N/A</v>
          </cell>
          <cell r="L159" t="e">
            <v>#N/A</v>
          </cell>
          <cell r="M159" t="e">
            <v>#N/A</v>
          </cell>
          <cell r="N159" t="e">
            <v>#N/A</v>
          </cell>
          <cell r="O159" t="str">
            <v>BACK UP</v>
          </cell>
          <cell r="P159" t="str">
            <v>BACK UP</v>
          </cell>
          <cell r="U159">
            <v>45862</v>
          </cell>
        </row>
        <row r="160">
          <cell r="B160" t="str">
            <v>P120321557</v>
          </cell>
          <cell r="C160" t="str">
            <v>WHITEHURST MEJIA STEWART PHILLIP</v>
          </cell>
          <cell r="D160" t="str">
            <v>BACK UP</v>
          </cell>
          <cell r="E160" t="str">
            <v>M</v>
          </cell>
          <cell r="F160" t="str">
            <v>SUPERVISOR DE OPERACIONES</v>
          </cell>
          <cell r="G160" t="str">
            <v>LA SERENA</v>
          </cell>
          <cell r="H160" t="str">
            <v>10 meses, 27 días</v>
          </cell>
          <cell r="K160" t="e">
            <v>#N/A</v>
          </cell>
          <cell r="L160" t="e">
            <v>#N/A</v>
          </cell>
          <cell r="M160" t="e">
            <v>#N/A</v>
          </cell>
          <cell r="N160" t="e">
            <v>#N/A</v>
          </cell>
          <cell r="O160">
            <v>45757</v>
          </cell>
          <cell r="P160">
            <v>45819</v>
          </cell>
          <cell r="T160">
            <v>45736</v>
          </cell>
        </row>
        <row r="161">
          <cell r="B161" t="str">
            <v>16187555-4</v>
          </cell>
          <cell r="C161" t="str">
            <v>GONZALEZ CALDERON ERICK</v>
          </cell>
          <cell r="D161" t="str">
            <v>BACK UP</v>
          </cell>
          <cell r="F161" t="str">
            <v>CHOFER EXTERNO</v>
          </cell>
        </row>
        <row r="162">
          <cell r="B162" t="str">
            <v>14156135-9</v>
          </cell>
          <cell r="C162" t="str">
            <v>LISBOA CASTRO ARIEL</v>
          </cell>
          <cell r="D162" t="str">
            <v>BACK UP</v>
          </cell>
          <cell r="F162" t="str">
            <v>CHOFER EXTERNO</v>
          </cell>
        </row>
        <row r="163">
          <cell r="B163" t="str">
            <v>9183219-4</v>
          </cell>
          <cell r="C163" t="str">
            <v>OLIVARES RODRIGUEZ YERKO ALEXI</v>
          </cell>
          <cell r="D163" t="str">
            <v>BACK UP</v>
          </cell>
          <cell r="E163" t="str">
            <v>M</v>
          </cell>
          <cell r="F163" t="str">
            <v>CHOFER EXTERNO</v>
          </cell>
          <cell r="H163" t="str">
            <v>126 años, 2 meses, 7 días</v>
          </cell>
          <cell r="K163" t="e">
            <v>#N/A</v>
          </cell>
          <cell r="L163" t="e">
            <v>#N/A</v>
          </cell>
          <cell r="M163" t="e">
            <v>#N/A</v>
          </cell>
          <cell r="N163" t="e">
            <v>#N/A</v>
          </cell>
        </row>
        <row r="164">
          <cell r="C164" t="str">
            <v>OYANADEL FRANCO</v>
          </cell>
          <cell r="D164" t="str">
            <v>BACK UP</v>
          </cell>
          <cell r="F164" t="str">
            <v>CHOFER EXTERNO</v>
          </cell>
        </row>
        <row r="165">
          <cell r="B165" t="str">
            <v>16602108-1</v>
          </cell>
          <cell r="C165" t="str">
            <v>ROJO YAÑEZ ORLANDO</v>
          </cell>
          <cell r="D165" t="str">
            <v>BACK UP</v>
          </cell>
          <cell r="E165" t="str">
            <v>M</v>
          </cell>
          <cell r="F165" t="str">
            <v>CHOFER EXTERNO</v>
          </cell>
          <cell r="G165" t="e">
            <v>#N/A</v>
          </cell>
          <cell r="H165" t="e">
            <v>#VALUE!</v>
          </cell>
          <cell r="I165">
            <v>56953957875</v>
          </cell>
          <cell r="K165" t="str">
            <v>Parcialmente</v>
          </cell>
          <cell r="L165" t="e">
            <v>#N/A</v>
          </cell>
          <cell r="M165" t="e">
            <v>#N/A</v>
          </cell>
          <cell r="N165" t="e">
            <v>#N/A</v>
          </cell>
          <cell r="O165" t="str">
            <v>BACK UP</v>
          </cell>
          <cell r="P165">
            <v>45731</v>
          </cell>
          <cell r="R165" t="str">
            <v>Indefinido</v>
          </cell>
          <cell r="S165" t="str">
            <v>Indefinido</v>
          </cell>
          <cell r="T165">
            <v>45691</v>
          </cell>
          <cell r="U165" t="str">
            <v>NO SUBIRÁ</v>
          </cell>
        </row>
        <row r="166">
          <cell r="B166" t="str">
            <v>27734966-3</v>
          </cell>
          <cell r="C166" t="str">
            <v>SANCHEZ ROBLES JOSE FERNANDO</v>
          </cell>
          <cell r="D166" t="str">
            <v>BACK UP</v>
          </cell>
          <cell r="E166" t="str">
            <v>M</v>
          </cell>
          <cell r="F166" t="str">
            <v>CHOFER EXTERNO</v>
          </cell>
          <cell r="H166" t="str">
            <v>126 años, 2 meses, 7 días</v>
          </cell>
          <cell r="K166" t="e">
            <v>#N/A</v>
          </cell>
          <cell r="L166" t="e">
            <v>#N/A</v>
          </cell>
          <cell r="M166" t="e">
            <v>#N/A</v>
          </cell>
          <cell r="N166" t="e">
            <v>#N/A</v>
          </cell>
        </row>
        <row r="167">
          <cell r="B167" t="str">
            <v>10348935-0</v>
          </cell>
          <cell r="C167" t="str">
            <v>SEPULVEDA IRRIBARRA MARCELO</v>
          </cell>
          <cell r="D167" t="str">
            <v>BACK UP</v>
          </cell>
          <cell r="E167" t="str">
            <v>M</v>
          </cell>
          <cell r="F167" t="str">
            <v>CHOFER EXTERNO</v>
          </cell>
          <cell r="H167" t="e">
            <v>#VALUE!</v>
          </cell>
          <cell r="I167">
            <v>56998154189</v>
          </cell>
          <cell r="K167" t="str">
            <v>No</v>
          </cell>
          <cell r="L167" t="e">
            <v>#N/A</v>
          </cell>
          <cell r="M167" t="e">
            <v>#N/A</v>
          </cell>
          <cell r="N167" t="e">
            <v>#N/A</v>
          </cell>
          <cell r="O167" t="str">
            <v>BACK UP</v>
          </cell>
          <cell r="P167" t="str">
            <v>BACK UP</v>
          </cell>
          <cell r="R167" t="str">
            <v>Indefinido</v>
          </cell>
          <cell r="S167" t="str">
            <v>Indefinido</v>
          </cell>
        </row>
        <row r="168">
          <cell r="C168" t="str">
            <v>SEPULVEDA ROBERTO</v>
          </cell>
          <cell r="D168" t="str">
            <v>BACK UP</v>
          </cell>
          <cell r="F168" t="str">
            <v>CHOFER EXTERNO</v>
          </cell>
          <cell r="H168" t="str">
            <v>126 años, 2 meses, 7 días</v>
          </cell>
          <cell r="L168" t="e">
            <v>#N/A</v>
          </cell>
          <cell r="M168" t="e">
            <v>#N/A</v>
          </cell>
          <cell r="N168" t="e">
            <v>#N/A</v>
          </cell>
        </row>
        <row r="169">
          <cell r="B169" t="str">
            <v>13648945-3</v>
          </cell>
          <cell r="C169" t="str">
            <v>SEGOVIA VALERA ROBERTO</v>
          </cell>
          <cell r="D169" t="str">
            <v>BACK UP</v>
          </cell>
          <cell r="F169" t="str">
            <v>CHOFER EXTERNO</v>
          </cell>
        </row>
        <row r="170">
          <cell r="B170" t="str">
            <v>12271958-8</v>
          </cell>
          <cell r="C170" t="str">
            <v>VERA HERRERA PATRICIO DAVID</v>
          </cell>
          <cell r="D170" t="str">
            <v>BACK UP</v>
          </cell>
          <cell r="F170" t="str">
            <v>CHOFER EXTERNO</v>
          </cell>
        </row>
        <row r="171">
          <cell r="L171" t="e">
            <v>#N/A</v>
          </cell>
          <cell r="M171" t="e">
            <v>#N/A</v>
          </cell>
          <cell r="N171" t="e">
            <v>#N/A</v>
          </cell>
        </row>
        <row r="174">
          <cell r="C174" t="str">
            <v>TRABAJADORES DIA 4X3</v>
          </cell>
        </row>
        <row r="175">
          <cell r="C175" t="str">
            <v xml:space="preserve">TRABAJADORES DIA </v>
          </cell>
        </row>
        <row r="176">
          <cell r="C176" t="str">
            <v>TRABAJADORES NOCHE</v>
          </cell>
        </row>
        <row r="177">
          <cell r="C177" t="str">
            <v>TRABAJADORES DESCANSO</v>
          </cell>
        </row>
        <row r="178">
          <cell r="C178" t="str">
            <v>TOTAL</v>
          </cell>
        </row>
        <row r="179">
          <cell r="B179" t="str">
            <v>TRASLADOS</v>
          </cell>
        </row>
        <row r="180">
          <cell r="B180" t="str">
            <v>RUT</v>
          </cell>
          <cell r="C180" t="str">
            <v>NOMBRE</v>
          </cell>
          <cell r="D180" t="str">
            <v>TURNO</v>
          </cell>
          <cell r="E180" t="str">
            <v>GENERO</v>
          </cell>
          <cell r="F180" t="str">
            <v>CARGO</v>
          </cell>
          <cell r="G180" t="str">
            <v>CIUDAD</v>
          </cell>
          <cell r="I180" t="str">
            <v>Teléfono</v>
          </cell>
          <cell r="J180" t="str">
            <v>Fecha Nacimiento</v>
          </cell>
          <cell r="K180" t="str">
            <v>Enrolamiento Talana</v>
          </cell>
          <cell r="L180" t="e">
            <v>#N/A</v>
          </cell>
          <cell r="M180" t="e">
            <v>#N/A</v>
          </cell>
          <cell r="N180" t="e">
            <v>#N/A</v>
          </cell>
          <cell r="O180" t="str">
            <v>Fecha contrato</v>
          </cell>
          <cell r="P180" t="str">
            <v>Plazo Fijo</v>
          </cell>
          <cell r="Q180" t="str">
            <v xml:space="preserve">Renov Actual </v>
          </cell>
          <cell r="R180" t="str">
            <v>Indefinido</v>
          </cell>
          <cell r="S180" t="str">
            <v>Detalle contrato (Indefinido o Plazo Fijo)</v>
          </cell>
          <cell r="T180" t="str">
            <v>ANEXO 10X10 MV</v>
          </cell>
          <cell r="U180" t="str">
            <v xml:space="preserve">Fecha Ingreso MV </v>
          </cell>
        </row>
        <row r="181">
          <cell r="B181" t="str">
            <v>16324751-8</v>
          </cell>
          <cell r="C181" t="str">
            <v>ACOSTA ROJAS JONATHAN ALEJANDRO</v>
          </cell>
          <cell r="D181" t="str">
            <v>B</v>
          </cell>
          <cell r="E181" t="str">
            <v>M</v>
          </cell>
          <cell r="F181" t="str">
            <v>AYUDANTE DE PERFORISTA</v>
          </cell>
          <cell r="G181" t="str">
            <v>OVALLE</v>
          </cell>
          <cell r="K181" t="str">
            <v>Parcialmente</v>
          </cell>
          <cell r="L181" t="e">
            <v>#N/A</v>
          </cell>
          <cell r="M181" t="e">
            <v>#N/A</v>
          </cell>
          <cell r="N181" t="e">
            <v>#N/A</v>
          </cell>
          <cell r="O181">
            <v>45749</v>
          </cell>
          <cell r="P181">
            <v>45777</v>
          </cell>
          <cell r="Q181">
            <v>45838</v>
          </cell>
          <cell r="R181" t="str">
            <v>Indefinido</v>
          </cell>
          <cell r="S181" t="str">
            <v>Indefinido</v>
          </cell>
          <cell r="T181">
            <v>45797</v>
          </cell>
          <cell r="U181">
            <v>45816</v>
          </cell>
        </row>
        <row r="182">
          <cell r="B182" t="str">
            <v>11210318-K</v>
          </cell>
          <cell r="C182" t="str">
            <v>ALVARADO MUÑOZ FABIAN SEGUNDO</v>
          </cell>
          <cell r="D182" t="str">
            <v>AB</v>
          </cell>
          <cell r="E182" t="str">
            <v>M</v>
          </cell>
          <cell r="F182" t="str">
            <v>BODEGUERA/O</v>
          </cell>
          <cell r="G182" t="str">
            <v>SANTIAGO</v>
          </cell>
          <cell r="H182" t="str">
            <v>6 meses, 6 días</v>
          </cell>
          <cell r="I182">
            <v>56986353187</v>
          </cell>
          <cell r="J182">
            <v>24785</v>
          </cell>
          <cell r="L182" t="str">
            <v>SANTANDER</v>
          </cell>
          <cell r="M182" t="str">
            <v>62190898909</v>
          </cell>
          <cell r="N182" t="str">
            <v>fabianalvarado67@hotmail.com</v>
          </cell>
          <cell r="O182">
            <v>45901</v>
          </cell>
          <cell r="P182">
            <v>45930</v>
          </cell>
          <cell r="Q182">
            <v>45991</v>
          </cell>
          <cell r="R182" t="str">
            <v>Plazo fijo</v>
          </cell>
          <cell r="S182" t="str">
            <v>Plazo fijo</v>
          </cell>
          <cell r="T182">
            <v>45901</v>
          </cell>
          <cell r="U182">
            <v>45941</v>
          </cell>
        </row>
        <row r="183">
          <cell r="B183" t="str">
            <v>10988675-0</v>
          </cell>
          <cell r="C183" t="str">
            <v>ALVARADO MORO JUAN ROBERTO</v>
          </cell>
          <cell r="D183" t="str">
            <v>B</v>
          </cell>
          <cell r="E183" t="str">
            <v>M</v>
          </cell>
          <cell r="F183" t="str">
            <v>PERFORISTA</v>
          </cell>
          <cell r="G183" t="str">
            <v>CATEMU</v>
          </cell>
          <cell r="I183">
            <v>56975823436</v>
          </cell>
          <cell r="K183" t="str">
            <v>Si</v>
          </cell>
          <cell r="L183" t="e">
            <v>#N/A</v>
          </cell>
          <cell r="M183" t="e">
            <v>#N/A</v>
          </cell>
          <cell r="N183" t="e">
            <v>#N/A</v>
          </cell>
          <cell r="O183">
            <v>45845</v>
          </cell>
          <cell r="P183">
            <v>45884</v>
          </cell>
          <cell r="Q183">
            <v>45945</v>
          </cell>
          <cell r="R183" t="str">
            <v>Plazo fijo</v>
          </cell>
          <cell r="S183" t="str">
            <v>Plazo fijo</v>
          </cell>
          <cell r="T183">
            <v>45845</v>
          </cell>
          <cell r="U183">
            <v>45876</v>
          </cell>
        </row>
        <row r="184">
          <cell r="B184" t="str">
            <v>15574981-4</v>
          </cell>
          <cell r="C184" t="str">
            <v>ANGEL ROJAS DARIO ALEJANDRO</v>
          </cell>
          <cell r="D184" t="str">
            <v>A</v>
          </cell>
          <cell r="E184" t="str">
            <v>M</v>
          </cell>
          <cell r="F184" t="str">
            <v>AYUDANTE DE PERFORISTA</v>
          </cell>
          <cell r="G184" t="str">
            <v>OVALLE</v>
          </cell>
          <cell r="K184" t="str">
            <v>Si</v>
          </cell>
          <cell r="L184" t="e">
            <v>#N/A</v>
          </cell>
          <cell r="M184" t="e">
            <v>#N/A</v>
          </cell>
          <cell r="N184" t="e">
            <v>#N/A</v>
          </cell>
          <cell r="O184">
            <v>45667</v>
          </cell>
          <cell r="P184">
            <v>45703</v>
          </cell>
          <cell r="Q184" t="str">
            <v>Indefinido</v>
          </cell>
          <cell r="R184" t="str">
            <v>Indefinido</v>
          </cell>
          <cell r="S184" t="str">
            <v>Indefinido</v>
          </cell>
          <cell r="T184">
            <v>45797</v>
          </cell>
          <cell r="U184">
            <v>45832</v>
          </cell>
        </row>
        <row r="185">
          <cell r="B185" t="str">
            <v>15947169-1</v>
          </cell>
          <cell r="C185" t="str">
            <v>ANGEL ROJAS MAURICIO HERNAN</v>
          </cell>
          <cell r="D185" t="str">
            <v>A</v>
          </cell>
          <cell r="E185" t="str">
            <v>M</v>
          </cell>
          <cell r="F185" t="str">
            <v>AYUDANTE DE PERFORISTA</v>
          </cell>
          <cell r="G185" t="str">
            <v>OVALLE</v>
          </cell>
          <cell r="I185">
            <v>56937499752</v>
          </cell>
          <cell r="K185" t="str">
            <v>Si</v>
          </cell>
          <cell r="L185" t="e">
            <v>#N/A</v>
          </cell>
          <cell r="M185" t="e">
            <v>#N/A</v>
          </cell>
          <cell r="N185" t="e">
            <v>#N/A</v>
          </cell>
          <cell r="O185">
            <v>45580</v>
          </cell>
          <cell r="P185">
            <v>45672</v>
          </cell>
          <cell r="Q185" t="str">
            <v>Indefinido</v>
          </cell>
          <cell r="R185" t="str">
            <v>Indefinido</v>
          </cell>
          <cell r="S185" t="str">
            <v>Indefinido</v>
          </cell>
          <cell r="T185">
            <v>45797</v>
          </cell>
          <cell r="U185">
            <v>45826</v>
          </cell>
        </row>
        <row r="186">
          <cell r="B186" t="str">
            <v>18987429-4</v>
          </cell>
          <cell r="C186" t="str">
            <v>ARANEDA MILLAR SEBASTIAN ALEJANDRO</v>
          </cell>
          <cell r="D186" t="str">
            <v>A</v>
          </cell>
          <cell r="E186" t="str">
            <v>M</v>
          </cell>
          <cell r="F186" t="str">
            <v>AYUDANTE DE PERFORISTA</v>
          </cell>
          <cell r="G186" t="str">
            <v>CURANILAHUE</v>
          </cell>
          <cell r="I186">
            <v>56975918171</v>
          </cell>
          <cell r="K186" t="str">
            <v>Si</v>
          </cell>
          <cell r="L186" t="e">
            <v>#N/A</v>
          </cell>
          <cell r="M186" t="e">
            <v>#N/A</v>
          </cell>
          <cell r="N186" t="e">
            <v>#N/A</v>
          </cell>
          <cell r="O186">
            <v>45756</v>
          </cell>
          <cell r="P186">
            <v>45792</v>
          </cell>
          <cell r="Q186">
            <v>45853</v>
          </cell>
          <cell r="R186" t="str">
            <v>Indefinido</v>
          </cell>
          <cell r="S186" t="str">
            <v>Indefinido</v>
          </cell>
          <cell r="T186">
            <v>45756</v>
          </cell>
          <cell r="U186">
            <v>45776</v>
          </cell>
        </row>
        <row r="187">
          <cell r="B187" t="str">
            <v>9224871-2</v>
          </cell>
          <cell r="C187" t="str">
            <v>ARANEDA RAIN CARLOS DUBERILDO</v>
          </cell>
          <cell r="D187" t="str">
            <v>B</v>
          </cell>
          <cell r="E187" t="str">
            <v>M</v>
          </cell>
          <cell r="F187" t="str">
            <v>SUPERVISOR DE OPERACIONES</v>
          </cell>
          <cell r="G187" t="str">
            <v>CURANILAHUE</v>
          </cell>
          <cell r="H187" t="str">
            <v>1 años, 4 meses, 2 días</v>
          </cell>
          <cell r="I187">
            <v>56989929026</v>
          </cell>
          <cell r="J187">
            <v>23048</v>
          </cell>
          <cell r="K187" t="str">
            <v>Si</v>
          </cell>
          <cell r="L187" t="str">
            <v>BANCOESTADO</v>
          </cell>
          <cell r="M187" t="str">
            <v>55300047792</v>
          </cell>
          <cell r="N187" t="str">
            <v>carlosararain2@gmail.com</v>
          </cell>
          <cell r="O187">
            <v>45601</v>
          </cell>
          <cell r="P187">
            <v>45641</v>
          </cell>
          <cell r="Q187">
            <v>45703</v>
          </cell>
          <cell r="R187" t="str">
            <v>Indefinido</v>
          </cell>
          <cell r="S187" t="str">
            <v>Indefinido</v>
          </cell>
          <cell r="T187">
            <v>45601</v>
          </cell>
          <cell r="U187">
            <v>45636</v>
          </cell>
        </row>
        <row r="188">
          <cell r="B188" t="str">
            <v>15608134-5</v>
          </cell>
          <cell r="C188" t="str">
            <v>ARAVENA POBLETE RICKY DONNELLY</v>
          </cell>
          <cell r="D188" t="str">
            <v>A</v>
          </cell>
          <cell r="E188" t="str">
            <v>M</v>
          </cell>
          <cell r="F188" t="str">
            <v>AYUDANTE DE PERFORISTA</v>
          </cell>
          <cell r="G188" t="str">
            <v>SAN CARLOS</v>
          </cell>
          <cell r="I188" t="str">
            <v>56950132784</v>
          </cell>
          <cell r="K188" t="str">
            <v>Si</v>
          </cell>
          <cell r="L188" t="e">
            <v>#N/A</v>
          </cell>
          <cell r="M188" t="e">
            <v>#N/A</v>
          </cell>
          <cell r="N188" t="e">
            <v>#N/A</v>
          </cell>
          <cell r="O188">
            <v>45681</v>
          </cell>
          <cell r="P188">
            <v>45777</v>
          </cell>
          <cell r="Q188" t="str">
            <v>Indefinido</v>
          </cell>
          <cell r="R188" t="str">
            <v>Indefinido</v>
          </cell>
          <cell r="S188" t="str">
            <v>Indefinido</v>
          </cell>
          <cell r="T188">
            <v>45797</v>
          </cell>
          <cell r="U188">
            <v>45826</v>
          </cell>
        </row>
        <row r="189">
          <cell r="B189" t="str">
            <v>17114274-1</v>
          </cell>
          <cell r="C189" t="str">
            <v>ARAYA ARAYA SEBASTIAN NICOLAS</v>
          </cell>
          <cell r="D189" t="str">
            <v>A</v>
          </cell>
          <cell r="E189" t="str">
            <v>M</v>
          </cell>
          <cell r="F189" t="str">
            <v>PERFORISTA</v>
          </cell>
          <cell r="G189" t="str">
            <v>ANTOFAGASTA</v>
          </cell>
          <cell r="I189">
            <v>56933257407</v>
          </cell>
          <cell r="J189">
            <v>32589</v>
          </cell>
          <cell r="K189" t="str">
            <v>Si</v>
          </cell>
          <cell r="L189" t="str">
            <v>BANCO DE CHILE</v>
          </cell>
          <cell r="M189" t="str">
            <v>000012416098</v>
          </cell>
          <cell r="N189" t="str">
            <v>s.araya1989@hotmail.com</v>
          </cell>
          <cell r="O189">
            <v>45779</v>
          </cell>
          <cell r="P189">
            <v>45808</v>
          </cell>
          <cell r="Q189">
            <v>45869</v>
          </cell>
          <cell r="R189" t="str">
            <v>Indefinido</v>
          </cell>
          <cell r="S189" t="str">
            <v>Indefinido</v>
          </cell>
          <cell r="T189">
            <v>45779</v>
          </cell>
          <cell r="U189">
            <v>45790</v>
          </cell>
        </row>
        <row r="190">
          <cell r="B190" t="str">
            <v>21028758-2</v>
          </cell>
          <cell r="C190" t="str">
            <v>ARAYA BARRAZA FRANCISCO ALEJANDRO</v>
          </cell>
          <cell r="D190" t="str">
            <v>B</v>
          </cell>
          <cell r="E190" t="str">
            <v>M</v>
          </cell>
          <cell r="F190" t="str">
            <v>AYUDANTE DE PERFORISTA</v>
          </cell>
          <cell r="G190" t="str">
            <v>LA SERENA</v>
          </cell>
          <cell r="I190">
            <v>56964819124</v>
          </cell>
          <cell r="K190" t="str">
            <v>Si</v>
          </cell>
          <cell r="L190" t="e">
            <v>#N/A</v>
          </cell>
          <cell r="M190" t="e">
            <v>#N/A</v>
          </cell>
          <cell r="N190" t="e">
            <v>#N/A</v>
          </cell>
          <cell r="O190">
            <v>45601</v>
          </cell>
          <cell r="P190">
            <v>45641</v>
          </cell>
          <cell r="Q190">
            <v>45703</v>
          </cell>
          <cell r="R190" t="str">
            <v>Indefinido</v>
          </cell>
          <cell r="S190" t="str">
            <v>Indefinido</v>
          </cell>
          <cell r="T190">
            <v>45601</v>
          </cell>
          <cell r="U190">
            <v>45656</v>
          </cell>
        </row>
        <row r="191">
          <cell r="B191" t="str">
            <v>20308708-K</v>
          </cell>
          <cell r="C191" t="str">
            <v>ARAYA OYARCE CHRISTIAN SEBASTIAN</v>
          </cell>
          <cell r="D191" t="str">
            <v>A</v>
          </cell>
          <cell r="E191" t="str">
            <v>M</v>
          </cell>
          <cell r="F191" t="str">
            <v>AYUDANTE DE PERFORISTA</v>
          </cell>
          <cell r="G191" t="str">
            <v>OVALLE</v>
          </cell>
          <cell r="I191">
            <v>56935316179</v>
          </cell>
          <cell r="J191">
            <v>36485</v>
          </cell>
          <cell r="K191" t="str">
            <v>Si</v>
          </cell>
          <cell r="L191" t="str">
            <v>BANCO FALABELLA</v>
          </cell>
          <cell r="M191" t="str">
            <v>15840590909</v>
          </cell>
          <cell r="N191" t="str">
            <v>christianarayaoyarce@gmail.com</v>
          </cell>
          <cell r="O191">
            <v>45607</v>
          </cell>
          <cell r="P191">
            <v>45703</v>
          </cell>
          <cell r="Q191" t="str">
            <v>Indefinido</v>
          </cell>
          <cell r="R191" t="str">
            <v>Indefinido</v>
          </cell>
          <cell r="S191" t="str">
            <v>Indefinido</v>
          </cell>
          <cell r="T191">
            <v>45607</v>
          </cell>
          <cell r="U191">
            <v>45646</v>
          </cell>
        </row>
        <row r="192">
          <cell r="B192" t="str">
            <v>13173870-6</v>
          </cell>
          <cell r="C192" t="str">
            <v>ARAYA REYES DANIEL OSVALDO</v>
          </cell>
          <cell r="D192" t="str">
            <v>B</v>
          </cell>
          <cell r="E192" t="str">
            <v>M</v>
          </cell>
          <cell r="F192" t="str">
            <v>PERFORISTA</v>
          </cell>
          <cell r="G192" t="str">
            <v>LA SERENA</v>
          </cell>
          <cell r="H192" t="str">
            <v>7 meses, 0 días</v>
          </cell>
          <cell r="I192">
            <v>56958584021</v>
          </cell>
          <cell r="J192">
            <v>28167</v>
          </cell>
          <cell r="L192" t="str">
            <v>BANCOESTADO</v>
          </cell>
          <cell r="M192" t="str">
            <v>13173870</v>
          </cell>
          <cell r="N192" t="str">
            <v>danielaraya703@gmail.com</v>
          </cell>
          <cell r="O192">
            <v>45876</v>
          </cell>
          <cell r="P192">
            <v>45915</v>
          </cell>
          <cell r="Q192">
            <v>45976</v>
          </cell>
          <cell r="R192" t="str">
            <v>Indefinido</v>
          </cell>
          <cell r="S192" t="str">
            <v>Indefinido</v>
          </cell>
          <cell r="T192">
            <v>45876</v>
          </cell>
          <cell r="U192">
            <v>45916</v>
          </cell>
        </row>
        <row r="193">
          <cell r="B193" t="str">
            <v>16688197-8</v>
          </cell>
          <cell r="C193" t="str">
            <v>BAEZA ROJAS JEAN MAXIMILIANO</v>
          </cell>
          <cell r="D193" t="str">
            <v>A</v>
          </cell>
          <cell r="E193" t="str">
            <v>M</v>
          </cell>
          <cell r="F193" t="str">
            <v>AYUDANTE DE PERFORISTA</v>
          </cell>
          <cell r="G193" t="str">
            <v>COQUIMBO</v>
          </cell>
          <cell r="I193">
            <v>56984651637</v>
          </cell>
          <cell r="K193" t="str">
            <v>Si</v>
          </cell>
          <cell r="L193" t="e">
            <v>#N/A</v>
          </cell>
          <cell r="M193" t="e">
            <v>#N/A</v>
          </cell>
          <cell r="N193" t="e">
            <v>#N/A</v>
          </cell>
          <cell r="O193">
            <v>45580</v>
          </cell>
          <cell r="P193">
            <v>45672</v>
          </cell>
          <cell r="Q193" t="str">
            <v>Indefinido</v>
          </cell>
          <cell r="R193" t="str">
            <v>Indefinido</v>
          </cell>
          <cell r="S193" t="str">
            <v>Indefinido</v>
          </cell>
          <cell r="T193">
            <v>45797</v>
          </cell>
          <cell r="U193">
            <v>45826</v>
          </cell>
        </row>
        <row r="194">
          <cell r="B194" t="str">
            <v>16688947-2</v>
          </cell>
          <cell r="C194" t="str">
            <v>BARRIOS DUARTE CRISTOBAL RAFAEL</v>
          </cell>
          <cell r="D194" t="str">
            <v>A</v>
          </cell>
          <cell r="E194" t="str">
            <v>M</v>
          </cell>
          <cell r="F194" t="str">
            <v>AYUDANTE DE PERFORISTA</v>
          </cell>
          <cell r="G194" t="str">
            <v>LA SERENA</v>
          </cell>
          <cell r="I194">
            <v>56932239804</v>
          </cell>
          <cell r="J194">
            <v>32285</v>
          </cell>
          <cell r="K194" t="str">
            <v>Si</v>
          </cell>
          <cell r="L194" t="str">
            <v>SANTANDER</v>
          </cell>
          <cell r="M194" t="str">
            <v>000098272917</v>
          </cell>
          <cell r="N194" t="str">
            <v>cristobalbarriosduarte58@gmail.com</v>
          </cell>
          <cell r="O194">
            <v>45740</v>
          </cell>
          <cell r="P194">
            <v>45777</v>
          </cell>
          <cell r="Q194">
            <v>45838</v>
          </cell>
          <cell r="R194" t="str">
            <v>Indefinido</v>
          </cell>
          <cell r="S194" t="str">
            <v>Indefinido</v>
          </cell>
          <cell r="T194">
            <v>45789</v>
          </cell>
          <cell r="U194">
            <v>45806</v>
          </cell>
        </row>
        <row r="195">
          <cell r="B195" t="str">
            <v>16491212-4</v>
          </cell>
          <cell r="C195" t="str">
            <v>BOSSA ZAMORANO LEANDRO RUBEN</v>
          </cell>
          <cell r="D195" t="str">
            <v>A</v>
          </cell>
          <cell r="E195" t="str">
            <v>M</v>
          </cell>
          <cell r="F195" t="str">
            <v>SUPERVISOR DE OPERACIONES</v>
          </cell>
          <cell r="G195" t="str">
            <v>CALAMA</v>
          </cell>
          <cell r="I195">
            <v>56978896375</v>
          </cell>
          <cell r="K195" t="str">
            <v>Si</v>
          </cell>
          <cell r="L195" t="e">
            <v>#N/A</v>
          </cell>
          <cell r="M195" t="e">
            <v>#N/A</v>
          </cell>
          <cell r="N195" t="e">
            <v>#N/A</v>
          </cell>
          <cell r="O195">
            <v>45566</v>
          </cell>
          <cell r="P195" t="str">
            <v>Indefinido</v>
          </cell>
          <cell r="Q195" t="str">
            <v>Indefinido</v>
          </cell>
          <cell r="R195" t="str">
            <v>Indefinido</v>
          </cell>
          <cell r="S195" t="str">
            <v>Indefinido</v>
          </cell>
          <cell r="T195">
            <v>45778</v>
          </cell>
          <cell r="U195">
            <v>45785</v>
          </cell>
        </row>
        <row r="196">
          <cell r="B196" t="str">
            <v>16290708-5</v>
          </cell>
          <cell r="C196" t="str">
            <v xml:space="preserve">BUSTAMANTE CERON RAUL MANUEL </v>
          </cell>
          <cell r="D196" t="str">
            <v>A</v>
          </cell>
          <cell r="E196" t="str">
            <v>M</v>
          </cell>
          <cell r="F196" t="str">
            <v>SOLDADOR</v>
          </cell>
          <cell r="G196" t="str">
            <v>LA SERENA</v>
          </cell>
          <cell r="K196" t="str">
            <v>Si</v>
          </cell>
          <cell r="L196" t="e">
            <v>#N/A</v>
          </cell>
          <cell r="M196" t="e">
            <v>#N/A</v>
          </cell>
          <cell r="N196" t="e">
            <v>#N/A</v>
          </cell>
          <cell r="O196">
            <v>45790</v>
          </cell>
          <cell r="P196">
            <v>45823</v>
          </cell>
          <cell r="Q196">
            <v>45884</v>
          </cell>
          <cell r="R196" t="str">
            <v>Indefinido</v>
          </cell>
          <cell r="S196" t="str">
            <v>Indefinido</v>
          </cell>
          <cell r="T196">
            <v>45799</v>
          </cell>
          <cell r="U196">
            <v>45816</v>
          </cell>
        </row>
        <row r="197">
          <cell r="B197" t="str">
            <v>12560592-3</v>
          </cell>
          <cell r="C197" t="str">
            <v>CABRERA MEDINA ALEX MAURICIO</v>
          </cell>
          <cell r="D197" t="str">
            <v>B</v>
          </cell>
          <cell r="E197" t="str">
            <v>M</v>
          </cell>
          <cell r="F197" t="str">
            <v>AYUDANTE DE PERFORISTA</v>
          </cell>
          <cell r="G197" t="str">
            <v>CURANILAHUE</v>
          </cell>
          <cell r="I197">
            <v>56975510040</v>
          </cell>
          <cell r="K197" t="str">
            <v>Si</v>
          </cell>
          <cell r="L197" t="e">
            <v>#N/A</v>
          </cell>
          <cell r="M197" t="e">
            <v>#N/A</v>
          </cell>
          <cell r="N197" t="e">
            <v>#N/A</v>
          </cell>
          <cell r="O197">
            <v>45737</v>
          </cell>
          <cell r="P197">
            <v>45777</v>
          </cell>
          <cell r="Q197">
            <v>45838</v>
          </cell>
          <cell r="R197" t="str">
            <v>Indefinido</v>
          </cell>
          <cell r="S197" t="str">
            <v>Indefinido</v>
          </cell>
          <cell r="T197">
            <v>45737</v>
          </cell>
          <cell r="U197">
            <v>45756</v>
          </cell>
        </row>
        <row r="198">
          <cell r="B198" t="str">
            <v>20228594-5</v>
          </cell>
          <cell r="C198" t="str">
            <v>CALDERON AGUILAR MARCELO ANTONIO</v>
          </cell>
          <cell r="D198" t="str">
            <v>A</v>
          </cell>
          <cell r="E198" t="str">
            <v>M</v>
          </cell>
          <cell r="F198" t="str">
            <v>AYUDANTE DE PERFORISTA</v>
          </cell>
          <cell r="G198" t="str">
            <v>LA SERENA</v>
          </cell>
          <cell r="I198">
            <v>56936306897</v>
          </cell>
          <cell r="K198" t="str">
            <v>Si</v>
          </cell>
          <cell r="L198" t="e">
            <v>#N/A</v>
          </cell>
          <cell r="M198" t="e">
            <v>#N/A</v>
          </cell>
          <cell r="N198" t="e">
            <v>#N/A</v>
          </cell>
          <cell r="O198">
            <v>45748</v>
          </cell>
          <cell r="P198">
            <v>45777</v>
          </cell>
          <cell r="Q198">
            <v>45838</v>
          </cell>
          <cell r="R198" t="str">
            <v>Indefinido</v>
          </cell>
          <cell r="S198" t="str">
            <v>Indefinido</v>
          </cell>
          <cell r="T198">
            <v>45789</v>
          </cell>
          <cell r="U198">
            <v>45806</v>
          </cell>
        </row>
        <row r="199">
          <cell r="B199" t="str">
            <v>18751573-4</v>
          </cell>
          <cell r="C199" t="str">
            <v>CAMPILLAY CORTINEZ MAURICIO EDUARDO</v>
          </cell>
          <cell r="D199" t="str">
            <v>A</v>
          </cell>
          <cell r="E199" t="str">
            <v>M</v>
          </cell>
          <cell r="F199" t="str">
            <v>AYUDANTE DE PERFORISTA</v>
          </cell>
          <cell r="G199" t="str">
            <v>VALLENAR</v>
          </cell>
          <cell r="I199">
            <v>56982030707</v>
          </cell>
          <cell r="K199" t="str">
            <v>Si</v>
          </cell>
          <cell r="L199" t="e">
            <v>#N/A</v>
          </cell>
          <cell r="M199" t="e">
            <v>#N/A</v>
          </cell>
          <cell r="N199" t="e">
            <v>#N/A</v>
          </cell>
          <cell r="O199">
            <v>45945</v>
          </cell>
          <cell r="P199" t="str">
            <v>Indefinido</v>
          </cell>
          <cell r="Q199" t="str">
            <v>Indefinido</v>
          </cell>
          <cell r="R199" t="str">
            <v>Indefinido</v>
          </cell>
          <cell r="S199" t="str">
            <v>Indefinido</v>
          </cell>
          <cell r="T199">
            <v>45797</v>
          </cell>
          <cell r="U199">
            <v>45846</v>
          </cell>
        </row>
        <row r="200">
          <cell r="B200" t="str">
            <v>21013313-5</v>
          </cell>
          <cell r="C200" t="str">
            <v>CARMONA ORREGO GABRIEL IGNACIO</v>
          </cell>
          <cell r="D200" t="str">
            <v>A</v>
          </cell>
          <cell r="E200" t="str">
            <v>M</v>
          </cell>
          <cell r="F200" t="str">
            <v>AYUDANTE DE PERFORISTA</v>
          </cell>
          <cell r="G200" t="str">
            <v>LA SERENA</v>
          </cell>
          <cell r="H200" t="str">
            <v>4 meses, 2 días</v>
          </cell>
          <cell r="J200">
            <v>37379</v>
          </cell>
          <cell r="N200" t="str">
            <v>gabriel.carmon4orrego@gmail.com</v>
          </cell>
          <cell r="O200">
            <v>45966</v>
          </cell>
          <cell r="P200">
            <v>46006</v>
          </cell>
          <cell r="R200" t="str">
            <v>Plazo fijo</v>
          </cell>
          <cell r="S200" t="str">
            <v>Plazo fijo</v>
          </cell>
          <cell r="T200">
            <v>45966</v>
          </cell>
          <cell r="U200">
            <v>45993</v>
          </cell>
        </row>
        <row r="201">
          <cell r="B201" t="str">
            <v>19770635-K</v>
          </cell>
          <cell r="C201" t="str">
            <v>CASTILLO CORTES JONATHAN ALEJANDRO</v>
          </cell>
          <cell r="D201" t="str">
            <v>B</v>
          </cell>
          <cell r="E201" t="str">
            <v>M</v>
          </cell>
          <cell r="F201" t="str">
            <v>AYUDANTE DE PERFORISTA</v>
          </cell>
          <cell r="G201" t="str">
            <v>COQUIMBO</v>
          </cell>
          <cell r="I201">
            <v>56941886174</v>
          </cell>
          <cell r="K201" t="str">
            <v>Si</v>
          </cell>
          <cell r="L201" t="e">
            <v>#N/A</v>
          </cell>
          <cell r="M201" t="e">
            <v>#N/A</v>
          </cell>
          <cell r="N201" t="e">
            <v>#N/A</v>
          </cell>
          <cell r="O201">
            <v>45597</v>
          </cell>
          <cell r="P201">
            <v>45626</v>
          </cell>
          <cell r="Q201">
            <v>45688</v>
          </cell>
          <cell r="R201" t="str">
            <v>Indefinido</v>
          </cell>
          <cell r="S201" t="str">
            <v>Indefinido</v>
          </cell>
          <cell r="T201">
            <v>45597</v>
          </cell>
          <cell r="U201">
            <v>45636</v>
          </cell>
        </row>
        <row r="202">
          <cell r="B202" t="str">
            <v>13744310-4</v>
          </cell>
          <cell r="C202" t="str">
            <v>CASTRO PASTENE WALDO RAFAEL</v>
          </cell>
          <cell r="D202" t="str">
            <v>B</v>
          </cell>
          <cell r="E202" t="str">
            <v>M</v>
          </cell>
          <cell r="F202" t="str">
            <v>SOLDADOR</v>
          </cell>
          <cell r="G202" t="str">
            <v>VALLENAR</v>
          </cell>
          <cell r="I202">
            <v>56933680339</v>
          </cell>
          <cell r="J202">
            <v>29329</v>
          </cell>
          <cell r="K202" t="str">
            <v>Si</v>
          </cell>
          <cell r="L202" t="str">
            <v>BANCO FALABELLA</v>
          </cell>
          <cell r="M202" t="str">
            <v>19802269343</v>
          </cell>
          <cell r="N202" t="str">
            <v>rafaelcastropastenes8081@gmail.com</v>
          </cell>
          <cell r="O202">
            <v>45855</v>
          </cell>
          <cell r="P202">
            <v>45900</v>
          </cell>
          <cell r="Q202">
            <v>45961</v>
          </cell>
          <cell r="R202" t="str">
            <v>Plazo fijo</v>
          </cell>
          <cell r="S202" t="str">
            <v>Plazo fijo</v>
          </cell>
          <cell r="T202">
            <v>45855</v>
          </cell>
          <cell r="U202">
            <v>45876</v>
          </cell>
        </row>
        <row r="203">
          <cell r="B203" t="str">
            <v>15134240-K</v>
          </cell>
          <cell r="C203" t="str">
            <v>CASTRO ZUÑIGA GUILLERMO ALFREDO</v>
          </cell>
          <cell r="D203" t="str">
            <v>A</v>
          </cell>
          <cell r="E203" t="str">
            <v>M</v>
          </cell>
          <cell r="F203" t="str">
            <v>PERFORISTA</v>
          </cell>
          <cell r="G203" t="str">
            <v>TALCA</v>
          </cell>
          <cell r="I203" t="str">
            <v>56934093221</v>
          </cell>
          <cell r="K203" t="str">
            <v>Si</v>
          </cell>
          <cell r="L203" t="e">
            <v>#N/A</v>
          </cell>
          <cell r="M203" t="e">
            <v>#N/A</v>
          </cell>
          <cell r="N203" t="e">
            <v>#N/A</v>
          </cell>
          <cell r="O203">
            <v>45713</v>
          </cell>
          <cell r="P203">
            <v>45808</v>
          </cell>
          <cell r="Q203" t="str">
            <v>Indefinido</v>
          </cell>
          <cell r="R203" t="str">
            <v>Indefinido</v>
          </cell>
          <cell r="S203" t="str">
            <v>Indefinido</v>
          </cell>
          <cell r="T203">
            <v>45797</v>
          </cell>
          <cell r="U203">
            <v>45804</v>
          </cell>
        </row>
        <row r="204">
          <cell r="B204" t="str">
            <v>19301048-2</v>
          </cell>
          <cell r="C204" t="str">
            <v>CERDA SALINAS MATIAS FRANCISCO</v>
          </cell>
          <cell r="D204" t="str">
            <v>B</v>
          </cell>
          <cell r="E204" t="str">
            <v>M</v>
          </cell>
          <cell r="F204" t="str">
            <v>PERFORISTA</v>
          </cell>
          <cell r="G204" t="str">
            <v>OVALLE</v>
          </cell>
          <cell r="H204" t="str">
            <v>13 días</v>
          </cell>
          <cell r="I204">
            <v>56957942764</v>
          </cell>
          <cell r="J204">
            <v>34964</v>
          </cell>
          <cell r="K204" t="str">
            <v>Si</v>
          </cell>
          <cell r="L204" t="str">
            <v>BANCO FALABELLA</v>
          </cell>
          <cell r="M204" t="str">
            <v>19800465748</v>
          </cell>
          <cell r="N204" t="str">
            <v>mathias.fc@icloud.com</v>
          </cell>
          <cell r="O204">
            <v>45741</v>
          </cell>
          <cell r="P204">
            <v>45777</v>
          </cell>
          <cell r="Q204">
            <v>45838</v>
          </cell>
          <cell r="R204" t="str">
            <v>Indefinido</v>
          </cell>
          <cell r="S204" t="str">
            <v>Indefinido</v>
          </cell>
          <cell r="T204">
            <v>45741</v>
          </cell>
          <cell r="U204">
            <v>45756</v>
          </cell>
        </row>
        <row r="205">
          <cell r="B205" t="str">
            <v>P122603522</v>
          </cell>
          <cell r="C205" t="str">
            <v>CHAVEZ HUAMAN LUIS ENRIQUE</v>
          </cell>
          <cell r="D205" t="str">
            <v>BACK UP</v>
          </cell>
          <cell r="E205" t="str">
            <v>M</v>
          </cell>
          <cell r="F205" t="str">
            <v>PERFORISTA</v>
          </cell>
          <cell r="G205" t="str">
            <v>PERU</v>
          </cell>
          <cell r="K205" t="e">
            <v>#N/A</v>
          </cell>
          <cell r="L205" t="e">
            <v>#N/A</v>
          </cell>
          <cell r="M205" t="e">
            <v>#N/A</v>
          </cell>
          <cell r="N205" t="e">
            <v>#N/A</v>
          </cell>
          <cell r="O205" t="str">
            <v>BACK UP</v>
          </cell>
          <cell r="P205" t="str">
            <v>BACK UP</v>
          </cell>
          <cell r="T205">
            <v>45702</v>
          </cell>
          <cell r="U205">
            <v>45714</v>
          </cell>
        </row>
        <row r="206">
          <cell r="B206" t="str">
            <v>PA120411585</v>
          </cell>
          <cell r="C206" t="str">
            <v>COILA BENAVENTE EDWIN</v>
          </cell>
          <cell r="D206" t="str">
            <v>BACK UP</v>
          </cell>
          <cell r="E206" t="str">
            <v>M</v>
          </cell>
          <cell r="F206" t="str">
            <v>PERFORISTA</v>
          </cell>
          <cell r="G206" t="str">
            <v>LA SERENA</v>
          </cell>
          <cell r="I206">
            <v>51952835723</v>
          </cell>
          <cell r="K206" t="e">
            <v>#N/A</v>
          </cell>
          <cell r="L206" t="e">
            <v>#N/A</v>
          </cell>
          <cell r="M206" t="e">
            <v>#N/A</v>
          </cell>
          <cell r="N206" t="e">
            <v>#N/A</v>
          </cell>
          <cell r="O206" t="str">
            <v>BACK UP</v>
          </cell>
          <cell r="P206" t="str">
            <v>BACK UP</v>
          </cell>
          <cell r="T206">
            <v>45737</v>
          </cell>
          <cell r="U206">
            <v>45756</v>
          </cell>
        </row>
        <row r="207">
          <cell r="B207" t="str">
            <v>17015433-9</v>
          </cell>
          <cell r="C207" t="str">
            <v>CONTRERAS MERY YENIFFER ANDREA</v>
          </cell>
          <cell r="D207" t="str">
            <v>B</v>
          </cell>
          <cell r="E207" t="str">
            <v>M</v>
          </cell>
          <cell r="F207" t="str">
            <v xml:space="preserve">PREVENCIONISTA </v>
          </cell>
          <cell r="G207" t="str">
            <v>LA SERENA</v>
          </cell>
          <cell r="I207" t="str">
            <v>56945550943</v>
          </cell>
          <cell r="K207" t="str">
            <v>Parcialmente</v>
          </cell>
          <cell r="L207" t="e">
            <v>#N/A</v>
          </cell>
          <cell r="M207" t="e">
            <v>#N/A</v>
          </cell>
          <cell r="N207" t="e">
            <v>#N/A</v>
          </cell>
          <cell r="O207">
            <v>45589</v>
          </cell>
          <cell r="P207">
            <v>45626</v>
          </cell>
          <cell r="Q207">
            <v>45688</v>
          </cell>
          <cell r="R207" t="str">
            <v>Indefinido</v>
          </cell>
          <cell r="S207" t="str">
            <v>Indefinido</v>
          </cell>
          <cell r="T207">
            <v>45779</v>
          </cell>
          <cell r="U207">
            <v>45796</v>
          </cell>
        </row>
        <row r="208">
          <cell r="B208" t="str">
            <v>15441307-3</v>
          </cell>
          <cell r="C208" t="str">
            <v>CONTRERAS BARAHONA SEBASTIAN GERARDO</v>
          </cell>
          <cell r="D208" t="str">
            <v>A</v>
          </cell>
          <cell r="E208" t="str">
            <v>M</v>
          </cell>
          <cell r="F208" t="str">
            <v>CHOFER</v>
          </cell>
          <cell r="G208" t="str">
            <v>COQUIMBO</v>
          </cell>
          <cell r="H208" t="str">
            <v>26 días</v>
          </cell>
          <cell r="I208">
            <v>56993772851</v>
          </cell>
          <cell r="J208">
            <v>30196</v>
          </cell>
          <cell r="K208" t="str">
            <v>Si</v>
          </cell>
          <cell r="L208" t="str">
            <v>Mercado Pago Emisora</v>
          </cell>
          <cell r="M208" t="str">
            <v>1079827554</v>
          </cell>
          <cell r="N208" t="str">
            <v>seba.c.barahona@gmail.com</v>
          </cell>
          <cell r="O208">
            <v>45728</v>
          </cell>
          <cell r="P208">
            <v>45762</v>
          </cell>
          <cell r="Q208" t="str">
            <v>Indefinido</v>
          </cell>
          <cell r="R208" t="str">
            <v>Indefinido</v>
          </cell>
          <cell r="S208" t="str">
            <v>Indefinido</v>
          </cell>
          <cell r="T208">
            <v>45728</v>
          </cell>
          <cell r="U208">
            <v>45746</v>
          </cell>
        </row>
        <row r="209">
          <cell r="B209" t="str">
            <v>17627031-4</v>
          </cell>
          <cell r="C209" t="str">
            <v>CORTES GUEVARA CLAUDIO NICOLAS</v>
          </cell>
          <cell r="D209" t="str">
            <v>B</v>
          </cell>
          <cell r="E209" t="str">
            <v>M</v>
          </cell>
          <cell r="F209" t="str">
            <v>SUPERVISOR DE OPERACIONES</v>
          </cell>
          <cell r="G209" t="str">
            <v>LA SERENA</v>
          </cell>
          <cell r="I209">
            <v>56990773651</v>
          </cell>
          <cell r="K209" t="str">
            <v>Parcialmente</v>
          </cell>
          <cell r="L209" t="e">
            <v>#N/A</v>
          </cell>
          <cell r="M209" t="e">
            <v>#N/A</v>
          </cell>
          <cell r="N209" t="e">
            <v>#N/A</v>
          </cell>
          <cell r="O209">
            <v>44835</v>
          </cell>
          <cell r="P209" t="str">
            <v>Indefinido</v>
          </cell>
          <cell r="Q209" t="str">
            <v>Indefinido</v>
          </cell>
          <cell r="R209" t="str">
            <v>Indefinido</v>
          </cell>
          <cell r="S209" t="str">
            <v>Indefinido</v>
          </cell>
          <cell r="T209">
            <v>45778</v>
          </cell>
          <cell r="U209">
            <v>45796</v>
          </cell>
        </row>
        <row r="210">
          <cell r="B210" t="str">
            <v>17466258-4</v>
          </cell>
          <cell r="C210" t="str">
            <v xml:space="preserve">CORTES ROJO ROGER FELIPE </v>
          </cell>
          <cell r="D210" t="str">
            <v>B</v>
          </cell>
          <cell r="E210" t="str">
            <v>M</v>
          </cell>
          <cell r="F210" t="str">
            <v>AYUDANTE DE PERFORISTA</v>
          </cell>
          <cell r="G210" t="str">
            <v>ANDACOLLO</v>
          </cell>
          <cell r="H210" t="str">
            <v>1 años, 4 meses, 14 días</v>
          </cell>
          <cell r="I210">
            <v>56973572738</v>
          </cell>
          <cell r="J210">
            <v>33200</v>
          </cell>
          <cell r="K210" t="str">
            <v>Si</v>
          </cell>
          <cell r="L210" t="str">
            <v>BANCOESTADO</v>
          </cell>
          <cell r="M210" t="str">
            <v>17466258</v>
          </cell>
          <cell r="N210" t="str">
            <v>rogercortes1990@gmail.com</v>
          </cell>
          <cell r="O210">
            <v>45589</v>
          </cell>
          <cell r="P210">
            <v>45626</v>
          </cell>
          <cell r="Q210">
            <v>45688</v>
          </cell>
          <cell r="R210" t="str">
            <v>Indefinido</v>
          </cell>
          <cell r="S210" t="str">
            <v>Indefinido</v>
          </cell>
          <cell r="T210">
            <v>45589</v>
          </cell>
          <cell r="U210">
            <v>45656</v>
          </cell>
        </row>
        <row r="211">
          <cell r="B211" t="str">
            <v>17580584-2</v>
          </cell>
          <cell r="C211" t="str">
            <v>CRUZ MOLINA CAMILO FELIPE</v>
          </cell>
          <cell r="D211" t="str">
            <v>A</v>
          </cell>
          <cell r="E211" t="str">
            <v>M</v>
          </cell>
          <cell r="F211" t="str">
            <v>PERFORISTA</v>
          </cell>
          <cell r="G211" t="str">
            <v>TALCA</v>
          </cell>
          <cell r="I211">
            <v>56930123319</v>
          </cell>
          <cell r="K211" t="str">
            <v>Si</v>
          </cell>
          <cell r="L211" t="e">
            <v>#N/A</v>
          </cell>
          <cell r="M211" t="e">
            <v>#N/A</v>
          </cell>
          <cell r="N211" t="e">
            <v>#N/A</v>
          </cell>
          <cell r="O211">
            <v>45931</v>
          </cell>
          <cell r="P211" t="str">
            <v>Indefinido</v>
          </cell>
          <cell r="Q211" t="str">
            <v>Indefinido</v>
          </cell>
          <cell r="R211" t="str">
            <v>Indefinido</v>
          </cell>
          <cell r="S211" t="str">
            <v>Indefinido</v>
          </cell>
          <cell r="T211">
            <v>45797</v>
          </cell>
          <cell r="U211">
            <v>45806</v>
          </cell>
        </row>
        <row r="212">
          <cell r="B212" t="str">
            <v>21254681-K</v>
          </cell>
          <cell r="C212" t="str">
            <v>DURAND RUIZ JORGE ERIKSON</v>
          </cell>
          <cell r="D212" t="str">
            <v>A</v>
          </cell>
          <cell r="E212" t="str">
            <v>M</v>
          </cell>
          <cell r="F212" t="str">
            <v>MECANICO</v>
          </cell>
          <cell r="G212" t="str">
            <v>SANTIAGO</v>
          </cell>
          <cell r="I212">
            <v>56997859184</v>
          </cell>
          <cell r="J212">
            <v>29411</v>
          </cell>
          <cell r="K212" t="str">
            <v>Si</v>
          </cell>
          <cell r="L212" t="str">
            <v>BCI</v>
          </cell>
          <cell r="M212" t="str">
            <v>63888475</v>
          </cell>
          <cell r="N212" t="str">
            <v>jorgedurand2680@gmail.com</v>
          </cell>
          <cell r="O212">
            <v>45863</v>
          </cell>
          <cell r="P212">
            <v>45900</v>
          </cell>
          <cell r="Q212">
            <v>45961</v>
          </cell>
          <cell r="R212" t="str">
            <v>Plazo fijo</v>
          </cell>
          <cell r="S212" t="str">
            <v>Plazo Fijo</v>
          </cell>
          <cell r="T212">
            <v>45863</v>
          </cell>
          <cell r="U212">
            <v>45886</v>
          </cell>
        </row>
        <row r="213">
          <cell r="B213" t="str">
            <v>14100160-4</v>
          </cell>
          <cell r="C213" t="str">
            <v>ESPEJO SEGOVIA HERNAN RODRIGO</v>
          </cell>
          <cell r="D213" t="str">
            <v>B</v>
          </cell>
          <cell r="E213" t="str">
            <v>M</v>
          </cell>
          <cell r="F213" t="str">
            <v>CHOFER</v>
          </cell>
          <cell r="G213" t="str">
            <v>VALLENAR</v>
          </cell>
          <cell r="I213">
            <v>56958416540</v>
          </cell>
          <cell r="K213" t="str">
            <v>Parcialmente</v>
          </cell>
          <cell r="L213" t="e">
            <v>#N/A</v>
          </cell>
          <cell r="M213" t="e">
            <v>#N/A</v>
          </cell>
          <cell r="N213" t="e">
            <v>#N/A</v>
          </cell>
          <cell r="O213">
            <v>45590</v>
          </cell>
          <cell r="P213">
            <v>45626</v>
          </cell>
          <cell r="Q213">
            <v>45688</v>
          </cell>
          <cell r="R213" t="str">
            <v>Indefinido</v>
          </cell>
          <cell r="S213" t="str">
            <v>Indefinido</v>
          </cell>
          <cell r="T213">
            <v>45792</v>
          </cell>
          <cell r="U213">
            <v>45827</v>
          </cell>
        </row>
        <row r="214">
          <cell r="B214" t="str">
            <v>17805184-9</v>
          </cell>
          <cell r="C214" t="str">
            <v>ESPINOZA URIBE BENJAMIN JOSEFATT</v>
          </cell>
          <cell r="D214" t="str">
            <v>B</v>
          </cell>
          <cell r="E214" t="str">
            <v>M</v>
          </cell>
          <cell r="F214" t="str">
            <v>CHOFER</v>
          </cell>
          <cell r="G214" t="str">
            <v>SANTIAGO</v>
          </cell>
          <cell r="I214">
            <v>56957795944</v>
          </cell>
          <cell r="L214" t="e">
            <v>#N/A</v>
          </cell>
          <cell r="M214" t="e">
            <v>#N/A</v>
          </cell>
          <cell r="N214" t="e">
            <v>#N/A</v>
          </cell>
          <cell r="O214">
            <v>45874</v>
          </cell>
          <cell r="P214">
            <v>45915</v>
          </cell>
          <cell r="Q214">
            <v>45976</v>
          </cell>
          <cell r="R214" t="str">
            <v>Plazo fijo</v>
          </cell>
          <cell r="S214" t="str">
            <v>Plazo Fijo</v>
          </cell>
          <cell r="T214">
            <v>45874</v>
          </cell>
          <cell r="U214">
            <v>45938</v>
          </cell>
        </row>
        <row r="215">
          <cell r="B215" t="str">
            <v>15052893-3</v>
          </cell>
          <cell r="C215" t="str">
            <v>FERNANDEZ HUIDOBRO MIGUEL ANGEL</v>
          </cell>
          <cell r="D215" t="str">
            <v>A</v>
          </cell>
          <cell r="E215" t="str">
            <v>M</v>
          </cell>
          <cell r="F215" t="str">
            <v>PERFORISTA</v>
          </cell>
          <cell r="G215" t="str">
            <v>LA SERENA</v>
          </cell>
          <cell r="H215" t="str">
            <v>1 años, 3 meses, 4 días</v>
          </cell>
          <cell r="I215">
            <v>56930980037</v>
          </cell>
          <cell r="J215">
            <v>30296</v>
          </cell>
          <cell r="K215" t="str">
            <v>Si</v>
          </cell>
          <cell r="L215" t="str">
            <v>BANCO RIPLEY</v>
          </cell>
          <cell r="M215" t="str">
            <v>4013322452</v>
          </cell>
          <cell r="N215" t="str">
            <v>mfernandezhuidobro@gmail.com</v>
          </cell>
          <cell r="O215">
            <v>45629</v>
          </cell>
          <cell r="P215">
            <v>45731</v>
          </cell>
          <cell r="Q215" t="str">
            <v>Indefinido</v>
          </cell>
          <cell r="R215" t="str">
            <v>Indefinido</v>
          </cell>
          <cell r="S215" t="str">
            <v>Indefinido</v>
          </cell>
          <cell r="T215">
            <v>45630</v>
          </cell>
          <cell r="U215">
            <v>45646</v>
          </cell>
        </row>
        <row r="216">
          <cell r="B216" t="str">
            <v>21366853-5</v>
          </cell>
          <cell r="C216" t="str">
            <v>FIGUEROA ZAMBRA DANIEL JESUS</v>
          </cell>
          <cell r="D216" t="str">
            <v>B</v>
          </cell>
          <cell r="E216" t="str">
            <v>M</v>
          </cell>
          <cell r="F216" t="str">
            <v>AYUDANTE DE PERFORISTA</v>
          </cell>
          <cell r="G216" t="str">
            <v>VALLENAR</v>
          </cell>
          <cell r="K216" t="e">
            <v>#N/A</v>
          </cell>
          <cell r="L216" t="e">
            <v>#N/A</v>
          </cell>
          <cell r="M216" t="e">
            <v>#N/A</v>
          </cell>
          <cell r="N216" t="e">
            <v>#N/A</v>
          </cell>
          <cell r="O216">
            <v>45601</v>
          </cell>
          <cell r="P216">
            <v>45641</v>
          </cell>
          <cell r="Q216">
            <v>45703</v>
          </cell>
          <cell r="R216" t="str">
            <v>Indefinido</v>
          </cell>
          <cell r="S216" t="str">
            <v>Indefinido</v>
          </cell>
          <cell r="T216">
            <v>45797</v>
          </cell>
          <cell r="U216">
            <v>45816</v>
          </cell>
        </row>
        <row r="217">
          <cell r="B217" t="str">
            <v>19491231-5</v>
          </cell>
          <cell r="C217" t="str">
            <v>FLORES MENA NICOLAS IGNACIO</v>
          </cell>
          <cell r="D217" t="str">
            <v>B</v>
          </cell>
          <cell r="E217" t="str">
            <v>M</v>
          </cell>
          <cell r="F217" t="str">
            <v>AYUDANTE DE PERFORISTA</v>
          </cell>
          <cell r="I217" t="str">
            <v>56950500351</v>
          </cell>
          <cell r="K217" t="str">
            <v>Si</v>
          </cell>
          <cell r="L217" t="e">
            <v>#N/A</v>
          </cell>
          <cell r="M217" t="e">
            <v>#N/A</v>
          </cell>
          <cell r="N217" t="e">
            <v>#N/A</v>
          </cell>
          <cell r="O217">
            <v>45606</v>
          </cell>
          <cell r="P217">
            <v>45641</v>
          </cell>
          <cell r="Q217">
            <v>45703</v>
          </cell>
          <cell r="R217" t="str">
            <v>Indefinido</v>
          </cell>
          <cell r="S217" t="str">
            <v>Indefinido</v>
          </cell>
          <cell r="T217">
            <v>45797</v>
          </cell>
          <cell r="U217">
            <v>45836</v>
          </cell>
        </row>
        <row r="218">
          <cell r="B218" t="str">
            <v>15575093-6</v>
          </cell>
          <cell r="C218" t="str">
            <v>HUENCHULLAN ALVAREZ CRISTOPHER JOHNSON</v>
          </cell>
          <cell r="D218" t="str">
            <v>B</v>
          </cell>
          <cell r="E218" t="str">
            <v>M</v>
          </cell>
          <cell r="F218" t="str">
            <v>CHOFER</v>
          </cell>
          <cell r="G218" t="str">
            <v>MONTEPATRIA, OVALLE</v>
          </cell>
          <cell r="H218" t="str">
            <v>26 días</v>
          </cell>
          <cell r="I218">
            <v>56978939107</v>
          </cell>
          <cell r="J218">
            <v>33984</v>
          </cell>
          <cell r="K218" t="str">
            <v>Parcialmente</v>
          </cell>
          <cell r="L218" t="str">
            <v>BANCO FALABELLA</v>
          </cell>
          <cell r="M218" t="str">
            <v>19990995346</v>
          </cell>
          <cell r="N218" t="str">
            <v>cristopher.huenchullan@gmail.com</v>
          </cell>
          <cell r="O218">
            <v>45728</v>
          </cell>
          <cell r="P218">
            <v>45762</v>
          </cell>
          <cell r="Q218">
            <v>45823</v>
          </cell>
          <cell r="R218" t="str">
            <v>Indefinido</v>
          </cell>
          <cell r="S218" t="str">
            <v>Indefinido</v>
          </cell>
          <cell r="T218">
            <v>45728</v>
          </cell>
          <cell r="U218">
            <v>45742</v>
          </cell>
        </row>
        <row r="219">
          <cell r="B219" t="str">
            <v>15886115-1</v>
          </cell>
          <cell r="C219" t="str">
            <v>GARCIA GARCIA DANIEL ALEJANDRO</v>
          </cell>
          <cell r="D219" t="str">
            <v>A</v>
          </cell>
          <cell r="E219" t="str">
            <v>M</v>
          </cell>
          <cell r="F219" t="str">
            <v>AYUDANTE DE PERFORISTA</v>
          </cell>
          <cell r="G219" t="str">
            <v>LA SERENA</v>
          </cell>
          <cell r="I219">
            <v>56985065272</v>
          </cell>
          <cell r="K219" t="str">
            <v>Si</v>
          </cell>
          <cell r="L219" t="e">
            <v>#N/A</v>
          </cell>
          <cell r="M219" t="e">
            <v>#N/A</v>
          </cell>
          <cell r="N219" t="e">
            <v>#N/A</v>
          </cell>
          <cell r="O219">
            <v>45580</v>
          </cell>
          <cell r="P219" t="str">
            <v>Indefinido</v>
          </cell>
          <cell r="Q219" t="str">
            <v>Indefinido</v>
          </cell>
          <cell r="R219" t="str">
            <v>Indefinido</v>
          </cell>
          <cell r="S219" t="str">
            <v>Indefinido</v>
          </cell>
          <cell r="T219">
            <v>45797</v>
          </cell>
          <cell r="U219">
            <v>45846</v>
          </cell>
        </row>
        <row r="220">
          <cell r="B220" t="str">
            <v>20168605-9</v>
          </cell>
          <cell r="C220" t="str">
            <v>GODOY BRUNA ALVARO IGNACIO</v>
          </cell>
          <cell r="D220" t="str">
            <v>A</v>
          </cell>
          <cell r="E220" t="str">
            <v>M</v>
          </cell>
          <cell r="F220" t="str">
            <v>PERFORISTA</v>
          </cell>
          <cell r="G220" t="str">
            <v>LA SERENA</v>
          </cell>
          <cell r="I220">
            <v>56976308259</v>
          </cell>
          <cell r="K220" t="str">
            <v>Si</v>
          </cell>
          <cell r="L220" t="e">
            <v>#N/A</v>
          </cell>
          <cell r="M220" t="e">
            <v>#N/A</v>
          </cell>
          <cell r="N220" t="e">
            <v>#N/A</v>
          </cell>
          <cell r="O220">
            <v>45580</v>
          </cell>
          <cell r="P220" t="str">
            <v>Indefinido</v>
          </cell>
          <cell r="Q220" t="str">
            <v>Indefinido</v>
          </cell>
          <cell r="R220" t="str">
            <v>Indefinido</v>
          </cell>
          <cell r="S220" t="str">
            <v>Indefinido</v>
          </cell>
          <cell r="T220">
            <v>45797</v>
          </cell>
          <cell r="U220">
            <v>45814</v>
          </cell>
        </row>
        <row r="221">
          <cell r="B221" t="str">
            <v>17998348-6</v>
          </cell>
          <cell r="C221" t="str">
            <v>GODOY SANTANDER JUAN NARCISO</v>
          </cell>
          <cell r="D221" t="str">
            <v>B</v>
          </cell>
          <cell r="E221" t="str">
            <v>M</v>
          </cell>
          <cell r="F221" t="str">
            <v>AYUDANTE DE PERFORISTA</v>
          </cell>
          <cell r="G221" t="str">
            <v>LA SERENA</v>
          </cell>
          <cell r="I221">
            <v>56983656926</v>
          </cell>
          <cell r="K221" t="str">
            <v>Si</v>
          </cell>
          <cell r="L221" t="e">
            <v>#N/A</v>
          </cell>
          <cell r="M221" t="e">
            <v>#N/A</v>
          </cell>
          <cell r="N221" t="e">
            <v>#N/A</v>
          </cell>
          <cell r="O221">
            <v>45580</v>
          </cell>
          <cell r="P221">
            <v>45611</v>
          </cell>
          <cell r="Q221">
            <v>45672</v>
          </cell>
          <cell r="R221" t="str">
            <v>Indefinido</v>
          </cell>
          <cell r="S221" t="str">
            <v>Indefinido</v>
          </cell>
          <cell r="T221">
            <v>45797</v>
          </cell>
          <cell r="U221">
            <v>45819</v>
          </cell>
        </row>
        <row r="222">
          <cell r="B222" t="str">
            <v>18178758-9</v>
          </cell>
          <cell r="C222" t="str">
            <v>GONZALEZ CASTILLO DIEGO FELIPE</v>
          </cell>
          <cell r="D222" t="str">
            <v>4X3</v>
          </cell>
          <cell r="E222" t="str">
            <v>M</v>
          </cell>
          <cell r="F222" t="str">
            <v>LIDER HSEC</v>
          </cell>
          <cell r="G222" t="str">
            <v>LA SERENA</v>
          </cell>
          <cell r="I222">
            <v>56985893628</v>
          </cell>
          <cell r="K222" t="str">
            <v>Parcialmente</v>
          </cell>
          <cell r="L222" t="e">
            <v>#N/A</v>
          </cell>
          <cell r="M222" t="e">
            <v>#N/A</v>
          </cell>
          <cell r="N222" t="e">
            <v>#N/A</v>
          </cell>
          <cell r="O222">
            <v>45589</v>
          </cell>
          <cell r="P222">
            <v>45688</v>
          </cell>
          <cell r="Q222" t="str">
            <v>Indefinido</v>
          </cell>
          <cell r="R222" t="str">
            <v>Indefinido</v>
          </cell>
          <cell r="S222" t="str">
            <v>Indefinido</v>
          </cell>
          <cell r="T222">
            <v>45589</v>
          </cell>
          <cell r="U222">
            <v>45646</v>
          </cell>
        </row>
        <row r="223">
          <cell r="B223" t="str">
            <v>17753119-7</v>
          </cell>
          <cell r="C223" t="str">
            <v>HERNANDEZ ARAYA JOSE IGNACIO</v>
          </cell>
          <cell r="D223" t="str">
            <v>A</v>
          </cell>
          <cell r="E223" t="str">
            <v>M</v>
          </cell>
          <cell r="F223" t="str">
            <v>AYUDANTE DE PERFORISTA</v>
          </cell>
          <cell r="G223" t="str">
            <v>LA SERENA</v>
          </cell>
          <cell r="I223" t="str">
            <v>56959023395</v>
          </cell>
          <cell r="K223" t="str">
            <v>Si</v>
          </cell>
          <cell r="L223" t="e">
            <v>#N/A</v>
          </cell>
          <cell r="M223" t="e">
            <v>#N/A</v>
          </cell>
          <cell r="N223" t="e">
            <v>#N/A</v>
          </cell>
          <cell r="O223">
            <v>45580</v>
          </cell>
          <cell r="P223" t="str">
            <v>Indefinido</v>
          </cell>
          <cell r="Q223" t="str">
            <v>Indefinido</v>
          </cell>
          <cell r="R223" t="str">
            <v>Indefinido</v>
          </cell>
          <cell r="S223" t="str">
            <v>Indefinido</v>
          </cell>
          <cell r="T223">
            <v>45797</v>
          </cell>
          <cell r="U223">
            <v>45814</v>
          </cell>
        </row>
        <row r="224">
          <cell r="B224" t="str">
            <v>11726306-1</v>
          </cell>
          <cell r="C224" t="str">
            <v>JIMENEZ DIAZ BORIS YULIAN</v>
          </cell>
          <cell r="D224" t="str">
            <v>B</v>
          </cell>
          <cell r="E224" t="str">
            <v>M</v>
          </cell>
          <cell r="F224" t="str">
            <v>PERFORISTA</v>
          </cell>
          <cell r="G224" t="str">
            <v>ANDACOLLO</v>
          </cell>
          <cell r="I224">
            <v>56932695417</v>
          </cell>
          <cell r="K224" t="str">
            <v>Si</v>
          </cell>
          <cell r="L224" t="e">
            <v>#N/A</v>
          </cell>
          <cell r="M224" t="e">
            <v>#N/A</v>
          </cell>
          <cell r="N224" t="e">
            <v>#N/A</v>
          </cell>
          <cell r="O224">
            <v>45594</v>
          </cell>
          <cell r="P224">
            <v>45626</v>
          </cell>
          <cell r="Q224">
            <v>45688</v>
          </cell>
          <cell r="R224" t="str">
            <v>Indefinido</v>
          </cell>
          <cell r="S224" t="str">
            <v>Indefinido</v>
          </cell>
          <cell r="T224">
            <v>45594</v>
          </cell>
          <cell r="U224">
            <v>45656</v>
          </cell>
        </row>
        <row r="225">
          <cell r="B225" t="str">
            <v>PA120503268</v>
          </cell>
          <cell r="C225" t="str">
            <v>LLANOS CULQUI MIGUEL EDUARDO</v>
          </cell>
          <cell r="D225" t="str">
            <v>BACK UP</v>
          </cell>
          <cell r="E225" t="str">
            <v>M</v>
          </cell>
          <cell r="F225" t="str">
            <v>PERFORISTA</v>
          </cell>
          <cell r="G225" t="str">
            <v>LA SERENA</v>
          </cell>
          <cell r="I225">
            <v>51976962881</v>
          </cell>
          <cell r="K225" t="e">
            <v>#N/A</v>
          </cell>
          <cell r="L225" t="e">
            <v>#N/A</v>
          </cell>
          <cell r="M225" t="e">
            <v>#N/A</v>
          </cell>
          <cell r="N225" t="e">
            <v>#N/A</v>
          </cell>
          <cell r="O225" t="str">
            <v>BACK UP</v>
          </cell>
          <cell r="P225" t="str">
            <v>BACK UP</v>
          </cell>
          <cell r="T225">
            <v>45705</v>
          </cell>
          <cell r="U225">
            <v>45756</v>
          </cell>
        </row>
        <row r="226">
          <cell r="B226" t="str">
            <v>17847354-9</v>
          </cell>
          <cell r="C226" t="str">
            <v>LOPEZ CLAVERIA FELIPE ANDRES</v>
          </cell>
          <cell r="D226" t="str">
            <v>A</v>
          </cell>
          <cell r="E226" t="str">
            <v>M</v>
          </cell>
          <cell r="F226" t="str">
            <v>AYUDANTE DE PERFORISTA</v>
          </cell>
          <cell r="G226" t="str">
            <v>COQUIMBO</v>
          </cell>
          <cell r="H226" t="str">
            <v>10 meses, 29 días</v>
          </cell>
          <cell r="I226">
            <v>56967142220</v>
          </cell>
          <cell r="J226">
            <v>33567</v>
          </cell>
          <cell r="K226" t="str">
            <v>Si</v>
          </cell>
          <cell r="L226" t="str">
            <v>BANCOESTADO</v>
          </cell>
          <cell r="M226" t="str">
            <v>17847354</v>
          </cell>
          <cell r="N226" t="str">
            <v>lopezclaveriafelipeandres@gmail.com</v>
          </cell>
          <cell r="O226">
            <v>45755</v>
          </cell>
          <cell r="P226">
            <v>45792</v>
          </cell>
          <cell r="Q226">
            <v>45853</v>
          </cell>
          <cell r="R226" t="str">
            <v>Indefinido</v>
          </cell>
          <cell r="S226" t="str">
            <v>Indefinido</v>
          </cell>
          <cell r="T226">
            <v>45755</v>
          </cell>
          <cell r="U226">
            <v>45766</v>
          </cell>
        </row>
        <row r="227">
          <cell r="B227" t="str">
            <v>20600531-9</v>
          </cell>
          <cell r="C227" t="str">
            <v>LOPEZ ARAYA PEDRO BALDOMERO</v>
          </cell>
          <cell r="D227" t="str">
            <v>A</v>
          </cell>
          <cell r="E227" t="str">
            <v>M</v>
          </cell>
          <cell r="F227" t="str">
            <v>MECANICO</v>
          </cell>
          <cell r="G227" t="str">
            <v>OVALLE</v>
          </cell>
          <cell r="H227" t="str">
            <v>8 meses, 6 días</v>
          </cell>
          <cell r="I227">
            <v>56923848724</v>
          </cell>
          <cell r="J227">
            <v>37088</v>
          </cell>
          <cell r="L227" t="str">
            <v>BANCO FALABELLA</v>
          </cell>
          <cell r="M227" t="str">
            <v>19998237108</v>
          </cell>
          <cell r="N227" t="str">
            <v>pedrolopara2001@gmail.com</v>
          </cell>
          <cell r="O227">
            <v>45839</v>
          </cell>
          <cell r="P227">
            <v>45869</v>
          </cell>
          <cell r="Q227">
            <v>45930</v>
          </cell>
          <cell r="R227" t="str">
            <v>Indefinido</v>
          </cell>
          <cell r="S227" t="str">
            <v>Indefinido</v>
          </cell>
          <cell r="T227">
            <v>45888</v>
          </cell>
          <cell r="U227">
            <v>45945</v>
          </cell>
        </row>
        <row r="228">
          <cell r="B228" t="str">
            <v>11866830-8</v>
          </cell>
          <cell r="C228" t="str">
            <v>MACIAS JIMENEZ  JORGE ENRIQUE</v>
          </cell>
          <cell r="D228" t="str">
            <v>A</v>
          </cell>
          <cell r="E228" t="str">
            <v>M</v>
          </cell>
          <cell r="F228" t="str">
            <v>SUPERVISOR DE OPERACIONES</v>
          </cell>
          <cell r="G228" t="str">
            <v>ARICA</v>
          </cell>
          <cell r="I228">
            <v>56956791775</v>
          </cell>
          <cell r="K228" t="str">
            <v>Si</v>
          </cell>
          <cell r="L228" t="e">
            <v>#N/A</v>
          </cell>
          <cell r="M228" t="e">
            <v>#N/A</v>
          </cell>
          <cell r="N228" t="e">
            <v>#N/A</v>
          </cell>
          <cell r="O228">
            <v>45611</v>
          </cell>
          <cell r="P228">
            <v>45703</v>
          </cell>
          <cell r="Q228" t="str">
            <v>Indefinido</v>
          </cell>
          <cell r="R228" t="str">
            <v>Indefinido</v>
          </cell>
          <cell r="S228" t="str">
            <v>Indefinido</v>
          </cell>
          <cell r="T228">
            <v>45611</v>
          </cell>
          <cell r="U228">
            <v>45646</v>
          </cell>
        </row>
        <row r="229">
          <cell r="B229" t="str">
            <v>P124787044</v>
          </cell>
          <cell r="C229" t="str">
            <v xml:space="preserve">MALLQUI MEDRANO JORDANO </v>
          </cell>
          <cell r="D229" t="str">
            <v>BACK UP</v>
          </cell>
          <cell r="E229" t="str">
            <v>M</v>
          </cell>
          <cell r="F229" t="str">
            <v>PERFORISTA</v>
          </cell>
          <cell r="G229" t="str">
            <v>PERU</v>
          </cell>
          <cell r="I229">
            <v>51921122361</v>
          </cell>
          <cell r="K229" t="e">
            <v>#N/A</v>
          </cell>
          <cell r="L229" t="e">
            <v>#N/A</v>
          </cell>
          <cell r="M229" t="e">
            <v>#N/A</v>
          </cell>
          <cell r="N229" t="e">
            <v>#N/A</v>
          </cell>
          <cell r="O229" t="str">
            <v>BACK UP</v>
          </cell>
          <cell r="P229" t="str">
            <v>BACK UP</v>
          </cell>
          <cell r="T229">
            <v>45726</v>
          </cell>
          <cell r="U229">
            <v>45729</v>
          </cell>
        </row>
        <row r="230">
          <cell r="B230" t="str">
            <v>12385856-5</v>
          </cell>
          <cell r="C230" t="str">
            <v>MANSILLA REYES PATRICIO ANTONIO</v>
          </cell>
          <cell r="D230" t="str">
            <v>B</v>
          </cell>
          <cell r="E230" t="str">
            <v>M</v>
          </cell>
          <cell r="F230" t="str">
            <v>SUPERVISOR DE OPERACIONES</v>
          </cell>
          <cell r="G230" t="str">
            <v>LOS ALAMOS</v>
          </cell>
          <cell r="I230">
            <v>56972875567</v>
          </cell>
          <cell r="K230" t="str">
            <v>Parcialmente</v>
          </cell>
          <cell r="L230" t="e">
            <v>#N/A</v>
          </cell>
          <cell r="M230" t="e">
            <v>#N/A</v>
          </cell>
          <cell r="N230" t="e">
            <v>#N/A</v>
          </cell>
          <cell r="O230">
            <v>45580</v>
          </cell>
          <cell r="P230" t="str">
            <v>Indefinido</v>
          </cell>
          <cell r="Q230" t="str">
            <v>Indefinido</v>
          </cell>
          <cell r="R230" t="str">
            <v>Indefinido</v>
          </cell>
          <cell r="S230" t="str">
            <v>Indefinido</v>
          </cell>
          <cell r="T230">
            <v>45580</v>
          </cell>
          <cell r="U230">
            <v>45636</v>
          </cell>
        </row>
        <row r="231">
          <cell r="B231" t="str">
            <v>20167936-2</v>
          </cell>
          <cell r="C231" t="str">
            <v>MUNIZAGA GODOY BRIAN ANDRES</v>
          </cell>
          <cell r="D231" t="str">
            <v>B</v>
          </cell>
          <cell r="E231" t="str">
            <v>M</v>
          </cell>
          <cell r="F231" t="str">
            <v>AYUDANTE DE PERFORISTA</v>
          </cell>
          <cell r="I231" t="str">
            <v>56990869101</v>
          </cell>
          <cell r="K231" t="str">
            <v>Si</v>
          </cell>
          <cell r="L231" t="e">
            <v>#N/A</v>
          </cell>
          <cell r="M231" t="e">
            <v>#N/A</v>
          </cell>
          <cell r="N231" t="e">
            <v>#N/A</v>
          </cell>
          <cell r="O231">
            <v>45708</v>
          </cell>
          <cell r="P231">
            <v>45747</v>
          </cell>
          <cell r="Q231">
            <v>45808</v>
          </cell>
          <cell r="R231" t="str">
            <v>Indefinido</v>
          </cell>
          <cell r="S231" t="str">
            <v>Indefinido</v>
          </cell>
          <cell r="T231">
            <v>45792</v>
          </cell>
          <cell r="U231">
            <v>45836</v>
          </cell>
        </row>
        <row r="232">
          <cell r="B232" t="str">
            <v>20121975-2</v>
          </cell>
          <cell r="C232" t="str">
            <v xml:space="preserve">NAYEN INOSTROZA KALIL SEBASTIAN </v>
          </cell>
          <cell r="D232" t="str">
            <v>AB</v>
          </cell>
          <cell r="E232" t="str">
            <v>M</v>
          </cell>
          <cell r="F232" t="str">
            <v>BODEGUERA/O</v>
          </cell>
          <cell r="G232" t="str">
            <v>SANTIAGO</v>
          </cell>
          <cell r="I232" t="str">
            <v>56975313471</v>
          </cell>
          <cell r="K232" t="str">
            <v>Parcialmente</v>
          </cell>
          <cell r="L232" t="e">
            <v>#N/A</v>
          </cell>
          <cell r="M232" t="e">
            <v>#N/A</v>
          </cell>
          <cell r="N232" t="e">
            <v>#N/A</v>
          </cell>
          <cell r="O232">
            <v>45691</v>
          </cell>
          <cell r="P232">
            <v>45731</v>
          </cell>
          <cell r="Q232">
            <v>45792</v>
          </cell>
          <cell r="R232" t="str">
            <v>Indefinido</v>
          </cell>
          <cell r="S232" t="str">
            <v>Indefinido</v>
          </cell>
          <cell r="T232">
            <v>45797</v>
          </cell>
          <cell r="U232">
            <v>45821</v>
          </cell>
        </row>
        <row r="233">
          <cell r="B233" t="str">
            <v>20460401-0</v>
          </cell>
          <cell r="C233" t="str">
            <v>NEYRA CORTES KEVIN ALEXIS</v>
          </cell>
          <cell r="D233" t="str">
            <v>A</v>
          </cell>
          <cell r="E233" t="str">
            <v>M</v>
          </cell>
          <cell r="F233" t="str">
            <v>PERFORISTA</v>
          </cell>
          <cell r="G233" t="str">
            <v>LA SERENA</v>
          </cell>
          <cell r="I233">
            <v>56958084905</v>
          </cell>
          <cell r="K233" t="str">
            <v>Parcialmente</v>
          </cell>
          <cell r="L233" t="e">
            <v>#N/A</v>
          </cell>
          <cell r="M233" t="e">
            <v>#N/A</v>
          </cell>
          <cell r="N233" t="e">
            <v>#N/A</v>
          </cell>
          <cell r="O233">
            <v>45580</v>
          </cell>
          <cell r="P233" t="str">
            <v>INDEFINIDO</v>
          </cell>
          <cell r="Q233" t="str">
            <v>Indefinido</v>
          </cell>
          <cell r="R233" t="str">
            <v>Indefinido</v>
          </cell>
          <cell r="S233" t="str">
            <v>Indefinido</v>
          </cell>
          <cell r="T233">
            <v>45797</v>
          </cell>
          <cell r="U233">
            <v>45813</v>
          </cell>
        </row>
        <row r="234">
          <cell r="B234" t="str">
            <v>17451740-1</v>
          </cell>
          <cell r="C234" t="str">
            <v>NUÑEZ GALVEZ GUILLERMO ANDRES</v>
          </cell>
          <cell r="D234" t="str">
            <v>B</v>
          </cell>
          <cell r="E234" t="str">
            <v>M</v>
          </cell>
          <cell r="F234" t="str">
            <v>PERFORISTA</v>
          </cell>
          <cell r="I234">
            <v>56957708276</v>
          </cell>
          <cell r="K234" t="str">
            <v>Parcialmente</v>
          </cell>
          <cell r="L234" t="e">
            <v>#N/A</v>
          </cell>
          <cell r="M234" t="e">
            <v>#N/A</v>
          </cell>
          <cell r="N234" t="e">
            <v>#N/A</v>
          </cell>
          <cell r="O234">
            <v>45580</v>
          </cell>
          <cell r="P234">
            <v>45611</v>
          </cell>
          <cell r="Q234">
            <v>45672</v>
          </cell>
          <cell r="R234" t="str">
            <v>Indefinido</v>
          </cell>
          <cell r="S234" t="str">
            <v>Indefinido</v>
          </cell>
          <cell r="T234">
            <v>45797</v>
          </cell>
          <cell r="U234">
            <v>45836</v>
          </cell>
        </row>
        <row r="235">
          <cell r="B235" t="str">
            <v>16755649-3</v>
          </cell>
          <cell r="C235" t="str">
            <v>OLIVARES FERNANDEZ CHRISTOFER HUESLY</v>
          </cell>
          <cell r="D235" t="str">
            <v>B</v>
          </cell>
          <cell r="E235" t="str">
            <v>M</v>
          </cell>
          <cell r="F235" t="str">
            <v>AYUDANTE DE PERFORISTA</v>
          </cell>
          <cell r="G235" t="str">
            <v>HIJUELAS</v>
          </cell>
          <cell r="K235" t="str">
            <v>Parcialmente</v>
          </cell>
          <cell r="L235" t="e">
            <v>#N/A</v>
          </cell>
          <cell r="M235" t="e">
            <v>#N/A</v>
          </cell>
          <cell r="N235" t="e">
            <v>#N/A</v>
          </cell>
          <cell r="O235">
            <v>45580</v>
          </cell>
          <cell r="P235">
            <v>45611</v>
          </cell>
          <cell r="Q235">
            <v>45672</v>
          </cell>
          <cell r="R235" t="str">
            <v>Indefinido</v>
          </cell>
          <cell r="S235" t="str">
            <v>Indefinido</v>
          </cell>
          <cell r="T235">
            <v>45789</v>
          </cell>
          <cell r="U235">
            <v>45816</v>
          </cell>
        </row>
        <row r="236">
          <cell r="B236" t="str">
            <v>PA122603521</v>
          </cell>
          <cell r="C236" t="str">
            <v>OTINIANO RUIZ ANTONIO HIPOLITO</v>
          </cell>
          <cell r="D236" t="str">
            <v>BACK UP</v>
          </cell>
          <cell r="E236" t="str">
            <v>M</v>
          </cell>
          <cell r="F236" t="str">
            <v>PERFORISTA</v>
          </cell>
          <cell r="G236" t="str">
            <v>LA SERENA</v>
          </cell>
          <cell r="K236" t="e">
            <v>#N/A</v>
          </cell>
          <cell r="L236" t="e">
            <v>#N/A</v>
          </cell>
          <cell r="M236" t="e">
            <v>#N/A</v>
          </cell>
          <cell r="N236" t="e">
            <v>#N/A</v>
          </cell>
          <cell r="O236" t="str">
            <v>BACK UP</v>
          </cell>
          <cell r="P236" t="str">
            <v>BACK UP</v>
          </cell>
          <cell r="T236">
            <v>45778</v>
          </cell>
          <cell r="U236">
            <v>45782</v>
          </cell>
        </row>
        <row r="237">
          <cell r="B237" t="str">
            <v>20456853-7</v>
          </cell>
          <cell r="C237" t="str">
            <v>PIZARRO MUÑOZ CHRISTIAN DARIEM</v>
          </cell>
          <cell r="D237" t="str">
            <v>A</v>
          </cell>
          <cell r="E237" t="str">
            <v>M</v>
          </cell>
          <cell r="F237" t="str">
            <v>AYUDANTE SOLDADOR</v>
          </cell>
          <cell r="G237" t="str">
            <v>LA SERENA</v>
          </cell>
          <cell r="I237">
            <v>56935225360</v>
          </cell>
          <cell r="K237" t="str">
            <v>Si</v>
          </cell>
          <cell r="L237" t="e">
            <v>#N/A</v>
          </cell>
          <cell r="M237" t="e">
            <v>#N/A</v>
          </cell>
          <cell r="N237" t="e">
            <v>#N/A</v>
          </cell>
          <cell r="O237">
            <v>45771</v>
          </cell>
          <cell r="P237">
            <v>45808</v>
          </cell>
          <cell r="Q237">
            <v>45869</v>
          </cell>
          <cell r="R237" t="str">
            <v>Indefinido</v>
          </cell>
          <cell r="S237" t="str">
            <v>Indefinido</v>
          </cell>
          <cell r="T237">
            <v>45789</v>
          </cell>
          <cell r="U237">
            <v>45826</v>
          </cell>
        </row>
        <row r="238">
          <cell r="B238" t="str">
            <v>13874925-8</v>
          </cell>
          <cell r="C238" t="str">
            <v>RAMIREZ URIZAR JOSE LUIS</v>
          </cell>
          <cell r="D238" t="str">
            <v>A</v>
          </cell>
          <cell r="E238" t="str">
            <v>M</v>
          </cell>
          <cell r="F238" t="str">
            <v>AYUDANTE DE PERFORISTA</v>
          </cell>
          <cell r="G238" t="str">
            <v>LA SERENA</v>
          </cell>
          <cell r="I238">
            <v>56966468501</v>
          </cell>
          <cell r="K238" t="str">
            <v>Si</v>
          </cell>
          <cell r="L238" t="e">
            <v>#N/A</v>
          </cell>
          <cell r="M238" t="e">
            <v>#N/A</v>
          </cell>
          <cell r="N238" t="e">
            <v>#N/A</v>
          </cell>
          <cell r="O238">
            <v>45748</v>
          </cell>
          <cell r="P238">
            <v>45777</v>
          </cell>
          <cell r="Q238">
            <v>45838</v>
          </cell>
          <cell r="R238" t="str">
            <v>Indefinido</v>
          </cell>
          <cell r="S238" t="str">
            <v>Indefinido</v>
          </cell>
          <cell r="T238">
            <v>45797</v>
          </cell>
          <cell r="U238">
            <v>45814</v>
          </cell>
        </row>
        <row r="239">
          <cell r="B239" t="str">
            <v>14400090-0</v>
          </cell>
          <cell r="C239" t="str">
            <v>RAMOS VELASQUEZ CARLOS ALBERTO</v>
          </cell>
          <cell r="D239" t="str">
            <v>B</v>
          </cell>
          <cell r="E239" t="str">
            <v>M</v>
          </cell>
          <cell r="F239" t="str">
            <v>PERFORISTA</v>
          </cell>
          <cell r="G239" t="str">
            <v>LA SERENA</v>
          </cell>
          <cell r="I239">
            <v>56974886504</v>
          </cell>
          <cell r="K239" t="str">
            <v>Parcialmente</v>
          </cell>
          <cell r="L239" t="e">
            <v>#N/A</v>
          </cell>
          <cell r="M239" t="e">
            <v>#N/A</v>
          </cell>
          <cell r="N239" t="e">
            <v>#N/A</v>
          </cell>
          <cell r="O239">
            <v>45566</v>
          </cell>
          <cell r="P239">
            <v>45596</v>
          </cell>
          <cell r="Q239">
            <v>45657</v>
          </cell>
          <cell r="R239" t="str">
            <v>Indefinido</v>
          </cell>
          <cell r="S239" t="str">
            <v>Indefinido</v>
          </cell>
          <cell r="T239">
            <v>45797</v>
          </cell>
          <cell r="U239">
            <v>45819</v>
          </cell>
        </row>
        <row r="240">
          <cell r="B240" t="str">
            <v>16450418-2</v>
          </cell>
          <cell r="C240" t="str">
            <v>REINUABA RODRIGUEZ GUSTAVO ALEXIS</v>
          </cell>
          <cell r="D240" t="str">
            <v>AB</v>
          </cell>
          <cell r="E240" t="str">
            <v>M</v>
          </cell>
          <cell r="F240" t="str">
            <v>ADMINISTRATIVA/O DE FAENA</v>
          </cell>
          <cell r="G240" t="str">
            <v>VALLENAR</v>
          </cell>
          <cell r="I240">
            <v>56976804858</v>
          </cell>
          <cell r="K240" t="str">
            <v>Si</v>
          </cell>
          <cell r="L240" t="e">
            <v>#N/A</v>
          </cell>
          <cell r="M240" t="e">
            <v>#N/A</v>
          </cell>
          <cell r="N240" t="e">
            <v>#N/A</v>
          </cell>
          <cell r="O240">
            <v>45566</v>
          </cell>
          <cell r="P240">
            <v>45596</v>
          </cell>
          <cell r="Q240">
            <v>45657</v>
          </cell>
          <cell r="R240" t="str">
            <v>Indefinido</v>
          </cell>
          <cell r="S240" t="str">
            <v>Indefinido</v>
          </cell>
          <cell r="T240">
            <v>45797</v>
          </cell>
          <cell r="U240">
            <v>46056</v>
          </cell>
        </row>
        <row r="241">
          <cell r="B241" t="str">
            <v>P124851293</v>
          </cell>
          <cell r="C241" t="str">
            <v xml:space="preserve">RISCO RAMOS ELMER MARTIN </v>
          </cell>
          <cell r="D241" t="str">
            <v>BACK UP</v>
          </cell>
          <cell r="E241" t="str">
            <v>M</v>
          </cell>
          <cell r="F241" t="str">
            <v>PERFORISTA</v>
          </cell>
          <cell r="G241" t="str">
            <v>PERU</v>
          </cell>
          <cell r="K241" t="e">
            <v>#N/A</v>
          </cell>
          <cell r="L241" t="e">
            <v>#N/A</v>
          </cell>
          <cell r="M241" t="e">
            <v>#N/A</v>
          </cell>
          <cell r="N241" t="e">
            <v>#N/A</v>
          </cell>
          <cell r="O241" t="str">
            <v>BACK UP</v>
          </cell>
          <cell r="P241" t="str">
            <v>BACK UP</v>
          </cell>
          <cell r="T241">
            <v>45726</v>
          </cell>
          <cell r="U241">
            <v>45729</v>
          </cell>
        </row>
        <row r="242">
          <cell r="B242" t="str">
            <v>18520328-K</v>
          </cell>
          <cell r="C242" t="str">
            <v>RIVERO RIVERO RAUL ALEJANDRO</v>
          </cell>
          <cell r="D242" t="str">
            <v>B</v>
          </cell>
          <cell r="E242" t="str">
            <v>M</v>
          </cell>
          <cell r="F242" t="str">
            <v>PERFORISTA</v>
          </cell>
          <cell r="I242" t="str">
            <v>56945538134</v>
          </cell>
          <cell r="K242" t="str">
            <v>Si</v>
          </cell>
          <cell r="L242" t="e">
            <v>#N/A</v>
          </cell>
          <cell r="M242" t="e">
            <v>#N/A</v>
          </cell>
          <cell r="N242" t="e">
            <v>#N/A</v>
          </cell>
          <cell r="O242">
            <v>45566</v>
          </cell>
          <cell r="P242">
            <v>45596</v>
          </cell>
          <cell r="Q242">
            <v>45657</v>
          </cell>
          <cell r="R242" t="str">
            <v>Indefinido</v>
          </cell>
          <cell r="S242" t="str">
            <v>Indefinido</v>
          </cell>
          <cell r="T242">
            <v>45797</v>
          </cell>
          <cell r="U242">
            <v>45836</v>
          </cell>
        </row>
        <row r="243">
          <cell r="B243" t="str">
            <v>18316968-8</v>
          </cell>
          <cell r="C243" t="str">
            <v>ROJAS DONAIRE DIEGO ANDRES</v>
          </cell>
          <cell r="D243" t="str">
            <v>A</v>
          </cell>
          <cell r="E243" t="str">
            <v>M</v>
          </cell>
          <cell r="F243" t="str">
            <v>AYUDANTE DE PERFORISTA</v>
          </cell>
          <cell r="G243" t="str">
            <v>COQUIMBO</v>
          </cell>
          <cell r="K243" t="str">
            <v>Si</v>
          </cell>
          <cell r="L243" t="e">
            <v>#N/A</v>
          </cell>
          <cell r="M243" t="e">
            <v>#N/A</v>
          </cell>
          <cell r="N243" t="e">
            <v>#N/A</v>
          </cell>
          <cell r="O243">
            <v>45630</v>
          </cell>
          <cell r="P243" t="str">
            <v>Indefinido</v>
          </cell>
          <cell r="Q243" t="str">
            <v>Indefinido</v>
          </cell>
          <cell r="R243" t="str">
            <v>Indefinido</v>
          </cell>
          <cell r="S243" t="str">
            <v>Indefinido</v>
          </cell>
          <cell r="T243">
            <v>45797</v>
          </cell>
          <cell r="U243">
            <v>45833</v>
          </cell>
        </row>
        <row r="244">
          <cell r="B244" t="str">
            <v>17294460-4</v>
          </cell>
          <cell r="C244" t="str">
            <v>ROMERO PIZARRO SEBASTIAN DE MAURO</v>
          </cell>
          <cell r="D244" t="str">
            <v>B</v>
          </cell>
          <cell r="E244" t="str">
            <v>M</v>
          </cell>
          <cell r="F244" t="str">
            <v>AYUDANTE DE PERFORISTA</v>
          </cell>
          <cell r="G244" t="str">
            <v>LA SERENA</v>
          </cell>
          <cell r="J244">
            <v>32788</v>
          </cell>
          <cell r="K244" t="str">
            <v>Si</v>
          </cell>
          <cell r="L244" t="str">
            <v>BANCO FALABELLA</v>
          </cell>
          <cell r="M244" t="str">
            <v>19812250653</v>
          </cell>
          <cell r="N244" t="str">
            <v>sr20168912@gmail.com</v>
          </cell>
          <cell r="O244">
            <v>45863</v>
          </cell>
          <cell r="P244">
            <v>45900</v>
          </cell>
          <cell r="Q244">
            <v>45961</v>
          </cell>
          <cell r="R244" t="str">
            <v>Plazo fijo</v>
          </cell>
          <cell r="S244" t="str">
            <v>Plazo fijo</v>
          </cell>
          <cell r="T244">
            <v>45863</v>
          </cell>
          <cell r="U244">
            <v>45876</v>
          </cell>
        </row>
        <row r="245">
          <cell r="B245" t="str">
            <v>19949663-8</v>
          </cell>
          <cell r="C245" t="str">
            <v>RUBIO MIRANDA ISAAC ANDRES</v>
          </cell>
          <cell r="D245" t="str">
            <v>A</v>
          </cell>
          <cell r="E245" t="str">
            <v>M</v>
          </cell>
          <cell r="F245" t="str">
            <v>AYUDANTE DE PERFORISTA</v>
          </cell>
          <cell r="G245" t="str">
            <v>LA SERENA</v>
          </cell>
          <cell r="H245" t="str">
            <v>10 meses, 27 días</v>
          </cell>
          <cell r="I245">
            <v>56964848887</v>
          </cell>
          <cell r="J245">
            <v>36177</v>
          </cell>
          <cell r="K245" t="str">
            <v>Si</v>
          </cell>
          <cell r="L245" t="str">
            <v>Mercado Pago Emisora</v>
          </cell>
          <cell r="M245" t="str">
            <v>1008105403</v>
          </cell>
          <cell r="N245" t="str">
            <v>isaacrubio76@gmail.com</v>
          </cell>
          <cell r="O245">
            <v>45757</v>
          </cell>
          <cell r="P245">
            <v>45792</v>
          </cell>
          <cell r="Q245">
            <v>45853</v>
          </cell>
          <cell r="R245" t="str">
            <v>Indefinido</v>
          </cell>
          <cell r="S245" t="str">
            <v>Indefinido</v>
          </cell>
          <cell r="T245">
            <v>45792</v>
          </cell>
          <cell r="U245">
            <v>45826</v>
          </cell>
        </row>
        <row r="246">
          <cell r="B246" t="str">
            <v>18352777-0</v>
          </cell>
          <cell r="C246" t="str">
            <v>SALAS ROJAS NORA ALEXANDRA</v>
          </cell>
          <cell r="D246" t="str">
            <v>B</v>
          </cell>
          <cell r="E246" t="str">
            <v>F</v>
          </cell>
          <cell r="F246" t="str">
            <v xml:space="preserve">PREVENCIONISTA </v>
          </cell>
          <cell r="G246" t="str">
            <v>OVALLE</v>
          </cell>
          <cell r="H246" t="str">
            <v>1 años, 5 meses, 6 días</v>
          </cell>
          <cell r="I246">
            <v>56953228559</v>
          </cell>
          <cell r="J246">
            <v>34033</v>
          </cell>
          <cell r="K246" t="str">
            <v>Si</v>
          </cell>
          <cell r="L246" t="str">
            <v>BANCO FALABELLA</v>
          </cell>
          <cell r="M246" t="str">
            <v>19810972816</v>
          </cell>
          <cell r="N246" t="str">
            <v>norasalasrojas505@gmail.com</v>
          </cell>
          <cell r="O246">
            <v>45566</v>
          </cell>
          <cell r="P246">
            <v>45596</v>
          </cell>
          <cell r="Q246">
            <v>45657</v>
          </cell>
          <cell r="R246" t="str">
            <v>Indefinido</v>
          </cell>
          <cell r="S246" t="str">
            <v>Indefinido</v>
          </cell>
          <cell r="T246">
            <v>45762</v>
          </cell>
          <cell r="U246">
            <v>45776</v>
          </cell>
        </row>
        <row r="247">
          <cell r="B247" t="str">
            <v>17712182-7</v>
          </cell>
          <cell r="C247" t="str">
            <v>SEGOVIA MOYA CRISTIAN ALONSO</v>
          </cell>
          <cell r="D247" t="str">
            <v>A</v>
          </cell>
          <cell r="E247" t="str">
            <v>M</v>
          </cell>
          <cell r="F247" t="str">
            <v>MECANICO</v>
          </cell>
          <cell r="G247" t="str">
            <v>COPIAPO</v>
          </cell>
          <cell r="I247">
            <v>56988925935</v>
          </cell>
          <cell r="K247" t="str">
            <v>Si</v>
          </cell>
          <cell r="L247" t="e">
            <v>#N/A</v>
          </cell>
          <cell r="M247" t="e">
            <v>#N/A</v>
          </cell>
          <cell r="N247" t="e">
            <v>#N/A</v>
          </cell>
          <cell r="O247">
            <v>45839</v>
          </cell>
          <cell r="P247">
            <v>45869</v>
          </cell>
          <cell r="Q247">
            <v>45930</v>
          </cell>
          <cell r="R247">
            <v>45930</v>
          </cell>
          <cell r="S247" t="str">
            <v>Plazo Fijo</v>
          </cell>
          <cell r="T247">
            <v>45849</v>
          </cell>
          <cell r="U247">
            <v>45854</v>
          </cell>
        </row>
        <row r="248">
          <cell r="B248" t="str">
            <v>15613806-1</v>
          </cell>
          <cell r="C248" t="str">
            <v>SILVA RIQUELME ARIEL ANDRES</v>
          </cell>
          <cell r="D248" t="str">
            <v>A</v>
          </cell>
          <cell r="E248" t="str">
            <v>M</v>
          </cell>
          <cell r="F248" t="str">
            <v>PERFORISTA</v>
          </cell>
          <cell r="G248" t="str">
            <v>ARICA</v>
          </cell>
          <cell r="I248">
            <v>56956410932</v>
          </cell>
          <cell r="K248" t="str">
            <v>Si</v>
          </cell>
          <cell r="L248" t="e">
            <v>#N/A</v>
          </cell>
          <cell r="M248" t="e">
            <v>#N/A</v>
          </cell>
          <cell r="N248" t="e">
            <v>#N/A</v>
          </cell>
          <cell r="O248">
            <v>45583</v>
          </cell>
          <cell r="P248" t="str">
            <v>Indefinido</v>
          </cell>
          <cell r="Q248" t="str">
            <v>Indefinido</v>
          </cell>
          <cell r="R248" t="str">
            <v>Indefinido</v>
          </cell>
          <cell r="S248" t="str">
            <v>Indefinido</v>
          </cell>
          <cell r="T248">
            <v>45583</v>
          </cell>
          <cell r="U248">
            <v>45628</v>
          </cell>
        </row>
        <row r="249">
          <cell r="B249" t="str">
            <v>16780217-6</v>
          </cell>
          <cell r="C249" t="str">
            <v>TAPIA LOPEZ GONZALO ANDRES</v>
          </cell>
          <cell r="D249" t="str">
            <v>B</v>
          </cell>
          <cell r="E249" t="str">
            <v>M</v>
          </cell>
          <cell r="F249" t="str">
            <v>AYUDANTE DE PERFORISTA</v>
          </cell>
          <cell r="G249" t="str">
            <v>COQUIMBO</v>
          </cell>
          <cell r="I249">
            <v>56936842502</v>
          </cell>
          <cell r="K249" t="str">
            <v>Parcialmente</v>
          </cell>
          <cell r="L249" t="e">
            <v>#N/A</v>
          </cell>
          <cell r="M249" t="e">
            <v>#N/A</v>
          </cell>
          <cell r="N249" t="e">
            <v>#N/A</v>
          </cell>
          <cell r="O249">
            <v>45741</v>
          </cell>
          <cell r="P249">
            <v>45777</v>
          </cell>
          <cell r="Q249">
            <v>45838</v>
          </cell>
          <cell r="R249" t="str">
            <v>Indefinido</v>
          </cell>
          <cell r="S249" t="str">
            <v>Indefinido</v>
          </cell>
          <cell r="T249">
            <v>45789</v>
          </cell>
          <cell r="U249">
            <v>45816</v>
          </cell>
        </row>
        <row r="250">
          <cell r="B250" t="str">
            <v>12398362-9</v>
          </cell>
          <cell r="C250" t="str">
            <v>URBINA CATALDO NELSON JOAQUIN</v>
          </cell>
          <cell r="D250" t="str">
            <v>A</v>
          </cell>
          <cell r="E250" t="str">
            <v>M</v>
          </cell>
          <cell r="F250" t="str">
            <v>AYUDANTE DE PERFORISTA</v>
          </cell>
          <cell r="G250" t="str">
            <v>IQUIQUE</v>
          </cell>
          <cell r="K250" t="str">
            <v>Si</v>
          </cell>
          <cell r="L250" t="e">
            <v>#N/A</v>
          </cell>
          <cell r="M250" t="e">
            <v>#N/A</v>
          </cell>
          <cell r="N250" t="e">
            <v>#N/A</v>
          </cell>
          <cell r="O250">
            <v>45741</v>
          </cell>
          <cell r="P250">
            <v>45777</v>
          </cell>
          <cell r="Q250">
            <v>45838</v>
          </cell>
          <cell r="R250" t="str">
            <v>Indefinido</v>
          </cell>
          <cell r="S250" t="str">
            <v>Indefinido</v>
          </cell>
          <cell r="T250">
            <v>45789</v>
          </cell>
          <cell r="U250">
            <v>45806</v>
          </cell>
        </row>
        <row r="251">
          <cell r="B251" t="str">
            <v>21474308-6</v>
          </cell>
          <cell r="C251" t="str">
            <v>VALENZUELA VALENZUELA KEVIN ESTEBAN MANUEL</v>
          </cell>
          <cell r="D251" t="str">
            <v>B</v>
          </cell>
          <cell r="E251" t="str">
            <v>M</v>
          </cell>
          <cell r="F251" t="str">
            <v>AYUDANTE DE PERFORISTA</v>
          </cell>
          <cell r="K251" t="str">
            <v>Parcialmente</v>
          </cell>
          <cell r="L251" t="e">
            <v>#N/A</v>
          </cell>
          <cell r="M251" t="e">
            <v>#N/A</v>
          </cell>
          <cell r="N251" t="e">
            <v>#N/A</v>
          </cell>
          <cell r="O251">
            <v>45580</v>
          </cell>
          <cell r="P251">
            <v>45611</v>
          </cell>
          <cell r="Q251">
            <v>45672</v>
          </cell>
          <cell r="R251" t="str">
            <v>Indefinido</v>
          </cell>
          <cell r="S251" t="str">
            <v>Indefinido</v>
          </cell>
          <cell r="T251">
            <v>45797</v>
          </cell>
          <cell r="U251">
            <v>45836</v>
          </cell>
        </row>
        <row r="252">
          <cell r="B252" t="str">
            <v>18665544-3</v>
          </cell>
          <cell r="C252" t="str">
            <v>VENEGAS CARRASCO DANIEL ANDRES</v>
          </cell>
          <cell r="D252" t="str">
            <v>A</v>
          </cell>
          <cell r="E252" t="str">
            <v>M</v>
          </cell>
          <cell r="F252" t="str">
            <v>AYUDANTE DE PERFORISTA</v>
          </cell>
          <cell r="G252" t="str">
            <v>LA SERENA</v>
          </cell>
          <cell r="I252" t="str">
            <v>56956061091</v>
          </cell>
          <cell r="K252" t="str">
            <v>Parcialmente</v>
          </cell>
          <cell r="L252" t="e">
            <v>#N/A</v>
          </cell>
          <cell r="M252" t="e">
            <v>#N/A</v>
          </cell>
          <cell r="N252" t="e">
            <v>#N/A</v>
          </cell>
          <cell r="O252">
            <v>45580</v>
          </cell>
          <cell r="P252" t="str">
            <v>Indefinido</v>
          </cell>
          <cell r="Q252" t="str">
            <v>Indefinido</v>
          </cell>
          <cell r="R252" t="str">
            <v>Indefinido</v>
          </cell>
          <cell r="S252" t="str">
            <v>Indefinido</v>
          </cell>
          <cell r="T252">
            <v>45797</v>
          </cell>
          <cell r="U252">
            <v>45813</v>
          </cell>
        </row>
        <row r="253">
          <cell r="B253" t="str">
            <v>PA122370121</v>
          </cell>
          <cell r="C253" t="str">
            <v>VERGARA TOCAS DENYS SAUL</v>
          </cell>
          <cell r="D253" t="str">
            <v>BACK UP</v>
          </cell>
          <cell r="E253" t="str">
            <v>M</v>
          </cell>
          <cell r="F253" t="str">
            <v>PERFORISTA</v>
          </cell>
          <cell r="G253" t="str">
            <v>LA SERENA</v>
          </cell>
          <cell r="I253">
            <v>519939731966</v>
          </cell>
          <cell r="K253" t="e">
            <v>#N/A</v>
          </cell>
          <cell r="L253" t="e">
            <v>#N/A</v>
          </cell>
          <cell r="M253" t="e">
            <v>#N/A</v>
          </cell>
          <cell r="N253" t="e">
            <v>#N/A</v>
          </cell>
          <cell r="O253" t="str">
            <v>BACK UP</v>
          </cell>
          <cell r="P253" t="str">
            <v>BACK UP</v>
          </cell>
          <cell r="T253">
            <v>45762</v>
          </cell>
          <cell r="U253">
            <v>45782</v>
          </cell>
        </row>
        <row r="254">
          <cell r="B254" t="str">
            <v>20785339-9</v>
          </cell>
          <cell r="C254" t="str">
            <v>ZAMORA AHUMADA BENJAMIN MATIAS</v>
          </cell>
          <cell r="D254" t="str">
            <v>B</v>
          </cell>
          <cell r="E254" t="str">
            <v>M</v>
          </cell>
          <cell r="F254" t="str">
            <v>AYUDANTE DE PERFORISTA</v>
          </cell>
          <cell r="G254" t="str">
            <v>LOS ANDES</v>
          </cell>
          <cell r="H254" t="str">
            <v>7 meses, 0 días</v>
          </cell>
          <cell r="I254">
            <v>56936541242</v>
          </cell>
          <cell r="J254">
            <v>37078</v>
          </cell>
          <cell r="L254" t="str">
            <v>BANCO FALABELLA</v>
          </cell>
          <cell r="M254" t="str">
            <v>15841323886</v>
          </cell>
          <cell r="N254" t="str">
            <v>benjanavarro143@gmail.com</v>
          </cell>
          <cell r="O254">
            <v>45876</v>
          </cell>
          <cell r="P254">
            <v>45915</v>
          </cell>
          <cell r="Q254">
            <v>45976</v>
          </cell>
          <cell r="R254" t="str">
            <v>Indefinido</v>
          </cell>
          <cell r="S254" t="str">
            <v>Indefinido</v>
          </cell>
          <cell r="T254">
            <v>45876</v>
          </cell>
          <cell r="U254">
            <v>45925</v>
          </cell>
        </row>
        <row r="255">
          <cell r="B255" t="str">
            <v>11819748-8</v>
          </cell>
          <cell r="C255" t="str">
            <v>ZEPEDA CHACC ALEJANDRO ANTONIO</v>
          </cell>
          <cell r="D255" t="str">
            <v>B</v>
          </cell>
          <cell r="E255" t="str">
            <v>M</v>
          </cell>
          <cell r="F255" t="str">
            <v>PERFORISTA</v>
          </cell>
          <cell r="G255" t="str">
            <v>COQUIMBO</v>
          </cell>
          <cell r="I255" t="str">
            <v>56954789602</v>
          </cell>
          <cell r="K255" t="str">
            <v>Parcialmente</v>
          </cell>
          <cell r="L255" t="e">
            <v>#N/A</v>
          </cell>
          <cell r="M255" t="e">
            <v>#N/A</v>
          </cell>
          <cell r="N255" t="e">
            <v>#N/A</v>
          </cell>
          <cell r="O255">
            <v>45566</v>
          </cell>
          <cell r="P255">
            <v>45596</v>
          </cell>
          <cell r="Q255">
            <v>45657</v>
          </cell>
          <cell r="R255" t="str">
            <v>Indefinido</v>
          </cell>
          <cell r="S255" t="str">
            <v>Indefinido</v>
          </cell>
          <cell r="T255">
            <v>45797</v>
          </cell>
          <cell r="U255">
            <v>45806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FF00"/>
  </sheetPr>
  <dimension ref="A1:T161"/>
  <sheetViews>
    <sheetView topLeftCell="H1" zoomScale="110" zoomScaleNormal="110" workbookViewId="0">
      <pane ySplit="1" topLeftCell="A97" activePane="bottomLeft" state="frozen"/>
      <selection pane="bottomLeft" activeCell="R125" sqref="R125"/>
    </sheetView>
  </sheetViews>
  <sheetFormatPr defaultColWidth="11.42578125" defaultRowHeight="10.15"/>
  <cols>
    <col min="1" max="1" width="5.140625" style="150" bestFit="1" customWidth="1"/>
    <col min="2" max="2" width="9.140625" style="150" bestFit="1" customWidth="1"/>
    <col min="3" max="3" width="10.5703125" style="153" bestFit="1" customWidth="1"/>
    <col min="4" max="4" width="10.28515625" style="153" bestFit="1" customWidth="1"/>
    <col min="5" max="5" width="6" style="153" customWidth="1"/>
    <col min="6" max="6" width="7.85546875" style="153" bestFit="1" customWidth="1"/>
    <col min="7" max="7" width="32" style="150" bestFit="1" customWidth="1"/>
    <col min="8" max="8" width="21.5703125" style="150" bestFit="1" customWidth="1"/>
    <col min="9" max="9" width="6.7109375" style="150" customWidth="1"/>
    <col min="10" max="10" width="29.42578125" style="150" customWidth="1"/>
    <col min="11" max="11" width="14.28515625" style="154" customWidth="1"/>
    <col min="12" max="12" width="13" style="155" bestFit="1" customWidth="1"/>
    <col min="13" max="13" width="11.85546875" style="150" bestFit="1" customWidth="1"/>
    <col min="14" max="14" width="11" style="150" bestFit="1" customWidth="1"/>
    <col min="15" max="15" width="13.42578125" style="150" customWidth="1"/>
    <col min="16" max="16" width="17" style="150" bestFit="1" customWidth="1"/>
    <col min="17" max="17" width="13.28515625" style="149" customWidth="1"/>
    <col min="18" max="18" width="14.5703125" style="149" customWidth="1"/>
    <col min="19" max="19" width="11.140625" style="149" customWidth="1"/>
    <col min="20" max="16384" width="11.42578125" style="150"/>
  </cols>
  <sheetData>
    <row r="1" spans="1:20" s="143" customFormat="1" ht="60.75" customHeight="1" thickBot="1">
      <c r="A1" s="393" t="s">
        <v>0</v>
      </c>
      <c r="B1" s="393" t="s">
        <v>1</v>
      </c>
      <c r="C1" s="394" t="s">
        <v>2</v>
      </c>
      <c r="D1" s="394" t="s">
        <v>3</v>
      </c>
      <c r="E1" s="395" t="s">
        <v>4</v>
      </c>
      <c r="F1" s="394" t="s">
        <v>5</v>
      </c>
      <c r="G1" s="393" t="s">
        <v>6</v>
      </c>
      <c r="H1" s="393" t="s">
        <v>7</v>
      </c>
      <c r="I1" s="393" t="s">
        <v>8</v>
      </c>
      <c r="J1" s="396" t="s">
        <v>9</v>
      </c>
      <c r="K1" s="397" t="s">
        <v>10</v>
      </c>
      <c r="L1" s="277" t="s">
        <v>11</v>
      </c>
      <c r="M1" s="398" t="s">
        <v>12</v>
      </c>
      <c r="N1" s="142"/>
      <c r="O1" s="142" t="s">
        <v>13</v>
      </c>
      <c r="P1" s="428" t="s">
        <v>14</v>
      </c>
    </row>
    <row r="2" spans="1:20" ht="9.9499999999999993" customHeight="1" thickBot="1">
      <c r="A2" s="141">
        <v>1</v>
      </c>
      <c r="B2" s="144" t="s">
        <v>15</v>
      </c>
      <c r="C2" s="216">
        <v>45964</v>
      </c>
      <c r="D2" s="216"/>
      <c r="E2" s="216"/>
      <c r="F2" s="216" t="s">
        <v>16</v>
      </c>
      <c r="G2" s="144" t="s">
        <v>17</v>
      </c>
      <c r="H2" s="144" t="s">
        <v>18</v>
      </c>
      <c r="I2" s="144" t="s">
        <v>19</v>
      </c>
      <c r="J2" s="141"/>
      <c r="K2" s="145">
        <f>VLOOKUP(B2,'SUP- PREV'!$B$16:$Q$39,16,FALSE)</f>
        <v>355419</v>
      </c>
      <c r="L2" s="146"/>
      <c r="M2" s="218"/>
      <c r="N2" s="147"/>
      <c r="O2" s="148">
        <f>K110+L110+M110</f>
        <v>18856251.75</v>
      </c>
      <c r="P2" s="411" t="s">
        <v>20</v>
      </c>
    </row>
    <row r="3" spans="1:20" ht="9.9499999999999993" customHeight="1" thickBot="1">
      <c r="A3" s="141">
        <v>2</v>
      </c>
      <c r="B3" s="217" t="s">
        <v>21</v>
      </c>
      <c r="C3" s="216">
        <v>45967</v>
      </c>
      <c r="D3" s="216"/>
      <c r="E3" s="216"/>
      <c r="F3" s="216" t="s">
        <v>16</v>
      </c>
      <c r="G3" s="144" t="s">
        <v>22</v>
      </c>
      <c r="H3" s="144" t="s">
        <v>23</v>
      </c>
      <c r="I3" s="144" t="s">
        <v>24</v>
      </c>
      <c r="J3" s="141"/>
      <c r="K3" s="145">
        <f>VLOOKUP(B3,'NO OP'!$B$16:$Q$68,16,FALSE)</f>
        <v>268622</v>
      </c>
      <c r="L3" s="146"/>
      <c r="M3" s="218"/>
      <c r="N3" s="147"/>
      <c r="O3" s="165">
        <f>O4-O2</f>
        <v>0</v>
      </c>
      <c r="P3" s="164" t="s">
        <v>25</v>
      </c>
    </row>
    <row r="4" spans="1:20" ht="9.9499999999999993" customHeight="1" thickBot="1">
      <c r="A4" s="141">
        <v>3</v>
      </c>
      <c r="B4" s="144">
        <v>122192016</v>
      </c>
      <c r="C4" s="216">
        <v>46139</v>
      </c>
      <c r="D4" s="216"/>
      <c r="E4" s="216"/>
      <c r="F4" s="216" t="s">
        <v>16</v>
      </c>
      <c r="G4" s="144" t="s">
        <v>26</v>
      </c>
      <c r="H4" s="144" t="s">
        <v>27</v>
      </c>
      <c r="I4" s="144" t="s">
        <v>19</v>
      </c>
      <c r="J4" s="141"/>
      <c r="K4" s="145">
        <f>VLOOKUP(B4,'SUP- PREV'!$B$16:$Q$39,16,FALSE)</f>
        <v>355419</v>
      </c>
      <c r="L4" s="146"/>
      <c r="M4" s="218"/>
      <c r="N4" s="147"/>
      <c r="O4" s="338">
        <f>SUM(O5:O8)+O10+O11+O13</f>
        <v>18856251.75</v>
      </c>
      <c r="P4" s="339" t="s">
        <v>28</v>
      </c>
      <c r="Q4" s="409" t="s">
        <v>29</v>
      </c>
      <c r="R4" s="409" t="s">
        <v>30</v>
      </c>
      <c r="S4" s="410" t="s">
        <v>25</v>
      </c>
    </row>
    <row r="5" spans="1:20" ht="9.9499999999999993" customHeight="1">
      <c r="A5" s="141">
        <v>4</v>
      </c>
      <c r="B5" s="144" t="s">
        <v>31</v>
      </c>
      <c r="C5" s="216">
        <v>46087</v>
      </c>
      <c r="D5" s="216"/>
      <c r="E5" s="144"/>
      <c r="F5" s="216" t="s">
        <v>32</v>
      </c>
      <c r="G5" s="144" t="s">
        <v>33</v>
      </c>
      <c r="H5" s="144" t="s">
        <v>23</v>
      </c>
      <c r="I5" s="144" t="s">
        <v>24</v>
      </c>
      <c r="J5" s="144" t="s">
        <v>24</v>
      </c>
      <c r="K5" s="145">
        <f>VLOOKUP(B5,'NO OP'!$B$16:$Q$68,16,FALSE)</f>
        <v>141380</v>
      </c>
      <c r="L5" s="146"/>
      <c r="M5" s="218"/>
      <c r="N5" s="147"/>
      <c r="O5" s="404">
        <f>'NO OP'!Q69</f>
        <v>6234858</v>
      </c>
      <c r="P5" s="405" t="s">
        <v>24</v>
      </c>
      <c r="Q5" s="406">
        <f>SUMIF(I2:I109,"NO OP",$K$2:$K$109)</f>
        <v>6234858</v>
      </c>
      <c r="R5" s="407" t="b">
        <f>O5=Q5</f>
        <v>1</v>
      </c>
      <c r="S5" s="408">
        <f>Q5-O5</f>
        <v>0</v>
      </c>
    </row>
    <row r="6" spans="1:20" ht="9.9499999999999993" customHeight="1">
      <c r="A6" s="141">
        <v>5</v>
      </c>
      <c r="B6" s="144" t="s">
        <v>34</v>
      </c>
      <c r="C6" s="216">
        <v>45691</v>
      </c>
      <c r="D6" s="216"/>
      <c r="E6" s="216"/>
      <c r="F6" s="216" t="s">
        <v>32</v>
      </c>
      <c r="G6" s="144" t="s">
        <v>35</v>
      </c>
      <c r="H6" s="144" t="s">
        <v>23</v>
      </c>
      <c r="I6" s="144" t="s">
        <v>24</v>
      </c>
      <c r="J6" s="141"/>
      <c r="K6" s="145">
        <f>VLOOKUP(B6,'NO OP'!$B$16:$Q$68,16,FALSE)</f>
        <v>268622</v>
      </c>
      <c r="L6" s="146"/>
      <c r="M6" s="218"/>
      <c r="N6" s="147"/>
      <c r="O6" s="399">
        <f>'SUP- PREV'!Q40</f>
        <v>4704075</v>
      </c>
      <c r="P6" s="400" t="s">
        <v>19</v>
      </c>
      <c r="Q6" s="401">
        <f>SUMIF(I2:I109,"SUP-PREV",$K$2:$K$109)</f>
        <v>4704075</v>
      </c>
      <c r="R6" s="402" t="b">
        <f>O6=Q6</f>
        <v>1</v>
      </c>
      <c r="S6" s="403">
        <f>Q6-O6</f>
        <v>0</v>
      </c>
    </row>
    <row r="7" spans="1:20" ht="9.9499999999999993" customHeight="1">
      <c r="A7" s="141">
        <v>6</v>
      </c>
      <c r="B7" s="144" t="s">
        <v>36</v>
      </c>
      <c r="C7" s="216">
        <v>46063</v>
      </c>
      <c r="D7" s="216"/>
      <c r="E7" s="216"/>
      <c r="F7" s="216" t="s">
        <v>32</v>
      </c>
      <c r="G7" s="144" t="s">
        <v>37</v>
      </c>
      <c r="H7" s="144" t="s">
        <v>38</v>
      </c>
      <c r="I7" s="144" t="s">
        <v>39</v>
      </c>
      <c r="J7" s="141"/>
      <c r="K7" s="145">
        <f>VLOOKUP(B7,AYUD.!$B$4:$AB$54,27,FALSE)</f>
        <v>201325</v>
      </c>
      <c r="L7" s="146">
        <f>VLOOKUP(B7,'BONO EXTRA'!$A$7:$AO$90,41,FALSE)</f>
        <v>10025</v>
      </c>
      <c r="M7" s="218"/>
      <c r="N7" s="147"/>
      <c r="O7" s="159">
        <f>PERFOR.!AB30</f>
        <v>3158100</v>
      </c>
      <c r="P7" s="161" t="s">
        <v>40</v>
      </c>
      <c r="Q7" s="158">
        <f>SUMIF($I$2:I108,"PERFOR.",$K$2:$K$108)</f>
        <v>3158100</v>
      </c>
      <c r="R7" s="157" t="b">
        <f>O7=Q7</f>
        <v>1</v>
      </c>
      <c r="S7" s="167">
        <f>Q7-O7</f>
        <v>0</v>
      </c>
    </row>
    <row r="8" spans="1:20" ht="9.9499999999999993" customHeight="1" thickBot="1">
      <c r="A8" s="141">
        <v>7</v>
      </c>
      <c r="B8" s="144" t="s">
        <v>41</v>
      </c>
      <c r="C8" s="216">
        <v>45646</v>
      </c>
      <c r="D8" s="216"/>
      <c r="E8" s="216"/>
      <c r="F8" s="216" t="s">
        <v>32</v>
      </c>
      <c r="G8" s="144" t="s">
        <v>42</v>
      </c>
      <c r="H8" s="144" t="s">
        <v>38</v>
      </c>
      <c r="I8" s="144" t="s">
        <v>39</v>
      </c>
      <c r="J8" s="141"/>
      <c r="K8" s="145">
        <f>VLOOKUP(B8,AYUD.!$B$4:$AB$54,27,FALSE)</f>
        <v>126800</v>
      </c>
      <c r="L8" s="146">
        <f>VLOOKUP(B8,'BONO EXTRA'!$A$7:$AO$90,41,FALSE)</f>
        <v>13000</v>
      </c>
      <c r="M8" s="218"/>
      <c r="N8" s="147"/>
      <c r="O8" s="160">
        <f>AYUD.!AB56</f>
        <v>4490725</v>
      </c>
      <c r="P8" s="162" t="s">
        <v>43</v>
      </c>
      <c r="Q8" s="163">
        <f ca="1">SUMIF($I$2:I108,"AYUD.",$K$2:$K$100)</f>
        <v>4490725</v>
      </c>
      <c r="R8" s="166" t="b">
        <f ca="1">O8=Q8</f>
        <v>1</v>
      </c>
      <c r="S8" s="168">
        <f ca="1">Q8-O8</f>
        <v>0</v>
      </c>
    </row>
    <row r="9" spans="1:20" ht="9.9499999999999993" customHeight="1" thickBot="1">
      <c r="A9" s="141">
        <v>8</v>
      </c>
      <c r="B9" s="144" t="s">
        <v>44</v>
      </c>
      <c r="C9" s="216">
        <v>45666</v>
      </c>
      <c r="D9" s="216"/>
      <c r="E9" s="216"/>
      <c r="F9" s="216" t="s">
        <v>32</v>
      </c>
      <c r="G9" s="144" t="s">
        <v>45</v>
      </c>
      <c r="H9" s="144" t="s">
        <v>38</v>
      </c>
      <c r="I9" s="144" t="s">
        <v>39</v>
      </c>
      <c r="J9" s="141" t="s">
        <v>46</v>
      </c>
      <c r="K9" s="145">
        <f>VLOOKUP(B9,AYUD.!$B$4:$AB$54,27,FALSE)</f>
        <v>168625</v>
      </c>
      <c r="L9" s="146">
        <f>VLOOKUP(B9,'BONO EXTRA'!$A$7:$AO$90,41,FALSE)</f>
        <v>7000</v>
      </c>
      <c r="M9" s="218"/>
      <c r="N9" s="147"/>
      <c r="O9" s="147"/>
      <c r="P9" s="147"/>
      <c r="Q9" s="156"/>
      <c r="R9" s="156"/>
      <c r="S9" s="156"/>
    </row>
    <row r="10" spans="1:20" ht="9.9499999999999993" customHeight="1">
      <c r="A10" s="141">
        <v>9</v>
      </c>
      <c r="B10" s="144" t="s">
        <v>47</v>
      </c>
      <c r="C10" s="216">
        <v>45986</v>
      </c>
      <c r="D10" s="216"/>
      <c r="E10" s="216"/>
      <c r="F10" s="216" t="s">
        <v>32</v>
      </c>
      <c r="G10" s="144" t="s">
        <v>48</v>
      </c>
      <c r="H10" s="144" t="s">
        <v>38</v>
      </c>
      <c r="I10" s="144" t="s">
        <v>39</v>
      </c>
      <c r="J10" s="141"/>
      <c r="K10" s="145">
        <f>VLOOKUP(B10,AYUD.!$B$4:$AB$54,27,FALSE)</f>
        <v>149150</v>
      </c>
      <c r="L10" s="146">
        <f>VLOOKUP(B10,'BONO EXTRA'!$A$7:$AO$90,41,FALSE)</f>
        <v>2712.5000000000005</v>
      </c>
      <c r="M10" s="218"/>
      <c r="N10" s="147"/>
      <c r="O10" s="187">
        <f>AYUD.!AC56</f>
        <v>166062.5</v>
      </c>
      <c r="P10" s="219" t="s">
        <v>49</v>
      </c>
    </row>
    <row r="11" spans="1:20" ht="9.9499999999999993" customHeight="1" thickBot="1">
      <c r="A11" s="141">
        <v>10</v>
      </c>
      <c r="B11" s="144" t="s">
        <v>50</v>
      </c>
      <c r="C11" s="216">
        <v>45951</v>
      </c>
      <c r="D11" s="216"/>
      <c r="E11" s="216"/>
      <c r="F11" s="216" t="s">
        <v>32</v>
      </c>
      <c r="G11" s="144" t="s">
        <v>51</v>
      </c>
      <c r="H11" s="144" t="s">
        <v>38</v>
      </c>
      <c r="I11" s="144" t="s">
        <v>39</v>
      </c>
      <c r="J11" s="141"/>
      <c r="K11" s="145">
        <f>VLOOKUP(B11,AYUD.!$B$4:$AB$54,27,FALSE)</f>
        <v>126800</v>
      </c>
      <c r="L11" s="146">
        <f>VLOOKUP(B11,'BONO EXTRA'!$A$7:$AO$90,41,FALSE)</f>
        <v>13000</v>
      </c>
      <c r="M11" s="218"/>
      <c r="N11" s="147"/>
      <c r="O11" s="188">
        <f>PERFOR.!AC30</f>
        <v>102431.25</v>
      </c>
      <c r="P11" s="220" t="s">
        <v>52</v>
      </c>
    </row>
    <row r="12" spans="1:20" ht="9.9499999999999993" customHeight="1" thickBot="1">
      <c r="A12" s="141">
        <v>11</v>
      </c>
      <c r="B12" s="144" t="s">
        <v>53</v>
      </c>
      <c r="C12" s="216">
        <v>45925</v>
      </c>
      <c r="D12" s="216"/>
      <c r="E12" s="216"/>
      <c r="F12" s="216" t="s">
        <v>32</v>
      </c>
      <c r="G12" s="144" t="s">
        <v>54</v>
      </c>
      <c r="H12" s="144" t="s">
        <v>38</v>
      </c>
      <c r="I12" s="144" t="s">
        <v>39</v>
      </c>
      <c r="J12" s="141"/>
      <c r="K12" s="145">
        <f>VLOOKUP(B12,AYUD.!$B$4:$AB$54,27,FALSE)</f>
        <v>250275</v>
      </c>
      <c r="L12" s="146">
        <f>VLOOKUP(B12,'BONO EXTRA'!$A$7:$AO$90,41,FALSE)</f>
        <v>12025</v>
      </c>
      <c r="M12" s="218"/>
      <c r="N12" s="147"/>
      <c r="O12" s="189">
        <f>'BONO EXTRA'!AO86</f>
        <v>268493.75</v>
      </c>
      <c r="Q12" s="221">
        <f>PERFOR.!AC30+AYUD.!AC56</f>
        <v>268493.75</v>
      </c>
      <c r="R12" s="186" t="b">
        <f>Q12=O12</f>
        <v>1</v>
      </c>
      <c r="S12" s="165">
        <f>O12-Q12</f>
        <v>0</v>
      </c>
      <c r="T12" s="156"/>
    </row>
    <row r="13" spans="1:20" ht="9.9499999999999993" customHeight="1" thickBot="1">
      <c r="A13" s="141">
        <v>12</v>
      </c>
      <c r="B13" s="144" t="s">
        <v>55</v>
      </c>
      <c r="C13" s="216">
        <v>45746</v>
      </c>
      <c r="D13" s="216"/>
      <c r="E13" s="216"/>
      <c r="F13" s="216" t="s">
        <v>32</v>
      </c>
      <c r="G13" s="144" t="s">
        <v>56</v>
      </c>
      <c r="H13" s="144" t="s">
        <v>38</v>
      </c>
      <c r="I13" s="144" t="s">
        <v>39</v>
      </c>
      <c r="J13" s="141" t="s">
        <v>57</v>
      </c>
      <c r="K13" s="145">
        <f>VLOOKUP(B13,AYUD.!$B$4:$AB$54,27,FALSE)</f>
        <v>44000</v>
      </c>
      <c r="L13" s="146">
        <f>VLOOKUP(B13,'BONO EXTRA'!$A$7:$AO$90,41,FALSE)</f>
        <v>0</v>
      </c>
      <c r="M13" s="218"/>
      <c r="N13" s="147"/>
      <c r="O13" s="190">
        <f>M110</f>
        <v>0</v>
      </c>
      <c r="P13" s="191" t="s">
        <v>58</v>
      </c>
    </row>
    <row r="14" spans="1:20" ht="9.9499999999999993" customHeight="1">
      <c r="A14" s="141">
        <v>13</v>
      </c>
      <c r="B14" s="144" t="s">
        <v>59</v>
      </c>
      <c r="C14" s="216">
        <v>45726</v>
      </c>
      <c r="D14" s="216"/>
      <c r="E14" s="216"/>
      <c r="F14" s="216" t="s">
        <v>32</v>
      </c>
      <c r="G14" s="144" t="s">
        <v>60</v>
      </c>
      <c r="H14" s="144" t="s">
        <v>38</v>
      </c>
      <c r="I14" s="144" t="s">
        <v>39</v>
      </c>
      <c r="J14" s="141"/>
      <c r="K14" s="145">
        <f>VLOOKUP(B14,AYUD.!$B$4:$AB$54,27,FALSE)</f>
        <v>171200</v>
      </c>
      <c r="L14" s="146">
        <f>VLOOKUP(B14,'BONO EXTRA'!$A$7:$AO$90,41,FALSE)</f>
        <v>7600</v>
      </c>
      <c r="M14" s="218"/>
      <c r="N14" s="147"/>
      <c r="Q14" s="150"/>
      <c r="R14" s="150"/>
      <c r="S14" s="150"/>
    </row>
    <row r="15" spans="1:20" ht="9.9499999999999993" customHeight="1">
      <c r="A15" s="141">
        <v>15</v>
      </c>
      <c r="B15" s="144" t="s">
        <v>61</v>
      </c>
      <c r="C15" s="216">
        <v>46146</v>
      </c>
      <c r="D15" s="216"/>
      <c r="E15" s="216"/>
      <c r="F15" s="216" t="s">
        <v>32</v>
      </c>
      <c r="G15" s="144" t="s">
        <v>62</v>
      </c>
      <c r="H15" s="144" t="s">
        <v>38</v>
      </c>
      <c r="I15" s="144" t="s">
        <v>39</v>
      </c>
      <c r="J15" s="141"/>
      <c r="K15" s="145">
        <f>VLOOKUP(B15,AYUD.!$B$4:$AB$54,27,FALSE)</f>
        <v>171200</v>
      </c>
      <c r="L15" s="146">
        <f>VLOOKUP(B15,'BONO EXTRA'!$A$7:$AO$90,41,FALSE)</f>
        <v>13000</v>
      </c>
      <c r="M15" s="218"/>
      <c r="N15" s="147"/>
      <c r="Q15" s="150"/>
      <c r="R15" s="150"/>
      <c r="S15" s="150"/>
    </row>
    <row r="16" spans="1:20" ht="9.9499999999999993" customHeight="1">
      <c r="A16" s="141">
        <v>16</v>
      </c>
      <c r="B16" s="144" t="s">
        <v>63</v>
      </c>
      <c r="C16" s="216">
        <v>46130</v>
      </c>
      <c r="D16" s="216"/>
      <c r="E16" s="216"/>
      <c r="F16" s="216" t="s">
        <v>32</v>
      </c>
      <c r="G16" s="144" t="s">
        <v>64</v>
      </c>
      <c r="H16" s="144" t="s">
        <v>38</v>
      </c>
      <c r="I16" s="144" t="s">
        <v>39</v>
      </c>
      <c r="J16" s="141"/>
      <c r="K16" s="145">
        <f>VLOOKUP(B16,AYUD.!$B$4:$AB$54,27,FALSE)</f>
        <v>171200</v>
      </c>
      <c r="L16" s="146">
        <f>VLOOKUP(B16,'BONO EXTRA'!$A$7:$AO$90,41,FALSE)</f>
        <v>7600</v>
      </c>
      <c r="M16" s="218"/>
      <c r="N16" s="147"/>
      <c r="O16" s="151"/>
      <c r="P16" s="371"/>
    </row>
    <row r="17" spans="1:19" ht="9.9499999999999993" customHeight="1">
      <c r="A17" s="141">
        <v>17</v>
      </c>
      <c r="B17" s="144" t="s">
        <v>65</v>
      </c>
      <c r="C17" s="216">
        <v>45754</v>
      </c>
      <c r="D17" s="216"/>
      <c r="E17" s="216"/>
      <c r="F17" s="216" t="s">
        <v>32</v>
      </c>
      <c r="G17" s="144" t="s">
        <v>66</v>
      </c>
      <c r="H17" s="144" t="s">
        <v>38</v>
      </c>
      <c r="I17" s="144" t="s">
        <v>39</v>
      </c>
      <c r="J17" s="141"/>
      <c r="K17" s="145">
        <f>VLOOKUP(B17,AYUD.!$B$4:$AB$54,27,FALSE)</f>
        <v>171200</v>
      </c>
      <c r="L17" s="146">
        <f>VLOOKUP(B17,'BONO EXTRA'!$A$7:$AO$90,41,FALSE)</f>
        <v>7600</v>
      </c>
      <c r="M17" s="218"/>
      <c r="N17" s="147"/>
      <c r="O17" s="147"/>
      <c r="P17" s="147"/>
    </row>
    <row r="18" spans="1:19" ht="9.9499999999999993" customHeight="1">
      <c r="A18" s="141">
        <v>18</v>
      </c>
      <c r="B18" s="144" t="s">
        <v>67</v>
      </c>
      <c r="C18" s="216">
        <v>45646</v>
      </c>
      <c r="D18" s="216"/>
      <c r="E18" s="216"/>
      <c r="F18" s="216" t="s">
        <v>32</v>
      </c>
      <c r="G18" s="144" t="s">
        <v>68</v>
      </c>
      <c r="H18" s="144" t="s">
        <v>38</v>
      </c>
      <c r="I18" s="144" t="s">
        <v>39</v>
      </c>
      <c r="J18" s="141"/>
      <c r="K18" s="145">
        <f>VLOOKUP(B18,AYUD.!$B$4:$AB$54,27,FALSE)</f>
        <v>149150</v>
      </c>
      <c r="L18" s="146">
        <f>VLOOKUP(B18,'BONO EXTRA'!$A$7:$AO$90,41,FALSE)</f>
        <v>2712.5000000000005</v>
      </c>
      <c r="M18" s="218"/>
      <c r="N18" s="147"/>
      <c r="P18" s="370"/>
      <c r="Q18" s="150"/>
      <c r="R18" s="150"/>
      <c r="S18" s="150"/>
    </row>
    <row r="19" spans="1:19" ht="9.9499999999999993" customHeight="1">
      <c r="A19" s="141">
        <v>19</v>
      </c>
      <c r="B19" s="144" t="s">
        <v>69</v>
      </c>
      <c r="C19" s="216">
        <v>45666</v>
      </c>
      <c r="D19" s="216"/>
      <c r="E19" s="216"/>
      <c r="F19" s="216" t="s">
        <v>32</v>
      </c>
      <c r="G19" s="144" t="s">
        <v>70</v>
      </c>
      <c r="H19" s="144" t="s">
        <v>38</v>
      </c>
      <c r="I19" s="144" t="s">
        <v>39</v>
      </c>
      <c r="J19" s="141"/>
      <c r="K19" s="145">
        <f>VLOOKUP(B19,AYUD.!$B$4:$AB$54,27,FALSE)</f>
        <v>149150</v>
      </c>
      <c r="L19" s="146">
        <f>VLOOKUP(B19,'BONO EXTRA'!$A$7:$AO$90,41,FALSE)</f>
        <v>7850.0000000000009</v>
      </c>
      <c r="M19" s="218"/>
      <c r="N19" s="147"/>
      <c r="O19" s="147"/>
      <c r="P19" s="147"/>
    </row>
    <row r="20" spans="1:19" ht="9.9499999999999993" customHeight="1">
      <c r="A20" s="141">
        <v>20</v>
      </c>
      <c r="B20" s="144" t="s">
        <v>71</v>
      </c>
      <c r="C20" s="216">
        <v>45636</v>
      </c>
      <c r="D20" s="216"/>
      <c r="E20" s="216"/>
      <c r="F20" s="216" t="s">
        <v>32</v>
      </c>
      <c r="G20" s="144" t="s">
        <v>72</v>
      </c>
      <c r="H20" s="144" t="s">
        <v>38</v>
      </c>
      <c r="I20" s="144" t="s">
        <v>39</v>
      </c>
      <c r="J20" s="141"/>
      <c r="K20" s="145">
        <f>VLOOKUP(B20,AYUD.!$B$4:$AB$54,27,FALSE)</f>
        <v>236500</v>
      </c>
      <c r="L20" s="146">
        <f>VLOOKUP(B20,'BONO EXTRA'!$A$7:$AO$90,41,FALSE)</f>
        <v>12025</v>
      </c>
      <c r="M20" s="218"/>
      <c r="N20" s="147"/>
      <c r="O20" s="147"/>
      <c r="P20" s="147"/>
    </row>
    <row r="21" spans="1:19" ht="9.9499999999999993" customHeight="1">
      <c r="A21" s="141">
        <v>21</v>
      </c>
      <c r="B21" s="144" t="s">
        <v>73</v>
      </c>
      <c r="C21" s="216">
        <v>45925</v>
      </c>
      <c r="D21" s="216"/>
      <c r="E21" s="216"/>
      <c r="F21" s="216" t="s">
        <v>32</v>
      </c>
      <c r="G21" s="144" t="s">
        <v>74</v>
      </c>
      <c r="H21" s="144" t="s">
        <v>38</v>
      </c>
      <c r="I21" s="144" t="s">
        <v>39</v>
      </c>
      <c r="J21" s="141"/>
      <c r="K21" s="145">
        <f>VLOOKUP(B21,AYUD.!$B$4:$AB$54,27,FALSE)</f>
        <v>149150</v>
      </c>
      <c r="L21" s="146">
        <f>VLOOKUP(B21,'BONO EXTRA'!$A$7:$AO$90,41,FALSE)</f>
        <v>7850.0000000000009</v>
      </c>
      <c r="M21" s="218"/>
      <c r="N21" s="147"/>
      <c r="O21" s="147"/>
      <c r="P21" s="147"/>
    </row>
    <row r="22" spans="1:19" ht="9.9499999999999993" customHeight="1">
      <c r="A22" s="141">
        <v>22</v>
      </c>
      <c r="B22" s="512" t="s">
        <v>75</v>
      </c>
      <c r="C22" s="216">
        <v>45627</v>
      </c>
      <c r="D22" s="216"/>
      <c r="E22" s="216"/>
      <c r="F22" s="216" t="s">
        <v>32</v>
      </c>
      <c r="G22" s="144" t="s">
        <v>76</v>
      </c>
      <c r="H22" s="144" t="s">
        <v>38</v>
      </c>
      <c r="I22" s="144" t="s">
        <v>39</v>
      </c>
      <c r="J22" s="141"/>
      <c r="K22" s="145">
        <f>VLOOKUP(B22,AYUD.!$B$4:$AB$54,27,FALSE)</f>
        <v>236500</v>
      </c>
      <c r="L22" s="146">
        <f>VLOOKUP(B22,'BONO EXTRA'!$A$7:$AO$90,41,FALSE)</f>
        <v>12000</v>
      </c>
      <c r="M22" s="218"/>
      <c r="N22" s="147"/>
      <c r="O22" s="147"/>
      <c r="P22" s="147"/>
    </row>
    <row r="23" spans="1:19" ht="9.9499999999999993" customHeight="1">
      <c r="A23" s="141">
        <v>23</v>
      </c>
      <c r="B23" s="510" t="s">
        <v>77</v>
      </c>
      <c r="C23" s="216">
        <v>45627</v>
      </c>
      <c r="D23" s="216"/>
      <c r="E23" s="216"/>
      <c r="F23" s="216" t="s">
        <v>32</v>
      </c>
      <c r="G23" s="144" t="s">
        <v>78</v>
      </c>
      <c r="H23" s="144" t="s">
        <v>38</v>
      </c>
      <c r="I23" s="144" t="s">
        <v>24</v>
      </c>
      <c r="J23" s="141"/>
      <c r="K23" s="145">
        <f>VLOOKUP(B23,'NO OP'!$B$16:$Q$68,16,FALSE)</f>
        <v>141380</v>
      </c>
      <c r="L23" s="146"/>
      <c r="M23" s="218"/>
      <c r="N23" s="147"/>
      <c r="O23" s="147"/>
      <c r="P23" s="147"/>
    </row>
    <row r="24" spans="1:19" ht="9.9499999999999993" customHeight="1">
      <c r="A24" s="141">
        <v>24</v>
      </c>
      <c r="B24" s="510" t="s">
        <v>79</v>
      </c>
      <c r="C24" s="216">
        <v>45966</v>
      </c>
      <c r="D24" s="216"/>
      <c r="E24" s="216"/>
      <c r="F24" s="216" t="s">
        <v>32</v>
      </c>
      <c r="G24" s="144" t="s">
        <v>80</v>
      </c>
      <c r="H24" s="144" t="s">
        <v>38</v>
      </c>
      <c r="I24" s="144" t="s">
        <v>39</v>
      </c>
      <c r="J24" s="141"/>
      <c r="K24" s="145">
        <f>VLOOKUP(B24,AYUD.!$B$4:$AB$54,27,FALSE)</f>
        <v>236500</v>
      </c>
      <c r="L24" s="146">
        <f>VLOOKUP(B24,'BONO EXTRA'!$A$7:$AO$90,41,FALSE)</f>
        <v>12000</v>
      </c>
      <c r="M24" s="218"/>
      <c r="N24" s="147"/>
      <c r="O24" s="147"/>
      <c r="P24" s="147"/>
    </row>
    <row r="25" spans="1:19" ht="9.9499999999999993" customHeight="1">
      <c r="A25" s="141">
        <v>25</v>
      </c>
      <c r="B25" s="144" t="s">
        <v>81</v>
      </c>
      <c r="C25" s="216">
        <v>45627</v>
      </c>
      <c r="D25" s="216"/>
      <c r="E25" s="216"/>
      <c r="F25" s="216" t="s">
        <v>32</v>
      </c>
      <c r="G25" s="144" t="s">
        <v>82</v>
      </c>
      <c r="H25" s="144" t="s">
        <v>83</v>
      </c>
      <c r="I25" s="144" t="s">
        <v>24</v>
      </c>
      <c r="J25" s="141"/>
      <c r="K25" s="145">
        <f>VLOOKUP(B25,'NO OP'!$B$16:$Q$68,16,FALSE)</f>
        <v>183794</v>
      </c>
      <c r="L25" s="146"/>
      <c r="M25" s="218"/>
      <c r="N25" s="147"/>
      <c r="O25" s="147"/>
      <c r="P25" s="147"/>
    </row>
    <row r="26" spans="1:19" ht="9.9499999999999993" customHeight="1">
      <c r="A26" s="141">
        <v>26</v>
      </c>
      <c r="B26" s="144" t="s">
        <v>84</v>
      </c>
      <c r="C26" s="216">
        <v>45627</v>
      </c>
      <c r="D26" s="216"/>
      <c r="E26" s="144"/>
      <c r="F26" s="216" t="s">
        <v>32</v>
      </c>
      <c r="G26" s="144" t="s">
        <v>85</v>
      </c>
      <c r="H26" s="144" t="s">
        <v>86</v>
      </c>
      <c r="I26" s="144" t="s">
        <v>24</v>
      </c>
      <c r="J26" s="141"/>
      <c r="K26" s="145">
        <f>VLOOKUP(B26,'NO OP'!$B$16:$Q$68,16,FALSE)</f>
        <v>268622</v>
      </c>
      <c r="L26" s="146"/>
      <c r="M26" s="218"/>
      <c r="N26" s="147"/>
      <c r="O26" s="147"/>
      <c r="P26" s="147"/>
    </row>
    <row r="27" spans="1:19" ht="9.9499999999999993" customHeight="1">
      <c r="A27" s="141">
        <v>27</v>
      </c>
      <c r="B27" s="144" t="s">
        <v>87</v>
      </c>
      <c r="C27" s="216">
        <v>45733</v>
      </c>
      <c r="D27" s="216"/>
      <c r="E27" s="144"/>
      <c r="F27" s="216" t="s">
        <v>32</v>
      </c>
      <c r="G27" s="144" t="s">
        <v>88</v>
      </c>
      <c r="H27" s="144" t="s">
        <v>86</v>
      </c>
      <c r="I27" s="144" t="s">
        <v>24</v>
      </c>
      <c r="J27" s="141"/>
      <c r="K27" s="145">
        <f>VLOOKUP(B27,'NO OP'!$B$16:$Q$68,16,FALSE)</f>
        <v>268622</v>
      </c>
      <c r="L27" s="146"/>
      <c r="M27" s="218"/>
      <c r="N27" s="147"/>
      <c r="O27" s="147"/>
      <c r="P27" s="147"/>
    </row>
    <row r="28" spans="1:19" ht="9.9499999999999993" customHeight="1">
      <c r="A28" s="141">
        <v>28</v>
      </c>
      <c r="B28" s="144" t="s">
        <v>89</v>
      </c>
      <c r="C28" s="216">
        <v>45804</v>
      </c>
      <c r="D28" s="216"/>
      <c r="E28" s="216"/>
      <c r="F28" s="216" t="s">
        <v>32</v>
      </c>
      <c r="G28" s="144" t="s">
        <v>90</v>
      </c>
      <c r="H28" s="144" t="s">
        <v>86</v>
      </c>
      <c r="I28" s="144" t="s">
        <v>24</v>
      </c>
      <c r="J28" s="141"/>
      <c r="K28" s="145">
        <f>VLOOKUP(B28,'NO OP'!$B$16:$Q$68,16,FALSE)</f>
        <v>268622</v>
      </c>
      <c r="L28" s="146"/>
      <c r="M28" s="218"/>
      <c r="N28" s="147"/>
      <c r="O28" s="147"/>
      <c r="P28" s="147"/>
    </row>
    <row r="29" spans="1:19" ht="9.9499999999999993" customHeight="1">
      <c r="A29" s="141">
        <v>29</v>
      </c>
      <c r="B29" s="144" t="s">
        <v>91</v>
      </c>
      <c r="C29" s="216">
        <v>46063</v>
      </c>
      <c r="D29" s="216"/>
      <c r="E29" s="216"/>
      <c r="F29" s="216" t="s">
        <v>32</v>
      </c>
      <c r="G29" s="144" t="s">
        <v>92</v>
      </c>
      <c r="H29" s="144" t="s">
        <v>86</v>
      </c>
      <c r="I29" s="144" t="s">
        <v>24</v>
      </c>
      <c r="J29" s="141"/>
      <c r="K29" s="145">
        <f>VLOOKUP(B29,'NO OP'!$B$16:$Q$68,16,FALSE)</f>
        <v>268622</v>
      </c>
      <c r="L29" s="146"/>
      <c r="M29" s="218"/>
      <c r="N29" s="147"/>
      <c r="O29" s="147"/>
      <c r="P29" s="147"/>
    </row>
    <row r="30" spans="1:19" ht="9.9499999999999993" customHeight="1">
      <c r="A30" s="141">
        <v>30</v>
      </c>
      <c r="B30" s="144" t="s">
        <v>93</v>
      </c>
      <c r="C30" s="216">
        <v>46080</v>
      </c>
      <c r="D30" s="216"/>
      <c r="E30" s="216"/>
      <c r="F30" s="216" t="s">
        <v>32</v>
      </c>
      <c r="G30" s="144" t="s">
        <v>94</v>
      </c>
      <c r="H30" s="144" t="s">
        <v>86</v>
      </c>
      <c r="I30" s="144" t="s">
        <v>24</v>
      </c>
      <c r="J30" s="141" t="s">
        <v>95</v>
      </c>
      <c r="K30" s="145">
        <f>VLOOKUP(B30,'NO OP'!$B$16:$Q$68,16,FALSE)</f>
        <v>56552</v>
      </c>
      <c r="L30" s="146"/>
      <c r="M30" s="218"/>
      <c r="N30" s="147"/>
      <c r="O30" s="147"/>
      <c r="P30" s="147"/>
    </row>
    <row r="31" spans="1:19" ht="9.9499999999999993" customHeight="1">
      <c r="A31" s="141">
        <v>31</v>
      </c>
      <c r="B31" s="144" t="s">
        <v>96</v>
      </c>
      <c r="C31" s="216">
        <v>45876</v>
      </c>
      <c r="D31" s="216"/>
      <c r="E31" s="216"/>
      <c r="F31" s="216" t="s">
        <v>32</v>
      </c>
      <c r="G31" s="144" t="s">
        <v>97</v>
      </c>
      <c r="H31" s="144" t="s">
        <v>86</v>
      </c>
      <c r="I31" s="144" t="s">
        <v>24</v>
      </c>
      <c r="J31" s="141"/>
      <c r="K31" s="145">
        <f>VLOOKUP(B31,'NO OP'!$B$16:$Q$68,16,FALSE)</f>
        <v>141380</v>
      </c>
      <c r="L31" s="146"/>
      <c r="M31" s="218"/>
      <c r="N31" s="147"/>
      <c r="O31" s="147"/>
      <c r="P31" s="147"/>
    </row>
    <row r="32" spans="1:19" ht="9.9499999999999993" customHeight="1">
      <c r="A32" s="141">
        <v>32</v>
      </c>
      <c r="B32" s="144" t="s">
        <v>98</v>
      </c>
      <c r="C32" s="216">
        <v>45646</v>
      </c>
      <c r="D32" s="216"/>
      <c r="E32" s="216"/>
      <c r="F32" s="216" t="s">
        <v>32</v>
      </c>
      <c r="G32" s="144" t="s">
        <v>99</v>
      </c>
      <c r="H32" s="144" t="s">
        <v>86</v>
      </c>
      <c r="I32" s="144" t="s">
        <v>24</v>
      </c>
      <c r="J32" s="141"/>
      <c r="K32" s="145">
        <f>VLOOKUP(B32,'NO OP'!$B$16:$Q$68,16,FALSE)</f>
        <v>268622</v>
      </c>
      <c r="L32" s="146"/>
      <c r="M32" s="218"/>
      <c r="N32" s="147"/>
      <c r="O32" s="147"/>
      <c r="P32" s="147"/>
    </row>
    <row r="33" spans="1:16" ht="9.9499999999999993" customHeight="1">
      <c r="A33" s="141">
        <v>33</v>
      </c>
      <c r="B33" s="144" t="s">
        <v>100</v>
      </c>
      <c r="C33" s="216">
        <v>46148</v>
      </c>
      <c r="D33" s="216"/>
      <c r="E33" s="216"/>
      <c r="F33" s="216" t="s">
        <v>32</v>
      </c>
      <c r="G33" s="144" t="s">
        <v>101</v>
      </c>
      <c r="H33" s="144" t="s">
        <v>102</v>
      </c>
      <c r="I33" s="144" t="s">
        <v>24</v>
      </c>
      <c r="J33" s="141"/>
      <c r="K33" s="145">
        <f>VLOOKUP(B33,'NO OP'!$B$16:$Q$68,16,FALSE)</f>
        <v>268622</v>
      </c>
      <c r="L33" s="146"/>
      <c r="M33" s="218"/>
      <c r="N33" s="147"/>
      <c r="O33" s="147"/>
      <c r="P33" s="147"/>
    </row>
    <row r="34" spans="1:16" ht="9.9499999999999993" customHeight="1">
      <c r="A34" s="141">
        <v>34</v>
      </c>
      <c r="B34" s="144" t="s">
        <v>103</v>
      </c>
      <c r="C34" s="216">
        <v>45826</v>
      </c>
      <c r="D34" s="216"/>
      <c r="E34" s="216"/>
      <c r="F34" s="216" t="s">
        <v>32</v>
      </c>
      <c r="G34" s="144" t="s">
        <v>104</v>
      </c>
      <c r="H34" s="144" t="s">
        <v>102</v>
      </c>
      <c r="I34" s="144" t="s">
        <v>24</v>
      </c>
      <c r="J34" s="141"/>
      <c r="K34" s="145">
        <f>VLOOKUP(B34,'NO OP'!$B$16:$Q$68,16,FALSE)</f>
        <v>268622</v>
      </c>
      <c r="L34" s="146"/>
      <c r="M34" s="218"/>
      <c r="N34" s="147"/>
      <c r="O34" s="147"/>
      <c r="P34" s="147"/>
    </row>
    <row r="35" spans="1:16" ht="9.9499999999999993" customHeight="1">
      <c r="A35" s="141">
        <v>35</v>
      </c>
      <c r="B35" s="144" t="s">
        <v>105</v>
      </c>
      <c r="C35" s="216">
        <v>45946</v>
      </c>
      <c r="D35" s="216"/>
      <c r="E35" s="216"/>
      <c r="F35" s="216" t="s">
        <v>32</v>
      </c>
      <c r="G35" s="144" t="s">
        <v>106</v>
      </c>
      <c r="H35" s="144" t="s">
        <v>107</v>
      </c>
      <c r="I35" s="144" t="s">
        <v>24</v>
      </c>
      <c r="J35" s="141"/>
      <c r="K35" s="145">
        <f>VLOOKUP(B35,'NO OP'!$B$16:$Q$68,16,FALSE)</f>
        <v>268622</v>
      </c>
      <c r="L35" s="146"/>
      <c r="M35" s="218"/>
      <c r="N35" s="147"/>
      <c r="O35" s="147"/>
      <c r="P35" s="147"/>
    </row>
    <row r="36" spans="1:16" ht="9.9499999999999993" customHeight="1">
      <c r="A36" s="141">
        <v>36</v>
      </c>
      <c r="B36" s="144" t="s">
        <v>108</v>
      </c>
      <c r="C36" s="216">
        <v>45666</v>
      </c>
      <c r="D36" s="216"/>
      <c r="E36" s="216"/>
      <c r="F36" s="216" t="s">
        <v>32</v>
      </c>
      <c r="G36" s="144" t="s">
        <v>109</v>
      </c>
      <c r="H36" s="144" t="s">
        <v>110</v>
      </c>
      <c r="I36" s="144" t="s">
        <v>111</v>
      </c>
      <c r="J36" s="141"/>
      <c r="K36" s="145">
        <f>VLOOKUP(B36,PERFOR.!$B$4:$AB$25,27,FALSE)</f>
        <v>223725</v>
      </c>
      <c r="L36" s="146">
        <f>VLOOKUP(B36,'BONO EXTRA'!$A$7:$AO$84,41,FALSE)</f>
        <v>11775</v>
      </c>
      <c r="M36" s="218"/>
      <c r="N36" s="147"/>
      <c r="O36" s="147"/>
      <c r="P36" s="147"/>
    </row>
    <row r="37" spans="1:16" ht="9.9499999999999993" customHeight="1">
      <c r="A37" s="141">
        <v>37</v>
      </c>
      <c r="B37" s="144" t="s">
        <v>112</v>
      </c>
      <c r="C37" s="216">
        <v>45896</v>
      </c>
      <c r="D37" s="216"/>
      <c r="E37" s="216"/>
      <c r="F37" s="216" t="s">
        <v>32</v>
      </c>
      <c r="G37" s="144" t="s">
        <v>113</v>
      </c>
      <c r="H37" s="144" t="s">
        <v>110</v>
      </c>
      <c r="I37" s="144" t="s">
        <v>111</v>
      </c>
      <c r="J37" s="141"/>
      <c r="K37" s="145">
        <f>VLOOKUP(B37,PERFOR.!$B$4:$AB$25,27,FALSE)</f>
        <v>100800.00000000003</v>
      </c>
      <c r="L37" s="146">
        <f>VLOOKUP(B37,'BONO EXTRA'!$A$7:$AO$84,41,FALSE)</f>
        <v>3000</v>
      </c>
      <c r="M37" s="218"/>
      <c r="N37" s="147"/>
      <c r="O37" s="147"/>
      <c r="P37" s="147"/>
    </row>
    <row r="38" spans="1:16" ht="9.9499999999999993" customHeight="1">
      <c r="A38" s="141">
        <v>38</v>
      </c>
      <c r="B38" s="144" t="s">
        <v>114</v>
      </c>
      <c r="C38" s="216">
        <v>45946</v>
      </c>
      <c r="D38" s="216"/>
      <c r="E38" s="216"/>
      <c r="F38" s="216" t="s">
        <v>32</v>
      </c>
      <c r="G38" s="144" t="s">
        <v>115</v>
      </c>
      <c r="H38" s="144" t="s">
        <v>110</v>
      </c>
      <c r="I38" s="144" t="s">
        <v>111</v>
      </c>
      <c r="J38" s="141"/>
      <c r="K38" s="145">
        <f>VLOOKUP(B38,PERFOR.!$B$4:$AB$25,27,FALSE)</f>
        <v>430912.49999999994</v>
      </c>
      <c r="L38" s="146">
        <f>VLOOKUP(B38,'BONO EXTRA'!$A$7:$AO$84,41,FALSE)</f>
        <v>10500</v>
      </c>
      <c r="M38" s="218"/>
      <c r="N38" s="147"/>
      <c r="O38" s="147"/>
      <c r="P38" s="147"/>
    </row>
    <row r="39" spans="1:16" ht="9.9499999999999993" customHeight="1">
      <c r="A39" s="141">
        <v>39</v>
      </c>
      <c r="B39" s="144" t="s">
        <v>116</v>
      </c>
      <c r="C39" s="216">
        <v>45646</v>
      </c>
      <c r="D39" s="216"/>
      <c r="E39" s="216"/>
      <c r="F39" s="216" t="s">
        <v>32</v>
      </c>
      <c r="G39" s="144" t="s">
        <v>117</v>
      </c>
      <c r="H39" s="144" t="s">
        <v>110</v>
      </c>
      <c r="I39" s="144" t="s">
        <v>111</v>
      </c>
      <c r="J39" s="141"/>
      <c r="K39" s="145">
        <f>VLOOKUP(B39,PERFOR.!$B$4:$AB$25,27,FALSE)</f>
        <v>348187.5</v>
      </c>
      <c r="L39" s="146">
        <f>VLOOKUP(B39,'BONO EXTRA'!$A$7:$AO$84,41,FALSE)</f>
        <v>18037.5</v>
      </c>
      <c r="M39" s="218"/>
      <c r="N39" s="147"/>
      <c r="O39" s="147"/>
      <c r="P39" s="147"/>
    </row>
    <row r="40" spans="1:16" ht="9.9499999999999993" customHeight="1">
      <c r="A40" s="141">
        <v>40</v>
      </c>
      <c r="B40" s="144" t="s">
        <v>118</v>
      </c>
      <c r="C40" s="216">
        <v>45628</v>
      </c>
      <c r="D40" s="216"/>
      <c r="E40" s="216"/>
      <c r="F40" s="216" t="s">
        <v>32</v>
      </c>
      <c r="G40" s="144" t="s">
        <v>119</v>
      </c>
      <c r="H40" s="144" t="s">
        <v>110</v>
      </c>
      <c r="I40" s="144" t="s">
        <v>111</v>
      </c>
      <c r="J40" s="141"/>
      <c r="K40" s="145">
        <f>VLOOKUP(B40,PERFOR.!$B$4:$AB$25,27,FALSE)</f>
        <v>348187.5</v>
      </c>
      <c r="L40" s="146">
        <f>VLOOKUP(B40,'BONO EXTRA'!$A$7:$AO$84,41,FALSE)</f>
        <v>18000</v>
      </c>
      <c r="M40" s="218"/>
      <c r="N40" s="147"/>
      <c r="O40" s="147"/>
      <c r="P40" s="147"/>
    </row>
    <row r="41" spans="1:16" ht="9.9499999999999993" customHeight="1">
      <c r="A41" s="141">
        <v>41</v>
      </c>
      <c r="B41" s="144" t="s">
        <v>120</v>
      </c>
      <c r="C41" s="216">
        <v>46102</v>
      </c>
      <c r="D41" s="216"/>
      <c r="E41" s="216"/>
      <c r="F41" s="216" t="s">
        <v>32</v>
      </c>
      <c r="G41" s="144" t="s">
        <v>121</v>
      </c>
      <c r="H41" s="144" t="s">
        <v>110</v>
      </c>
      <c r="I41" s="144" t="s">
        <v>111</v>
      </c>
      <c r="J41" s="141"/>
      <c r="K41" s="145">
        <f>VLOOKUP(B41,PERFOR.!$B$4:$AB$25,27,FALSE)</f>
        <v>256800</v>
      </c>
      <c r="L41" s="146">
        <f>VLOOKUP(B41,'BONO EXTRA'!$A$7:$AO$84,41,FALSE)</f>
        <v>11400</v>
      </c>
      <c r="M41" s="218"/>
      <c r="N41" s="147"/>
      <c r="O41" s="147"/>
      <c r="P41" s="147"/>
    </row>
    <row r="42" spans="1:16" ht="9.9499999999999993" customHeight="1">
      <c r="A42" s="141">
        <v>42</v>
      </c>
      <c r="B42" s="144" t="s">
        <v>122</v>
      </c>
      <c r="C42" s="216">
        <v>45628</v>
      </c>
      <c r="D42" s="216"/>
      <c r="E42" s="216"/>
      <c r="F42" s="216" t="s">
        <v>32</v>
      </c>
      <c r="G42" s="144" t="s">
        <v>123</v>
      </c>
      <c r="H42" s="144" t="s">
        <v>110</v>
      </c>
      <c r="I42" s="144" t="s">
        <v>111</v>
      </c>
      <c r="J42" s="141"/>
      <c r="K42" s="145">
        <f>VLOOKUP(B42,PERFOR.!$B$4:$AB$25,27,FALSE)</f>
        <v>223725</v>
      </c>
      <c r="L42" s="146">
        <f>VLOOKUP(B42,'BONO EXTRA'!$A$7:$AO$84,41,FALSE)</f>
        <v>4068.7500000000005</v>
      </c>
      <c r="M42" s="218"/>
      <c r="N42" s="147"/>
      <c r="O42" s="147"/>
      <c r="P42" s="147"/>
    </row>
    <row r="43" spans="1:16" ht="9.9499999999999993" customHeight="1">
      <c r="A43" s="141">
        <v>43</v>
      </c>
      <c r="B43" s="144" t="s">
        <v>124</v>
      </c>
      <c r="C43" s="216">
        <v>46169</v>
      </c>
      <c r="D43" s="216"/>
      <c r="E43" s="216"/>
      <c r="F43" s="216" t="s">
        <v>32</v>
      </c>
      <c r="G43" s="144" t="s">
        <v>125</v>
      </c>
      <c r="H43" s="144" t="s">
        <v>110</v>
      </c>
      <c r="I43" s="144" t="s">
        <v>111</v>
      </c>
      <c r="J43" s="141"/>
      <c r="K43" s="145">
        <f>VLOOKUP(B43,PERFOR.!$B$4:$AB$25,27,FALSE)</f>
        <v>256800</v>
      </c>
      <c r="L43" s="146">
        <f>VLOOKUP(B43,'BONO EXTRA'!$A$7:$AO$84,41,FALSE)</f>
        <v>19500</v>
      </c>
      <c r="M43" s="218"/>
      <c r="N43" s="147"/>
      <c r="O43" s="147"/>
      <c r="P43" s="147"/>
    </row>
    <row r="44" spans="1:16" ht="9.9499999999999993" customHeight="1">
      <c r="A44" s="141">
        <v>44</v>
      </c>
      <c r="B44" s="144" t="s">
        <v>126</v>
      </c>
      <c r="C44" s="216">
        <v>45826</v>
      </c>
      <c r="D44" s="216"/>
      <c r="E44" s="216"/>
      <c r="F44" s="216" t="s">
        <v>32</v>
      </c>
      <c r="G44" s="144" t="s">
        <v>127</v>
      </c>
      <c r="H44" s="144" t="s">
        <v>128</v>
      </c>
      <c r="I44" s="144" t="s">
        <v>19</v>
      </c>
      <c r="J44" s="141"/>
      <c r="K44" s="145">
        <f>VLOOKUP(B44,'SUP- PREV'!$B$16:$Q$39,16,FALSE)</f>
        <v>397233</v>
      </c>
      <c r="L44" s="146"/>
      <c r="M44" s="218"/>
      <c r="N44" s="147"/>
      <c r="O44" s="147"/>
      <c r="P44" s="147"/>
    </row>
    <row r="45" spans="1:16" ht="9.9499999999999993" customHeight="1">
      <c r="A45" s="141">
        <v>45</v>
      </c>
      <c r="B45" s="144" t="s">
        <v>129</v>
      </c>
      <c r="C45" s="216">
        <v>45628</v>
      </c>
      <c r="D45" s="216"/>
      <c r="E45" s="216"/>
      <c r="F45" s="216" t="s">
        <v>32</v>
      </c>
      <c r="G45" s="144" t="s">
        <v>130</v>
      </c>
      <c r="H45" s="144" t="s">
        <v>128</v>
      </c>
      <c r="I45" s="144" t="s">
        <v>19</v>
      </c>
      <c r="J45" s="141" t="s">
        <v>131</v>
      </c>
      <c r="K45" s="145">
        <f>VLOOKUP(B45,'SUP- PREV'!$B$16:$Q$39,16,FALSE)</f>
        <v>0</v>
      </c>
      <c r="L45" s="146"/>
      <c r="M45" s="218"/>
      <c r="N45" s="147"/>
      <c r="O45" s="147"/>
      <c r="P45" s="152"/>
    </row>
    <row r="46" spans="1:16" ht="9.9499999999999993" customHeight="1">
      <c r="A46" s="141">
        <v>46</v>
      </c>
      <c r="B46" s="144" t="s">
        <v>132</v>
      </c>
      <c r="C46" s="216">
        <v>46186</v>
      </c>
      <c r="D46" s="216"/>
      <c r="E46" s="216"/>
      <c r="F46" s="216" t="s">
        <v>32</v>
      </c>
      <c r="G46" s="144" t="s">
        <v>133</v>
      </c>
      <c r="H46" s="144" t="s">
        <v>128</v>
      </c>
      <c r="I46" s="144" t="s">
        <v>19</v>
      </c>
      <c r="J46" s="141" t="s">
        <v>134</v>
      </c>
      <c r="K46" s="145">
        <f>VLOOKUP(B46,'SUP- PREV'!$B$16:$Q$39,16,FALSE)</f>
        <v>229977</v>
      </c>
      <c r="L46" s="146"/>
      <c r="M46" s="218"/>
      <c r="N46" s="147"/>
      <c r="O46" s="147"/>
      <c r="P46" s="152"/>
    </row>
    <row r="47" spans="1:16" ht="9.9499999999999993" customHeight="1">
      <c r="A47" s="141">
        <v>47</v>
      </c>
      <c r="B47" s="144" t="s">
        <v>135</v>
      </c>
      <c r="C47" s="216">
        <v>45946</v>
      </c>
      <c r="D47" s="216"/>
      <c r="E47" s="216"/>
      <c r="F47" s="216" t="s">
        <v>32</v>
      </c>
      <c r="G47" s="144" t="s">
        <v>136</v>
      </c>
      <c r="H47" s="144" t="s">
        <v>137</v>
      </c>
      <c r="I47" s="144" t="s">
        <v>24</v>
      </c>
      <c r="J47" s="141"/>
      <c r="K47" s="145">
        <f>VLOOKUP(B47,'NO OP'!$B$16:$Q$68,16,FALSE)</f>
        <v>268622</v>
      </c>
      <c r="L47" s="146"/>
      <c r="M47" s="218"/>
      <c r="N47" s="147"/>
      <c r="O47" s="147"/>
      <c r="P47" s="152"/>
    </row>
    <row r="48" spans="1:16" ht="9.9499999999999993" customHeight="1">
      <c r="A48" s="141">
        <v>48</v>
      </c>
      <c r="B48" s="144" t="s">
        <v>138</v>
      </c>
      <c r="C48" s="216">
        <v>45946</v>
      </c>
      <c r="D48" s="216"/>
      <c r="E48" s="216"/>
      <c r="F48" s="216" t="s">
        <v>32</v>
      </c>
      <c r="G48" s="144" t="s">
        <v>139</v>
      </c>
      <c r="H48" s="144" t="s">
        <v>137</v>
      </c>
      <c r="I48" s="144" t="s">
        <v>24</v>
      </c>
      <c r="J48" s="141"/>
      <c r="K48" s="145">
        <f>VLOOKUP(B48,'NO OP'!$B$16:$Q$68,16,FALSE)</f>
        <v>268622</v>
      </c>
      <c r="L48" s="146"/>
      <c r="M48" s="218"/>
      <c r="N48" s="147"/>
      <c r="O48" s="147"/>
      <c r="P48" s="152"/>
    </row>
    <row r="49" spans="1:16" ht="9.9499999999999993" customHeight="1">
      <c r="A49" s="141">
        <v>49</v>
      </c>
      <c r="B49" s="144" t="s">
        <v>140</v>
      </c>
      <c r="C49" s="216">
        <v>45946</v>
      </c>
      <c r="D49" s="216"/>
      <c r="E49" s="216"/>
      <c r="F49" s="216" t="s">
        <v>32</v>
      </c>
      <c r="G49" s="144" t="s">
        <v>141</v>
      </c>
      <c r="H49" s="144" t="s">
        <v>142</v>
      </c>
      <c r="I49" s="144" t="s">
        <v>19</v>
      </c>
      <c r="J49" s="141" t="s">
        <v>143</v>
      </c>
      <c r="K49" s="145">
        <f>VLOOKUP(B49,'SUP- PREV'!$B$16:$Q$39,16,FALSE)</f>
        <v>209070</v>
      </c>
      <c r="L49" s="146"/>
      <c r="M49" s="218"/>
      <c r="N49" s="147"/>
      <c r="O49" s="147"/>
      <c r="P49" s="152"/>
    </row>
    <row r="50" spans="1:16" ht="9.9499999999999993" customHeight="1">
      <c r="A50" s="141">
        <v>50</v>
      </c>
      <c r="B50" s="144" t="s">
        <v>144</v>
      </c>
      <c r="C50" s="216">
        <v>45936</v>
      </c>
      <c r="D50" s="216"/>
      <c r="E50" s="216"/>
      <c r="F50" s="216" t="s">
        <v>32</v>
      </c>
      <c r="G50" s="144" t="s">
        <v>145</v>
      </c>
      <c r="H50" s="144" t="s">
        <v>142</v>
      </c>
      <c r="I50" s="144" t="s">
        <v>19</v>
      </c>
      <c r="J50" s="141"/>
      <c r="K50" s="145">
        <f>VLOOKUP(B50,'SUP- PREV'!$B$16:$Q$39,16,FALSE)</f>
        <v>397233</v>
      </c>
      <c r="L50" s="146"/>
      <c r="M50" s="218"/>
      <c r="N50" s="147"/>
      <c r="O50" s="147"/>
      <c r="P50" s="147"/>
    </row>
    <row r="51" spans="1:16" ht="9.9499999999999993" customHeight="1">
      <c r="A51" s="141">
        <v>51</v>
      </c>
      <c r="B51" s="144" t="s">
        <v>146</v>
      </c>
      <c r="C51" s="216">
        <v>45846</v>
      </c>
      <c r="D51" s="216"/>
      <c r="E51" s="216"/>
      <c r="F51" s="216" t="s">
        <v>32</v>
      </c>
      <c r="G51" s="144" t="s">
        <v>147</v>
      </c>
      <c r="H51" s="144" t="s">
        <v>142</v>
      </c>
      <c r="I51" s="144" t="s">
        <v>19</v>
      </c>
      <c r="J51" s="141"/>
      <c r="K51" s="145">
        <f>VLOOKUP(B51,'SUP- PREV'!$B$16:$Q$39,16,FALSE)</f>
        <v>397233</v>
      </c>
      <c r="L51" s="146"/>
      <c r="M51" s="218"/>
      <c r="N51" s="147"/>
      <c r="O51" s="147"/>
      <c r="P51" s="147"/>
    </row>
    <row r="52" spans="1:16" ht="9.9499999999999993" customHeight="1">
      <c r="A52" s="141">
        <v>52</v>
      </c>
      <c r="B52" s="144" t="s">
        <v>148</v>
      </c>
      <c r="C52" s="216">
        <v>45627</v>
      </c>
      <c r="D52" s="216"/>
      <c r="E52" s="216"/>
      <c r="F52" s="216" t="s">
        <v>149</v>
      </c>
      <c r="G52" s="144" t="s">
        <v>150</v>
      </c>
      <c r="H52" s="144" t="s">
        <v>151</v>
      </c>
      <c r="I52" s="144" t="s">
        <v>19</v>
      </c>
      <c r="J52" s="141"/>
      <c r="K52" s="145">
        <f>VLOOKUP(B52,'SUP- PREV'!$B$16:$Q$39,16,FALSE)</f>
        <v>292698</v>
      </c>
      <c r="L52" s="146"/>
      <c r="M52" s="218"/>
      <c r="N52" s="147"/>
      <c r="O52" s="147"/>
      <c r="P52" s="147"/>
    </row>
    <row r="53" spans="1:16" ht="9.9499999999999993" customHeight="1">
      <c r="A53" s="141">
        <v>53</v>
      </c>
      <c r="B53" s="144" t="s">
        <v>152</v>
      </c>
      <c r="C53" s="216">
        <v>45638</v>
      </c>
      <c r="D53" s="216"/>
      <c r="E53" s="216"/>
      <c r="F53" s="216" t="s">
        <v>149</v>
      </c>
      <c r="G53" s="144" t="s">
        <v>153</v>
      </c>
      <c r="H53" s="144" t="s">
        <v>151</v>
      </c>
      <c r="I53" s="144" t="s">
        <v>19</v>
      </c>
      <c r="J53" s="141"/>
      <c r="K53" s="145">
        <f>VLOOKUP(B53,'SUP- PREV'!$B$16:$Q$39,16,FALSE)</f>
        <v>355419</v>
      </c>
      <c r="L53" s="146"/>
      <c r="M53" s="218"/>
      <c r="N53" s="147"/>
      <c r="O53" s="147"/>
      <c r="P53" s="147"/>
    </row>
    <row r="54" spans="1:16" ht="9.9499999999999993" customHeight="1">
      <c r="A54" s="141">
        <v>54</v>
      </c>
      <c r="B54" s="144" t="s">
        <v>154</v>
      </c>
      <c r="C54" s="216">
        <v>45746</v>
      </c>
      <c r="D54" s="216"/>
      <c r="E54" s="216"/>
      <c r="F54" s="216" t="s">
        <v>149</v>
      </c>
      <c r="G54" s="144" t="s">
        <v>155</v>
      </c>
      <c r="H54" s="144" t="s">
        <v>156</v>
      </c>
      <c r="I54" s="144" t="s">
        <v>19</v>
      </c>
      <c r="J54" s="141"/>
      <c r="K54" s="145">
        <f>VLOOKUP(B54,'SUP- PREV'!$B$16:$Q$39,16,FALSE)</f>
        <v>292698</v>
      </c>
      <c r="L54" s="146"/>
      <c r="M54" s="218"/>
      <c r="N54" s="147"/>
      <c r="O54" s="147"/>
      <c r="P54" s="152"/>
    </row>
    <row r="55" spans="1:16" ht="9.9499999999999993" customHeight="1">
      <c r="A55" s="141">
        <v>55</v>
      </c>
      <c r="B55" s="217" t="s">
        <v>157</v>
      </c>
      <c r="C55" s="216">
        <v>45646</v>
      </c>
      <c r="D55" s="216"/>
      <c r="E55" s="216"/>
      <c r="F55" s="216" t="s">
        <v>149</v>
      </c>
      <c r="G55" s="144" t="s">
        <v>158</v>
      </c>
      <c r="H55" s="144" t="s">
        <v>156</v>
      </c>
      <c r="I55" s="144" t="s">
        <v>19</v>
      </c>
      <c r="J55" s="141"/>
      <c r="K55" s="145">
        <f>VLOOKUP(B55,'SUP- PREV'!$B$16:$Q$39,16,FALSE)</f>
        <v>355419</v>
      </c>
      <c r="L55" s="146"/>
      <c r="M55" s="218"/>
      <c r="N55" s="147"/>
      <c r="O55" s="147"/>
      <c r="P55" s="152"/>
    </row>
    <row r="56" spans="1:16" ht="9.9499999999999993" customHeight="1">
      <c r="A56" s="141">
        <v>56</v>
      </c>
      <c r="B56" s="144" t="s">
        <v>159</v>
      </c>
      <c r="C56" s="216">
        <v>45627</v>
      </c>
      <c r="D56" s="216"/>
      <c r="E56" s="216"/>
      <c r="F56" s="216" t="s">
        <v>160</v>
      </c>
      <c r="G56" s="144" t="s">
        <v>161</v>
      </c>
      <c r="H56" s="144" t="s">
        <v>23</v>
      </c>
      <c r="I56" s="144" t="s">
        <v>24</v>
      </c>
      <c r="J56" s="141"/>
      <c r="K56" s="145">
        <f>VLOOKUP(B56,'NO OP'!$B$16:$Q$68,16,FALSE)</f>
        <v>169656</v>
      </c>
      <c r="L56" s="146"/>
      <c r="M56" s="218"/>
      <c r="N56" s="147"/>
      <c r="P56" s="152"/>
    </row>
    <row r="57" spans="1:16" ht="9.9499999999999993" customHeight="1">
      <c r="A57" s="141">
        <v>57</v>
      </c>
      <c r="B57" s="144" t="s">
        <v>162</v>
      </c>
      <c r="C57" s="216">
        <v>46114</v>
      </c>
      <c r="D57" s="216"/>
      <c r="E57" s="216"/>
      <c r="F57" s="216" t="s">
        <v>160</v>
      </c>
      <c r="G57" s="144" t="s">
        <v>163</v>
      </c>
      <c r="H57" s="144" t="s">
        <v>23</v>
      </c>
      <c r="I57" s="144" t="s">
        <v>24</v>
      </c>
      <c r="J57" s="141" t="s">
        <v>164</v>
      </c>
      <c r="K57" s="145">
        <f>VLOOKUP(B57,'NO OP'!$B$16:$Q$68,16,FALSE)</f>
        <v>28276</v>
      </c>
      <c r="L57" s="146"/>
      <c r="M57" s="218"/>
      <c r="N57" s="147"/>
      <c r="O57" s="147"/>
      <c r="P57" s="152"/>
    </row>
    <row r="58" spans="1:16" ht="9.9499999999999993" customHeight="1">
      <c r="A58" s="141">
        <v>58</v>
      </c>
      <c r="B58" s="144" t="s">
        <v>165</v>
      </c>
      <c r="C58" s="216">
        <v>46156</v>
      </c>
      <c r="D58" s="216"/>
      <c r="E58" s="216"/>
      <c r="F58" s="216" t="s">
        <v>160</v>
      </c>
      <c r="G58" s="144" t="s">
        <v>166</v>
      </c>
      <c r="H58" s="144" t="s">
        <v>38</v>
      </c>
      <c r="I58" s="144" t="s">
        <v>39</v>
      </c>
      <c r="J58" s="141" t="s">
        <v>167</v>
      </c>
      <c r="K58" s="145">
        <f>VLOOKUP(B58,AYUD.!$B$4:$AB$54,27,FALSE)</f>
        <v>7200</v>
      </c>
      <c r="L58" s="146">
        <f>VLOOKUP(B58,'BONO EXTRA'!$A$7:$AO$90,41,FALSE)</f>
        <v>0</v>
      </c>
      <c r="M58" s="218"/>
      <c r="N58" s="147"/>
      <c r="O58" s="147"/>
      <c r="P58" s="152"/>
    </row>
    <row r="59" spans="1:16" ht="9.9499999999999993" customHeight="1">
      <c r="A59" s="141">
        <v>59</v>
      </c>
      <c r="B59" s="144" t="s">
        <v>168</v>
      </c>
      <c r="C59" s="216">
        <v>45756</v>
      </c>
      <c r="D59" s="216"/>
      <c r="E59" s="216"/>
      <c r="F59" s="216" t="s">
        <v>160</v>
      </c>
      <c r="G59" s="144" t="s">
        <v>169</v>
      </c>
      <c r="H59" s="144" t="s">
        <v>38</v>
      </c>
      <c r="I59" s="144" t="s">
        <v>39</v>
      </c>
      <c r="J59" s="141"/>
      <c r="K59" s="145">
        <f>VLOOKUP(B59,AYUD.!$B$4:$AB$54,27,FALSE)</f>
        <v>122950</v>
      </c>
      <c r="L59" s="146">
        <f>VLOOKUP(B59,'BONO EXTRA'!$A$7:$AO$90,41,FALSE)</f>
        <v>1475</v>
      </c>
      <c r="M59" s="218"/>
      <c r="N59" s="147"/>
      <c r="O59" s="147"/>
      <c r="P59" s="152"/>
    </row>
    <row r="60" spans="1:16" ht="9.9499999999999993" customHeight="1">
      <c r="A60" s="141">
        <v>60</v>
      </c>
      <c r="B60" s="144" t="s">
        <v>170</v>
      </c>
      <c r="C60" s="216">
        <v>45636</v>
      </c>
      <c r="D60" s="216"/>
      <c r="E60" s="216"/>
      <c r="F60" s="216" t="s">
        <v>160</v>
      </c>
      <c r="G60" s="144" t="s">
        <v>171</v>
      </c>
      <c r="H60" s="144" t="s">
        <v>38</v>
      </c>
      <c r="I60" s="144" t="s">
        <v>39</v>
      </c>
      <c r="J60" s="141" t="s">
        <v>164</v>
      </c>
      <c r="K60" s="145">
        <f>VLOOKUP(B60,AYUD.!$B$4:$AB$54,27,FALSE)</f>
        <v>27649.999999999993</v>
      </c>
      <c r="L60" s="146">
        <f>VLOOKUP(B60,'BONO EXTRA'!$A$7:$AO$90,41,FALSE)</f>
        <v>0</v>
      </c>
      <c r="M60" s="218"/>
      <c r="N60" s="147"/>
      <c r="O60" s="147"/>
      <c r="P60" s="152"/>
    </row>
    <row r="61" spans="1:16" ht="9.9499999999999993" customHeight="1">
      <c r="A61" s="141">
        <v>61</v>
      </c>
      <c r="B61" s="144" t="s">
        <v>172</v>
      </c>
      <c r="C61" s="216">
        <v>45974</v>
      </c>
      <c r="D61" s="216"/>
      <c r="E61" s="216"/>
      <c r="F61" s="216" t="s">
        <v>160</v>
      </c>
      <c r="G61" s="144" t="s">
        <v>173</v>
      </c>
      <c r="H61" s="144" t="s">
        <v>38</v>
      </c>
      <c r="I61" s="144" t="s">
        <v>39</v>
      </c>
      <c r="J61" s="141"/>
      <c r="K61" s="145">
        <f>VLOOKUP(B61,AYUD.!$B$4:$AB$54,27,FALSE)</f>
        <v>64499.999999999985</v>
      </c>
      <c r="L61" s="146">
        <f>VLOOKUP(B61,'BONO EXTRA'!$A$7:$AO$90,41,FALSE)</f>
        <v>1387.5</v>
      </c>
      <c r="M61" s="218"/>
      <c r="N61" s="147"/>
      <c r="O61" s="147"/>
      <c r="P61" s="147"/>
    </row>
    <row r="62" spans="1:16" ht="9.9499999999999993" customHeight="1">
      <c r="A62" s="141">
        <v>62</v>
      </c>
      <c r="B62" s="217" t="s">
        <v>174</v>
      </c>
      <c r="C62" s="216">
        <v>45836</v>
      </c>
      <c r="D62" s="216"/>
      <c r="E62" s="216"/>
      <c r="F62" s="216" t="s">
        <v>160</v>
      </c>
      <c r="G62" s="144" t="s">
        <v>175</v>
      </c>
      <c r="H62" s="144" t="s">
        <v>38</v>
      </c>
      <c r="I62" s="144" t="s">
        <v>39</v>
      </c>
      <c r="J62" s="141"/>
      <c r="K62" s="145">
        <f>VLOOKUP(B62,AYUD.!$B$4:$AB$54,27,FALSE)</f>
        <v>195350</v>
      </c>
      <c r="L62" s="146">
        <f>VLOOKUP(B62,'BONO EXTRA'!$A$7:$AO$90,41,FALSE)</f>
        <v>1075</v>
      </c>
      <c r="M62" s="218"/>
      <c r="N62" s="147"/>
      <c r="O62" s="147"/>
      <c r="P62" s="152"/>
    </row>
    <row r="63" spans="1:16" ht="9.9499999999999993" customHeight="1">
      <c r="A63" s="141">
        <v>63</v>
      </c>
      <c r="B63" s="144" t="s">
        <v>176</v>
      </c>
      <c r="C63" s="216">
        <v>45656</v>
      </c>
      <c r="D63" s="216"/>
      <c r="E63" s="216"/>
      <c r="F63" s="216" t="s">
        <v>160</v>
      </c>
      <c r="G63" s="144" t="s">
        <v>177</v>
      </c>
      <c r="H63" s="144" t="s">
        <v>38</v>
      </c>
      <c r="I63" s="144" t="s">
        <v>39</v>
      </c>
      <c r="J63" s="141"/>
      <c r="K63" s="145">
        <f>VLOOKUP(B63,AYUD.!$B$4:$AB$54,27,FALSE)</f>
        <v>122950</v>
      </c>
      <c r="L63" s="146">
        <f>VLOOKUP(B63,'BONO EXTRA'!$A$7:$AO$90,41,FALSE)</f>
        <v>325</v>
      </c>
      <c r="M63" s="218"/>
      <c r="N63" s="147"/>
      <c r="O63" s="147"/>
      <c r="P63" s="147"/>
    </row>
    <row r="64" spans="1:16" ht="9.9499999999999993" customHeight="1">
      <c r="A64" s="141">
        <v>64</v>
      </c>
      <c r="B64" s="144" t="s">
        <v>178</v>
      </c>
      <c r="C64" s="216">
        <v>46196</v>
      </c>
      <c r="D64" s="216"/>
      <c r="E64" s="216"/>
      <c r="F64" s="216" t="s">
        <v>160</v>
      </c>
      <c r="G64" s="144" t="s">
        <v>179</v>
      </c>
      <c r="H64" s="144" t="s">
        <v>38</v>
      </c>
      <c r="I64" s="144" t="s">
        <v>39</v>
      </c>
      <c r="J64" s="141"/>
      <c r="K64" s="145">
        <f>VLOOKUP(B64,AYUD.!$B$4:$AB$54,27,FALSE)</f>
        <v>67200</v>
      </c>
      <c r="L64" s="146">
        <f>VLOOKUP(B64,'BONO EXTRA'!$A$7:$AO$90,41,FALSE)</f>
        <v>0</v>
      </c>
      <c r="M64" s="218"/>
      <c r="N64" s="147"/>
      <c r="O64" s="147"/>
      <c r="P64" s="147"/>
    </row>
    <row r="65" spans="1:16" ht="9.9499999999999993" customHeight="1">
      <c r="A65" s="141">
        <v>65</v>
      </c>
      <c r="B65" s="144" t="s">
        <v>180</v>
      </c>
      <c r="C65" s="216">
        <v>46178</v>
      </c>
      <c r="D65" s="216"/>
      <c r="E65" s="216"/>
      <c r="F65" s="216" t="s">
        <v>160</v>
      </c>
      <c r="G65" s="144" t="s">
        <v>181</v>
      </c>
      <c r="H65" s="144" t="s">
        <v>38</v>
      </c>
      <c r="I65" s="144" t="s">
        <v>39</v>
      </c>
      <c r="J65" s="141"/>
      <c r="K65" s="145">
        <f>VLOOKUP(B65,AYUD.!$B$4:$AB$54,27,FALSE)</f>
        <v>67200</v>
      </c>
      <c r="L65" s="146">
        <f>VLOOKUP(B65,'BONO EXTRA'!$A$7:$AO$90,41,FALSE)</f>
        <v>600</v>
      </c>
      <c r="M65" s="218"/>
      <c r="N65" s="147"/>
      <c r="O65" s="147"/>
      <c r="P65" s="147"/>
    </row>
    <row r="66" spans="1:16" ht="9.9499999999999993" customHeight="1">
      <c r="A66" s="141">
        <v>66</v>
      </c>
      <c r="B66" s="144" t="s">
        <v>182</v>
      </c>
      <c r="C66" s="216">
        <v>46156</v>
      </c>
      <c r="D66" s="216"/>
      <c r="E66" s="216"/>
      <c r="F66" s="216" t="s">
        <v>160</v>
      </c>
      <c r="G66" s="144" t="s">
        <v>183</v>
      </c>
      <c r="H66" s="144" t="s">
        <v>38</v>
      </c>
      <c r="I66" s="144" t="s">
        <v>39</v>
      </c>
      <c r="J66" s="141" t="s">
        <v>184</v>
      </c>
      <c r="K66" s="145">
        <f>VLOOKUP(B66,AYUD.!$B$4:$AB$54,27,FALSE)</f>
        <v>7200</v>
      </c>
      <c r="L66" s="146">
        <f>VLOOKUP(B66,'BONO EXTRA'!$A$7:$AO$90,41,FALSE)</f>
        <v>0</v>
      </c>
      <c r="M66" s="218"/>
      <c r="N66" s="147"/>
      <c r="O66" s="147"/>
      <c r="P66" s="147"/>
    </row>
    <row r="67" spans="1:16" ht="9.9499999999999993" customHeight="1">
      <c r="A67" s="141">
        <v>67</v>
      </c>
      <c r="B67" s="144" t="s">
        <v>185</v>
      </c>
      <c r="C67" s="216">
        <v>45936</v>
      </c>
      <c r="D67" s="216"/>
      <c r="E67" s="216"/>
      <c r="F67" s="216" t="s">
        <v>160</v>
      </c>
      <c r="G67" s="144" t="s">
        <v>186</v>
      </c>
      <c r="H67" s="144" t="s">
        <v>38</v>
      </c>
      <c r="I67" s="144" t="s">
        <v>39</v>
      </c>
      <c r="J67" s="141"/>
      <c r="K67" s="145">
        <f>VLOOKUP(B67,AYUD.!$B$4:$AB$54,27,FALSE)</f>
        <v>84100</v>
      </c>
      <c r="L67" s="146">
        <f>VLOOKUP(B67,'BONO EXTRA'!$A$7:$AO$90,41,FALSE)</f>
        <v>150</v>
      </c>
      <c r="M67" s="218"/>
      <c r="N67" s="147"/>
      <c r="O67" s="147"/>
      <c r="P67" s="147"/>
    </row>
    <row r="68" spans="1:16" ht="9.9499999999999993" customHeight="1">
      <c r="A68" s="141">
        <v>68</v>
      </c>
      <c r="B68" s="144" t="s">
        <v>187</v>
      </c>
      <c r="C68" s="216">
        <v>45929</v>
      </c>
      <c r="D68" s="216"/>
      <c r="E68" s="216"/>
      <c r="F68" s="216" t="s">
        <v>160</v>
      </c>
      <c r="G68" s="144" t="s">
        <v>188</v>
      </c>
      <c r="H68" s="144" t="s">
        <v>38</v>
      </c>
      <c r="I68" s="144" t="s">
        <v>39</v>
      </c>
      <c r="J68" s="141"/>
      <c r="K68" s="145">
        <f>VLOOKUP(B68,AYUD.!$B$4:$AB$54,27,FALSE)</f>
        <v>84100</v>
      </c>
      <c r="L68" s="146">
        <f>VLOOKUP(B68,'BONO EXTRA'!$A$7:$AO$90,41,FALSE)</f>
        <v>225</v>
      </c>
      <c r="M68" s="218"/>
      <c r="N68" s="147"/>
      <c r="O68" s="147"/>
      <c r="P68" s="147"/>
    </row>
    <row r="69" spans="1:16" ht="9.9499999999999993" customHeight="1">
      <c r="A69" s="141">
        <v>69</v>
      </c>
      <c r="B69" s="144" t="s">
        <v>189</v>
      </c>
      <c r="C69" s="216">
        <v>46063</v>
      </c>
      <c r="D69" s="216"/>
      <c r="E69" s="216"/>
      <c r="F69" s="216" t="s">
        <v>160</v>
      </c>
      <c r="G69" s="144" t="s">
        <v>190</v>
      </c>
      <c r="H69" s="144" t="s">
        <v>38</v>
      </c>
      <c r="I69" s="144" t="s">
        <v>39</v>
      </c>
      <c r="J69" s="141"/>
      <c r="K69" s="145">
        <f>VLOOKUP(B69,AYUD.!$B$4:$AB$54,27,FALSE)</f>
        <v>142550</v>
      </c>
      <c r="L69" s="146">
        <f>VLOOKUP(B69,'BONO EXTRA'!$A$7:$AO$90,41,FALSE)</f>
        <v>2900.0000000000005</v>
      </c>
      <c r="M69" s="218"/>
      <c r="N69" s="147"/>
      <c r="O69" s="147"/>
      <c r="P69" s="152"/>
    </row>
    <row r="70" spans="1:16" ht="9.9499999999999993" customHeight="1">
      <c r="A70" s="141">
        <v>70</v>
      </c>
      <c r="B70" s="144" t="s">
        <v>191</v>
      </c>
      <c r="C70" s="216">
        <v>45936</v>
      </c>
      <c r="D70" s="216"/>
      <c r="E70" s="216"/>
      <c r="F70" s="216" t="s">
        <v>160</v>
      </c>
      <c r="G70" s="144" t="s">
        <v>192</v>
      </c>
      <c r="H70" s="144" t="s">
        <v>38</v>
      </c>
      <c r="I70" s="144" t="s">
        <v>39</v>
      </c>
      <c r="J70" s="141" t="s">
        <v>193</v>
      </c>
      <c r="K70" s="145">
        <f>VLOOKUP(B70,AYUD.!$B$4:$AB$54,27,FALSE)</f>
        <v>7200</v>
      </c>
      <c r="L70" s="146">
        <f>VLOOKUP(B70,'BONO EXTRA'!$A$7:$AO$90,41,FALSE)</f>
        <v>0</v>
      </c>
      <c r="M70" s="218"/>
      <c r="N70" s="147"/>
      <c r="O70" s="147"/>
      <c r="P70" s="152"/>
    </row>
    <row r="71" spans="1:16" ht="9.9499999999999993" customHeight="1">
      <c r="A71" s="141">
        <v>71</v>
      </c>
      <c r="B71" s="144" t="s">
        <v>194</v>
      </c>
      <c r="C71" s="216">
        <v>45636</v>
      </c>
      <c r="D71" s="216"/>
      <c r="E71" s="216"/>
      <c r="F71" s="216" t="s">
        <v>160</v>
      </c>
      <c r="G71" s="144" t="s">
        <v>195</v>
      </c>
      <c r="H71" s="144" t="s">
        <v>38</v>
      </c>
      <c r="I71" s="144" t="s">
        <v>39</v>
      </c>
      <c r="J71" s="141" t="s">
        <v>196</v>
      </c>
      <c r="K71" s="145">
        <f>VLOOKUP(B71,AYUD.!$B$4:$AB$54,27,FALSE)</f>
        <v>47250</v>
      </c>
      <c r="L71" s="146">
        <f>VLOOKUP(B71,'BONO EXTRA'!$A$7:$AO$90,41,FALSE)</f>
        <v>3525</v>
      </c>
      <c r="M71" s="218"/>
      <c r="N71" s="147"/>
      <c r="O71" s="147"/>
      <c r="P71" s="147"/>
    </row>
    <row r="72" spans="1:16" ht="9.9499999999999993" customHeight="1">
      <c r="A72" s="141">
        <v>72</v>
      </c>
      <c r="B72" s="144" t="s">
        <v>197</v>
      </c>
      <c r="C72" s="216">
        <v>45756</v>
      </c>
      <c r="D72" s="216"/>
      <c r="E72" s="216"/>
      <c r="F72" s="216" t="s">
        <v>160</v>
      </c>
      <c r="G72" s="144" t="s">
        <v>198</v>
      </c>
      <c r="H72" s="144" t="s">
        <v>38</v>
      </c>
      <c r="I72" s="144" t="s">
        <v>39</v>
      </c>
      <c r="J72" s="141"/>
      <c r="K72" s="145">
        <f>VLOOKUP(B72,AYUD.!$B$4:$AB$54,27,FALSE)</f>
        <v>31249.999999999993</v>
      </c>
      <c r="L72" s="146">
        <f>VLOOKUP(B72,'BONO EXTRA'!$A$7:$AO$90,41,FALSE)</f>
        <v>0</v>
      </c>
      <c r="M72" s="218"/>
      <c r="N72" s="147"/>
      <c r="O72" s="147"/>
      <c r="P72" s="152"/>
    </row>
    <row r="73" spans="1:16" ht="9.9499999999999993" customHeight="1">
      <c r="A73" s="141">
        <v>73</v>
      </c>
      <c r="B73" s="144" t="s">
        <v>199</v>
      </c>
      <c r="C73" s="216">
        <v>45936</v>
      </c>
      <c r="D73" s="216"/>
      <c r="E73" s="216"/>
      <c r="F73" s="216" t="s">
        <v>160</v>
      </c>
      <c r="G73" s="144" t="s">
        <v>200</v>
      </c>
      <c r="H73" s="144" t="s">
        <v>38</v>
      </c>
      <c r="I73" s="144" t="s">
        <v>39</v>
      </c>
      <c r="J73" s="141" t="s">
        <v>201</v>
      </c>
      <c r="K73" s="145">
        <f>VLOOKUP(B73,AYUD.!$B$4:$AB$54,27,FALSE)</f>
        <v>10800</v>
      </c>
      <c r="L73" s="146">
        <f>VLOOKUP(B73,'BONO EXTRA'!$A$7:$AO$90,41,FALSE)</f>
        <v>0</v>
      </c>
      <c r="M73" s="218"/>
      <c r="N73" s="147"/>
      <c r="O73" s="147"/>
      <c r="P73" s="152"/>
    </row>
    <row r="74" spans="1:16" ht="9.9499999999999993" customHeight="1">
      <c r="A74" s="141">
        <v>74</v>
      </c>
      <c r="B74" s="144" t="s">
        <v>202</v>
      </c>
      <c r="C74" s="216">
        <v>45925</v>
      </c>
      <c r="D74" s="216"/>
      <c r="E74" s="216"/>
      <c r="F74" s="216" t="s">
        <v>160</v>
      </c>
      <c r="G74" s="144" t="s">
        <v>203</v>
      </c>
      <c r="H74" s="144" t="s">
        <v>38</v>
      </c>
      <c r="I74" s="144" t="s">
        <v>39</v>
      </c>
      <c r="J74" s="141"/>
      <c r="K74" s="145">
        <f>VLOOKUP(B74,AYUD.!$B$4:$AB$54,27,FALSE)</f>
        <v>107250</v>
      </c>
      <c r="L74" s="146">
        <f>VLOOKUP(B74,'BONO EXTRA'!$A$7:$AO$90,41,FALSE)</f>
        <v>3525</v>
      </c>
      <c r="M74" s="218"/>
      <c r="N74" s="147"/>
      <c r="O74" s="147"/>
      <c r="P74" s="147"/>
    </row>
    <row r="75" spans="1:16" ht="9.9499999999999993" customHeight="1">
      <c r="A75" s="141">
        <v>75</v>
      </c>
      <c r="B75" s="144" t="s">
        <v>204</v>
      </c>
      <c r="C75" s="216">
        <v>45636</v>
      </c>
      <c r="D75" s="216"/>
      <c r="E75" s="216"/>
      <c r="F75" s="216" t="s">
        <v>160</v>
      </c>
      <c r="G75" s="144" t="s">
        <v>205</v>
      </c>
      <c r="H75" s="144" t="s">
        <v>38</v>
      </c>
      <c r="I75" s="144" t="s">
        <v>39</v>
      </c>
      <c r="J75" s="141"/>
      <c r="K75" s="145">
        <f>VLOOKUP(B75,AYUD.!$B$4:$AB$54,27,FALSE)</f>
        <v>64499.999999999985</v>
      </c>
      <c r="L75" s="146">
        <f>VLOOKUP(B75,'BONO EXTRA'!$A$7:$AO$90,41,FALSE)</f>
        <v>925</v>
      </c>
      <c r="M75" s="218"/>
      <c r="N75" s="147"/>
      <c r="O75" s="147"/>
      <c r="P75" s="147"/>
    </row>
    <row r="76" spans="1:16" ht="9.9499999999999993" customHeight="1">
      <c r="A76" s="141">
        <v>76</v>
      </c>
      <c r="B76" s="144" t="s">
        <v>206</v>
      </c>
      <c r="C76" s="216">
        <v>45676</v>
      </c>
      <c r="D76" s="216"/>
      <c r="E76" s="216"/>
      <c r="F76" s="216" t="s">
        <v>160</v>
      </c>
      <c r="G76" s="144" t="s">
        <v>207</v>
      </c>
      <c r="H76" s="144" t="s">
        <v>38</v>
      </c>
      <c r="I76" s="144" t="s">
        <v>39</v>
      </c>
      <c r="J76" s="141" t="s">
        <v>164</v>
      </c>
      <c r="K76" s="145">
        <f>VLOOKUP(B76,AYUD.!$B$4:$AB$54,27,FALSE)</f>
        <v>74899.999999999985</v>
      </c>
      <c r="L76" s="146">
        <f>VLOOKUP(B76,'BONO EXTRA'!$A$7:$AO$90,41,FALSE)</f>
        <v>150</v>
      </c>
      <c r="M76" s="218"/>
      <c r="N76" s="147"/>
      <c r="O76" s="147"/>
      <c r="P76" s="147"/>
    </row>
    <row r="77" spans="1:16" ht="9.9499999999999993" customHeight="1">
      <c r="A77" s="141">
        <v>77</v>
      </c>
      <c r="B77" s="217" t="s">
        <v>208</v>
      </c>
      <c r="C77" s="216">
        <v>45804</v>
      </c>
      <c r="D77" s="216"/>
      <c r="E77" s="216"/>
      <c r="F77" s="216" t="s">
        <v>160</v>
      </c>
      <c r="G77" s="144" t="s">
        <v>209</v>
      </c>
      <c r="H77" s="144" t="s">
        <v>38</v>
      </c>
      <c r="I77" s="144" t="s">
        <v>39</v>
      </c>
      <c r="J77" s="141"/>
      <c r="K77" s="145">
        <f>VLOOKUP(B77,AYUD.!$B$4:$AB$54,27,FALSE)</f>
        <v>122950</v>
      </c>
      <c r="L77" s="146">
        <f>VLOOKUP(B77,'BONO EXTRA'!$A$7:$AO$90,41,FALSE)</f>
        <v>325</v>
      </c>
      <c r="M77" s="218"/>
      <c r="N77" s="147"/>
      <c r="O77" s="147"/>
      <c r="P77" s="147"/>
    </row>
    <row r="78" spans="1:16" ht="9.9499999999999993" customHeight="1">
      <c r="A78" s="141">
        <v>78</v>
      </c>
      <c r="B78" s="144" t="s">
        <v>210</v>
      </c>
      <c r="C78" s="216">
        <v>45636</v>
      </c>
      <c r="D78" s="216"/>
      <c r="E78" s="216"/>
      <c r="F78" s="216" t="s">
        <v>160</v>
      </c>
      <c r="G78" s="144" t="s">
        <v>211</v>
      </c>
      <c r="H78" s="144" t="s">
        <v>38</v>
      </c>
      <c r="I78" s="144" t="s">
        <v>39</v>
      </c>
      <c r="J78" s="141"/>
      <c r="K78" s="145">
        <f>VLOOKUP(B78,AYUD.!$B$4:$AB$54,27,FALSE)</f>
        <v>122950</v>
      </c>
      <c r="L78" s="146">
        <f>VLOOKUP(B78,'BONO EXTRA'!$A$7:$AO$90,41,FALSE)</f>
        <v>1475</v>
      </c>
      <c r="M78" s="218"/>
      <c r="N78" s="147"/>
      <c r="O78" s="147"/>
      <c r="P78" s="147"/>
    </row>
    <row r="79" spans="1:16" ht="9.9499999999999993" customHeight="1">
      <c r="A79" s="141">
        <v>79</v>
      </c>
      <c r="B79" s="144" t="s">
        <v>212</v>
      </c>
      <c r="C79" s="216">
        <v>45636</v>
      </c>
      <c r="D79" s="216"/>
      <c r="E79" s="216"/>
      <c r="F79" s="216" t="s">
        <v>160</v>
      </c>
      <c r="G79" s="144" t="s">
        <v>213</v>
      </c>
      <c r="H79" s="144" t="s">
        <v>83</v>
      </c>
      <c r="I79" s="144" t="s">
        <v>24</v>
      </c>
      <c r="J79" s="141"/>
      <c r="K79" s="145">
        <f>VLOOKUP(B79,'NO OP'!$B$16:$Q$68,16,FALSE)</f>
        <v>169656</v>
      </c>
      <c r="L79" s="146"/>
      <c r="M79" s="218"/>
      <c r="N79" s="147"/>
      <c r="O79" s="147"/>
      <c r="P79" s="147"/>
    </row>
    <row r="80" spans="1:16" ht="9.9499999999999993" customHeight="1">
      <c r="A80" s="141">
        <v>80</v>
      </c>
      <c r="B80" s="144" t="s">
        <v>214</v>
      </c>
      <c r="C80" s="216">
        <v>46176</v>
      </c>
      <c r="D80" s="216"/>
      <c r="E80" s="216"/>
      <c r="F80" s="216" t="s">
        <v>160</v>
      </c>
      <c r="G80" s="144" t="s">
        <v>215</v>
      </c>
      <c r="H80" s="144" t="s">
        <v>86</v>
      </c>
      <c r="I80" s="144" t="s">
        <v>24</v>
      </c>
      <c r="J80" s="141"/>
      <c r="K80" s="145">
        <f>VLOOKUP(B80,'NO OP'!$B$16:$Q$68,16,FALSE)</f>
        <v>169656</v>
      </c>
      <c r="L80" s="146"/>
      <c r="M80" s="218"/>
      <c r="N80" s="147"/>
      <c r="O80" s="147"/>
      <c r="P80" s="147"/>
    </row>
    <row r="81" spans="1:16" ht="9.9499999999999993" customHeight="1">
      <c r="A81" s="141">
        <v>81</v>
      </c>
      <c r="B81" s="144" t="s">
        <v>216</v>
      </c>
      <c r="C81" s="216">
        <v>45836</v>
      </c>
      <c r="D81" s="216"/>
      <c r="E81" s="216"/>
      <c r="F81" s="216" t="s">
        <v>160</v>
      </c>
      <c r="G81" s="144" t="s">
        <v>217</v>
      </c>
      <c r="H81" s="144" t="s">
        <v>86</v>
      </c>
      <c r="I81" s="144" t="s">
        <v>24</v>
      </c>
      <c r="J81" s="141" t="s">
        <v>164</v>
      </c>
      <c r="K81" s="145">
        <f>VLOOKUP(B81,'NO OP'!$B$16:$Q$68,16,FALSE)</f>
        <v>28276</v>
      </c>
      <c r="L81" s="146"/>
      <c r="M81" s="218"/>
      <c r="N81" s="147"/>
      <c r="O81" s="147"/>
      <c r="P81" s="147"/>
    </row>
    <row r="82" spans="1:16" ht="9.9499999999999993" customHeight="1">
      <c r="A82" s="141">
        <v>82</v>
      </c>
      <c r="B82" s="144" t="s">
        <v>218</v>
      </c>
      <c r="C82" s="216">
        <v>46063</v>
      </c>
      <c r="D82" s="216"/>
      <c r="E82" s="216"/>
      <c r="F82" s="216" t="s">
        <v>160</v>
      </c>
      <c r="G82" s="144" t="s">
        <v>219</v>
      </c>
      <c r="H82" s="144" t="s">
        <v>86</v>
      </c>
      <c r="I82" s="144" t="s">
        <v>24</v>
      </c>
      <c r="J82" s="141" t="s">
        <v>164</v>
      </c>
      <c r="K82" s="145">
        <f>VLOOKUP(B82,'NO OP'!$B$16:$Q$68,16,FALSE)</f>
        <v>28276</v>
      </c>
      <c r="L82" s="146"/>
      <c r="M82" s="293"/>
      <c r="N82" s="147"/>
      <c r="O82" s="147"/>
      <c r="P82" s="147"/>
    </row>
    <row r="83" spans="1:16" ht="9.9499999999999993" customHeight="1">
      <c r="A83" s="141">
        <v>83</v>
      </c>
      <c r="B83" s="144" t="s">
        <v>220</v>
      </c>
      <c r="C83" s="216">
        <v>45716</v>
      </c>
      <c r="D83" s="216"/>
      <c r="E83" s="216"/>
      <c r="F83" s="216" t="s">
        <v>160</v>
      </c>
      <c r="G83" s="144" t="s">
        <v>221</v>
      </c>
      <c r="H83" s="144" t="s">
        <v>86</v>
      </c>
      <c r="I83" s="144" t="s">
        <v>24</v>
      </c>
      <c r="J83" s="141"/>
      <c r="K83" s="145">
        <f>VLOOKUP(B83,'NO OP'!$B$16:$Q$68,16,FALSE)</f>
        <v>169656</v>
      </c>
      <c r="L83" s="146"/>
      <c r="M83" s="218"/>
      <c r="N83" s="147"/>
      <c r="O83" s="147"/>
      <c r="P83" s="147"/>
    </row>
    <row r="84" spans="1:16" ht="9.9499999999999993" customHeight="1">
      <c r="A84" s="141">
        <v>84</v>
      </c>
      <c r="B84" s="144" t="s">
        <v>222</v>
      </c>
      <c r="C84" s="216">
        <v>45636</v>
      </c>
      <c r="D84" s="216"/>
      <c r="E84" s="216"/>
      <c r="F84" s="216" t="s">
        <v>160</v>
      </c>
      <c r="G84" s="144" t="s">
        <v>223</v>
      </c>
      <c r="H84" s="144" t="s">
        <v>86</v>
      </c>
      <c r="I84" s="144" t="s">
        <v>24</v>
      </c>
      <c r="J84" s="141"/>
      <c r="K84" s="145">
        <f>VLOOKUP(B84,'NO OP'!$B$16:$Q$68,16,FALSE)</f>
        <v>169656</v>
      </c>
      <c r="L84" s="146"/>
      <c r="M84" s="218"/>
      <c r="N84" s="147"/>
      <c r="O84" s="147"/>
      <c r="P84" s="147"/>
    </row>
    <row r="85" spans="1:16" ht="9.9499999999999993" customHeight="1">
      <c r="A85" s="141">
        <v>85</v>
      </c>
      <c r="B85" s="144" t="s">
        <v>224</v>
      </c>
      <c r="C85" s="216">
        <v>45719</v>
      </c>
      <c r="D85" s="216"/>
      <c r="E85" s="216"/>
      <c r="F85" s="216" t="s">
        <v>160</v>
      </c>
      <c r="G85" s="144" t="s">
        <v>225</v>
      </c>
      <c r="H85" s="144" t="s">
        <v>86</v>
      </c>
      <c r="I85" s="144" t="s">
        <v>24</v>
      </c>
      <c r="J85" s="141"/>
      <c r="K85" s="145">
        <f>VLOOKUP(B85,'NO OP'!$B$16:$Q$68,16,FALSE)</f>
        <v>169656</v>
      </c>
      <c r="L85" s="146"/>
      <c r="M85" s="218"/>
      <c r="N85" s="147"/>
      <c r="O85" s="147"/>
      <c r="P85" s="147"/>
    </row>
    <row r="86" spans="1:16" ht="9.9499999999999993" customHeight="1">
      <c r="A86" s="141">
        <v>86</v>
      </c>
      <c r="B86" s="144" t="s">
        <v>226</v>
      </c>
      <c r="C86" s="216">
        <v>45636</v>
      </c>
      <c r="D86" s="216"/>
      <c r="E86" s="216"/>
      <c r="F86" s="216" t="s">
        <v>160</v>
      </c>
      <c r="G86" s="144" t="s">
        <v>227</v>
      </c>
      <c r="H86" s="144" t="s">
        <v>86</v>
      </c>
      <c r="I86" s="144" t="s">
        <v>24</v>
      </c>
      <c r="J86" s="141"/>
      <c r="K86" s="145">
        <f>VLOOKUP(B86,'NO OP'!$B$16:$Q$68,16,FALSE)</f>
        <v>169656</v>
      </c>
      <c r="L86" s="146"/>
      <c r="M86" s="218"/>
      <c r="N86" s="147"/>
      <c r="O86" s="147"/>
      <c r="P86" s="147"/>
    </row>
    <row r="87" spans="1:16" ht="9.9499999999999993" customHeight="1">
      <c r="A87" s="141">
        <v>87</v>
      </c>
      <c r="B87" s="217" t="s">
        <v>228</v>
      </c>
      <c r="C87" s="216">
        <v>45915</v>
      </c>
      <c r="D87" s="216"/>
      <c r="E87" s="216"/>
      <c r="F87" s="216" t="s">
        <v>160</v>
      </c>
      <c r="G87" s="144" t="s">
        <v>229</v>
      </c>
      <c r="H87" s="144" t="s">
        <v>86</v>
      </c>
      <c r="I87" s="144" t="s">
        <v>24</v>
      </c>
      <c r="J87" s="141" t="s">
        <v>164</v>
      </c>
      <c r="K87" s="145">
        <f>VLOOKUP(B87,'NO OP'!$B$16:$Q$68,16,FALSE)</f>
        <v>28276</v>
      </c>
      <c r="L87" s="146"/>
      <c r="M87" s="218"/>
      <c r="N87" s="147"/>
      <c r="O87" s="147"/>
      <c r="P87" s="147"/>
    </row>
    <row r="88" spans="1:16" ht="9.9499999999999993" customHeight="1">
      <c r="A88" s="141">
        <v>88</v>
      </c>
      <c r="B88" s="144" t="s">
        <v>230</v>
      </c>
      <c r="C88" s="216">
        <v>46181</v>
      </c>
      <c r="D88" s="216"/>
      <c r="E88" s="216"/>
      <c r="F88" s="216" t="s">
        <v>160</v>
      </c>
      <c r="G88" s="144" t="s">
        <v>231</v>
      </c>
      <c r="H88" s="144" t="s">
        <v>232</v>
      </c>
      <c r="I88" s="144" t="s">
        <v>24</v>
      </c>
      <c r="J88" s="141" t="s">
        <v>233</v>
      </c>
      <c r="K88" s="145">
        <f>VLOOKUP(B88,'NO OP'!$B$16:$Q$68,16,FALSE)</f>
        <v>28276</v>
      </c>
      <c r="L88" s="146"/>
      <c r="M88" s="218"/>
      <c r="N88" s="147"/>
      <c r="O88" s="147"/>
      <c r="P88" s="147"/>
    </row>
    <row r="89" spans="1:16" ht="9.9499999999999993" customHeight="1">
      <c r="A89" s="141">
        <v>89</v>
      </c>
      <c r="B89" s="144" t="s">
        <v>234</v>
      </c>
      <c r="C89" s="216">
        <v>46063</v>
      </c>
      <c r="D89" s="216"/>
      <c r="E89" s="216"/>
      <c r="F89" s="216" t="s">
        <v>160</v>
      </c>
      <c r="G89" s="144" t="s">
        <v>235</v>
      </c>
      <c r="H89" s="144" t="s">
        <v>236</v>
      </c>
      <c r="I89" s="144" t="s">
        <v>24</v>
      </c>
      <c r="J89" s="141"/>
      <c r="K89" s="145">
        <f>VLOOKUP(B89,'NO OP'!$B$16:$Q$68,16,FALSE)</f>
        <v>169656</v>
      </c>
      <c r="L89" s="146"/>
      <c r="M89" s="293"/>
      <c r="N89" s="147"/>
      <c r="O89" s="147"/>
      <c r="P89" s="147"/>
    </row>
    <row r="90" spans="1:16" ht="9.9499999999999993" customHeight="1">
      <c r="A90" s="141">
        <v>90</v>
      </c>
      <c r="B90" s="144" t="s">
        <v>237</v>
      </c>
      <c r="C90" s="216">
        <v>45756</v>
      </c>
      <c r="D90" s="216"/>
      <c r="E90" s="216"/>
      <c r="F90" s="216" t="s">
        <v>160</v>
      </c>
      <c r="G90" s="144" t="s">
        <v>238</v>
      </c>
      <c r="H90" s="144" t="s">
        <v>239</v>
      </c>
      <c r="I90" s="144" t="s">
        <v>19</v>
      </c>
      <c r="J90" s="141" t="s">
        <v>240</v>
      </c>
      <c r="K90" s="145">
        <f>VLOOKUP(B90,'SUP- PREV'!$B$16:$Q$39,16,FALSE)</f>
        <v>146349</v>
      </c>
      <c r="L90" s="146"/>
      <c r="M90" s="218"/>
      <c r="N90" s="147"/>
      <c r="O90" s="147"/>
      <c r="P90" s="147"/>
    </row>
    <row r="91" spans="1:16" ht="9.9499999999999993" customHeight="1">
      <c r="A91" s="141">
        <v>91</v>
      </c>
      <c r="B91" s="144" t="s">
        <v>241</v>
      </c>
      <c r="C91" s="216">
        <v>45936</v>
      </c>
      <c r="D91" s="216"/>
      <c r="E91" s="216"/>
      <c r="F91" s="216" t="s">
        <v>160</v>
      </c>
      <c r="G91" s="144" t="s">
        <v>242</v>
      </c>
      <c r="H91" s="144" t="s">
        <v>102</v>
      </c>
      <c r="I91" s="144" t="s">
        <v>24</v>
      </c>
      <c r="J91" s="141"/>
      <c r="K91" s="145">
        <f>VLOOKUP(B91,'NO OP'!$B$16:$Q$68,16,FALSE)</f>
        <v>169656</v>
      </c>
      <c r="L91" s="146"/>
      <c r="M91" s="218"/>
      <c r="N91" s="147"/>
      <c r="O91" s="147"/>
      <c r="P91" s="147"/>
    </row>
    <row r="92" spans="1:16" ht="9.9499999999999993" customHeight="1">
      <c r="A92" s="141">
        <v>92</v>
      </c>
      <c r="B92" s="144" t="s">
        <v>243</v>
      </c>
      <c r="C92" s="216">
        <v>45945</v>
      </c>
      <c r="D92" s="216"/>
      <c r="E92" s="216"/>
      <c r="F92" s="216" t="s">
        <v>160</v>
      </c>
      <c r="G92" s="144" t="s">
        <v>244</v>
      </c>
      <c r="H92" s="144" t="s">
        <v>102</v>
      </c>
      <c r="I92" s="144" t="s">
        <v>24</v>
      </c>
      <c r="J92" s="141"/>
      <c r="K92" s="145">
        <f>VLOOKUP(B92,'NO OP'!$B$16:$Q$68,16,FALSE)</f>
        <v>169656</v>
      </c>
      <c r="L92" s="146"/>
      <c r="M92" s="218"/>
      <c r="N92" s="147"/>
      <c r="O92" s="147"/>
      <c r="P92" s="147"/>
    </row>
    <row r="93" spans="1:16" ht="9.9499999999999993" customHeight="1">
      <c r="A93" s="141">
        <v>93</v>
      </c>
      <c r="B93" s="144" t="s">
        <v>245</v>
      </c>
      <c r="C93" s="216">
        <v>45728</v>
      </c>
      <c r="D93" s="216"/>
      <c r="E93" s="216"/>
      <c r="F93" s="216" t="s">
        <v>160</v>
      </c>
      <c r="G93" s="144" t="s">
        <v>246</v>
      </c>
      <c r="H93" s="144" t="s">
        <v>247</v>
      </c>
      <c r="I93" s="144" t="s">
        <v>24</v>
      </c>
      <c r="J93" s="141"/>
      <c r="K93" s="145">
        <f>VLOOKUP(B93,'NO OP'!$B$16:$Q$68,16,FALSE)</f>
        <v>169656</v>
      </c>
      <c r="L93" s="146"/>
      <c r="M93" s="218"/>
      <c r="N93" s="147"/>
      <c r="O93" s="147"/>
      <c r="P93" s="147"/>
    </row>
    <row r="94" spans="1:16" ht="9.9499999999999993" customHeight="1">
      <c r="A94" s="141">
        <v>94</v>
      </c>
      <c r="B94" s="144" t="s">
        <v>248</v>
      </c>
      <c r="C94" s="216">
        <v>46156</v>
      </c>
      <c r="D94" s="216"/>
      <c r="E94" s="216"/>
      <c r="F94" s="216" t="s">
        <v>160</v>
      </c>
      <c r="G94" s="144" t="s">
        <v>249</v>
      </c>
      <c r="H94" s="144" t="s">
        <v>110</v>
      </c>
      <c r="I94" s="144" t="s">
        <v>111</v>
      </c>
      <c r="J94" s="141"/>
      <c r="K94" s="145">
        <f>VLOOKUP(B94,PERFOR.!$B$4:$AB$25,27,FALSE)</f>
        <v>100800</v>
      </c>
      <c r="L94" s="146">
        <f>VLOOKUP(B94,'BONO EXTRA'!$A$7:$AO$84,41,FALSE)</f>
        <v>0</v>
      </c>
      <c r="M94" s="218"/>
      <c r="N94" s="147"/>
      <c r="O94" s="147"/>
      <c r="P94" s="147"/>
    </row>
    <row r="95" spans="1:16" ht="9.9499999999999993" customHeight="1">
      <c r="A95" s="141">
        <v>95</v>
      </c>
      <c r="B95" s="144" t="s">
        <v>250</v>
      </c>
      <c r="C95" s="216">
        <v>45924</v>
      </c>
      <c r="D95" s="216"/>
      <c r="E95" s="216"/>
      <c r="F95" s="216" t="s">
        <v>160</v>
      </c>
      <c r="G95" s="144" t="s">
        <v>251</v>
      </c>
      <c r="H95" s="144" t="s">
        <v>110</v>
      </c>
      <c r="I95" s="144" t="s">
        <v>111</v>
      </c>
      <c r="J95" s="141"/>
      <c r="K95" s="145">
        <f>VLOOKUP(B95,PERFOR.!$B$4:$AB$25,27,FALSE)</f>
        <v>126149.99999999999</v>
      </c>
      <c r="L95" s="146">
        <f>VLOOKUP(B95,'BONO EXTRA'!$A$7:$AO$84,41,FALSE)</f>
        <v>2350</v>
      </c>
      <c r="M95" s="218"/>
      <c r="N95" s="147"/>
      <c r="O95" s="147"/>
      <c r="P95" s="147"/>
    </row>
    <row r="96" spans="1:16" ht="9.9499999999999993" customHeight="1">
      <c r="A96" s="141">
        <v>96</v>
      </c>
      <c r="B96" s="144" t="s">
        <v>252</v>
      </c>
      <c r="C96" s="216">
        <v>45636</v>
      </c>
      <c r="D96" s="216"/>
      <c r="E96" s="216"/>
      <c r="F96" s="216" t="s">
        <v>160</v>
      </c>
      <c r="G96" s="144" t="s">
        <v>253</v>
      </c>
      <c r="H96" s="144" t="s">
        <v>110</v>
      </c>
      <c r="I96" s="144" t="s">
        <v>111</v>
      </c>
      <c r="J96" s="141"/>
      <c r="K96" s="145">
        <f>VLOOKUP(B96,PERFOR.!$B$4:$AB$25,27,FALSE)</f>
        <v>142012.50000000003</v>
      </c>
      <c r="L96" s="146">
        <f>VLOOKUP(B96,'BONO EXTRA'!$A$7:$AO$84,41,FALSE)</f>
        <v>550</v>
      </c>
      <c r="M96" s="218"/>
      <c r="N96" s="147"/>
      <c r="O96" s="147"/>
      <c r="P96" s="147"/>
    </row>
    <row r="97" spans="1:16" ht="9.9499999999999993" customHeight="1">
      <c r="A97" s="141">
        <v>97</v>
      </c>
      <c r="B97" s="144" t="s">
        <v>254</v>
      </c>
      <c r="C97" s="216">
        <v>45924</v>
      </c>
      <c r="D97" s="216"/>
      <c r="E97" s="216"/>
      <c r="F97" s="216" t="s">
        <v>160</v>
      </c>
      <c r="G97" s="144" t="s">
        <v>255</v>
      </c>
      <c r="H97" s="144" t="s">
        <v>110</v>
      </c>
      <c r="I97" s="144" t="s">
        <v>111</v>
      </c>
      <c r="J97" s="141"/>
      <c r="K97" s="145">
        <f>VLOOKUP(B97,PERFOR.!$B$4:$AB$25,27,FALSE)</f>
        <v>126149.99999999999</v>
      </c>
      <c r="L97" s="146">
        <f>VLOOKUP(B97,'BONO EXTRA'!$A$7:$AO$84,41,FALSE)</f>
        <v>150</v>
      </c>
      <c r="M97" s="218"/>
      <c r="N97" s="147"/>
      <c r="O97" s="147"/>
      <c r="P97" s="147"/>
    </row>
    <row r="98" spans="1:16" ht="9.9499999999999993" customHeight="1">
      <c r="A98" s="141">
        <v>98</v>
      </c>
      <c r="B98" s="144" t="s">
        <v>256</v>
      </c>
      <c r="C98" s="216">
        <v>45636</v>
      </c>
      <c r="D98" s="216"/>
      <c r="E98" s="216"/>
      <c r="F98" s="216" t="s">
        <v>160</v>
      </c>
      <c r="G98" s="144" t="s">
        <v>257</v>
      </c>
      <c r="H98" s="144" t="s">
        <v>110</v>
      </c>
      <c r="I98" s="144" t="s">
        <v>111</v>
      </c>
      <c r="J98" s="141"/>
      <c r="K98" s="145">
        <f>VLOOKUP(B98,PERFOR.!$B$4:$AB$25,27,FALSE)</f>
        <v>41474.999999999985</v>
      </c>
      <c r="L98" s="146">
        <f>VLOOKUP(B98,'BONO EXTRA'!$A$7:$AO$84,41,FALSE)</f>
        <v>1387.5</v>
      </c>
      <c r="M98" s="218"/>
      <c r="N98" s="147"/>
      <c r="O98" s="147"/>
      <c r="P98" s="147"/>
    </row>
    <row r="99" spans="1:16" ht="9.9499999999999993" customHeight="1">
      <c r="A99" s="141">
        <v>99</v>
      </c>
      <c r="B99" s="144" t="s">
        <v>258</v>
      </c>
      <c r="C99" s="216">
        <v>45636</v>
      </c>
      <c r="D99" s="216"/>
      <c r="E99" s="216"/>
      <c r="F99" s="216" t="s">
        <v>160</v>
      </c>
      <c r="G99" s="144" t="s">
        <v>259</v>
      </c>
      <c r="H99" s="511" t="s">
        <v>110</v>
      </c>
      <c r="I99" s="144" t="s">
        <v>111</v>
      </c>
      <c r="J99" s="141"/>
      <c r="K99" s="145">
        <f>VLOOKUP(B99,PERFOR.!$B$4:$AB$25,27,FALSE)</f>
        <v>148087.5</v>
      </c>
      <c r="L99" s="146">
        <f>VLOOKUP(B99,'BONO EXTRA'!$A$7:$AO$84,41,FALSE)</f>
        <v>487.5</v>
      </c>
      <c r="M99" s="218"/>
      <c r="N99" s="147"/>
      <c r="O99" s="147"/>
      <c r="P99" s="147"/>
    </row>
    <row r="100" spans="1:16" ht="9.9499999999999993" customHeight="1">
      <c r="A100" s="141">
        <v>100</v>
      </c>
      <c r="B100" s="217" t="s">
        <v>260</v>
      </c>
      <c r="C100" s="216">
        <v>46101</v>
      </c>
      <c r="D100" s="216"/>
      <c r="E100" s="216"/>
      <c r="F100" s="216" t="s">
        <v>160</v>
      </c>
      <c r="G100" s="144" t="s">
        <v>261</v>
      </c>
      <c r="H100" s="144" t="s">
        <v>110</v>
      </c>
      <c r="I100" s="144" t="s">
        <v>111</v>
      </c>
      <c r="J100" s="141"/>
      <c r="K100" s="145">
        <f>VLOOKUP(B100,PERFOR.!$B$4:$AB$25,27,FALSE)</f>
        <v>100800</v>
      </c>
      <c r="L100" s="146">
        <f>VLOOKUP(B100,'BONO EXTRA'!$A$7:$AO$84,41,FALSE)</f>
        <v>900</v>
      </c>
      <c r="M100" s="218"/>
      <c r="N100" s="147"/>
      <c r="O100" s="147"/>
      <c r="P100" s="147"/>
    </row>
    <row r="101" spans="1:16" ht="9.9499999999999993" customHeight="1">
      <c r="A101" s="141">
        <v>101</v>
      </c>
      <c r="B101" s="144" t="s">
        <v>262</v>
      </c>
      <c r="C101" s="216">
        <v>45856</v>
      </c>
      <c r="D101" s="216"/>
      <c r="E101" s="216"/>
      <c r="F101" s="216" t="s">
        <v>160</v>
      </c>
      <c r="G101" s="144" t="s">
        <v>263</v>
      </c>
      <c r="H101" s="144" t="s">
        <v>110</v>
      </c>
      <c r="I101" s="144" t="s">
        <v>111</v>
      </c>
      <c r="J101" s="141"/>
      <c r="K101" s="145">
        <f>VLOOKUP(B101,PERFOR.!$B$4:$AB$25,27,FALSE)</f>
        <v>183487.5</v>
      </c>
      <c r="L101" s="146">
        <f>VLOOKUP(B101,'BONO EXTRA'!$A$7:$AO$84,41,FALSE)</f>
        <v>325</v>
      </c>
      <c r="M101" s="218"/>
      <c r="N101" s="147"/>
      <c r="O101" s="147"/>
      <c r="P101" s="147"/>
    </row>
    <row r="102" spans="1:16" ht="9.9499999999999993" customHeight="1">
      <c r="A102" s="141">
        <v>102</v>
      </c>
      <c r="B102" s="144" t="s">
        <v>264</v>
      </c>
      <c r="C102" s="216">
        <v>46017</v>
      </c>
      <c r="D102" s="216"/>
      <c r="E102" s="216"/>
      <c r="F102" s="216" t="s">
        <v>160</v>
      </c>
      <c r="G102" s="144" t="s">
        <v>265</v>
      </c>
      <c r="H102" s="144" t="s">
        <v>128</v>
      </c>
      <c r="I102" s="144" t="s">
        <v>19</v>
      </c>
      <c r="J102" s="141"/>
      <c r="K102" s="145">
        <f>VLOOKUP(B102,'SUP- PREV'!$B$16:$Q$39,16,FALSE)</f>
        <v>41814</v>
      </c>
      <c r="L102" s="146"/>
      <c r="M102" s="218"/>
      <c r="N102" s="147"/>
      <c r="O102" s="147"/>
      <c r="P102" s="147"/>
    </row>
    <row r="103" spans="1:16" ht="9.9499999999999993" customHeight="1">
      <c r="A103" s="141">
        <v>103</v>
      </c>
      <c r="B103" s="144" t="s">
        <v>266</v>
      </c>
      <c r="C103" s="216">
        <v>46036</v>
      </c>
      <c r="D103" s="216"/>
      <c r="E103" s="216"/>
      <c r="F103" s="216" t="s">
        <v>160</v>
      </c>
      <c r="G103" s="144" t="s">
        <v>267</v>
      </c>
      <c r="H103" s="144" t="s">
        <v>128</v>
      </c>
      <c r="I103" s="144" t="s">
        <v>19</v>
      </c>
      <c r="J103" s="141"/>
      <c r="K103" s="145">
        <f>VLOOKUP(B103,'SUP- PREV'!$B$16:$Q$39,16,FALSE)</f>
        <v>125442</v>
      </c>
      <c r="L103" s="146"/>
      <c r="M103" s="293"/>
      <c r="N103" s="147"/>
      <c r="O103" s="147"/>
      <c r="P103" s="147"/>
    </row>
    <row r="104" spans="1:16" ht="9.9499999999999993" customHeight="1">
      <c r="A104" s="141">
        <v>104</v>
      </c>
      <c r="B104" s="144" t="s">
        <v>268</v>
      </c>
      <c r="C104" s="216">
        <v>45876</v>
      </c>
      <c r="D104" s="216"/>
      <c r="E104" s="216"/>
      <c r="F104" s="216" t="s">
        <v>160</v>
      </c>
      <c r="G104" s="144" t="s">
        <v>269</v>
      </c>
      <c r="H104" s="144" t="s">
        <v>137</v>
      </c>
      <c r="I104" s="144" t="s">
        <v>24</v>
      </c>
      <c r="J104" s="141"/>
      <c r="K104" s="145">
        <f>VLOOKUP(B104,'NO OP'!$B$16:$Q$68,16,FALSE)</f>
        <v>169656</v>
      </c>
      <c r="L104" s="146"/>
      <c r="M104" s="218"/>
      <c r="N104" s="147"/>
      <c r="O104" s="147"/>
      <c r="P104" s="147"/>
    </row>
    <row r="105" spans="1:16" ht="9.9499999999999993" customHeight="1">
      <c r="A105" s="141">
        <v>105</v>
      </c>
      <c r="B105" s="144" t="s">
        <v>270</v>
      </c>
      <c r="C105" s="216">
        <v>45959</v>
      </c>
      <c r="D105" s="216"/>
      <c r="E105" s="216"/>
      <c r="F105" s="216" t="s">
        <v>160</v>
      </c>
      <c r="G105" s="144" t="s">
        <v>271</v>
      </c>
      <c r="H105" s="144" t="s">
        <v>137</v>
      </c>
      <c r="I105" s="144" t="s">
        <v>24</v>
      </c>
      <c r="J105" s="141"/>
      <c r="K105" s="145">
        <f>VLOOKUP(B105,'NO OP'!$B$16:$Q$68,16,FALSE)</f>
        <v>169656</v>
      </c>
      <c r="L105" s="146"/>
      <c r="M105" s="218"/>
      <c r="N105" s="147"/>
      <c r="O105" s="147"/>
      <c r="P105" s="147"/>
    </row>
    <row r="106" spans="1:16" ht="9.9499999999999993" customHeight="1">
      <c r="A106" s="141">
        <v>106</v>
      </c>
      <c r="B106" s="144" t="s">
        <v>272</v>
      </c>
      <c r="C106" s="216">
        <v>45836</v>
      </c>
      <c r="D106" s="216"/>
      <c r="E106" s="216"/>
      <c r="F106" s="216" t="s">
        <v>160</v>
      </c>
      <c r="G106" s="144" t="s">
        <v>273</v>
      </c>
      <c r="H106" s="144" t="s">
        <v>142</v>
      </c>
      <c r="I106" s="144" t="s">
        <v>19</v>
      </c>
      <c r="J106" s="141"/>
      <c r="K106" s="145">
        <f>VLOOKUP(B106,'SUP- PREV'!$B$16:$Q$39,16,FALSE)</f>
        <v>250884</v>
      </c>
      <c r="L106" s="146"/>
      <c r="M106" s="218"/>
      <c r="N106" s="147"/>
      <c r="O106" s="147"/>
      <c r="P106" s="147"/>
    </row>
    <row r="107" spans="1:16" ht="9.9499999999999993" customHeight="1">
      <c r="A107" s="141">
        <v>107</v>
      </c>
      <c r="B107" s="144" t="s">
        <v>274</v>
      </c>
      <c r="C107" s="216">
        <v>45636</v>
      </c>
      <c r="D107" s="216"/>
      <c r="E107" s="216"/>
      <c r="F107" s="216" t="s">
        <v>160</v>
      </c>
      <c r="G107" s="144" t="s">
        <v>275</v>
      </c>
      <c r="H107" s="144" t="s">
        <v>142</v>
      </c>
      <c r="I107" s="144" t="s">
        <v>19</v>
      </c>
      <c r="J107" s="141"/>
      <c r="K107" s="145">
        <f>VLOOKUP(B107,'SUP- PREV'!$B$16:$Q$39,16,FALSE)</f>
        <v>250884</v>
      </c>
      <c r="L107" s="146"/>
      <c r="M107" s="218"/>
      <c r="N107" s="147"/>
      <c r="O107" s="147"/>
      <c r="P107" s="147"/>
    </row>
    <row r="108" spans="1:16" ht="9.9499999999999993" customHeight="1" thickBot="1">
      <c r="A108" s="141">
        <v>108</v>
      </c>
      <c r="B108" s="144" t="s">
        <v>276</v>
      </c>
      <c r="C108" s="216">
        <v>46176</v>
      </c>
      <c r="D108" s="216"/>
      <c r="E108" s="216"/>
      <c r="F108" s="216" t="s">
        <v>160</v>
      </c>
      <c r="G108" s="144" t="s">
        <v>277</v>
      </c>
      <c r="H108" s="144" t="s">
        <v>142</v>
      </c>
      <c r="I108" s="144" t="s">
        <v>19</v>
      </c>
      <c r="J108" s="141"/>
      <c r="K108" s="145">
        <f>VLOOKUP(B108,'SUP- PREV'!$B$16:$Q$39,16,FALSE)</f>
        <v>250884</v>
      </c>
      <c r="L108" s="146"/>
      <c r="M108" s="218"/>
      <c r="N108" s="147"/>
      <c r="O108" s="147"/>
      <c r="P108" s="147"/>
    </row>
    <row r="109" spans="1:16" ht="9.9499999999999993" customHeight="1" thickBot="1">
      <c r="A109" s="141">
        <v>109</v>
      </c>
      <c r="B109" s="144"/>
      <c r="C109" s="216"/>
      <c r="D109" s="216"/>
      <c r="E109" s="216"/>
      <c r="F109" s="216"/>
      <c r="G109" s="144"/>
      <c r="H109" s="144"/>
      <c r="I109" s="144"/>
      <c r="J109" s="141"/>
      <c r="K109" s="145"/>
      <c r="L109" s="146"/>
      <c r="M109" s="218"/>
      <c r="N109" s="275"/>
      <c r="O109" s="147" t="s">
        <v>278</v>
      </c>
      <c r="P109" s="147"/>
    </row>
    <row r="110" spans="1:16" ht="9.9499999999999993" customHeight="1" thickBot="1">
      <c r="A110" s="141">
        <v>110</v>
      </c>
      <c r="B110" s="50"/>
      <c r="C110" s="150"/>
      <c r="D110" s="150"/>
      <c r="K110" s="231">
        <f>SUM(K2:K108)</f>
        <v>18587758</v>
      </c>
      <c r="L110" s="231">
        <f>SUM(L2:L108)</f>
        <v>268493.75</v>
      </c>
      <c r="M110" s="232">
        <f>SUM(M2:M100)</f>
        <v>0</v>
      </c>
      <c r="N110" s="147"/>
      <c r="O110" s="147"/>
      <c r="P110" s="147"/>
    </row>
    <row r="111" spans="1:16" ht="9.9499999999999993" customHeight="1">
      <c r="A111" s="141">
        <v>111</v>
      </c>
      <c r="C111" s="150"/>
      <c r="D111" s="150"/>
      <c r="E111" s="150"/>
      <c r="F111" s="150"/>
      <c r="K111" s="150"/>
      <c r="L111" s="150"/>
      <c r="P111" s="147"/>
    </row>
    <row r="112" spans="1:16" ht="9.9499999999999993" customHeight="1">
      <c r="A112" s="141">
        <v>112</v>
      </c>
      <c r="C112" s="150"/>
      <c r="D112" s="150"/>
      <c r="E112" s="150"/>
      <c r="F112" s="150"/>
      <c r="K112" s="553">
        <f>+K110+L110</f>
        <v>18856251.75</v>
      </c>
      <c r="L112" s="150"/>
      <c r="O112" s="150" t="s">
        <v>279</v>
      </c>
      <c r="P112" s="147"/>
    </row>
    <row r="113" spans="1:16" ht="9.9499999999999993" customHeight="1">
      <c r="A113" s="141">
        <v>113</v>
      </c>
      <c r="C113" s="150"/>
      <c r="D113" s="150"/>
      <c r="E113" s="150"/>
      <c r="F113" s="150"/>
      <c r="K113" s="150"/>
      <c r="L113" s="150"/>
      <c r="O113" s="150" t="s">
        <v>280</v>
      </c>
      <c r="P113" s="147"/>
    </row>
    <row r="114" spans="1:16" ht="9.9499999999999993" customHeight="1">
      <c r="A114" s="141"/>
      <c r="C114" s="150"/>
      <c r="D114" s="150"/>
      <c r="E114" s="150"/>
      <c r="F114" s="150"/>
      <c r="K114" s="150"/>
      <c r="L114" s="150"/>
      <c r="P114" s="147"/>
    </row>
    <row r="115" spans="1:16" ht="9.9499999999999993" customHeight="1">
      <c r="C115" s="150"/>
      <c r="D115" s="150"/>
      <c r="E115" s="150"/>
      <c r="F115" s="150"/>
      <c r="K115" s="150"/>
      <c r="L115" s="150"/>
      <c r="P115" s="147"/>
    </row>
    <row r="116" spans="1:16" ht="9.9499999999999993" customHeight="1">
      <c r="B116" s="50"/>
      <c r="C116" s="150"/>
      <c r="D116" s="150"/>
      <c r="P116" s="147"/>
    </row>
    <row r="117" spans="1:16" ht="9.9499999999999993" customHeight="1">
      <c r="B117" s="50"/>
      <c r="C117" s="150"/>
      <c r="D117" s="150"/>
      <c r="N117" s="276"/>
      <c r="P117" s="147"/>
    </row>
    <row r="118" spans="1:16" ht="9.9499999999999993" customHeight="1">
      <c r="B118" s="50"/>
      <c r="C118" s="150"/>
      <c r="D118" s="150"/>
      <c r="N118" s="276"/>
      <c r="P118" s="147"/>
    </row>
    <row r="119" spans="1:16" ht="12">
      <c r="B119" s="50"/>
      <c r="C119" s="150"/>
      <c r="D119" s="150"/>
      <c r="P119" s="147"/>
    </row>
    <row r="120" spans="1:16" ht="12">
      <c r="B120" s="50"/>
      <c r="C120" s="150"/>
      <c r="D120" s="150"/>
      <c r="E120" s="150"/>
      <c r="F120" s="150"/>
      <c r="K120" s="150"/>
      <c r="L120" s="150"/>
    </row>
    <row r="123" spans="1:16" ht="12">
      <c r="B123" s="50"/>
    </row>
    <row r="124" spans="1:16" ht="12">
      <c r="B124" s="331"/>
    </row>
    <row r="125" spans="1:16" ht="12">
      <c r="B125" s="50"/>
    </row>
    <row r="126" spans="1:16" ht="12">
      <c r="B126" s="50"/>
    </row>
    <row r="127" spans="1:16" ht="12">
      <c r="B127" s="50"/>
    </row>
    <row r="128" spans="1:16" ht="12">
      <c r="B128" s="50"/>
    </row>
    <row r="129" spans="2:2" ht="12">
      <c r="B129" s="50"/>
    </row>
    <row r="130" spans="2:2" ht="12">
      <c r="B130" s="50"/>
    </row>
    <row r="131" spans="2:2" ht="12">
      <c r="B131" s="50"/>
    </row>
    <row r="132" spans="2:2" ht="12">
      <c r="B132" s="50"/>
    </row>
    <row r="133" spans="2:2" ht="12">
      <c r="B133" s="50"/>
    </row>
    <row r="134" spans="2:2" ht="12">
      <c r="B134" s="50"/>
    </row>
    <row r="135" spans="2:2" ht="12">
      <c r="B135" s="50"/>
    </row>
    <row r="136" spans="2:2" ht="12">
      <c r="B136" s="50"/>
    </row>
    <row r="137" spans="2:2" ht="12">
      <c r="B137" s="50"/>
    </row>
    <row r="138" spans="2:2" ht="12">
      <c r="B138" s="50"/>
    </row>
    <row r="139" spans="2:2" ht="12">
      <c r="B139" s="50"/>
    </row>
    <row r="140" spans="2:2" ht="12">
      <c r="B140" s="50"/>
    </row>
    <row r="141" spans="2:2" ht="12">
      <c r="B141" s="50"/>
    </row>
    <row r="142" spans="2:2" ht="12">
      <c r="B142" s="50"/>
    </row>
    <row r="143" spans="2:2" ht="12">
      <c r="B143" s="331"/>
    </row>
    <row r="144" spans="2:2" ht="12">
      <c r="B144" s="331"/>
    </row>
    <row r="145" spans="2:2" ht="12">
      <c r="B145" s="331"/>
    </row>
    <row r="146" spans="2:2" ht="12">
      <c r="B146" s="49"/>
    </row>
    <row r="147" spans="2:2" ht="12">
      <c r="B147" s="331"/>
    </row>
    <row r="148" spans="2:2" ht="12">
      <c r="B148" s="49"/>
    </row>
    <row r="149" spans="2:2" ht="12">
      <c r="B149" s="49"/>
    </row>
    <row r="150" spans="2:2" ht="12">
      <c r="B150" s="50"/>
    </row>
    <row r="151" spans="2:2" ht="12">
      <c r="B151" s="331"/>
    </row>
    <row r="152" spans="2:2" ht="12">
      <c r="B152" s="331"/>
    </row>
    <row r="153" spans="2:2" ht="12">
      <c r="B153" s="331"/>
    </row>
    <row r="154" spans="2:2" ht="12">
      <c r="B154" s="331"/>
    </row>
    <row r="155" spans="2:2" ht="12">
      <c r="B155" s="331"/>
    </row>
    <row r="156" spans="2:2" ht="12">
      <c r="B156" s="331"/>
    </row>
    <row r="157" spans="2:2" ht="12">
      <c r="B157" s="331"/>
    </row>
    <row r="158" spans="2:2" ht="12">
      <c r="B158" s="331"/>
    </row>
    <row r="159" spans="2:2" ht="12">
      <c r="B159" s="331"/>
    </row>
    <row r="160" spans="2:2" ht="12">
      <c r="B160" s="331"/>
    </row>
    <row r="161" spans="2:2" ht="12">
      <c r="B161" s="50"/>
    </row>
  </sheetData>
  <autoFilter ref="A1:S115" xr:uid="{00000000-0001-0000-0100-000000000000}"/>
  <sortState xmlns:xlrd2="http://schemas.microsoft.com/office/spreadsheetml/2017/richdata2" ref="B2:M108">
    <sortCondition ref="F2:F108"/>
    <sortCondition ref="H2:H108"/>
    <sortCondition ref="G2:G108"/>
  </sortState>
  <conditionalFormatting sqref="B22">
    <cfRule type="duplicateValues" dxfId="5141" priority="3"/>
  </conditionalFormatting>
  <conditionalFormatting sqref="B23:B24">
    <cfRule type="duplicateValues" dxfId="5140" priority="1"/>
  </conditionalFormatting>
  <conditionalFormatting sqref="B162:B1048576 B1:B21 B25:B109">
    <cfRule type="duplicateValues" dxfId="5139" priority="6223"/>
  </conditionalFormatting>
  <conditionalFormatting sqref="E22 B22">
    <cfRule type="duplicateValues" dxfId="5138" priority="4"/>
  </conditionalFormatting>
  <conditionalFormatting sqref="E23:E24 B23:B24">
    <cfRule type="duplicateValues" dxfId="5137" priority="2"/>
  </conditionalFormatting>
  <conditionalFormatting sqref="J2:J6 J8:J21 J23:J109">
    <cfRule type="cellIs" dxfId="5136" priority="7" operator="equal">
      <formula>"vacaciones"</formula>
    </cfRule>
  </conditionalFormatting>
  <conditionalFormatting sqref="K1:K109 K892:K1048576">
    <cfRule type="cellIs" dxfId="5135" priority="46" operator="between">
      <formula>0</formula>
      <formula>100000</formula>
    </cfRule>
  </conditionalFormatting>
  <conditionalFormatting sqref="M2:M109">
    <cfRule type="cellIs" dxfId="5134" priority="21" operator="greaterThan">
      <formula>0</formula>
    </cfRule>
  </conditionalFormatting>
  <conditionalFormatting sqref="O3 S5:S8 S12">
    <cfRule type="cellIs" dxfId="5133" priority="30" operator="greaterThan">
      <formula>0</formula>
    </cfRule>
    <cfRule type="cellIs" dxfId="5132" priority="31" operator="equal">
      <formula>0</formula>
    </cfRule>
    <cfRule type="cellIs" dxfId="5131" priority="32" operator="lessThan">
      <formula>0</formula>
    </cfRule>
  </conditionalFormatting>
  <conditionalFormatting sqref="R5:R8">
    <cfRule type="cellIs" dxfId="5130" priority="28" operator="equal">
      <formula>FALSE</formula>
    </cfRule>
    <cfRule type="cellIs" dxfId="5129" priority="29" operator="equal">
      <formula>TRUE</formula>
    </cfRule>
  </conditionalFormatting>
  <pageMargins left="0.7" right="0.7" top="0.75" bottom="0.75" header="0.3" footer="0.3"/>
  <pageSetup paperSize="9" orientation="landscape" r:id="rId1"/>
  <ignoredErrors>
    <ignoredError sqref="Q5:Q6 L7:L24 K2 K75:K89 K91:K108 L94:L101 L67:L78 L58:L66 L36:L43 L110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833A-51E2-4059-A38B-841B24CC8957}">
  <sheetPr>
    <pageSetUpPr fitToPage="1"/>
  </sheetPr>
  <dimension ref="A1:AR129"/>
  <sheetViews>
    <sheetView zoomScale="80" zoomScaleNormal="80" workbookViewId="0">
      <pane xSplit="6" ySplit="3" topLeftCell="G54" activePane="bottomRight" state="frozen"/>
      <selection pane="bottomRight" activeCell="S64" sqref="S64:AB64"/>
      <selection pane="bottomLeft" activeCell="A4" sqref="A4"/>
      <selection pane="topRight" activeCell="H1" sqref="H1"/>
    </sheetView>
  </sheetViews>
  <sheetFormatPr defaultColWidth="10.7109375" defaultRowHeight="13.9"/>
  <cols>
    <col min="1" max="1" width="8.140625" style="463" bestFit="1" customWidth="1"/>
    <col min="2" max="2" width="12.5703125" style="499" customWidth="1"/>
    <col min="3" max="3" width="38.7109375" style="463" customWidth="1"/>
    <col min="4" max="4" width="7.28515625" style="463" customWidth="1"/>
    <col min="5" max="5" width="5.7109375" style="463" customWidth="1"/>
    <col min="6" max="6" width="27.7109375" style="463" bestFit="1" customWidth="1"/>
    <col min="7" max="7" width="6" style="463" customWidth="1"/>
    <col min="8" max="8" width="5" style="463" customWidth="1"/>
    <col min="9" max="9" width="4.28515625" style="463" customWidth="1"/>
    <col min="10" max="10" width="4.5703125" style="463" customWidth="1"/>
    <col min="11" max="11" width="4.140625" style="463" customWidth="1"/>
    <col min="12" max="12" width="4.5703125" style="463" customWidth="1"/>
    <col min="13" max="13" width="5.140625" style="463" customWidth="1"/>
    <col min="14" max="14" width="4.28515625" style="463" customWidth="1"/>
    <col min="15" max="15" width="4.5703125" style="463" customWidth="1"/>
    <col min="16" max="16" width="4.42578125" style="463" customWidth="1"/>
    <col min="17" max="17" width="4.5703125" style="463" customWidth="1"/>
    <col min="18" max="18" width="5" style="463" customWidth="1"/>
    <col min="19" max="19" width="4.42578125" style="463" customWidth="1"/>
    <col min="20" max="20" width="5" style="463" customWidth="1"/>
    <col min="21" max="22" width="4.42578125" style="463" customWidth="1"/>
    <col min="23" max="23" width="4.5703125" style="463" customWidth="1"/>
    <col min="24" max="24" width="4.42578125" style="463" customWidth="1"/>
    <col min="25" max="25" width="4.28515625" style="463" customWidth="1"/>
    <col min="26" max="26" width="4.7109375" style="463" customWidth="1"/>
    <col min="27" max="27" width="4.42578125" style="463" customWidth="1"/>
    <col min="28" max="28" width="4.5703125" style="463" customWidth="1"/>
    <col min="29" max="29" width="4.7109375" style="463" customWidth="1"/>
    <col min="30" max="30" width="4.5703125" style="463" customWidth="1"/>
    <col min="31" max="31" width="5.140625" style="463" customWidth="1"/>
    <col min="32" max="33" width="4.42578125" style="463" customWidth="1"/>
    <col min="34" max="34" width="4.5703125" style="463" customWidth="1"/>
    <col min="35" max="35" width="4.42578125" style="463" customWidth="1"/>
    <col min="36" max="37" width="4.5703125" style="463" customWidth="1"/>
    <col min="38" max="42" width="7.7109375" style="463" customWidth="1"/>
    <col min="43" max="16384" width="10.7109375" style="463"/>
  </cols>
  <sheetData>
    <row r="1" spans="1:44" ht="15.75" customHeight="1" thickBot="1">
      <c r="B1" s="303" t="s">
        <v>281</v>
      </c>
      <c r="C1" s="464" t="s">
        <v>282</v>
      </c>
      <c r="D1" s="465" t="s">
        <v>283</v>
      </c>
      <c r="F1" s="466" t="s">
        <v>284</v>
      </c>
      <c r="G1" s="570" t="s">
        <v>285</v>
      </c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1" t="s">
        <v>285</v>
      </c>
      <c r="AM1" s="572"/>
      <c r="AN1" s="572"/>
      <c r="AO1" s="572"/>
      <c r="AP1" s="572" t="s">
        <v>286</v>
      </c>
    </row>
    <row r="2" spans="1:44" ht="37.5" customHeight="1" thickBot="1">
      <c r="A2" s="467" t="s">
        <v>287</v>
      </c>
      <c r="B2" s="468" t="s">
        <v>288</v>
      </c>
      <c r="C2" s="469" t="s">
        <v>289</v>
      </c>
      <c r="D2" s="470" t="s">
        <v>290</v>
      </c>
      <c r="F2" s="471" t="s">
        <v>291</v>
      </c>
      <c r="G2" s="472" t="s">
        <v>292</v>
      </c>
      <c r="H2" s="473" t="s">
        <v>292</v>
      </c>
      <c r="I2" s="473" t="s">
        <v>293</v>
      </c>
      <c r="J2" s="473" t="s">
        <v>294</v>
      </c>
      <c r="K2" s="473" t="s">
        <v>295</v>
      </c>
      <c r="L2" s="473" t="s">
        <v>296</v>
      </c>
      <c r="M2" s="473" t="s">
        <v>297</v>
      </c>
      <c r="N2" s="472" t="s">
        <v>292</v>
      </c>
      <c r="O2" s="473" t="s">
        <v>292</v>
      </c>
      <c r="P2" s="473" t="s">
        <v>293</v>
      </c>
      <c r="Q2" s="473" t="s">
        <v>294</v>
      </c>
      <c r="R2" s="473" t="s">
        <v>295</v>
      </c>
      <c r="S2" s="473" t="s">
        <v>296</v>
      </c>
      <c r="T2" s="473" t="s">
        <v>297</v>
      </c>
      <c r="U2" s="472" t="s">
        <v>292</v>
      </c>
      <c r="V2" s="473" t="s">
        <v>292</v>
      </c>
      <c r="W2" s="473" t="s">
        <v>293</v>
      </c>
      <c r="X2" s="473" t="s">
        <v>294</v>
      </c>
      <c r="Y2" s="473" t="s">
        <v>295</v>
      </c>
      <c r="Z2" s="473" t="s">
        <v>296</v>
      </c>
      <c r="AA2" s="473" t="s">
        <v>297</v>
      </c>
      <c r="AB2" s="472" t="s">
        <v>292</v>
      </c>
      <c r="AC2" s="473" t="s">
        <v>292</v>
      </c>
      <c r="AD2" s="473" t="s">
        <v>293</v>
      </c>
      <c r="AE2" s="473" t="s">
        <v>294</v>
      </c>
      <c r="AF2" s="473" t="s">
        <v>295</v>
      </c>
      <c r="AG2" s="473" t="s">
        <v>296</v>
      </c>
      <c r="AH2" s="473" t="s">
        <v>297</v>
      </c>
      <c r="AI2" s="472" t="s">
        <v>292</v>
      </c>
      <c r="AJ2" s="473" t="s">
        <v>292</v>
      </c>
      <c r="AK2" s="473" t="s">
        <v>293</v>
      </c>
      <c r="AL2" s="474"/>
      <c r="AM2" s="475"/>
      <c r="AN2" s="475"/>
      <c r="AO2" s="476"/>
      <c r="AP2" s="500" t="s">
        <v>298</v>
      </c>
    </row>
    <row r="3" spans="1:44" s="482" customFormat="1" ht="54" customHeight="1" thickBot="1">
      <c r="A3" s="477" t="s">
        <v>299</v>
      </c>
      <c r="B3" s="294" t="s">
        <v>1</v>
      </c>
      <c r="C3" s="295" t="s">
        <v>6</v>
      </c>
      <c r="D3" s="296" t="s">
        <v>5</v>
      </c>
      <c r="E3" s="478" t="s">
        <v>300</v>
      </c>
      <c r="F3" s="297" t="s">
        <v>7</v>
      </c>
      <c r="G3" s="479">
        <v>1</v>
      </c>
      <c r="H3" s="480">
        <v>2</v>
      </c>
      <c r="I3" s="480">
        <v>3</v>
      </c>
      <c r="J3" s="480">
        <v>4</v>
      </c>
      <c r="K3" s="480">
        <v>5</v>
      </c>
      <c r="L3" s="480">
        <v>6</v>
      </c>
      <c r="M3" s="480">
        <v>7</v>
      </c>
      <c r="N3" s="480">
        <v>8</v>
      </c>
      <c r="O3" s="480">
        <v>9</v>
      </c>
      <c r="P3" s="480">
        <v>10</v>
      </c>
      <c r="Q3" s="480">
        <v>11</v>
      </c>
      <c r="R3" s="480">
        <v>12</v>
      </c>
      <c r="S3" s="480">
        <v>13</v>
      </c>
      <c r="T3" s="480">
        <v>14</v>
      </c>
      <c r="U3" s="480">
        <v>15</v>
      </c>
      <c r="V3" s="480">
        <v>16</v>
      </c>
      <c r="W3" s="480">
        <v>17</v>
      </c>
      <c r="X3" s="480">
        <v>18</v>
      </c>
      <c r="Y3" s="480">
        <v>19</v>
      </c>
      <c r="Z3" s="480">
        <v>20</v>
      </c>
      <c r="AA3" s="480">
        <v>21</v>
      </c>
      <c r="AB3" s="480">
        <v>22</v>
      </c>
      <c r="AC3" s="480">
        <v>23</v>
      </c>
      <c r="AD3" s="480">
        <v>24</v>
      </c>
      <c r="AE3" s="480">
        <v>25</v>
      </c>
      <c r="AF3" s="480">
        <v>26</v>
      </c>
      <c r="AG3" s="480">
        <v>27</v>
      </c>
      <c r="AH3" s="480">
        <v>28</v>
      </c>
      <c r="AI3" s="480">
        <v>29</v>
      </c>
      <c r="AJ3" s="480">
        <v>30</v>
      </c>
      <c r="AK3" s="480">
        <v>31</v>
      </c>
      <c r="AL3" s="481" t="s">
        <v>288</v>
      </c>
      <c r="AM3" s="481" t="s">
        <v>301</v>
      </c>
      <c r="AN3" s="481" t="s">
        <v>281</v>
      </c>
      <c r="AO3" s="481" t="s">
        <v>302</v>
      </c>
      <c r="AP3" s="481" t="s">
        <v>303</v>
      </c>
      <c r="AR3" s="483"/>
    </row>
    <row r="4" spans="1:44" ht="12" customHeight="1">
      <c r="A4" s="484">
        <v>1</v>
      </c>
      <c r="B4" s="298" t="s">
        <v>15</v>
      </c>
      <c r="C4" s="299" t="s">
        <v>17</v>
      </c>
      <c r="D4" s="298" t="s">
        <v>16</v>
      </c>
      <c r="E4" s="299" t="s">
        <v>292</v>
      </c>
      <c r="F4" s="299" t="s">
        <v>304</v>
      </c>
      <c r="G4" s="485" t="s">
        <v>296</v>
      </c>
      <c r="H4" s="485" t="s">
        <v>296</v>
      </c>
      <c r="I4" s="485" t="s">
        <v>305</v>
      </c>
      <c r="J4" s="485" t="s">
        <v>305</v>
      </c>
      <c r="K4" s="485" t="s">
        <v>305</v>
      </c>
      <c r="L4" s="485" t="s">
        <v>296</v>
      </c>
      <c r="M4" s="485" t="s">
        <v>296</v>
      </c>
      <c r="N4" s="485" t="s">
        <v>296</v>
      </c>
      <c r="O4" s="485" t="s">
        <v>296</v>
      </c>
      <c r="P4" s="485" t="s">
        <v>305</v>
      </c>
      <c r="Q4" s="485" t="s">
        <v>305</v>
      </c>
      <c r="R4" s="485" t="s">
        <v>305</v>
      </c>
      <c r="S4" s="485" t="s">
        <v>296</v>
      </c>
      <c r="T4" s="485" t="s">
        <v>296</v>
      </c>
      <c r="U4" s="485" t="s">
        <v>296</v>
      </c>
      <c r="V4" s="485" t="s">
        <v>305</v>
      </c>
      <c r="W4" s="485" t="s">
        <v>305</v>
      </c>
      <c r="X4" s="485" t="s">
        <v>305</v>
      </c>
      <c r="Y4" s="485" t="s">
        <v>305</v>
      </c>
      <c r="Z4" s="485" t="s">
        <v>296</v>
      </c>
      <c r="AA4" s="485" t="s">
        <v>296</v>
      </c>
      <c r="AB4" s="485" t="s">
        <v>296</v>
      </c>
      <c r="AC4" s="485" t="s">
        <v>296</v>
      </c>
      <c r="AD4" s="485" t="s">
        <v>305</v>
      </c>
      <c r="AE4" s="485" t="s">
        <v>305</v>
      </c>
      <c r="AF4" s="485" t="s">
        <v>305</v>
      </c>
      <c r="AG4" s="486" t="s">
        <v>296</v>
      </c>
      <c r="AH4" s="485" t="s">
        <v>296</v>
      </c>
      <c r="AI4" s="485" t="s">
        <v>296</v>
      </c>
      <c r="AJ4" s="485" t="s">
        <v>296</v>
      </c>
      <c r="AK4" s="485" t="s">
        <v>305</v>
      </c>
      <c r="AL4" s="487">
        <f>COUNTIF(G4:AK4,"D")</f>
        <v>17</v>
      </c>
      <c r="AM4" s="488">
        <f t="shared" ref="AM4:AM67" si="0">COUNTIF(G4:AK4,"DE")</f>
        <v>14</v>
      </c>
      <c r="AN4" s="488">
        <f t="shared" ref="AN4:AN67" si="1">COUNTIF(G4:AK4,"N")</f>
        <v>0</v>
      </c>
      <c r="AO4" s="488">
        <f>SUM(AL4:AN4)</f>
        <v>31</v>
      </c>
      <c r="AP4" s="489">
        <f t="shared" ref="AP4:AP69" si="2">COUNTIF(G4:AK4,"D")+COUNTIF(G4:AK4,"N")</f>
        <v>17</v>
      </c>
      <c r="AR4" s="490"/>
    </row>
    <row r="5" spans="1:44" ht="12" customHeight="1">
      <c r="A5" s="302">
        <f t="shared" ref="A5:A68" si="3">A4+1</f>
        <v>2</v>
      </c>
      <c r="B5" s="300">
        <v>122192016</v>
      </c>
      <c r="C5" s="301" t="s">
        <v>26</v>
      </c>
      <c r="D5" s="300" t="s">
        <v>16</v>
      </c>
      <c r="E5" s="301" t="s">
        <v>292</v>
      </c>
      <c r="F5" s="301" t="s">
        <v>27</v>
      </c>
      <c r="G5" s="485" t="s">
        <v>296</v>
      </c>
      <c r="H5" s="485" t="s">
        <v>296</v>
      </c>
      <c r="I5" s="485" t="s">
        <v>305</v>
      </c>
      <c r="J5" s="485" t="s">
        <v>305</v>
      </c>
      <c r="K5" s="485" t="s">
        <v>305</v>
      </c>
      <c r="L5" s="485" t="s">
        <v>296</v>
      </c>
      <c r="M5" s="485" t="s">
        <v>296</v>
      </c>
      <c r="N5" s="485" t="s">
        <v>296</v>
      </c>
      <c r="O5" s="485" t="s">
        <v>296</v>
      </c>
      <c r="P5" s="485" t="s">
        <v>305</v>
      </c>
      <c r="Q5" s="485" t="s">
        <v>305</v>
      </c>
      <c r="R5" s="485" t="s">
        <v>305</v>
      </c>
      <c r="S5" s="485" t="s">
        <v>296</v>
      </c>
      <c r="T5" s="485" t="s">
        <v>296</v>
      </c>
      <c r="U5" s="485" t="s">
        <v>296</v>
      </c>
      <c r="V5" s="485" t="s">
        <v>305</v>
      </c>
      <c r="W5" s="485" t="s">
        <v>305</v>
      </c>
      <c r="X5" s="485" t="s">
        <v>305</v>
      </c>
      <c r="Y5" s="485" t="s">
        <v>305</v>
      </c>
      <c r="Z5" s="485" t="s">
        <v>296</v>
      </c>
      <c r="AA5" s="485" t="s">
        <v>296</v>
      </c>
      <c r="AB5" s="485" t="s">
        <v>296</v>
      </c>
      <c r="AC5" s="485" t="s">
        <v>296</v>
      </c>
      <c r="AD5" s="485" t="s">
        <v>305</v>
      </c>
      <c r="AE5" s="485" t="s">
        <v>305</v>
      </c>
      <c r="AF5" s="485" t="s">
        <v>305</v>
      </c>
      <c r="AG5" s="485" t="s">
        <v>296</v>
      </c>
      <c r="AH5" s="485" t="s">
        <v>296</v>
      </c>
      <c r="AI5" s="485" t="s">
        <v>296</v>
      </c>
      <c r="AJ5" s="485" t="s">
        <v>296</v>
      </c>
      <c r="AK5" s="485" t="s">
        <v>305</v>
      </c>
      <c r="AL5" s="487">
        <f>COUNTIF(G5:AK5,"D")</f>
        <v>17</v>
      </c>
      <c r="AM5" s="488">
        <f t="shared" si="0"/>
        <v>14</v>
      </c>
      <c r="AN5" s="488">
        <f t="shared" si="1"/>
        <v>0</v>
      </c>
      <c r="AO5" s="488">
        <f>SUM(AL5:AN5)</f>
        <v>31</v>
      </c>
      <c r="AP5" s="489">
        <f t="shared" si="2"/>
        <v>17</v>
      </c>
    </row>
    <row r="6" spans="1:44" ht="12" customHeight="1">
      <c r="A6" s="302">
        <f t="shared" si="3"/>
        <v>3</v>
      </c>
      <c r="B6" s="300" t="s">
        <v>21</v>
      </c>
      <c r="C6" s="301" t="s">
        <v>22</v>
      </c>
      <c r="D6" s="300" t="s">
        <v>16</v>
      </c>
      <c r="E6" s="301" t="s">
        <v>306</v>
      </c>
      <c r="F6" s="301" t="s">
        <v>23</v>
      </c>
      <c r="G6" s="485" t="s">
        <v>305</v>
      </c>
      <c r="H6" s="485" t="s">
        <v>305</v>
      </c>
      <c r="I6" s="485" t="s">
        <v>296</v>
      </c>
      <c r="J6" s="485" t="s">
        <v>296</v>
      </c>
      <c r="K6" s="485" t="s">
        <v>296</v>
      </c>
      <c r="L6" s="485" t="s">
        <v>296</v>
      </c>
      <c r="M6" s="485" t="s">
        <v>296</v>
      </c>
      <c r="N6" s="485" t="s">
        <v>296</v>
      </c>
      <c r="O6" s="485" t="s">
        <v>296</v>
      </c>
      <c r="P6" s="485" t="s">
        <v>296</v>
      </c>
      <c r="Q6" s="485" t="s">
        <v>296</v>
      </c>
      <c r="R6" s="485" t="s">
        <v>296</v>
      </c>
      <c r="S6" s="485" t="s">
        <v>305</v>
      </c>
      <c r="T6" s="485" t="s">
        <v>305</v>
      </c>
      <c r="U6" s="485" t="s">
        <v>305</v>
      </c>
      <c r="V6" s="485" t="s">
        <v>305</v>
      </c>
      <c r="W6" s="485" t="s">
        <v>305</v>
      </c>
      <c r="X6" s="485" t="s">
        <v>305</v>
      </c>
      <c r="Y6" s="485" t="s">
        <v>305</v>
      </c>
      <c r="Z6" s="485" t="s">
        <v>305</v>
      </c>
      <c r="AA6" s="485" t="s">
        <v>305</v>
      </c>
      <c r="AB6" s="485" t="s">
        <v>305</v>
      </c>
      <c r="AC6" s="485" t="s">
        <v>296</v>
      </c>
      <c r="AD6" s="485" t="s">
        <v>296</v>
      </c>
      <c r="AE6" s="485" t="s">
        <v>296</v>
      </c>
      <c r="AF6" s="485" t="s">
        <v>296</v>
      </c>
      <c r="AG6" s="485" t="s">
        <v>296</v>
      </c>
      <c r="AH6" s="485" t="s">
        <v>296</v>
      </c>
      <c r="AI6" s="485" t="s">
        <v>296</v>
      </c>
      <c r="AJ6" s="485" t="s">
        <v>296</v>
      </c>
      <c r="AK6" s="485" t="s">
        <v>296</v>
      </c>
      <c r="AL6" s="487">
        <f>COUNTIF(G6:AK6,"D")</f>
        <v>19</v>
      </c>
      <c r="AM6" s="488">
        <f t="shared" si="0"/>
        <v>12</v>
      </c>
      <c r="AN6" s="488">
        <f t="shared" si="1"/>
        <v>0</v>
      </c>
      <c r="AO6" s="488">
        <f>SUM(AL6:AN6)</f>
        <v>31</v>
      </c>
      <c r="AP6" s="489">
        <f t="shared" si="2"/>
        <v>19</v>
      </c>
    </row>
    <row r="7" spans="1:44" ht="12" customHeight="1">
      <c r="A7" s="302">
        <f t="shared" si="3"/>
        <v>4</v>
      </c>
      <c r="B7" s="300" t="s">
        <v>126</v>
      </c>
      <c r="C7" s="301" t="s">
        <v>127</v>
      </c>
      <c r="D7" s="300" t="s">
        <v>32</v>
      </c>
      <c r="E7" s="301" t="s">
        <v>306</v>
      </c>
      <c r="F7" s="301" t="s">
        <v>128</v>
      </c>
      <c r="G7" s="485" t="s">
        <v>305</v>
      </c>
      <c r="H7" s="485" t="s">
        <v>305</v>
      </c>
      <c r="I7" s="485" t="s">
        <v>296</v>
      </c>
      <c r="J7" s="485" t="s">
        <v>296</v>
      </c>
      <c r="K7" s="485" t="s">
        <v>296</v>
      </c>
      <c r="L7" s="485" t="s">
        <v>296</v>
      </c>
      <c r="M7" s="485" t="s">
        <v>296</v>
      </c>
      <c r="N7" s="485" t="s">
        <v>296</v>
      </c>
      <c r="O7" s="485" t="s">
        <v>296</v>
      </c>
      <c r="P7" s="485" t="s">
        <v>296</v>
      </c>
      <c r="Q7" s="485" t="s">
        <v>296</v>
      </c>
      <c r="R7" s="485" t="s">
        <v>296</v>
      </c>
      <c r="S7" s="485" t="s">
        <v>305</v>
      </c>
      <c r="T7" s="485" t="s">
        <v>305</v>
      </c>
      <c r="U7" s="485" t="s">
        <v>305</v>
      </c>
      <c r="V7" s="485" t="s">
        <v>305</v>
      </c>
      <c r="W7" s="485" t="s">
        <v>305</v>
      </c>
      <c r="X7" s="485" t="s">
        <v>305</v>
      </c>
      <c r="Y7" s="485" t="s">
        <v>305</v>
      </c>
      <c r="Z7" s="485" t="s">
        <v>305</v>
      </c>
      <c r="AA7" s="485" t="s">
        <v>305</v>
      </c>
      <c r="AB7" s="485" t="s">
        <v>305</v>
      </c>
      <c r="AC7" s="485" t="s">
        <v>296</v>
      </c>
      <c r="AD7" s="485" t="s">
        <v>296</v>
      </c>
      <c r="AE7" s="485" t="s">
        <v>296</v>
      </c>
      <c r="AF7" s="485" t="s">
        <v>296</v>
      </c>
      <c r="AG7" s="485" t="s">
        <v>296</v>
      </c>
      <c r="AH7" s="485" t="s">
        <v>296</v>
      </c>
      <c r="AI7" s="485" t="s">
        <v>296</v>
      </c>
      <c r="AJ7" s="485" t="s">
        <v>296</v>
      </c>
      <c r="AK7" s="485" t="s">
        <v>296</v>
      </c>
      <c r="AL7" s="487">
        <f t="shared" ref="AL7:AL70" si="4">COUNTIF(G7:AK7,"D")</f>
        <v>19</v>
      </c>
      <c r="AM7" s="488">
        <f t="shared" si="0"/>
        <v>12</v>
      </c>
      <c r="AN7" s="488">
        <f t="shared" si="1"/>
        <v>0</v>
      </c>
      <c r="AO7" s="488">
        <f t="shared" ref="AO7:AO70" si="5">SUM(AL7:AN7)</f>
        <v>31</v>
      </c>
      <c r="AP7" s="489">
        <f t="shared" si="2"/>
        <v>19</v>
      </c>
    </row>
    <row r="8" spans="1:44" ht="12" customHeight="1">
      <c r="A8" s="302">
        <f t="shared" si="3"/>
        <v>5</v>
      </c>
      <c r="B8" s="300" t="s">
        <v>36</v>
      </c>
      <c r="C8" s="301" t="s">
        <v>37</v>
      </c>
      <c r="D8" s="300" t="s">
        <v>32</v>
      </c>
      <c r="E8" s="301" t="s">
        <v>306</v>
      </c>
      <c r="F8" s="301" t="s">
        <v>38</v>
      </c>
      <c r="G8" s="485" t="s">
        <v>305</v>
      </c>
      <c r="H8" s="485" t="s">
        <v>305</v>
      </c>
      <c r="I8" s="485" t="s">
        <v>307</v>
      </c>
      <c r="J8" s="485" t="s">
        <v>307</v>
      </c>
      <c r="K8" s="485" t="s">
        <v>307</v>
      </c>
      <c r="L8" s="485" t="s">
        <v>307</v>
      </c>
      <c r="M8" s="485" t="s">
        <v>307</v>
      </c>
      <c r="N8" s="485" t="s">
        <v>307</v>
      </c>
      <c r="O8" s="485" t="s">
        <v>307</v>
      </c>
      <c r="P8" s="485" t="s">
        <v>307</v>
      </c>
      <c r="Q8" s="485" t="s">
        <v>307</v>
      </c>
      <c r="R8" s="485" t="s">
        <v>307</v>
      </c>
      <c r="S8" s="485" t="s">
        <v>305</v>
      </c>
      <c r="T8" s="485" t="s">
        <v>305</v>
      </c>
      <c r="U8" s="485" t="s">
        <v>305</v>
      </c>
      <c r="V8" s="485" t="s">
        <v>305</v>
      </c>
      <c r="W8" s="485" t="s">
        <v>305</v>
      </c>
      <c r="X8" s="485" t="s">
        <v>305</v>
      </c>
      <c r="Y8" s="485" t="s">
        <v>305</v>
      </c>
      <c r="Z8" s="485" t="s">
        <v>305</v>
      </c>
      <c r="AA8" s="485" t="s">
        <v>305</v>
      </c>
      <c r="AB8" s="485" t="s">
        <v>305</v>
      </c>
      <c r="AC8" s="485" t="s">
        <v>296</v>
      </c>
      <c r="AD8" s="485" t="s">
        <v>296</v>
      </c>
      <c r="AE8" s="485" t="s">
        <v>296</v>
      </c>
      <c r="AF8" s="485" t="s">
        <v>296</v>
      </c>
      <c r="AG8" s="485" t="s">
        <v>296</v>
      </c>
      <c r="AH8" s="485" t="s">
        <v>296</v>
      </c>
      <c r="AI8" s="485" t="s">
        <v>296</v>
      </c>
      <c r="AJ8" s="485" t="s">
        <v>296</v>
      </c>
      <c r="AK8" s="485" t="s">
        <v>296</v>
      </c>
      <c r="AL8" s="487">
        <f t="shared" si="4"/>
        <v>9</v>
      </c>
      <c r="AM8" s="488">
        <f t="shared" si="0"/>
        <v>12</v>
      </c>
      <c r="AN8" s="488">
        <f t="shared" si="1"/>
        <v>10</v>
      </c>
      <c r="AO8" s="488">
        <f t="shared" si="5"/>
        <v>31</v>
      </c>
      <c r="AP8" s="489">
        <f t="shared" si="2"/>
        <v>19</v>
      </c>
    </row>
    <row r="9" spans="1:44" ht="12" customHeight="1">
      <c r="A9" s="302">
        <f t="shared" si="3"/>
        <v>6</v>
      </c>
      <c r="B9" s="300" t="s">
        <v>41</v>
      </c>
      <c r="C9" s="301" t="s">
        <v>42</v>
      </c>
      <c r="D9" s="300" t="s">
        <v>32</v>
      </c>
      <c r="E9" s="301" t="s">
        <v>292</v>
      </c>
      <c r="F9" s="301" t="s">
        <v>308</v>
      </c>
      <c r="G9" s="485" t="s">
        <v>305</v>
      </c>
      <c r="H9" s="485" t="s">
        <v>305</v>
      </c>
      <c r="I9" s="485" t="s">
        <v>307</v>
      </c>
      <c r="J9" s="485" t="s">
        <v>307</v>
      </c>
      <c r="K9" s="485" t="s">
        <v>307</v>
      </c>
      <c r="L9" s="485" t="s">
        <v>307</v>
      </c>
      <c r="M9" s="485" t="s">
        <v>307</v>
      </c>
      <c r="N9" s="485" t="s">
        <v>307</v>
      </c>
      <c r="O9" s="485" t="s">
        <v>307</v>
      </c>
      <c r="P9" s="485" t="s">
        <v>307</v>
      </c>
      <c r="Q9" s="485" t="s">
        <v>307</v>
      </c>
      <c r="R9" s="485" t="s">
        <v>307</v>
      </c>
      <c r="S9" s="485" t="s">
        <v>305</v>
      </c>
      <c r="T9" s="485" t="s">
        <v>305</v>
      </c>
      <c r="U9" s="485" t="s">
        <v>305</v>
      </c>
      <c r="V9" s="485" t="s">
        <v>305</v>
      </c>
      <c r="W9" s="485" t="s">
        <v>305</v>
      </c>
      <c r="X9" s="485" t="s">
        <v>305</v>
      </c>
      <c r="Y9" s="485" t="s">
        <v>305</v>
      </c>
      <c r="Z9" s="485" t="s">
        <v>305</v>
      </c>
      <c r="AA9" s="485" t="s">
        <v>305</v>
      </c>
      <c r="AB9" s="485" t="s">
        <v>305</v>
      </c>
      <c r="AC9" s="485" t="s">
        <v>297</v>
      </c>
      <c r="AD9" s="485" t="s">
        <v>297</v>
      </c>
      <c r="AE9" s="485" t="s">
        <v>297</v>
      </c>
      <c r="AF9" s="485" t="s">
        <v>297</v>
      </c>
      <c r="AG9" s="485" t="s">
        <v>297</v>
      </c>
      <c r="AH9" s="485" t="s">
        <v>297</v>
      </c>
      <c r="AI9" s="485" t="s">
        <v>297</v>
      </c>
      <c r="AJ9" s="485" t="s">
        <v>297</v>
      </c>
      <c r="AK9" s="485" t="s">
        <v>297</v>
      </c>
      <c r="AL9" s="487">
        <f t="shared" si="4"/>
        <v>0</v>
      </c>
      <c r="AM9" s="488">
        <f t="shared" si="0"/>
        <v>12</v>
      </c>
      <c r="AN9" s="488">
        <f t="shared" si="1"/>
        <v>10</v>
      </c>
      <c r="AO9" s="488">
        <f t="shared" si="5"/>
        <v>22</v>
      </c>
      <c r="AP9" s="489">
        <f t="shared" si="2"/>
        <v>10</v>
      </c>
    </row>
    <row r="10" spans="1:44" ht="12" customHeight="1">
      <c r="A10" s="302">
        <f t="shared" si="3"/>
        <v>7</v>
      </c>
      <c r="B10" s="300" t="s">
        <v>84</v>
      </c>
      <c r="C10" s="301" t="s">
        <v>85</v>
      </c>
      <c r="D10" s="300" t="s">
        <v>32</v>
      </c>
      <c r="E10" s="301" t="s">
        <v>292</v>
      </c>
      <c r="F10" s="301" t="s">
        <v>86</v>
      </c>
      <c r="G10" s="485" t="s">
        <v>305</v>
      </c>
      <c r="H10" s="485" t="s">
        <v>305</v>
      </c>
      <c r="I10" s="485" t="s">
        <v>307</v>
      </c>
      <c r="J10" s="485" t="s">
        <v>307</v>
      </c>
      <c r="K10" s="485" t="s">
        <v>307</v>
      </c>
      <c r="L10" s="485" t="s">
        <v>307</v>
      </c>
      <c r="M10" s="485" t="s">
        <v>307</v>
      </c>
      <c r="N10" s="485" t="s">
        <v>307</v>
      </c>
      <c r="O10" s="485" t="s">
        <v>307</v>
      </c>
      <c r="P10" s="485" t="s">
        <v>307</v>
      </c>
      <c r="Q10" s="485" t="s">
        <v>307</v>
      </c>
      <c r="R10" s="485" t="s">
        <v>307</v>
      </c>
      <c r="S10" s="485" t="s">
        <v>305</v>
      </c>
      <c r="T10" s="485" t="s">
        <v>305</v>
      </c>
      <c r="U10" s="485" t="s">
        <v>305</v>
      </c>
      <c r="V10" s="485" t="s">
        <v>305</v>
      </c>
      <c r="W10" s="485" t="s">
        <v>305</v>
      </c>
      <c r="X10" s="485" t="s">
        <v>305</v>
      </c>
      <c r="Y10" s="485" t="s">
        <v>305</v>
      </c>
      <c r="Z10" s="485" t="s">
        <v>305</v>
      </c>
      <c r="AA10" s="485" t="s">
        <v>305</v>
      </c>
      <c r="AB10" s="485" t="s">
        <v>305</v>
      </c>
      <c r="AC10" s="485" t="s">
        <v>296</v>
      </c>
      <c r="AD10" s="485" t="s">
        <v>296</v>
      </c>
      <c r="AE10" s="485" t="s">
        <v>296</v>
      </c>
      <c r="AF10" s="485" t="s">
        <v>296</v>
      </c>
      <c r="AG10" s="485" t="s">
        <v>296</v>
      </c>
      <c r="AH10" s="485" t="s">
        <v>296</v>
      </c>
      <c r="AI10" s="485" t="s">
        <v>296</v>
      </c>
      <c r="AJ10" s="485" t="s">
        <v>296</v>
      </c>
      <c r="AK10" s="485" t="s">
        <v>296</v>
      </c>
      <c r="AL10" s="487">
        <f t="shared" si="4"/>
        <v>9</v>
      </c>
      <c r="AM10" s="488">
        <f t="shared" si="0"/>
        <v>12</v>
      </c>
      <c r="AN10" s="488">
        <f t="shared" si="1"/>
        <v>10</v>
      </c>
      <c r="AO10" s="488">
        <f t="shared" si="5"/>
        <v>31</v>
      </c>
      <c r="AP10" s="489">
        <f t="shared" si="2"/>
        <v>19</v>
      </c>
    </row>
    <row r="11" spans="1:44" ht="12" customHeight="1">
      <c r="A11" s="302">
        <f t="shared" si="3"/>
        <v>8</v>
      </c>
      <c r="B11" s="300" t="s">
        <v>87</v>
      </c>
      <c r="C11" s="301" t="s">
        <v>88</v>
      </c>
      <c r="D11" s="300" t="s">
        <v>32</v>
      </c>
      <c r="E11" s="301" t="s">
        <v>292</v>
      </c>
      <c r="F11" s="301" t="s">
        <v>86</v>
      </c>
      <c r="G11" s="485" t="s">
        <v>305</v>
      </c>
      <c r="H11" s="485" t="s">
        <v>305</v>
      </c>
      <c r="I11" s="485" t="s">
        <v>296</v>
      </c>
      <c r="J11" s="485" t="s">
        <v>296</v>
      </c>
      <c r="K11" s="485" t="s">
        <v>296</v>
      </c>
      <c r="L11" s="485" t="s">
        <v>296</v>
      </c>
      <c r="M11" s="485" t="s">
        <v>296</v>
      </c>
      <c r="N11" s="485" t="s">
        <v>296</v>
      </c>
      <c r="O11" s="485" t="s">
        <v>296</v>
      </c>
      <c r="P11" s="485" t="s">
        <v>296</v>
      </c>
      <c r="Q11" s="485" t="s">
        <v>296</v>
      </c>
      <c r="R11" s="485" t="s">
        <v>296</v>
      </c>
      <c r="S11" s="485" t="s">
        <v>305</v>
      </c>
      <c r="T11" s="485" t="s">
        <v>305</v>
      </c>
      <c r="U11" s="485" t="s">
        <v>305</v>
      </c>
      <c r="V11" s="485" t="s">
        <v>305</v>
      </c>
      <c r="W11" s="485" t="s">
        <v>305</v>
      </c>
      <c r="X11" s="485" t="s">
        <v>305</v>
      </c>
      <c r="Y11" s="485" t="s">
        <v>305</v>
      </c>
      <c r="Z11" s="485" t="s">
        <v>305</v>
      </c>
      <c r="AA11" s="485" t="s">
        <v>305</v>
      </c>
      <c r="AB11" s="485" t="s">
        <v>305</v>
      </c>
      <c r="AC11" s="485" t="s">
        <v>307</v>
      </c>
      <c r="AD11" s="485" t="s">
        <v>307</v>
      </c>
      <c r="AE11" s="485" t="s">
        <v>307</v>
      </c>
      <c r="AF11" s="485" t="s">
        <v>307</v>
      </c>
      <c r="AG11" s="485" t="s">
        <v>307</v>
      </c>
      <c r="AH11" s="485" t="s">
        <v>307</v>
      </c>
      <c r="AI11" s="485" t="s">
        <v>307</v>
      </c>
      <c r="AJ11" s="485" t="s">
        <v>307</v>
      </c>
      <c r="AK11" s="485" t="s">
        <v>307</v>
      </c>
      <c r="AL11" s="487">
        <f t="shared" si="4"/>
        <v>10</v>
      </c>
      <c r="AM11" s="488">
        <f t="shared" si="0"/>
        <v>12</v>
      </c>
      <c r="AN11" s="488">
        <f t="shared" si="1"/>
        <v>9</v>
      </c>
      <c r="AO11" s="488">
        <f t="shared" si="5"/>
        <v>31</v>
      </c>
      <c r="AP11" s="489">
        <f t="shared" si="2"/>
        <v>19</v>
      </c>
    </row>
    <row r="12" spans="1:44" ht="12" customHeight="1">
      <c r="A12" s="302">
        <f t="shared" si="3"/>
        <v>9</v>
      </c>
      <c r="B12" s="300" t="s">
        <v>31</v>
      </c>
      <c r="C12" s="301" t="s">
        <v>33</v>
      </c>
      <c r="D12" s="300" t="s">
        <v>32</v>
      </c>
      <c r="E12" s="301" t="s">
        <v>292</v>
      </c>
      <c r="F12" s="301" t="s">
        <v>23</v>
      </c>
      <c r="G12" s="485" t="s">
        <v>305</v>
      </c>
      <c r="H12" s="485" t="s">
        <v>305</v>
      </c>
      <c r="I12" s="485" t="s">
        <v>296</v>
      </c>
      <c r="J12" s="485" t="s">
        <v>296</v>
      </c>
      <c r="K12" s="485" t="s">
        <v>296</v>
      </c>
      <c r="L12" s="485" t="s">
        <v>296</v>
      </c>
      <c r="M12" s="485" t="s">
        <v>296</v>
      </c>
      <c r="N12" s="485" t="s">
        <v>296</v>
      </c>
      <c r="O12" s="485" t="s">
        <v>296</v>
      </c>
      <c r="P12" s="485" t="s">
        <v>296</v>
      </c>
      <c r="Q12" s="485" t="s">
        <v>296</v>
      </c>
      <c r="R12" s="485" t="s">
        <v>296</v>
      </c>
      <c r="S12" s="485" t="s">
        <v>305</v>
      </c>
      <c r="T12" s="485" t="s">
        <v>305</v>
      </c>
      <c r="U12" s="485" t="s">
        <v>305</v>
      </c>
      <c r="V12" s="485" t="s">
        <v>305</v>
      </c>
      <c r="W12" s="485" t="s">
        <v>305</v>
      </c>
      <c r="X12" s="485" t="s">
        <v>305</v>
      </c>
      <c r="Y12" s="485" t="s">
        <v>305</v>
      </c>
      <c r="Z12" s="485" t="s">
        <v>305</v>
      </c>
      <c r="AA12" s="485" t="s">
        <v>305</v>
      </c>
      <c r="AB12" s="485" t="s">
        <v>305</v>
      </c>
      <c r="AC12" s="485" t="s">
        <v>309</v>
      </c>
      <c r="AD12" s="485" t="s">
        <v>309</v>
      </c>
      <c r="AE12" s="485" t="s">
        <v>309</v>
      </c>
      <c r="AF12" s="485" t="s">
        <v>309</v>
      </c>
      <c r="AG12" s="485" t="s">
        <v>309</v>
      </c>
      <c r="AH12" s="485" t="s">
        <v>309</v>
      </c>
      <c r="AI12" s="485" t="s">
        <v>309</v>
      </c>
      <c r="AJ12" s="485" t="s">
        <v>309</v>
      </c>
      <c r="AK12" s="485" t="s">
        <v>309</v>
      </c>
      <c r="AL12" s="487">
        <f t="shared" si="4"/>
        <v>10</v>
      </c>
      <c r="AM12" s="488">
        <f t="shared" si="0"/>
        <v>12</v>
      </c>
      <c r="AN12" s="488">
        <f t="shared" si="1"/>
        <v>0</v>
      </c>
      <c r="AO12" s="488">
        <f t="shared" si="5"/>
        <v>22</v>
      </c>
      <c r="AP12" s="489">
        <f t="shared" si="2"/>
        <v>10</v>
      </c>
    </row>
    <row r="13" spans="1:44" ht="12" customHeight="1">
      <c r="A13" s="302">
        <f t="shared" si="3"/>
        <v>10</v>
      </c>
      <c r="B13" s="300" t="s">
        <v>129</v>
      </c>
      <c r="C13" s="302" t="s">
        <v>130</v>
      </c>
      <c r="D13" s="300" t="s">
        <v>32</v>
      </c>
      <c r="E13" s="301" t="s">
        <v>292</v>
      </c>
      <c r="F13" s="301" t="s">
        <v>128</v>
      </c>
      <c r="G13" s="485" t="s">
        <v>297</v>
      </c>
      <c r="H13" s="485" t="s">
        <v>297</v>
      </c>
      <c r="I13" s="485" t="s">
        <v>297</v>
      </c>
      <c r="J13" s="485" t="s">
        <v>297</v>
      </c>
      <c r="K13" s="485" t="s">
        <v>297</v>
      </c>
      <c r="L13" s="485" t="s">
        <v>297</v>
      </c>
      <c r="M13" s="485" t="s">
        <v>310</v>
      </c>
      <c r="N13" s="485" t="s">
        <v>310</v>
      </c>
      <c r="O13" s="485" t="s">
        <v>310</v>
      </c>
      <c r="P13" s="485" t="s">
        <v>310</v>
      </c>
      <c r="Q13" s="485" t="s">
        <v>310</v>
      </c>
      <c r="R13" s="485" t="s">
        <v>310</v>
      </c>
      <c r="S13" s="485" t="s">
        <v>310</v>
      </c>
      <c r="T13" s="485" t="s">
        <v>310</v>
      </c>
      <c r="U13" s="485" t="s">
        <v>310</v>
      </c>
      <c r="V13" s="485" t="s">
        <v>310</v>
      </c>
      <c r="W13" s="485" t="s">
        <v>310</v>
      </c>
      <c r="X13" s="485" t="s">
        <v>310</v>
      </c>
      <c r="Y13" s="485" t="s">
        <v>310</v>
      </c>
      <c r="Z13" s="485" t="s">
        <v>310</v>
      </c>
      <c r="AA13" s="485" t="s">
        <v>305</v>
      </c>
      <c r="AB13" s="485" t="s">
        <v>305</v>
      </c>
      <c r="AC13" s="485" t="s">
        <v>309</v>
      </c>
      <c r="AD13" s="485" t="s">
        <v>309</v>
      </c>
      <c r="AE13" s="485" t="s">
        <v>309</v>
      </c>
      <c r="AF13" s="485" t="s">
        <v>309</v>
      </c>
      <c r="AG13" s="485" t="s">
        <v>309</v>
      </c>
      <c r="AH13" s="485" t="s">
        <v>309</v>
      </c>
      <c r="AI13" s="485" t="s">
        <v>309</v>
      </c>
      <c r="AJ13" s="485" t="s">
        <v>309</v>
      </c>
      <c r="AK13" s="485" t="s">
        <v>309</v>
      </c>
      <c r="AL13" s="487">
        <f t="shared" si="4"/>
        <v>0</v>
      </c>
      <c r="AM13" s="488">
        <f t="shared" si="0"/>
        <v>2</v>
      </c>
      <c r="AN13" s="488">
        <f t="shared" si="1"/>
        <v>0</v>
      </c>
      <c r="AO13" s="488">
        <f t="shared" si="5"/>
        <v>2</v>
      </c>
      <c r="AP13" s="489">
        <f t="shared" si="2"/>
        <v>0</v>
      </c>
    </row>
    <row r="14" spans="1:44" ht="12" customHeight="1">
      <c r="A14" s="302">
        <f t="shared" si="3"/>
        <v>11</v>
      </c>
      <c r="B14" s="300" t="s">
        <v>44</v>
      </c>
      <c r="C14" s="302" t="s">
        <v>45</v>
      </c>
      <c r="D14" s="300" t="s">
        <v>32</v>
      </c>
      <c r="E14" s="301" t="s">
        <v>292</v>
      </c>
      <c r="F14" s="301" t="s">
        <v>308</v>
      </c>
      <c r="G14" s="485" t="s">
        <v>305</v>
      </c>
      <c r="H14" s="485" t="s">
        <v>305</v>
      </c>
      <c r="I14" s="485" t="s">
        <v>294</v>
      </c>
      <c r="J14" s="485" t="s">
        <v>294</v>
      </c>
      <c r="K14" s="485" t="s">
        <v>294</v>
      </c>
      <c r="L14" s="485" t="s">
        <v>294</v>
      </c>
      <c r="M14" s="485" t="s">
        <v>296</v>
      </c>
      <c r="N14" s="485" t="s">
        <v>296</v>
      </c>
      <c r="O14" s="485" t="s">
        <v>296</v>
      </c>
      <c r="P14" s="485" t="s">
        <v>296</v>
      </c>
      <c r="Q14" s="485" t="s">
        <v>296</v>
      </c>
      <c r="R14" s="485" t="s">
        <v>296</v>
      </c>
      <c r="S14" s="485" t="s">
        <v>305</v>
      </c>
      <c r="T14" s="485" t="s">
        <v>305</v>
      </c>
      <c r="U14" s="485" t="s">
        <v>305</v>
      </c>
      <c r="V14" s="485" t="s">
        <v>305</v>
      </c>
      <c r="W14" s="485" t="s">
        <v>305</v>
      </c>
      <c r="X14" s="485" t="s">
        <v>305</v>
      </c>
      <c r="Y14" s="485" t="s">
        <v>305</v>
      </c>
      <c r="Z14" s="485" t="s">
        <v>305</v>
      </c>
      <c r="AA14" s="485" t="s">
        <v>305</v>
      </c>
      <c r="AB14" s="485" t="s">
        <v>305</v>
      </c>
      <c r="AC14" s="485" t="s">
        <v>307</v>
      </c>
      <c r="AD14" s="485" t="s">
        <v>307</v>
      </c>
      <c r="AE14" s="485" t="s">
        <v>307</v>
      </c>
      <c r="AF14" s="485" t="s">
        <v>307</v>
      </c>
      <c r="AG14" s="485" t="s">
        <v>307</v>
      </c>
      <c r="AH14" s="485" t="s">
        <v>307</v>
      </c>
      <c r="AI14" s="485" t="s">
        <v>307</v>
      </c>
      <c r="AJ14" s="485" t="s">
        <v>307</v>
      </c>
      <c r="AK14" s="485" t="s">
        <v>307</v>
      </c>
      <c r="AL14" s="487">
        <f t="shared" si="4"/>
        <v>6</v>
      </c>
      <c r="AM14" s="488">
        <f t="shared" si="0"/>
        <v>12</v>
      </c>
      <c r="AN14" s="488">
        <f t="shared" si="1"/>
        <v>9</v>
      </c>
      <c r="AO14" s="488">
        <f t="shared" si="5"/>
        <v>27</v>
      </c>
      <c r="AP14" s="489">
        <f t="shared" si="2"/>
        <v>15</v>
      </c>
    </row>
    <row r="15" spans="1:44" s="491" customFormat="1" ht="12" customHeight="1">
      <c r="A15" s="302">
        <f t="shared" si="3"/>
        <v>12</v>
      </c>
      <c r="B15" s="300" t="s">
        <v>135</v>
      </c>
      <c r="C15" s="302" t="s">
        <v>136</v>
      </c>
      <c r="D15" s="300" t="s">
        <v>32</v>
      </c>
      <c r="E15" s="301" t="s">
        <v>292</v>
      </c>
      <c r="F15" s="301" t="s">
        <v>137</v>
      </c>
      <c r="G15" s="485" t="s">
        <v>305</v>
      </c>
      <c r="H15" s="485" t="s">
        <v>305</v>
      </c>
      <c r="I15" s="485" t="s">
        <v>296</v>
      </c>
      <c r="J15" s="485" t="s">
        <v>296</v>
      </c>
      <c r="K15" s="485" t="s">
        <v>296</v>
      </c>
      <c r="L15" s="485" t="s">
        <v>296</v>
      </c>
      <c r="M15" s="485" t="s">
        <v>296</v>
      </c>
      <c r="N15" s="485" t="s">
        <v>296</v>
      </c>
      <c r="O15" s="485" t="s">
        <v>296</v>
      </c>
      <c r="P15" s="485" t="s">
        <v>296</v>
      </c>
      <c r="Q15" s="485" t="s">
        <v>296</v>
      </c>
      <c r="R15" s="485" t="s">
        <v>296</v>
      </c>
      <c r="S15" s="485" t="s">
        <v>305</v>
      </c>
      <c r="T15" s="485" t="s">
        <v>305</v>
      </c>
      <c r="U15" s="485" t="s">
        <v>305</v>
      </c>
      <c r="V15" s="485" t="s">
        <v>305</v>
      </c>
      <c r="W15" s="485" t="s">
        <v>305</v>
      </c>
      <c r="X15" s="485" t="s">
        <v>305</v>
      </c>
      <c r="Y15" s="485" t="s">
        <v>305</v>
      </c>
      <c r="Z15" s="485" t="s">
        <v>305</v>
      </c>
      <c r="AA15" s="485" t="s">
        <v>305</v>
      </c>
      <c r="AB15" s="485" t="s">
        <v>305</v>
      </c>
      <c r="AC15" s="485" t="s">
        <v>296</v>
      </c>
      <c r="AD15" s="485" t="s">
        <v>296</v>
      </c>
      <c r="AE15" s="485" t="s">
        <v>296</v>
      </c>
      <c r="AF15" s="485" t="s">
        <v>296</v>
      </c>
      <c r="AG15" s="485" t="s">
        <v>296</v>
      </c>
      <c r="AH15" s="485" t="s">
        <v>296</v>
      </c>
      <c r="AI15" s="485" t="s">
        <v>296</v>
      </c>
      <c r="AJ15" s="485" t="s">
        <v>296</v>
      </c>
      <c r="AK15" s="485" t="s">
        <v>296</v>
      </c>
      <c r="AL15" s="487">
        <f t="shared" si="4"/>
        <v>19</v>
      </c>
      <c r="AM15" s="488">
        <f t="shared" si="0"/>
        <v>12</v>
      </c>
      <c r="AN15" s="488">
        <f t="shared" si="1"/>
        <v>0</v>
      </c>
      <c r="AO15" s="488">
        <f t="shared" si="5"/>
        <v>31</v>
      </c>
      <c r="AP15" s="489">
        <f t="shared" si="2"/>
        <v>19</v>
      </c>
    </row>
    <row r="16" spans="1:44" ht="12" customHeight="1">
      <c r="A16" s="302">
        <f t="shared" si="3"/>
        <v>13</v>
      </c>
      <c r="B16" s="300" t="s">
        <v>108</v>
      </c>
      <c r="C16" s="301" t="s">
        <v>109</v>
      </c>
      <c r="D16" s="300" t="s">
        <v>32</v>
      </c>
      <c r="E16" s="301" t="s">
        <v>292</v>
      </c>
      <c r="F16" s="301" t="s">
        <v>110</v>
      </c>
      <c r="G16" s="485" t="s">
        <v>305</v>
      </c>
      <c r="H16" s="485" t="s">
        <v>305</v>
      </c>
      <c r="I16" s="485" t="s">
        <v>307</v>
      </c>
      <c r="J16" s="485" t="s">
        <v>307</v>
      </c>
      <c r="K16" s="485" t="s">
        <v>307</v>
      </c>
      <c r="L16" s="485" t="s">
        <v>307</v>
      </c>
      <c r="M16" s="485" t="s">
        <v>307</v>
      </c>
      <c r="N16" s="485" t="s">
        <v>307</v>
      </c>
      <c r="O16" s="485" t="s">
        <v>307</v>
      </c>
      <c r="P16" s="485" t="s">
        <v>307</v>
      </c>
      <c r="Q16" s="485" t="s">
        <v>307</v>
      </c>
      <c r="R16" s="485" t="s">
        <v>307</v>
      </c>
      <c r="S16" s="485" t="s">
        <v>305</v>
      </c>
      <c r="T16" s="485" t="s">
        <v>305</v>
      </c>
      <c r="U16" s="485" t="s">
        <v>305</v>
      </c>
      <c r="V16" s="485" t="s">
        <v>305</v>
      </c>
      <c r="W16" s="485" t="s">
        <v>305</v>
      </c>
      <c r="X16" s="485" t="s">
        <v>305</v>
      </c>
      <c r="Y16" s="485" t="s">
        <v>305</v>
      </c>
      <c r="Z16" s="485" t="s">
        <v>305</v>
      </c>
      <c r="AA16" s="485" t="s">
        <v>305</v>
      </c>
      <c r="AB16" s="485" t="s">
        <v>305</v>
      </c>
      <c r="AC16" s="485" t="s">
        <v>296</v>
      </c>
      <c r="AD16" s="485" t="s">
        <v>296</v>
      </c>
      <c r="AE16" s="485" t="s">
        <v>296</v>
      </c>
      <c r="AF16" s="485" t="s">
        <v>296</v>
      </c>
      <c r="AG16" s="485" t="s">
        <v>296</v>
      </c>
      <c r="AH16" s="485" t="s">
        <v>296</v>
      </c>
      <c r="AI16" s="485" t="s">
        <v>296</v>
      </c>
      <c r="AJ16" s="485" t="s">
        <v>296</v>
      </c>
      <c r="AK16" s="485" t="s">
        <v>296</v>
      </c>
      <c r="AL16" s="487">
        <f t="shared" si="4"/>
        <v>9</v>
      </c>
      <c r="AM16" s="488">
        <f t="shared" si="0"/>
        <v>12</v>
      </c>
      <c r="AN16" s="488">
        <f t="shared" si="1"/>
        <v>10</v>
      </c>
      <c r="AO16" s="488">
        <f t="shared" si="5"/>
        <v>31</v>
      </c>
      <c r="AP16" s="489">
        <f t="shared" si="2"/>
        <v>19</v>
      </c>
    </row>
    <row r="17" spans="1:42" ht="12" customHeight="1">
      <c r="A17" s="302">
        <f t="shared" si="3"/>
        <v>14</v>
      </c>
      <c r="B17" s="300" t="s">
        <v>47</v>
      </c>
      <c r="C17" s="301" t="s">
        <v>311</v>
      </c>
      <c r="D17" s="300" t="s">
        <v>32</v>
      </c>
      <c r="E17" s="301" t="s">
        <v>292</v>
      </c>
      <c r="F17" s="301" t="s">
        <v>38</v>
      </c>
      <c r="G17" s="485" t="s">
        <v>305</v>
      </c>
      <c r="H17" s="485" t="s">
        <v>305</v>
      </c>
      <c r="I17" s="485" t="s">
        <v>296</v>
      </c>
      <c r="J17" s="485" t="s">
        <v>296</v>
      </c>
      <c r="K17" s="485" t="s">
        <v>296</v>
      </c>
      <c r="L17" s="485" t="s">
        <v>296</v>
      </c>
      <c r="M17" s="485" t="s">
        <v>296</v>
      </c>
      <c r="N17" s="485" t="s">
        <v>296</v>
      </c>
      <c r="O17" s="485" t="s">
        <v>296</v>
      </c>
      <c r="P17" s="485" t="s">
        <v>296</v>
      </c>
      <c r="Q17" s="485" t="s">
        <v>296</v>
      </c>
      <c r="R17" s="485" t="s">
        <v>296</v>
      </c>
      <c r="S17" s="485" t="s">
        <v>305</v>
      </c>
      <c r="T17" s="485" t="s">
        <v>305</v>
      </c>
      <c r="U17" s="485" t="s">
        <v>305</v>
      </c>
      <c r="V17" s="485" t="s">
        <v>305</v>
      </c>
      <c r="W17" s="485" t="s">
        <v>305</v>
      </c>
      <c r="X17" s="485" t="s">
        <v>305</v>
      </c>
      <c r="Y17" s="485" t="s">
        <v>305</v>
      </c>
      <c r="Z17" s="485" t="s">
        <v>305</v>
      </c>
      <c r="AA17" s="485" t="s">
        <v>305</v>
      </c>
      <c r="AB17" s="485" t="s">
        <v>305</v>
      </c>
      <c r="AC17" s="485" t="s">
        <v>307</v>
      </c>
      <c r="AD17" s="485" t="s">
        <v>307</v>
      </c>
      <c r="AE17" s="485" t="s">
        <v>307</v>
      </c>
      <c r="AF17" s="485" t="s">
        <v>307</v>
      </c>
      <c r="AG17" s="485" t="s">
        <v>307</v>
      </c>
      <c r="AH17" s="485" t="s">
        <v>307</v>
      </c>
      <c r="AI17" s="485" t="s">
        <v>307</v>
      </c>
      <c r="AJ17" s="485" t="s">
        <v>307</v>
      </c>
      <c r="AK17" s="485" t="s">
        <v>307</v>
      </c>
      <c r="AL17" s="487">
        <f t="shared" si="4"/>
        <v>10</v>
      </c>
      <c r="AM17" s="488">
        <f t="shared" si="0"/>
        <v>12</v>
      </c>
      <c r="AN17" s="488">
        <f t="shared" si="1"/>
        <v>9</v>
      </c>
      <c r="AO17" s="488">
        <f t="shared" si="5"/>
        <v>31</v>
      </c>
      <c r="AP17" s="489">
        <f t="shared" si="2"/>
        <v>19</v>
      </c>
    </row>
    <row r="18" spans="1:42" ht="12" customHeight="1">
      <c r="A18" s="302">
        <f t="shared" si="3"/>
        <v>15</v>
      </c>
      <c r="B18" s="300" t="s">
        <v>81</v>
      </c>
      <c r="C18" s="301" t="s">
        <v>82</v>
      </c>
      <c r="D18" s="300" t="s">
        <v>32</v>
      </c>
      <c r="E18" s="301" t="s">
        <v>306</v>
      </c>
      <c r="F18" s="301" t="s">
        <v>83</v>
      </c>
      <c r="G18" s="485" t="s">
        <v>305</v>
      </c>
      <c r="H18" s="485" t="s">
        <v>305</v>
      </c>
      <c r="I18" s="485" t="s">
        <v>296</v>
      </c>
      <c r="J18" s="485" t="s">
        <v>296</v>
      </c>
      <c r="K18" s="485" t="s">
        <v>296</v>
      </c>
      <c r="L18" s="485" t="s">
        <v>296</v>
      </c>
      <c r="M18" s="485" t="s">
        <v>297</v>
      </c>
      <c r="N18" s="485" t="s">
        <v>297</v>
      </c>
      <c r="O18" s="485" t="s">
        <v>297</v>
      </c>
      <c r="P18" s="485" t="s">
        <v>297</v>
      </c>
      <c r="Q18" s="485" t="s">
        <v>297</v>
      </c>
      <c r="R18" s="485" t="s">
        <v>297</v>
      </c>
      <c r="S18" s="485" t="s">
        <v>305</v>
      </c>
      <c r="T18" s="485" t="s">
        <v>305</v>
      </c>
      <c r="U18" s="485" t="s">
        <v>305</v>
      </c>
      <c r="V18" s="485" t="s">
        <v>305</v>
      </c>
      <c r="W18" s="485" t="s">
        <v>305</v>
      </c>
      <c r="X18" s="485" t="s">
        <v>305</v>
      </c>
      <c r="Y18" s="485" t="s">
        <v>305</v>
      </c>
      <c r="Z18" s="485" t="s">
        <v>305</v>
      </c>
      <c r="AA18" s="485" t="s">
        <v>305</v>
      </c>
      <c r="AB18" s="485" t="s">
        <v>305</v>
      </c>
      <c r="AC18" s="485" t="s">
        <v>296</v>
      </c>
      <c r="AD18" s="485" t="s">
        <v>296</v>
      </c>
      <c r="AE18" s="485" t="s">
        <v>296</v>
      </c>
      <c r="AF18" s="485" t="s">
        <v>296</v>
      </c>
      <c r="AG18" s="485" t="s">
        <v>296</v>
      </c>
      <c r="AH18" s="485" t="s">
        <v>296</v>
      </c>
      <c r="AI18" s="485" t="s">
        <v>296</v>
      </c>
      <c r="AJ18" s="485" t="s">
        <v>296</v>
      </c>
      <c r="AK18" s="485" t="s">
        <v>296</v>
      </c>
      <c r="AL18" s="487">
        <f t="shared" si="4"/>
        <v>13</v>
      </c>
      <c r="AM18" s="488">
        <f t="shared" si="0"/>
        <v>12</v>
      </c>
      <c r="AN18" s="488">
        <f t="shared" si="1"/>
        <v>0</v>
      </c>
      <c r="AO18" s="488">
        <f t="shared" si="5"/>
        <v>25</v>
      </c>
      <c r="AP18" s="489">
        <f t="shared" si="2"/>
        <v>13</v>
      </c>
    </row>
    <row r="19" spans="1:42" ht="12" customHeight="1">
      <c r="A19" s="302">
        <f t="shared" si="3"/>
        <v>16</v>
      </c>
      <c r="B19" s="300" t="s">
        <v>50</v>
      </c>
      <c r="C19" s="301" t="s">
        <v>51</v>
      </c>
      <c r="D19" s="300" t="s">
        <v>32</v>
      </c>
      <c r="E19" s="301" t="s">
        <v>292</v>
      </c>
      <c r="F19" s="301" t="s">
        <v>38</v>
      </c>
      <c r="G19" s="485" t="s">
        <v>305</v>
      </c>
      <c r="H19" s="485" t="s">
        <v>305</v>
      </c>
      <c r="I19" s="485" t="s">
        <v>307</v>
      </c>
      <c r="J19" s="485" t="s">
        <v>307</v>
      </c>
      <c r="K19" s="485" t="s">
        <v>307</v>
      </c>
      <c r="L19" s="485" t="s">
        <v>307</v>
      </c>
      <c r="M19" s="485" t="s">
        <v>307</v>
      </c>
      <c r="N19" s="485" t="s">
        <v>307</v>
      </c>
      <c r="O19" s="485" t="s">
        <v>307</v>
      </c>
      <c r="P19" s="485" t="s">
        <v>307</v>
      </c>
      <c r="Q19" s="485" t="s">
        <v>307</v>
      </c>
      <c r="R19" s="485" t="s">
        <v>307</v>
      </c>
      <c r="S19" s="485" t="s">
        <v>305</v>
      </c>
      <c r="T19" s="485" t="s">
        <v>305</v>
      </c>
      <c r="U19" s="485" t="s">
        <v>305</v>
      </c>
      <c r="V19" s="485" t="s">
        <v>305</v>
      </c>
      <c r="W19" s="485" t="s">
        <v>305</v>
      </c>
      <c r="X19" s="485" t="s">
        <v>305</v>
      </c>
      <c r="Y19" s="485" t="s">
        <v>305</v>
      </c>
      <c r="Z19" s="485" t="s">
        <v>305</v>
      </c>
      <c r="AA19" s="485" t="s">
        <v>305</v>
      </c>
      <c r="AB19" s="485" t="s">
        <v>305</v>
      </c>
      <c r="AC19" s="492"/>
      <c r="AD19" s="492"/>
      <c r="AE19" s="492"/>
      <c r="AF19" s="492"/>
      <c r="AG19" s="492"/>
      <c r="AH19" s="492"/>
      <c r="AI19" s="492"/>
      <c r="AJ19" s="492"/>
      <c r="AK19" s="492"/>
      <c r="AL19" s="487">
        <f t="shared" si="4"/>
        <v>0</v>
      </c>
      <c r="AM19" s="488">
        <f t="shared" si="0"/>
        <v>12</v>
      </c>
      <c r="AN19" s="488">
        <f t="shared" si="1"/>
        <v>10</v>
      </c>
      <c r="AO19" s="488">
        <f t="shared" si="5"/>
        <v>22</v>
      </c>
      <c r="AP19" s="489">
        <f t="shared" si="2"/>
        <v>10</v>
      </c>
    </row>
    <row r="20" spans="1:42" ht="12" customHeight="1">
      <c r="A20" s="302">
        <f t="shared" si="3"/>
        <v>17</v>
      </c>
      <c r="B20" s="300" t="s">
        <v>112</v>
      </c>
      <c r="C20" s="301" t="s">
        <v>113</v>
      </c>
      <c r="D20" s="300" t="s">
        <v>32</v>
      </c>
      <c r="E20" s="301" t="s">
        <v>292</v>
      </c>
      <c r="F20" s="301" t="s">
        <v>110</v>
      </c>
      <c r="G20" s="485" t="s">
        <v>305</v>
      </c>
      <c r="H20" s="485" t="s">
        <v>305</v>
      </c>
      <c r="I20" s="485" t="s">
        <v>305</v>
      </c>
      <c r="J20" s="485" t="s">
        <v>305</v>
      </c>
      <c r="K20" s="485" t="s">
        <v>305</v>
      </c>
      <c r="L20" s="485" t="s">
        <v>305</v>
      </c>
      <c r="M20" s="485" t="s">
        <v>305</v>
      </c>
      <c r="N20" s="485" t="s">
        <v>307</v>
      </c>
      <c r="O20" s="485" t="s">
        <v>307</v>
      </c>
      <c r="P20" s="485" t="s">
        <v>307</v>
      </c>
      <c r="Q20" s="485" t="s">
        <v>307</v>
      </c>
      <c r="R20" s="485" t="s">
        <v>307</v>
      </c>
      <c r="S20" s="485" t="s">
        <v>305</v>
      </c>
      <c r="T20" s="485" t="s">
        <v>305</v>
      </c>
      <c r="U20" s="485" t="s">
        <v>305</v>
      </c>
      <c r="V20" s="485" t="s">
        <v>305</v>
      </c>
      <c r="W20" s="485" t="s">
        <v>305</v>
      </c>
      <c r="X20" s="485" t="s">
        <v>305</v>
      </c>
      <c r="Y20" s="485" t="s">
        <v>305</v>
      </c>
      <c r="Z20" s="485" t="s">
        <v>305</v>
      </c>
      <c r="AA20" s="485" t="s">
        <v>305</v>
      </c>
      <c r="AB20" s="485" t="s">
        <v>305</v>
      </c>
      <c r="AC20" s="485" t="s">
        <v>296</v>
      </c>
      <c r="AD20" s="485" t="s">
        <v>296</v>
      </c>
      <c r="AE20" s="485" t="s">
        <v>296</v>
      </c>
      <c r="AF20" s="485" t="s">
        <v>296</v>
      </c>
      <c r="AG20" s="485" t="s">
        <v>296</v>
      </c>
      <c r="AH20" s="485" t="s">
        <v>296</v>
      </c>
      <c r="AI20" s="485" t="s">
        <v>296</v>
      </c>
      <c r="AJ20" s="485" t="s">
        <v>296</v>
      </c>
      <c r="AK20" s="485" t="s">
        <v>296</v>
      </c>
      <c r="AL20" s="487">
        <f t="shared" si="4"/>
        <v>9</v>
      </c>
      <c r="AM20" s="488">
        <f t="shared" si="0"/>
        <v>17</v>
      </c>
      <c r="AN20" s="488">
        <f t="shared" si="1"/>
        <v>5</v>
      </c>
      <c r="AO20" s="488">
        <f t="shared" si="5"/>
        <v>31</v>
      </c>
      <c r="AP20" s="489">
        <f t="shared" si="2"/>
        <v>14</v>
      </c>
    </row>
    <row r="21" spans="1:42" ht="12" customHeight="1">
      <c r="A21" s="302">
        <f t="shared" si="3"/>
        <v>18</v>
      </c>
      <c r="B21" s="300" t="s">
        <v>114</v>
      </c>
      <c r="C21" s="301" t="s">
        <v>115</v>
      </c>
      <c r="D21" s="300" t="s">
        <v>32</v>
      </c>
      <c r="E21" s="301" t="s">
        <v>292</v>
      </c>
      <c r="F21" s="301" t="s">
        <v>110</v>
      </c>
      <c r="G21" s="485" t="s">
        <v>305</v>
      </c>
      <c r="H21" s="485" t="s">
        <v>305</v>
      </c>
      <c r="I21" s="485" t="s">
        <v>296</v>
      </c>
      <c r="J21" s="485" t="s">
        <v>296</v>
      </c>
      <c r="K21" s="485" t="s">
        <v>296</v>
      </c>
      <c r="L21" s="485" t="s">
        <v>296</v>
      </c>
      <c r="M21" s="485" t="s">
        <v>296</v>
      </c>
      <c r="N21" s="485" t="s">
        <v>296</v>
      </c>
      <c r="O21" s="485" t="s">
        <v>296</v>
      </c>
      <c r="P21" s="485" t="s">
        <v>296</v>
      </c>
      <c r="Q21" s="485" t="s">
        <v>296</v>
      </c>
      <c r="R21" s="485" t="s">
        <v>296</v>
      </c>
      <c r="S21" s="485" t="s">
        <v>305</v>
      </c>
      <c r="T21" s="485" t="s">
        <v>305</v>
      </c>
      <c r="U21" s="485" t="s">
        <v>305</v>
      </c>
      <c r="V21" s="485" t="s">
        <v>305</v>
      </c>
      <c r="W21" s="485" t="s">
        <v>305</v>
      </c>
      <c r="X21" s="485" t="s">
        <v>305</v>
      </c>
      <c r="Y21" s="485" t="s">
        <v>305</v>
      </c>
      <c r="Z21" s="485" t="s">
        <v>305</v>
      </c>
      <c r="AA21" s="485" t="s">
        <v>305</v>
      </c>
      <c r="AB21" s="485" t="s">
        <v>305</v>
      </c>
      <c r="AC21" s="485" t="s">
        <v>307</v>
      </c>
      <c r="AD21" s="485" t="s">
        <v>307</v>
      </c>
      <c r="AE21" s="485" t="s">
        <v>307</v>
      </c>
      <c r="AF21" s="485" t="s">
        <v>307</v>
      </c>
      <c r="AG21" s="485" t="s">
        <v>307</v>
      </c>
      <c r="AH21" s="485" t="s">
        <v>307</v>
      </c>
      <c r="AI21" s="485" t="s">
        <v>307</v>
      </c>
      <c r="AJ21" s="485" t="s">
        <v>307</v>
      </c>
      <c r="AK21" s="485" t="s">
        <v>307</v>
      </c>
      <c r="AL21" s="487">
        <f t="shared" si="4"/>
        <v>10</v>
      </c>
      <c r="AM21" s="488">
        <f t="shared" si="0"/>
        <v>12</v>
      </c>
      <c r="AN21" s="488">
        <f t="shared" si="1"/>
        <v>9</v>
      </c>
      <c r="AO21" s="488">
        <f t="shared" si="5"/>
        <v>31</v>
      </c>
      <c r="AP21" s="489">
        <f t="shared" si="2"/>
        <v>19</v>
      </c>
    </row>
    <row r="22" spans="1:42" ht="12" customHeight="1">
      <c r="A22" s="302">
        <f t="shared" si="3"/>
        <v>19</v>
      </c>
      <c r="B22" s="300" t="s">
        <v>34</v>
      </c>
      <c r="C22" s="301" t="s">
        <v>35</v>
      </c>
      <c r="D22" s="301" t="s">
        <v>32</v>
      </c>
      <c r="E22" s="301" t="s">
        <v>292</v>
      </c>
      <c r="F22" s="301" t="s">
        <v>23</v>
      </c>
      <c r="G22" s="485" t="s">
        <v>305</v>
      </c>
      <c r="H22" s="485" t="s">
        <v>305</v>
      </c>
      <c r="I22" s="485" t="s">
        <v>296</v>
      </c>
      <c r="J22" s="485" t="s">
        <v>296</v>
      </c>
      <c r="K22" s="485" t="s">
        <v>296</v>
      </c>
      <c r="L22" s="485" t="s">
        <v>296</v>
      </c>
      <c r="M22" s="485" t="s">
        <v>296</v>
      </c>
      <c r="N22" s="485" t="s">
        <v>296</v>
      </c>
      <c r="O22" s="485" t="s">
        <v>296</v>
      </c>
      <c r="P22" s="485" t="s">
        <v>296</v>
      </c>
      <c r="Q22" s="485" t="s">
        <v>296</v>
      </c>
      <c r="R22" s="485" t="s">
        <v>296</v>
      </c>
      <c r="S22" s="485" t="s">
        <v>305</v>
      </c>
      <c r="T22" s="485" t="s">
        <v>305</v>
      </c>
      <c r="U22" s="485" t="s">
        <v>305</v>
      </c>
      <c r="V22" s="485" t="s">
        <v>305</v>
      </c>
      <c r="W22" s="485" t="s">
        <v>305</v>
      </c>
      <c r="X22" s="485" t="s">
        <v>305</v>
      </c>
      <c r="Y22" s="485" t="s">
        <v>305</v>
      </c>
      <c r="Z22" s="485" t="s">
        <v>305</v>
      </c>
      <c r="AA22" s="485" t="s">
        <v>305</v>
      </c>
      <c r="AB22" s="485" t="s">
        <v>305</v>
      </c>
      <c r="AC22" s="485" t="s">
        <v>296</v>
      </c>
      <c r="AD22" s="485" t="s">
        <v>296</v>
      </c>
      <c r="AE22" s="485" t="s">
        <v>296</v>
      </c>
      <c r="AF22" s="485" t="s">
        <v>296</v>
      </c>
      <c r="AG22" s="485" t="s">
        <v>296</v>
      </c>
      <c r="AH22" s="485" t="s">
        <v>296</v>
      </c>
      <c r="AI22" s="485" t="s">
        <v>296</v>
      </c>
      <c r="AJ22" s="485" t="s">
        <v>296</v>
      </c>
      <c r="AK22" s="485" t="s">
        <v>296</v>
      </c>
      <c r="AL22" s="487">
        <f t="shared" si="4"/>
        <v>19</v>
      </c>
      <c r="AM22" s="488">
        <f t="shared" si="0"/>
        <v>12</v>
      </c>
      <c r="AN22" s="488">
        <f t="shared" si="1"/>
        <v>0</v>
      </c>
      <c r="AO22" s="488">
        <f t="shared" si="5"/>
        <v>31</v>
      </c>
      <c r="AP22" s="489">
        <f t="shared" si="2"/>
        <v>19</v>
      </c>
    </row>
    <row r="23" spans="1:42" ht="12" customHeight="1">
      <c r="A23" s="302">
        <f t="shared" si="3"/>
        <v>20</v>
      </c>
      <c r="B23" s="303" t="s">
        <v>53</v>
      </c>
      <c r="C23" s="302" t="s">
        <v>54</v>
      </c>
      <c r="D23" s="303" t="s">
        <v>32</v>
      </c>
      <c r="E23" s="302" t="s">
        <v>292</v>
      </c>
      <c r="F23" s="301" t="s">
        <v>38</v>
      </c>
      <c r="G23" s="485" t="s">
        <v>305</v>
      </c>
      <c r="H23" s="485" t="s">
        <v>305</v>
      </c>
      <c r="I23" s="485" t="s">
        <v>307</v>
      </c>
      <c r="J23" s="485" t="s">
        <v>307</v>
      </c>
      <c r="K23" s="485" t="s">
        <v>307</v>
      </c>
      <c r="L23" s="485" t="s">
        <v>307</v>
      </c>
      <c r="M23" s="485" t="s">
        <v>307</v>
      </c>
      <c r="N23" s="485" t="s">
        <v>307</v>
      </c>
      <c r="O23" s="485" t="s">
        <v>307</v>
      </c>
      <c r="P23" s="485" t="s">
        <v>307</v>
      </c>
      <c r="Q23" s="485" t="s">
        <v>307</v>
      </c>
      <c r="R23" s="485" t="s">
        <v>307</v>
      </c>
      <c r="S23" s="485" t="s">
        <v>305</v>
      </c>
      <c r="T23" s="485" t="s">
        <v>305</v>
      </c>
      <c r="U23" s="485" t="s">
        <v>305</v>
      </c>
      <c r="V23" s="485" t="s">
        <v>305</v>
      </c>
      <c r="W23" s="485" t="s">
        <v>305</v>
      </c>
      <c r="X23" s="485" t="s">
        <v>305</v>
      </c>
      <c r="Y23" s="485" t="s">
        <v>305</v>
      </c>
      <c r="Z23" s="485" t="s">
        <v>305</v>
      </c>
      <c r="AA23" s="485" t="s">
        <v>305</v>
      </c>
      <c r="AB23" s="485" t="s">
        <v>305</v>
      </c>
      <c r="AC23" s="485" t="s">
        <v>296</v>
      </c>
      <c r="AD23" s="485" t="s">
        <v>296</v>
      </c>
      <c r="AE23" s="485" t="s">
        <v>296</v>
      </c>
      <c r="AF23" s="485" t="s">
        <v>296</v>
      </c>
      <c r="AG23" s="485" t="s">
        <v>296</v>
      </c>
      <c r="AH23" s="485" t="s">
        <v>296</v>
      </c>
      <c r="AI23" s="485" t="s">
        <v>296</v>
      </c>
      <c r="AJ23" s="485" t="s">
        <v>296</v>
      </c>
      <c r="AK23" s="485" t="s">
        <v>296</v>
      </c>
      <c r="AL23" s="487">
        <f t="shared" si="4"/>
        <v>9</v>
      </c>
      <c r="AM23" s="488">
        <f t="shared" si="0"/>
        <v>12</v>
      </c>
      <c r="AN23" s="488">
        <f t="shared" si="1"/>
        <v>10</v>
      </c>
      <c r="AO23" s="488">
        <f t="shared" si="5"/>
        <v>31</v>
      </c>
      <c r="AP23" s="489">
        <f t="shared" si="2"/>
        <v>19</v>
      </c>
    </row>
    <row r="24" spans="1:42" s="493" customFormat="1" ht="12" customHeight="1">
      <c r="A24" s="302">
        <f t="shared" si="3"/>
        <v>21</v>
      </c>
      <c r="B24" s="300" t="s">
        <v>100</v>
      </c>
      <c r="C24" s="301" t="s">
        <v>101</v>
      </c>
      <c r="D24" s="300" t="s">
        <v>32</v>
      </c>
      <c r="E24" s="301" t="s">
        <v>292</v>
      </c>
      <c r="F24" s="301" t="s">
        <v>102</v>
      </c>
      <c r="G24" s="485" t="s">
        <v>305</v>
      </c>
      <c r="H24" s="485" t="s">
        <v>305</v>
      </c>
      <c r="I24" s="485" t="s">
        <v>296</v>
      </c>
      <c r="J24" s="485" t="s">
        <v>296</v>
      </c>
      <c r="K24" s="485" t="s">
        <v>296</v>
      </c>
      <c r="L24" s="485" t="s">
        <v>296</v>
      </c>
      <c r="M24" s="485" t="s">
        <v>296</v>
      </c>
      <c r="N24" s="485" t="s">
        <v>296</v>
      </c>
      <c r="O24" s="485" t="s">
        <v>296</v>
      </c>
      <c r="P24" s="485" t="s">
        <v>296</v>
      </c>
      <c r="Q24" s="485" t="s">
        <v>296</v>
      </c>
      <c r="R24" s="485" t="s">
        <v>296</v>
      </c>
      <c r="S24" s="485" t="s">
        <v>305</v>
      </c>
      <c r="T24" s="485" t="s">
        <v>305</v>
      </c>
      <c r="U24" s="485" t="s">
        <v>305</v>
      </c>
      <c r="V24" s="485" t="s">
        <v>305</v>
      </c>
      <c r="W24" s="485" t="s">
        <v>305</v>
      </c>
      <c r="X24" s="485" t="s">
        <v>305</v>
      </c>
      <c r="Y24" s="485" t="s">
        <v>305</v>
      </c>
      <c r="Z24" s="485" t="s">
        <v>305</v>
      </c>
      <c r="AA24" s="485" t="s">
        <v>305</v>
      </c>
      <c r="AB24" s="485" t="s">
        <v>305</v>
      </c>
      <c r="AC24" s="485" t="s">
        <v>307</v>
      </c>
      <c r="AD24" s="485" t="s">
        <v>307</v>
      </c>
      <c r="AE24" s="485" t="s">
        <v>307</v>
      </c>
      <c r="AF24" s="485" t="s">
        <v>307</v>
      </c>
      <c r="AG24" s="485" t="s">
        <v>307</v>
      </c>
      <c r="AH24" s="485" t="s">
        <v>307</v>
      </c>
      <c r="AI24" s="485" t="s">
        <v>307</v>
      </c>
      <c r="AJ24" s="485" t="s">
        <v>307</v>
      </c>
      <c r="AK24" s="485" t="s">
        <v>307</v>
      </c>
      <c r="AL24" s="487">
        <f t="shared" si="4"/>
        <v>10</v>
      </c>
      <c r="AM24" s="488">
        <f t="shared" si="0"/>
        <v>12</v>
      </c>
      <c r="AN24" s="488">
        <f t="shared" si="1"/>
        <v>9</v>
      </c>
      <c r="AO24" s="488">
        <f t="shared" si="5"/>
        <v>31</v>
      </c>
      <c r="AP24" s="489">
        <f t="shared" si="2"/>
        <v>19</v>
      </c>
    </row>
    <row r="25" spans="1:42" s="493" customFormat="1" ht="12" customHeight="1">
      <c r="A25" s="302">
        <f t="shared" si="3"/>
        <v>22</v>
      </c>
      <c r="B25" s="300" t="s">
        <v>55</v>
      </c>
      <c r="C25" s="302" t="s">
        <v>56</v>
      </c>
      <c r="D25" s="300" t="s">
        <v>32</v>
      </c>
      <c r="E25" s="301" t="s">
        <v>292</v>
      </c>
      <c r="F25" s="301" t="s">
        <v>38</v>
      </c>
      <c r="G25" s="485" t="s">
        <v>305</v>
      </c>
      <c r="H25" s="485" t="s">
        <v>305</v>
      </c>
      <c r="I25" s="485" t="s">
        <v>294</v>
      </c>
      <c r="J25" s="485" t="s">
        <v>294</v>
      </c>
      <c r="K25" s="485" t="s">
        <v>294</v>
      </c>
      <c r="L25" s="485" t="s">
        <v>294</v>
      </c>
      <c r="M25" s="485" t="s">
        <v>294</v>
      </c>
      <c r="N25" s="485" t="s">
        <v>294</v>
      </c>
      <c r="O25" s="485" t="s">
        <v>294</v>
      </c>
      <c r="P25" s="485" t="s">
        <v>294</v>
      </c>
      <c r="Q25" s="485" t="s">
        <v>294</v>
      </c>
      <c r="R25" s="485" t="s">
        <v>294</v>
      </c>
      <c r="S25" s="485" t="s">
        <v>305</v>
      </c>
      <c r="T25" s="485" t="s">
        <v>305</v>
      </c>
      <c r="U25" s="485" t="s">
        <v>305</v>
      </c>
      <c r="V25" s="485" t="s">
        <v>305</v>
      </c>
      <c r="W25" s="485" t="s">
        <v>305</v>
      </c>
      <c r="X25" s="485" t="s">
        <v>305</v>
      </c>
      <c r="Y25" s="485" t="s">
        <v>305</v>
      </c>
      <c r="Z25" s="485" t="s">
        <v>305</v>
      </c>
      <c r="AA25" s="485" t="s">
        <v>305</v>
      </c>
      <c r="AB25" s="485" t="s">
        <v>305</v>
      </c>
      <c r="AC25" s="485" t="s">
        <v>307</v>
      </c>
      <c r="AD25" s="485" t="s">
        <v>307</v>
      </c>
      <c r="AE25" s="485" t="s">
        <v>307</v>
      </c>
      <c r="AF25" s="485" t="s">
        <v>307</v>
      </c>
      <c r="AG25" s="485" t="s">
        <v>307</v>
      </c>
      <c r="AH25" s="485" t="s">
        <v>307</v>
      </c>
      <c r="AI25" s="485" t="s">
        <v>307</v>
      </c>
      <c r="AJ25" s="485" t="s">
        <v>307</v>
      </c>
      <c r="AK25" s="485" t="s">
        <v>307</v>
      </c>
      <c r="AL25" s="487">
        <f t="shared" si="4"/>
        <v>0</v>
      </c>
      <c r="AM25" s="488">
        <f t="shared" si="0"/>
        <v>12</v>
      </c>
      <c r="AN25" s="488">
        <f t="shared" si="1"/>
        <v>9</v>
      </c>
      <c r="AO25" s="488">
        <f t="shared" si="5"/>
        <v>21</v>
      </c>
      <c r="AP25" s="489">
        <f t="shared" si="2"/>
        <v>9</v>
      </c>
    </row>
    <row r="26" spans="1:42" ht="12" customHeight="1">
      <c r="A26" s="302">
        <f t="shared" si="3"/>
        <v>23</v>
      </c>
      <c r="B26" s="300" t="s">
        <v>59</v>
      </c>
      <c r="C26" s="301" t="s">
        <v>60</v>
      </c>
      <c r="D26" s="300" t="s">
        <v>32</v>
      </c>
      <c r="E26" s="301" t="s">
        <v>292</v>
      </c>
      <c r="F26" s="301" t="s">
        <v>38</v>
      </c>
      <c r="G26" s="485" t="s">
        <v>305</v>
      </c>
      <c r="H26" s="485" t="s">
        <v>305</v>
      </c>
      <c r="I26" s="485" t="s">
        <v>296</v>
      </c>
      <c r="J26" s="485" t="s">
        <v>296</v>
      </c>
      <c r="K26" s="485" t="s">
        <v>296</v>
      </c>
      <c r="L26" s="485" t="s">
        <v>296</v>
      </c>
      <c r="M26" s="485" t="s">
        <v>296</v>
      </c>
      <c r="N26" s="485" t="s">
        <v>296</v>
      </c>
      <c r="O26" s="485" t="s">
        <v>296</v>
      </c>
      <c r="P26" s="485" t="s">
        <v>296</v>
      </c>
      <c r="Q26" s="485" t="s">
        <v>296</v>
      </c>
      <c r="R26" s="485" t="s">
        <v>296</v>
      </c>
      <c r="S26" s="485" t="s">
        <v>305</v>
      </c>
      <c r="T26" s="485" t="s">
        <v>305</v>
      </c>
      <c r="U26" s="485" t="s">
        <v>305</v>
      </c>
      <c r="V26" s="485" t="s">
        <v>305</v>
      </c>
      <c r="W26" s="485" t="s">
        <v>305</v>
      </c>
      <c r="X26" s="485" t="s">
        <v>305</v>
      </c>
      <c r="Y26" s="485" t="s">
        <v>305</v>
      </c>
      <c r="Z26" s="485" t="s">
        <v>305</v>
      </c>
      <c r="AA26" s="485" t="s">
        <v>305</v>
      </c>
      <c r="AB26" s="485" t="s">
        <v>305</v>
      </c>
      <c r="AC26" s="485" t="s">
        <v>307</v>
      </c>
      <c r="AD26" s="485" t="s">
        <v>307</v>
      </c>
      <c r="AE26" s="485" t="s">
        <v>307</v>
      </c>
      <c r="AF26" s="485" t="s">
        <v>307</v>
      </c>
      <c r="AG26" s="485" t="s">
        <v>307</v>
      </c>
      <c r="AH26" s="485" t="s">
        <v>307</v>
      </c>
      <c r="AI26" s="485" t="s">
        <v>307</v>
      </c>
      <c r="AJ26" s="485" t="s">
        <v>307</v>
      </c>
      <c r="AK26" s="485" t="s">
        <v>307</v>
      </c>
      <c r="AL26" s="487">
        <f t="shared" si="4"/>
        <v>10</v>
      </c>
      <c r="AM26" s="488">
        <f t="shared" si="0"/>
        <v>12</v>
      </c>
      <c r="AN26" s="488">
        <f t="shared" si="1"/>
        <v>9</v>
      </c>
      <c r="AO26" s="488">
        <f t="shared" si="5"/>
        <v>31</v>
      </c>
      <c r="AP26" s="489">
        <f t="shared" si="2"/>
        <v>19</v>
      </c>
    </row>
    <row r="27" spans="1:42" ht="12" customHeight="1">
      <c r="A27" s="302">
        <f t="shared" si="3"/>
        <v>24</v>
      </c>
      <c r="B27" s="300" t="s">
        <v>116</v>
      </c>
      <c r="C27" s="301" t="s">
        <v>117</v>
      </c>
      <c r="D27" s="300" t="s">
        <v>32</v>
      </c>
      <c r="E27" s="301" t="s">
        <v>292</v>
      </c>
      <c r="F27" s="301" t="s">
        <v>110</v>
      </c>
      <c r="G27" s="485" t="s">
        <v>305</v>
      </c>
      <c r="H27" s="485" t="s">
        <v>305</v>
      </c>
      <c r="I27" s="485" t="s">
        <v>307</v>
      </c>
      <c r="J27" s="485" t="s">
        <v>307</v>
      </c>
      <c r="K27" s="485" t="s">
        <v>307</v>
      </c>
      <c r="L27" s="485" t="s">
        <v>307</v>
      </c>
      <c r="M27" s="485" t="s">
        <v>307</v>
      </c>
      <c r="N27" s="485" t="s">
        <v>307</v>
      </c>
      <c r="O27" s="485" t="s">
        <v>307</v>
      </c>
      <c r="P27" s="485" t="s">
        <v>307</v>
      </c>
      <c r="Q27" s="485" t="s">
        <v>307</v>
      </c>
      <c r="R27" s="485" t="s">
        <v>307</v>
      </c>
      <c r="S27" s="485" t="s">
        <v>305</v>
      </c>
      <c r="T27" s="485" t="s">
        <v>305</v>
      </c>
      <c r="U27" s="485" t="s">
        <v>305</v>
      </c>
      <c r="V27" s="485" t="s">
        <v>305</v>
      </c>
      <c r="W27" s="485" t="s">
        <v>305</v>
      </c>
      <c r="X27" s="485" t="s">
        <v>305</v>
      </c>
      <c r="Y27" s="485" t="s">
        <v>305</v>
      </c>
      <c r="Z27" s="485" t="s">
        <v>305</v>
      </c>
      <c r="AA27" s="485" t="s">
        <v>305</v>
      </c>
      <c r="AB27" s="485" t="s">
        <v>305</v>
      </c>
      <c r="AC27" s="485" t="s">
        <v>296</v>
      </c>
      <c r="AD27" s="485" t="s">
        <v>296</v>
      </c>
      <c r="AE27" s="485" t="s">
        <v>296</v>
      </c>
      <c r="AF27" s="485" t="s">
        <v>296</v>
      </c>
      <c r="AG27" s="485" t="s">
        <v>296</v>
      </c>
      <c r="AH27" s="485" t="s">
        <v>296</v>
      </c>
      <c r="AI27" s="485" t="s">
        <v>296</v>
      </c>
      <c r="AJ27" s="485" t="s">
        <v>296</v>
      </c>
      <c r="AK27" s="485" t="s">
        <v>296</v>
      </c>
      <c r="AL27" s="487">
        <f t="shared" si="4"/>
        <v>9</v>
      </c>
      <c r="AM27" s="488">
        <f t="shared" si="0"/>
        <v>12</v>
      </c>
      <c r="AN27" s="488">
        <f t="shared" si="1"/>
        <v>10</v>
      </c>
      <c r="AO27" s="488">
        <f t="shared" si="5"/>
        <v>31</v>
      </c>
      <c r="AP27" s="489">
        <f t="shared" si="2"/>
        <v>19</v>
      </c>
    </row>
    <row r="28" spans="1:42" ht="12" customHeight="1">
      <c r="A28" s="302">
        <f t="shared" si="3"/>
        <v>25</v>
      </c>
      <c r="B28" s="300" t="s">
        <v>89</v>
      </c>
      <c r="C28" s="301" t="s">
        <v>90</v>
      </c>
      <c r="D28" s="300" t="s">
        <v>32</v>
      </c>
      <c r="E28" s="301" t="s">
        <v>292</v>
      </c>
      <c r="F28" s="301" t="s">
        <v>86</v>
      </c>
      <c r="G28" s="485" t="s">
        <v>305</v>
      </c>
      <c r="H28" s="485" t="s">
        <v>305</v>
      </c>
      <c r="I28" s="485" t="s">
        <v>296</v>
      </c>
      <c r="J28" s="485" t="s">
        <v>296</v>
      </c>
      <c r="K28" s="485" t="s">
        <v>296</v>
      </c>
      <c r="L28" s="485" t="s">
        <v>296</v>
      </c>
      <c r="M28" s="485" t="s">
        <v>296</v>
      </c>
      <c r="N28" s="485" t="s">
        <v>296</v>
      </c>
      <c r="O28" s="485" t="s">
        <v>296</v>
      </c>
      <c r="P28" s="485" t="s">
        <v>296</v>
      </c>
      <c r="Q28" s="485" t="s">
        <v>296</v>
      </c>
      <c r="R28" s="485" t="s">
        <v>296</v>
      </c>
      <c r="S28" s="485" t="s">
        <v>305</v>
      </c>
      <c r="T28" s="485" t="s">
        <v>305</v>
      </c>
      <c r="U28" s="485" t="s">
        <v>305</v>
      </c>
      <c r="V28" s="485" t="s">
        <v>305</v>
      </c>
      <c r="W28" s="485" t="s">
        <v>305</v>
      </c>
      <c r="X28" s="485" t="s">
        <v>305</v>
      </c>
      <c r="Y28" s="485" t="s">
        <v>305</v>
      </c>
      <c r="Z28" s="485" t="s">
        <v>305</v>
      </c>
      <c r="AA28" s="485" t="s">
        <v>305</v>
      </c>
      <c r="AB28" s="485" t="s">
        <v>305</v>
      </c>
      <c r="AC28" s="485" t="s">
        <v>307</v>
      </c>
      <c r="AD28" s="485" t="s">
        <v>307</v>
      </c>
      <c r="AE28" s="485" t="s">
        <v>307</v>
      </c>
      <c r="AF28" s="485" t="s">
        <v>307</v>
      </c>
      <c r="AG28" s="485" t="s">
        <v>307</v>
      </c>
      <c r="AH28" s="485" t="s">
        <v>307</v>
      </c>
      <c r="AI28" s="485" t="s">
        <v>307</v>
      </c>
      <c r="AJ28" s="485" t="s">
        <v>307</v>
      </c>
      <c r="AK28" s="485" t="s">
        <v>307</v>
      </c>
      <c r="AL28" s="487">
        <f t="shared" si="4"/>
        <v>10</v>
      </c>
      <c r="AM28" s="488">
        <f t="shared" si="0"/>
        <v>12</v>
      </c>
      <c r="AN28" s="488">
        <f t="shared" si="1"/>
        <v>9</v>
      </c>
      <c r="AO28" s="488">
        <f t="shared" si="5"/>
        <v>31</v>
      </c>
      <c r="AP28" s="489">
        <f t="shared" si="2"/>
        <v>19</v>
      </c>
    </row>
    <row r="29" spans="1:42" ht="12" customHeight="1">
      <c r="A29" s="302">
        <f t="shared" si="3"/>
        <v>26</v>
      </c>
      <c r="B29" s="300" t="s">
        <v>118</v>
      </c>
      <c r="C29" s="302" t="s">
        <v>119</v>
      </c>
      <c r="D29" s="300" t="s">
        <v>32</v>
      </c>
      <c r="E29" s="301" t="s">
        <v>292</v>
      </c>
      <c r="F29" s="301" t="s">
        <v>110</v>
      </c>
      <c r="G29" s="485" t="s">
        <v>305</v>
      </c>
      <c r="H29" s="485" t="s">
        <v>305</v>
      </c>
      <c r="I29" s="485" t="s">
        <v>296</v>
      </c>
      <c r="J29" s="485" t="s">
        <v>296</v>
      </c>
      <c r="K29" s="485" t="s">
        <v>296</v>
      </c>
      <c r="L29" s="485" t="s">
        <v>296</v>
      </c>
      <c r="M29" s="485" t="s">
        <v>296</v>
      </c>
      <c r="N29" s="485" t="s">
        <v>296</v>
      </c>
      <c r="O29" s="485" t="s">
        <v>296</v>
      </c>
      <c r="P29" s="485" t="s">
        <v>296</v>
      </c>
      <c r="Q29" s="485" t="s">
        <v>296</v>
      </c>
      <c r="R29" s="485" t="s">
        <v>296</v>
      </c>
      <c r="S29" s="485" t="s">
        <v>305</v>
      </c>
      <c r="T29" s="485" t="s">
        <v>305</v>
      </c>
      <c r="U29" s="485" t="s">
        <v>305</v>
      </c>
      <c r="V29" s="485" t="s">
        <v>305</v>
      </c>
      <c r="W29" s="485" t="s">
        <v>305</v>
      </c>
      <c r="X29" s="485" t="s">
        <v>305</v>
      </c>
      <c r="Y29" s="485" t="s">
        <v>305</v>
      </c>
      <c r="Z29" s="485" t="s">
        <v>305</v>
      </c>
      <c r="AA29" s="485" t="s">
        <v>305</v>
      </c>
      <c r="AB29" s="485" t="s">
        <v>305</v>
      </c>
      <c r="AC29" s="485" t="s">
        <v>307</v>
      </c>
      <c r="AD29" s="485" t="s">
        <v>307</v>
      </c>
      <c r="AE29" s="485" t="s">
        <v>307</v>
      </c>
      <c r="AF29" s="485" t="s">
        <v>307</v>
      </c>
      <c r="AG29" s="485" t="s">
        <v>307</v>
      </c>
      <c r="AH29" s="485" t="s">
        <v>307</v>
      </c>
      <c r="AI29" s="485" t="s">
        <v>307</v>
      </c>
      <c r="AJ29" s="485" t="s">
        <v>307</v>
      </c>
      <c r="AK29" s="485" t="s">
        <v>307</v>
      </c>
      <c r="AL29" s="487">
        <f t="shared" si="4"/>
        <v>10</v>
      </c>
      <c r="AM29" s="488">
        <f t="shared" si="0"/>
        <v>12</v>
      </c>
      <c r="AN29" s="488">
        <f t="shared" si="1"/>
        <v>9</v>
      </c>
      <c r="AO29" s="488">
        <f t="shared" si="5"/>
        <v>31</v>
      </c>
      <c r="AP29" s="489">
        <f t="shared" si="2"/>
        <v>19</v>
      </c>
    </row>
    <row r="30" spans="1:42" ht="12" customHeight="1">
      <c r="A30" s="302">
        <f t="shared" si="3"/>
        <v>27</v>
      </c>
      <c r="B30" s="300" t="s">
        <v>132</v>
      </c>
      <c r="C30" s="301" t="s">
        <v>133</v>
      </c>
      <c r="D30" s="300" t="s">
        <v>32</v>
      </c>
      <c r="E30" s="301" t="s">
        <v>292</v>
      </c>
      <c r="F30" s="301" t="s">
        <v>128</v>
      </c>
      <c r="G30" s="485" t="s">
        <v>305</v>
      </c>
      <c r="H30" s="485" t="s">
        <v>305</v>
      </c>
      <c r="I30" s="485" t="s">
        <v>312</v>
      </c>
      <c r="J30" s="485" t="s">
        <v>312</v>
      </c>
      <c r="K30" s="485" t="s">
        <v>312</v>
      </c>
      <c r="L30" s="485" t="s">
        <v>296</v>
      </c>
      <c r="M30" s="485" t="s">
        <v>296</v>
      </c>
      <c r="N30" s="485" t="s">
        <v>296</v>
      </c>
      <c r="O30" s="485" t="s">
        <v>305</v>
      </c>
      <c r="P30" s="485" t="s">
        <v>305</v>
      </c>
      <c r="Q30" s="485" t="s">
        <v>305</v>
      </c>
      <c r="R30" s="485" t="s">
        <v>305</v>
      </c>
      <c r="S30" s="485" t="s">
        <v>305</v>
      </c>
      <c r="T30" s="485" t="s">
        <v>305</v>
      </c>
      <c r="U30" s="485" t="s">
        <v>296</v>
      </c>
      <c r="V30" s="485" t="s">
        <v>296</v>
      </c>
      <c r="W30" s="485" t="s">
        <v>296</v>
      </c>
      <c r="X30" s="485" t="s">
        <v>296</v>
      </c>
      <c r="Y30" s="485" t="s">
        <v>296</v>
      </c>
      <c r="Z30" s="485" t="s">
        <v>296</v>
      </c>
      <c r="AA30" s="485" t="s">
        <v>296</v>
      </c>
      <c r="AB30" s="485" t="s">
        <v>296</v>
      </c>
      <c r="AC30" s="485" t="s">
        <v>305</v>
      </c>
      <c r="AD30" s="485" t="s">
        <v>305</v>
      </c>
      <c r="AE30" s="485" t="s">
        <v>305</v>
      </c>
      <c r="AF30" s="485" t="s">
        <v>305</v>
      </c>
      <c r="AG30" s="485" t="s">
        <v>305</v>
      </c>
      <c r="AH30" s="485" t="s">
        <v>305</v>
      </c>
      <c r="AI30" s="485" t="s">
        <v>305</v>
      </c>
      <c r="AJ30" s="485" t="s">
        <v>305</v>
      </c>
      <c r="AK30" s="485" t="s">
        <v>305</v>
      </c>
      <c r="AL30" s="487">
        <f t="shared" si="4"/>
        <v>11</v>
      </c>
      <c r="AM30" s="488">
        <f t="shared" si="0"/>
        <v>17</v>
      </c>
      <c r="AN30" s="488">
        <f t="shared" si="1"/>
        <v>0</v>
      </c>
      <c r="AO30" s="488">
        <f t="shared" si="5"/>
        <v>28</v>
      </c>
      <c r="AP30" s="489">
        <f t="shared" si="2"/>
        <v>11</v>
      </c>
    </row>
    <row r="31" spans="1:42" ht="12" customHeight="1">
      <c r="A31" s="302">
        <f t="shared" si="3"/>
        <v>28</v>
      </c>
      <c r="B31" s="300" t="s">
        <v>91</v>
      </c>
      <c r="C31" s="301" t="s">
        <v>92</v>
      </c>
      <c r="D31" s="300" t="s">
        <v>32</v>
      </c>
      <c r="E31" s="301" t="s">
        <v>292</v>
      </c>
      <c r="F31" s="301" t="s">
        <v>86</v>
      </c>
      <c r="G31" s="485" t="s">
        <v>305</v>
      </c>
      <c r="H31" s="485" t="s">
        <v>305</v>
      </c>
      <c r="I31" s="485" t="s">
        <v>307</v>
      </c>
      <c r="J31" s="485" t="s">
        <v>307</v>
      </c>
      <c r="K31" s="485" t="s">
        <v>307</v>
      </c>
      <c r="L31" s="485" t="s">
        <v>307</v>
      </c>
      <c r="M31" s="485" t="s">
        <v>307</v>
      </c>
      <c r="N31" s="485" t="s">
        <v>307</v>
      </c>
      <c r="O31" s="485" t="s">
        <v>307</v>
      </c>
      <c r="P31" s="485" t="s">
        <v>307</v>
      </c>
      <c r="Q31" s="485" t="s">
        <v>307</v>
      </c>
      <c r="R31" s="485" t="s">
        <v>307</v>
      </c>
      <c r="S31" s="485" t="s">
        <v>305</v>
      </c>
      <c r="T31" s="485" t="s">
        <v>305</v>
      </c>
      <c r="U31" s="485" t="s">
        <v>305</v>
      </c>
      <c r="V31" s="485" t="s">
        <v>305</v>
      </c>
      <c r="W31" s="485" t="s">
        <v>305</v>
      </c>
      <c r="X31" s="485" t="s">
        <v>305</v>
      </c>
      <c r="Y31" s="485" t="s">
        <v>305</v>
      </c>
      <c r="Z31" s="485" t="s">
        <v>305</v>
      </c>
      <c r="AA31" s="485" t="s">
        <v>305</v>
      </c>
      <c r="AB31" s="485" t="s">
        <v>305</v>
      </c>
      <c r="AC31" s="485" t="s">
        <v>296</v>
      </c>
      <c r="AD31" s="485" t="s">
        <v>296</v>
      </c>
      <c r="AE31" s="485" t="s">
        <v>296</v>
      </c>
      <c r="AF31" s="485" t="s">
        <v>296</v>
      </c>
      <c r="AG31" s="485" t="s">
        <v>296</v>
      </c>
      <c r="AH31" s="485" t="s">
        <v>296</v>
      </c>
      <c r="AI31" s="485" t="s">
        <v>296</v>
      </c>
      <c r="AJ31" s="485" t="s">
        <v>296</v>
      </c>
      <c r="AK31" s="485" t="s">
        <v>296</v>
      </c>
      <c r="AL31" s="487">
        <f t="shared" si="4"/>
        <v>9</v>
      </c>
      <c r="AM31" s="488">
        <f t="shared" si="0"/>
        <v>12</v>
      </c>
      <c r="AN31" s="488">
        <f t="shared" si="1"/>
        <v>10</v>
      </c>
      <c r="AO31" s="488">
        <f t="shared" si="5"/>
        <v>31</v>
      </c>
      <c r="AP31" s="489">
        <f t="shared" si="2"/>
        <v>19</v>
      </c>
    </row>
    <row r="32" spans="1:42" ht="12" customHeight="1">
      <c r="A32" s="302">
        <f t="shared" si="3"/>
        <v>29</v>
      </c>
      <c r="B32" s="300" t="s">
        <v>120</v>
      </c>
      <c r="C32" s="301" t="s">
        <v>121</v>
      </c>
      <c r="D32" s="300" t="s">
        <v>32</v>
      </c>
      <c r="E32" s="301" t="s">
        <v>292</v>
      </c>
      <c r="F32" s="301" t="s">
        <v>308</v>
      </c>
      <c r="G32" s="485" t="s">
        <v>305</v>
      </c>
      <c r="H32" s="485" t="s">
        <v>305</v>
      </c>
      <c r="I32" s="485" t="s">
        <v>296</v>
      </c>
      <c r="J32" s="485" t="s">
        <v>296</v>
      </c>
      <c r="K32" s="485" t="s">
        <v>296</v>
      </c>
      <c r="L32" s="485" t="s">
        <v>296</v>
      </c>
      <c r="M32" s="485" t="s">
        <v>296</v>
      </c>
      <c r="N32" s="485" t="s">
        <v>296</v>
      </c>
      <c r="O32" s="485" t="s">
        <v>296</v>
      </c>
      <c r="P32" s="485" t="s">
        <v>296</v>
      </c>
      <c r="Q32" s="485" t="s">
        <v>296</v>
      </c>
      <c r="R32" s="485" t="s">
        <v>296</v>
      </c>
      <c r="S32" s="485" t="s">
        <v>305</v>
      </c>
      <c r="T32" s="485" t="s">
        <v>305</v>
      </c>
      <c r="U32" s="485" t="s">
        <v>305</v>
      </c>
      <c r="V32" s="485" t="s">
        <v>305</v>
      </c>
      <c r="W32" s="485" t="s">
        <v>305</v>
      </c>
      <c r="X32" s="485" t="s">
        <v>305</v>
      </c>
      <c r="Y32" s="485" t="s">
        <v>305</v>
      </c>
      <c r="Z32" s="485" t="s">
        <v>305</v>
      </c>
      <c r="AA32" s="485" t="s">
        <v>305</v>
      </c>
      <c r="AB32" s="485" t="s">
        <v>305</v>
      </c>
      <c r="AC32" s="485" t="s">
        <v>307</v>
      </c>
      <c r="AD32" s="485" t="s">
        <v>307</v>
      </c>
      <c r="AE32" s="485" t="s">
        <v>307</v>
      </c>
      <c r="AF32" s="485" t="s">
        <v>307</v>
      </c>
      <c r="AG32" s="485" t="s">
        <v>307</v>
      </c>
      <c r="AH32" s="485" t="s">
        <v>307</v>
      </c>
      <c r="AI32" s="485" t="s">
        <v>307</v>
      </c>
      <c r="AJ32" s="485" t="s">
        <v>307</v>
      </c>
      <c r="AK32" s="485" t="s">
        <v>307</v>
      </c>
      <c r="AL32" s="487">
        <f t="shared" si="4"/>
        <v>10</v>
      </c>
      <c r="AM32" s="488">
        <f t="shared" si="0"/>
        <v>12</v>
      </c>
      <c r="AN32" s="488">
        <f t="shared" si="1"/>
        <v>9</v>
      </c>
      <c r="AO32" s="488">
        <f t="shared" si="5"/>
        <v>31</v>
      </c>
      <c r="AP32" s="489">
        <f t="shared" si="2"/>
        <v>19</v>
      </c>
    </row>
    <row r="33" spans="1:44" ht="12" customHeight="1">
      <c r="A33" s="302">
        <f t="shared" si="3"/>
        <v>30</v>
      </c>
      <c r="B33" s="300" t="s">
        <v>61</v>
      </c>
      <c r="C33" s="301" t="s">
        <v>313</v>
      </c>
      <c r="D33" s="300" t="s">
        <v>32</v>
      </c>
      <c r="E33" s="301" t="s">
        <v>292</v>
      </c>
      <c r="F33" s="301" t="s">
        <v>38</v>
      </c>
      <c r="G33" s="485" t="s">
        <v>305</v>
      </c>
      <c r="H33" s="485" t="s">
        <v>305</v>
      </c>
      <c r="I33" s="485" t="s">
        <v>307</v>
      </c>
      <c r="J33" s="485" t="s">
        <v>307</v>
      </c>
      <c r="K33" s="485" t="s">
        <v>307</v>
      </c>
      <c r="L33" s="485" t="s">
        <v>307</v>
      </c>
      <c r="M33" s="485" t="s">
        <v>307</v>
      </c>
      <c r="N33" s="485" t="s">
        <v>307</v>
      </c>
      <c r="O33" s="485" t="s">
        <v>307</v>
      </c>
      <c r="P33" s="485" t="s">
        <v>307</v>
      </c>
      <c r="Q33" s="485" t="s">
        <v>307</v>
      </c>
      <c r="R33" s="485" t="s">
        <v>307</v>
      </c>
      <c r="S33" s="485" t="s">
        <v>305</v>
      </c>
      <c r="T33" s="485" t="s">
        <v>305</v>
      </c>
      <c r="U33" s="485" t="s">
        <v>305</v>
      </c>
      <c r="V33" s="485" t="s">
        <v>305</v>
      </c>
      <c r="W33" s="485" t="s">
        <v>305</v>
      </c>
      <c r="X33" s="485" t="s">
        <v>305</v>
      </c>
      <c r="Y33" s="485" t="s">
        <v>305</v>
      </c>
      <c r="Z33" s="485" t="s">
        <v>305</v>
      </c>
      <c r="AA33" s="485" t="s">
        <v>305</v>
      </c>
      <c r="AB33" s="485" t="s">
        <v>305</v>
      </c>
      <c r="AC33" s="485" t="s">
        <v>296</v>
      </c>
      <c r="AD33" s="485" t="s">
        <v>296</v>
      </c>
      <c r="AE33" s="485" t="s">
        <v>296</v>
      </c>
      <c r="AF33" s="485" t="s">
        <v>296</v>
      </c>
      <c r="AG33" s="485" t="s">
        <v>296</v>
      </c>
      <c r="AH33" s="485" t="s">
        <v>296</v>
      </c>
      <c r="AI33" s="485" t="s">
        <v>296</v>
      </c>
      <c r="AJ33" s="485" t="s">
        <v>296</v>
      </c>
      <c r="AK33" s="485" t="s">
        <v>296</v>
      </c>
      <c r="AL33" s="487">
        <f t="shared" si="4"/>
        <v>9</v>
      </c>
      <c r="AM33" s="488">
        <f t="shared" si="0"/>
        <v>12</v>
      </c>
      <c r="AN33" s="488">
        <f t="shared" si="1"/>
        <v>10</v>
      </c>
      <c r="AO33" s="488">
        <f t="shared" si="5"/>
        <v>31</v>
      </c>
      <c r="AP33" s="489">
        <f t="shared" si="2"/>
        <v>19</v>
      </c>
    </row>
    <row r="34" spans="1:44" ht="12" customHeight="1">
      <c r="A34" s="302">
        <f t="shared" si="3"/>
        <v>31</v>
      </c>
      <c r="B34" s="300" t="s">
        <v>138</v>
      </c>
      <c r="C34" s="302" t="s">
        <v>139</v>
      </c>
      <c r="D34" s="300" t="s">
        <v>32</v>
      </c>
      <c r="E34" s="301" t="s">
        <v>292</v>
      </c>
      <c r="F34" s="301" t="s">
        <v>137</v>
      </c>
      <c r="G34" s="485" t="s">
        <v>305</v>
      </c>
      <c r="H34" s="485" t="s">
        <v>305</v>
      </c>
      <c r="I34" s="485" t="s">
        <v>307</v>
      </c>
      <c r="J34" s="485" t="s">
        <v>307</v>
      </c>
      <c r="K34" s="485" t="s">
        <v>307</v>
      </c>
      <c r="L34" s="485" t="s">
        <v>307</v>
      </c>
      <c r="M34" s="485" t="s">
        <v>307</v>
      </c>
      <c r="N34" s="485" t="s">
        <v>307</v>
      </c>
      <c r="O34" s="485" t="s">
        <v>307</v>
      </c>
      <c r="P34" s="485" t="s">
        <v>307</v>
      </c>
      <c r="Q34" s="485" t="s">
        <v>307</v>
      </c>
      <c r="R34" s="485" t="s">
        <v>307</v>
      </c>
      <c r="S34" s="485" t="s">
        <v>305</v>
      </c>
      <c r="T34" s="485" t="s">
        <v>305</v>
      </c>
      <c r="U34" s="485" t="s">
        <v>305</v>
      </c>
      <c r="V34" s="485" t="s">
        <v>305</v>
      </c>
      <c r="W34" s="485" t="s">
        <v>305</v>
      </c>
      <c r="X34" s="485" t="s">
        <v>305</v>
      </c>
      <c r="Y34" s="485" t="s">
        <v>305</v>
      </c>
      <c r="Z34" s="485" t="s">
        <v>305</v>
      </c>
      <c r="AA34" s="485" t="s">
        <v>305</v>
      </c>
      <c r="AB34" s="485" t="s">
        <v>305</v>
      </c>
      <c r="AC34" s="485" t="s">
        <v>307</v>
      </c>
      <c r="AD34" s="485" t="s">
        <v>307</v>
      </c>
      <c r="AE34" s="485" t="s">
        <v>307</v>
      </c>
      <c r="AF34" s="485" t="s">
        <v>307</v>
      </c>
      <c r="AG34" s="485" t="s">
        <v>307</v>
      </c>
      <c r="AH34" s="485" t="s">
        <v>307</v>
      </c>
      <c r="AI34" s="485" t="s">
        <v>307</v>
      </c>
      <c r="AJ34" s="485" t="s">
        <v>307</v>
      </c>
      <c r="AK34" s="485" t="s">
        <v>307</v>
      </c>
      <c r="AL34" s="487">
        <f t="shared" si="4"/>
        <v>0</v>
      </c>
      <c r="AM34" s="488">
        <f t="shared" si="0"/>
        <v>12</v>
      </c>
      <c r="AN34" s="488">
        <f t="shared" si="1"/>
        <v>19</v>
      </c>
      <c r="AO34" s="488">
        <f t="shared" si="5"/>
        <v>31</v>
      </c>
      <c r="AP34" s="489">
        <f t="shared" si="2"/>
        <v>19</v>
      </c>
    </row>
    <row r="35" spans="1:44" ht="12" customHeight="1">
      <c r="A35" s="302">
        <f t="shared" si="3"/>
        <v>32</v>
      </c>
      <c r="B35" s="300" t="s">
        <v>63</v>
      </c>
      <c r="C35" s="301" t="s">
        <v>64</v>
      </c>
      <c r="D35" s="300" t="s">
        <v>32</v>
      </c>
      <c r="E35" s="301" t="s">
        <v>292</v>
      </c>
      <c r="F35" s="301" t="s">
        <v>38</v>
      </c>
      <c r="G35" s="485" t="s">
        <v>305</v>
      </c>
      <c r="H35" s="485" t="s">
        <v>305</v>
      </c>
      <c r="I35" s="485" t="s">
        <v>296</v>
      </c>
      <c r="J35" s="485" t="s">
        <v>296</v>
      </c>
      <c r="K35" s="485" t="s">
        <v>296</v>
      </c>
      <c r="L35" s="485" t="s">
        <v>296</v>
      </c>
      <c r="M35" s="485" t="s">
        <v>296</v>
      </c>
      <c r="N35" s="485" t="s">
        <v>296</v>
      </c>
      <c r="O35" s="485" t="s">
        <v>296</v>
      </c>
      <c r="P35" s="485" t="s">
        <v>296</v>
      </c>
      <c r="Q35" s="485" t="s">
        <v>296</v>
      </c>
      <c r="R35" s="485" t="s">
        <v>296</v>
      </c>
      <c r="S35" s="485" t="s">
        <v>305</v>
      </c>
      <c r="T35" s="485" t="s">
        <v>305</v>
      </c>
      <c r="U35" s="485" t="s">
        <v>305</v>
      </c>
      <c r="V35" s="485" t="s">
        <v>305</v>
      </c>
      <c r="W35" s="485" t="s">
        <v>305</v>
      </c>
      <c r="X35" s="485" t="s">
        <v>305</v>
      </c>
      <c r="Y35" s="485" t="s">
        <v>305</v>
      </c>
      <c r="Z35" s="485" t="s">
        <v>305</v>
      </c>
      <c r="AA35" s="485" t="s">
        <v>305</v>
      </c>
      <c r="AB35" s="485" t="s">
        <v>305</v>
      </c>
      <c r="AC35" s="485" t="s">
        <v>307</v>
      </c>
      <c r="AD35" s="485" t="s">
        <v>307</v>
      </c>
      <c r="AE35" s="485" t="s">
        <v>307</v>
      </c>
      <c r="AF35" s="485" t="s">
        <v>307</v>
      </c>
      <c r="AG35" s="485" t="s">
        <v>307</v>
      </c>
      <c r="AH35" s="485" t="s">
        <v>307</v>
      </c>
      <c r="AI35" s="485" t="s">
        <v>307</v>
      </c>
      <c r="AJ35" s="485" t="s">
        <v>307</v>
      </c>
      <c r="AK35" s="485" t="s">
        <v>307</v>
      </c>
      <c r="AL35" s="487">
        <f t="shared" si="4"/>
        <v>10</v>
      </c>
      <c r="AM35" s="488">
        <f t="shared" si="0"/>
        <v>12</v>
      </c>
      <c r="AN35" s="488">
        <f t="shared" si="1"/>
        <v>9</v>
      </c>
      <c r="AO35" s="488">
        <f t="shared" si="5"/>
        <v>31</v>
      </c>
      <c r="AP35" s="489">
        <f t="shared" si="2"/>
        <v>19</v>
      </c>
    </row>
    <row r="36" spans="1:44" ht="12" customHeight="1">
      <c r="A36" s="302">
        <f t="shared" si="3"/>
        <v>33</v>
      </c>
      <c r="B36" s="300" t="s">
        <v>122</v>
      </c>
      <c r="C36" s="301" t="s">
        <v>123</v>
      </c>
      <c r="D36" s="300" t="s">
        <v>32</v>
      </c>
      <c r="E36" s="301" t="s">
        <v>292</v>
      </c>
      <c r="F36" s="301" t="s">
        <v>110</v>
      </c>
      <c r="G36" s="485" t="s">
        <v>305</v>
      </c>
      <c r="H36" s="485" t="s">
        <v>305</v>
      </c>
      <c r="I36" s="485" t="s">
        <v>296</v>
      </c>
      <c r="J36" s="485" t="s">
        <v>296</v>
      </c>
      <c r="K36" s="485" t="s">
        <v>296</v>
      </c>
      <c r="L36" s="485" t="s">
        <v>296</v>
      </c>
      <c r="M36" s="485" t="s">
        <v>296</v>
      </c>
      <c r="N36" s="485" t="s">
        <v>296</v>
      </c>
      <c r="O36" s="485" t="s">
        <v>296</v>
      </c>
      <c r="P36" s="485" t="s">
        <v>296</v>
      </c>
      <c r="Q36" s="485" t="s">
        <v>296</v>
      </c>
      <c r="R36" s="485" t="s">
        <v>296</v>
      </c>
      <c r="S36" s="485" t="s">
        <v>305</v>
      </c>
      <c r="T36" s="485" t="s">
        <v>305</v>
      </c>
      <c r="U36" s="485" t="s">
        <v>305</v>
      </c>
      <c r="V36" s="485" t="s">
        <v>305</v>
      </c>
      <c r="W36" s="485" t="s">
        <v>305</v>
      </c>
      <c r="X36" s="485" t="s">
        <v>305</v>
      </c>
      <c r="Y36" s="485" t="s">
        <v>305</v>
      </c>
      <c r="Z36" s="485" t="s">
        <v>305</v>
      </c>
      <c r="AA36" s="485" t="s">
        <v>305</v>
      </c>
      <c r="AB36" s="485" t="s">
        <v>305</v>
      </c>
      <c r="AC36" s="485" t="s">
        <v>307</v>
      </c>
      <c r="AD36" s="485" t="s">
        <v>307</v>
      </c>
      <c r="AE36" s="485" t="s">
        <v>307</v>
      </c>
      <c r="AF36" s="485" t="s">
        <v>307</v>
      </c>
      <c r="AG36" s="485" t="s">
        <v>307</v>
      </c>
      <c r="AH36" s="485" t="s">
        <v>307</v>
      </c>
      <c r="AI36" s="485" t="s">
        <v>307</v>
      </c>
      <c r="AJ36" s="485" t="s">
        <v>307</v>
      </c>
      <c r="AK36" s="485" t="s">
        <v>307</v>
      </c>
      <c r="AL36" s="487">
        <f t="shared" si="4"/>
        <v>10</v>
      </c>
      <c r="AM36" s="488">
        <f t="shared" si="0"/>
        <v>12</v>
      </c>
      <c r="AN36" s="488">
        <f t="shared" si="1"/>
        <v>9</v>
      </c>
      <c r="AO36" s="488">
        <f t="shared" si="5"/>
        <v>31</v>
      </c>
      <c r="AP36" s="489">
        <f t="shared" si="2"/>
        <v>19</v>
      </c>
    </row>
    <row r="37" spans="1:44" ht="11.25" customHeight="1">
      <c r="A37" s="302">
        <f t="shared" si="3"/>
        <v>34</v>
      </c>
      <c r="B37" s="300" t="s">
        <v>144</v>
      </c>
      <c r="C37" s="301" t="s">
        <v>145</v>
      </c>
      <c r="D37" s="300" t="s">
        <v>32</v>
      </c>
      <c r="E37" s="301" t="s">
        <v>292</v>
      </c>
      <c r="F37" s="301" t="s">
        <v>142</v>
      </c>
      <c r="G37" s="485" t="s">
        <v>305</v>
      </c>
      <c r="H37" s="485" t="s">
        <v>305</v>
      </c>
      <c r="I37" s="485" t="s">
        <v>296</v>
      </c>
      <c r="J37" s="485" t="s">
        <v>296</v>
      </c>
      <c r="K37" s="485" t="s">
        <v>296</v>
      </c>
      <c r="L37" s="485" t="s">
        <v>296</v>
      </c>
      <c r="M37" s="485" t="s">
        <v>296</v>
      </c>
      <c r="N37" s="485" t="s">
        <v>296</v>
      </c>
      <c r="O37" s="485" t="s">
        <v>296</v>
      </c>
      <c r="P37" s="485" t="s">
        <v>296</v>
      </c>
      <c r="Q37" s="485" t="s">
        <v>296</v>
      </c>
      <c r="R37" s="485" t="s">
        <v>296</v>
      </c>
      <c r="S37" s="485" t="s">
        <v>305</v>
      </c>
      <c r="T37" s="485" t="s">
        <v>305</v>
      </c>
      <c r="U37" s="485" t="s">
        <v>305</v>
      </c>
      <c r="V37" s="485" t="s">
        <v>305</v>
      </c>
      <c r="W37" s="485" t="s">
        <v>305</v>
      </c>
      <c r="X37" s="485" t="s">
        <v>305</v>
      </c>
      <c r="Y37" s="485" t="s">
        <v>305</v>
      </c>
      <c r="Z37" s="485" t="s">
        <v>305</v>
      </c>
      <c r="AA37" s="485" t="s">
        <v>305</v>
      </c>
      <c r="AB37" s="485" t="s">
        <v>305</v>
      </c>
      <c r="AC37" s="485" t="s">
        <v>307</v>
      </c>
      <c r="AD37" s="485" t="s">
        <v>307</v>
      </c>
      <c r="AE37" s="485" t="s">
        <v>307</v>
      </c>
      <c r="AF37" s="485" t="s">
        <v>307</v>
      </c>
      <c r="AG37" s="485" t="s">
        <v>307</v>
      </c>
      <c r="AH37" s="485" t="s">
        <v>307</v>
      </c>
      <c r="AI37" s="485" t="s">
        <v>307</v>
      </c>
      <c r="AJ37" s="485" t="s">
        <v>307</v>
      </c>
      <c r="AK37" s="485" t="s">
        <v>307</v>
      </c>
      <c r="AL37" s="487">
        <f t="shared" si="4"/>
        <v>10</v>
      </c>
      <c r="AM37" s="488">
        <f t="shared" si="0"/>
        <v>12</v>
      </c>
      <c r="AN37" s="488">
        <f t="shared" si="1"/>
        <v>9</v>
      </c>
      <c r="AO37" s="488">
        <f t="shared" si="5"/>
        <v>31</v>
      </c>
      <c r="AP37" s="489">
        <f t="shared" si="2"/>
        <v>19</v>
      </c>
    </row>
    <row r="38" spans="1:44" ht="12" customHeight="1">
      <c r="A38" s="302">
        <f t="shared" si="3"/>
        <v>35</v>
      </c>
      <c r="B38" s="300" t="s">
        <v>65</v>
      </c>
      <c r="C38" s="302" t="s">
        <v>66</v>
      </c>
      <c r="D38" s="300" t="s">
        <v>32</v>
      </c>
      <c r="E38" s="301" t="s">
        <v>292</v>
      </c>
      <c r="F38" s="301" t="s">
        <v>38</v>
      </c>
      <c r="G38" s="485" t="s">
        <v>305</v>
      </c>
      <c r="H38" s="485" t="s">
        <v>305</v>
      </c>
      <c r="I38" s="485" t="s">
        <v>296</v>
      </c>
      <c r="J38" s="485" t="s">
        <v>296</v>
      </c>
      <c r="K38" s="485" t="s">
        <v>296</v>
      </c>
      <c r="L38" s="485" t="s">
        <v>296</v>
      </c>
      <c r="M38" s="485" t="s">
        <v>296</v>
      </c>
      <c r="N38" s="485" t="s">
        <v>296</v>
      </c>
      <c r="O38" s="485" t="s">
        <v>296</v>
      </c>
      <c r="P38" s="485" t="s">
        <v>296</v>
      </c>
      <c r="Q38" s="485" t="s">
        <v>296</v>
      </c>
      <c r="R38" s="485" t="s">
        <v>296</v>
      </c>
      <c r="S38" s="485" t="s">
        <v>305</v>
      </c>
      <c r="T38" s="485" t="s">
        <v>305</v>
      </c>
      <c r="U38" s="485" t="s">
        <v>305</v>
      </c>
      <c r="V38" s="485" t="s">
        <v>305</v>
      </c>
      <c r="W38" s="485" t="s">
        <v>305</v>
      </c>
      <c r="X38" s="485" t="s">
        <v>305</v>
      </c>
      <c r="Y38" s="485" t="s">
        <v>305</v>
      </c>
      <c r="Z38" s="485" t="s">
        <v>305</v>
      </c>
      <c r="AA38" s="485" t="s">
        <v>305</v>
      </c>
      <c r="AB38" s="485" t="s">
        <v>305</v>
      </c>
      <c r="AC38" s="485" t="s">
        <v>307</v>
      </c>
      <c r="AD38" s="485" t="s">
        <v>307</v>
      </c>
      <c r="AE38" s="485" t="s">
        <v>307</v>
      </c>
      <c r="AF38" s="485" t="s">
        <v>307</v>
      </c>
      <c r="AG38" s="485" t="s">
        <v>307</v>
      </c>
      <c r="AH38" s="485" t="s">
        <v>307</v>
      </c>
      <c r="AI38" s="485" t="s">
        <v>307</v>
      </c>
      <c r="AJ38" s="485" t="s">
        <v>307</v>
      </c>
      <c r="AK38" s="485" t="s">
        <v>307</v>
      </c>
      <c r="AL38" s="487">
        <f t="shared" si="4"/>
        <v>10</v>
      </c>
      <c r="AM38" s="488">
        <f t="shared" si="0"/>
        <v>12</v>
      </c>
      <c r="AN38" s="488">
        <f t="shared" si="1"/>
        <v>9</v>
      </c>
      <c r="AO38" s="488">
        <f t="shared" si="5"/>
        <v>31</v>
      </c>
      <c r="AP38" s="489">
        <f t="shared" si="2"/>
        <v>19</v>
      </c>
    </row>
    <row r="39" spans="1:44" ht="12" customHeight="1">
      <c r="A39" s="302">
        <f t="shared" si="3"/>
        <v>36</v>
      </c>
      <c r="B39" s="300" t="s">
        <v>96</v>
      </c>
      <c r="C39" s="302" t="s">
        <v>97</v>
      </c>
      <c r="D39" s="300" t="s">
        <v>32</v>
      </c>
      <c r="E39" s="301" t="s">
        <v>292</v>
      </c>
      <c r="F39" s="301" t="s">
        <v>86</v>
      </c>
      <c r="G39" s="485" t="s">
        <v>305</v>
      </c>
      <c r="H39" s="485" t="s">
        <v>305</v>
      </c>
      <c r="I39" s="485" t="s">
        <v>307</v>
      </c>
      <c r="J39" s="485" t="s">
        <v>307</v>
      </c>
      <c r="K39" s="485" t="s">
        <v>307</v>
      </c>
      <c r="L39" s="485" t="s">
        <v>307</v>
      </c>
      <c r="M39" s="485" t="s">
        <v>307</v>
      </c>
      <c r="N39" s="485" t="s">
        <v>307</v>
      </c>
      <c r="O39" s="485" t="s">
        <v>307</v>
      </c>
      <c r="P39" s="485" t="s">
        <v>307</v>
      </c>
      <c r="Q39" s="485" t="s">
        <v>307</v>
      </c>
      <c r="R39" s="485" t="s">
        <v>307</v>
      </c>
      <c r="S39" s="485" t="s">
        <v>305</v>
      </c>
      <c r="T39" s="485" t="s">
        <v>305</v>
      </c>
      <c r="U39" s="485" t="s">
        <v>305</v>
      </c>
      <c r="V39" s="485" t="s">
        <v>305</v>
      </c>
      <c r="W39" s="485" t="s">
        <v>305</v>
      </c>
      <c r="X39" s="485" t="s">
        <v>305</v>
      </c>
      <c r="Y39" s="485" t="s">
        <v>305</v>
      </c>
      <c r="Z39" s="485" t="s">
        <v>305</v>
      </c>
      <c r="AA39" s="485" t="s">
        <v>305</v>
      </c>
      <c r="AB39" s="485" t="s">
        <v>305</v>
      </c>
      <c r="AC39" s="485" t="s">
        <v>309</v>
      </c>
      <c r="AD39" s="485" t="s">
        <v>309</v>
      </c>
      <c r="AE39" s="485" t="s">
        <v>309</v>
      </c>
      <c r="AF39" s="485" t="s">
        <v>309</v>
      </c>
      <c r="AG39" s="485" t="s">
        <v>309</v>
      </c>
      <c r="AH39" s="485" t="s">
        <v>309</v>
      </c>
      <c r="AI39" s="485" t="s">
        <v>309</v>
      </c>
      <c r="AJ39" s="485" t="s">
        <v>309</v>
      </c>
      <c r="AK39" s="485" t="s">
        <v>309</v>
      </c>
      <c r="AL39" s="487">
        <f t="shared" si="4"/>
        <v>0</v>
      </c>
      <c r="AM39" s="488">
        <f t="shared" si="0"/>
        <v>12</v>
      </c>
      <c r="AN39" s="488">
        <f t="shared" si="1"/>
        <v>10</v>
      </c>
      <c r="AO39" s="488">
        <f t="shared" si="5"/>
        <v>22</v>
      </c>
      <c r="AP39" s="489">
        <f t="shared" si="2"/>
        <v>10</v>
      </c>
    </row>
    <row r="40" spans="1:44" ht="12" customHeight="1">
      <c r="A40" s="302">
        <f t="shared" si="3"/>
        <v>37</v>
      </c>
      <c r="B40" s="300" t="s">
        <v>67</v>
      </c>
      <c r="C40" s="302" t="s">
        <v>68</v>
      </c>
      <c r="D40" s="300" t="s">
        <v>32</v>
      </c>
      <c r="E40" s="301" t="s">
        <v>292</v>
      </c>
      <c r="F40" s="301" t="s">
        <v>308</v>
      </c>
      <c r="G40" s="485" t="s">
        <v>305</v>
      </c>
      <c r="H40" s="485" t="s">
        <v>305</v>
      </c>
      <c r="I40" s="485" t="s">
        <v>296</v>
      </c>
      <c r="J40" s="485" t="s">
        <v>296</v>
      </c>
      <c r="K40" s="485" t="s">
        <v>296</v>
      </c>
      <c r="L40" s="485" t="s">
        <v>296</v>
      </c>
      <c r="M40" s="485" t="s">
        <v>296</v>
      </c>
      <c r="N40" s="485" t="s">
        <v>296</v>
      </c>
      <c r="O40" s="485" t="s">
        <v>296</v>
      </c>
      <c r="P40" s="485" t="s">
        <v>296</v>
      </c>
      <c r="Q40" s="485" t="s">
        <v>296</v>
      </c>
      <c r="R40" s="485" t="s">
        <v>296</v>
      </c>
      <c r="S40" s="485" t="s">
        <v>305</v>
      </c>
      <c r="T40" s="485" t="s">
        <v>305</v>
      </c>
      <c r="U40" s="485" t="s">
        <v>305</v>
      </c>
      <c r="V40" s="485" t="s">
        <v>305</v>
      </c>
      <c r="W40" s="485" t="s">
        <v>305</v>
      </c>
      <c r="X40" s="485" t="s">
        <v>305</v>
      </c>
      <c r="Y40" s="485" t="s">
        <v>305</v>
      </c>
      <c r="Z40" s="485" t="s">
        <v>305</v>
      </c>
      <c r="AA40" s="485" t="s">
        <v>305</v>
      </c>
      <c r="AB40" s="485" t="s">
        <v>305</v>
      </c>
      <c r="AC40" s="485" t="s">
        <v>307</v>
      </c>
      <c r="AD40" s="485" t="s">
        <v>307</v>
      </c>
      <c r="AE40" s="485" t="s">
        <v>307</v>
      </c>
      <c r="AF40" s="485" t="s">
        <v>307</v>
      </c>
      <c r="AG40" s="485" t="s">
        <v>307</v>
      </c>
      <c r="AH40" s="485" t="s">
        <v>307</v>
      </c>
      <c r="AI40" s="485" t="s">
        <v>307</v>
      </c>
      <c r="AJ40" s="485" t="s">
        <v>307</v>
      </c>
      <c r="AK40" s="485" t="s">
        <v>307</v>
      </c>
      <c r="AL40" s="487">
        <f t="shared" si="4"/>
        <v>10</v>
      </c>
      <c r="AM40" s="488">
        <f t="shared" si="0"/>
        <v>12</v>
      </c>
      <c r="AN40" s="488">
        <f t="shared" si="1"/>
        <v>9</v>
      </c>
      <c r="AO40" s="488">
        <f t="shared" si="5"/>
        <v>31</v>
      </c>
      <c r="AP40" s="489">
        <f t="shared" si="2"/>
        <v>19</v>
      </c>
    </row>
    <row r="41" spans="1:44" ht="12" customHeight="1">
      <c r="A41" s="302">
        <f t="shared" si="3"/>
        <v>38</v>
      </c>
      <c r="B41" s="300" t="s">
        <v>105</v>
      </c>
      <c r="C41" s="301" t="s">
        <v>106</v>
      </c>
      <c r="D41" s="300" t="s">
        <v>32</v>
      </c>
      <c r="E41" s="494" t="s">
        <v>292</v>
      </c>
      <c r="F41" s="301" t="s">
        <v>107</v>
      </c>
      <c r="G41" s="485" t="s">
        <v>305</v>
      </c>
      <c r="H41" s="485" t="s">
        <v>305</v>
      </c>
      <c r="I41" s="485" t="s">
        <v>296</v>
      </c>
      <c r="J41" s="485" t="s">
        <v>296</v>
      </c>
      <c r="K41" s="485" t="s">
        <v>296</v>
      </c>
      <c r="L41" s="485" t="s">
        <v>296</v>
      </c>
      <c r="M41" s="485" t="s">
        <v>296</v>
      </c>
      <c r="N41" s="485" t="s">
        <v>296</v>
      </c>
      <c r="O41" s="485" t="s">
        <v>296</v>
      </c>
      <c r="P41" s="485" t="s">
        <v>296</v>
      </c>
      <c r="Q41" s="485" t="s">
        <v>296</v>
      </c>
      <c r="R41" s="485" t="s">
        <v>296</v>
      </c>
      <c r="S41" s="485" t="s">
        <v>305</v>
      </c>
      <c r="T41" s="485" t="s">
        <v>305</v>
      </c>
      <c r="U41" s="485" t="s">
        <v>305</v>
      </c>
      <c r="V41" s="485" t="s">
        <v>305</v>
      </c>
      <c r="W41" s="485" t="s">
        <v>305</v>
      </c>
      <c r="X41" s="485" t="s">
        <v>305</v>
      </c>
      <c r="Y41" s="485" t="s">
        <v>305</v>
      </c>
      <c r="Z41" s="485" t="s">
        <v>305</v>
      </c>
      <c r="AA41" s="485" t="s">
        <v>305</v>
      </c>
      <c r="AB41" s="485" t="s">
        <v>305</v>
      </c>
      <c r="AC41" s="485" t="s">
        <v>296</v>
      </c>
      <c r="AD41" s="485" t="s">
        <v>296</v>
      </c>
      <c r="AE41" s="485" t="s">
        <v>296</v>
      </c>
      <c r="AF41" s="485" t="s">
        <v>296</v>
      </c>
      <c r="AG41" s="485" t="s">
        <v>296</v>
      </c>
      <c r="AH41" s="485" t="s">
        <v>296</v>
      </c>
      <c r="AI41" s="485" t="s">
        <v>296</v>
      </c>
      <c r="AJ41" s="485" t="s">
        <v>296</v>
      </c>
      <c r="AK41" s="485" t="s">
        <v>296</v>
      </c>
      <c r="AL41" s="487">
        <f t="shared" si="4"/>
        <v>19</v>
      </c>
      <c r="AM41" s="488">
        <f t="shared" si="0"/>
        <v>12</v>
      </c>
      <c r="AN41" s="488">
        <f t="shared" si="1"/>
        <v>0</v>
      </c>
      <c r="AO41" s="488">
        <f t="shared" si="5"/>
        <v>31</v>
      </c>
      <c r="AP41" s="489">
        <f t="shared" si="2"/>
        <v>19</v>
      </c>
      <c r="AQ41" s="491"/>
      <c r="AR41" s="491"/>
    </row>
    <row r="42" spans="1:44" s="491" customFormat="1" ht="12" customHeight="1">
      <c r="A42" s="302">
        <f t="shared" si="3"/>
        <v>39</v>
      </c>
      <c r="B42" s="300" t="s">
        <v>69</v>
      </c>
      <c r="C42" s="302" t="s">
        <v>70</v>
      </c>
      <c r="D42" s="300" t="s">
        <v>32</v>
      </c>
      <c r="E42" s="301" t="s">
        <v>292</v>
      </c>
      <c r="F42" s="301" t="s">
        <v>308</v>
      </c>
      <c r="G42" s="485" t="s">
        <v>305</v>
      </c>
      <c r="H42" s="485" t="s">
        <v>305</v>
      </c>
      <c r="I42" s="485" t="s">
        <v>307</v>
      </c>
      <c r="J42" s="485" t="s">
        <v>307</v>
      </c>
      <c r="K42" s="485" t="s">
        <v>307</v>
      </c>
      <c r="L42" s="485" t="s">
        <v>307</v>
      </c>
      <c r="M42" s="485" t="s">
        <v>307</v>
      </c>
      <c r="N42" s="485" t="s">
        <v>307</v>
      </c>
      <c r="O42" s="485" t="s">
        <v>307</v>
      </c>
      <c r="P42" s="485" t="s">
        <v>307</v>
      </c>
      <c r="Q42" s="485" t="s">
        <v>307</v>
      </c>
      <c r="R42" s="485" t="s">
        <v>307</v>
      </c>
      <c r="S42" s="485" t="s">
        <v>305</v>
      </c>
      <c r="T42" s="485" t="s">
        <v>305</v>
      </c>
      <c r="U42" s="485" t="s">
        <v>305</v>
      </c>
      <c r="V42" s="485" t="s">
        <v>305</v>
      </c>
      <c r="W42" s="485" t="s">
        <v>305</v>
      </c>
      <c r="X42" s="485" t="s">
        <v>305</v>
      </c>
      <c r="Y42" s="485" t="s">
        <v>305</v>
      </c>
      <c r="Z42" s="485" t="s">
        <v>305</v>
      </c>
      <c r="AA42" s="485" t="s">
        <v>305</v>
      </c>
      <c r="AB42" s="485" t="s">
        <v>305</v>
      </c>
      <c r="AC42" s="485" t="s">
        <v>296</v>
      </c>
      <c r="AD42" s="485" t="s">
        <v>296</v>
      </c>
      <c r="AE42" s="485" t="s">
        <v>296</v>
      </c>
      <c r="AF42" s="485" t="s">
        <v>296</v>
      </c>
      <c r="AG42" s="485" t="s">
        <v>296</v>
      </c>
      <c r="AH42" s="485" t="s">
        <v>296</v>
      </c>
      <c r="AI42" s="485" t="s">
        <v>296</v>
      </c>
      <c r="AJ42" s="485" t="s">
        <v>296</v>
      </c>
      <c r="AK42" s="485" t="s">
        <v>296</v>
      </c>
      <c r="AL42" s="487">
        <f t="shared" si="4"/>
        <v>9</v>
      </c>
      <c r="AM42" s="488">
        <f t="shared" si="0"/>
        <v>12</v>
      </c>
      <c r="AN42" s="488">
        <f t="shared" si="1"/>
        <v>10</v>
      </c>
      <c r="AO42" s="488">
        <f t="shared" si="5"/>
        <v>31</v>
      </c>
      <c r="AP42" s="489">
        <f t="shared" si="2"/>
        <v>19</v>
      </c>
    </row>
    <row r="43" spans="1:44" s="491" customFormat="1" ht="12" customHeight="1">
      <c r="A43" s="302">
        <f t="shared" si="3"/>
        <v>40</v>
      </c>
      <c r="B43" s="300" t="s">
        <v>71</v>
      </c>
      <c r="C43" s="301" t="s">
        <v>72</v>
      </c>
      <c r="D43" s="300" t="s">
        <v>32</v>
      </c>
      <c r="E43" s="301" t="s">
        <v>292</v>
      </c>
      <c r="F43" s="301" t="s">
        <v>38</v>
      </c>
      <c r="G43" s="485" t="s">
        <v>305</v>
      </c>
      <c r="H43" s="485" t="s">
        <v>305</v>
      </c>
      <c r="I43" s="485" t="s">
        <v>307</v>
      </c>
      <c r="J43" s="485" t="s">
        <v>307</v>
      </c>
      <c r="K43" s="485" t="s">
        <v>307</v>
      </c>
      <c r="L43" s="485" t="s">
        <v>307</v>
      </c>
      <c r="M43" s="485" t="s">
        <v>307</v>
      </c>
      <c r="N43" s="485" t="s">
        <v>307</v>
      </c>
      <c r="O43" s="485" t="s">
        <v>307</v>
      </c>
      <c r="P43" s="485" t="s">
        <v>307</v>
      </c>
      <c r="Q43" s="485" t="s">
        <v>307</v>
      </c>
      <c r="R43" s="485" t="s">
        <v>307</v>
      </c>
      <c r="S43" s="485" t="s">
        <v>305</v>
      </c>
      <c r="T43" s="485" t="s">
        <v>305</v>
      </c>
      <c r="U43" s="485" t="s">
        <v>305</v>
      </c>
      <c r="V43" s="485" t="s">
        <v>305</v>
      </c>
      <c r="W43" s="485" t="s">
        <v>305</v>
      </c>
      <c r="X43" s="485" t="s">
        <v>305</v>
      </c>
      <c r="Y43" s="485" t="s">
        <v>305</v>
      </c>
      <c r="Z43" s="485" t="s">
        <v>305</v>
      </c>
      <c r="AA43" s="485" t="s">
        <v>305</v>
      </c>
      <c r="AB43" s="485" t="s">
        <v>305</v>
      </c>
      <c r="AC43" s="485" t="s">
        <v>296</v>
      </c>
      <c r="AD43" s="485" t="s">
        <v>296</v>
      </c>
      <c r="AE43" s="485" t="s">
        <v>296</v>
      </c>
      <c r="AF43" s="485" t="s">
        <v>296</v>
      </c>
      <c r="AG43" s="485" t="s">
        <v>296</v>
      </c>
      <c r="AH43" s="485" t="s">
        <v>296</v>
      </c>
      <c r="AI43" s="485" t="s">
        <v>296</v>
      </c>
      <c r="AJ43" s="485" t="s">
        <v>296</v>
      </c>
      <c r="AK43" s="485" t="s">
        <v>296</v>
      </c>
      <c r="AL43" s="487">
        <f t="shared" si="4"/>
        <v>9</v>
      </c>
      <c r="AM43" s="488">
        <f t="shared" si="0"/>
        <v>12</v>
      </c>
      <c r="AN43" s="488">
        <f t="shared" si="1"/>
        <v>10</v>
      </c>
      <c r="AO43" s="488">
        <f t="shared" si="5"/>
        <v>31</v>
      </c>
      <c r="AP43" s="489">
        <f t="shared" si="2"/>
        <v>19</v>
      </c>
    </row>
    <row r="44" spans="1:44" s="491" customFormat="1" ht="12" customHeight="1">
      <c r="A44" s="302">
        <f t="shared" si="3"/>
        <v>41</v>
      </c>
      <c r="B44" s="300" t="s">
        <v>73</v>
      </c>
      <c r="C44" s="301" t="s">
        <v>74</v>
      </c>
      <c r="D44" s="300" t="s">
        <v>32</v>
      </c>
      <c r="E44" s="301" t="s">
        <v>292</v>
      </c>
      <c r="F44" s="301" t="s">
        <v>38</v>
      </c>
      <c r="G44" s="485" t="s">
        <v>305</v>
      </c>
      <c r="H44" s="485" t="s">
        <v>305</v>
      </c>
      <c r="I44" s="485" t="s">
        <v>307</v>
      </c>
      <c r="J44" s="485" t="s">
        <v>307</v>
      </c>
      <c r="K44" s="485" t="s">
        <v>307</v>
      </c>
      <c r="L44" s="485" t="s">
        <v>307</v>
      </c>
      <c r="M44" s="485" t="s">
        <v>307</v>
      </c>
      <c r="N44" s="485" t="s">
        <v>307</v>
      </c>
      <c r="O44" s="485" t="s">
        <v>307</v>
      </c>
      <c r="P44" s="485" t="s">
        <v>307</v>
      </c>
      <c r="Q44" s="485" t="s">
        <v>307</v>
      </c>
      <c r="R44" s="485" t="s">
        <v>307</v>
      </c>
      <c r="S44" s="485" t="s">
        <v>305</v>
      </c>
      <c r="T44" s="485" t="s">
        <v>305</v>
      </c>
      <c r="U44" s="485" t="s">
        <v>305</v>
      </c>
      <c r="V44" s="485" t="s">
        <v>305</v>
      </c>
      <c r="W44" s="485" t="s">
        <v>305</v>
      </c>
      <c r="X44" s="485" t="s">
        <v>305</v>
      </c>
      <c r="Y44" s="485" t="s">
        <v>305</v>
      </c>
      <c r="Z44" s="485" t="s">
        <v>305</v>
      </c>
      <c r="AA44" s="485" t="s">
        <v>305</v>
      </c>
      <c r="AB44" s="485" t="s">
        <v>305</v>
      </c>
      <c r="AC44" s="485" t="s">
        <v>296</v>
      </c>
      <c r="AD44" s="485" t="s">
        <v>296</v>
      </c>
      <c r="AE44" s="485" t="s">
        <v>296</v>
      </c>
      <c r="AF44" s="485" t="s">
        <v>296</v>
      </c>
      <c r="AG44" s="485" t="s">
        <v>296</v>
      </c>
      <c r="AH44" s="485" t="s">
        <v>296</v>
      </c>
      <c r="AI44" s="485" t="s">
        <v>296</v>
      </c>
      <c r="AJ44" s="485" t="s">
        <v>296</v>
      </c>
      <c r="AK44" s="485" t="s">
        <v>296</v>
      </c>
      <c r="AL44" s="487">
        <f t="shared" si="4"/>
        <v>9</v>
      </c>
      <c r="AM44" s="488">
        <f t="shared" si="0"/>
        <v>12</v>
      </c>
      <c r="AN44" s="488">
        <f t="shared" si="1"/>
        <v>10</v>
      </c>
      <c r="AO44" s="488">
        <f t="shared" si="5"/>
        <v>31</v>
      </c>
      <c r="AP44" s="489">
        <f t="shared" si="2"/>
        <v>19</v>
      </c>
    </row>
    <row r="45" spans="1:44" s="491" customFormat="1" ht="10.5" customHeight="1">
      <c r="A45" s="302">
        <f t="shared" si="3"/>
        <v>42</v>
      </c>
      <c r="B45" s="304" t="s">
        <v>103</v>
      </c>
      <c r="C45" s="301" t="s">
        <v>104</v>
      </c>
      <c r="D45" s="300" t="s">
        <v>32</v>
      </c>
      <c r="E45" s="301" t="s">
        <v>292</v>
      </c>
      <c r="F45" s="301" t="s">
        <v>102</v>
      </c>
      <c r="G45" s="485" t="s">
        <v>305</v>
      </c>
      <c r="H45" s="485" t="s">
        <v>305</v>
      </c>
      <c r="I45" s="485" t="s">
        <v>307</v>
      </c>
      <c r="J45" s="485" t="s">
        <v>307</v>
      </c>
      <c r="K45" s="485" t="s">
        <v>307</v>
      </c>
      <c r="L45" s="485" t="s">
        <v>307</v>
      </c>
      <c r="M45" s="485" t="s">
        <v>307</v>
      </c>
      <c r="N45" s="485" t="s">
        <v>307</v>
      </c>
      <c r="O45" s="485" t="s">
        <v>307</v>
      </c>
      <c r="P45" s="485" t="s">
        <v>307</v>
      </c>
      <c r="Q45" s="485" t="s">
        <v>307</v>
      </c>
      <c r="R45" s="485" t="s">
        <v>307</v>
      </c>
      <c r="S45" s="485" t="s">
        <v>305</v>
      </c>
      <c r="T45" s="485" t="s">
        <v>305</v>
      </c>
      <c r="U45" s="485" t="s">
        <v>305</v>
      </c>
      <c r="V45" s="485" t="s">
        <v>305</v>
      </c>
      <c r="W45" s="485" t="s">
        <v>305</v>
      </c>
      <c r="X45" s="485" t="s">
        <v>305</v>
      </c>
      <c r="Y45" s="485" t="s">
        <v>305</v>
      </c>
      <c r="Z45" s="485" t="s">
        <v>305</v>
      </c>
      <c r="AA45" s="485" t="s">
        <v>305</v>
      </c>
      <c r="AB45" s="485" t="s">
        <v>305</v>
      </c>
      <c r="AC45" s="485" t="s">
        <v>296</v>
      </c>
      <c r="AD45" s="485" t="s">
        <v>296</v>
      </c>
      <c r="AE45" s="485" t="s">
        <v>296</v>
      </c>
      <c r="AF45" s="485" t="s">
        <v>296</v>
      </c>
      <c r="AG45" s="485" t="s">
        <v>296</v>
      </c>
      <c r="AH45" s="485" t="s">
        <v>296</v>
      </c>
      <c r="AI45" s="485" t="s">
        <v>296</v>
      </c>
      <c r="AJ45" s="485" t="s">
        <v>296</v>
      </c>
      <c r="AK45" s="485" t="s">
        <v>296</v>
      </c>
      <c r="AL45" s="487">
        <f t="shared" si="4"/>
        <v>9</v>
      </c>
      <c r="AM45" s="488">
        <f t="shared" si="0"/>
        <v>12</v>
      </c>
      <c r="AN45" s="488">
        <f t="shared" si="1"/>
        <v>10</v>
      </c>
      <c r="AO45" s="488">
        <f t="shared" si="5"/>
        <v>31</v>
      </c>
      <c r="AP45" s="489">
        <f t="shared" si="2"/>
        <v>19</v>
      </c>
      <c r="AQ45" s="463"/>
      <c r="AR45" s="463"/>
    </row>
    <row r="46" spans="1:44" ht="12" customHeight="1">
      <c r="A46" s="302">
        <f t="shared" si="3"/>
        <v>43</v>
      </c>
      <c r="B46" s="300" t="s">
        <v>98</v>
      </c>
      <c r="C46" s="302" t="s">
        <v>99</v>
      </c>
      <c r="D46" s="300" t="s">
        <v>32</v>
      </c>
      <c r="E46" s="301" t="s">
        <v>292</v>
      </c>
      <c r="F46" s="301" t="s">
        <v>86</v>
      </c>
      <c r="G46" s="485" t="s">
        <v>305</v>
      </c>
      <c r="H46" s="485" t="s">
        <v>305</v>
      </c>
      <c r="I46" s="485" t="s">
        <v>296</v>
      </c>
      <c r="J46" s="485" t="s">
        <v>296</v>
      </c>
      <c r="K46" s="485" t="s">
        <v>296</v>
      </c>
      <c r="L46" s="485" t="s">
        <v>296</v>
      </c>
      <c r="M46" s="485" t="s">
        <v>296</v>
      </c>
      <c r="N46" s="485" t="s">
        <v>296</v>
      </c>
      <c r="O46" s="485" t="s">
        <v>296</v>
      </c>
      <c r="P46" s="485" t="s">
        <v>296</v>
      </c>
      <c r="Q46" s="485" t="s">
        <v>296</v>
      </c>
      <c r="R46" s="485" t="s">
        <v>296</v>
      </c>
      <c r="S46" s="485" t="s">
        <v>305</v>
      </c>
      <c r="T46" s="485" t="s">
        <v>305</v>
      </c>
      <c r="U46" s="485" t="s">
        <v>305</v>
      </c>
      <c r="V46" s="485" t="s">
        <v>305</v>
      </c>
      <c r="W46" s="485" t="s">
        <v>305</v>
      </c>
      <c r="X46" s="485" t="s">
        <v>305</v>
      </c>
      <c r="Y46" s="485" t="s">
        <v>305</v>
      </c>
      <c r="Z46" s="485" t="s">
        <v>305</v>
      </c>
      <c r="AA46" s="485" t="s">
        <v>305</v>
      </c>
      <c r="AB46" s="485" t="s">
        <v>305</v>
      </c>
      <c r="AC46" s="485" t="s">
        <v>296</v>
      </c>
      <c r="AD46" s="485" t="s">
        <v>296</v>
      </c>
      <c r="AE46" s="485" t="s">
        <v>296</v>
      </c>
      <c r="AF46" s="485" t="s">
        <v>296</v>
      </c>
      <c r="AG46" s="485" t="s">
        <v>296</v>
      </c>
      <c r="AH46" s="485" t="s">
        <v>296</v>
      </c>
      <c r="AI46" s="485" t="s">
        <v>296</v>
      </c>
      <c r="AJ46" s="485" t="s">
        <v>296</v>
      </c>
      <c r="AK46" s="485" t="s">
        <v>296</v>
      </c>
      <c r="AL46" s="487">
        <f t="shared" si="4"/>
        <v>19</v>
      </c>
      <c r="AM46" s="488">
        <f t="shared" si="0"/>
        <v>12</v>
      </c>
      <c r="AN46" s="488">
        <f t="shared" si="1"/>
        <v>0</v>
      </c>
      <c r="AO46" s="488">
        <f t="shared" si="5"/>
        <v>31</v>
      </c>
      <c r="AP46" s="489">
        <f t="shared" si="2"/>
        <v>19</v>
      </c>
      <c r="AQ46" s="491"/>
      <c r="AR46" s="491"/>
    </row>
    <row r="47" spans="1:44" s="491" customFormat="1" ht="12" customHeight="1">
      <c r="A47" s="302">
        <f t="shared" si="3"/>
        <v>44</v>
      </c>
      <c r="B47" s="300" t="s">
        <v>124</v>
      </c>
      <c r="C47" s="302" t="s">
        <v>125</v>
      </c>
      <c r="D47" s="300" t="s">
        <v>32</v>
      </c>
      <c r="E47" s="301" t="s">
        <v>292</v>
      </c>
      <c r="F47" s="301" t="s">
        <v>110</v>
      </c>
      <c r="G47" s="485" t="s">
        <v>305</v>
      </c>
      <c r="H47" s="485" t="s">
        <v>305</v>
      </c>
      <c r="I47" s="485" t="s">
        <v>307</v>
      </c>
      <c r="J47" s="485" t="s">
        <v>307</v>
      </c>
      <c r="K47" s="485" t="s">
        <v>307</v>
      </c>
      <c r="L47" s="485" t="s">
        <v>307</v>
      </c>
      <c r="M47" s="485" t="s">
        <v>307</v>
      </c>
      <c r="N47" s="485" t="s">
        <v>307</v>
      </c>
      <c r="O47" s="485" t="s">
        <v>307</v>
      </c>
      <c r="P47" s="485" t="s">
        <v>307</v>
      </c>
      <c r="Q47" s="485" t="s">
        <v>307</v>
      </c>
      <c r="R47" s="485" t="s">
        <v>307</v>
      </c>
      <c r="S47" s="485" t="s">
        <v>305</v>
      </c>
      <c r="T47" s="485" t="s">
        <v>305</v>
      </c>
      <c r="U47" s="485" t="s">
        <v>305</v>
      </c>
      <c r="V47" s="485" t="s">
        <v>305</v>
      </c>
      <c r="W47" s="485" t="s">
        <v>305</v>
      </c>
      <c r="X47" s="485" t="s">
        <v>305</v>
      </c>
      <c r="Y47" s="485" t="s">
        <v>305</v>
      </c>
      <c r="Z47" s="485" t="s">
        <v>305</v>
      </c>
      <c r="AA47" s="485" t="s">
        <v>305</v>
      </c>
      <c r="AB47" s="485" t="s">
        <v>305</v>
      </c>
      <c r="AC47" s="485" t="s">
        <v>296</v>
      </c>
      <c r="AD47" s="485" t="s">
        <v>296</v>
      </c>
      <c r="AE47" s="485" t="s">
        <v>296</v>
      </c>
      <c r="AF47" s="485" t="s">
        <v>296</v>
      </c>
      <c r="AG47" s="485" t="s">
        <v>296</v>
      </c>
      <c r="AH47" s="485" t="s">
        <v>296</v>
      </c>
      <c r="AI47" s="485" t="s">
        <v>296</v>
      </c>
      <c r="AJ47" s="485" t="s">
        <v>296</v>
      </c>
      <c r="AK47" s="485" t="s">
        <v>296</v>
      </c>
      <c r="AL47" s="487">
        <f t="shared" si="4"/>
        <v>9</v>
      </c>
      <c r="AM47" s="488">
        <f t="shared" si="0"/>
        <v>12</v>
      </c>
      <c r="AN47" s="488">
        <f t="shared" si="1"/>
        <v>10</v>
      </c>
      <c r="AO47" s="488">
        <f t="shared" si="5"/>
        <v>31</v>
      </c>
      <c r="AP47" s="489">
        <f t="shared" si="2"/>
        <v>19</v>
      </c>
    </row>
    <row r="48" spans="1:44" s="491" customFormat="1" ht="12" customHeight="1">
      <c r="A48" s="302">
        <f t="shared" si="3"/>
        <v>45</v>
      </c>
      <c r="B48" s="300" t="s">
        <v>75</v>
      </c>
      <c r="C48" s="302" t="s">
        <v>76</v>
      </c>
      <c r="D48" s="300" t="s">
        <v>32</v>
      </c>
      <c r="E48" s="301" t="s">
        <v>292</v>
      </c>
      <c r="F48" s="301" t="s">
        <v>308</v>
      </c>
      <c r="G48" s="485" t="s">
        <v>305</v>
      </c>
      <c r="H48" s="485" t="s">
        <v>305</v>
      </c>
      <c r="I48" s="485" t="s">
        <v>296</v>
      </c>
      <c r="J48" s="485" t="s">
        <v>296</v>
      </c>
      <c r="K48" s="485" t="s">
        <v>296</v>
      </c>
      <c r="L48" s="485" t="s">
        <v>296</v>
      </c>
      <c r="M48" s="485" t="s">
        <v>296</v>
      </c>
      <c r="N48" s="485" t="s">
        <v>296</v>
      </c>
      <c r="O48" s="485" t="s">
        <v>296</v>
      </c>
      <c r="P48" s="485" t="s">
        <v>296</v>
      </c>
      <c r="Q48" s="485" t="s">
        <v>296</v>
      </c>
      <c r="R48" s="485" t="s">
        <v>296</v>
      </c>
      <c r="S48" s="485" t="s">
        <v>305</v>
      </c>
      <c r="T48" s="485" t="s">
        <v>305</v>
      </c>
      <c r="U48" s="485" t="s">
        <v>305</v>
      </c>
      <c r="V48" s="485" t="s">
        <v>305</v>
      </c>
      <c r="W48" s="485" t="s">
        <v>305</v>
      </c>
      <c r="X48" s="485" t="s">
        <v>305</v>
      </c>
      <c r="Y48" s="485" t="s">
        <v>305</v>
      </c>
      <c r="Z48" s="485" t="s">
        <v>305</v>
      </c>
      <c r="AA48" s="485" t="s">
        <v>305</v>
      </c>
      <c r="AB48" s="485" t="s">
        <v>305</v>
      </c>
      <c r="AC48" s="485" t="s">
        <v>307</v>
      </c>
      <c r="AD48" s="485" t="s">
        <v>307</v>
      </c>
      <c r="AE48" s="485" t="s">
        <v>307</v>
      </c>
      <c r="AF48" s="485" t="s">
        <v>307</v>
      </c>
      <c r="AG48" s="485" t="s">
        <v>307</v>
      </c>
      <c r="AH48" s="485" t="s">
        <v>307</v>
      </c>
      <c r="AI48" s="485" t="s">
        <v>307</v>
      </c>
      <c r="AJ48" s="485" t="s">
        <v>307</v>
      </c>
      <c r="AK48" s="485" t="s">
        <v>307</v>
      </c>
      <c r="AL48" s="487">
        <f t="shared" si="4"/>
        <v>10</v>
      </c>
      <c r="AM48" s="488">
        <f t="shared" si="0"/>
        <v>12</v>
      </c>
      <c r="AN48" s="488">
        <f t="shared" si="1"/>
        <v>9</v>
      </c>
      <c r="AO48" s="488">
        <f t="shared" si="5"/>
        <v>31</v>
      </c>
      <c r="AP48" s="489">
        <f t="shared" si="2"/>
        <v>19</v>
      </c>
      <c r="AQ48" s="463"/>
      <c r="AR48" s="463"/>
    </row>
    <row r="49" spans="1:44" ht="12" customHeight="1">
      <c r="A49" s="302">
        <f t="shared" si="3"/>
        <v>46</v>
      </c>
      <c r="B49" s="300" t="s">
        <v>146</v>
      </c>
      <c r="C49" s="302" t="s">
        <v>147</v>
      </c>
      <c r="D49" s="300" t="s">
        <v>32</v>
      </c>
      <c r="E49" s="301" t="s">
        <v>292</v>
      </c>
      <c r="F49" s="301" t="s">
        <v>142</v>
      </c>
      <c r="G49" s="485" t="s">
        <v>305</v>
      </c>
      <c r="H49" s="485" t="s">
        <v>305</v>
      </c>
      <c r="I49" s="485" t="s">
        <v>307</v>
      </c>
      <c r="J49" s="485" t="s">
        <v>307</v>
      </c>
      <c r="K49" s="485" t="s">
        <v>307</v>
      </c>
      <c r="L49" s="485" t="s">
        <v>307</v>
      </c>
      <c r="M49" s="485" t="s">
        <v>307</v>
      </c>
      <c r="N49" s="485" t="s">
        <v>307</v>
      </c>
      <c r="O49" s="485" t="s">
        <v>307</v>
      </c>
      <c r="P49" s="485" t="s">
        <v>307</v>
      </c>
      <c r="Q49" s="485" t="s">
        <v>307</v>
      </c>
      <c r="R49" s="485" t="s">
        <v>307</v>
      </c>
      <c r="S49" s="485" t="s">
        <v>305</v>
      </c>
      <c r="T49" s="485" t="s">
        <v>305</v>
      </c>
      <c r="U49" s="485" t="s">
        <v>305</v>
      </c>
      <c r="V49" s="485" t="s">
        <v>305</v>
      </c>
      <c r="W49" s="485" t="s">
        <v>305</v>
      </c>
      <c r="X49" s="485" t="s">
        <v>305</v>
      </c>
      <c r="Y49" s="485" t="s">
        <v>305</v>
      </c>
      <c r="Z49" s="485" t="s">
        <v>305</v>
      </c>
      <c r="AA49" s="485" t="s">
        <v>305</v>
      </c>
      <c r="AB49" s="485" t="s">
        <v>305</v>
      </c>
      <c r="AC49" s="485" t="s">
        <v>296</v>
      </c>
      <c r="AD49" s="485" t="s">
        <v>296</v>
      </c>
      <c r="AE49" s="485" t="s">
        <v>296</v>
      </c>
      <c r="AF49" s="485" t="s">
        <v>296</v>
      </c>
      <c r="AG49" s="485" t="s">
        <v>296</v>
      </c>
      <c r="AH49" s="485" t="s">
        <v>296</v>
      </c>
      <c r="AI49" s="485" t="s">
        <v>296</v>
      </c>
      <c r="AJ49" s="485" t="s">
        <v>296</v>
      </c>
      <c r="AK49" s="485" t="s">
        <v>296</v>
      </c>
      <c r="AL49" s="487">
        <f t="shared" si="4"/>
        <v>9</v>
      </c>
      <c r="AM49" s="488">
        <f t="shared" si="0"/>
        <v>12</v>
      </c>
      <c r="AN49" s="488">
        <f t="shared" si="1"/>
        <v>10</v>
      </c>
      <c r="AO49" s="488">
        <f t="shared" si="5"/>
        <v>31</v>
      </c>
      <c r="AP49" s="489">
        <f t="shared" si="2"/>
        <v>19</v>
      </c>
    </row>
    <row r="50" spans="1:44" ht="12" customHeight="1">
      <c r="A50" s="302">
        <f t="shared" si="3"/>
        <v>47</v>
      </c>
      <c r="B50" s="300" t="s">
        <v>77</v>
      </c>
      <c r="C50" s="301" t="s">
        <v>78</v>
      </c>
      <c r="D50" s="300" t="s">
        <v>32</v>
      </c>
      <c r="E50" s="301" t="s">
        <v>292</v>
      </c>
      <c r="F50" s="301" t="s">
        <v>308</v>
      </c>
      <c r="G50" s="485" t="s">
        <v>305</v>
      </c>
      <c r="H50" s="485" t="s">
        <v>305</v>
      </c>
      <c r="I50" s="485" t="s">
        <v>307</v>
      </c>
      <c r="J50" s="485" t="s">
        <v>307</v>
      </c>
      <c r="K50" s="485" t="s">
        <v>307</v>
      </c>
      <c r="L50" s="485" t="s">
        <v>307</v>
      </c>
      <c r="M50" s="485" t="s">
        <v>307</v>
      </c>
      <c r="N50" s="485" t="s">
        <v>307</v>
      </c>
      <c r="O50" s="485" t="s">
        <v>307</v>
      </c>
      <c r="P50" s="485" t="s">
        <v>307</v>
      </c>
      <c r="Q50" s="485" t="s">
        <v>307</v>
      </c>
      <c r="R50" s="485" t="s">
        <v>307</v>
      </c>
      <c r="S50" s="485" t="s">
        <v>305</v>
      </c>
      <c r="T50" s="485" t="s">
        <v>305</v>
      </c>
      <c r="U50" s="485" t="s">
        <v>305</v>
      </c>
      <c r="V50" s="485" t="s">
        <v>305</v>
      </c>
      <c r="W50" s="485" t="s">
        <v>305</v>
      </c>
      <c r="X50" s="485" t="s">
        <v>305</v>
      </c>
      <c r="Y50" s="485" t="s">
        <v>305</v>
      </c>
      <c r="Z50" s="485" t="s">
        <v>305</v>
      </c>
      <c r="AA50" s="485" t="s">
        <v>305</v>
      </c>
      <c r="AB50" s="485" t="s">
        <v>305</v>
      </c>
      <c r="AC50" s="492"/>
      <c r="AD50" s="492"/>
      <c r="AE50" s="492"/>
      <c r="AF50" s="492"/>
      <c r="AG50" s="492"/>
      <c r="AH50" s="492"/>
      <c r="AI50" s="492"/>
      <c r="AJ50" s="492"/>
      <c r="AK50" s="492"/>
      <c r="AL50" s="487">
        <f t="shared" si="4"/>
        <v>0</v>
      </c>
      <c r="AM50" s="488">
        <f t="shared" si="0"/>
        <v>12</v>
      </c>
      <c r="AN50" s="488">
        <f t="shared" si="1"/>
        <v>10</v>
      </c>
      <c r="AO50" s="488">
        <f t="shared" si="5"/>
        <v>22</v>
      </c>
      <c r="AP50" s="489">
        <f t="shared" si="2"/>
        <v>10</v>
      </c>
    </row>
    <row r="51" spans="1:44" ht="12" customHeight="1">
      <c r="A51" s="302">
        <f t="shared" si="3"/>
        <v>48</v>
      </c>
      <c r="B51" s="300" t="s">
        <v>79</v>
      </c>
      <c r="C51" s="301" t="s">
        <v>80</v>
      </c>
      <c r="D51" s="300" t="s">
        <v>32</v>
      </c>
      <c r="E51" s="301" t="s">
        <v>292</v>
      </c>
      <c r="F51" s="301" t="s">
        <v>38</v>
      </c>
      <c r="G51" s="485" t="s">
        <v>305</v>
      </c>
      <c r="H51" s="485" t="s">
        <v>305</v>
      </c>
      <c r="I51" s="485" t="s">
        <v>296</v>
      </c>
      <c r="J51" s="485" t="s">
        <v>296</v>
      </c>
      <c r="K51" s="485" t="s">
        <v>296</v>
      </c>
      <c r="L51" s="485" t="s">
        <v>296</v>
      </c>
      <c r="M51" s="485" t="s">
        <v>296</v>
      </c>
      <c r="N51" s="485" t="s">
        <v>296</v>
      </c>
      <c r="O51" s="485" t="s">
        <v>296</v>
      </c>
      <c r="P51" s="485" t="s">
        <v>296</v>
      </c>
      <c r="Q51" s="485" t="s">
        <v>296</v>
      </c>
      <c r="R51" s="485" t="s">
        <v>296</v>
      </c>
      <c r="S51" s="485" t="s">
        <v>305</v>
      </c>
      <c r="T51" s="485" t="s">
        <v>305</v>
      </c>
      <c r="U51" s="485" t="s">
        <v>305</v>
      </c>
      <c r="V51" s="485" t="s">
        <v>305</v>
      </c>
      <c r="W51" s="485" t="s">
        <v>305</v>
      </c>
      <c r="X51" s="485" t="s">
        <v>305</v>
      </c>
      <c r="Y51" s="485" t="s">
        <v>305</v>
      </c>
      <c r="Z51" s="485" t="s">
        <v>305</v>
      </c>
      <c r="AA51" s="485" t="s">
        <v>305</v>
      </c>
      <c r="AB51" s="485" t="s">
        <v>305</v>
      </c>
      <c r="AC51" s="485" t="s">
        <v>307</v>
      </c>
      <c r="AD51" s="485" t="s">
        <v>307</v>
      </c>
      <c r="AE51" s="485" t="s">
        <v>307</v>
      </c>
      <c r="AF51" s="485" t="s">
        <v>307</v>
      </c>
      <c r="AG51" s="485" t="s">
        <v>307</v>
      </c>
      <c r="AH51" s="485" t="s">
        <v>307</v>
      </c>
      <c r="AI51" s="485" t="s">
        <v>307</v>
      </c>
      <c r="AJ51" s="485" t="s">
        <v>307</v>
      </c>
      <c r="AK51" s="485" t="s">
        <v>307</v>
      </c>
      <c r="AL51" s="487">
        <f t="shared" si="4"/>
        <v>10</v>
      </c>
      <c r="AM51" s="488">
        <f t="shared" si="0"/>
        <v>12</v>
      </c>
      <c r="AN51" s="488">
        <f t="shared" si="1"/>
        <v>9</v>
      </c>
      <c r="AO51" s="488">
        <f t="shared" si="5"/>
        <v>31</v>
      </c>
      <c r="AP51" s="489">
        <f t="shared" si="2"/>
        <v>19</v>
      </c>
      <c r="AQ51" s="482"/>
      <c r="AR51" s="482"/>
    </row>
    <row r="52" spans="1:44" s="482" customFormat="1" ht="12" customHeight="1">
      <c r="A52" s="302">
        <f t="shared" si="3"/>
        <v>49</v>
      </c>
      <c r="B52" s="300" t="s">
        <v>237</v>
      </c>
      <c r="C52" s="301" t="s">
        <v>238</v>
      </c>
      <c r="D52" s="300" t="s">
        <v>160</v>
      </c>
      <c r="E52" s="301" t="s">
        <v>292</v>
      </c>
      <c r="F52" s="301" t="s">
        <v>314</v>
      </c>
      <c r="G52" s="485" t="s">
        <v>296</v>
      </c>
      <c r="H52" s="485" t="s">
        <v>296</v>
      </c>
      <c r="I52" s="485" t="s">
        <v>296</v>
      </c>
      <c r="J52" s="485" t="s">
        <v>296</v>
      </c>
      <c r="K52" s="485" t="s">
        <v>296</v>
      </c>
      <c r="L52" s="495" t="s">
        <v>296</v>
      </c>
      <c r="M52" s="486" t="s">
        <v>296</v>
      </c>
      <c r="N52" s="496" t="s">
        <v>305</v>
      </c>
      <c r="O52" s="496" t="s">
        <v>305</v>
      </c>
      <c r="P52" s="496" t="s">
        <v>305</v>
      </c>
      <c r="Q52" s="496" t="s">
        <v>305</v>
      </c>
      <c r="R52" s="496" t="s">
        <v>305</v>
      </c>
      <c r="S52" s="496" t="s">
        <v>305</v>
      </c>
      <c r="T52" s="496" t="s">
        <v>305</v>
      </c>
      <c r="U52" s="496" t="s">
        <v>297</v>
      </c>
      <c r="V52" s="497" t="s">
        <v>297</v>
      </c>
      <c r="W52" s="485" t="s">
        <v>297</v>
      </c>
      <c r="X52" s="485" t="s">
        <v>297</v>
      </c>
      <c r="Y52" s="496" t="s">
        <v>297</v>
      </c>
      <c r="Z52" s="496" t="s">
        <v>297</v>
      </c>
      <c r="AA52" s="496" t="s">
        <v>297</v>
      </c>
      <c r="AB52" s="496" t="s">
        <v>297</v>
      </c>
      <c r="AC52" s="496" t="s">
        <v>297</v>
      </c>
      <c r="AD52" s="496" t="s">
        <v>297</v>
      </c>
      <c r="AE52" s="496" t="s">
        <v>297</v>
      </c>
      <c r="AF52" s="497" t="s">
        <v>297</v>
      </c>
      <c r="AG52" s="485" t="s">
        <v>297</v>
      </c>
      <c r="AH52" s="496" t="s">
        <v>297</v>
      </c>
      <c r="AI52" s="485" t="s">
        <v>297</v>
      </c>
      <c r="AJ52" s="485" t="s">
        <v>297</v>
      </c>
      <c r="AK52" s="485" t="s">
        <v>297</v>
      </c>
      <c r="AL52" s="487">
        <f t="shared" si="4"/>
        <v>7</v>
      </c>
      <c r="AM52" s="488">
        <f t="shared" si="0"/>
        <v>7</v>
      </c>
      <c r="AN52" s="488">
        <f t="shared" si="1"/>
        <v>0</v>
      </c>
      <c r="AO52" s="488">
        <f t="shared" si="5"/>
        <v>14</v>
      </c>
      <c r="AP52" s="489">
        <f t="shared" si="2"/>
        <v>7</v>
      </c>
    </row>
    <row r="53" spans="1:44" ht="12" customHeight="1">
      <c r="A53" s="302">
        <f t="shared" si="3"/>
        <v>50</v>
      </c>
      <c r="B53" s="300" t="s">
        <v>148</v>
      </c>
      <c r="C53" s="301" t="s">
        <v>150</v>
      </c>
      <c r="D53" s="300" t="s">
        <v>149</v>
      </c>
      <c r="E53" s="301" t="s">
        <v>292</v>
      </c>
      <c r="F53" s="301" t="s">
        <v>151</v>
      </c>
      <c r="G53" s="485" t="s">
        <v>305</v>
      </c>
      <c r="H53" s="485" t="s">
        <v>305</v>
      </c>
      <c r="I53" s="485" t="s">
        <v>305</v>
      </c>
      <c r="J53" s="485" t="s">
        <v>305</v>
      </c>
      <c r="K53" s="485" t="s">
        <v>305</v>
      </c>
      <c r="L53" s="495" t="s">
        <v>305</v>
      </c>
      <c r="M53" s="485" t="s">
        <v>305</v>
      </c>
      <c r="N53" s="496" t="s">
        <v>296</v>
      </c>
      <c r="O53" s="496" t="s">
        <v>296</v>
      </c>
      <c r="P53" s="496" t="s">
        <v>296</v>
      </c>
      <c r="Q53" s="496" t="s">
        <v>296</v>
      </c>
      <c r="R53" s="496" t="s">
        <v>296</v>
      </c>
      <c r="S53" s="496" t="s">
        <v>296</v>
      </c>
      <c r="T53" s="496" t="s">
        <v>296</v>
      </c>
      <c r="U53" s="496" t="s">
        <v>296</v>
      </c>
      <c r="V53" s="497" t="s">
        <v>296</v>
      </c>
      <c r="W53" s="485" t="s">
        <v>296</v>
      </c>
      <c r="X53" s="485" t="s">
        <v>305</v>
      </c>
      <c r="Y53" s="496" t="s">
        <v>305</v>
      </c>
      <c r="Z53" s="496" t="s">
        <v>305</v>
      </c>
      <c r="AA53" s="496" t="s">
        <v>305</v>
      </c>
      <c r="AB53" s="496" t="s">
        <v>305</v>
      </c>
      <c r="AC53" s="496" t="s">
        <v>305</v>
      </c>
      <c r="AD53" s="496" t="s">
        <v>305</v>
      </c>
      <c r="AE53" s="496" t="s">
        <v>305</v>
      </c>
      <c r="AF53" s="497" t="s">
        <v>305</v>
      </c>
      <c r="AG53" s="485" t="s">
        <v>305</v>
      </c>
      <c r="AH53" s="496" t="s">
        <v>296</v>
      </c>
      <c r="AI53" s="496" t="s">
        <v>296</v>
      </c>
      <c r="AJ53" s="496" t="s">
        <v>296</v>
      </c>
      <c r="AK53" s="496" t="s">
        <v>296</v>
      </c>
      <c r="AL53" s="487">
        <f t="shared" si="4"/>
        <v>14</v>
      </c>
      <c r="AM53" s="488">
        <f t="shared" si="0"/>
        <v>17</v>
      </c>
      <c r="AN53" s="488">
        <f t="shared" si="1"/>
        <v>0</v>
      </c>
      <c r="AO53" s="488">
        <f t="shared" si="5"/>
        <v>31</v>
      </c>
      <c r="AP53" s="489">
        <f t="shared" si="2"/>
        <v>14</v>
      </c>
    </row>
    <row r="54" spans="1:44" ht="12" customHeight="1">
      <c r="A54" s="302">
        <f t="shared" si="3"/>
        <v>51</v>
      </c>
      <c r="B54" s="300" t="s">
        <v>154</v>
      </c>
      <c r="C54" s="302" t="s">
        <v>155</v>
      </c>
      <c r="D54" s="300" t="s">
        <v>149</v>
      </c>
      <c r="E54" s="301" t="s">
        <v>292</v>
      </c>
      <c r="F54" s="301" t="s">
        <v>247</v>
      </c>
      <c r="G54" s="485" t="s">
        <v>305</v>
      </c>
      <c r="H54" s="485" t="s">
        <v>305</v>
      </c>
      <c r="I54" s="485" t="s">
        <v>305</v>
      </c>
      <c r="J54" s="485" t="s">
        <v>305</v>
      </c>
      <c r="K54" s="485" t="s">
        <v>305</v>
      </c>
      <c r="L54" s="495" t="s">
        <v>305</v>
      </c>
      <c r="M54" s="485" t="s">
        <v>305</v>
      </c>
      <c r="N54" s="496" t="s">
        <v>296</v>
      </c>
      <c r="O54" s="496" t="s">
        <v>296</v>
      </c>
      <c r="P54" s="496" t="s">
        <v>296</v>
      </c>
      <c r="Q54" s="496" t="s">
        <v>296</v>
      </c>
      <c r="R54" s="496" t="s">
        <v>296</v>
      </c>
      <c r="S54" s="496" t="s">
        <v>296</v>
      </c>
      <c r="T54" s="496" t="s">
        <v>296</v>
      </c>
      <c r="U54" s="496" t="s">
        <v>296</v>
      </c>
      <c r="V54" s="497" t="s">
        <v>296</v>
      </c>
      <c r="W54" s="485" t="s">
        <v>296</v>
      </c>
      <c r="X54" s="485" t="s">
        <v>305</v>
      </c>
      <c r="Y54" s="496" t="s">
        <v>305</v>
      </c>
      <c r="Z54" s="496" t="s">
        <v>305</v>
      </c>
      <c r="AA54" s="496" t="s">
        <v>305</v>
      </c>
      <c r="AB54" s="496" t="s">
        <v>305</v>
      </c>
      <c r="AC54" s="496" t="s">
        <v>305</v>
      </c>
      <c r="AD54" s="496" t="s">
        <v>305</v>
      </c>
      <c r="AE54" s="496" t="s">
        <v>305</v>
      </c>
      <c r="AF54" s="497" t="s">
        <v>305</v>
      </c>
      <c r="AG54" s="485" t="s">
        <v>305</v>
      </c>
      <c r="AH54" s="496" t="s">
        <v>296</v>
      </c>
      <c r="AI54" s="496" t="s">
        <v>296</v>
      </c>
      <c r="AJ54" s="496" t="s">
        <v>296</v>
      </c>
      <c r="AK54" s="496" t="s">
        <v>296</v>
      </c>
      <c r="AL54" s="487">
        <f t="shared" si="4"/>
        <v>14</v>
      </c>
      <c r="AM54" s="488">
        <f t="shared" si="0"/>
        <v>17</v>
      </c>
      <c r="AN54" s="488">
        <f t="shared" si="1"/>
        <v>0</v>
      </c>
      <c r="AO54" s="488">
        <f t="shared" si="5"/>
        <v>31</v>
      </c>
      <c r="AP54" s="489">
        <f t="shared" si="2"/>
        <v>14</v>
      </c>
      <c r="AQ54" s="491"/>
      <c r="AR54" s="491"/>
    </row>
    <row r="55" spans="1:44" s="491" customFormat="1" ht="12" customHeight="1">
      <c r="A55" s="302">
        <f t="shared" si="3"/>
        <v>52</v>
      </c>
      <c r="B55" s="300" t="s">
        <v>157</v>
      </c>
      <c r="C55" s="301" t="s">
        <v>158</v>
      </c>
      <c r="D55" s="300" t="s">
        <v>149</v>
      </c>
      <c r="E55" s="301" t="s">
        <v>292</v>
      </c>
      <c r="F55" s="301" t="s">
        <v>102</v>
      </c>
      <c r="G55" s="485" t="s">
        <v>296</v>
      </c>
      <c r="H55" s="485" t="s">
        <v>296</v>
      </c>
      <c r="I55" s="485" t="s">
        <v>296</v>
      </c>
      <c r="J55" s="485" t="s">
        <v>296</v>
      </c>
      <c r="K55" s="485" t="s">
        <v>296</v>
      </c>
      <c r="L55" s="495" t="s">
        <v>296</v>
      </c>
      <c r="M55" s="498" t="s">
        <v>296</v>
      </c>
      <c r="N55" s="496" t="s">
        <v>305</v>
      </c>
      <c r="O55" s="496" t="s">
        <v>305</v>
      </c>
      <c r="P55" s="496" t="s">
        <v>305</v>
      </c>
      <c r="Q55" s="496" t="s">
        <v>305</v>
      </c>
      <c r="R55" s="496" t="s">
        <v>305</v>
      </c>
      <c r="S55" s="496" t="s">
        <v>305</v>
      </c>
      <c r="T55" s="496" t="s">
        <v>305</v>
      </c>
      <c r="U55" s="496" t="s">
        <v>305</v>
      </c>
      <c r="V55" s="497" t="s">
        <v>305</v>
      </c>
      <c r="W55" s="485" t="s">
        <v>305</v>
      </c>
      <c r="X55" s="485" t="s">
        <v>296</v>
      </c>
      <c r="Y55" s="496" t="s">
        <v>296</v>
      </c>
      <c r="Z55" s="496" t="s">
        <v>296</v>
      </c>
      <c r="AA55" s="496" t="s">
        <v>296</v>
      </c>
      <c r="AB55" s="496" t="s">
        <v>296</v>
      </c>
      <c r="AC55" s="496" t="s">
        <v>296</v>
      </c>
      <c r="AD55" s="496" t="s">
        <v>296</v>
      </c>
      <c r="AE55" s="496" t="s">
        <v>296</v>
      </c>
      <c r="AF55" s="497" t="s">
        <v>296</v>
      </c>
      <c r="AG55" s="485" t="s">
        <v>296</v>
      </c>
      <c r="AH55" s="496" t="s">
        <v>305</v>
      </c>
      <c r="AI55" s="496" t="s">
        <v>305</v>
      </c>
      <c r="AJ55" s="496" t="s">
        <v>305</v>
      </c>
      <c r="AK55" s="496" t="s">
        <v>305</v>
      </c>
      <c r="AL55" s="487">
        <f t="shared" si="4"/>
        <v>17</v>
      </c>
      <c r="AM55" s="488">
        <f t="shared" si="0"/>
        <v>14</v>
      </c>
      <c r="AN55" s="488">
        <f t="shared" si="1"/>
        <v>0</v>
      </c>
      <c r="AO55" s="488">
        <f t="shared" si="5"/>
        <v>31</v>
      </c>
      <c r="AP55" s="489">
        <f t="shared" si="2"/>
        <v>17</v>
      </c>
      <c r="AQ55" s="463"/>
      <c r="AR55" s="463"/>
    </row>
    <row r="56" spans="1:44" ht="12" customHeight="1">
      <c r="A56" s="302">
        <f t="shared" si="3"/>
        <v>53</v>
      </c>
      <c r="B56" s="300" t="s">
        <v>152</v>
      </c>
      <c r="C56" s="302" t="s">
        <v>153</v>
      </c>
      <c r="D56" s="300" t="s">
        <v>149</v>
      </c>
      <c r="E56" s="301" t="s">
        <v>292</v>
      </c>
      <c r="F56" s="301" t="s">
        <v>151</v>
      </c>
      <c r="G56" s="485" t="s">
        <v>296</v>
      </c>
      <c r="H56" s="485" t="s">
        <v>296</v>
      </c>
      <c r="I56" s="485" t="s">
        <v>296</v>
      </c>
      <c r="J56" s="485" t="s">
        <v>296</v>
      </c>
      <c r="K56" s="485" t="s">
        <v>296</v>
      </c>
      <c r="L56" s="495" t="s">
        <v>296</v>
      </c>
      <c r="M56" s="485" t="s">
        <v>296</v>
      </c>
      <c r="N56" s="496" t="s">
        <v>305</v>
      </c>
      <c r="O56" s="496" t="s">
        <v>305</v>
      </c>
      <c r="P56" s="496" t="s">
        <v>305</v>
      </c>
      <c r="Q56" s="496" t="s">
        <v>305</v>
      </c>
      <c r="R56" s="496" t="s">
        <v>305</v>
      </c>
      <c r="S56" s="496" t="s">
        <v>305</v>
      </c>
      <c r="T56" s="496" t="s">
        <v>305</v>
      </c>
      <c r="U56" s="496" t="s">
        <v>305</v>
      </c>
      <c r="V56" s="497" t="s">
        <v>305</v>
      </c>
      <c r="W56" s="485" t="s">
        <v>305</v>
      </c>
      <c r="X56" s="485" t="s">
        <v>296</v>
      </c>
      <c r="Y56" s="496" t="s">
        <v>296</v>
      </c>
      <c r="Z56" s="496" t="s">
        <v>296</v>
      </c>
      <c r="AA56" s="496" t="s">
        <v>296</v>
      </c>
      <c r="AB56" s="496" t="s">
        <v>296</v>
      </c>
      <c r="AC56" s="496" t="s">
        <v>296</v>
      </c>
      <c r="AD56" s="496" t="s">
        <v>296</v>
      </c>
      <c r="AE56" s="496" t="s">
        <v>296</v>
      </c>
      <c r="AF56" s="497" t="s">
        <v>296</v>
      </c>
      <c r="AG56" s="485" t="s">
        <v>296</v>
      </c>
      <c r="AH56" s="496" t="s">
        <v>305</v>
      </c>
      <c r="AI56" s="496" t="s">
        <v>305</v>
      </c>
      <c r="AJ56" s="496" t="s">
        <v>305</v>
      </c>
      <c r="AK56" s="496" t="s">
        <v>305</v>
      </c>
      <c r="AL56" s="487">
        <f t="shared" si="4"/>
        <v>17</v>
      </c>
      <c r="AM56" s="488">
        <f t="shared" si="0"/>
        <v>14</v>
      </c>
      <c r="AN56" s="488">
        <f t="shared" si="1"/>
        <v>0</v>
      </c>
      <c r="AO56" s="488">
        <f t="shared" si="5"/>
        <v>31</v>
      </c>
      <c r="AP56" s="489">
        <f t="shared" si="2"/>
        <v>17</v>
      </c>
    </row>
    <row r="57" spans="1:44" ht="12" customHeight="1">
      <c r="A57" s="302">
        <f t="shared" si="3"/>
        <v>54</v>
      </c>
      <c r="B57" s="300" t="s">
        <v>165</v>
      </c>
      <c r="C57" s="301" t="s">
        <v>166</v>
      </c>
      <c r="D57" s="300" t="s">
        <v>160</v>
      </c>
      <c r="E57" s="301" t="s">
        <v>292</v>
      </c>
      <c r="F57" s="301" t="s">
        <v>38</v>
      </c>
      <c r="G57" s="485" t="s">
        <v>296</v>
      </c>
      <c r="H57" s="485" t="s">
        <v>296</v>
      </c>
      <c r="I57" s="485" t="s">
        <v>305</v>
      </c>
      <c r="J57" s="485" t="s">
        <v>305</v>
      </c>
      <c r="K57" s="485" t="s">
        <v>305</v>
      </c>
      <c r="L57" s="485" t="s">
        <v>305</v>
      </c>
      <c r="M57" s="485" t="s">
        <v>305</v>
      </c>
      <c r="N57" s="485" t="s">
        <v>305</v>
      </c>
      <c r="O57" s="485" t="s">
        <v>305</v>
      </c>
      <c r="P57" s="485" t="s">
        <v>305</v>
      </c>
      <c r="Q57" s="485" t="s">
        <v>305</v>
      </c>
      <c r="R57" s="485" t="s">
        <v>305</v>
      </c>
      <c r="S57" s="485" t="s">
        <v>309</v>
      </c>
      <c r="T57" s="485" t="s">
        <v>309</v>
      </c>
      <c r="U57" s="485" t="s">
        <v>309</v>
      </c>
      <c r="V57" s="485" t="s">
        <v>309</v>
      </c>
      <c r="W57" s="485" t="s">
        <v>309</v>
      </c>
      <c r="X57" s="485" t="s">
        <v>309</v>
      </c>
      <c r="Y57" s="485" t="s">
        <v>309</v>
      </c>
      <c r="Z57" s="485" t="s">
        <v>309</v>
      </c>
      <c r="AA57" s="485" t="s">
        <v>309</v>
      </c>
      <c r="AB57" s="485" t="s">
        <v>309</v>
      </c>
      <c r="AC57" s="485" t="s">
        <v>309</v>
      </c>
      <c r="AD57" s="485" t="s">
        <v>309</v>
      </c>
      <c r="AE57" s="485" t="s">
        <v>309</v>
      </c>
      <c r="AF57" s="485" t="s">
        <v>309</v>
      </c>
      <c r="AG57" s="485" t="s">
        <v>309</v>
      </c>
      <c r="AH57" s="485" t="s">
        <v>309</v>
      </c>
      <c r="AI57" s="485" t="s">
        <v>309</v>
      </c>
      <c r="AJ57" s="485" t="s">
        <v>309</v>
      </c>
      <c r="AK57" s="485" t="s">
        <v>309</v>
      </c>
      <c r="AL57" s="487">
        <f t="shared" si="4"/>
        <v>2</v>
      </c>
      <c r="AM57" s="488">
        <f t="shared" si="0"/>
        <v>10</v>
      </c>
      <c r="AN57" s="488">
        <f t="shared" si="1"/>
        <v>0</v>
      </c>
      <c r="AO57" s="488">
        <f t="shared" si="5"/>
        <v>12</v>
      </c>
      <c r="AP57" s="489">
        <f t="shared" si="2"/>
        <v>2</v>
      </c>
    </row>
    <row r="58" spans="1:44" ht="12" customHeight="1">
      <c r="A58" s="302">
        <f t="shared" si="3"/>
        <v>55</v>
      </c>
      <c r="B58" s="300" t="s">
        <v>168</v>
      </c>
      <c r="C58" s="302" t="s">
        <v>169</v>
      </c>
      <c r="D58" s="300" t="s">
        <v>160</v>
      </c>
      <c r="E58" s="301" t="s">
        <v>292</v>
      </c>
      <c r="F58" s="301" t="s">
        <v>38</v>
      </c>
      <c r="G58" s="485" t="s">
        <v>296</v>
      </c>
      <c r="H58" s="485" t="s">
        <v>296</v>
      </c>
      <c r="I58" s="485" t="s">
        <v>305</v>
      </c>
      <c r="J58" s="485" t="s">
        <v>305</v>
      </c>
      <c r="K58" s="485" t="s">
        <v>305</v>
      </c>
      <c r="L58" s="485" t="s">
        <v>305</v>
      </c>
      <c r="M58" s="485" t="s">
        <v>305</v>
      </c>
      <c r="N58" s="485" t="s">
        <v>305</v>
      </c>
      <c r="O58" s="485" t="s">
        <v>305</v>
      </c>
      <c r="P58" s="485" t="s">
        <v>305</v>
      </c>
      <c r="Q58" s="485" t="s">
        <v>305</v>
      </c>
      <c r="R58" s="485" t="s">
        <v>305</v>
      </c>
      <c r="S58" s="485" t="s">
        <v>307</v>
      </c>
      <c r="T58" s="485" t="s">
        <v>307</v>
      </c>
      <c r="U58" s="485" t="s">
        <v>307</v>
      </c>
      <c r="V58" s="485" t="s">
        <v>307</v>
      </c>
      <c r="W58" s="485" t="s">
        <v>307</v>
      </c>
      <c r="X58" s="485" t="s">
        <v>307</v>
      </c>
      <c r="Y58" s="485" t="s">
        <v>307</v>
      </c>
      <c r="Z58" s="485" t="s">
        <v>307</v>
      </c>
      <c r="AA58" s="485" t="s">
        <v>307</v>
      </c>
      <c r="AB58" s="485" t="s">
        <v>307</v>
      </c>
      <c r="AC58" s="485" t="s">
        <v>305</v>
      </c>
      <c r="AD58" s="485" t="s">
        <v>305</v>
      </c>
      <c r="AE58" s="485" t="s">
        <v>305</v>
      </c>
      <c r="AF58" s="485" t="s">
        <v>305</v>
      </c>
      <c r="AG58" s="485" t="s">
        <v>305</v>
      </c>
      <c r="AH58" s="485" t="s">
        <v>305</v>
      </c>
      <c r="AI58" s="485" t="s">
        <v>305</v>
      </c>
      <c r="AJ58" s="485" t="s">
        <v>305</v>
      </c>
      <c r="AK58" s="485" t="s">
        <v>305</v>
      </c>
      <c r="AL58" s="487">
        <f t="shared" si="4"/>
        <v>2</v>
      </c>
      <c r="AM58" s="488">
        <f t="shared" si="0"/>
        <v>19</v>
      </c>
      <c r="AN58" s="488">
        <f t="shared" si="1"/>
        <v>10</v>
      </c>
      <c r="AO58" s="488">
        <f t="shared" si="5"/>
        <v>31</v>
      </c>
      <c r="AP58" s="489">
        <f t="shared" si="2"/>
        <v>12</v>
      </c>
    </row>
    <row r="59" spans="1:44" ht="12" customHeight="1">
      <c r="A59" s="302">
        <f t="shared" si="3"/>
        <v>56</v>
      </c>
      <c r="B59" s="300" t="s">
        <v>140</v>
      </c>
      <c r="C59" s="302" t="s">
        <v>141</v>
      </c>
      <c r="D59" s="300" t="s">
        <v>32</v>
      </c>
      <c r="E59" s="301" t="s">
        <v>292</v>
      </c>
      <c r="F59" s="301" t="s">
        <v>142</v>
      </c>
      <c r="G59" s="485" t="s">
        <v>294</v>
      </c>
      <c r="H59" s="485" t="s">
        <v>294</v>
      </c>
      <c r="I59" s="485" t="s">
        <v>305</v>
      </c>
      <c r="J59" s="485" t="s">
        <v>305</v>
      </c>
      <c r="K59" s="485" t="s">
        <v>305</v>
      </c>
      <c r="L59" s="485" t="s">
        <v>305</v>
      </c>
      <c r="M59" s="485" t="s">
        <v>305</v>
      </c>
      <c r="N59" s="485" t="s">
        <v>305</v>
      </c>
      <c r="O59" s="485" t="s">
        <v>305</v>
      </c>
      <c r="P59" s="485" t="s">
        <v>305</v>
      </c>
      <c r="Q59" s="485" t="s">
        <v>305</v>
      </c>
      <c r="R59" s="485" t="s">
        <v>305</v>
      </c>
      <c r="S59" s="485" t="s">
        <v>307</v>
      </c>
      <c r="T59" s="485" t="s">
        <v>307</v>
      </c>
      <c r="U59" s="485" t="s">
        <v>307</v>
      </c>
      <c r="V59" s="485" t="s">
        <v>307</v>
      </c>
      <c r="W59" s="485" t="s">
        <v>307</v>
      </c>
      <c r="X59" s="485" t="s">
        <v>305</v>
      </c>
      <c r="Y59" s="485" t="s">
        <v>305</v>
      </c>
      <c r="Z59" s="485" t="s">
        <v>305</v>
      </c>
      <c r="AA59" s="485" t="s">
        <v>305</v>
      </c>
      <c r="AB59" s="485" t="s">
        <v>305</v>
      </c>
      <c r="AC59" s="485" t="s">
        <v>296</v>
      </c>
      <c r="AD59" s="485" t="s">
        <v>296</v>
      </c>
      <c r="AE59" s="485" t="s">
        <v>296</v>
      </c>
      <c r="AF59" s="485" t="s">
        <v>296</v>
      </c>
      <c r="AG59" s="485" t="s">
        <v>296</v>
      </c>
      <c r="AH59" s="485" t="s">
        <v>305</v>
      </c>
      <c r="AI59" s="485" t="s">
        <v>305</v>
      </c>
      <c r="AJ59" s="485" t="s">
        <v>305</v>
      </c>
      <c r="AK59" s="485" t="s">
        <v>305</v>
      </c>
      <c r="AL59" s="487">
        <f t="shared" si="4"/>
        <v>5</v>
      </c>
      <c r="AM59" s="488">
        <f t="shared" si="0"/>
        <v>19</v>
      </c>
      <c r="AN59" s="488">
        <f t="shared" si="1"/>
        <v>5</v>
      </c>
      <c r="AO59" s="488">
        <f t="shared" si="5"/>
        <v>29</v>
      </c>
      <c r="AP59" s="489">
        <f t="shared" si="2"/>
        <v>10</v>
      </c>
      <c r="AQ59" s="491"/>
      <c r="AR59" s="491"/>
    </row>
    <row r="60" spans="1:44" ht="12" customHeight="1">
      <c r="A60" s="302">
        <f t="shared" si="3"/>
        <v>57</v>
      </c>
      <c r="B60" s="300" t="s">
        <v>172</v>
      </c>
      <c r="C60" s="301" t="s">
        <v>173</v>
      </c>
      <c r="D60" s="300" t="s">
        <v>160</v>
      </c>
      <c r="E60" s="301" t="s">
        <v>292</v>
      </c>
      <c r="F60" s="301" t="s">
        <v>38</v>
      </c>
      <c r="G60" s="485" t="s">
        <v>296</v>
      </c>
      <c r="H60" s="485" t="s">
        <v>296</v>
      </c>
      <c r="I60" s="485" t="s">
        <v>305</v>
      </c>
      <c r="J60" s="485" t="s">
        <v>305</v>
      </c>
      <c r="K60" s="485" t="s">
        <v>305</v>
      </c>
      <c r="L60" s="485" t="s">
        <v>305</v>
      </c>
      <c r="M60" s="485" t="s">
        <v>305</v>
      </c>
      <c r="N60" s="485" t="s">
        <v>305</v>
      </c>
      <c r="O60" s="485" t="s">
        <v>305</v>
      </c>
      <c r="P60" s="485" t="s">
        <v>305</v>
      </c>
      <c r="Q60" s="485" t="s">
        <v>305</v>
      </c>
      <c r="R60" s="485" t="s">
        <v>305</v>
      </c>
      <c r="S60" s="485" t="s">
        <v>307</v>
      </c>
      <c r="T60" s="485" t="s">
        <v>307</v>
      </c>
      <c r="U60" s="485" t="s">
        <v>307</v>
      </c>
      <c r="V60" s="485" t="s">
        <v>307</v>
      </c>
      <c r="W60" s="485" t="s">
        <v>307</v>
      </c>
      <c r="X60" s="485" t="s">
        <v>307</v>
      </c>
      <c r="Y60" s="485" t="s">
        <v>307</v>
      </c>
      <c r="Z60" s="485" t="s">
        <v>307</v>
      </c>
      <c r="AA60" s="485" t="s">
        <v>307</v>
      </c>
      <c r="AB60" s="485" t="s">
        <v>307</v>
      </c>
      <c r="AC60" s="485" t="s">
        <v>305</v>
      </c>
      <c r="AD60" s="485" t="s">
        <v>305</v>
      </c>
      <c r="AE60" s="485" t="s">
        <v>305</v>
      </c>
      <c r="AF60" s="485" t="s">
        <v>305</v>
      </c>
      <c r="AG60" s="485" t="s">
        <v>305</v>
      </c>
      <c r="AH60" s="485" t="s">
        <v>305</v>
      </c>
      <c r="AI60" s="485" t="s">
        <v>305</v>
      </c>
      <c r="AJ60" s="485" t="s">
        <v>305</v>
      </c>
      <c r="AK60" s="485" t="s">
        <v>305</v>
      </c>
      <c r="AL60" s="487">
        <f t="shared" si="4"/>
        <v>2</v>
      </c>
      <c r="AM60" s="488">
        <f t="shared" si="0"/>
        <v>19</v>
      </c>
      <c r="AN60" s="488">
        <f t="shared" si="1"/>
        <v>10</v>
      </c>
      <c r="AO60" s="488">
        <f t="shared" si="5"/>
        <v>31</v>
      </c>
      <c r="AP60" s="489">
        <f t="shared" si="2"/>
        <v>12</v>
      </c>
    </row>
    <row r="61" spans="1:44" s="491" customFormat="1" ht="12" customHeight="1">
      <c r="A61" s="302">
        <f t="shared" si="3"/>
        <v>58</v>
      </c>
      <c r="B61" s="300" t="s">
        <v>272</v>
      </c>
      <c r="C61" s="302" t="s">
        <v>273</v>
      </c>
      <c r="D61" s="300" t="s">
        <v>160</v>
      </c>
      <c r="E61" s="301" t="s">
        <v>292</v>
      </c>
      <c r="F61" s="301" t="s">
        <v>142</v>
      </c>
      <c r="G61" s="485" t="s">
        <v>296</v>
      </c>
      <c r="H61" s="485" t="s">
        <v>296</v>
      </c>
      <c r="I61" s="485" t="s">
        <v>305</v>
      </c>
      <c r="J61" s="485" t="s">
        <v>305</v>
      </c>
      <c r="K61" s="485" t="s">
        <v>305</v>
      </c>
      <c r="L61" s="485" t="s">
        <v>305</v>
      </c>
      <c r="M61" s="485" t="s">
        <v>305</v>
      </c>
      <c r="N61" s="485" t="s">
        <v>305</v>
      </c>
      <c r="O61" s="485" t="s">
        <v>305</v>
      </c>
      <c r="P61" s="485" t="s">
        <v>305</v>
      </c>
      <c r="Q61" s="485" t="s">
        <v>305</v>
      </c>
      <c r="R61" s="485" t="s">
        <v>305</v>
      </c>
      <c r="S61" s="485" t="s">
        <v>307</v>
      </c>
      <c r="T61" s="485" t="s">
        <v>307</v>
      </c>
      <c r="U61" s="485" t="s">
        <v>307</v>
      </c>
      <c r="V61" s="485" t="s">
        <v>307</v>
      </c>
      <c r="W61" s="485" t="s">
        <v>307</v>
      </c>
      <c r="X61" s="485" t="s">
        <v>307</v>
      </c>
      <c r="Y61" s="485" t="s">
        <v>307</v>
      </c>
      <c r="Z61" s="485" t="s">
        <v>307</v>
      </c>
      <c r="AA61" s="485" t="s">
        <v>307</v>
      </c>
      <c r="AB61" s="485" t="s">
        <v>307</v>
      </c>
      <c r="AC61" s="485" t="s">
        <v>305</v>
      </c>
      <c r="AD61" s="485" t="s">
        <v>305</v>
      </c>
      <c r="AE61" s="485" t="s">
        <v>305</v>
      </c>
      <c r="AF61" s="485" t="s">
        <v>305</v>
      </c>
      <c r="AG61" s="485" t="s">
        <v>305</v>
      </c>
      <c r="AH61" s="485" t="s">
        <v>305</v>
      </c>
      <c r="AI61" s="485" t="s">
        <v>305</v>
      </c>
      <c r="AJ61" s="485" t="s">
        <v>305</v>
      </c>
      <c r="AK61" s="485" t="s">
        <v>305</v>
      </c>
      <c r="AL61" s="487">
        <f t="shared" si="4"/>
        <v>2</v>
      </c>
      <c r="AM61" s="488">
        <f t="shared" si="0"/>
        <v>19</v>
      </c>
      <c r="AN61" s="488">
        <f t="shared" si="1"/>
        <v>10</v>
      </c>
      <c r="AO61" s="488">
        <f t="shared" si="5"/>
        <v>31</v>
      </c>
      <c r="AP61" s="489">
        <f t="shared" si="2"/>
        <v>12</v>
      </c>
      <c r="AQ61" s="463"/>
      <c r="AR61" s="463"/>
    </row>
    <row r="62" spans="1:44" ht="12" customHeight="1">
      <c r="A62" s="302">
        <f t="shared" si="3"/>
        <v>59</v>
      </c>
      <c r="B62" s="303" t="s">
        <v>248</v>
      </c>
      <c r="C62" s="302" t="s">
        <v>249</v>
      </c>
      <c r="D62" s="300" t="s">
        <v>160</v>
      </c>
      <c r="E62" s="302" t="s">
        <v>292</v>
      </c>
      <c r="F62" s="302" t="s">
        <v>110</v>
      </c>
      <c r="G62" s="485" t="s">
        <v>296</v>
      </c>
      <c r="H62" s="485" t="s">
        <v>296</v>
      </c>
      <c r="I62" s="485" t="s">
        <v>305</v>
      </c>
      <c r="J62" s="485" t="s">
        <v>305</v>
      </c>
      <c r="K62" s="485" t="s">
        <v>305</v>
      </c>
      <c r="L62" s="485" t="s">
        <v>305</v>
      </c>
      <c r="M62" s="485" t="s">
        <v>305</v>
      </c>
      <c r="N62" s="485" t="s">
        <v>305</v>
      </c>
      <c r="O62" s="485" t="s">
        <v>305</v>
      </c>
      <c r="P62" s="485" t="s">
        <v>305</v>
      </c>
      <c r="Q62" s="485" t="s">
        <v>305</v>
      </c>
      <c r="R62" s="485" t="s">
        <v>305</v>
      </c>
      <c r="S62" s="485" t="s">
        <v>307</v>
      </c>
      <c r="T62" s="485" t="s">
        <v>307</v>
      </c>
      <c r="U62" s="485" t="s">
        <v>307</v>
      </c>
      <c r="V62" s="485" t="s">
        <v>307</v>
      </c>
      <c r="W62" s="485" t="s">
        <v>307</v>
      </c>
      <c r="X62" s="485" t="s">
        <v>307</v>
      </c>
      <c r="Y62" s="485" t="s">
        <v>307</v>
      </c>
      <c r="Z62" s="485" t="s">
        <v>307</v>
      </c>
      <c r="AA62" s="485" t="s">
        <v>307</v>
      </c>
      <c r="AB62" s="485" t="s">
        <v>307</v>
      </c>
      <c r="AC62" s="485" t="s">
        <v>305</v>
      </c>
      <c r="AD62" s="485" t="s">
        <v>305</v>
      </c>
      <c r="AE62" s="485" t="s">
        <v>305</v>
      </c>
      <c r="AF62" s="485" t="s">
        <v>305</v>
      </c>
      <c r="AG62" s="485" t="s">
        <v>305</v>
      </c>
      <c r="AH62" s="485" t="s">
        <v>305</v>
      </c>
      <c r="AI62" s="485" t="s">
        <v>305</v>
      </c>
      <c r="AJ62" s="485" t="s">
        <v>305</v>
      </c>
      <c r="AK62" s="485" t="s">
        <v>305</v>
      </c>
      <c r="AL62" s="487">
        <f t="shared" si="4"/>
        <v>2</v>
      </c>
      <c r="AM62" s="488">
        <f t="shared" si="0"/>
        <v>19</v>
      </c>
      <c r="AN62" s="488">
        <f t="shared" si="1"/>
        <v>10</v>
      </c>
      <c r="AO62" s="488">
        <f t="shared" si="5"/>
        <v>31</v>
      </c>
      <c r="AP62" s="489">
        <f t="shared" si="2"/>
        <v>12</v>
      </c>
    </row>
    <row r="63" spans="1:44" ht="12" customHeight="1">
      <c r="A63" s="302">
        <f t="shared" si="3"/>
        <v>60</v>
      </c>
      <c r="B63" s="300" t="s">
        <v>241</v>
      </c>
      <c r="C63" s="301" t="s">
        <v>242</v>
      </c>
      <c r="D63" s="300" t="s">
        <v>160</v>
      </c>
      <c r="E63" s="301" t="s">
        <v>292</v>
      </c>
      <c r="F63" s="301" t="s">
        <v>102</v>
      </c>
      <c r="G63" s="485" t="s">
        <v>296</v>
      </c>
      <c r="H63" s="485" t="s">
        <v>296</v>
      </c>
      <c r="I63" s="485" t="s">
        <v>305</v>
      </c>
      <c r="J63" s="485" t="s">
        <v>305</v>
      </c>
      <c r="K63" s="485" t="s">
        <v>305</v>
      </c>
      <c r="L63" s="485" t="s">
        <v>305</v>
      </c>
      <c r="M63" s="485" t="s">
        <v>305</v>
      </c>
      <c r="N63" s="485" t="s">
        <v>305</v>
      </c>
      <c r="O63" s="485" t="s">
        <v>305</v>
      </c>
      <c r="P63" s="485" t="s">
        <v>305</v>
      </c>
      <c r="Q63" s="485" t="s">
        <v>305</v>
      </c>
      <c r="R63" s="485" t="s">
        <v>305</v>
      </c>
      <c r="S63" s="485" t="s">
        <v>307</v>
      </c>
      <c r="T63" s="485" t="s">
        <v>307</v>
      </c>
      <c r="U63" s="485" t="s">
        <v>307</v>
      </c>
      <c r="V63" s="485" t="s">
        <v>307</v>
      </c>
      <c r="W63" s="485" t="s">
        <v>307</v>
      </c>
      <c r="X63" s="485" t="s">
        <v>307</v>
      </c>
      <c r="Y63" s="485" t="s">
        <v>307</v>
      </c>
      <c r="Z63" s="485" t="s">
        <v>307</v>
      </c>
      <c r="AA63" s="485" t="s">
        <v>307</v>
      </c>
      <c r="AB63" s="485" t="s">
        <v>307</v>
      </c>
      <c r="AC63" s="485" t="s">
        <v>305</v>
      </c>
      <c r="AD63" s="485" t="s">
        <v>305</v>
      </c>
      <c r="AE63" s="485" t="s">
        <v>305</v>
      </c>
      <c r="AF63" s="485" t="s">
        <v>305</v>
      </c>
      <c r="AG63" s="485" t="s">
        <v>305</v>
      </c>
      <c r="AH63" s="485" t="s">
        <v>305</v>
      </c>
      <c r="AI63" s="485" t="s">
        <v>305</v>
      </c>
      <c r="AJ63" s="485" t="s">
        <v>305</v>
      </c>
      <c r="AK63" s="485" t="s">
        <v>305</v>
      </c>
      <c r="AL63" s="487">
        <f t="shared" si="4"/>
        <v>2</v>
      </c>
      <c r="AM63" s="488">
        <f t="shared" si="0"/>
        <v>19</v>
      </c>
      <c r="AN63" s="488">
        <f t="shared" si="1"/>
        <v>10</v>
      </c>
      <c r="AO63" s="488">
        <f t="shared" si="5"/>
        <v>31</v>
      </c>
      <c r="AP63" s="489">
        <f t="shared" si="2"/>
        <v>12</v>
      </c>
    </row>
    <row r="64" spans="1:44" ht="12" customHeight="1">
      <c r="A64" s="302">
        <f t="shared" si="3"/>
        <v>61</v>
      </c>
      <c r="B64" s="300" t="s">
        <v>250</v>
      </c>
      <c r="C64" s="301" t="s">
        <v>251</v>
      </c>
      <c r="D64" s="300" t="s">
        <v>160</v>
      </c>
      <c r="E64" s="301" t="s">
        <v>292</v>
      </c>
      <c r="F64" s="301" t="s">
        <v>110</v>
      </c>
      <c r="G64" s="485" t="s">
        <v>296</v>
      </c>
      <c r="H64" s="485" t="s">
        <v>296</v>
      </c>
      <c r="I64" s="485" t="s">
        <v>305</v>
      </c>
      <c r="J64" s="485" t="s">
        <v>305</v>
      </c>
      <c r="K64" s="485" t="s">
        <v>305</v>
      </c>
      <c r="L64" s="485" t="s">
        <v>305</v>
      </c>
      <c r="M64" s="485" t="s">
        <v>305</v>
      </c>
      <c r="N64" s="485" t="s">
        <v>305</v>
      </c>
      <c r="O64" s="485" t="s">
        <v>305</v>
      </c>
      <c r="P64" s="485" t="s">
        <v>305</v>
      </c>
      <c r="Q64" s="485" t="s">
        <v>305</v>
      </c>
      <c r="R64" s="485" t="s">
        <v>305</v>
      </c>
      <c r="S64" s="485" t="s">
        <v>307</v>
      </c>
      <c r="T64" s="485" t="s">
        <v>307</v>
      </c>
      <c r="U64" s="485" t="s">
        <v>307</v>
      </c>
      <c r="V64" s="485" t="s">
        <v>307</v>
      </c>
      <c r="W64" s="485" t="s">
        <v>307</v>
      </c>
      <c r="X64" s="485" t="s">
        <v>307</v>
      </c>
      <c r="Y64" s="485" t="s">
        <v>307</v>
      </c>
      <c r="Z64" s="485" t="s">
        <v>307</v>
      </c>
      <c r="AA64" s="485" t="s">
        <v>307</v>
      </c>
      <c r="AB64" s="485" t="s">
        <v>307</v>
      </c>
      <c r="AC64" s="485" t="s">
        <v>305</v>
      </c>
      <c r="AD64" s="485" t="s">
        <v>305</v>
      </c>
      <c r="AE64" s="485" t="s">
        <v>305</v>
      </c>
      <c r="AF64" s="485" t="s">
        <v>305</v>
      </c>
      <c r="AG64" s="485" t="s">
        <v>305</v>
      </c>
      <c r="AH64" s="485" t="s">
        <v>305</v>
      </c>
      <c r="AI64" s="485" t="s">
        <v>305</v>
      </c>
      <c r="AJ64" s="485" t="s">
        <v>305</v>
      </c>
      <c r="AK64" s="485" t="s">
        <v>305</v>
      </c>
      <c r="AL64" s="487">
        <f t="shared" si="4"/>
        <v>2</v>
      </c>
      <c r="AM64" s="488">
        <f t="shared" si="0"/>
        <v>19</v>
      </c>
      <c r="AN64" s="488">
        <f t="shared" si="1"/>
        <v>10</v>
      </c>
      <c r="AO64" s="488">
        <f t="shared" si="5"/>
        <v>31</v>
      </c>
      <c r="AP64" s="489">
        <f t="shared" si="2"/>
        <v>12</v>
      </c>
    </row>
    <row r="65" spans="1:44" ht="12" customHeight="1">
      <c r="A65" s="302">
        <f t="shared" si="3"/>
        <v>62</v>
      </c>
      <c r="B65" s="300" t="s">
        <v>214</v>
      </c>
      <c r="C65" s="301" t="s">
        <v>215</v>
      </c>
      <c r="D65" s="300" t="s">
        <v>160</v>
      </c>
      <c r="E65" s="301" t="s">
        <v>292</v>
      </c>
      <c r="F65" s="301" t="s">
        <v>86</v>
      </c>
      <c r="G65" s="485" t="s">
        <v>296</v>
      </c>
      <c r="H65" s="485" t="s">
        <v>296</v>
      </c>
      <c r="I65" s="485" t="s">
        <v>305</v>
      </c>
      <c r="J65" s="485" t="s">
        <v>305</v>
      </c>
      <c r="K65" s="485" t="s">
        <v>305</v>
      </c>
      <c r="L65" s="485" t="s">
        <v>305</v>
      </c>
      <c r="M65" s="485" t="s">
        <v>305</v>
      </c>
      <c r="N65" s="485" t="s">
        <v>305</v>
      </c>
      <c r="O65" s="485" t="s">
        <v>305</v>
      </c>
      <c r="P65" s="485" t="s">
        <v>305</v>
      </c>
      <c r="Q65" s="485" t="s">
        <v>305</v>
      </c>
      <c r="R65" s="485" t="s">
        <v>305</v>
      </c>
      <c r="S65" s="485" t="s">
        <v>296</v>
      </c>
      <c r="T65" s="485" t="s">
        <v>296</v>
      </c>
      <c r="U65" s="485" t="s">
        <v>296</v>
      </c>
      <c r="V65" s="485" t="s">
        <v>296</v>
      </c>
      <c r="W65" s="485" t="s">
        <v>296</v>
      </c>
      <c r="X65" s="485" t="s">
        <v>296</v>
      </c>
      <c r="Y65" s="485" t="s">
        <v>296</v>
      </c>
      <c r="Z65" s="485" t="s">
        <v>296</v>
      </c>
      <c r="AA65" s="485" t="s">
        <v>296</v>
      </c>
      <c r="AB65" s="485" t="s">
        <v>296</v>
      </c>
      <c r="AC65" s="485" t="s">
        <v>305</v>
      </c>
      <c r="AD65" s="485" t="s">
        <v>305</v>
      </c>
      <c r="AE65" s="485" t="s">
        <v>305</v>
      </c>
      <c r="AF65" s="485" t="s">
        <v>305</v>
      </c>
      <c r="AG65" s="485" t="s">
        <v>305</v>
      </c>
      <c r="AH65" s="485" t="s">
        <v>305</v>
      </c>
      <c r="AI65" s="485" t="s">
        <v>305</v>
      </c>
      <c r="AJ65" s="485" t="s">
        <v>305</v>
      </c>
      <c r="AK65" s="485" t="s">
        <v>305</v>
      </c>
      <c r="AL65" s="487">
        <f t="shared" si="4"/>
        <v>12</v>
      </c>
      <c r="AM65" s="488">
        <f t="shared" si="0"/>
        <v>19</v>
      </c>
      <c r="AN65" s="488">
        <f t="shared" si="1"/>
        <v>0</v>
      </c>
      <c r="AO65" s="488">
        <f t="shared" si="5"/>
        <v>31</v>
      </c>
      <c r="AP65" s="489">
        <f t="shared" si="2"/>
        <v>12</v>
      </c>
    </row>
    <row r="66" spans="1:44" ht="12.75" customHeight="1">
      <c r="A66" s="302">
        <f t="shared" si="3"/>
        <v>63</v>
      </c>
      <c r="B66" s="300" t="s">
        <v>174</v>
      </c>
      <c r="C66" s="301" t="s">
        <v>175</v>
      </c>
      <c r="D66" s="300" t="s">
        <v>160</v>
      </c>
      <c r="E66" s="301" t="s">
        <v>292</v>
      </c>
      <c r="F66" s="301" t="s">
        <v>308</v>
      </c>
      <c r="G66" s="485" t="s">
        <v>307</v>
      </c>
      <c r="H66" s="485" t="s">
        <v>307</v>
      </c>
      <c r="I66" s="485" t="s">
        <v>305</v>
      </c>
      <c r="J66" s="485" t="s">
        <v>305</v>
      </c>
      <c r="K66" s="485" t="s">
        <v>305</v>
      </c>
      <c r="L66" s="485" t="s">
        <v>305</v>
      </c>
      <c r="M66" s="485" t="s">
        <v>305</v>
      </c>
      <c r="N66" s="485" t="s">
        <v>305</v>
      </c>
      <c r="O66" s="485" t="s">
        <v>305</v>
      </c>
      <c r="P66" s="485" t="s">
        <v>305</v>
      </c>
      <c r="Q66" s="485" t="s">
        <v>305</v>
      </c>
      <c r="R66" s="485" t="s">
        <v>305</v>
      </c>
      <c r="S66" s="485" t="s">
        <v>296</v>
      </c>
      <c r="T66" s="485" t="s">
        <v>296</v>
      </c>
      <c r="U66" s="485" t="s">
        <v>296</v>
      </c>
      <c r="V66" s="485" t="s">
        <v>296</v>
      </c>
      <c r="W66" s="485" t="s">
        <v>296</v>
      </c>
      <c r="X66" s="485" t="s">
        <v>296</v>
      </c>
      <c r="Y66" s="485" t="s">
        <v>296</v>
      </c>
      <c r="Z66" s="485" t="s">
        <v>296</v>
      </c>
      <c r="AA66" s="485" t="s">
        <v>296</v>
      </c>
      <c r="AB66" s="485" t="s">
        <v>296</v>
      </c>
      <c r="AC66" s="485" t="s">
        <v>305</v>
      </c>
      <c r="AD66" s="485" t="s">
        <v>305</v>
      </c>
      <c r="AE66" s="485" t="s">
        <v>305</v>
      </c>
      <c r="AF66" s="485" t="s">
        <v>305</v>
      </c>
      <c r="AG66" s="485" t="s">
        <v>305</v>
      </c>
      <c r="AH66" s="485" t="s">
        <v>305</v>
      </c>
      <c r="AI66" s="485" t="s">
        <v>305</v>
      </c>
      <c r="AJ66" s="485" t="s">
        <v>305</v>
      </c>
      <c r="AK66" s="485" t="s">
        <v>305</v>
      </c>
      <c r="AL66" s="487">
        <f t="shared" si="4"/>
        <v>10</v>
      </c>
      <c r="AM66" s="488">
        <f t="shared" si="0"/>
        <v>19</v>
      </c>
      <c r="AN66" s="488">
        <f t="shared" si="1"/>
        <v>2</v>
      </c>
      <c r="AO66" s="488">
        <f t="shared" si="5"/>
        <v>31</v>
      </c>
      <c r="AP66" s="489">
        <f t="shared" si="2"/>
        <v>12</v>
      </c>
    </row>
    <row r="67" spans="1:44" ht="12" customHeight="1">
      <c r="A67" s="302">
        <f t="shared" si="3"/>
        <v>64</v>
      </c>
      <c r="B67" s="300" t="s">
        <v>252</v>
      </c>
      <c r="C67" s="301" t="s">
        <v>253</v>
      </c>
      <c r="D67" s="300" t="s">
        <v>160</v>
      </c>
      <c r="E67" s="301" t="s">
        <v>292</v>
      </c>
      <c r="F67" s="301" t="s">
        <v>110</v>
      </c>
      <c r="G67" s="485" t="s">
        <v>296</v>
      </c>
      <c r="H67" s="485" t="s">
        <v>296</v>
      </c>
      <c r="I67" s="485" t="s">
        <v>305</v>
      </c>
      <c r="J67" s="485" t="s">
        <v>305</v>
      </c>
      <c r="K67" s="485" t="s">
        <v>305</v>
      </c>
      <c r="L67" s="485" t="s">
        <v>305</v>
      </c>
      <c r="M67" s="485" t="s">
        <v>305</v>
      </c>
      <c r="N67" s="485" t="s">
        <v>305</v>
      </c>
      <c r="O67" s="485" t="s">
        <v>305</v>
      </c>
      <c r="P67" s="485" t="s">
        <v>305</v>
      </c>
      <c r="Q67" s="485" t="s">
        <v>305</v>
      </c>
      <c r="R67" s="485" t="s">
        <v>305</v>
      </c>
      <c r="S67" s="485" t="s">
        <v>307</v>
      </c>
      <c r="T67" s="485" t="s">
        <v>307</v>
      </c>
      <c r="U67" s="485" t="s">
        <v>307</v>
      </c>
      <c r="V67" s="485" t="s">
        <v>307</v>
      </c>
      <c r="W67" s="485" t="s">
        <v>307</v>
      </c>
      <c r="X67" s="485" t="s">
        <v>307</v>
      </c>
      <c r="Y67" s="485" t="s">
        <v>307</v>
      </c>
      <c r="Z67" s="485" t="s">
        <v>307</v>
      </c>
      <c r="AA67" s="485" t="s">
        <v>307</v>
      </c>
      <c r="AB67" s="485" t="s">
        <v>307</v>
      </c>
      <c r="AC67" s="485" t="s">
        <v>305</v>
      </c>
      <c r="AD67" s="485" t="s">
        <v>305</v>
      </c>
      <c r="AE67" s="485" t="s">
        <v>305</v>
      </c>
      <c r="AF67" s="485" t="s">
        <v>305</v>
      </c>
      <c r="AG67" s="485" t="s">
        <v>305</v>
      </c>
      <c r="AH67" s="485" t="s">
        <v>305</v>
      </c>
      <c r="AI67" s="485" t="s">
        <v>305</v>
      </c>
      <c r="AJ67" s="485" t="s">
        <v>305</v>
      </c>
      <c r="AK67" s="485" t="s">
        <v>305</v>
      </c>
      <c r="AL67" s="487">
        <f t="shared" si="4"/>
        <v>2</v>
      </c>
      <c r="AM67" s="488">
        <f t="shared" si="0"/>
        <v>19</v>
      </c>
      <c r="AN67" s="488">
        <f t="shared" si="1"/>
        <v>10</v>
      </c>
      <c r="AO67" s="488">
        <f t="shared" si="5"/>
        <v>31</v>
      </c>
      <c r="AP67" s="489">
        <f t="shared" si="2"/>
        <v>12</v>
      </c>
    </row>
    <row r="68" spans="1:44" ht="12" customHeight="1">
      <c r="A68" s="302">
        <f t="shared" si="3"/>
        <v>65</v>
      </c>
      <c r="B68" s="300" t="s">
        <v>268</v>
      </c>
      <c r="C68" s="301" t="s">
        <v>269</v>
      </c>
      <c r="D68" s="300" t="s">
        <v>160</v>
      </c>
      <c r="E68" s="301" t="s">
        <v>292</v>
      </c>
      <c r="F68" s="301" t="s">
        <v>137</v>
      </c>
      <c r="G68" s="485" t="s">
        <v>307</v>
      </c>
      <c r="H68" s="485" t="s">
        <v>307</v>
      </c>
      <c r="I68" s="485" t="s">
        <v>305</v>
      </c>
      <c r="J68" s="485" t="s">
        <v>305</v>
      </c>
      <c r="K68" s="485" t="s">
        <v>305</v>
      </c>
      <c r="L68" s="485" t="s">
        <v>305</v>
      </c>
      <c r="M68" s="485" t="s">
        <v>305</v>
      </c>
      <c r="N68" s="485" t="s">
        <v>305</v>
      </c>
      <c r="O68" s="485" t="s">
        <v>305</v>
      </c>
      <c r="P68" s="485" t="s">
        <v>305</v>
      </c>
      <c r="Q68" s="485" t="s">
        <v>305</v>
      </c>
      <c r="R68" s="485" t="s">
        <v>305</v>
      </c>
      <c r="S68" s="485" t="s">
        <v>296</v>
      </c>
      <c r="T68" s="485" t="s">
        <v>296</v>
      </c>
      <c r="U68" s="485" t="s">
        <v>296</v>
      </c>
      <c r="V68" s="485" t="s">
        <v>296</v>
      </c>
      <c r="W68" s="485" t="s">
        <v>296</v>
      </c>
      <c r="X68" s="485" t="s">
        <v>296</v>
      </c>
      <c r="Y68" s="485" t="s">
        <v>296</v>
      </c>
      <c r="Z68" s="485" t="s">
        <v>296</v>
      </c>
      <c r="AA68" s="485" t="s">
        <v>296</v>
      </c>
      <c r="AB68" s="485" t="s">
        <v>296</v>
      </c>
      <c r="AC68" s="485" t="s">
        <v>305</v>
      </c>
      <c r="AD68" s="485" t="s">
        <v>305</v>
      </c>
      <c r="AE68" s="485" t="s">
        <v>305</v>
      </c>
      <c r="AF68" s="485" t="s">
        <v>305</v>
      </c>
      <c r="AG68" s="485" t="s">
        <v>305</v>
      </c>
      <c r="AH68" s="485" t="s">
        <v>305</v>
      </c>
      <c r="AI68" s="485" t="s">
        <v>305</v>
      </c>
      <c r="AJ68" s="485" t="s">
        <v>305</v>
      </c>
      <c r="AK68" s="485" t="s">
        <v>305</v>
      </c>
      <c r="AL68" s="487">
        <f t="shared" si="4"/>
        <v>10</v>
      </c>
      <c r="AM68" s="488">
        <f t="shared" ref="AM68:AM128" si="6">COUNTIF(G68:AK68,"DE")</f>
        <v>19</v>
      </c>
      <c r="AN68" s="488">
        <f t="shared" ref="AN68:AN128" si="7">COUNTIF(G68:AK68,"N")</f>
        <v>2</v>
      </c>
      <c r="AO68" s="488">
        <f t="shared" si="5"/>
        <v>31</v>
      </c>
      <c r="AP68" s="489">
        <f t="shared" si="2"/>
        <v>12</v>
      </c>
    </row>
    <row r="69" spans="1:44" ht="12" customHeight="1">
      <c r="A69" s="302">
        <f t="shared" ref="A69:A128" si="8">A68+1</f>
        <v>66</v>
      </c>
      <c r="B69" s="300" t="s">
        <v>176</v>
      </c>
      <c r="C69" s="301" t="s">
        <v>177</v>
      </c>
      <c r="D69" s="300" t="s">
        <v>160</v>
      </c>
      <c r="E69" s="301" t="s">
        <v>292</v>
      </c>
      <c r="F69" s="301" t="s">
        <v>38</v>
      </c>
      <c r="G69" s="485" t="s">
        <v>307</v>
      </c>
      <c r="H69" s="485" t="s">
        <v>307</v>
      </c>
      <c r="I69" s="485" t="s">
        <v>305</v>
      </c>
      <c r="J69" s="485" t="s">
        <v>305</v>
      </c>
      <c r="K69" s="485" t="s">
        <v>305</v>
      </c>
      <c r="L69" s="485" t="s">
        <v>305</v>
      </c>
      <c r="M69" s="485" t="s">
        <v>305</v>
      </c>
      <c r="N69" s="485" t="s">
        <v>305</v>
      </c>
      <c r="O69" s="485" t="s">
        <v>305</v>
      </c>
      <c r="P69" s="485" t="s">
        <v>305</v>
      </c>
      <c r="Q69" s="485" t="s">
        <v>305</v>
      </c>
      <c r="R69" s="485" t="s">
        <v>305</v>
      </c>
      <c r="S69" s="485" t="s">
        <v>296</v>
      </c>
      <c r="T69" s="485" t="s">
        <v>296</v>
      </c>
      <c r="U69" s="485" t="s">
        <v>296</v>
      </c>
      <c r="V69" s="485" t="s">
        <v>296</v>
      </c>
      <c r="W69" s="485" t="s">
        <v>296</v>
      </c>
      <c r="X69" s="485" t="s">
        <v>296</v>
      </c>
      <c r="Y69" s="485" t="s">
        <v>296</v>
      </c>
      <c r="Z69" s="485" t="s">
        <v>296</v>
      </c>
      <c r="AA69" s="485" t="s">
        <v>296</v>
      </c>
      <c r="AB69" s="485" t="s">
        <v>296</v>
      </c>
      <c r="AC69" s="485" t="s">
        <v>305</v>
      </c>
      <c r="AD69" s="485" t="s">
        <v>305</v>
      </c>
      <c r="AE69" s="485" t="s">
        <v>305</v>
      </c>
      <c r="AF69" s="485" t="s">
        <v>305</v>
      </c>
      <c r="AG69" s="485" t="s">
        <v>305</v>
      </c>
      <c r="AH69" s="485" t="s">
        <v>305</v>
      </c>
      <c r="AI69" s="485" t="s">
        <v>305</v>
      </c>
      <c r="AJ69" s="485" t="s">
        <v>305</v>
      </c>
      <c r="AK69" s="485" t="s">
        <v>305</v>
      </c>
      <c r="AL69" s="487">
        <f t="shared" si="4"/>
        <v>10</v>
      </c>
      <c r="AM69" s="488">
        <f t="shared" si="6"/>
        <v>19</v>
      </c>
      <c r="AN69" s="488">
        <f t="shared" si="7"/>
        <v>2</v>
      </c>
      <c r="AO69" s="488">
        <f t="shared" si="5"/>
        <v>31</v>
      </c>
      <c r="AP69" s="489">
        <f t="shared" si="2"/>
        <v>12</v>
      </c>
    </row>
    <row r="70" spans="1:44" ht="12" customHeight="1">
      <c r="A70" s="302">
        <f t="shared" si="8"/>
        <v>67</v>
      </c>
      <c r="B70" s="300" t="s">
        <v>178</v>
      </c>
      <c r="C70" s="301" t="s">
        <v>179</v>
      </c>
      <c r="D70" s="300" t="s">
        <v>160</v>
      </c>
      <c r="E70" s="301" t="s">
        <v>292</v>
      </c>
      <c r="F70" s="301" t="s">
        <v>38</v>
      </c>
      <c r="G70" s="485" t="s">
        <v>296</v>
      </c>
      <c r="H70" s="485" t="s">
        <v>296</v>
      </c>
      <c r="I70" s="485" t="s">
        <v>305</v>
      </c>
      <c r="J70" s="485" t="s">
        <v>305</v>
      </c>
      <c r="K70" s="485" t="s">
        <v>305</v>
      </c>
      <c r="L70" s="485" t="s">
        <v>305</v>
      </c>
      <c r="M70" s="485" t="s">
        <v>305</v>
      </c>
      <c r="N70" s="485" t="s">
        <v>305</v>
      </c>
      <c r="O70" s="485" t="s">
        <v>305</v>
      </c>
      <c r="P70" s="485" t="s">
        <v>305</v>
      </c>
      <c r="Q70" s="485" t="s">
        <v>305</v>
      </c>
      <c r="R70" s="485" t="s">
        <v>305</v>
      </c>
      <c r="S70" s="485" t="s">
        <v>307</v>
      </c>
      <c r="T70" s="485" t="s">
        <v>307</v>
      </c>
      <c r="U70" s="485" t="s">
        <v>307</v>
      </c>
      <c r="V70" s="485" t="s">
        <v>307</v>
      </c>
      <c r="W70" s="485" t="s">
        <v>307</v>
      </c>
      <c r="X70" s="485" t="s">
        <v>307</v>
      </c>
      <c r="Y70" s="485" t="s">
        <v>307</v>
      </c>
      <c r="Z70" s="485" t="s">
        <v>307</v>
      </c>
      <c r="AA70" s="485" t="s">
        <v>307</v>
      </c>
      <c r="AB70" s="485" t="s">
        <v>307</v>
      </c>
      <c r="AC70" s="485" t="s">
        <v>305</v>
      </c>
      <c r="AD70" s="485" t="s">
        <v>305</v>
      </c>
      <c r="AE70" s="485" t="s">
        <v>305</v>
      </c>
      <c r="AF70" s="485" t="s">
        <v>305</v>
      </c>
      <c r="AG70" s="485" t="s">
        <v>305</v>
      </c>
      <c r="AH70" s="485" t="s">
        <v>305</v>
      </c>
      <c r="AI70" s="485" t="s">
        <v>305</v>
      </c>
      <c r="AJ70" s="485" t="s">
        <v>305</v>
      </c>
      <c r="AK70" s="485" t="s">
        <v>305</v>
      </c>
      <c r="AL70" s="487">
        <f t="shared" si="4"/>
        <v>2</v>
      </c>
      <c r="AM70" s="488">
        <f t="shared" si="6"/>
        <v>19</v>
      </c>
      <c r="AN70" s="488">
        <f t="shared" si="7"/>
        <v>10</v>
      </c>
      <c r="AO70" s="488">
        <f t="shared" si="5"/>
        <v>31</v>
      </c>
      <c r="AP70" s="489">
        <f t="shared" ref="AP70:AP128" si="9">COUNTIF(G70:AK70,"D")+COUNTIF(G70:AK70,"N")</f>
        <v>12</v>
      </c>
    </row>
    <row r="71" spans="1:44" ht="12" customHeight="1">
      <c r="A71" s="302">
        <f t="shared" si="8"/>
        <v>68</v>
      </c>
      <c r="B71" s="300" t="s">
        <v>180</v>
      </c>
      <c r="C71" s="301" t="s">
        <v>181</v>
      </c>
      <c r="D71" s="300" t="s">
        <v>160</v>
      </c>
      <c r="E71" s="301" t="s">
        <v>292</v>
      </c>
      <c r="F71" s="301" t="s">
        <v>38</v>
      </c>
      <c r="G71" s="485" t="s">
        <v>307</v>
      </c>
      <c r="H71" s="485" t="s">
        <v>307</v>
      </c>
      <c r="I71" s="485" t="s">
        <v>305</v>
      </c>
      <c r="J71" s="485" t="s">
        <v>305</v>
      </c>
      <c r="K71" s="485" t="s">
        <v>305</v>
      </c>
      <c r="L71" s="485" t="s">
        <v>305</v>
      </c>
      <c r="M71" s="485" t="s">
        <v>305</v>
      </c>
      <c r="N71" s="485" t="s">
        <v>305</v>
      </c>
      <c r="O71" s="485" t="s">
        <v>305</v>
      </c>
      <c r="P71" s="485" t="s">
        <v>305</v>
      </c>
      <c r="Q71" s="485" t="s">
        <v>305</v>
      </c>
      <c r="R71" s="485" t="s">
        <v>305</v>
      </c>
      <c r="S71" s="485" t="s">
        <v>296</v>
      </c>
      <c r="T71" s="485" t="s">
        <v>296</v>
      </c>
      <c r="U71" s="485" t="s">
        <v>296</v>
      </c>
      <c r="V71" s="485" t="s">
        <v>296</v>
      </c>
      <c r="W71" s="485" t="s">
        <v>296</v>
      </c>
      <c r="X71" s="485" t="s">
        <v>296</v>
      </c>
      <c r="Y71" s="485" t="s">
        <v>296</v>
      </c>
      <c r="Z71" s="485" t="s">
        <v>296</v>
      </c>
      <c r="AA71" s="485" t="s">
        <v>296</v>
      </c>
      <c r="AB71" s="485" t="s">
        <v>296</v>
      </c>
      <c r="AC71" s="485" t="s">
        <v>305</v>
      </c>
      <c r="AD71" s="485" t="s">
        <v>305</v>
      </c>
      <c r="AE71" s="485" t="s">
        <v>305</v>
      </c>
      <c r="AF71" s="485" t="s">
        <v>305</v>
      </c>
      <c r="AG71" s="485" t="s">
        <v>305</v>
      </c>
      <c r="AH71" s="485" t="s">
        <v>305</v>
      </c>
      <c r="AI71" s="485" t="s">
        <v>305</v>
      </c>
      <c r="AJ71" s="485" t="s">
        <v>305</v>
      </c>
      <c r="AK71" s="485" t="s">
        <v>305</v>
      </c>
      <c r="AL71" s="487">
        <f t="shared" ref="AL71:AL128" si="10">COUNTIF(G71:AK71,"D")</f>
        <v>10</v>
      </c>
      <c r="AM71" s="488">
        <f t="shared" si="6"/>
        <v>19</v>
      </c>
      <c r="AN71" s="488">
        <f t="shared" si="7"/>
        <v>2</v>
      </c>
      <c r="AO71" s="488">
        <f t="shared" ref="AO71:AO124" si="11">SUM(AL71:AN71)</f>
        <v>31</v>
      </c>
      <c r="AP71" s="489">
        <f t="shared" si="9"/>
        <v>12</v>
      </c>
    </row>
    <row r="72" spans="1:44" ht="12" customHeight="1">
      <c r="A72" s="302">
        <f t="shared" si="8"/>
        <v>69</v>
      </c>
      <c r="B72" s="300" t="s">
        <v>264</v>
      </c>
      <c r="C72" s="302" t="s">
        <v>265</v>
      </c>
      <c r="D72" s="300" t="s">
        <v>160</v>
      </c>
      <c r="E72" s="301" t="s">
        <v>292</v>
      </c>
      <c r="F72" s="301" t="s">
        <v>128</v>
      </c>
      <c r="G72" s="485" t="s">
        <v>307</v>
      </c>
      <c r="H72" s="485" t="s">
        <v>307</v>
      </c>
      <c r="I72" s="485" t="s">
        <v>305</v>
      </c>
      <c r="J72" s="485" t="s">
        <v>305</v>
      </c>
      <c r="K72" s="485" t="s">
        <v>305</v>
      </c>
      <c r="L72" s="485" t="s">
        <v>305</v>
      </c>
      <c r="M72" s="485" t="s">
        <v>305</v>
      </c>
      <c r="N72" s="485" t="s">
        <v>305</v>
      </c>
      <c r="O72" s="485" t="s">
        <v>305</v>
      </c>
      <c r="P72" s="485" t="s">
        <v>305</v>
      </c>
      <c r="Q72" s="485" t="s">
        <v>305</v>
      </c>
      <c r="R72" s="485" t="s">
        <v>305</v>
      </c>
      <c r="S72" s="485" t="s">
        <v>309</v>
      </c>
      <c r="T72" s="485" t="s">
        <v>309</v>
      </c>
      <c r="U72" s="485" t="s">
        <v>309</v>
      </c>
      <c r="V72" s="485" t="s">
        <v>309</v>
      </c>
      <c r="W72" s="485" t="s">
        <v>309</v>
      </c>
      <c r="X72" s="485" t="s">
        <v>309</v>
      </c>
      <c r="Y72" s="485" t="s">
        <v>309</v>
      </c>
      <c r="Z72" s="485" t="s">
        <v>309</v>
      </c>
      <c r="AA72" s="485" t="s">
        <v>309</v>
      </c>
      <c r="AB72" s="485" t="s">
        <v>309</v>
      </c>
      <c r="AC72" s="485" t="s">
        <v>305</v>
      </c>
      <c r="AD72" s="485" t="s">
        <v>305</v>
      </c>
      <c r="AE72" s="485" t="s">
        <v>305</v>
      </c>
      <c r="AF72" s="485" t="s">
        <v>305</v>
      </c>
      <c r="AG72" s="485" t="s">
        <v>305</v>
      </c>
      <c r="AH72" s="485" t="s">
        <v>305</v>
      </c>
      <c r="AI72" s="485" t="s">
        <v>305</v>
      </c>
      <c r="AJ72" s="485" t="s">
        <v>305</v>
      </c>
      <c r="AK72" s="485" t="s">
        <v>305</v>
      </c>
      <c r="AL72" s="487">
        <f t="shared" si="10"/>
        <v>0</v>
      </c>
      <c r="AM72" s="488">
        <f t="shared" si="6"/>
        <v>19</v>
      </c>
      <c r="AN72" s="488">
        <f t="shared" si="7"/>
        <v>2</v>
      </c>
      <c r="AO72" s="488">
        <f t="shared" si="11"/>
        <v>21</v>
      </c>
      <c r="AP72" s="489">
        <f t="shared" si="9"/>
        <v>2</v>
      </c>
      <c r="AQ72" s="491"/>
      <c r="AR72" s="491"/>
    </row>
    <row r="73" spans="1:44" ht="12" customHeight="1">
      <c r="A73" s="302">
        <f t="shared" si="8"/>
        <v>70</v>
      </c>
      <c r="B73" s="300" t="s">
        <v>270</v>
      </c>
      <c r="C73" s="301" t="s">
        <v>271</v>
      </c>
      <c r="D73" s="300" t="s">
        <v>160</v>
      </c>
      <c r="E73" s="301" t="s">
        <v>292</v>
      </c>
      <c r="F73" s="301" t="s">
        <v>137</v>
      </c>
      <c r="G73" s="485" t="s">
        <v>296</v>
      </c>
      <c r="H73" s="485" t="s">
        <v>296</v>
      </c>
      <c r="I73" s="485" t="s">
        <v>305</v>
      </c>
      <c r="J73" s="485" t="s">
        <v>305</v>
      </c>
      <c r="K73" s="485" t="s">
        <v>305</v>
      </c>
      <c r="L73" s="485" t="s">
        <v>305</v>
      </c>
      <c r="M73" s="485" t="s">
        <v>305</v>
      </c>
      <c r="N73" s="485" t="s">
        <v>305</v>
      </c>
      <c r="O73" s="485" t="s">
        <v>305</v>
      </c>
      <c r="P73" s="485" t="s">
        <v>305</v>
      </c>
      <c r="Q73" s="485" t="s">
        <v>305</v>
      </c>
      <c r="R73" s="485" t="s">
        <v>305</v>
      </c>
      <c r="S73" s="485" t="s">
        <v>307</v>
      </c>
      <c r="T73" s="485" t="s">
        <v>307</v>
      </c>
      <c r="U73" s="485" t="s">
        <v>307</v>
      </c>
      <c r="V73" s="485" t="s">
        <v>307</v>
      </c>
      <c r="W73" s="485" t="s">
        <v>307</v>
      </c>
      <c r="X73" s="485" t="s">
        <v>307</v>
      </c>
      <c r="Y73" s="485" t="s">
        <v>307</v>
      </c>
      <c r="Z73" s="485" t="s">
        <v>307</v>
      </c>
      <c r="AA73" s="485" t="s">
        <v>307</v>
      </c>
      <c r="AB73" s="485" t="s">
        <v>307</v>
      </c>
      <c r="AC73" s="485" t="s">
        <v>305</v>
      </c>
      <c r="AD73" s="485" t="s">
        <v>305</v>
      </c>
      <c r="AE73" s="485" t="s">
        <v>305</v>
      </c>
      <c r="AF73" s="485" t="s">
        <v>305</v>
      </c>
      <c r="AG73" s="485" t="s">
        <v>305</v>
      </c>
      <c r="AH73" s="485" t="s">
        <v>305</v>
      </c>
      <c r="AI73" s="485" t="s">
        <v>305</v>
      </c>
      <c r="AJ73" s="485" t="s">
        <v>305</v>
      </c>
      <c r="AK73" s="485" t="s">
        <v>305</v>
      </c>
      <c r="AL73" s="487">
        <f t="shared" si="10"/>
        <v>2</v>
      </c>
      <c r="AM73" s="488">
        <f t="shared" si="6"/>
        <v>19</v>
      </c>
      <c r="AN73" s="488">
        <f t="shared" si="7"/>
        <v>10</v>
      </c>
      <c r="AO73" s="488">
        <f t="shared" si="11"/>
        <v>31</v>
      </c>
      <c r="AP73" s="489">
        <f t="shared" si="9"/>
        <v>12</v>
      </c>
      <c r="AQ73" s="491"/>
      <c r="AR73" s="491"/>
    </row>
    <row r="74" spans="1:44" s="491" customFormat="1" ht="12" customHeight="1">
      <c r="A74" s="302">
        <f t="shared" si="8"/>
        <v>71</v>
      </c>
      <c r="B74" s="304" t="s">
        <v>182</v>
      </c>
      <c r="C74" s="301" t="s">
        <v>183</v>
      </c>
      <c r="D74" s="300" t="s">
        <v>160</v>
      </c>
      <c r="E74" s="301" t="s">
        <v>292</v>
      </c>
      <c r="F74" s="301" t="s">
        <v>38</v>
      </c>
      <c r="G74" s="485" t="s">
        <v>307</v>
      </c>
      <c r="H74" s="485" t="s">
        <v>307</v>
      </c>
      <c r="I74" s="485" t="s">
        <v>305</v>
      </c>
      <c r="J74" s="485" t="s">
        <v>305</v>
      </c>
      <c r="K74" s="485" t="s">
        <v>305</v>
      </c>
      <c r="L74" s="485" t="s">
        <v>305</v>
      </c>
      <c r="M74" s="485" t="s">
        <v>305</v>
      </c>
      <c r="N74" s="485" t="s">
        <v>305</v>
      </c>
      <c r="O74" s="485" t="s">
        <v>305</v>
      </c>
      <c r="P74" s="485" t="s">
        <v>305</v>
      </c>
      <c r="Q74" s="485" t="s">
        <v>305</v>
      </c>
      <c r="R74" s="485" t="s">
        <v>305</v>
      </c>
      <c r="S74" s="485" t="s">
        <v>294</v>
      </c>
      <c r="T74" s="485" t="s">
        <v>294</v>
      </c>
      <c r="U74" s="485" t="s">
        <v>294</v>
      </c>
      <c r="V74" s="485" t="s">
        <v>294</v>
      </c>
      <c r="W74" s="485" t="s">
        <v>294</v>
      </c>
      <c r="X74" s="485" t="s">
        <v>294</v>
      </c>
      <c r="Y74" s="485" t="s">
        <v>294</v>
      </c>
      <c r="Z74" s="485" t="s">
        <v>294</v>
      </c>
      <c r="AA74" s="485" t="s">
        <v>294</v>
      </c>
      <c r="AB74" s="485" t="s">
        <v>294</v>
      </c>
      <c r="AC74" s="485" t="s">
        <v>305</v>
      </c>
      <c r="AD74" s="485" t="s">
        <v>305</v>
      </c>
      <c r="AE74" s="485" t="s">
        <v>305</v>
      </c>
      <c r="AF74" s="485" t="s">
        <v>305</v>
      </c>
      <c r="AG74" s="485" t="s">
        <v>305</v>
      </c>
      <c r="AH74" s="485" t="s">
        <v>305</v>
      </c>
      <c r="AI74" s="485" t="s">
        <v>305</v>
      </c>
      <c r="AJ74" s="485" t="s">
        <v>305</v>
      </c>
      <c r="AK74" s="485" t="s">
        <v>305</v>
      </c>
      <c r="AL74" s="487">
        <f t="shared" si="10"/>
        <v>0</v>
      </c>
      <c r="AM74" s="488">
        <f t="shared" si="6"/>
        <v>19</v>
      </c>
      <c r="AN74" s="488">
        <f t="shared" si="7"/>
        <v>2</v>
      </c>
      <c r="AO74" s="488">
        <f t="shared" si="11"/>
        <v>21</v>
      </c>
      <c r="AP74" s="489">
        <f t="shared" si="9"/>
        <v>2</v>
      </c>
    </row>
    <row r="75" spans="1:44" s="491" customFormat="1" ht="12" customHeight="1">
      <c r="A75" s="302">
        <f t="shared" si="8"/>
        <v>72</v>
      </c>
      <c r="B75" s="300" t="s">
        <v>185</v>
      </c>
      <c r="C75" s="301" t="s">
        <v>186</v>
      </c>
      <c r="D75" s="300" t="s">
        <v>160</v>
      </c>
      <c r="E75" s="301" t="s">
        <v>292</v>
      </c>
      <c r="F75" s="301" t="s">
        <v>38</v>
      </c>
      <c r="G75" s="485" t="s">
        <v>307</v>
      </c>
      <c r="H75" s="485" t="s">
        <v>307</v>
      </c>
      <c r="I75" s="485" t="s">
        <v>305</v>
      </c>
      <c r="J75" s="485" t="s">
        <v>305</v>
      </c>
      <c r="K75" s="485" t="s">
        <v>305</v>
      </c>
      <c r="L75" s="485" t="s">
        <v>305</v>
      </c>
      <c r="M75" s="485" t="s">
        <v>305</v>
      </c>
      <c r="N75" s="485" t="s">
        <v>305</v>
      </c>
      <c r="O75" s="485" t="s">
        <v>305</v>
      </c>
      <c r="P75" s="485" t="s">
        <v>305</v>
      </c>
      <c r="Q75" s="485" t="s">
        <v>305</v>
      </c>
      <c r="R75" s="485" t="s">
        <v>305</v>
      </c>
      <c r="S75" s="485" t="s">
        <v>296</v>
      </c>
      <c r="T75" s="485" t="s">
        <v>296</v>
      </c>
      <c r="U75" s="485" t="s">
        <v>296</v>
      </c>
      <c r="V75" s="485" t="s">
        <v>296</v>
      </c>
      <c r="W75" s="485" t="s">
        <v>296</v>
      </c>
      <c r="X75" s="485" t="s">
        <v>296</v>
      </c>
      <c r="Y75" s="485" t="s">
        <v>296</v>
      </c>
      <c r="Z75" s="485" t="s">
        <v>296</v>
      </c>
      <c r="AA75" s="485" t="s">
        <v>296</v>
      </c>
      <c r="AB75" s="485" t="s">
        <v>296</v>
      </c>
      <c r="AC75" s="485" t="s">
        <v>305</v>
      </c>
      <c r="AD75" s="485" t="s">
        <v>305</v>
      </c>
      <c r="AE75" s="485" t="s">
        <v>305</v>
      </c>
      <c r="AF75" s="485" t="s">
        <v>305</v>
      </c>
      <c r="AG75" s="485" t="s">
        <v>305</v>
      </c>
      <c r="AH75" s="485" t="s">
        <v>305</v>
      </c>
      <c r="AI75" s="485" t="s">
        <v>305</v>
      </c>
      <c r="AJ75" s="485" t="s">
        <v>305</v>
      </c>
      <c r="AK75" s="485" t="s">
        <v>305</v>
      </c>
      <c r="AL75" s="487">
        <f t="shared" si="10"/>
        <v>10</v>
      </c>
      <c r="AM75" s="488">
        <f t="shared" si="6"/>
        <v>19</v>
      </c>
      <c r="AN75" s="488">
        <f t="shared" si="7"/>
        <v>2</v>
      </c>
      <c r="AO75" s="488">
        <f t="shared" si="11"/>
        <v>31</v>
      </c>
      <c r="AP75" s="489">
        <f t="shared" si="9"/>
        <v>12</v>
      </c>
    </row>
    <row r="76" spans="1:44" s="491" customFormat="1" ht="12" customHeight="1">
      <c r="A76" s="302">
        <f t="shared" si="8"/>
        <v>73</v>
      </c>
      <c r="B76" s="304" t="s">
        <v>187</v>
      </c>
      <c r="C76" s="301" t="s">
        <v>188</v>
      </c>
      <c r="D76" s="300" t="s">
        <v>160</v>
      </c>
      <c r="E76" s="301" t="s">
        <v>292</v>
      </c>
      <c r="F76" s="301" t="s">
        <v>38</v>
      </c>
      <c r="G76" s="485" t="s">
        <v>307</v>
      </c>
      <c r="H76" s="485" t="s">
        <v>307</v>
      </c>
      <c r="I76" s="485" t="s">
        <v>305</v>
      </c>
      <c r="J76" s="485" t="s">
        <v>305</v>
      </c>
      <c r="K76" s="485" t="s">
        <v>305</v>
      </c>
      <c r="L76" s="485" t="s">
        <v>305</v>
      </c>
      <c r="M76" s="485" t="s">
        <v>305</v>
      </c>
      <c r="N76" s="485" t="s">
        <v>305</v>
      </c>
      <c r="O76" s="485" t="s">
        <v>305</v>
      </c>
      <c r="P76" s="485" t="s">
        <v>305</v>
      </c>
      <c r="Q76" s="485" t="s">
        <v>305</v>
      </c>
      <c r="R76" s="485" t="s">
        <v>305</v>
      </c>
      <c r="S76" s="485" t="s">
        <v>296</v>
      </c>
      <c r="T76" s="485" t="s">
        <v>296</v>
      </c>
      <c r="U76" s="485" t="s">
        <v>296</v>
      </c>
      <c r="V76" s="485" t="s">
        <v>296</v>
      </c>
      <c r="W76" s="485" t="s">
        <v>296</v>
      </c>
      <c r="X76" s="485" t="s">
        <v>296</v>
      </c>
      <c r="Y76" s="485" t="s">
        <v>296</v>
      </c>
      <c r="Z76" s="485" t="s">
        <v>296</v>
      </c>
      <c r="AA76" s="485" t="s">
        <v>296</v>
      </c>
      <c r="AB76" s="485" t="s">
        <v>296</v>
      </c>
      <c r="AC76" s="485" t="s">
        <v>305</v>
      </c>
      <c r="AD76" s="485" t="s">
        <v>305</v>
      </c>
      <c r="AE76" s="485" t="s">
        <v>305</v>
      </c>
      <c r="AF76" s="485" t="s">
        <v>305</v>
      </c>
      <c r="AG76" s="485" t="s">
        <v>305</v>
      </c>
      <c r="AH76" s="485" t="s">
        <v>305</v>
      </c>
      <c r="AI76" s="485" t="s">
        <v>305</v>
      </c>
      <c r="AJ76" s="485" t="s">
        <v>305</v>
      </c>
      <c r="AK76" s="485" t="s">
        <v>305</v>
      </c>
      <c r="AL76" s="487">
        <f t="shared" si="10"/>
        <v>10</v>
      </c>
      <c r="AM76" s="488">
        <f t="shared" si="6"/>
        <v>19</v>
      </c>
      <c r="AN76" s="488">
        <f t="shared" si="7"/>
        <v>2</v>
      </c>
      <c r="AO76" s="488">
        <f t="shared" si="11"/>
        <v>31</v>
      </c>
      <c r="AP76" s="489">
        <f t="shared" si="9"/>
        <v>12</v>
      </c>
      <c r="AQ76" s="463"/>
      <c r="AR76" s="463"/>
    </row>
    <row r="77" spans="1:44" s="491" customFormat="1" ht="12" customHeight="1">
      <c r="A77" s="302">
        <f t="shared" si="8"/>
        <v>74</v>
      </c>
      <c r="B77" s="303" t="s">
        <v>218</v>
      </c>
      <c r="C77" s="302" t="s">
        <v>219</v>
      </c>
      <c r="D77" s="300" t="s">
        <v>160</v>
      </c>
      <c r="E77" s="301" t="s">
        <v>292</v>
      </c>
      <c r="F77" s="301" t="s">
        <v>86</v>
      </c>
      <c r="G77" s="485" t="s">
        <v>307</v>
      </c>
      <c r="H77" s="485" t="s">
        <v>307</v>
      </c>
      <c r="I77" s="485" t="s">
        <v>305</v>
      </c>
      <c r="J77" s="485" t="s">
        <v>305</v>
      </c>
      <c r="K77" s="485" t="s">
        <v>305</v>
      </c>
      <c r="L77" s="485" t="s">
        <v>305</v>
      </c>
      <c r="M77" s="485" t="s">
        <v>305</v>
      </c>
      <c r="N77" s="485" t="s">
        <v>305</v>
      </c>
      <c r="O77" s="485" t="s">
        <v>305</v>
      </c>
      <c r="P77" s="485" t="s">
        <v>305</v>
      </c>
      <c r="Q77" s="485" t="s">
        <v>305</v>
      </c>
      <c r="R77" s="485" t="s">
        <v>305</v>
      </c>
      <c r="S77" s="485" t="s">
        <v>309</v>
      </c>
      <c r="T77" s="485" t="s">
        <v>309</v>
      </c>
      <c r="U77" s="485" t="s">
        <v>309</v>
      </c>
      <c r="V77" s="485" t="s">
        <v>309</v>
      </c>
      <c r="W77" s="485" t="s">
        <v>309</v>
      </c>
      <c r="X77" s="485" t="s">
        <v>309</v>
      </c>
      <c r="Y77" s="485" t="s">
        <v>309</v>
      </c>
      <c r="Z77" s="485" t="s">
        <v>309</v>
      </c>
      <c r="AA77" s="485" t="s">
        <v>309</v>
      </c>
      <c r="AB77" s="485" t="s">
        <v>309</v>
      </c>
      <c r="AC77" s="485" t="s">
        <v>305</v>
      </c>
      <c r="AD77" s="485" t="s">
        <v>305</v>
      </c>
      <c r="AE77" s="485" t="s">
        <v>305</v>
      </c>
      <c r="AF77" s="485" t="s">
        <v>305</v>
      </c>
      <c r="AG77" s="485" t="s">
        <v>305</v>
      </c>
      <c r="AH77" s="485" t="s">
        <v>305</v>
      </c>
      <c r="AI77" s="485" t="s">
        <v>305</v>
      </c>
      <c r="AJ77" s="485" t="s">
        <v>305</v>
      </c>
      <c r="AK77" s="485" t="s">
        <v>305</v>
      </c>
      <c r="AL77" s="487">
        <f t="shared" si="10"/>
        <v>0</v>
      </c>
      <c r="AM77" s="488">
        <f t="shared" si="6"/>
        <v>19</v>
      </c>
      <c r="AN77" s="488">
        <f t="shared" si="7"/>
        <v>2</v>
      </c>
      <c r="AO77" s="488">
        <f t="shared" si="11"/>
        <v>21</v>
      </c>
      <c r="AP77" s="489">
        <f t="shared" si="9"/>
        <v>2</v>
      </c>
    </row>
    <row r="78" spans="1:44" s="491" customFormat="1" ht="12" customHeight="1">
      <c r="A78" s="302">
        <f t="shared" si="8"/>
        <v>75</v>
      </c>
      <c r="B78" s="300" t="s">
        <v>189</v>
      </c>
      <c r="C78" s="301" t="s">
        <v>190</v>
      </c>
      <c r="D78" s="300" t="s">
        <v>160</v>
      </c>
      <c r="E78" s="301" t="s">
        <v>292</v>
      </c>
      <c r="F78" s="301" t="s">
        <v>308</v>
      </c>
      <c r="G78" s="485" t="s">
        <v>296</v>
      </c>
      <c r="H78" s="485" t="s">
        <v>296</v>
      </c>
      <c r="I78" s="485" t="s">
        <v>305</v>
      </c>
      <c r="J78" s="485" t="s">
        <v>305</v>
      </c>
      <c r="K78" s="485" t="s">
        <v>305</v>
      </c>
      <c r="L78" s="485" t="s">
        <v>305</v>
      </c>
      <c r="M78" s="485" t="s">
        <v>305</v>
      </c>
      <c r="N78" s="485" t="s">
        <v>305</v>
      </c>
      <c r="O78" s="485" t="s">
        <v>305</v>
      </c>
      <c r="P78" s="485" t="s">
        <v>305</v>
      </c>
      <c r="Q78" s="485" t="s">
        <v>305</v>
      </c>
      <c r="R78" s="485" t="s">
        <v>305</v>
      </c>
      <c r="S78" s="485" t="s">
        <v>307</v>
      </c>
      <c r="T78" s="485" t="s">
        <v>307</v>
      </c>
      <c r="U78" s="485" t="s">
        <v>307</v>
      </c>
      <c r="V78" s="485" t="s">
        <v>307</v>
      </c>
      <c r="W78" s="485" t="s">
        <v>307</v>
      </c>
      <c r="X78" s="485" t="s">
        <v>307</v>
      </c>
      <c r="Y78" s="485" t="s">
        <v>307</v>
      </c>
      <c r="Z78" s="485" t="s">
        <v>307</v>
      </c>
      <c r="AA78" s="485" t="s">
        <v>307</v>
      </c>
      <c r="AB78" s="485" t="s">
        <v>307</v>
      </c>
      <c r="AC78" s="485" t="s">
        <v>305</v>
      </c>
      <c r="AD78" s="485" t="s">
        <v>305</v>
      </c>
      <c r="AE78" s="485" t="s">
        <v>305</v>
      </c>
      <c r="AF78" s="485" t="s">
        <v>305</v>
      </c>
      <c r="AG78" s="485" t="s">
        <v>305</v>
      </c>
      <c r="AH78" s="485" t="s">
        <v>305</v>
      </c>
      <c r="AI78" s="485" t="s">
        <v>305</v>
      </c>
      <c r="AJ78" s="485" t="s">
        <v>305</v>
      </c>
      <c r="AK78" s="485" t="s">
        <v>305</v>
      </c>
      <c r="AL78" s="487">
        <f t="shared" si="10"/>
        <v>2</v>
      </c>
      <c r="AM78" s="488">
        <f t="shared" si="6"/>
        <v>19</v>
      </c>
      <c r="AN78" s="488">
        <f t="shared" si="7"/>
        <v>10</v>
      </c>
      <c r="AO78" s="488">
        <f t="shared" si="11"/>
        <v>31</v>
      </c>
      <c r="AP78" s="489">
        <f t="shared" si="9"/>
        <v>12</v>
      </c>
    </row>
    <row r="79" spans="1:44" s="491" customFormat="1" ht="12" customHeight="1">
      <c r="A79" s="302">
        <f t="shared" si="8"/>
        <v>76</v>
      </c>
      <c r="B79" s="300" t="s">
        <v>274</v>
      </c>
      <c r="C79" s="301" t="s">
        <v>275</v>
      </c>
      <c r="D79" s="300" t="s">
        <v>160</v>
      </c>
      <c r="E79" s="301" t="s">
        <v>292</v>
      </c>
      <c r="F79" s="301" t="s">
        <v>142</v>
      </c>
      <c r="G79" s="485" t="s">
        <v>307</v>
      </c>
      <c r="H79" s="485" t="s">
        <v>307</v>
      </c>
      <c r="I79" s="485" t="s">
        <v>305</v>
      </c>
      <c r="J79" s="485" t="s">
        <v>305</v>
      </c>
      <c r="K79" s="485" t="s">
        <v>305</v>
      </c>
      <c r="L79" s="485" t="s">
        <v>305</v>
      </c>
      <c r="M79" s="485" t="s">
        <v>305</v>
      </c>
      <c r="N79" s="485" t="s">
        <v>305</v>
      </c>
      <c r="O79" s="485" t="s">
        <v>305</v>
      </c>
      <c r="P79" s="485" t="s">
        <v>305</v>
      </c>
      <c r="Q79" s="485" t="s">
        <v>305</v>
      </c>
      <c r="R79" s="485" t="s">
        <v>305</v>
      </c>
      <c r="S79" s="485" t="s">
        <v>296</v>
      </c>
      <c r="T79" s="485" t="s">
        <v>296</v>
      </c>
      <c r="U79" s="485" t="s">
        <v>296</v>
      </c>
      <c r="V79" s="485" t="s">
        <v>296</v>
      </c>
      <c r="W79" s="485" t="s">
        <v>296</v>
      </c>
      <c r="X79" s="485" t="s">
        <v>296</v>
      </c>
      <c r="Y79" s="485" t="s">
        <v>296</v>
      </c>
      <c r="Z79" s="485" t="s">
        <v>296</v>
      </c>
      <c r="AA79" s="485" t="s">
        <v>296</v>
      </c>
      <c r="AB79" s="485" t="s">
        <v>296</v>
      </c>
      <c r="AC79" s="485" t="s">
        <v>305</v>
      </c>
      <c r="AD79" s="485" t="s">
        <v>305</v>
      </c>
      <c r="AE79" s="485" t="s">
        <v>305</v>
      </c>
      <c r="AF79" s="485" t="s">
        <v>305</v>
      </c>
      <c r="AG79" s="485" t="s">
        <v>305</v>
      </c>
      <c r="AH79" s="485" t="s">
        <v>305</v>
      </c>
      <c r="AI79" s="485" t="s">
        <v>305</v>
      </c>
      <c r="AJ79" s="485" t="s">
        <v>305</v>
      </c>
      <c r="AK79" s="485" t="s">
        <v>305</v>
      </c>
      <c r="AL79" s="487">
        <f t="shared" si="10"/>
        <v>10</v>
      </c>
      <c r="AM79" s="488">
        <f t="shared" si="6"/>
        <v>19</v>
      </c>
      <c r="AN79" s="488">
        <f t="shared" si="7"/>
        <v>2</v>
      </c>
      <c r="AO79" s="488">
        <f t="shared" si="11"/>
        <v>31</v>
      </c>
      <c r="AP79" s="489">
        <f t="shared" si="9"/>
        <v>12</v>
      </c>
    </row>
    <row r="80" spans="1:44" s="491" customFormat="1" ht="12" customHeight="1">
      <c r="A80" s="302">
        <f t="shared" si="8"/>
        <v>77</v>
      </c>
      <c r="B80" s="300" t="s">
        <v>159</v>
      </c>
      <c r="C80" s="301" t="s">
        <v>161</v>
      </c>
      <c r="D80" s="300" t="s">
        <v>160</v>
      </c>
      <c r="E80" s="301" t="s">
        <v>292</v>
      </c>
      <c r="F80" s="301" t="s">
        <v>23</v>
      </c>
      <c r="G80" s="485" t="s">
        <v>296</v>
      </c>
      <c r="H80" s="485" t="s">
        <v>296</v>
      </c>
      <c r="I80" s="485" t="s">
        <v>305</v>
      </c>
      <c r="J80" s="485" t="s">
        <v>305</v>
      </c>
      <c r="K80" s="485" t="s">
        <v>305</v>
      </c>
      <c r="L80" s="485" t="s">
        <v>305</v>
      </c>
      <c r="M80" s="485" t="s">
        <v>305</v>
      </c>
      <c r="N80" s="485" t="s">
        <v>305</v>
      </c>
      <c r="O80" s="485" t="s">
        <v>305</v>
      </c>
      <c r="P80" s="485" t="s">
        <v>305</v>
      </c>
      <c r="Q80" s="485" t="s">
        <v>305</v>
      </c>
      <c r="R80" s="485" t="s">
        <v>305</v>
      </c>
      <c r="S80" s="485" t="s">
        <v>296</v>
      </c>
      <c r="T80" s="485" t="s">
        <v>296</v>
      </c>
      <c r="U80" s="485" t="s">
        <v>296</v>
      </c>
      <c r="V80" s="485" t="s">
        <v>296</v>
      </c>
      <c r="W80" s="485" t="s">
        <v>296</v>
      </c>
      <c r="X80" s="485" t="s">
        <v>296</v>
      </c>
      <c r="Y80" s="485" t="s">
        <v>296</v>
      </c>
      <c r="Z80" s="485" t="s">
        <v>296</v>
      </c>
      <c r="AA80" s="485" t="s">
        <v>296</v>
      </c>
      <c r="AB80" s="485" t="s">
        <v>296</v>
      </c>
      <c r="AC80" s="485" t="s">
        <v>305</v>
      </c>
      <c r="AD80" s="485" t="s">
        <v>305</v>
      </c>
      <c r="AE80" s="485" t="s">
        <v>305</v>
      </c>
      <c r="AF80" s="485" t="s">
        <v>305</v>
      </c>
      <c r="AG80" s="485" t="s">
        <v>305</v>
      </c>
      <c r="AH80" s="485" t="s">
        <v>305</v>
      </c>
      <c r="AI80" s="485" t="s">
        <v>305</v>
      </c>
      <c r="AJ80" s="485" t="s">
        <v>305</v>
      </c>
      <c r="AK80" s="485" t="s">
        <v>305</v>
      </c>
      <c r="AL80" s="487">
        <f t="shared" si="10"/>
        <v>12</v>
      </c>
      <c r="AM80" s="488">
        <f t="shared" si="6"/>
        <v>19</v>
      </c>
      <c r="AN80" s="488">
        <f t="shared" si="7"/>
        <v>0</v>
      </c>
      <c r="AO80" s="488">
        <f t="shared" si="11"/>
        <v>31</v>
      </c>
      <c r="AP80" s="489">
        <f t="shared" si="9"/>
        <v>12</v>
      </c>
    </row>
    <row r="81" spans="1:44" s="491" customFormat="1" ht="12" customHeight="1">
      <c r="A81" s="302">
        <f t="shared" si="8"/>
        <v>78</v>
      </c>
      <c r="B81" s="300" t="s">
        <v>243</v>
      </c>
      <c r="C81" s="301" t="s">
        <v>244</v>
      </c>
      <c r="D81" s="300" t="s">
        <v>160</v>
      </c>
      <c r="E81" s="301" t="s">
        <v>292</v>
      </c>
      <c r="F81" s="301" t="s">
        <v>102</v>
      </c>
      <c r="G81" s="485" t="s">
        <v>296</v>
      </c>
      <c r="H81" s="485" t="s">
        <v>296</v>
      </c>
      <c r="I81" s="485" t="s">
        <v>305</v>
      </c>
      <c r="J81" s="485" t="s">
        <v>305</v>
      </c>
      <c r="K81" s="485" t="s">
        <v>305</v>
      </c>
      <c r="L81" s="485" t="s">
        <v>305</v>
      </c>
      <c r="M81" s="485" t="s">
        <v>305</v>
      </c>
      <c r="N81" s="485" t="s">
        <v>305</v>
      </c>
      <c r="O81" s="485" t="s">
        <v>305</v>
      </c>
      <c r="P81" s="485" t="s">
        <v>305</v>
      </c>
      <c r="Q81" s="485" t="s">
        <v>305</v>
      </c>
      <c r="R81" s="485" t="s">
        <v>305</v>
      </c>
      <c r="S81" s="485" t="s">
        <v>296</v>
      </c>
      <c r="T81" s="485" t="s">
        <v>296</v>
      </c>
      <c r="U81" s="485" t="s">
        <v>296</v>
      </c>
      <c r="V81" s="485" t="s">
        <v>296</v>
      </c>
      <c r="W81" s="485" t="s">
        <v>296</v>
      </c>
      <c r="X81" s="485" t="s">
        <v>296</v>
      </c>
      <c r="Y81" s="485" t="s">
        <v>296</v>
      </c>
      <c r="Z81" s="485" t="s">
        <v>296</v>
      </c>
      <c r="AA81" s="485" t="s">
        <v>296</v>
      </c>
      <c r="AB81" s="485" t="s">
        <v>296</v>
      </c>
      <c r="AC81" s="485" t="s">
        <v>305</v>
      </c>
      <c r="AD81" s="485" t="s">
        <v>305</v>
      </c>
      <c r="AE81" s="485" t="s">
        <v>305</v>
      </c>
      <c r="AF81" s="485" t="s">
        <v>305</v>
      </c>
      <c r="AG81" s="485" t="s">
        <v>305</v>
      </c>
      <c r="AH81" s="485" t="s">
        <v>305</v>
      </c>
      <c r="AI81" s="485" t="s">
        <v>305</v>
      </c>
      <c r="AJ81" s="485" t="s">
        <v>305</v>
      </c>
      <c r="AK81" s="485" t="s">
        <v>305</v>
      </c>
      <c r="AL81" s="487">
        <f t="shared" si="10"/>
        <v>12</v>
      </c>
      <c r="AM81" s="488">
        <f t="shared" si="6"/>
        <v>19</v>
      </c>
      <c r="AN81" s="488">
        <f t="shared" si="7"/>
        <v>0</v>
      </c>
      <c r="AO81" s="488">
        <f t="shared" si="11"/>
        <v>31</v>
      </c>
      <c r="AP81" s="489">
        <f t="shared" si="9"/>
        <v>12</v>
      </c>
    </row>
    <row r="82" spans="1:44" s="491" customFormat="1" ht="12" customHeight="1">
      <c r="A82" s="302">
        <f t="shared" si="8"/>
        <v>79</v>
      </c>
      <c r="B82" s="300" t="s">
        <v>220</v>
      </c>
      <c r="C82" s="301" t="s">
        <v>221</v>
      </c>
      <c r="D82" s="300" t="s">
        <v>160</v>
      </c>
      <c r="E82" s="301" t="s">
        <v>292</v>
      </c>
      <c r="F82" s="301" t="s">
        <v>86</v>
      </c>
      <c r="G82" s="485" t="s">
        <v>296</v>
      </c>
      <c r="H82" s="485" t="s">
        <v>296</v>
      </c>
      <c r="I82" s="485" t="s">
        <v>305</v>
      </c>
      <c r="J82" s="485" t="s">
        <v>305</v>
      </c>
      <c r="K82" s="485" t="s">
        <v>305</v>
      </c>
      <c r="L82" s="485" t="s">
        <v>305</v>
      </c>
      <c r="M82" s="485" t="s">
        <v>305</v>
      </c>
      <c r="N82" s="485" t="s">
        <v>305</v>
      </c>
      <c r="O82" s="485" t="s">
        <v>305</v>
      </c>
      <c r="P82" s="485" t="s">
        <v>305</v>
      </c>
      <c r="Q82" s="485" t="s">
        <v>305</v>
      </c>
      <c r="R82" s="485" t="s">
        <v>305</v>
      </c>
      <c r="S82" s="485" t="s">
        <v>307</v>
      </c>
      <c r="T82" s="485" t="s">
        <v>307</v>
      </c>
      <c r="U82" s="485" t="s">
        <v>307</v>
      </c>
      <c r="V82" s="485" t="s">
        <v>307</v>
      </c>
      <c r="W82" s="485" t="s">
        <v>307</v>
      </c>
      <c r="X82" s="485" t="s">
        <v>307</v>
      </c>
      <c r="Y82" s="485" t="s">
        <v>307</v>
      </c>
      <c r="Z82" s="485" t="s">
        <v>307</v>
      </c>
      <c r="AA82" s="485" t="s">
        <v>307</v>
      </c>
      <c r="AB82" s="485" t="s">
        <v>307</v>
      </c>
      <c r="AC82" s="485" t="s">
        <v>305</v>
      </c>
      <c r="AD82" s="485" t="s">
        <v>305</v>
      </c>
      <c r="AE82" s="485" t="s">
        <v>305</v>
      </c>
      <c r="AF82" s="485" t="s">
        <v>305</v>
      </c>
      <c r="AG82" s="485" t="s">
        <v>305</v>
      </c>
      <c r="AH82" s="485" t="s">
        <v>305</v>
      </c>
      <c r="AI82" s="485" t="s">
        <v>305</v>
      </c>
      <c r="AJ82" s="485" t="s">
        <v>305</v>
      </c>
      <c r="AK82" s="485" t="s">
        <v>305</v>
      </c>
      <c r="AL82" s="487">
        <f t="shared" si="10"/>
        <v>2</v>
      </c>
      <c r="AM82" s="488">
        <f t="shared" si="6"/>
        <v>19</v>
      </c>
      <c r="AN82" s="488">
        <f t="shared" si="7"/>
        <v>10</v>
      </c>
      <c r="AO82" s="488">
        <f t="shared" si="11"/>
        <v>31</v>
      </c>
      <c r="AP82" s="489">
        <f t="shared" si="9"/>
        <v>12</v>
      </c>
    </row>
    <row r="83" spans="1:44" s="491" customFormat="1" ht="12" customHeight="1">
      <c r="A83" s="302">
        <f t="shared" si="8"/>
        <v>80</v>
      </c>
      <c r="B83" s="300" t="s">
        <v>222</v>
      </c>
      <c r="C83" s="301" t="s">
        <v>223</v>
      </c>
      <c r="D83" s="300" t="s">
        <v>160</v>
      </c>
      <c r="E83" s="301" t="s">
        <v>292</v>
      </c>
      <c r="F83" s="301" t="s">
        <v>86</v>
      </c>
      <c r="G83" s="485" t="s">
        <v>307</v>
      </c>
      <c r="H83" s="485" t="s">
        <v>307</v>
      </c>
      <c r="I83" s="485" t="s">
        <v>305</v>
      </c>
      <c r="J83" s="485" t="s">
        <v>305</v>
      </c>
      <c r="K83" s="485" t="s">
        <v>305</v>
      </c>
      <c r="L83" s="485" t="s">
        <v>305</v>
      </c>
      <c r="M83" s="485" t="s">
        <v>305</v>
      </c>
      <c r="N83" s="485" t="s">
        <v>305</v>
      </c>
      <c r="O83" s="485" t="s">
        <v>305</v>
      </c>
      <c r="P83" s="485" t="s">
        <v>305</v>
      </c>
      <c r="Q83" s="485" t="s">
        <v>305</v>
      </c>
      <c r="R83" s="485" t="s">
        <v>305</v>
      </c>
      <c r="S83" s="485" t="s">
        <v>296</v>
      </c>
      <c r="T83" s="485" t="s">
        <v>296</v>
      </c>
      <c r="U83" s="485" t="s">
        <v>296</v>
      </c>
      <c r="V83" s="485" t="s">
        <v>296</v>
      </c>
      <c r="W83" s="485" t="s">
        <v>296</v>
      </c>
      <c r="X83" s="485" t="s">
        <v>296</v>
      </c>
      <c r="Y83" s="485" t="s">
        <v>296</v>
      </c>
      <c r="Z83" s="485" t="s">
        <v>296</v>
      </c>
      <c r="AA83" s="485" t="s">
        <v>296</v>
      </c>
      <c r="AB83" s="485" t="s">
        <v>296</v>
      </c>
      <c r="AC83" s="485" t="s">
        <v>305</v>
      </c>
      <c r="AD83" s="485" t="s">
        <v>305</v>
      </c>
      <c r="AE83" s="485" t="s">
        <v>305</v>
      </c>
      <c r="AF83" s="485" t="s">
        <v>305</v>
      </c>
      <c r="AG83" s="485" t="s">
        <v>305</v>
      </c>
      <c r="AH83" s="485" t="s">
        <v>305</v>
      </c>
      <c r="AI83" s="485" t="s">
        <v>305</v>
      </c>
      <c r="AJ83" s="485" t="s">
        <v>305</v>
      </c>
      <c r="AK83" s="485" t="s">
        <v>305</v>
      </c>
      <c r="AL83" s="487">
        <f t="shared" si="10"/>
        <v>10</v>
      </c>
      <c r="AM83" s="488">
        <f t="shared" si="6"/>
        <v>19</v>
      </c>
      <c r="AN83" s="488">
        <f t="shared" si="7"/>
        <v>2</v>
      </c>
      <c r="AO83" s="488">
        <f t="shared" si="11"/>
        <v>31</v>
      </c>
      <c r="AP83" s="489">
        <f t="shared" si="9"/>
        <v>12</v>
      </c>
    </row>
    <row r="84" spans="1:44" s="491" customFormat="1" ht="12" customHeight="1">
      <c r="A84" s="302">
        <f t="shared" si="8"/>
        <v>81</v>
      </c>
      <c r="B84" s="300" t="s">
        <v>266</v>
      </c>
      <c r="C84" s="302" t="s">
        <v>267</v>
      </c>
      <c r="D84" s="300" t="s">
        <v>160</v>
      </c>
      <c r="E84" s="301" t="s">
        <v>292</v>
      </c>
      <c r="F84" s="301" t="s">
        <v>128</v>
      </c>
      <c r="G84" s="485" t="s">
        <v>296</v>
      </c>
      <c r="H84" s="485" t="s">
        <v>296</v>
      </c>
      <c r="I84" s="485" t="s">
        <v>305</v>
      </c>
      <c r="J84" s="485" t="s">
        <v>305</v>
      </c>
      <c r="K84" s="485" t="s">
        <v>305</v>
      </c>
      <c r="L84" s="485" t="s">
        <v>305</v>
      </c>
      <c r="M84" s="485" t="s">
        <v>305</v>
      </c>
      <c r="N84" s="485" t="s">
        <v>305</v>
      </c>
      <c r="O84" s="485" t="s">
        <v>305</v>
      </c>
      <c r="P84" s="485" t="s">
        <v>305</v>
      </c>
      <c r="Q84" s="485" t="s">
        <v>305</v>
      </c>
      <c r="R84" s="485" t="s">
        <v>305</v>
      </c>
      <c r="S84" s="485" t="s">
        <v>296</v>
      </c>
      <c r="T84" s="485" t="s">
        <v>296</v>
      </c>
      <c r="U84" s="485" t="s">
        <v>296</v>
      </c>
      <c r="V84" s="485" t="s">
        <v>296</v>
      </c>
      <c r="W84" s="485" t="s">
        <v>309</v>
      </c>
      <c r="X84" s="485" t="s">
        <v>309</v>
      </c>
      <c r="Y84" s="485" t="s">
        <v>309</v>
      </c>
      <c r="Z84" s="485" t="s">
        <v>309</v>
      </c>
      <c r="AA84" s="485" t="s">
        <v>309</v>
      </c>
      <c r="AB84" s="485" t="s">
        <v>309</v>
      </c>
      <c r="AC84" s="485" t="s">
        <v>309</v>
      </c>
      <c r="AD84" s="485" t="s">
        <v>309</v>
      </c>
      <c r="AE84" s="485" t="s">
        <v>309</v>
      </c>
      <c r="AF84" s="485" t="s">
        <v>309</v>
      </c>
      <c r="AG84" s="485" t="s">
        <v>309</v>
      </c>
      <c r="AH84" s="485" t="s">
        <v>309</v>
      </c>
      <c r="AI84" s="485" t="s">
        <v>309</v>
      </c>
      <c r="AJ84" s="485" t="s">
        <v>309</v>
      </c>
      <c r="AK84" s="485" t="s">
        <v>309</v>
      </c>
      <c r="AL84" s="487">
        <f t="shared" si="10"/>
        <v>6</v>
      </c>
      <c r="AM84" s="488">
        <f t="shared" si="6"/>
        <v>10</v>
      </c>
      <c r="AN84" s="488">
        <f t="shared" si="7"/>
        <v>0</v>
      </c>
      <c r="AO84" s="488">
        <f t="shared" si="11"/>
        <v>16</v>
      </c>
      <c r="AP84" s="489">
        <f t="shared" si="9"/>
        <v>6</v>
      </c>
    </row>
    <row r="85" spans="1:44" s="491" customFormat="1" ht="12" customHeight="1">
      <c r="A85" s="302">
        <f t="shared" si="8"/>
        <v>82</v>
      </c>
      <c r="B85" s="300" t="s">
        <v>254</v>
      </c>
      <c r="C85" s="301" t="s">
        <v>255</v>
      </c>
      <c r="D85" s="300" t="s">
        <v>160</v>
      </c>
      <c r="E85" s="301" t="s">
        <v>292</v>
      </c>
      <c r="F85" s="301" t="s">
        <v>110</v>
      </c>
      <c r="G85" s="485" t="s">
        <v>307</v>
      </c>
      <c r="H85" s="485" t="s">
        <v>307</v>
      </c>
      <c r="I85" s="485" t="s">
        <v>305</v>
      </c>
      <c r="J85" s="485" t="s">
        <v>305</v>
      </c>
      <c r="K85" s="485" t="s">
        <v>305</v>
      </c>
      <c r="L85" s="485" t="s">
        <v>305</v>
      </c>
      <c r="M85" s="485" t="s">
        <v>305</v>
      </c>
      <c r="N85" s="485" t="s">
        <v>305</v>
      </c>
      <c r="O85" s="485" t="s">
        <v>305</v>
      </c>
      <c r="P85" s="485" t="s">
        <v>305</v>
      </c>
      <c r="Q85" s="485" t="s">
        <v>305</v>
      </c>
      <c r="R85" s="485" t="s">
        <v>305</v>
      </c>
      <c r="S85" s="485" t="s">
        <v>296</v>
      </c>
      <c r="T85" s="485" t="s">
        <v>296</v>
      </c>
      <c r="U85" s="485" t="s">
        <v>296</v>
      </c>
      <c r="V85" s="485" t="s">
        <v>296</v>
      </c>
      <c r="W85" s="485" t="s">
        <v>296</v>
      </c>
      <c r="X85" s="485" t="s">
        <v>296</v>
      </c>
      <c r="Y85" s="485" t="s">
        <v>296</v>
      </c>
      <c r="Z85" s="485" t="s">
        <v>296</v>
      </c>
      <c r="AA85" s="485" t="s">
        <v>296</v>
      </c>
      <c r="AB85" s="485" t="s">
        <v>296</v>
      </c>
      <c r="AC85" s="485" t="s">
        <v>305</v>
      </c>
      <c r="AD85" s="485" t="s">
        <v>305</v>
      </c>
      <c r="AE85" s="485" t="s">
        <v>305</v>
      </c>
      <c r="AF85" s="485" t="s">
        <v>305</v>
      </c>
      <c r="AG85" s="485" t="s">
        <v>305</v>
      </c>
      <c r="AH85" s="485" t="s">
        <v>305</v>
      </c>
      <c r="AI85" s="485" t="s">
        <v>305</v>
      </c>
      <c r="AJ85" s="485" t="s">
        <v>305</v>
      </c>
      <c r="AK85" s="485" t="s">
        <v>305</v>
      </c>
      <c r="AL85" s="487">
        <f t="shared" si="10"/>
        <v>10</v>
      </c>
      <c r="AM85" s="488">
        <f t="shared" si="6"/>
        <v>19</v>
      </c>
      <c r="AN85" s="488">
        <f t="shared" si="7"/>
        <v>2</v>
      </c>
      <c r="AO85" s="488">
        <f t="shared" si="11"/>
        <v>31</v>
      </c>
      <c r="AP85" s="489">
        <f t="shared" si="9"/>
        <v>12</v>
      </c>
    </row>
    <row r="86" spans="1:44" s="491" customFormat="1" ht="12" customHeight="1">
      <c r="A86" s="302">
        <f t="shared" si="8"/>
        <v>83</v>
      </c>
      <c r="B86" s="300" t="s">
        <v>245</v>
      </c>
      <c r="C86" s="301" t="s">
        <v>246</v>
      </c>
      <c r="D86" s="300" t="s">
        <v>160</v>
      </c>
      <c r="E86" s="301" t="s">
        <v>292</v>
      </c>
      <c r="F86" s="301" t="s">
        <v>247</v>
      </c>
      <c r="G86" s="485" t="s">
        <v>307</v>
      </c>
      <c r="H86" s="485" t="s">
        <v>307</v>
      </c>
      <c r="I86" s="485" t="s">
        <v>305</v>
      </c>
      <c r="J86" s="485" t="s">
        <v>305</v>
      </c>
      <c r="K86" s="485" t="s">
        <v>305</v>
      </c>
      <c r="L86" s="485" t="s">
        <v>305</v>
      </c>
      <c r="M86" s="485" t="s">
        <v>305</v>
      </c>
      <c r="N86" s="485" t="s">
        <v>305</v>
      </c>
      <c r="O86" s="485" t="s">
        <v>305</v>
      </c>
      <c r="P86" s="485" t="s">
        <v>305</v>
      </c>
      <c r="Q86" s="485" t="s">
        <v>305</v>
      </c>
      <c r="R86" s="485" t="s">
        <v>305</v>
      </c>
      <c r="S86" s="485" t="s">
        <v>296</v>
      </c>
      <c r="T86" s="485" t="s">
        <v>296</v>
      </c>
      <c r="U86" s="485" t="s">
        <v>296</v>
      </c>
      <c r="V86" s="485" t="s">
        <v>296</v>
      </c>
      <c r="W86" s="485" t="s">
        <v>296</v>
      </c>
      <c r="X86" s="485" t="s">
        <v>296</v>
      </c>
      <c r="Y86" s="485" t="s">
        <v>296</v>
      </c>
      <c r="Z86" s="485" t="s">
        <v>296</v>
      </c>
      <c r="AA86" s="485" t="s">
        <v>296</v>
      </c>
      <c r="AB86" s="485" t="s">
        <v>296</v>
      </c>
      <c r="AC86" s="485" t="s">
        <v>305</v>
      </c>
      <c r="AD86" s="485" t="s">
        <v>305</v>
      </c>
      <c r="AE86" s="485" t="s">
        <v>305</v>
      </c>
      <c r="AF86" s="485" t="s">
        <v>305</v>
      </c>
      <c r="AG86" s="485" t="s">
        <v>305</v>
      </c>
      <c r="AH86" s="485" t="s">
        <v>305</v>
      </c>
      <c r="AI86" s="485" t="s">
        <v>305</v>
      </c>
      <c r="AJ86" s="485" t="s">
        <v>305</v>
      </c>
      <c r="AK86" s="485" t="s">
        <v>305</v>
      </c>
      <c r="AL86" s="487">
        <f t="shared" si="10"/>
        <v>10</v>
      </c>
      <c r="AM86" s="488">
        <f t="shared" si="6"/>
        <v>19</v>
      </c>
      <c r="AN86" s="488">
        <f t="shared" si="7"/>
        <v>2</v>
      </c>
      <c r="AO86" s="488">
        <f t="shared" si="11"/>
        <v>31</v>
      </c>
      <c r="AP86" s="489">
        <f t="shared" si="9"/>
        <v>12</v>
      </c>
    </row>
    <row r="87" spans="1:44" s="491" customFormat="1" ht="12" customHeight="1">
      <c r="A87" s="302">
        <f t="shared" si="8"/>
        <v>84</v>
      </c>
      <c r="B87" s="303" t="s">
        <v>234</v>
      </c>
      <c r="C87" s="302" t="s">
        <v>235</v>
      </c>
      <c r="D87" s="303" t="s">
        <v>160</v>
      </c>
      <c r="E87" s="302" t="s">
        <v>292</v>
      </c>
      <c r="F87" s="302" t="s">
        <v>236</v>
      </c>
      <c r="G87" s="485" t="s">
        <v>296</v>
      </c>
      <c r="H87" s="485" t="s">
        <v>296</v>
      </c>
      <c r="I87" s="485" t="s">
        <v>305</v>
      </c>
      <c r="J87" s="485" t="s">
        <v>305</v>
      </c>
      <c r="K87" s="485" t="s">
        <v>305</v>
      </c>
      <c r="L87" s="485" t="s">
        <v>305</v>
      </c>
      <c r="M87" s="485" t="s">
        <v>305</v>
      </c>
      <c r="N87" s="485" t="s">
        <v>305</v>
      </c>
      <c r="O87" s="485" t="s">
        <v>305</v>
      </c>
      <c r="P87" s="485" t="s">
        <v>305</v>
      </c>
      <c r="Q87" s="485" t="s">
        <v>305</v>
      </c>
      <c r="R87" s="485" t="s">
        <v>305</v>
      </c>
      <c r="S87" s="485" t="s">
        <v>296</v>
      </c>
      <c r="T87" s="485" t="s">
        <v>296</v>
      </c>
      <c r="U87" s="485" t="s">
        <v>296</v>
      </c>
      <c r="V87" s="485" t="s">
        <v>296</v>
      </c>
      <c r="W87" s="485" t="s">
        <v>296</v>
      </c>
      <c r="X87" s="485" t="s">
        <v>296</v>
      </c>
      <c r="Y87" s="485" t="s">
        <v>296</v>
      </c>
      <c r="Z87" s="485" t="s">
        <v>296</v>
      </c>
      <c r="AA87" s="485" t="s">
        <v>296</v>
      </c>
      <c r="AB87" s="485" t="s">
        <v>296</v>
      </c>
      <c r="AC87" s="485" t="s">
        <v>305</v>
      </c>
      <c r="AD87" s="485" t="s">
        <v>305</v>
      </c>
      <c r="AE87" s="485" t="s">
        <v>305</v>
      </c>
      <c r="AF87" s="485" t="s">
        <v>305</v>
      </c>
      <c r="AG87" s="485" t="s">
        <v>305</v>
      </c>
      <c r="AH87" s="485" t="s">
        <v>305</v>
      </c>
      <c r="AI87" s="485" t="s">
        <v>305</v>
      </c>
      <c r="AJ87" s="485" t="s">
        <v>305</v>
      </c>
      <c r="AK87" s="485" t="s">
        <v>305</v>
      </c>
      <c r="AL87" s="487">
        <f t="shared" si="10"/>
        <v>12</v>
      </c>
      <c r="AM87" s="488">
        <f t="shared" si="6"/>
        <v>19</v>
      </c>
      <c r="AN87" s="488">
        <f t="shared" si="7"/>
        <v>0</v>
      </c>
      <c r="AO87" s="488">
        <f t="shared" si="11"/>
        <v>31</v>
      </c>
      <c r="AP87" s="489">
        <f t="shared" si="9"/>
        <v>12</v>
      </c>
      <c r="AQ87" s="493"/>
      <c r="AR87" s="493"/>
    </row>
    <row r="88" spans="1:44" s="493" customFormat="1" ht="12" customHeight="1">
      <c r="A88" s="302">
        <f t="shared" si="8"/>
        <v>85</v>
      </c>
      <c r="B88" s="300" t="s">
        <v>194</v>
      </c>
      <c r="C88" s="301" t="s">
        <v>195</v>
      </c>
      <c r="D88" s="300" t="s">
        <v>160</v>
      </c>
      <c r="E88" s="301" t="s">
        <v>292</v>
      </c>
      <c r="F88" s="301" t="s">
        <v>38</v>
      </c>
      <c r="G88" s="485" t="s">
        <v>296</v>
      </c>
      <c r="H88" s="485" t="s">
        <v>296</v>
      </c>
      <c r="I88" s="485" t="s">
        <v>305</v>
      </c>
      <c r="J88" s="485" t="s">
        <v>305</v>
      </c>
      <c r="K88" s="485" t="s">
        <v>305</v>
      </c>
      <c r="L88" s="485" t="s">
        <v>305</v>
      </c>
      <c r="M88" s="485" t="s">
        <v>305</v>
      </c>
      <c r="N88" s="485" t="s">
        <v>305</v>
      </c>
      <c r="O88" s="485" t="s">
        <v>305</v>
      </c>
      <c r="P88" s="485" t="s">
        <v>305</v>
      </c>
      <c r="Q88" s="485" t="s">
        <v>305</v>
      </c>
      <c r="R88" s="485" t="s">
        <v>305</v>
      </c>
      <c r="S88" s="485" t="s">
        <v>306</v>
      </c>
      <c r="T88" s="485" t="s">
        <v>306</v>
      </c>
      <c r="U88" s="485" t="s">
        <v>306</v>
      </c>
      <c r="V88" s="485" t="s">
        <v>306</v>
      </c>
      <c r="W88" s="485" t="s">
        <v>306</v>
      </c>
      <c r="X88" s="485" t="s">
        <v>306</v>
      </c>
      <c r="Y88" s="485" t="s">
        <v>306</v>
      </c>
      <c r="Z88" s="485" t="s">
        <v>306</v>
      </c>
      <c r="AA88" s="485" t="s">
        <v>306</v>
      </c>
      <c r="AB88" s="485" t="s">
        <v>306</v>
      </c>
      <c r="AC88" s="485" t="s">
        <v>305</v>
      </c>
      <c r="AD88" s="485" t="s">
        <v>305</v>
      </c>
      <c r="AE88" s="485" t="s">
        <v>305</v>
      </c>
      <c r="AF88" s="485" t="s">
        <v>305</v>
      </c>
      <c r="AG88" s="485" t="s">
        <v>305</v>
      </c>
      <c r="AH88" s="485" t="s">
        <v>305</v>
      </c>
      <c r="AI88" s="485" t="s">
        <v>305</v>
      </c>
      <c r="AJ88" s="485" t="s">
        <v>305</v>
      </c>
      <c r="AK88" s="485" t="s">
        <v>305</v>
      </c>
      <c r="AL88" s="487">
        <f t="shared" si="10"/>
        <v>2</v>
      </c>
      <c r="AM88" s="488">
        <f t="shared" si="6"/>
        <v>19</v>
      </c>
      <c r="AN88" s="488">
        <f t="shared" si="7"/>
        <v>0</v>
      </c>
      <c r="AO88" s="488">
        <f t="shared" si="11"/>
        <v>21</v>
      </c>
      <c r="AP88" s="489">
        <f t="shared" si="9"/>
        <v>2</v>
      </c>
      <c r="AQ88" s="491"/>
      <c r="AR88" s="491"/>
    </row>
    <row r="89" spans="1:44" s="491" customFormat="1" ht="12" customHeight="1">
      <c r="A89" s="302">
        <f t="shared" si="8"/>
        <v>86</v>
      </c>
      <c r="B89" s="300" t="s">
        <v>224</v>
      </c>
      <c r="C89" s="301" t="s">
        <v>225</v>
      </c>
      <c r="D89" s="300" t="s">
        <v>160</v>
      </c>
      <c r="E89" s="301" t="s">
        <v>292</v>
      </c>
      <c r="F89" s="301" t="s">
        <v>86</v>
      </c>
      <c r="G89" s="485" t="s">
        <v>307</v>
      </c>
      <c r="H89" s="485" t="s">
        <v>307</v>
      </c>
      <c r="I89" s="485" t="s">
        <v>305</v>
      </c>
      <c r="J89" s="485" t="s">
        <v>305</v>
      </c>
      <c r="K89" s="485" t="s">
        <v>305</v>
      </c>
      <c r="L89" s="485" t="s">
        <v>305</v>
      </c>
      <c r="M89" s="485" t="s">
        <v>305</v>
      </c>
      <c r="N89" s="485" t="s">
        <v>305</v>
      </c>
      <c r="O89" s="485" t="s">
        <v>305</v>
      </c>
      <c r="P89" s="485" t="s">
        <v>305</v>
      </c>
      <c r="Q89" s="485" t="s">
        <v>305</v>
      </c>
      <c r="R89" s="485" t="s">
        <v>305</v>
      </c>
      <c r="S89" s="485" t="s">
        <v>296</v>
      </c>
      <c r="T89" s="485" t="s">
        <v>296</v>
      </c>
      <c r="U89" s="485" t="s">
        <v>296</v>
      </c>
      <c r="V89" s="485" t="s">
        <v>296</v>
      </c>
      <c r="W89" s="485" t="s">
        <v>296</v>
      </c>
      <c r="X89" s="485" t="s">
        <v>296</v>
      </c>
      <c r="Y89" s="485" t="s">
        <v>296</v>
      </c>
      <c r="Z89" s="485" t="s">
        <v>296</v>
      </c>
      <c r="AA89" s="485" t="s">
        <v>296</v>
      </c>
      <c r="AB89" s="485" t="s">
        <v>296</v>
      </c>
      <c r="AC89" s="485" t="s">
        <v>305</v>
      </c>
      <c r="AD89" s="485" t="s">
        <v>305</v>
      </c>
      <c r="AE89" s="485" t="s">
        <v>305</v>
      </c>
      <c r="AF89" s="485" t="s">
        <v>305</v>
      </c>
      <c r="AG89" s="485" t="s">
        <v>305</v>
      </c>
      <c r="AH89" s="485" t="s">
        <v>305</v>
      </c>
      <c r="AI89" s="485" t="s">
        <v>305</v>
      </c>
      <c r="AJ89" s="485" t="s">
        <v>305</v>
      </c>
      <c r="AK89" s="485" t="s">
        <v>305</v>
      </c>
      <c r="AL89" s="487">
        <f t="shared" si="10"/>
        <v>10</v>
      </c>
      <c r="AM89" s="488">
        <f t="shared" si="6"/>
        <v>19</v>
      </c>
      <c r="AN89" s="488">
        <f t="shared" si="7"/>
        <v>2</v>
      </c>
      <c r="AO89" s="488">
        <f t="shared" si="11"/>
        <v>31</v>
      </c>
      <c r="AP89" s="489">
        <f t="shared" si="9"/>
        <v>12</v>
      </c>
    </row>
    <row r="90" spans="1:44" s="491" customFormat="1" ht="12" customHeight="1">
      <c r="A90" s="302">
        <f t="shared" si="8"/>
        <v>87</v>
      </c>
      <c r="B90" s="300" t="s">
        <v>197</v>
      </c>
      <c r="C90" s="301" t="s">
        <v>198</v>
      </c>
      <c r="D90" s="300" t="s">
        <v>160</v>
      </c>
      <c r="E90" s="301" t="s">
        <v>292</v>
      </c>
      <c r="F90" s="301" t="s">
        <v>38</v>
      </c>
      <c r="G90" s="485" t="s">
        <v>307</v>
      </c>
      <c r="H90" s="485" t="s">
        <v>307</v>
      </c>
      <c r="I90" s="485" t="s">
        <v>305</v>
      </c>
      <c r="J90" s="485" t="s">
        <v>305</v>
      </c>
      <c r="K90" s="485" t="s">
        <v>305</v>
      </c>
      <c r="L90" s="485" t="s">
        <v>305</v>
      </c>
      <c r="M90" s="485" t="s">
        <v>305</v>
      </c>
      <c r="N90" s="485" t="s">
        <v>305</v>
      </c>
      <c r="O90" s="485" t="s">
        <v>305</v>
      </c>
      <c r="P90" s="485" t="s">
        <v>305</v>
      </c>
      <c r="Q90" s="485" t="s">
        <v>305</v>
      </c>
      <c r="R90" s="485" t="s">
        <v>305</v>
      </c>
      <c r="S90" s="485" t="s">
        <v>296</v>
      </c>
      <c r="T90" s="485" t="s">
        <v>296</v>
      </c>
      <c r="U90" s="485" t="s">
        <v>296</v>
      </c>
      <c r="V90" s="485" t="s">
        <v>296</v>
      </c>
      <c r="W90" s="485" t="s">
        <v>297</v>
      </c>
      <c r="X90" s="485" t="s">
        <v>297</v>
      </c>
      <c r="Y90" s="485" t="s">
        <v>297</v>
      </c>
      <c r="Z90" s="485" t="s">
        <v>297</v>
      </c>
      <c r="AA90" s="485" t="s">
        <v>297</v>
      </c>
      <c r="AB90" s="485" t="s">
        <v>297</v>
      </c>
      <c r="AC90" s="485" t="s">
        <v>305</v>
      </c>
      <c r="AD90" s="485" t="s">
        <v>305</v>
      </c>
      <c r="AE90" s="485" t="s">
        <v>305</v>
      </c>
      <c r="AF90" s="485" t="s">
        <v>305</v>
      </c>
      <c r="AG90" s="485" t="s">
        <v>305</v>
      </c>
      <c r="AH90" s="485" t="s">
        <v>305</v>
      </c>
      <c r="AI90" s="485" t="s">
        <v>305</v>
      </c>
      <c r="AJ90" s="485" t="s">
        <v>305</v>
      </c>
      <c r="AK90" s="485" t="s">
        <v>305</v>
      </c>
      <c r="AL90" s="487">
        <f t="shared" si="10"/>
        <v>4</v>
      </c>
      <c r="AM90" s="488">
        <f t="shared" si="6"/>
        <v>19</v>
      </c>
      <c r="AN90" s="488">
        <f t="shared" si="7"/>
        <v>2</v>
      </c>
      <c r="AO90" s="488">
        <f t="shared" si="11"/>
        <v>25</v>
      </c>
      <c r="AP90" s="489">
        <f t="shared" si="9"/>
        <v>6</v>
      </c>
      <c r="AQ90" s="463"/>
      <c r="AR90" s="463"/>
    </row>
    <row r="91" spans="1:44" s="491" customFormat="1" ht="12" customHeight="1">
      <c r="A91" s="302">
        <f t="shared" si="8"/>
        <v>88</v>
      </c>
      <c r="B91" s="300" t="s">
        <v>199</v>
      </c>
      <c r="C91" s="301" t="s">
        <v>200</v>
      </c>
      <c r="D91" s="300" t="s">
        <v>160</v>
      </c>
      <c r="E91" s="301" t="s">
        <v>292</v>
      </c>
      <c r="F91" s="301" t="s">
        <v>38</v>
      </c>
      <c r="G91" s="485" t="s">
        <v>307</v>
      </c>
      <c r="H91" s="485" t="s">
        <v>307</v>
      </c>
      <c r="I91" s="485" t="s">
        <v>305</v>
      </c>
      <c r="J91" s="485" t="s">
        <v>305</v>
      </c>
      <c r="K91" s="485" t="s">
        <v>305</v>
      </c>
      <c r="L91" s="485" t="s">
        <v>305</v>
      </c>
      <c r="M91" s="485" t="s">
        <v>305</v>
      </c>
      <c r="N91" s="485" t="s">
        <v>305</v>
      </c>
      <c r="O91" s="485" t="s">
        <v>305</v>
      </c>
      <c r="P91" s="485" t="s">
        <v>305</v>
      </c>
      <c r="Q91" s="485" t="s">
        <v>305</v>
      </c>
      <c r="R91" s="485" t="s">
        <v>305</v>
      </c>
      <c r="S91" s="485" t="s">
        <v>296</v>
      </c>
      <c r="T91" s="485" t="s">
        <v>315</v>
      </c>
      <c r="U91" s="485" t="s">
        <v>315</v>
      </c>
      <c r="V91" s="485" t="s">
        <v>315</v>
      </c>
      <c r="W91" s="485" t="s">
        <v>315</v>
      </c>
      <c r="X91" s="485" t="s">
        <v>315</v>
      </c>
      <c r="Y91" s="485" t="s">
        <v>315</v>
      </c>
      <c r="Z91" s="485" t="s">
        <v>315</v>
      </c>
      <c r="AA91" s="485" t="s">
        <v>315</v>
      </c>
      <c r="AB91" s="485" t="s">
        <v>315</v>
      </c>
      <c r="AC91" s="485" t="s">
        <v>305</v>
      </c>
      <c r="AD91" s="485" t="s">
        <v>305</v>
      </c>
      <c r="AE91" s="485" t="s">
        <v>305</v>
      </c>
      <c r="AF91" s="485" t="s">
        <v>305</v>
      </c>
      <c r="AG91" s="485" t="s">
        <v>305</v>
      </c>
      <c r="AH91" s="485" t="s">
        <v>305</v>
      </c>
      <c r="AI91" s="485" t="s">
        <v>305</v>
      </c>
      <c r="AJ91" s="485" t="s">
        <v>305</v>
      </c>
      <c r="AK91" s="485" t="s">
        <v>305</v>
      </c>
      <c r="AL91" s="487">
        <f t="shared" si="10"/>
        <v>1</v>
      </c>
      <c r="AM91" s="488">
        <f t="shared" si="6"/>
        <v>19</v>
      </c>
      <c r="AN91" s="488">
        <f t="shared" si="7"/>
        <v>2</v>
      </c>
      <c r="AO91" s="488">
        <f t="shared" si="11"/>
        <v>22</v>
      </c>
      <c r="AP91" s="489">
        <f t="shared" si="9"/>
        <v>3</v>
      </c>
    </row>
    <row r="92" spans="1:44" ht="12" customHeight="1">
      <c r="A92" s="302">
        <f t="shared" si="8"/>
        <v>89</v>
      </c>
      <c r="B92" s="300" t="s">
        <v>202</v>
      </c>
      <c r="C92" s="301" t="s">
        <v>203</v>
      </c>
      <c r="D92" s="300" t="s">
        <v>160</v>
      </c>
      <c r="E92" s="301" t="s">
        <v>292</v>
      </c>
      <c r="F92" s="301" t="s">
        <v>38</v>
      </c>
      <c r="G92" s="485" t="s">
        <v>296</v>
      </c>
      <c r="H92" s="485" t="s">
        <v>296</v>
      </c>
      <c r="I92" s="485" t="s">
        <v>305</v>
      </c>
      <c r="J92" s="485" t="s">
        <v>305</v>
      </c>
      <c r="K92" s="485" t="s">
        <v>305</v>
      </c>
      <c r="L92" s="485" t="s">
        <v>305</v>
      </c>
      <c r="M92" s="485" t="s">
        <v>305</v>
      </c>
      <c r="N92" s="485" t="s">
        <v>305</v>
      </c>
      <c r="O92" s="485" t="s">
        <v>305</v>
      </c>
      <c r="P92" s="485" t="s">
        <v>305</v>
      </c>
      <c r="Q92" s="485" t="s">
        <v>305</v>
      </c>
      <c r="R92" s="485" t="s">
        <v>305</v>
      </c>
      <c r="S92" s="485" t="s">
        <v>307</v>
      </c>
      <c r="T92" s="485" t="s">
        <v>307</v>
      </c>
      <c r="U92" s="485" t="s">
        <v>307</v>
      </c>
      <c r="V92" s="485" t="s">
        <v>307</v>
      </c>
      <c r="W92" s="485" t="s">
        <v>307</v>
      </c>
      <c r="X92" s="485" t="s">
        <v>307</v>
      </c>
      <c r="Y92" s="485" t="s">
        <v>307</v>
      </c>
      <c r="Z92" s="485" t="s">
        <v>307</v>
      </c>
      <c r="AA92" s="485" t="s">
        <v>307</v>
      </c>
      <c r="AB92" s="485" t="s">
        <v>307</v>
      </c>
      <c r="AC92" s="485" t="s">
        <v>305</v>
      </c>
      <c r="AD92" s="485" t="s">
        <v>305</v>
      </c>
      <c r="AE92" s="485" t="s">
        <v>305</v>
      </c>
      <c r="AF92" s="485" t="s">
        <v>305</v>
      </c>
      <c r="AG92" s="485" t="s">
        <v>305</v>
      </c>
      <c r="AH92" s="485" t="s">
        <v>305</v>
      </c>
      <c r="AI92" s="485" t="s">
        <v>305</v>
      </c>
      <c r="AJ92" s="485" t="s">
        <v>305</v>
      </c>
      <c r="AK92" s="485" t="s">
        <v>305</v>
      </c>
      <c r="AL92" s="487">
        <f t="shared" si="10"/>
        <v>2</v>
      </c>
      <c r="AM92" s="488">
        <f t="shared" si="6"/>
        <v>19</v>
      </c>
      <c r="AN92" s="488">
        <f t="shared" si="7"/>
        <v>10</v>
      </c>
      <c r="AO92" s="488">
        <f t="shared" si="11"/>
        <v>31</v>
      </c>
      <c r="AP92" s="489">
        <f t="shared" si="9"/>
        <v>12</v>
      </c>
    </row>
    <row r="93" spans="1:44" s="491" customFormat="1" ht="12" customHeight="1">
      <c r="A93" s="302">
        <f t="shared" si="8"/>
        <v>90</v>
      </c>
      <c r="B93" s="300" t="s">
        <v>226</v>
      </c>
      <c r="C93" s="301" t="s">
        <v>227</v>
      </c>
      <c r="D93" s="300" t="s">
        <v>160</v>
      </c>
      <c r="E93" s="301" t="s">
        <v>292</v>
      </c>
      <c r="F93" s="301" t="s">
        <v>86</v>
      </c>
      <c r="G93" s="485" t="s">
        <v>296</v>
      </c>
      <c r="H93" s="485" t="s">
        <v>296</v>
      </c>
      <c r="I93" s="485" t="s">
        <v>305</v>
      </c>
      <c r="J93" s="485" t="s">
        <v>305</v>
      </c>
      <c r="K93" s="485" t="s">
        <v>305</v>
      </c>
      <c r="L93" s="485" t="s">
        <v>305</v>
      </c>
      <c r="M93" s="485" t="s">
        <v>305</v>
      </c>
      <c r="N93" s="485" t="s">
        <v>305</v>
      </c>
      <c r="O93" s="485" t="s">
        <v>305</v>
      </c>
      <c r="P93" s="485" t="s">
        <v>305</v>
      </c>
      <c r="Q93" s="485" t="s">
        <v>305</v>
      </c>
      <c r="R93" s="485" t="s">
        <v>305</v>
      </c>
      <c r="S93" s="485" t="s">
        <v>307</v>
      </c>
      <c r="T93" s="485" t="s">
        <v>307</v>
      </c>
      <c r="U93" s="485" t="s">
        <v>307</v>
      </c>
      <c r="V93" s="485" t="s">
        <v>307</v>
      </c>
      <c r="W93" s="485" t="s">
        <v>307</v>
      </c>
      <c r="X93" s="485" t="s">
        <v>307</v>
      </c>
      <c r="Y93" s="485" t="s">
        <v>307</v>
      </c>
      <c r="Z93" s="485" t="s">
        <v>307</v>
      </c>
      <c r="AA93" s="485" t="s">
        <v>307</v>
      </c>
      <c r="AB93" s="485" t="s">
        <v>307</v>
      </c>
      <c r="AC93" s="485" t="s">
        <v>305</v>
      </c>
      <c r="AD93" s="485" t="s">
        <v>305</v>
      </c>
      <c r="AE93" s="485" t="s">
        <v>305</v>
      </c>
      <c r="AF93" s="485" t="s">
        <v>305</v>
      </c>
      <c r="AG93" s="485" t="s">
        <v>305</v>
      </c>
      <c r="AH93" s="485" t="s">
        <v>305</v>
      </c>
      <c r="AI93" s="485" t="s">
        <v>305</v>
      </c>
      <c r="AJ93" s="485" t="s">
        <v>305</v>
      </c>
      <c r="AK93" s="485" t="s">
        <v>305</v>
      </c>
      <c r="AL93" s="487">
        <f t="shared" si="10"/>
        <v>2</v>
      </c>
      <c r="AM93" s="488">
        <f t="shared" si="6"/>
        <v>19</v>
      </c>
      <c r="AN93" s="488">
        <f t="shared" si="7"/>
        <v>10</v>
      </c>
      <c r="AO93" s="488">
        <f t="shared" si="11"/>
        <v>31</v>
      </c>
      <c r="AP93" s="489">
        <f t="shared" si="9"/>
        <v>12</v>
      </c>
      <c r="AQ93" s="463"/>
      <c r="AR93" s="463"/>
    </row>
    <row r="94" spans="1:44" ht="12" customHeight="1">
      <c r="A94" s="302">
        <f t="shared" si="8"/>
        <v>91</v>
      </c>
      <c r="B94" s="300" t="s">
        <v>256</v>
      </c>
      <c r="C94" s="301" t="s">
        <v>257</v>
      </c>
      <c r="D94" s="300" t="s">
        <v>160</v>
      </c>
      <c r="E94" s="301" t="s">
        <v>292</v>
      </c>
      <c r="F94" s="301" t="s">
        <v>110</v>
      </c>
      <c r="G94" s="485" t="s">
        <v>296</v>
      </c>
      <c r="H94" s="485" t="s">
        <v>296</v>
      </c>
      <c r="I94" s="485" t="s">
        <v>305</v>
      </c>
      <c r="J94" s="485" t="s">
        <v>305</v>
      </c>
      <c r="K94" s="485" t="s">
        <v>305</v>
      </c>
      <c r="L94" s="485" t="s">
        <v>305</v>
      </c>
      <c r="M94" s="485" t="s">
        <v>305</v>
      </c>
      <c r="N94" s="485" t="s">
        <v>305</v>
      </c>
      <c r="O94" s="485" t="s">
        <v>305</v>
      </c>
      <c r="P94" s="485" t="s">
        <v>305</v>
      </c>
      <c r="Q94" s="485" t="s">
        <v>305</v>
      </c>
      <c r="R94" s="485" t="s">
        <v>305</v>
      </c>
      <c r="S94" s="485" t="s">
        <v>297</v>
      </c>
      <c r="T94" s="485" t="s">
        <v>297</v>
      </c>
      <c r="U94" s="485" t="s">
        <v>297</v>
      </c>
      <c r="V94" s="485" t="s">
        <v>297</v>
      </c>
      <c r="W94" s="485" t="s">
        <v>297</v>
      </c>
      <c r="X94" s="485" t="s">
        <v>297</v>
      </c>
      <c r="Y94" s="485" t="s">
        <v>297</v>
      </c>
      <c r="Z94" s="485" t="s">
        <v>297</v>
      </c>
      <c r="AA94" s="485" t="s">
        <v>297</v>
      </c>
      <c r="AB94" s="485" t="s">
        <v>297</v>
      </c>
      <c r="AC94" s="485" t="s">
        <v>305</v>
      </c>
      <c r="AD94" s="485" t="s">
        <v>305</v>
      </c>
      <c r="AE94" s="485" t="s">
        <v>305</v>
      </c>
      <c r="AF94" s="485" t="s">
        <v>305</v>
      </c>
      <c r="AG94" s="485" t="s">
        <v>305</v>
      </c>
      <c r="AH94" s="485" t="s">
        <v>305</v>
      </c>
      <c r="AI94" s="485" t="s">
        <v>305</v>
      </c>
      <c r="AJ94" s="485" t="s">
        <v>305</v>
      </c>
      <c r="AK94" s="485" t="s">
        <v>305</v>
      </c>
      <c r="AL94" s="487">
        <f t="shared" si="10"/>
        <v>2</v>
      </c>
      <c r="AM94" s="488">
        <f t="shared" si="6"/>
        <v>19</v>
      </c>
      <c r="AN94" s="488">
        <f t="shared" si="7"/>
        <v>0</v>
      </c>
      <c r="AO94" s="488">
        <f t="shared" si="11"/>
        <v>21</v>
      </c>
      <c r="AP94" s="489">
        <f t="shared" si="9"/>
        <v>2</v>
      </c>
    </row>
    <row r="95" spans="1:44" ht="12" customHeight="1">
      <c r="A95" s="302">
        <f t="shared" si="8"/>
        <v>92</v>
      </c>
      <c r="B95" s="300" t="s">
        <v>258</v>
      </c>
      <c r="C95" s="302" t="s">
        <v>259</v>
      </c>
      <c r="D95" s="300" t="s">
        <v>160</v>
      </c>
      <c r="E95" s="301" t="s">
        <v>292</v>
      </c>
      <c r="F95" s="301" t="s">
        <v>110</v>
      </c>
      <c r="G95" s="485" t="s">
        <v>307</v>
      </c>
      <c r="H95" s="485" t="s">
        <v>307</v>
      </c>
      <c r="I95" s="485" t="s">
        <v>305</v>
      </c>
      <c r="J95" s="485" t="s">
        <v>305</v>
      </c>
      <c r="K95" s="485" t="s">
        <v>305</v>
      </c>
      <c r="L95" s="485" t="s">
        <v>305</v>
      </c>
      <c r="M95" s="485" t="s">
        <v>305</v>
      </c>
      <c r="N95" s="485" t="s">
        <v>305</v>
      </c>
      <c r="O95" s="485" t="s">
        <v>305</v>
      </c>
      <c r="P95" s="485" t="s">
        <v>305</v>
      </c>
      <c r="Q95" s="485" t="s">
        <v>305</v>
      </c>
      <c r="R95" s="485" t="s">
        <v>305</v>
      </c>
      <c r="S95" s="485" t="s">
        <v>296</v>
      </c>
      <c r="T95" s="485" t="s">
        <v>296</v>
      </c>
      <c r="U95" s="485" t="s">
        <v>296</v>
      </c>
      <c r="V95" s="485" t="s">
        <v>296</v>
      </c>
      <c r="W95" s="485" t="s">
        <v>296</v>
      </c>
      <c r="X95" s="485" t="s">
        <v>296</v>
      </c>
      <c r="Y95" s="485" t="s">
        <v>296</v>
      </c>
      <c r="Z95" s="485" t="s">
        <v>296</v>
      </c>
      <c r="AA95" s="485" t="s">
        <v>296</v>
      </c>
      <c r="AB95" s="485" t="s">
        <v>296</v>
      </c>
      <c r="AC95" s="485" t="s">
        <v>305</v>
      </c>
      <c r="AD95" s="485" t="s">
        <v>305</v>
      </c>
      <c r="AE95" s="485" t="s">
        <v>305</v>
      </c>
      <c r="AF95" s="485" t="s">
        <v>305</v>
      </c>
      <c r="AG95" s="485" t="s">
        <v>305</v>
      </c>
      <c r="AH95" s="485" t="s">
        <v>305</v>
      </c>
      <c r="AI95" s="485" t="s">
        <v>305</v>
      </c>
      <c r="AJ95" s="485" t="s">
        <v>305</v>
      </c>
      <c r="AK95" s="485" t="s">
        <v>305</v>
      </c>
      <c r="AL95" s="487">
        <f t="shared" si="10"/>
        <v>10</v>
      </c>
      <c r="AM95" s="488">
        <f t="shared" si="6"/>
        <v>19</v>
      </c>
      <c r="AN95" s="488">
        <f t="shared" si="7"/>
        <v>2</v>
      </c>
      <c r="AO95" s="488">
        <f t="shared" si="11"/>
        <v>31</v>
      </c>
      <c r="AP95" s="489">
        <f t="shared" si="9"/>
        <v>12</v>
      </c>
      <c r="AQ95" s="491"/>
      <c r="AR95" s="491"/>
    </row>
    <row r="96" spans="1:44" ht="12" customHeight="1">
      <c r="A96" s="302">
        <f t="shared" si="8"/>
        <v>93</v>
      </c>
      <c r="B96" s="300" t="s">
        <v>260</v>
      </c>
      <c r="C96" s="301" t="s">
        <v>261</v>
      </c>
      <c r="D96" s="300" t="s">
        <v>160</v>
      </c>
      <c r="E96" s="301" t="s">
        <v>292</v>
      </c>
      <c r="F96" s="301" t="s">
        <v>110</v>
      </c>
      <c r="G96" s="485" t="s">
        <v>307</v>
      </c>
      <c r="H96" s="485" t="s">
        <v>307</v>
      </c>
      <c r="I96" s="485" t="s">
        <v>305</v>
      </c>
      <c r="J96" s="485" t="s">
        <v>305</v>
      </c>
      <c r="K96" s="485" t="s">
        <v>305</v>
      </c>
      <c r="L96" s="485" t="s">
        <v>305</v>
      </c>
      <c r="M96" s="485" t="s">
        <v>305</v>
      </c>
      <c r="N96" s="485" t="s">
        <v>305</v>
      </c>
      <c r="O96" s="485" t="s">
        <v>305</v>
      </c>
      <c r="P96" s="485" t="s">
        <v>305</v>
      </c>
      <c r="Q96" s="485" t="s">
        <v>305</v>
      </c>
      <c r="R96" s="485" t="s">
        <v>305</v>
      </c>
      <c r="S96" s="485" t="s">
        <v>296</v>
      </c>
      <c r="T96" s="485" t="s">
        <v>296</v>
      </c>
      <c r="U96" s="485" t="s">
        <v>296</v>
      </c>
      <c r="V96" s="485" t="s">
        <v>296</v>
      </c>
      <c r="W96" s="485" t="s">
        <v>296</v>
      </c>
      <c r="X96" s="485" t="s">
        <v>296</v>
      </c>
      <c r="Y96" s="485" t="s">
        <v>296</v>
      </c>
      <c r="Z96" s="485" t="s">
        <v>296</v>
      </c>
      <c r="AA96" s="485" t="s">
        <v>296</v>
      </c>
      <c r="AB96" s="485" t="s">
        <v>296</v>
      </c>
      <c r="AC96" s="485" t="s">
        <v>305</v>
      </c>
      <c r="AD96" s="485" t="s">
        <v>305</v>
      </c>
      <c r="AE96" s="485" t="s">
        <v>305</v>
      </c>
      <c r="AF96" s="485" t="s">
        <v>305</v>
      </c>
      <c r="AG96" s="485" t="s">
        <v>305</v>
      </c>
      <c r="AH96" s="485" t="s">
        <v>305</v>
      </c>
      <c r="AI96" s="485" t="s">
        <v>305</v>
      </c>
      <c r="AJ96" s="485" t="s">
        <v>305</v>
      </c>
      <c r="AK96" s="485" t="s">
        <v>305</v>
      </c>
      <c r="AL96" s="487">
        <f t="shared" si="10"/>
        <v>10</v>
      </c>
      <c r="AM96" s="488">
        <f t="shared" si="6"/>
        <v>19</v>
      </c>
      <c r="AN96" s="488">
        <f t="shared" si="7"/>
        <v>2</v>
      </c>
      <c r="AO96" s="488">
        <f t="shared" si="11"/>
        <v>31</v>
      </c>
      <c r="AP96" s="489">
        <f t="shared" si="9"/>
        <v>12</v>
      </c>
    </row>
    <row r="97" spans="1:44" s="491" customFormat="1" ht="12" customHeight="1">
      <c r="A97" s="302">
        <f t="shared" si="8"/>
        <v>94</v>
      </c>
      <c r="B97" s="300" t="s">
        <v>212</v>
      </c>
      <c r="C97" s="301" t="s">
        <v>213</v>
      </c>
      <c r="D97" s="300" t="s">
        <v>160</v>
      </c>
      <c r="E97" s="301" t="s">
        <v>306</v>
      </c>
      <c r="F97" s="301" t="s">
        <v>83</v>
      </c>
      <c r="G97" s="485" t="s">
        <v>296</v>
      </c>
      <c r="H97" s="485" t="s">
        <v>296</v>
      </c>
      <c r="I97" s="485" t="s">
        <v>305</v>
      </c>
      <c r="J97" s="485" t="s">
        <v>305</v>
      </c>
      <c r="K97" s="485" t="s">
        <v>305</v>
      </c>
      <c r="L97" s="485" t="s">
        <v>305</v>
      </c>
      <c r="M97" s="485" t="s">
        <v>305</v>
      </c>
      <c r="N97" s="485" t="s">
        <v>305</v>
      </c>
      <c r="O97" s="485" t="s">
        <v>305</v>
      </c>
      <c r="P97" s="485" t="s">
        <v>305</v>
      </c>
      <c r="Q97" s="485" t="s">
        <v>305</v>
      </c>
      <c r="R97" s="485" t="s">
        <v>305</v>
      </c>
      <c r="S97" s="485" t="s">
        <v>296</v>
      </c>
      <c r="T97" s="485" t="s">
        <v>296</v>
      </c>
      <c r="U97" s="485" t="s">
        <v>296</v>
      </c>
      <c r="V97" s="485" t="s">
        <v>296</v>
      </c>
      <c r="W97" s="485" t="s">
        <v>296</v>
      </c>
      <c r="X97" s="485" t="s">
        <v>296</v>
      </c>
      <c r="Y97" s="485" t="s">
        <v>296</v>
      </c>
      <c r="Z97" s="485" t="s">
        <v>296</v>
      </c>
      <c r="AA97" s="485" t="s">
        <v>296</v>
      </c>
      <c r="AB97" s="485" t="s">
        <v>296</v>
      </c>
      <c r="AC97" s="485" t="s">
        <v>305</v>
      </c>
      <c r="AD97" s="485" t="s">
        <v>305</v>
      </c>
      <c r="AE97" s="485" t="s">
        <v>305</v>
      </c>
      <c r="AF97" s="485" t="s">
        <v>305</v>
      </c>
      <c r="AG97" s="485" t="s">
        <v>305</v>
      </c>
      <c r="AH97" s="485" t="s">
        <v>305</v>
      </c>
      <c r="AI97" s="485" t="s">
        <v>305</v>
      </c>
      <c r="AJ97" s="485" t="s">
        <v>305</v>
      </c>
      <c r="AK97" s="485" t="s">
        <v>305</v>
      </c>
      <c r="AL97" s="487">
        <f t="shared" si="10"/>
        <v>12</v>
      </c>
      <c r="AM97" s="488">
        <f t="shared" si="6"/>
        <v>19</v>
      </c>
      <c r="AN97" s="488">
        <f t="shared" si="7"/>
        <v>0</v>
      </c>
      <c r="AO97" s="488">
        <f t="shared" si="11"/>
        <v>31</v>
      </c>
      <c r="AP97" s="489">
        <f t="shared" si="9"/>
        <v>12</v>
      </c>
      <c r="AQ97" s="463"/>
      <c r="AR97" s="463"/>
    </row>
    <row r="98" spans="1:44" ht="12" customHeight="1">
      <c r="A98" s="302">
        <f t="shared" si="8"/>
        <v>95</v>
      </c>
      <c r="B98" s="300" t="s">
        <v>262</v>
      </c>
      <c r="C98" s="301" t="s">
        <v>263</v>
      </c>
      <c r="D98" s="300" t="s">
        <v>160</v>
      </c>
      <c r="E98" s="301" t="s">
        <v>292</v>
      </c>
      <c r="F98" s="301" t="s">
        <v>110</v>
      </c>
      <c r="G98" s="485" t="s">
        <v>307</v>
      </c>
      <c r="H98" s="485" t="s">
        <v>307</v>
      </c>
      <c r="I98" s="485" t="s">
        <v>305</v>
      </c>
      <c r="J98" s="485" t="s">
        <v>305</v>
      </c>
      <c r="K98" s="485" t="s">
        <v>305</v>
      </c>
      <c r="L98" s="485" t="s">
        <v>305</v>
      </c>
      <c r="M98" s="485" t="s">
        <v>305</v>
      </c>
      <c r="N98" s="485" t="s">
        <v>305</v>
      </c>
      <c r="O98" s="485" t="s">
        <v>305</v>
      </c>
      <c r="P98" s="485" t="s">
        <v>305</v>
      </c>
      <c r="Q98" s="485" t="s">
        <v>305</v>
      </c>
      <c r="R98" s="485" t="s">
        <v>305</v>
      </c>
      <c r="S98" s="485" t="s">
        <v>296</v>
      </c>
      <c r="T98" s="485" t="s">
        <v>296</v>
      </c>
      <c r="U98" s="485" t="s">
        <v>296</v>
      </c>
      <c r="V98" s="485" t="s">
        <v>296</v>
      </c>
      <c r="W98" s="485" t="s">
        <v>296</v>
      </c>
      <c r="X98" s="485" t="s">
        <v>296</v>
      </c>
      <c r="Y98" s="485" t="s">
        <v>296</v>
      </c>
      <c r="Z98" s="485" t="s">
        <v>296</v>
      </c>
      <c r="AA98" s="485" t="s">
        <v>296</v>
      </c>
      <c r="AB98" s="485" t="s">
        <v>296</v>
      </c>
      <c r="AC98" s="485" t="s">
        <v>305</v>
      </c>
      <c r="AD98" s="485" t="s">
        <v>305</v>
      </c>
      <c r="AE98" s="485" t="s">
        <v>305</v>
      </c>
      <c r="AF98" s="485" t="s">
        <v>305</v>
      </c>
      <c r="AG98" s="485" t="s">
        <v>305</v>
      </c>
      <c r="AH98" s="485" t="s">
        <v>305</v>
      </c>
      <c r="AI98" s="485" t="s">
        <v>305</v>
      </c>
      <c r="AJ98" s="485" t="s">
        <v>305</v>
      </c>
      <c r="AK98" s="485" t="s">
        <v>305</v>
      </c>
      <c r="AL98" s="487">
        <f t="shared" si="10"/>
        <v>10</v>
      </c>
      <c r="AM98" s="488">
        <f t="shared" si="6"/>
        <v>19</v>
      </c>
      <c r="AN98" s="488">
        <f t="shared" si="7"/>
        <v>2</v>
      </c>
      <c r="AO98" s="488">
        <f t="shared" si="11"/>
        <v>31</v>
      </c>
      <c r="AP98" s="489">
        <f t="shared" si="9"/>
        <v>12</v>
      </c>
    </row>
    <row r="99" spans="1:44" ht="12" customHeight="1">
      <c r="A99" s="302">
        <f t="shared" si="8"/>
        <v>96</v>
      </c>
      <c r="B99" s="300" t="s">
        <v>276</v>
      </c>
      <c r="C99" s="302" t="s">
        <v>277</v>
      </c>
      <c r="D99" s="300" t="s">
        <v>160</v>
      </c>
      <c r="E99" s="301" t="s">
        <v>292</v>
      </c>
      <c r="F99" s="301" t="s">
        <v>142</v>
      </c>
      <c r="G99" s="485" t="s">
        <v>307</v>
      </c>
      <c r="H99" s="485" t="s">
        <v>307</v>
      </c>
      <c r="I99" s="485" t="s">
        <v>305</v>
      </c>
      <c r="J99" s="485" t="s">
        <v>305</v>
      </c>
      <c r="K99" s="485" t="s">
        <v>305</v>
      </c>
      <c r="L99" s="485" t="s">
        <v>305</v>
      </c>
      <c r="M99" s="485" t="s">
        <v>305</v>
      </c>
      <c r="N99" s="485" t="s">
        <v>305</v>
      </c>
      <c r="O99" s="485" t="s">
        <v>305</v>
      </c>
      <c r="P99" s="485" t="s">
        <v>305</v>
      </c>
      <c r="Q99" s="485" t="s">
        <v>305</v>
      </c>
      <c r="R99" s="485" t="s">
        <v>305</v>
      </c>
      <c r="S99" s="485" t="s">
        <v>296</v>
      </c>
      <c r="T99" s="485" t="s">
        <v>296</v>
      </c>
      <c r="U99" s="485" t="s">
        <v>296</v>
      </c>
      <c r="V99" s="485" t="s">
        <v>296</v>
      </c>
      <c r="W99" s="485" t="s">
        <v>296</v>
      </c>
      <c r="X99" s="485" t="s">
        <v>296</v>
      </c>
      <c r="Y99" s="485" t="s">
        <v>296</v>
      </c>
      <c r="Z99" s="485" t="s">
        <v>296</v>
      </c>
      <c r="AA99" s="485" t="s">
        <v>296</v>
      </c>
      <c r="AB99" s="485" t="s">
        <v>296</v>
      </c>
      <c r="AC99" s="485" t="s">
        <v>305</v>
      </c>
      <c r="AD99" s="485" t="s">
        <v>305</v>
      </c>
      <c r="AE99" s="485" t="s">
        <v>305</v>
      </c>
      <c r="AF99" s="485" t="s">
        <v>305</v>
      </c>
      <c r="AG99" s="485" t="s">
        <v>305</v>
      </c>
      <c r="AH99" s="485" t="s">
        <v>305</v>
      </c>
      <c r="AI99" s="485" t="s">
        <v>305</v>
      </c>
      <c r="AJ99" s="485" t="s">
        <v>305</v>
      </c>
      <c r="AK99" s="485" t="s">
        <v>305</v>
      </c>
      <c r="AL99" s="487">
        <f t="shared" si="10"/>
        <v>10</v>
      </c>
      <c r="AM99" s="488">
        <f t="shared" si="6"/>
        <v>19</v>
      </c>
      <c r="AN99" s="488">
        <f t="shared" si="7"/>
        <v>2</v>
      </c>
      <c r="AO99" s="488">
        <f t="shared" si="11"/>
        <v>31</v>
      </c>
      <c r="AP99" s="489">
        <f t="shared" si="9"/>
        <v>12</v>
      </c>
    </row>
    <row r="100" spans="1:44" ht="12" customHeight="1">
      <c r="A100" s="302">
        <f t="shared" si="8"/>
        <v>97</v>
      </c>
      <c r="B100" s="300" t="s">
        <v>204</v>
      </c>
      <c r="C100" s="302" t="s">
        <v>205</v>
      </c>
      <c r="D100" s="300" t="s">
        <v>160</v>
      </c>
      <c r="E100" s="301" t="s">
        <v>292</v>
      </c>
      <c r="F100" s="301" t="s">
        <v>38</v>
      </c>
      <c r="G100" s="485" t="s">
        <v>296</v>
      </c>
      <c r="H100" s="485" t="s">
        <v>296</v>
      </c>
      <c r="I100" s="485" t="s">
        <v>305</v>
      </c>
      <c r="J100" s="485" t="s">
        <v>305</v>
      </c>
      <c r="K100" s="485" t="s">
        <v>305</v>
      </c>
      <c r="L100" s="485" t="s">
        <v>305</v>
      </c>
      <c r="M100" s="485" t="s">
        <v>305</v>
      </c>
      <c r="N100" s="485" t="s">
        <v>305</v>
      </c>
      <c r="O100" s="485" t="s">
        <v>305</v>
      </c>
      <c r="P100" s="485" t="s">
        <v>305</v>
      </c>
      <c r="Q100" s="485" t="s">
        <v>305</v>
      </c>
      <c r="R100" s="485" t="s">
        <v>305</v>
      </c>
      <c r="S100" s="485" t="s">
        <v>307</v>
      </c>
      <c r="T100" s="485" t="s">
        <v>307</v>
      </c>
      <c r="U100" s="485" t="s">
        <v>307</v>
      </c>
      <c r="V100" s="485" t="s">
        <v>307</v>
      </c>
      <c r="W100" s="485" t="s">
        <v>307</v>
      </c>
      <c r="X100" s="485" t="s">
        <v>307</v>
      </c>
      <c r="Y100" s="485" t="s">
        <v>307</v>
      </c>
      <c r="Z100" s="485" t="s">
        <v>307</v>
      </c>
      <c r="AA100" s="485" t="s">
        <v>307</v>
      </c>
      <c r="AB100" s="485" t="s">
        <v>307</v>
      </c>
      <c r="AC100" s="485" t="s">
        <v>305</v>
      </c>
      <c r="AD100" s="485" t="s">
        <v>305</v>
      </c>
      <c r="AE100" s="485" t="s">
        <v>305</v>
      </c>
      <c r="AF100" s="485" t="s">
        <v>305</v>
      </c>
      <c r="AG100" s="485" t="s">
        <v>305</v>
      </c>
      <c r="AH100" s="485" t="s">
        <v>305</v>
      </c>
      <c r="AI100" s="485" t="s">
        <v>305</v>
      </c>
      <c r="AJ100" s="485" t="s">
        <v>305</v>
      </c>
      <c r="AK100" s="485" t="s">
        <v>305</v>
      </c>
      <c r="AL100" s="487">
        <f t="shared" si="10"/>
        <v>2</v>
      </c>
      <c r="AM100" s="488">
        <f t="shared" si="6"/>
        <v>19</v>
      </c>
      <c r="AN100" s="488">
        <f t="shared" si="7"/>
        <v>10</v>
      </c>
      <c r="AO100" s="488">
        <f t="shared" si="11"/>
        <v>31</v>
      </c>
      <c r="AP100" s="489">
        <f t="shared" si="9"/>
        <v>12</v>
      </c>
    </row>
    <row r="101" spans="1:44" ht="12" customHeight="1">
      <c r="A101" s="302">
        <f t="shared" si="8"/>
        <v>98</v>
      </c>
      <c r="B101" s="300" t="s">
        <v>208</v>
      </c>
      <c r="C101" s="301" t="s">
        <v>209</v>
      </c>
      <c r="D101" s="300" t="s">
        <v>160</v>
      </c>
      <c r="E101" s="301" t="s">
        <v>292</v>
      </c>
      <c r="F101" s="301" t="s">
        <v>38</v>
      </c>
      <c r="G101" s="485" t="s">
        <v>307</v>
      </c>
      <c r="H101" s="485" t="s">
        <v>307</v>
      </c>
      <c r="I101" s="485" t="s">
        <v>305</v>
      </c>
      <c r="J101" s="485" t="s">
        <v>305</v>
      </c>
      <c r="K101" s="485" t="s">
        <v>305</v>
      </c>
      <c r="L101" s="485" t="s">
        <v>305</v>
      </c>
      <c r="M101" s="485" t="s">
        <v>305</v>
      </c>
      <c r="N101" s="485" t="s">
        <v>305</v>
      </c>
      <c r="O101" s="485" t="s">
        <v>305</v>
      </c>
      <c r="P101" s="485" t="s">
        <v>305</v>
      </c>
      <c r="Q101" s="485" t="s">
        <v>305</v>
      </c>
      <c r="R101" s="485" t="s">
        <v>305</v>
      </c>
      <c r="S101" s="485" t="s">
        <v>296</v>
      </c>
      <c r="T101" s="485" t="s">
        <v>296</v>
      </c>
      <c r="U101" s="485" t="s">
        <v>296</v>
      </c>
      <c r="V101" s="485" t="s">
        <v>296</v>
      </c>
      <c r="W101" s="485" t="s">
        <v>296</v>
      </c>
      <c r="X101" s="485" t="s">
        <v>296</v>
      </c>
      <c r="Y101" s="485" t="s">
        <v>296</v>
      </c>
      <c r="Z101" s="485" t="s">
        <v>296</v>
      </c>
      <c r="AA101" s="485" t="s">
        <v>296</v>
      </c>
      <c r="AB101" s="485" t="s">
        <v>296</v>
      </c>
      <c r="AC101" s="485" t="s">
        <v>305</v>
      </c>
      <c r="AD101" s="485" t="s">
        <v>305</v>
      </c>
      <c r="AE101" s="485" t="s">
        <v>305</v>
      </c>
      <c r="AF101" s="485" t="s">
        <v>305</v>
      </c>
      <c r="AG101" s="485" t="s">
        <v>305</v>
      </c>
      <c r="AH101" s="485" t="s">
        <v>305</v>
      </c>
      <c r="AI101" s="485" t="s">
        <v>305</v>
      </c>
      <c r="AJ101" s="485" t="s">
        <v>305</v>
      </c>
      <c r="AK101" s="485" t="s">
        <v>305</v>
      </c>
      <c r="AL101" s="487">
        <f t="shared" si="10"/>
        <v>10</v>
      </c>
      <c r="AM101" s="488">
        <f t="shared" si="6"/>
        <v>19</v>
      </c>
      <c r="AN101" s="488">
        <f t="shared" si="7"/>
        <v>2</v>
      </c>
      <c r="AO101" s="488">
        <f t="shared" si="11"/>
        <v>31</v>
      </c>
      <c r="AP101" s="489">
        <f t="shared" si="9"/>
        <v>12</v>
      </c>
    </row>
    <row r="102" spans="1:44" ht="12" customHeight="1">
      <c r="A102" s="302">
        <f t="shared" si="8"/>
        <v>99</v>
      </c>
      <c r="B102" s="303" t="s">
        <v>210</v>
      </c>
      <c r="C102" s="301" t="s">
        <v>211</v>
      </c>
      <c r="D102" s="300" t="s">
        <v>160</v>
      </c>
      <c r="E102" s="301" t="s">
        <v>292</v>
      </c>
      <c r="F102" s="301" t="s">
        <v>38</v>
      </c>
      <c r="G102" s="485" t="s">
        <v>296</v>
      </c>
      <c r="H102" s="485" t="s">
        <v>296</v>
      </c>
      <c r="I102" s="485" t="s">
        <v>305</v>
      </c>
      <c r="J102" s="485" t="s">
        <v>305</v>
      </c>
      <c r="K102" s="485" t="s">
        <v>305</v>
      </c>
      <c r="L102" s="485" t="s">
        <v>305</v>
      </c>
      <c r="M102" s="485" t="s">
        <v>305</v>
      </c>
      <c r="N102" s="485" t="s">
        <v>305</v>
      </c>
      <c r="O102" s="485" t="s">
        <v>305</v>
      </c>
      <c r="P102" s="485" t="s">
        <v>305</v>
      </c>
      <c r="Q102" s="485" t="s">
        <v>305</v>
      </c>
      <c r="R102" s="485" t="s">
        <v>305</v>
      </c>
      <c r="S102" s="485" t="s">
        <v>307</v>
      </c>
      <c r="T102" s="485" t="s">
        <v>307</v>
      </c>
      <c r="U102" s="485" t="s">
        <v>307</v>
      </c>
      <c r="V102" s="485" t="s">
        <v>307</v>
      </c>
      <c r="W102" s="485" t="s">
        <v>307</v>
      </c>
      <c r="X102" s="485" t="s">
        <v>307</v>
      </c>
      <c r="Y102" s="485" t="s">
        <v>307</v>
      </c>
      <c r="Z102" s="485" t="s">
        <v>307</v>
      </c>
      <c r="AA102" s="485" t="s">
        <v>307</v>
      </c>
      <c r="AB102" s="485" t="s">
        <v>307</v>
      </c>
      <c r="AC102" s="485" t="s">
        <v>305</v>
      </c>
      <c r="AD102" s="485" t="s">
        <v>305</v>
      </c>
      <c r="AE102" s="485" t="s">
        <v>305</v>
      </c>
      <c r="AF102" s="485" t="s">
        <v>305</v>
      </c>
      <c r="AG102" s="485" t="s">
        <v>305</v>
      </c>
      <c r="AH102" s="485" t="s">
        <v>305</v>
      </c>
      <c r="AI102" s="485" t="s">
        <v>305</v>
      </c>
      <c r="AJ102" s="485" t="s">
        <v>305</v>
      </c>
      <c r="AK102" s="485" t="s">
        <v>305</v>
      </c>
      <c r="AL102" s="487">
        <f t="shared" si="10"/>
        <v>2</v>
      </c>
      <c r="AM102" s="488">
        <f t="shared" si="6"/>
        <v>19</v>
      </c>
      <c r="AN102" s="488">
        <f t="shared" si="7"/>
        <v>10</v>
      </c>
      <c r="AO102" s="488">
        <f t="shared" si="11"/>
        <v>31</v>
      </c>
      <c r="AP102" s="489">
        <f t="shared" si="9"/>
        <v>12</v>
      </c>
    </row>
    <row r="103" spans="1:44" ht="12" customHeight="1">
      <c r="A103" s="302">
        <f t="shared" si="8"/>
        <v>100</v>
      </c>
      <c r="B103" s="300" t="s">
        <v>230</v>
      </c>
      <c r="C103" s="301" t="s">
        <v>231</v>
      </c>
      <c r="D103" s="300" t="s">
        <v>160</v>
      </c>
      <c r="E103" s="301" t="s">
        <v>292</v>
      </c>
      <c r="F103" s="301" t="s">
        <v>232</v>
      </c>
      <c r="G103" s="485"/>
      <c r="H103" s="485"/>
      <c r="I103" s="485"/>
      <c r="J103" s="485" t="s">
        <v>296</v>
      </c>
      <c r="K103" s="485" t="s">
        <v>296</v>
      </c>
      <c r="L103" s="485" t="s">
        <v>305</v>
      </c>
      <c r="M103" s="485" t="s">
        <v>305</v>
      </c>
      <c r="N103" s="485" t="s">
        <v>305</v>
      </c>
      <c r="O103" s="485" t="s">
        <v>305</v>
      </c>
      <c r="P103" s="485" t="s">
        <v>305</v>
      </c>
      <c r="Q103" s="485" t="s">
        <v>305</v>
      </c>
      <c r="R103" s="485" t="s">
        <v>305</v>
      </c>
      <c r="S103" s="485" t="s">
        <v>305</v>
      </c>
      <c r="T103" s="485" t="s">
        <v>305</v>
      </c>
      <c r="U103" s="485" t="s">
        <v>305</v>
      </c>
      <c r="V103" s="485" t="s">
        <v>309</v>
      </c>
      <c r="W103" s="485" t="s">
        <v>309</v>
      </c>
      <c r="X103" s="485" t="s">
        <v>309</v>
      </c>
      <c r="Y103" s="485" t="s">
        <v>309</v>
      </c>
      <c r="Z103" s="485" t="s">
        <v>309</v>
      </c>
      <c r="AA103" s="485" t="s">
        <v>309</v>
      </c>
      <c r="AB103" s="485" t="s">
        <v>309</v>
      </c>
      <c r="AC103" s="485" t="s">
        <v>309</v>
      </c>
      <c r="AD103" s="485" t="s">
        <v>309</v>
      </c>
      <c r="AE103" s="485" t="s">
        <v>309</v>
      </c>
      <c r="AF103" s="485" t="s">
        <v>309</v>
      </c>
      <c r="AG103" s="485" t="s">
        <v>309</v>
      </c>
      <c r="AH103" s="485" t="s">
        <v>309</v>
      </c>
      <c r="AI103" s="485" t="s">
        <v>309</v>
      </c>
      <c r="AJ103" s="485" t="s">
        <v>309</v>
      </c>
      <c r="AK103" s="485" t="s">
        <v>309</v>
      </c>
      <c r="AL103" s="487">
        <f t="shared" si="10"/>
        <v>2</v>
      </c>
      <c r="AM103" s="488">
        <f t="shared" si="6"/>
        <v>10</v>
      </c>
      <c r="AN103" s="488">
        <f t="shared" si="7"/>
        <v>0</v>
      </c>
      <c r="AO103" s="488">
        <f t="shared" si="11"/>
        <v>12</v>
      </c>
      <c r="AP103" s="489">
        <f t="shared" si="9"/>
        <v>2</v>
      </c>
      <c r="AQ103" s="491"/>
      <c r="AR103" s="491"/>
    </row>
    <row r="104" spans="1:44" ht="12" customHeight="1">
      <c r="A104" s="302">
        <f t="shared" si="8"/>
        <v>101</v>
      </c>
      <c r="B104" s="300" t="s">
        <v>316</v>
      </c>
      <c r="C104" s="301" t="s">
        <v>317</v>
      </c>
      <c r="D104" s="300" t="s">
        <v>318</v>
      </c>
      <c r="E104" s="301" t="s">
        <v>292</v>
      </c>
      <c r="F104" s="301" t="s">
        <v>319</v>
      </c>
      <c r="G104" s="485" t="s">
        <v>296</v>
      </c>
      <c r="H104" s="485" t="s">
        <v>296</v>
      </c>
      <c r="I104" s="485" t="s">
        <v>305</v>
      </c>
      <c r="J104" s="485" t="s">
        <v>305</v>
      </c>
      <c r="K104" s="485" t="s">
        <v>305</v>
      </c>
      <c r="L104" s="485" t="s">
        <v>305</v>
      </c>
      <c r="M104" s="485" t="s">
        <v>305</v>
      </c>
      <c r="N104" s="485" t="s">
        <v>305</v>
      </c>
      <c r="O104" s="485" t="s">
        <v>305</v>
      </c>
      <c r="P104" s="485" t="s">
        <v>305</v>
      </c>
      <c r="Q104" s="485" t="s">
        <v>305</v>
      </c>
      <c r="R104" s="485" t="s">
        <v>305</v>
      </c>
      <c r="S104" s="485" t="s">
        <v>309</v>
      </c>
      <c r="T104" s="485" t="s">
        <v>309</v>
      </c>
      <c r="U104" s="485" t="s">
        <v>309</v>
      </c>
      <c r="V104" s="485" t="s">
        <v>309</v>
      </c>
      <c r="W104" s="485" t="s">
        <v>309</v>
      </c>
      <c r="X104" s="485" t="s">
        <v>309</v>
      </c>
      <c r="Y104" s="485" t="s">
        <v>309</v>
      </c>
      <c r="Z104" s="485" t="s">
        <v>309</v>
      </c>
      <c r="AA104" s="485" t="s">
        <v>309</v>
      </c>
      <c r="AB104" s="485" t="s">
        <v>309</v>
      </c>
      <c r="AC104" s="485" t="s">
        <v>309</v>
      </c>
      <c r="AD104" s="485" t="s">
        <v>309</v>
      </c>
      <c r="AE104" s="485" t="s">
        <v>309</v>
      </c>
      <c r="AF104" s="485" t="s">
        <v>309</v>
      </c>
      <c r="AG104" s="485" t="s">
        <v>309</v>
      </c>
      <c r="AH104" s="485" t="s">
        <v>309</v>
      </c>
      <c r="AI104" s="485" t="s">
        <v>309</v>
      </c>
      <c r="AJ104" s="485" t="s">
        <v>309</v>
      </c>
      <c r="AK104" s="485" t="s">
        <v>309</v>
      </c>
      <c r="AL104" s="487">
        <f t="shared" si="10"/>
        <v>2</v>
      </c>
      <c r="AM104" s="488">
        <f t="shared" si="6"/>
        <v>10</v>
      </c>
      <c r="AN104" s="488">
        <f t="shared" si="7"/>
        <v>0</v>
      </c>
      <c r="AO104" s="488">
        <f t="shared" si="11"/>
        <v>12</v>
      </c>
      <c r="AP104" s="489">
        <f t="shared" si="9"/>
        <v>2</v>
      </c>
      <c r="AQ104" s="491"/>
      <c r="AR104" s="491"/>
    </row>
    <row r="105" spans="1:44" s="491" customFormat="1" ht="12" customHeight="1">
      <c r="A105" s="302">
        <f t="shared" si="8"/>
        <v>102</v>
      </c>
      <c r="B105" s="300" t="s">
        <v>93</v>
      </c>
      <c r="C105" s="301" t="s">
        <v>94</v>
      </c>
      <c r="D105" s="300" t="s">
        <v>32</v>
      </c>
      <c r="E105" s="301" t="s">
        <v>306</v>
      </c>
      <c r="F105" s="301" t="s">
        <v>232</v>
      </c>
      <c r="G105" s="485"/>
      <c r="H105" s="485"/>
      <c r="I105" s="485"/>
      <c r="J105" s="485" t="s">
        <v>305</v>
      </c>
      <c r="K105" s="485" t="s">
        <v>305</v>
      </c>
      <c r="L105" s="485" t="s">
        <v>296</v>
      </c>
      <c r="M105" s="485" t="s">
        <v>296</v>
      </c>
      <c r="N105" s="485" t="s">
        <v>296</v>
      </c>
      <c r="O105" s="485" t="s">
        <v>296</v>
      </c>
      <c r="P105" s="485" t="s">
        <v>309</v>
      </c>
      <c r="Q105" s="485" t="s">
        <v>309</v>
      </c>
      <c r="R105" s="485" t="s">
        <v>309</v>
      </c>
      <c r="S105" s="485" t="s">
        <v>309</v>
      </c>
      <c r="T105" s="485" t="s">
        <v>309</v>
      </c>
      <c r="U105" s="485" t="s">
        <v>309</v>
      </c>
      <c r="V105" s="485" t="s">
        <v>309</v>
      </c>
      <c r="W105" s="485" t="s">
        <v>309</v>
      </c>
      <c r="X105" s="485" t="s">
        <v>309</v>
      </c>
      <c r="Y105" s="485" t="s">
        <v>309</v>
      </c>
      <c r="Z105" s="485" t="s">
        <v>309</v>
      </c>
      <c r="AA105" s="485" t="s">
        <v>309</v>
      </c>
      <c r="AB105" s="485" t="s">
        <v>309</v>
      </c>
      <c r="AC105" s="485" t="s">
        <v>309</v>
      </c>
      <c r="AD105" s="485" t="s">
        <v>309</v>
      </c>
      <c r="AE105" s="485" t="s">
        <v>309</v>
      </c>
      <c r="AF105" s="485" t="s">
        <v>309</v>
      </c>
      <c r="AG105" s="485" t="s">
        <v>309</v>
      </c>
      <c r="AH105" s="485" t="s">
        <v>309</v>
      </c>
      <c r="AI105" s="485" t="s">
        <v>309</v>
      </c>
      <c r="AJ105" s="485" t="s">
        <v>309</v>
      </c>
      <c r="AK105" s="485" t="s">
        <v>309</v>
      </c>
      <c r="AL105" s="487">
        <f t="shared" si="10"/>
        <v>4</v>
      </c>
      <c r="AM105" s="488">
        <f t="shared" si="6"/>
        <v>2</v>
      </c>
      <c r="AN105" s="488">
        <f t="shared" si="7"/>
        <v>0</v>
      </c>
      <c r="AO105" s="488">
        <f t="shared" si="11"/>
        <v>6</v>
      </c>
      <c r="AP105" s="489">
        <f t="shared" si="9"/>
        <v>4</v>
      </c>
    </row>
    <row r="106" spans="1:44" s="491" customFormat="1" ht="12" customHeight="1">
      <c r="A106" s="302">
        <f t="shared" si="8"/>
        <v>103</v>
      </c>
      <c r="B106" s="300">
        <v>120321557</v>
      </c>
      <c r="C106" s="301" t="s">
        <v>320</v>
      </c>
      <c r="D106" s="300" t="s">
        <v>160</v>
      </c>
      <c r="E106" s="301" t="s">
        <v>292</v>
      </c>
      <c r="F106" s="301" t="s">
        <v>110</v>
      </c>
      <c r="G106" s="485"/>
      <c r="H106" s="485"/>
      <c r="I106" s="485"/>
      <c r="J106" s="485" t="s">
        <v>296</v>
      </c>
      <c r="K106" s="485" t="s">
        <v>296</v>
      </c>
      <c r="L106" s="485" t="s">
        <v>305</v>
      </c>
      <c r="M106" s="485" t="s">
        <v>305</v>
      </c>
      <c r="N106" s="485" t="s">
        <v>305</v>
      </c>
      <c r="O106" s="485" t="s">
        <v>305</v>
      </c>
      <c r="P106" s="485" t="s">
        <v>305</v>
      </c>
      <c r="Q106" s="485" t="s">
        <v>305</v>
      </c>
      <c r="R106" s="485" t="s">
        <v>305</v>
      </c>
      <c r="S106" s="485" t="s">
        <v>305</v>
      </c>
      <c r="T106" s="485" t="s">
        <v>305</v>
      </c>
      <c r="U106" s="485" t="s">
        <v>305</v>
      </c>
      <c r="V106" s="485" t="s">
        <v>309</v>
      </c>
      <c r="W106" s="485" t="s">
        <v>309</v>
      </c>
      <c r="X106" s="485" t="s">
        <v>309</v>
      </c>
      <c r="Y106" s="485" t="s">
        <v>309</v>
      </c>
      <c r="Z106" s="485" t="s">
        <v>309</v>
      </c>
      <c r="AA106" s="485" t="s">
        <v>309</v>
      </c>
      <c r="AB106" s="485" t="s">
        <v>309</v>
      </c>
      <c r="AC106" s="485" t="s">
        <v>309</v>
      </c>
      <c r="AD106" s="485" t="s">
        <v>309</v>
      </c>
      <c r="AE106" s="485" t="s">
        <v>309</v>
      </c>
      <c r="AF106" s="485" t="s">
        <v>309</v>
      </c>
      <c r="AG106" s="485" t="s">
        <v>309</v>
      </c>
      <c r="AH106" s="485" t="s">
        <v>309</v>
      </c>
      <c r="AI106" s="485" t="s">
        <v>309</v>
      </c>
      <c r="AJ106" s="485" t="s">
        <v>309</v>
      </c>
      <c r="AK106" s="485" t="s">
        <v>309</v>
      </c>
      <c r="AL106" s="487">
        <f t="shared" si="10"/>
        <v>2</v>
      </c>
      <c r="AM106" s="488">
        <f t="shared" si="6"/>
        <v>10</v>
      </c>
      <c r="AN106" s="488">
        <f t="shared" si="7"/>
        <v>0</v>
      </c>
      <c r="AO106" s="488">
        <f t="shared" si="11"/>
        <v>12</v>
      </c>
      <c r="AP106" s="489">
        <f t="shared" si="9"/>
        <v>2</v>
      </c>
      <c r="AQ106" s="463"/>
      <c r="AR106" s="463"/>
    </row>
    <row r="107" spans="1:44" ht="12" customHeight="1">
      <c r="A107" s="302">
        <f t="shared" si="8"/>
        <v>104</v>
      </c>
      <c r="B107" s="300" t="s">
        <v>321</v>
      </c>
      <c r="C107" s="301" t="s">
        <v>322</v>
      </c>
      <c r="D107" s="300" t="s">
        <v>32</v>
      </c>
      <c r="E107" s="301" t="s">
        <v>292</v>
      </c>
      <c r="F107" s="301" t="s">
        <v>110</v>
      </c>
      <c r="G107" s="485" t="s">
        <v>305</v>
      </c>
      <c r="H107" s="485" t="s">
        <v>305</v>
      </c>
      <c r="I107" s="485" t="s">
        <v>309</v>
      </c>
      <c r="J107" s="485" t="s">
        <v>309</v>
      </c>
      <c r="K107" s="485" t="s">
        <v>309</v>
      </c>
      <c r="L107" s="485" t="s">
        <v>309</v>
      </c>
      <c r="M107" s="485" t="s">
        <v>309</v>
      </c>
      <c r="N107" s="485" t="s">
        <v>309</v>
      </c>
      <c r="O107" s="485" t="s">
        <v>309</v>
      </c>
      <c r="P107" s="485" t="s">
        <v>309</v>
      </c>
      <c r="Q107" s="485" t="s">
        <v>309</v>
      </c>
      <c r="R107" s="485" t="s">
        <v>309</v>
      </c>
      <c r="S107" s="485" t="s">
        <v>309</v>
      </c>
      <c r="T107" s="485" t="s">
        <v>309</v>
      </c>
      <c r="U107" s="485" t="s">
        <v>309</v>
      </c>
      <c r="V107" s="485" t="s">
        <v>309</v>
      </c>
      <c r="W107" s="485" t="s">
        <v>309</v>
      </c>
      <c r="X107" s="485" t="s">
        <v>309</v>
      </c>
      <c r="Y107" s="485" t="s">
        <v>309</v>
      </c>
      <c r="Z107" s="485" t="s">
        <v>309</v>
      </c>
      <c r="AA107" s="485" t="s">
        <v>309</v>
      </c>
      <c r="AB107" s="485" t="s">
        <v>309</v>
      </c>
      <c r="AC107" s="485" t="s">
        <v>309</v>
      </c>
      <c r="AD107" s="485" t="s">
        <v>309</v>
      </c>
      <c r="AE107" s="485" t="s">
        <v>309</v>
      </c>
      <c r="AF107" s="485" t="s">
        <v>309</v>
      </c>
      <c r="AG107" s="485" t="s">
        <v>309</v>
      </c>
      <c r="AH107" s="485" t="s">
        <v>309</v>
      </c>
      <c r="AI107" s="485" t="s">
        <v>309</v>
      </c>
      <c r="AJ107" s="485" t="s">
        <v>309</v>
      </c>
      <c r="AK107" s="485" t="s">
        <v>309</v>
      </c>
      <c r="AL107" s="487">
        <f t="shared" si="10"/>
        <v>0</v>
      </c>
      <c r="AM107" s="488">
        <f t="shared" si="6"/>
        <v>2</v>
      </c>
      <c r="AN107" s="488">
        <f t="shared" si="7"/>
        <v>0</v>
      </c>
      <c r="AO107" s="488">
        <f t="shared" si="11"/>
        <v>2</v>
      </c>
      <c r="AP107" s="489">
        <f t="shared" si="9"/>
        <v>0</v>
      </c>
    </row>
    <row r="108" spans="1:44" ht="12" customHeight="1">
      <c r="A108" s="302">
        <f t="shared" si="8"/>
        <v>105</v>
      </c>
      <c r="B108" s="300" t="s">
        <v>323</v>
      </c>
      <c r="C108" s="301" t="s">
        <v>324</v>
      </c>
      <c r="D108" s="300" t="s">
        <v>160</v>
      </c>
      <c r="E108" s="301" t="s">
        <v>292</v>
      </c>
      <c r="F108" s="301" t="s">
        <v>86</v>
      </c>
      <c r="G108" s="485" t="s">
        <v>294</v>
      </c>
      <c r="H108" s="485" t="s">
        <v>294</v>
      </c>
      <c r="I108" s="485" t="s">
        <v>305</v>
      </c>
      <c r="J108" s="485" t="s">
        <v>305</v>
      </c>
      <c r="K108" s="485" t="s">
        <v>305</v>
      </c>
      <c r="L108" s="485" t="s">
        <v>305</v>
      </c>
      <c r="M108" s="485" t="s">
        <v>305</v>
      </c>
      <c r="N108" s="485" t="s">
        <v>305</v>
      </c>
      <c r="O108" s="485" t="s">
        <v>305</v>
      </c>
      <c r="P108" s="485" t="s">
        <v>305</v>
      </c>
      <c r="Q108" s="485" t="s">
        <v>305</v>
      </c>
      <c r="R108" s="485" t="s">
        <v>305</v>
      </c>
      <c r="S108" s="485" t="s">
        <v>309</v>
      </c>
      <c r="T108" s="485" t="s">
        <v>309</v>
      </c>
      <c r="U108" s="485" t="s">
        <v>309</v>
      </c>
      <c r="V108" s="485" t="s">
        <v>309</v>
      </c>
      <c r="W108" s="485" t="s">
        <v>309</v>
      </c>
      <c r="X108" s="485" t="s">
        <v>309</v>
      </c>
      <c r="Y108" s="485" t="s">
        <v>309</v>
      </c>
      <c r="Z108" s="485" t="s">
        <v>309</v>
      </c>
      <c r="AA108" s="485" t="s">
        <v>309</v>
      </c>
      <c r="AB108" s="485" t="s">
        <v>309</v>
      </c>
      <c r="AC108" s="485" t="s">
        <v>309</v>
      </c>
      <c r="AD108" s="485" t="s">
        <v>309</v>
      </c>
      <c r="AE108" s="485" t="s">
        <v>309</v>
      </c>
      <c r="AF108" s="485" t="s">
        <v>309</v>
      </c>
      <c r="AG108" s="485" t="s">
        <v>309</v>
      </c>
      <c r="AH108" s="485" t="s">
        <v>309</v>
      </c>
      <c r="AI108" s="485" t="s">
        <v>309</v>
      </c>
      <c r="AJ108" s="485" t="s">
        <v>309</v>
      </c>
      <c r="AK108" s="485" t="s">
        <v>309</v>
      </c>
      <c r="AL108" s="487">
        <f t="shared" si="10"/>
        <v>0</v>
      </c>
      <c r="AM108" s="488">
        <f t="shared" si="6"/>
        <v>10</v>
      </c>
      <c r="AN108" s="488">
        <f t="shared" si="7"/>
        <v>0</v>
      </c>
      <c r="AO108" s="488">
        <f t="shared" si="11"/>
        <v>10</v>
      </c>
      <c r="AP108" s="489">
        <f t="shared" si="9"/>
        <v>0</v>
      </c>
      <c r="AQ108" s="491"/>
      <c r="AR108" s="491"/>
    </row>
    <row r="109" spans="1:44" s="491" customFormat="1" ht="12" customHeight="1">
      <c r="A109" s="302">
        <f t="shared" si="8"/>
        <v>106</v>
      </c>
      <c r="B109" s="300" t="s">
        <v>325</v>
      </c>
      <c r="C109" s="301" t="s">
        <v>326</v>
      </c>
      <c r="D109" s="300" t="s">
        <v>32</v>
      </c>
      <c r="E109" s="301" t="s">
        <v>292</v>
      </c>
      <c r="F109" s="301" t="s">
        <v>86</v>
      </c>
      <c r="G109" s="485" t="s">
        <v>305</v>
      </c>
      <c r="H109" s="485" t="s">
        <v>305</v>
      </c>
      <c r="I109" s="485" t="s">
        <v>309</v>
      </c>
      <c r="J109" s="485" t="s">
        <v>309</v>
      </c>
      <c r="K109" s="485" t="s">
        <v>309</v>
      </c>
      <c r="L109" s="485" t="s">
        <v>309</v>
      </c>
      <c r="M109" s="485" t="s">
        <v>309</v>
      </c>
      <c r="N109" s="485" t="s">
        <v>309</v>
      </c>
      <c r="O109" s="485" t="s">
        <v>309</v>
      </c>
      <c r="P109" s="485" t="s">
        <v>309</v>
      </c>
      <c r="Q109" s="485" t="s">
        <v>309</v>
      </c>
      <c r="R109" s="485" t="s">
        <v>309</v>
      </c>
      <c r="S109" s="485" t="s">
        <v>309</v>
      </c>
      <c r="T109" s="485" t="s">
        <v>309</v>
      </c>
      <c r="U109" s="485" t="s">
        <v>309</v>
      </c>
      <c r="V109" s="485" t="s">
        <v>309</v>
      </c>
      <c r="W109" s="485" t="s">
        <v>309</v>
      </c>
      <c r="X109" s="485" t="s">
        <v>309</v>
      </c>
      <c r="Y109" s="485" t="s">
        <v>309</v>
      </c>
      <c r="Z109" s="485" t="s">
        <v>309</v>
      </c>
      <c r="AA109" s="485" t="s">
        <v>309</v>
      </c>
      <c r="AB109" s="485" t="s">
        <v>309</v>
      </c>
      <c r="AC109" s="485" t="s">
        <v>309</v>
      </c>
      <c r="AD109" s="485" t="s">
        <v>309</v>
      </c>
      <c r="AE109" s="485" t="s">
        <v>309</v>
      </c>
      <c r="AF109" s="485" t="s">
        <v>309</v>
      </c>
      <c r="AG109" s="485" t="s">
        <v>309</v>
      </c>
      <c r="AH109" s="485" t="s">
        <v>309</v>
      </c>
      <c r="AI109" s="485" t="s">
        <v>309</v>
      </c>
      <c r="AJ109" s="485" t="s">
        <v>309</v>
      </c>
      <c r="AK109" s="485" t="s">
        <v>309</v>
      </c>
      <c r="AL109" s="487">
        <f t="shared" si="10"/>
        <v>0</v>
      </c>
      <c r="AM109" s="488">
        <f t="shared" si="6"/>
        <v>2</v>
      </c>
      <c r="AN109" s="488">
        <f t="shared" si="7"/>
        <v>0</v>
      </c>
      <c r="AO109" s="488">
        <f t="shared" si="11"/>
        <v>2</v>
      </c>
      <c r="AP109" s="489">
        <f t="shared" si="9"/>
        <v>0</v>
      </c>
      <c r="AQ109" s="463"/>
      <c r="AR109" s="463"/>
    </row>
    <row r="110" spans="1:44" ht="12" customHeight="1">
      <c r="A110" s="302">
        <f t="shared" si="8"/>
        <v>107</v>
      </c>
      <c r="B110" s="300" t="s">
        <v>327</v>
      </c>
      <c r="C110" s="301" t="s">
        <v>328</v>
      </c>
      <c r="D110" s="300" t="s">
        <v>32</v>
      </c>
      <c r="E110" s="301" t="s">
        <v>292</v>
      </c>
      <c r="F110" s="301" t="s">
        <v>142</v>
      </c>
      <c r="G110" s="485" t="s">
        <v>305</v>
      </c>
      <c r="H110" s="485" t="s">
        <v>305</v>
      </c>
      <c r="I110" s="485" t="s">
        <v>309</v>
      </c>
      <c r="J110" s="485" t="s">
        <v>309</v>
      </c>
      <c r="K110" s="485" t="s">
        <v>309</v>
      </c>
      <c r="L110" s="485" t="s">
        <v>309</v>
      </c>
      <c r="M110" s="485" t="s">
        <v>309</v>
      </c>
      <c r="N110" s="485" t="s">
        <v>309</v>
      </c>
      <c r="O110" s="485" t="s">
        <v>309</v>
      </c>
      <c r="P110" s="485" t="s">
        <v>309</v>
      </c>
      <c r="Q110" s="485" t="s">
        <v>309</v>
      </c>
      <c r="R110" s="485" t="s">
        <v>309</v>
      </c>
      <c r="S110" s="485" t="s">
        <v>309</v>
      </c>
      <c r="T110" s="485" t="s">
        <v>309</v>
      </c>
      <c r="U110" s="485" t="s">
        <v>309</v>
      </c>
      <c r="V110" s="485" t="s">
        <v>309</v>
      </c>
      <c r="W110" s="485" t="s">
        <v>309</v>
      </c>
      <c r="X110" s="485" t="s">
        <v>309</v>
      </c>
      <c r="Y110" s="485" t="s">
        <v>309</v>
      </c>
      <c r="Z110" s="485" t="s">
        <v>309</v>
      </c>
      <c r="AA110" s="485" t="s">
        <v>309</v>
      </c>
      <c r="AB110" s="485" t="s">
        <v>309</v>
      </c>
      <c r="AC110" s="485" t="s">
        <v>309</v>
      </c>
      <c r="AD110" s="485" t="s">
        <v>309</v>
      </c>
      <c r="AE110" s="485" t="s">
        <v>309</v>
      </c>
      <c r="AF110" s="485" t="s">
        <v>309</v>
      </c>
      <c r="AG110" s="485" t="s">
        <v>309</v>
      </c>
      <c r="AH110" s="485" t="s">
        <v>309</v>
      </c>
      <c r="AI110" s="485" t="s">
        <v>309</v>
      </c>
      <c r="AJ110" s="485" t="s">
        <v>309</v>
      </c>
      <c r="AK110" s="485" t="s">
        <v>309</v>
      </c>
      <c r="AL110" s="487">
        <f t="shared" si="10"/>
        <v>0</v>
      </c>
      <c r="AM110" s="488">
        <f t="shared" si="6"/>
        <v>2</v>
      </c>
      <c r="AN110" s="488">
        <f t="shared" si="7"/>
        <v>0</v>
      </c>
      <c r="AO110" s="488">
        <f t="shared" si="11"/>
        <v>2</v>
      </c>
      <c r="AP110" s="489">
        <f t="shared" si="9"/>
        <v>0</v>
      </c>
    </row>
    <row r="111" spans="1:44" ht="12" customHeight="1">
      <c r="A111" s="302">
        <f t="shared" si="8"/>
        <v>108</v>
      </c>
      <c r="B111" s="300" t="s">
        <v>329</v>
      </c>
      <c r="C111" s="301" t="s">
        <v>330</v>
      </c>
      <c r="D111" s="300" t="s">
        <v>32</v>
      </c>
      <c r="E111" s="301" t="s">
        <v>292</v>
      </c>
      <c r="F111" s="301" t="s">
        <v>86</v>
      </c>
      <c r="G111" s="485" t="s">
        <v>305</v>
      </c>
      <c r="H111" s="485" t="s">
        <v>305</v>
      </c>
      <c r="I111" s="485" t="s">
        <v>309</v>
      </c>
      <c r="J111" s="485" t="s">
        <v>309</v>
      </c>
      <c r="K111" s="485" t="s">
        <v>309</v>
      </c>
      <c r="L111" s="485" t="s">
        <v>309</v>
      </c>
      <c r="M111" s="485" t="s">
        <v>309</v>
      </c>
      <c r="N111" s="485" t="s">
        <v>309</v>
      </c>
      <c r="O111" s="485" t="s">
        <v>309</v>
      </c>
      <c r="P111" s="485" t="s">
        <v>309</v>
      </c>
      <c r="Q111" s="485" t="s">
        <v>309</v>
      </c>
      <c r="R111" s="485" t="s">
        <v>309</v>
      </c>
      <c r="S111" s="485" t="s">
        <v>309</v>
      </c>
      <c r="T111" s="485" t="s">
        <v>309</v>
      </c>
      <c r="U111" s="485" t="s">
        <v>309</v>
      </c>
      <c r="V111" s="485" t="s">
        <v>309</v>
      </c>
      <c r="W111" s="485" t="s">
        <v>309</v>
      </c>
      <c r="X111" s="485" t="s">
        <v>309</v>
      </c>
      <c r="Y111" s="485" t="s">
        <v>309</v>
      </c>
      <c r="Z111" s="485" t="s">
        <v>309</v>
      </c>
      <c r="AA111" s="485" t="s">
        <v>309</v>
      </c>
      <c r="AB111" s="485" t="s">
        <v>309</v>
      </c>
      <c r="AC111" s="485" t="s">
        <v>309</v>
      </c>
      <c r="AD111" s="485" t="s">
        <v>309</v>
      </c>
      <c r="AE111" s="485" t="s">
        <v>309</v>
      </c>
      <c r="AF111" s="485" t="s">
        <v>309</v>
      </c>
      <c r="AG111" s="485" t="s">
        <v>309</v>
      </c>
      <c r="AH111" s="485" t="s">
        <v>309</v>
      </c>
      <c r="AI111" s="485" t="s">
        <v>309</v>
      </c>
      <c r="AJ111" s="485" t="s">
        <v>309</v>
      </c>
      <c r="AK111" s="485" t="s">
        <v>309</v>
      </c>
      <c r="AL111" s="487">
        <f t="shared" si="10"/>
        <v>0</v>
      </c>
      <c r="AM111" s="488">
        <f t="shared" si="6"/>
        <v>2</v>
      </c>
      <c r="AN111" s="488">
        <f t="shared" si="7"/>
        <v>0</v>
      </c>
      <c r="AO111" s="488">
        <f t="shared" si="11"/>
        <v>2</v>
      </c>
      <c r="AP111" s="489">
        <f t="shared" si="9"/>
        <v>0</v>
      </c>
    </row>
    <row r="112" spans="1:44" ht="12" customHeight="1">
      <c r="A112" s="302">
        <f t="shared" si="8"/>
        <v>109</v>
      </c>
      <c r="B112" s="300" t="s">
        <v>331</v>
      </c>
      <c r="C112" s="301" t="s">
        <v>332</v>
      </c>
      <c r="D112" s="300" t="s">
        <v>32</v>
      </c>
      <c r="E112" s="301" t="s">
        <v>292</v>
      </c>
      <c r="F112" s="301" t="s">
        <v>110</v>
      </c>
      <c r="G112" s="485" t="s">
        <v>305</v>
      </c>
      <c r="H112" s="485" t="s">
        <v>305</v>
      </c>
      <c r="I112" s="485" t="s">
        <v>309</v>
      </c>
      <c r="J112" s="485" t="s">
        <v>309</v>
      </c>
      <c r="K112" s="485" t="s">
        <v>309</v>
      </c>
      <c r="L112" s="485" t="s">
        <v>309</v>
      </c>
      <c r="M112" s="485" t="s">
        <v>309</v>
      </c>
      <c r="N112" s="485" t="s">
        <v>309</v>
      </c>
      <c r="O112" s="485" t="s">
        <v>309</v>
      </c>
      <c r="P112" s="485" t="s">
        <v>309</v>
      </c>
      <c r="Q112" s="485" t="s">
        <v>309</v>
      </c>
      <c r="R112" s="485" t="s">
        <v>309</v>
      </c>
      <c r="S112" s="485" t="s">
        <v>309</v>
      </c>
      <c r="T112" s="485" t="s">
        <v>309</v>
      </c>
      <c r="U112" s="485" t="s">
        <v>309</v>
      </c>
      <c r="V112" s="485" t="s">
        <v>309</v>
      </c>
      <c r="W112" s="485" t="s">
        <v>309</v>
      </c>
      <c r="X112" s="485" t="s">
        <v>309</v>
      </c>
      <c r="Y112" s="485" t="s">
        <v>309</v>
      </c>
      <c r="Z112" s="485" t="s">
        <v>309</v>
      </c>
      <c r="AA112" s="485" t="s">
        <v>309</v>
      </c>
      <c r="AB112" s="485" t="s">
        <v>309</v>
      </c>
      <c r="AC112" s="485" t="s">
        <v>309</v>
      </c>
      <c r="AD112" s="485" t="s">
        <v>309</v>
      </c>
      <c r="AE112" s="485" t="s">
        <v>309</v>
      </c>
      <c r="AF112" s="485" t="s">
        <v>309</v>
      </c>
      <c r="AG112" s="485" t="s">
        <v>309</v>
      </c>
      <c r="AH112" s="485" t="s">
        <v>309</v>
      </c>
      <c r="AI112" s="485" t="s">
        <v>309</v>
      </c>
      <c r="AJ112" s="485" t="s">
        <v>309</v>
      </c>
      <c r="AK112" s="485" t="s">
        <v>309</v>
      </c>
      <c r="AL112" s="487">
        <f t="shared" si="10"/>
        <v>0</v>
      </c>
      <c r="AM112" s="488">
        <f t="shared" si="6"/>
        <v>2</v>
      </c>
      <c r="AN112" s="488">
        <f t="shared" si="7"/>
        <v>0</v>
      </c>
      <c r="AO112" s="488">
        <f t="shared" si="11"/>
        <v>2</v>
      </c>
      <c r="AP112" s="489">
        <f t="shared" si="9"/>
        <v>0</v>
      </c>
    </row>
    <row r="113" spans="1:42" ht="12" customHeight="1">
      <c r="A113" s="302">
        <f t="shared" si="8"/>
        <v>110</v>
      </c>
      <c r="B113" s="300" t="s">
        <v>333</v>
      </c>
      <c r="C113" s="301" t="s">
        <v>334</v>
      </c>
      <c r="D113" s="300" t="s">
        <v>160</v>
      </c>
      <c r="E113" s="301" t="s">
        <v>292</v>
      </c>
      <c r="F113" s="301" t="s">
        <v>102</v>
      </c>
      <c r="G113" s="485" t="s">
        <v>335</v>
      </c>
      <c r="H113" s="485" t="s">
        <v>335</v>
      </c>
      <c r="I113" s="485" t="s">
        <v>305</v>
      </c>
      <c r="J113" s="485" t="s">
        <v>305</v>
      </c>
      <c r="K113" s="485" t="s">
        <v>305</v>
      </c>
      <c r="L113" s="485" t="s">
        <v>305</v>
      </c>
      <c r="M113" s="485" t="s">
        <v>305</v>
      </c>
      <c r="N113" s="485" t="s">
        <v>305</v>
      </c>
      <c r="O113" s="485" t="s">
        <v>305</v>
      </c>
      <c r="P113" s="485" t="s">
        <v>305</v>
      </c>
      <c r="Q113" s="485" t="s">
        <v>305</v>
      </c>
      <c r="R113" s="485" t="s">
        <v>305</v>
      </c>
      <c r="S113" s="485" t="s">
        <v>309</v>
      </c>
      <c r="T113" s="485" t="s">
        <v>309</v>
      </c>
      <c r="U113" s="485" t="s">
        <v>309</v>
      </c>
      <c r="V113" s="485" t="s">
        <v>309</v>
      </c>
      <c r="W113" s="485" t="s">
        <v>309</v>
      </c>
      <c r="X113" s="485" t="s">
        <v>309</v>
      </c>
      <c r="Y113" s="485" t="s">
        <v>309</v>
      </c>
      <c r="Z113" s="485" t="s">
        <v>309</v>
      </c>
      <c r="AA113" s="485" t="s">
        <v>309</v>
      </c>
      <c r="AB113" s="485" t="s">
        <v>309</v>
      </c>
      <c r="AC113" s="485" t="s">
        <v>309</v>
      </c>
      <c r="AD113" s="485" t="s">
        <v>309</v>
      </c>
      <c r="AE113" s="485" t="s">
        <v>309</v>
      </c>
      <c r="AF113" s="485" t="s">
        <v>309</v>
      </c>
      <c r="AG113" s="485" t="s">
        <v>309</v>
      </c>
      <c r="AH113" s="485" t="s">
        <v>309</v>
      </c>
      <c r="AI113" s="485" t="s">
        <v>309</v>
      </c>
      <c r="AJ113" s="485" t="s">
        <v>309</v>
      </c>
      <c r="AK113" s="485" t="s">
        <v>309</v>
      </c>
      <c r="AL113" s="487">
        <f t="shared" si="10"/>
        <v>0</v>
      </c>
      <c r="AM113" s="488">
        <f t="shared" si="6"/>
        <v>10</v>
      </c>
      <c r="AN113" s="488">
        <f t="shared" si="7"/>
        <v>0</v>
      </c>
      <c r="AO113" s="488">
        <f t="shared" si="11"/>
        <v>10</v>
      </c>
      <c r="AP113" s="489">
        <f t="shared" si="9"/>
        <v>0</v>
      </c>
    </row>
    <row r="114" spans="1:42" ht="12" customHeight="1">
      <c r="A114" s="302">
        <f t="shared" si="8"/>
        <v>111</v>
      </c>
      <c r="B114" s="300" t="s">
        <v>336</v>
      </c>
      <c r="C114" s="301" t="s">
        <v>337</v>
      </c>
      <c r="D114" s="300" t="s">
        <v>32</v>
      </c>
      <c r="E114" s="301" t="s">
        <v>292</v>
      </c>
      <c r="F114" s="301" t="s">
        <v>110</v>
      </c>
      <c r="G114" s="485" t="s">
        <v>305</v>
      </c>
      <c r="H114" s="485" t="s">
        <v>305</v>
      </c>
      <c r="I114" s="485" t="s">
        <v>309</v>
      </c>
      <c r="J114" s="485" t="s">
        <v>309</v>
      </c>
      <c r="K114" s="485" t="s">
        <v>309</v>
      </c>
      <c r="L114" s="485" t="s">
        <v>309</v>
      </c>
      <c r="M114" s="485" t="s">
        <v>309</v>
      </c>
      <c r="N114" s="485" t="s">
        <v>309</v>
      </c>
      <c r="O114" s="485" t="s">
        <v>309</v>
      </c>
      <c r="P114" s="485" t="s">
        <v>309</v>
      </c>
      <c r="Q114" s="485" t="s">
        <v>309</v>
      </c>
      <c r="R114" s="485" t="s">
        <v>309</v>
      </c>
      <c r="S114" s="485" t="s">
        <v>309</v>
      </c>
      <c r="T114" s="485" t="s">
        <v>309</v>
      </c>
      <c r="U114" s="485" t="s">
        <v>309</v>
      </c>
      <c r="V114" s="485" t="s">
        <v>309</v>
      </c>
      <c r="W114" s="485" t="s">
        <v>309</v>
      </c>
      <c r="X114" s="485" t="s">
        <v>309</v>
      </c>
      <c r="Y114" s="485" t="s">
        <v>309</v>
      </c>
      <c r="Z114" s="485" t="s">
        <v>309</v>
      </c>
      <c r="AA114" s="485" t="s">
        <v>309</v>
      </c>
      <c r="AB114" s="485" t="s">
        <v>309</v>
      </c>
      <c r="AC114" s="485" t="s">
        <v>309</v>
      </c>
      <c r="AD114" s="485" t="s">
        <v>309</v>
      </c>
      <c r="AE114" s="485" t="s">
        <v>309</v>
      </c>
      <c r="AF114" s="485" t="s">
        <v>309</v>
      </c>
      <c r="AG114" s="485" t="s">
        <v>309</v>
      </c>
      <c r="AH114" s="485" t="s">
        <v>309</v>
      </c>
      <c r="AI114" s="485" t="s">
        <v>309</v>
      </c>
      <c r="AJ114" s="485" t="s">
        <v>309</v>
      </c>
      <c r="AK114" s="485" t="s">
        <v>309</v>
      </c>
      <c r="AL114" s="487">
        <f t="shared" si="10"/>
        <v>0</v>
      </c>
      <c r="AM114" s="488">
        <f t="shared" si="6"/>
        <v>2</v>
      </c>
      <c r="AN114" s="488">
        <f t="shared" si="7"/>
        <v>0</v>
      </c>
      <c r="AO114" s="488">
        <f t="shared" si="11"/>
        <v>2</v>
      </c>
      <c r="AP114" s="489">
        <f t="shared" si="9"/>
        <v>0</v>
      </c>
    </row>
    <row r="115" spans="1:42" s="491" customFormat="1" ht="12" customHeight="1">
      <c r="A115" s="302">
        <f t="shared" si="8"/>
        <v>112</v>
      </c>
      <c r="B115" s="300" t="s">
        <v>338</v>
      </c>
      <c r="C115" s="301" t="s">
        <v>339</v>
      </c>
      <c r="D115" s="300" t="s">
        <v>32</v>
      </c>
      <c r="E115" s="301" t="s">
        <v>292</v>
      </c>
      <c r="F115" s="301" t="s">
        <v>308</v>
      </c>
      <c r="G115" s="485" t="s">
        <v>305</v>
      </c>
      <c r="H115" s="485" t="s">
        <v>305</v>
      </c>
      <c r="I115" s="485" t="s">
        <v>309</v>
      </c>
      <c r="J115" s="485" t="s">
        <v>309</v>
      </c>
      <c r="K115" s="485" t="s">
        <v>309</v>
      </c>
      <c r="L115" s="485" t="s">
        <v>309</v>
      </c>
      <c r="M115" s="485" t="s">
        <v>309</v>
      </c>
      <c r="N115" s="485" t="s">
        <v>309</v>
      </c>
      <c r="O115" s="485" t="s">
        <v>309</v>
      </c>
      <c r="P115" s="485" t="s">
        <v>309</v>
      </c>
      <c r="Q115" s="485" t="s">
        <v>309</v>
      </c>
      <c r="R115" s="485" t="s">
        <v>309</v>
      </c>
      <c r="S115" s="485" t="s">
        <v>309</v>
      </c>
      <c r="T115" s="485" t="s">
        <v>309</v>
      </c>
      <c r="U115" s="485" t="s">
        <v>309</v>
      </c>
      <c r="V115" s="485" t="s">
        <v>309</v>
      </c>
      <c r="W115" s="485" t="s">
        <v>309</v>
      </c>
      <c r="X115" s="485" t="s">
        <v>309</v>
      </c>
      <c r="Y115" s="485" t="s">
        <v>309</v>
      </c>
      <c r="Z115" s="485" t="s">
        <v>309</v>
      </c>
      <c r="AA115" s="485" t="s">
        <v>309</v>
      </c>
      <c r="AB115" s="485" t="s">
        <v>309</v>
      </c>
      <c r="AC115" s="485" t="s">
        <v>309</v>
      </c>
      <c r="AD115" s="485" t="s">
        <v>309</v>
      </c>
      <c r="AE115" s="485" t="s">
        <v>309</v>
      </c>
      <c r="AF115" s="485" t="s">
        <v>309</v>
      </c>
      <c r="AG115" s="485" t="s">
        <v>309</v>
      </c>
      <c r="AH115" s="485" t="s">
        <v>309</v>
      </c>
      <c r="AI115" s="485" t="s">
        <v>309</v>
      </c>
      <c r="AJ115" s="485" t="s">
        <v>309</v>
      </c>
      <c r="AK115" s="485" t="s">
        <v>309</v>
      </c>
      <c r="AL115" s="487">
        <f t="shared" si="10"/>
        <v>0</v>
      </c>
      <c r="AM115" s="488">
        <f t="shared" si="6"/>
        <v>2</v>
      </c>
      <c r="AN115" s="488">
        <f t="shared" si="7"/>
        <v>0</v>
      </c>
      <c r="AO115" s="488">
        <f t="shared" si="11"/>
        <v>2</v>
      </c>
      <c r="AP115" s="489">
        <f t="shared" si="9"/>
        <v>0</v>
      </c>
    </row>
    <row r="116" spans="1:42" ht="12" customHeight="1">
      <c r="A116" s="302">
        <f t="shared" si="8"/>
        <v>113</v>
      </c>
      <c r="B116" s="300" t="s">
        <v>340</v>
      </c>
      <c r="C116" s="301" t="s">
        <v>341</v>
      </c>
      <c r="D116" s="300" t="s">
        <v>32</v>
      </c>
      <c r="E116" s="301" t="s">
        <v>292</v>
      </c>
      <c r="F116" s="301" t="s">
        <v>142</v>
      </c>
      <c r="G116" s="485" t="s">
        <v>305</v>
      </c>
      <c r="H116" s="485" t="s">
        <v>305</v>
      </c>
      <c r="I116" s="485" t="s">
        <v>309</v>
      </c>
      <c r="J116" s="485" t="s">
        <v>309</v>
      </c>
      <c r="K116" s="485" t="s">
        <v>309</v>
      </c>
      <c r="L116" s="485" t="s">
        <v>309</v>
      </c>
      <c r="M116" s="485" t="s">
        <v>309</v>
      </c>
      <c r="N116" s="485" t="s">
        <v>309</v>
      </c>
      <c r="O116" s="485" t="s">
        <v>309</v>
      </c>
      <c r="P116" s="485" t="s">
        <v>309</v>
      </c>
      <c r="Q116" s="485" t="s">
        <v>309</v>
      </c>
      <c r="R116" s="485" t="s">
        <v>309</v>
      </c>
      <c r="S116" s="485" t="s">
        <v>309</v>
      </c>
      <c r="T116" s="485" t="s">
        <v>309</v>
      </c>
      <c r="U116" s="485" t="s">
        <v>309</v>
      </c>
      <c r="V116" s="485" t="s">
        <v>309</v>
      </c>
      <c r="W116" s="485" t="s">
        <v>309</v>
      </c>
      <c r="X116" s="485" t="s">
        <v>309</v>
      </c>
      <c r="Y116" s="485" t="s">
        <v>309</v>
      </c>
      <c r="Z116" s="485" t="s">
        <v>309</v>
      </c>
      <c r="AA116" s="485" t="s">
        <v>309</v>
      </c>
      <c r="AB116" s="485" t="s">
        <v>309</v>
      </c>
      <c r="AC116" s="485" t="s">
        <v>309</v>
      </c>
      <c r="AD116" s="485" t="s">
        <v>309</v>
      </c>
      <c r="AE116" s="485" t="s">
        <v>309</v>
      </c>
      <c r="AF116" s="485" t="s">
        <v>309</v>
      </c>
      <c r="AG116" s="485" t="s">
        <v>309</v>
      </c>
      <c r="AH116" s="485" t="s">
        <v>309</v>
      </c>
      <c r="AI116" s="485" t="s">
        <v>309</v>
      </c>
      <c r="AJ116" s="485" t="s">
        <v>309</v>
      </c>
      <c r="AK116" s="485" t="s">
        <v>309</v>
      </c>
      <c r="AL116" s="487">
        <f t="shared" si="10"/>
        <v>0</v>
      </c>
      <c r="AM116" s="488">
        <f t="shared" si="6"/>
        <v>2</v>
      </c>
      <c r="AN116" s="488">
        <f t="shared" si="7"/>
        <v>0</v>
      </c>
      <c r="AO116" s="488">
        <f t="shared" si="11"/>
        <v>2</v>
      </c>
      <c r="AP116" s="489">
        <f t="shared" si="9"/>
        <v>0</v>
      </c>
    </row>
    <row r="117" spans="1:42" ht="12" customHeight="1">
      <c r="A117" s="302">
        <f t="shared" si="8"/>
        <v>114</v>
      </c>
      <c r="B117" s="300" t="s">
        <v>206</v>
      </c>
      <c r="C117" s="301" t="s">
        <v>207</v>
      </c>
      <c r="D117" s="300" t="s">
        <v>160</v>
      </c>
      <c r="E117" s="301" t="s">
        <v>292</v>
      </c>
      <c r="F117" s="301" t="s">
        <v>38</v>
      </c>
      <c r="G117" s="485" t="s">
        <v>307</v>
      </c>
      <c r="H117" s="485" t="s">
        <v>307</v>
      </c>
      <c r="I117" s="485" t="s">
        <v>305</v>
      </c>
      <c r="J117" s="485" t="s">
        <v>305</v>
      </c>
      <c r="K117" s="485" t="s">
        <v>305</v>
      </c>
      <c r="L117" s="485" t="s">
        <v>305</v>
      </c>
      <c r="M117" s="485" t="s">
        <v>305</v>
      </c>
      <c r="N117" s="485" t="s">
        <v>305</v>
      </c>
      <c r="O117" s="485" t="s">
        <v>305</v>
      </c>
      <c r="P117" s="485" t="s">
        <v>305</v>
      </c>
      <c r="Q117" s="485" t="s">
        <v>305</v>
      </c>
      <c r="R117" s="485" t="s">
        <v>305</v>
      </c>
      <c r="S117" s="485" t="s">
        <v>309</v>
      </c>
      <c r="T117" s="485" t="s">
        <v>309</v>
      </c>
      <c r="U117" s="485" t="s">
        <v>309</v>
      </c>
      <c r="V117" s="485" t="s">
        <v>309</v>
      </c>
      <c r="W117" s="485" t="s">
        <v>309</v>
      </c>
      <c r="X117" s="485" t="s">
        <v>309</v>
      </c>
      <c r="Y117" s="485" t="s">
        <v>309</v>
      </c>
      <c r="Z117" s="485" t="s">
        <v>309</v>
      </c>
      <c r="AA117" s="485" t="s">
        <v>309</v>
      </c>
      <c r="AB117" s="485" t="s">
        <v>309</v>
      </c>
      <c r="AC117" s="485" t="s">
        <v>309</v>
      </c>
      <c r="AD117" s="485" t="s">
        <v>309</v>
      </c>
      <c r="AE117" s="485" t="s">
        <v>309</v>
      </c>
      <c r="AF117" s="485" t="s">
        <v>309</v>
      </c>
      <c r="AG117" s="485" t="s">
        <v>309</v>
      </c>
      <c r="AH117" s="485" t="s">
        <v>309</v>
      </c>
      <c r="AI117" s="485" t="s">
        <v>309</v>
      </c>
      <c r="AJ117" s="485" t="s">
        <v>309</v>
      </c>
      <c r="AK117" s="485" t="s">
        <v>309</v>
      </c>
      <c r="AL117" s="487">
        <f t="shared" si="10"/>
        <v>0</v>
      </c>
      <c r="AM117" s="488">
        <f t="shared" si="6"/>
        <v>10</v>
      </c>
      <c r="AN117" s="488">
        <f t="shared" si="7"/>
        <v>2</v>
      </c>
      <c r="AO117" s="488">
        <f t="shared" si="11"/>
        <v>12</v>
      </c>
      <c r="AP117" s="489">
        <f t="shared" si="9"/>
        <v>2</v>
      </c>
    </row>
    <row r="118" spans="1:42" ht="12" customHeight="1">
      <c r="A118" s="302">
        <f t="shared" si="8"/>
        <v>115</v>
      </c>
      <c r="B118" s="300" t="s">
        <v>216</v>
      </c>
      <c r="C118" s="301" t="s">
        <v>217</v>
      </c>
      <c r="D118" s="300" t="s">
        <v>160</v>
      </c>
      <c r="E118" s="301" t="s">
        <v>292</v>
      </c>
      <c r="F118" s="301" t="s">
        <v>86</v>
      </c>
      <c r="G118" s="485" t="s">
        <v>296</v>
      </c>
      <c r="H118" s="485" t="s">
        <v>296</v>
      </c>
      <c r="I118" s="485" t="s">
        <v>305</v>
      </c>
      <c r="J118" s="485" t="s">
        <v>305</v>
      </c>
      <c r="K118" s="485" t="s">
        <v>305</v>
      </c>
      <c r="L118" s="485" t="s">
        <v>305</v>
      </c>
      <c r="M118" s="485" t="s">
        <v>305</v>
      </c>
      <c r="N118" s="485" t="s">
        <v>305</v>
      </c>
      <c r="O118" s="485" t="s">
        <v>305</v>
      </c>
      <c r="P118" s="485" t="s">
        <v>305</v>
      </c>
      <c r="Q118" s="485" t="s">
        <v>305</v>
      </c>
      <c r="R118" s="485" t="s">
        <v>305</v>
      </c>
      <c r="S118" s="485" t="s">
        <v>309</v>
      </c>
      <c r="T118" s="485" t="s">
        <v>309</v>
      </c>
      <c r="U118" s="485" t="s">
        <v>309</v>
      </c>
      <c r="V118" s="485" t="s">
        <v>309</v>
      </c>
      <c r="W118" s="485" t="s">
        <v>309</v>
      </c>
      <c r="X118" s="485" t="s">
        <v>309</v>
      </c>
      <c r="Y118" s="485" t="s">
        <v>309</v>
      </c>
      <c r="Z118" s="485" t="s">
        <v>309</v>
      </c>
      <c r="AA118" s="485" t="s">
        <v>309</v>
      </c>
      <c r="AB118" s="485" t="s">
        <v>309</v>
      </c>
      <c r="AC118" s="485" t="s">
        <v>309</v>
      </c>
      <c r="AD118" s="485" t="s">
        <v>309</v>
      </c>
      <c r="AE118" s="485" t="s">
        <v>309</v>
      </c>
      <c r="AF118" s="485" t="s">
        <v>309</v>
      </c>
      <c r="AG118" s="485" t="s">
        <v>309</v>
      </c>
      <c r="AH118" s="485" t="s">
        <v>309</v>
      </c>
      <c r="AI118" s="485" t="s">
        <v>309</v>
      </c>
      <c r="AJ118" s="485" t="s">
        <v>309</v>
      </c>
      <c r="AK118" s="485" t="s">
        <v>309</v>
      </c>
      <c r="AL118" s="487">
        <f t="shared" si="10"/>
        <v>2</v>
      </c>
      <c r="AM118" s="488">
        <f t="shared" si="6"/>
        <v>10</v>
      </c>
      <c r="AN118" s="488">
        <f t="shared" si="7"/>
        <v>0</v>
      </c>
      <c r="AO118" s="488">
        <f t="shared" si="11"/>
        <v>12</v>
      </c>
      <c r="AP118" s="489">
        <f t="shared" si="9"/>
        <v>2</v>
      </c>
    </row>
    <row r="119" spans="1:42" ht="12" customHeight="1">
      <c r="A119" s="302">
        <f t="shared" si="8"/>
        <v>116</v>
      </c>
      <c r="B119" s="300" t="s">
        <v>342</v>
      </c>
      <c r="C119" s="301" t="s">
        <v>343</v>
      </c>
      <c r="D119" s="300" t="s">
        <v>32</v>
      </c>
      <c r="E119" s="301" t="s">
        <v>292</v>
      </c>
      <c r="F119" s="301" t="s">
        <v>308</v>
      </c>
      <c r="G119" s="485" t="s">
        <v>305</v>
      </c>
      <c r="H119" s="485" t="s">
        <v>305</v>
      </c>
      <c r="I119" s="485" t="s">
        <v>309</v>
      </c>
      <c r="J119" s="485" t="s">
        <v>309</v>
      </c>
      <c r="K119" s="485" t="s">
        <v>309</v>
      </c>
      <c r="L119" s="485" t="s">
        <v>309</v>
      </c>
      <c r="M119" s="485" t="s">
        <v>309</v>
      </c>
      <c r="N119" s="485" t="s">
        <v>309</v>
      </c>
      <c r="O119" s="485" t="s">
        <v>309</v>
      </c>
      <c r="P119" s="485" t="s">
        <v>309</v>
      </c>
      <c r="Q119" s="485" t="s">
        <v>309</v>
      </c>
      <c r="R119" s="485" t="s">
        <v>309</v>
      </c>
      <c r="S119" s="485" t="s">
        <v>309</v>
      </c>
      <c r="T119" s="485" t="s">
        <v>309</v>
      </c>
      <c r="U119" s="485" t="s">
        <v>309</v>
      </c>
      <c r="V119" s="485" t="s">
        <v>309</v>
      </c>
      <c r="W119" s="485" t="s">
        <v>309</v>
      </c>
      <c r="X119" s="485" t="s">
        <v>309</v>
      </c>
      <c r="Y119" s="485" t="s">
        <v>309</v>
      </c>
      <c r="Z119" s="485" t="s">
        <v>309</v>
      </c>
      <c r="AA119" s="485" t="s">
        <v>309</v>
      </c>
      <c r="AB119" s="485" t="s">
        <v>309</v>
      </c>
      <c r="AC119" s="485" t="s">
        <v>309</v>
      </c>
      <c r="AD119" s="485" t="s">
        <v>309</v>
      </c>
      <c r="AE119" s="485" t="s">
        <v>309</v>
      </c>
      <c r="AF119" s="485" t="s">
        <v>309</v>
      </c>
      <c r="AG119" s="485" t="s">
        <v>309</v>
      </c>
      <c r="AH119" s="485" t="s">
        <v>309</v>
      </c>
      <c r="AI119" s="485" t="s">
        <v>309</v>
      </c>
      <c r="AJ119" s="485" t="s">
        <v>309</v>
      </c>
      <c r="AK119" s="485" t="s">
        <v>309</v>
      </c>
      <c r="AL119" s="487">
        <f t="shared" si="10"/>
        <v>0</v>
      </c>
      <c r="AM119" s="488">
        <f t="shared" si="6"/>
        <v>2</v>
      </c>
      <c r="AN119" s="488">
        <f t="shared" si="7"/>
        <v>0</v>
      </c>
      <c r="AO119" s="488">
        <f t="shared" si="11"/>
        <v>2</v>
      </c>
      <c r="AP119" s="489">
        <f t="shared" si="9"/>
        <v>0</v>
      </c>
    </row>
    <row r="120" spans="1:42" s="491" customFormat="1" ht="12" customHeight="1">
      <c r="A120" s="302">
        <f t="shared" si="8"/>
        <v>117</v>
      </c>
      <c r="B120" s="300" t="s">
        <v>228</v>
      </c>
      <c r="C120" s="301" t="s">
        <v>229</v>
      </c>
      <c r="D120" s="300" t="s">
        <v>160</v>
      </c>
      <c r="E120" s="301" t="s">
        <v>292</v>
      </c>
      <c r="F120" s="301" t="s">
        <v>86</v>
      </c>
      <c r="G120" s="485" t="s">
        <v>307</v>
      </c>
      <c r="H120" s="485" t="s">
        <v>307</v>
      </c>
      <c r="I120" s="485" t="s">
        <v>305</v>
      </c>
      <c r="J120" s="485" t="s">
        <v>305</v>
      </c>
      <c r="K120" s="485" t="s">
        <v>305</v>
      </c>
      <c r="L120" s="485" t="s">
        <v>305</v>
      </c>
      <c r="M120" s="485" t="s">
        <v>305</v>
      </c>
      <c r="N120" s="485" t="s">
        <v>305</v>
      </c>
      <c r="O120" s="485" t="s">
        <v>305</v>
      </c>
      <c r="P120" s="485" t="s">
        <v>305</v>
      </c>
      <c r="Q120" s="485" t="s">
        <v>305</v>
      </c>
      <c r="R120" s="485" t="s">
        <v>305</v>
      </c>
      <c r="S120" s="485" t="s">
        <v>309</v>
      </c>
      <c r="T120" s="485" t="s">
        <v>309</v>
      </c>
      <c r="U120" s="485" t="s">
        <v>309</v>
      </c>
      <c r="V120" s="485" t="s">
        <v>309</v>
      </c>
      <c r="W120" s="485" t="s">
        <v>309</v>
      </c>
      <c r="X120" s="485" t="s">
        <v>309</v>
      </c>
      <c r="Y120" s="485" t="s">
        <v>309</v>
      </c>
      <c r="Z120" s="485" t="s">
        <v>309</v>
      </c>
      <c r="AA120" s="485" t="s">
        <v>309</v>
      </c>
      <c r="AB120" s="485" t="s">
        <v>309</v>
      </c>
      <c r="AC120" s="485" t="s">
        <v>309</v>
      </c>
      <c r="AD120" s="485" t="s">
        <v>309</v>
      </c>
      <c r="AE120" s="485" t="s">
        <v>309</v>
      </c>
      <c r="AF120" s="485" t="s">
        <v>309</v>
      </c>
      <c r="AG120" s="485" t="s">
        <v>309</v>
      </c>
      <c r="AH120" s="485" t="s">
        <v>309</v>
      </c>
      <c r="AI120" s="485" t="s">
        <v>309</v>
      </c>
      <c r="AJ120" s="485" t="s">
        <v>309</v>
      </c>
      <c r="AK120" s="485" t="s">
        <v>309</v>
      </c>
      <c r="AL120" s="487">
        <f t="shared" si="10"/>
        <v>0</v>
      </c>
      <c r="AM120" s="488">
        <f t="shared" si="6"/>
        <v>10</v>
      </c>
      <c r="AN120" s="488">
        <f t="shared" si="7"/>
        <v>2</v>
      </c>
      <c r="AO120" s="488">
        <f t="shared" si="11"/>
        <v>12</v>
      </c>
      <c r="AP120" s="489">
        <f t="shared" si="9"/>
        <v>2</v>
      </c>
    </row>
    <row r="121" spans="1:42" s="491" customFormat="1" ht="12" customHeight="1">
      <c r="A121" s="302">
        <f t="shared" si="8"/>
        <v>118</v>
      </c>
      <c r="B121" s="300" t="s">
        <v>344</v>
      </c>
      <c r="C121" s="301" t="s">
        <v>345</v>
      </c>
      <c r="D121" s="300" t="s">
        <v>160</v>
      </c>
      <c r="E121" s="301" t="s">
        <v>292</v>
      </c>
      <c r="F121" s="301" t="s">
        <v>308</v>
      </c>
      <c r="G121" s="485" t="s">
        <v>296</v>
      </c>
      <c r="H121" s="485" t="s">
        <v>296</v>
      </c>
      <c r="I121" s="485" t="s">
        <v>305</v>
      </c>
      <c r="J121" s="485" t="s">
        <v>305</v>
      </c>
      <c r="K121" s="485" t="s">
        <v>305</v>
      </c>
      <c r="L121" s="485" t="s">
        <v>305</v>
      </c>
      <c r="M121" s="485" t="s">
        <v>305</v>
      </c>
      <c r="N121" s="485" t="s">
        <v>305</v>
      </c>
      <c r="O121" s="485" t="s">
        <v>305</v>
      </c>
      <c r="P121" s="485" t="s">
        <v>305</v>
      </c>
      <c r="Q121" s="485" t="s">
        <v>305</v>
      </c>
      <c r="R121" s="485" t="s">
        <v>305</v>
      </c>
      <c r="S121" s="485" t="s">
        <v>309</v>
      </c>
      <c r="T121" s="485" t="s">
        <v>309</v>
      </c>
      <c r="U121" s="485" t="s">
        <v>309</v>
      </c>
      <c r="V121" s="485" t="s">
        <v>309</v>
      </c>
      <c r="W121" s="485" t="s">
        <v>309</v>
      </c>
      <c r="X121" s="485" t="s">
        <v>309</v>
      </c>
      <c r="Y121" s="485" t="s">
        <v>309</v>
      </c>
      <c r="Z121" s="485" t="s">
        <v>309</v>
      </c>
      <c r="AA121" s="485" t="s">
        <v>309</v>
      </c>
      <c r="AB121" s="485" t="s">
        <v>309</v>
      </c>
      <c r="AC121" s="485" t="s">
        <v>309</v>
      </c>
      <c r="AD121" s="485" t="s">
        <v>309</v>
      </c>
      <c r="AE121" s="485" t="s">
        <v>309</v>
      </c>
      <c r="AF121" s="485" t="s">
        <v>309</v>
      </c>
      <c r="AG121" s="485" t="s">
        <v>309</v>
      </c>
      <c r="AH121" s="485" t="s">
        <v>309</v>
      </c>
      <c r="AI121" s="485" t="s">
        <v>309</v>
      </c>
      <c r="AJ121" s="485" t="s">
        <v>309</v>
      </c>
      <c r="AK121" s="485" t="s">
        <v>309</v>
      </c>
      <c r="AL121" s="487">
        <f t="shared" si="10"/>
        <v>2</v>
      </c>
      <c r="AM121" s="488">
        <f t="shared" si="6"/>
        <v>10</v>
      </c>
      <c r="AN121" s="488">
        <f t="shared" si="7"/>
        <v>0</v>
      </c>
      <c r="AO121" s="488">
        <f t="shared" si="11"/>
        <v>12</v>
      </c>
      <c r="AP121" s="489">
        <f t="shared" si="9"/>
        <v>2</v>
      </c>
    </row>
    <row r="122" spans="1:42" ht="12" customHeight="1">
      <c r="A122" s="302">
        <f t="shared" si="8"/>
        <v>119</v>
      </c>
      <c r="B122" s="300" t="s">
        <v>191</v>
      </c>
      <c r="C122" s="301" t="s">
        <v>192</v>
      </c>
      <c r="D122" s="300" t="s">
        <v>160</v>
      </c>
      <c r="E122" s="301" t="s">
        <v>292</v>
      </c>
      <c r="F122" s="301" t="s">
        <v>38</v>
      </c>
      <c r="G122" s="485" t="s">
        <v>307</v>
      </c>
      <c r="H122" s="485" t="s">
        <v>307</v>
      </c>
      <c r="I122" s="485" t="s">
        <v>305</v>
      </c>
      <c r="J122" s="485" t="s">
        <v>305</v>
      </c>
      <c r="K122" s="485" t="s">
        <v>305</v>
      </c>
      <c r="L122" s="485" t="s">
        <v>305</v>
      </c>
      <c r="M122" s="485" t="s">
        <v>305</v>
      </c>
      <c r="N122" s="485" t="s">
        <v>305</v>
      </c>
      <c r="O122" s="485" t="s">
        <v>305</v>
      </c>
      <c r="P122" s="485" t="s">
        <v>305</v>
      </c>
      <c r="Q122" s="485" t="s">
        <v>305</v>
      </c>
      <c r="R122" s="485" t="s">
        <v>305</v>
      </c>
      <c r="S122" s="485" t="s">
        <v>309</v>
      </c>
      <c r="T122" s="485" t="s">
        <v>309</v>
      </c>
      <c r="U122" s="485" t="s">
        <v>309</v>
      </c>
      <c r="V122" s="485" t="s">
        <v>309</v>
      </c>
      <c r="W122" s="485" t="s">
        <v>309</v>
      </c>
      <c r="X122" s="485" t="s">
        <v>309</v>
      </c>
      <c r="Y122" s="485" t="s">
        <v>309</v>
      </c>
      <c r="Z122" s="485" t="s">
        <v>309</v>
      </c>
      <c r="AA122" s="485" t="s">
        <v>309</v>
      </c>
      <c r="AB122" s="485" t="s">
        <v>309</v>
      </c>
      <c r="AC122" s="485" t="s">
        <v>309</v>
      </c>
      <c r="AD122" s="485" t="s">
        <v>309</v>
      </c>
      <c r="AE122" s="485" t="s">
        <v>309</v>
      </c>
      <c r="AF122" s="485" t="s">
        <v>309</v>
      </c>
      <c r="AG122" s="485" t="s">
        <v>309</v>
      </c>
      <c r="AH122" s="485" t="s">
        <v>309</v>
      </c>
      <c r="AI122" s="485" t="s">
        <v>309</v>
      </c>
      <c r="AJ122" s="485" t="s">
        <v>309</v>
      </c>
      <c r="AK122" s="485" t="s">
        <v>309</v>
      </c>
      <c r="AL122" s="487">
        <f t="shared" si="10"/>
        <v>0</v>
      </c>
      <c r="AM122" s="488">
        <f t="shared" si="6"/>
        <v>10</v>
      </c>
      <c r="AN122" s="488">
        <f t="shared" si="7"/>
        <v>2</v>
      </c>
      <c r="AO122" s="488">
        <f t="shared" si="11"/>
        <v>12</v>
      </c>
      <c r="AP122" s="489">
        <f t="shared" si="9"/>
        <v>2</v>
      </c>
    </row>
    <row r="123" spans="1:42" ht="12" customHeight="1">
      <c r="A123" s="302">
        <f t="shared" si="8"/>
        <v>120</v>
      </c>
      <c r="B123" s="300" t="s">
        <v>162</v>
      </c>
      <c r="C123" s="301" t="s">
        <v>163</v>
      </c>
      <c r="D123" s="300" t="s">
        <v>160</v>
      </c>
      <c r="E123" s="301" t="s">
        <v>292</v>
      </c>
      <c r="F123" s="301" t="s">
        <v>23</v>
      </c>
      <c r="G123" s="485" t="s">
        <v>296</v>
      </c>
      <c r="H123" s="485" t="s">
        <v>296</v>
      </c>
      <c r="I123" s="485" t="s">
        <v>305</v>
      </c>
      <c r="J123" s="485" t="s">
        <v>305</v>
      </c>
      <c r="K123" s="485" t="s">
        <v>305</v>
      </c>
      <c r="L123" s="485" t="s">
        <v>305</v>
      </c>
      <c r="M123" s="485" t="s">
        <v>305</v>
      </c>
      <c r="N123" s="485" t="s">
        <v>305</v>
      </c>
      <c r="O123" s="485" t="s">
        <v>305</v>
      </c>
      <c r="P123" s="485" t="s">
        <v>305</v>
      </c>
      <c r="Q123" s="485" t="s">
        <v>305</v>
      </c>
      <c r="R123" s="485" t="s">
        <v>305</v>
      </c>
      <c r="S123" s="485" t="s">
        <v>309</v>
      </c>
      <c r="T123" s="485" t="s">
        <v>309</v>
      </c>
      <c r="U123" s="485" t="s">
        <v>309</v>
      </c>
      <c r="V123" s="485" t="s">
        <v>309</v>
      </c>
      <c r="W123" s="485" t="s">
        <v>309</v>
      </c>
      <c r="X123" s="485" t="s">
        <v>309</v>
      </c>
      <c r="Y123" s="485" t="s">
        <v>309</v>
      </c>
      <c r="Z123" s="485" t="s">
        <v>309</v>
      </c>
      <c r="AA123" s="485" t="s">
        <v>309</v>
      </c>
      <c r="AB123" s="485" t="s">
        <v>309</v>
      </c>
      <c r="AC123" s="485" t="s">
        <v>309</v>
      </c>
      <c r="AD123" s="485" t="s">
        <v>309</v>
      </c>
      <c r="AE123" s="485" t="s">
        <v>309</v>
      </c>
      <c r="AF123" s="485" t="s">
        <v>309</v>
      </c>
      <c r="AG123" s="485" t="s">
        <v>309</v>
      </c>
      <c r="AH123" s="485" t="s">
        <v>309</v>
      </c>
      <c r="AI123" s="485" t="s">
        <v>309</v>
      </c>
      <c r="AJ123" s="485" t="s">
        <v>309</v>
      </c>
      <c r="AK123" s="485" t="s">
        <v>309</v>
      </c>
      <c r="AL123" s="487">
        <f t="shared" si="10"/>
        <v>2</v>
      </c>
      <c r="AM123" s="488">
        <f t="shared" si="6"/>
        <v>10</v>
      </c>
      <c r="AN123" s="488">
        <f t="shared" si="7"/>
        <v>0</v>
      </c>
      <c r="AO123" s="488">
        <f t="shared" si="11"/>
        <v>12</v>
      </c>
      <c r="AP123" s="489">
        <f t="shared" si="9"/>
        <v>2</v>
      </c>
    </row>
    <row r="124" spans="1:42" ht="12" customHeight="1">
      <c r="A124" s="302">
        <f t="shared" si="8"/>
        <v>121</v>
      </c>
      <c r="B124" s="300" t="s">
        <v>170</v>
      </c>
      <c r="C124" s="301" t="s">
        <v>171</v>
      </c>
      <c r="D124" s="300" t="s">
        <v>160</v>
      </c>
      <c r="E124" s="301" t="s">
        <v>292</v>
      </c>
      <c r="F124" s="301" t="s">
        <v>38</v>
      </c>
      <c r="G124" s="485" t="s">
        <v>307</v>
      </c>
      <c r="H124" s="485" t="s">
        <v>307</v>
      </c>
      <c r="I124" s="485" t="s">
        <v>305</v>
      </c>
      <c r="J124" s="485" t="s">
        <v>305</v>
      </c>
      <c r="K124" s="485" t="s">
        <v>305</v>
      </c>
      <c r="L124" s="485" t="s">
        <v>305</v>
      </c>
      <c r="M124" s="485" t="s">
        <v>305</v>
      </c>
      <c r="N124" s="485" t="s">
        <v>305</v>
      </c>
      <c r="O124" s="485" t="s">
        <v>305</v>
      </c>
      <c r="P124" s="485" t="s">
        <v>305</v>
      </c>
      <c r="Q124" s="485" t="s">
        <v>305</v>
      </c>
      <c r="R124" s="485" t="s">
        <v>305</v>
      </c>
      <c r="S124" s="485" t="s">
        <v>309</v>
      </c>
      <c r="T124" s="485" t="s">
        <v>309</v>
      </c>
      <c r="U124" s="485" t="s">
        <v>309</v>
      </c>
      <c r="V124" s="485" t="s">
        <v>309</v>
      </c>
      <c r="W124" s="485" t="s">
        <v>309</v>
      </c>
      <c r="X124" s="485" t="s">
        <v>309</v>
      </c>
      <c r="Y124" s="485" t="s">
        <v>309</v>
      </c>
      <c r="Z124" s="485" t="s">
        <v>309</v>
      </c>
      <c r="AA124" s="485" t="s">
        <v>309</v>
      </c>
      <c r="AB124" s="485" t="s">
        <v>309</v>
      </c>
      <c r="AC124" s="485" t="s">
        <v>309</v>
      </c>
      <c r="AD124" s="485" t="s">
        <v>309</v>
      </c>
      <c r="AE124" s="485" t="s">
        <v>309</v>
      </c>
      <c r="AF124" s="485" t="s">
        <v>309</v>
      </c>
      <c r="AG124" s="485" t="s">
        <v>309</v>
      </c>
      <c r="AH124" s="485" t="s">
        <v>309</v>
      </c>
      <c r="AI124" s="485" t="s">
        <v>309</v>
      </c>
      <c r="AJ124" s="485" t="s">
        <v>309</v>
      </c>
      <c r="AK124" s="485" t="s">
        <v>309</v>
      </c>
      <c r="AL124" s="487">
        <f t="shared" si="10"/>
        <v>0</v>
      </c>
      <c r="AM124" s="488">
        <f t="shared" si="6"/>
        <v>10</v>
      </c>
      <c r="AN124" s="488">
        <f t="shared" si="7"/>
        <v>2</v>
      </c>
      <c r="AO124" s="488">
        <f t="shared" si="11"/>
        <v>12</v>
      </c>
      <c r="AP124" s="489">
        <f t="shared" si="9"/>
        <v>2</v>
      </c>
    </row>
    <row r="125" spans="1:42" ht="12" customHeight="1">
      <c r="A125" s="302">
        <f t="shared" si="8"/>
        <v>122</v>
      </c>
      <c r="B125" s="300"/>
      <c r="C125" s="301"/>
      <c r="D125" s="300"/>
      <c r="E125" s="301"/>
      <c r="F125" s="301"/>
      <c r="G125" s="485"/>
      <c r="H125" s="485"/>
      <c r="I125" s="485"/>
      <c r="J125" s="485"/>
      <c r="K125" s="485"/>
      <c r="L125" s="485"/>
      <c r="M125" s="485"/>
      <c r="N125" s="485"/>
      <c r="O125" s="485"/>
      <c r="P125" s="485"/>
      <c r="Q125" s="485"/>
      <c r="R125" s="485"/>
      <c r="S125" s="485"/>
      <c r="T125" s="485"/>
      <c r="U125" s="485"/>
      <c r="V125" s="485"/>
      <c r="W125" s="485"/>
      <c r="X125" s="485"/>
      <c r="Y125" s="485"/>
      <c r="Z125" s="485"/>
      <c r="AA125" s="485"/>
      <c r="AB125" s="485"/>
      <c r="AC125" s="485"/>
      <c r="AD125" s="485"/>
      <c r="AE125" s="485"/>
      <c r="AF125" s="485"/>
      <c r="AG125" s="485"/>
      <c r="AH125" s="485"/>
      <c r="AI125" s="485"/>
      <c r="AJ125" s="485"/>
      <c r="AK125" s="485"/>
      <c r="AL125" s="487">
        <f t="shared" si="10"/>
        <v>0</v>
      </c>
      <c r="AM125" s="488">
        <f t="shared" si="6"/>
        <v>0</v>
      </c>
      <c r="AN125" s="488">
        <f t="shared" si="7"/>
        <v>0</v>
      </c>
      <c r="AO125" s="488">
        <f>SUM(AL125:AN125)</f>
        <v>0</v>
      </c>
      <c r="AP125" s="489">
        <f t="shared" si="9"/>
        <v>0</v>
      </c>
    </row>
    <row r="126" spans="1:42" s="491" customFormat="1" ht="12" customHeight="1">
      <c r="A126" s="302">
        <f t="shared" si="8"/>
        <v>123</v>
      </c>
      <c r="B126" s="300"/>
      <c r="C126" s="301"/>
      <c r="D126" s="300"/>
      <c r="E126" s="301"/>
      <c r="F126" s="301"/>
      <c r="G126" s="485"/>
      <c r="H126" s="485"/>
      <c r="I126" s="485"/>
      <c r="J126" s="485"/>
      <c r="K126" s="485"/>
      <c r="L126" s="485"/>
      <c r="M126" s="485"/>
      <c r="N126" s="485"/>
      <c r="O126" s="485"/>
      <c r="P126" s="485"/>
      <c r="Q126" s="485"/>
      <c r="R126" s="485"/>
      <c r="S126" s="485"/>
      <c r="T126" s="485"/>
      <c r="U126" s="485"/>
      <c r="V126" s="485"/>
      <c r="W126" s="485"/>
      <c r="X126" s="485"/>
      <c r="Y126" s="485"/>
      <c r="Z126" s="485"/>
      <c r="AA126" s="485"/>
      <c r="AB126" s="485"/>
      <c r="AC126" s="485"/>
      <c r="AD126" s="485"/>
      <c r="AE126" s="485"/>
      <c r="AF126" s="485"/>
      <c r="AG126" s="485"/>
      <c r="AH126" s="485"/>
      <c r="AI126" s="485"/>
      <c r="AJ126" s="485"/>
      <c r="AK126" s="485"/>
      <c r="AL126" s="487">
        <f t="shared" si="10"/>
        <v>0</v>
      </c>
      <c r="AM126" s="488">
        <f t="shared" si="6"/>
        <v>0</v>
      </c>
      <c r="AN126" s="488">
        <f t="shared" si="7"/>
        <v>0</v>
      </c>
      <c r="AO126" s="488">
        <f t="shared" ref="AO126:AO128" si="12">SUM(AL126:AN126)</f>
        <v>0</v>
      </c>
      <c r="AP126" s="489">
        <f t="shared" si="9"/>
        <v>0</v>
      </c>
    </row>
    <row r="127" spans="1:42" s="491" customFormat="1" ht="12" customHeight="1">
      <c r="A127" s="302">
        <f t="shared" si="8"/>
        <v>124</v>
      </c>
      <c r="B127" s="303"/>
      <c r="C127" s="301"/>
      <c r="D127" s="300"/>
      <c r="E127" s="301"/>
      <c r="F127" s="301"/>
      <c r="G127" s="485"/>
      <c r="H127" s="485"/>
      <c r="I127" s="485"/>
      <c r="J127" s="485"/>
      <c r="K127" s="485"/>
      <c r="L127" s="485"/>
      <c r="M127" s="485"/>
      <c r="N127" s="485"/>
      <c r="O127" s="485"/>
      <c r="P127" s="485"/>
      <c r="Q127" s="485"/>
      <c r="R127" s="485"/>
      <c r="S127" s="485"/>
      <c r="T127" s="485"/>
      <c r="U127" s="485"/>
      <c r="V127" s="485"/>
      <c r="W127" s="485"/>
      <c r="X127" s="485"/>
      <c r="Y127" s="485"/>
      <c r="Z127" s="485"/>
      <c r="AA127" s="485"/>
      <c r="AB127" s="485"/>
      <c r="AC127" s="485"/>
      <c r="AD127" s="485"/>
      <c r="AE127" s="485"/>
      <c r="AF127" s="485"/>
      <c r="AG127" s="485"/>
      <c r="AH127" s="485"/>
      <c r="AI127" s="485"/>
      <c r="AJ127" s="485"/>
      <c r="AK127" s="485"/>
      <c r="AL127" s="487">
        <f t="shared" si="10"/>
        <v>0</v>
      </c>
      <c r="AM127" s="488">
        <f t="shared" si="6"/>
        <v>0</v>
      </c>
      <c r="AN127" s="488">
        <f t="shared" si="7"/>
        <v>0</v>
      </c>
      <c r="AO127" s="488">
        <f t="shared" si="12"/>
        <v>0</v>
      </c>
      <c r="AP127" s="489">
        <f t="shared" si="9"/>
        <v>0</v>
      </c>
    </row>
    <row r="128" spans="1:42" s="491" customFormat="1" ht="12" customHeight="1">
      <c r="A128" s="302">
        <f t="shared" si="8"/>
        <v>125</v>
      </c>
      <c r="B128" s="300"/>
      <c r="C128" s="301"/>
      <c r="D128" s="300"/>
      <c r="E128" s="301"/>
      <c r="F128" s="301"/>
      <c r="G128" s="485"/>
      <c r="H128" s="485"/>
      <c r="I128" s="485"/>
      <c r="J128" s="485"/>
      <c r="K128" s="485"/>
      <c r="L128" s="485"/>
      <c r="M128" s="485"/>
      <c r="N128" s="485"/>
      <c r="O128" s="485"/>
      <c r="P128" s="485"/>
      <c r="Q128" s="485"/>
      <c r="R128" s="485"/>
      <c r="S128" s="485"/>
      <c r="T128" s="485"/>
      <c r="U128" s="485"/>
      <c r="V128" s="485"/>
      <c r="W128" s="485"/>
      <c r="X128" s="485"/>
      <c r="Y128" s="485"/>
      <c r="Z128" s="485"/>
      <c r="AA128" s="485"/>
      <c r="AB128" s="485"/>
      <c r="AC128" s="485"/>
      <c r="AD128" s="485"/>
      <c r="AE128" s="485"/>
      <c r="AF128" s="485"/>
      <c r="AG128" s="485"/>
      <c r="AH128" s="485"/>
      <c r="AI128" s="485"/>
      <c r="AJ128" s="485"/>
      <c r="AK128" s="485"/>
      <c r="AL128" s="487">
        <f t="shared" si="10"/>
        <v>0</v>
      </c>
      <c r="AM128" s="488">
        <f t="shared" si="6"/>
        <v>0</v>
      </c>
      <c r="AN128" s="488">
        <f t="shared" si="7"/>
        <v>0</v>
      </c>
      <c r="AO128" s="488">
        <f t="shared" si="12"/>
        <v>0</v>
      </c>
      <c r="AP128" s="489">
        <f t="shared" si="9"/>
        <v>0</v>
      </c>
    </row>
    <row r="129" spans="42:42" s="491" customFormat="1" ht="12" customHeight="1">
      <c r="AP129" s="493"/>
    </row>
  </sheetData>
  <mergeCells count="2">
    <mergeCell ref="G1:AK1"/>
    <mergeCell ref="AL1:AP1"/>
  </mergeCells>
  <conditionalFormatting sqref="B1">
    <cfRule type="cellIs" dxfId="5128" priority="6190" operator="equal">
      <formula>"NOCHE"</formula>
    </cfRule>
  </conditionalFormatting>
  <conditionalFormatting sqref="B1:B2">
    <cfRule type="cellIs" dxfId="5127" priority="6187" operator="equal">
      <formula>"N"</formula>
    </cfRule>
    <cfRule type="cellIs" dxfId="5126" priority="6188" operator="equal">
      <formula>"DS"</formula>
    </cfRule>
    <cfRule type="cellIs" dxfId="5125" priority="6189" operator="equal">
      <formula>"D"</formula>
    </cfRule>
  </conditionalFormatting>
  <conditionalFormatting sqref="B2">
    <cfRule type="cellIs" dxfId="5124" priority="6185" operator="equal">
      <formula>"DÍA"</formula>
    </cfRule>
    <cfRule type="cellIs" dxfId="5123" priority="6186" operator="equal">
      <formula>"DÍA"</formula>
    </cfRule>
  </conditionalFormatting>
  <conditionalFormatting sqref="B45:B75 B1:B34 B37:B43 B130:B1048576 B77:B128">
    <cfRule type="duplicateValues" dxfId="5122" priority="6204"/>
  </conditionalFormatting>
  <conditionalFormatting sqref="B45:B75 B3:B34 B37:B43 B130:B1048576 B77:B128">
    <cfRule type="duplicateValues" dxfId="5121" priority="6210"/>
  </conditionalFormatting>
  <conditionalFormatting sqref="B95 B81 B71:B73 B13:B14 B11">
    <cfRule type="duplicateValues" dxfId="5120" priority="6184"/>
  </conditionalFormatting>
  <conditionalFormatting sqref="B127">
    <cfRule type="duplicateValues" dxfId="5119" priority="6183"/>
  </conditionalFormatting>
  <conditionalFormatting sqref="B128 B82:B94 B74:B75 B77:B80 B15:B34 B64:B70 B45:B62 B12 B3:B10 B37:B43 B130:B1048576 B96:B126">
    <cfRule type="duplicateValues" dxfId="5118" priority="6191"/>
  </conditionalFormatting>
  <conditionalFormatting sqref="B130:B1048576 B1:B128">
    <cfRule type="duplicateValues" dxfId="5117" priority="6216"/>
  </conditionalFormatting>
  <conditionalFormatting sqref="C2">
    <cfRule type="cellIs" dxfId="5116" priority="6176" operator="equal">
      <formula>"D"</formula>
    </cfRule>
    <cfRule type="cellIs" dxfId="5115" priority="6177" operator="equal">
      <formula>"L"</formula>
    </cfRule>
    <cfRule type="cellIs" dxfId="5114" priority="6178" operator="equal">
      <formula>"P"</formula>
    </cfRule>
    <cfRule type="cellIs" dxfId="5113" priority="6170" operator="equal">
      <formula>"DE"</formula>
    </cfRule>
    <cfRule type="cellIs" dxfId="5112" priority="6169" operator="equal">
      <formula>"DS"</formula>
    </cfRule>
    <cfRule type="cellIs" dxfId="5111" priority="6171" operator="equal">
      <formula>"R"</formula>
    </cfRule>
    <cfRule type="cellIs" dxfId="5110" priority="6172" operator="equal">
      <formula>"F"</formula>
    </cfRule>
    <cfRule type="cellIs" dxfId="5109" priority="6173" operator="equal">
      <formula>"L"</formula>
    </cfRule>
    <cfRule type="cellIs" dxfId="5108" priority="6174" operator="equal">
      <formula>"P"</formula>
    </cfRule>
    <cfRule type="cellIs" dxfId="5107" priority="6175" operator="equal">
      <formula>"N"</formula>
    </cfRule>
  </conditionalFormatting>
  <conditionalFormatting sqref="F2 G105:I106 G125:H127 AI125:AJ127 AK125:AK128">
    <cfRule type="cellIs" dxfId="5106" priority="6166" operator="equal">
      <formula>"P"</formula>
    </cfRule>
  </conditionalFormatting>
  <conditionalFormatting sqref="F2 G105:I106 G125:AK128">
    <cfRule type="cellIs" dxfId="5105" priority="6167" operator="equal">
      <formula>"L"</formula>
    </cfRule>
  </conditionalFormatting>
  <conditionalFormatting sqref="F2">
    <cfRule type="cellIs" dxfId="5104" priority="6162" operator="equal">
      <formula>"F"</formula>
    </cfRule>
    <cfRule type="cellIs" dxfId="5103" priority="6163" operator="equal">
      <formula>"R"</formula>
    </cfRule>
    <cfRule type="cellIs" dxfId="5102" priority="6164" operator="equal">
      <formula>"P"</formula>
    </cfRule>
    <cfRule type="cellIs" dxfId="5101" priority="6168" operator="equal">
      <formula>"DE"</formula>
    </cfRule>
  </conditionalFormatting>
  <conditionalFormatting sqref="F2:G2">
    <cfRule type="cellIs" dxfId="5100" priority="6160" operator="equal">
      <formula>"D"</formula>
    </cfRule>
    <cfRule type="cellIs" dxfId="5099" priority="6161" operator="equal">
      <formula>"L"</formula>
    </cfRule>
    <cfRule type="cellIs" dxfId="5098" priority="6159" operator="equal">
      <formula>"DS"</formula>
    </cfRule>
  </conditionalFormatting>
  <conditionalFormatting sqref="G2">
    <cfRule type="cellIs" dxfId="5097" priority="6158" operator="equal">
      <formula>"V"</formula>
    </cfRule>
  </conditionalFormatting>
  <conditionalFormatting sqref="G104">
    <cfRule type="cellIs" dxfId="5096" priority="6126" operator="equal">
      <formula>"L"</formula>
    </cfRule>
    <cfRule type="cellIs" dxfId="5095" priority="6127" operator="equal">
      <formula>"P"</formula>
    </cfRule>
    <cfRule type="cellIs" dxfId="5094" priority="6129" operator="equal">
      <formula>"L"</formula>
    </cfRule>
    <cfRule type="cellIs" dxfId="5093" priority="6130" operator="equal">
      <formula>"L"</formula>
    </cfRule>
    <cfRule type="cellIs" dxfId="5092" priority="6131" operator="equal">
      <formula>"DS"</formula>
    </cfRule>
    <cfRule type="cellIs" dxfId="5091" priority="6132" operator="equal">
      <formula>"P"</formula>
    </cfRule>
    <cfRule type="cellIs" dxfId="5090" priority="6133" operator="equal">
      <formula>"P"</formula>
    </cfRule>
    <cfRule type="cellIs" dxfId="5089" priority="6134" operator="equal">
      <formula>"T"</formula>
    </cfRule>
    <cfRule type="cellIs" dxfId="5088" priority="6135" operator="equal">
      <formula>"T"</formula>
    </cfRule>
    <cfRule type="cellIs" dxfId="5087" priority="6138" operator="equal">
      <formula>"P"</formula>
    </cfRule>
    <cfRule type="cellIs" dxfId="5086" priority="6139" operator="equal">
      <formula>"T"</formula>
    </cfRule>
    <cfRule type="cellIs" dxfId="5085" priority="6140" operator="equal">
      <formula>"T"</formula>
    </cfRule>
    <cfRule type="cellIs" dxfId="5084" priority="6154" operator="equal">
      <formula>"P"</formula>
    </cfRule>
    <cfRule type="cellIs" dxfId="5083" priority="6122" operator="equal">
      <formula>"D"</formula>
    </cfRule>
    <cfRule type="cellIs" dxfId="5082" priority="6156" operator="equal">
      <formula>"T"</formula>
    </cfRule>
    <cfRule type="cellIs" dxfId="5081" priority="6157" operator="equal">
      <formula>"P"</formula>
    </cfRule>
    <cfRule type="cellIs" dxfId="5080" priority="6117" operator="equal">
      <formula>"P"</formula>
    </cfRule>
    <cfRule type="cellIs" dxfId="5079" priority="6118" operator="equal">
      <formula>"T"</formula>
    </cfRule>
    <cfRule type="cellIs" dxfId="5078" priority="6155" operator="equal">
      <formula>"T"</formula>
    </cfRule>
    <cfRule type="cellIs" dxfId="5077" priority="6142" operator="equal">
      <formula>"FIN"</formula>
    </cfRule>
    <cfRule type="cellIs" dxfId="5076" priority="6119" operator="equal">
      <formula>"T"</formula>
    </cfRule>
    <cfRule type="cellIs" dxfId="5075" priority="6120" operator="equal">
      <formula>"L"</formula>
    </cfRule>
    <cfRule type="cellIs" dxfId="5074" priority="6121" operator="equal">
      <formula>"P"</formula>
    </cfRule>
    <cfRule type="cellIs" dxfId="5073" priority="6123" operator="equal">
      <formula>"R"</formula>
    </cfRule>
    <cfRule type="cellIs" dxfId="5072" priority="6124" operator="equal">
      <formula>"F"</formula>
    </cfRule>
    <cfRule type="cellIs" dxfId="5071" priority="6125" operator="equal">
      <formula>"DE"</formula>
    </cfRule>
    <cfRule type="cellIs" dxfId="5070" priority="6144" operator="equal">
      <formula>"P"</formula>
    </cfRule>
    <cfRule type="cellIs" dxfId="5069" priority="6141" operator="equal">
      <formula>"P"</formula>
    </cfRule>
    <cfRule type="cellIs" dxfId="5068" priority="6145" operator="equal">
      <formula>"T"</formula>
    </cfRule>
    <cfRule type="cellIs" dxfId="5067" priority="6146" operator="equal">
      <formula>"T"</formula>
    </cfRule>
    <cfRule type="cellIs" dxfId="5066" priority="6136" operator="equal">
      <formula>"P"</formula>
    </cfRule>
    <cfRule type="cellIs" dxfId="5065" priority="6149" operator="equal">
      <formula>"V"</formula>
    </cfRule>
    <cfRule type="cellIs" dxfId="5064" priority="6150" operator="equal">
      <formula>"N"</formula>
    </cfRule>
    <cfRule type="cellIs" dxfId="5063" priority="6151" operator="equal">
      <formula>"L"</formula>
    </cfRule>
    <cfRule type="cellIs" dxfId="5062" priority="6152" operator="equal">
      <formula>"L"</formula>
    </cfRule>
    <cfRule type="cellIs" dxfId="5061" priority="6147" operator="equal">
      <formula>"P"</formula>
    </cfRule>
  </conditionalFormatting>
  <conditionalFormatting sqref="G103:H103">
    <cfRule type="cellIs" dxfId="5060" priority="5681" operator="equal">
      <formula>"N"</formula>
    </cfRule>
    <cfRule type="cellIs" dxfId="5059" priority="5680" operator="equal">
      <formula>"P"</formula>
    </cfRule>
    <cfRule type="cellIs" dxfId="5058" priority="5679" operator="equal">
      <formula>"P"</formula>
    </cfRule>
    <cfRule type="cellIs" dxfId="5057" priority="5678" operator="equal">
      <formula>"P"</formula>
    </cfRule>
    <cfRule type="cellIs" dxfId="5056" priority="5676" operator="equal">
      <formula>"P"</formula>
    </cfRule>
    <cfRule type="cellIs" dxfId="5055" priority="5675" operator="equal">
      <formula>"L"</formula>
    </cfRule>
    <cfRule type="cellIs" dxfId="5054" priority="5674" operator="equal">
      <formula>"L"</formula>
    </cfRule>
    <cfRule type="cellIs" dxfId="5053" priority="5673" operator="equal">
      <formula>"P"</formula>
    </cfRule>
    <cfRule type="cellIs" dxfId="5052" priority="5672" operator="equal">
      <formula>"L"</formula>
    </cfRule>
    <cfRule type="cellIs" dxfId="5051" priority="5671" operator="equal">
      <formula>"P"</formula>
    </cfRule>
    <cfRule type="cellIs" dxfId="5050" priority="5670" operator="equal">
      <formula>"L"</formula>
    </cfRule>
    <cfRule type="cellIs" dxfId="5049" priority="5669" operator="equal">
      <formula>"P"</formula>
    </cfRule>
    <cfRule type="cellIs" dxfId="5048" priority="5668" operator="equal">
      <formula>"N"</formula>
    </cfRule>
    <cfRule type="cellIs" dxfId="5047" priority="5667" operator="equal">
      <formula>"L"</formula>
    </cfRule>
    <cfRule type="cellIs" dxfId="5046" priority="5665" operator="equal">
      <formula>"N"</formula>
    </cfRule>
    <cfRule type="cellIs" dxfId="5045" priority="5664" operator="equal">
      <formula>"L"</formula>
    </cfRule>
    <cfRule type="cellIs" dxfId="5044" priority="5663" operator="equal">
      <formula>"L"</formula>
    </cfRule>
    <cfRule type="cellIs" dxfId="5043" priority="5662" operator="equal">
      <formula>"L"</formula>
    </cfRule>
    <cfRule type="cellIs" dxfId="5042" priority="5661" operator="equal">
      <formula>"P"</formula>
    </cfRule>
    <cfRule type="cellIs" dxfId="5041" priority="5660" operator="equal">
      <formula>"P"</formula>
    </cfRule>
    <cfRule type="cellIs" dxfId="5040" priority="5659" operator="equal">
      <formula>"L"</formula>
    </cfRule>
    <cfRule type="cellIs" dxfId="5039" priority="5658" operator="equal">
      <formula>"P"</formula>
    </cfRule>
    <cfRule type="cellIs" dxfId="5038" priority="5657" operator="equal">
      <formula>"N"</formula>
    </cfRule>
    <cfRule type="cellIs" dxfId="5037" priority="5656" operator="equal">
      <formula>"L"</formula>
    </cfRule>
    <cfRule type="cellIs" dxfId="5036" priority="5655" operator="equal">
      <formula>"P"</formula>
    </cfRule>
    <cfRule type="cellIs" dxfId="5035" priority="5654" operator="equal">
      <formula>"P"</formula>
    </cfRule>
    <cfRule type="cellIs" dxfId="5034" priority="5650" operator="equal">
      <formula>"T"</formula>
    </cfRule>
    <cfRule type="cellIs" dxfId="5033" priority="5649" operator="equal">
      <formula>"T"</formula>
    </cfRule>
    <cfRule type="cellIs" dxfId="5032" priority="5648" operator="equal">
      <formula>"P"</formula>
    </cfRule>
    <cfRule type="cellIs" dxfId="5031" priority="5647" operator="equal">
      <formula>"L"</formula>
    </cfRule>
    <cfRule type="cellIs" dxfId="5030" priority="5645" operator="equal">
      <formula>"L"</formula>
    </cfRule>
    <cfRule type="cellIs" dxfId="5029" priority="5644" operator="equal">
      <formula>"P"</formula>
    </cfRule>
    <cfRule type="cellIs" dxfId="5028" priority="5643" operator="equal">
      <formula>"T"</formula>
    </cfRule>
    <cfRule type="cellIs" dxfId="5027" priority="5642" operator="equal">
      <formula>"T"</formula>
    </cfRule>
    <cfRule type="cellIs" dxfId="5026" priority="5641" operator="equal">
      <formula>"P"</formula>
    </cfRule>
    <cfRule type="cellIs" dxfId="5025" priority="5637" operator="equal">
      <formula>"L"</formula>
    </cfRule>
    <cfRule type="cellIs" dxfId="5024" priority="5636" operator="equal">
      <formula>"P"</formula>
    </cfRule>
    <cfRule type="cellIs" dxfId="5023" priority="5634" operator="equal">
      <formula>"L"</formula>
    </cfRule>
    <cfRule type="cellIs" dxfId="5022" priority="5633" operator="equal">
      <formula>"P"</formula>
    </cfRule>
    <cfRule type="cellIs" dxfId="5021" priority="5632" operator="equal">
      <formula>"P"</formula>
    </cfRule>
    <cfRule type="cellIs" dxfId="5020" priority="5631" operator="equal">
      <formula>"L"</formula>
    </cfRule>
    <cfRule type="cellIs" dxfId="5019" priority="5629" operator="equal">
      <formula>"T"</formula>
    </cfRule>
    <cfRule type="cellIs" dxfId="5018" priority="5628" operator="equal">
      <formula>"T"</formula>
    </cfRule>
    <cfRule type="cellIs" dxfId="5017" priority="5627" operator="equal">
      <formula>"P"</formula>
    </cfRule>
    <cfRule type="cellIs" dxfId="5016" priority="5626" operator="equal">
      <formula>"P"</formula>
    </cfRule>
    <cfRule type="cellIs" dxfId="5015" priority="5625" operator="equal">
      <formula>"P"</formula>
    </cfRule>
    <cfRule type="cellIs" dxfId="5014" priority="5624" operator="equal">
      <formula>"L"</formula>
    </cfRule>
    <cfRule type="cellIs" dxfId="5013" priority="5623" operator="equal">
      <formula>"L"</formula>
    </cfRule>
    <cfRule type="cellIs" dxfId="5012" priority="5622" operator="equal">
      <formula>"L"</formula>
    </cfRule>
    <cfRule type="cellIs" dxfId="5011" priority="5621" operator="equal">
      <formula>"P"</formula>
    </cfRule>
    <cfRule type="cellIs" dxfId="5010" priority="5616" operator="equal">
      <formula>"N"</formula>
    </cfRule>
    <cfRule type="cellIs" dxfId="5009" priority="5615" operator="equal">
      <formula>"P"</formula>
    </cfRule>
    <cfRule type="cellIs" dxfId="5008" priority="5614" operator="equal">
      <formula>"P"</formula>
    </cfRule>
    <cfRule type="cellIs" dxfId="5007" priority="5613" operator="equal">
      <formula>"P"</formula>
    </cfRule>
    <cfRule type="cellIs" dxfId="5006" priority="5611" operator="equal">
      <formula>"P"</formula>
    </cfRule>
    <cfRule type="cellIs" dxfId="5005" priority="5610" operator="equal">
      <formula>"L"</formula>
    </cfRule>
    <cfRule type="cellIs" dxfId="5004" priority="5609" operator="equal">
      <formula>"L"</formula>
    </cfRule>
    <cfRule type="cellIs" dxfId="5003" priority="5608" operator="equal">
      <formula>"P"</formula>
    </cfRule>
    <cfRule type="cellIs" dxfId="5002" priority="5607" operator="equal">
      <formula>"L"</formula>
    </cfRule>
    <cfRule type="cellIs" dxfId="5001" priority="5606" operator="equal">
      <formula>"P"</formula>
    </cfRule>
    <cfRule type="cellIs" dxfId="5000" priority="5605" operator="equal">
      <formula>"L"</formula>
    </cfRule>
    <cfRule type="cellIs" dxfId="4999" priority="5604" operator="equal">
      <formula>"P"</formula>
    </cfRule>
    <cfRule type="cellIs" dxfId="4998" priority="5603" operator="equal">
      <formula>"N"</formula>
    </cfRule>
    <cfRule type="cellIs" dxfId="4997" priority="5602" operator="equal">
      <formula>"L"</formula>
    </cfRule>
    <cfRule type="cellIs" dxfId="4996" priority="5600" operator="equal">
      <formula>"N"</formula>
    </cfRule>
    <cfRule type="cellIs" dxfId="4995" priority="5599" operator="equal">
      <formula>"L"</formula>
    </cfRule>
    <cfRule type="cellIs" dxfId="4994" priority="5598" operator="equal">
      <formula>"L"</formula>
    </cfRule>
    <cfRule type="cellIs" dxfId="4993" priority="5597" operator="equal">
      <formula>"L"</formula>
    </cfRule>
    <cfRule type="cellIs" dxfId="4992" priority="5596" operator="equal">
      <formula>"P"</formula>
    </cfRule>
    <cfRule type="cellIs" dxfId="4991" priority="5595" operator="equal">
      <formula>"P"</formula>
    </cfRule>
    <cfRule type="cellIs" dxfId="4990" priority="5594" operator="equal">
      <formula>"L"</formula>
    </cfRule>
    <cfRule type="cellIs" dxfId="4989" priority="5593" operator="equal">
      <formula>"P"</formula>
    </cfRule>
    <cfRule type="cellIs" dxfId="4988" priority="5592" operator="equal">
      <formula>"N"</formula>
    </cfRule>
    <cfRule type="cellIs" dxfId="4987" priority="5591" operator="equal">
      <formula>"L"</formula>
    </cfRule>
    <cfRule type="cellIs" dxfId="4986" priority="5590" operator="equal">
      <formula>"P"</formula>
    </cfRule>
    <cfRule type="cellIs" dxfId="4985" priority="5589" operator="equal">
      <formula>"P"</formula>
    </cfRule>
    <cfRule type="cellIs" dxfId="4984" priority="5585" operator="equal">
      <formula>"T"</formula>
    </cfRule>
    <cfRule type="cellIs" dxfId="4983" priority="5584" operator="equal">
      <formula>"T"</formula>
    </cfRule>
    <cfRule type="cellIs" dxfId="4982" priority="5583" operator="equal">
      <formula>"P"</formula>
    </cfRule>
    <cfRule type="cellIs" dxfId="4981" priority="5582" operator="equal">
      <formula>"L"</formula>
    </cfRule>
    <cfRule type="cellIs" dxfId="4980" priority="5580" operator="equal">
      <formula>"L"</formula>
    </cfRule>
    <cfRule type="cellIs" dxfId="4979" priority="5579" operator="equal">
      <formula>"P"</formula>
    </cfRule>
    <cfRule type="cellIs" dxfId="4978" priority="5578" operator="equal">
      <formula>"T"</formula>
    </cfRule>
    <cfRule type="cellIs" dxfId="4977" priority="5577" operator="equal">
      <formula>"T"</formula>
    </cfRule>
    <cfRule type="cellIs" dxfId="4976" priority="5576" operator="equal">
      <formula>"P"</formula>
    </cfRule>
    <cfRule type="cellIs" dxfId="4975" priority="5572" operator="equal">
      <formula>"L"</formula>
    </cfRule>
    <cfRule type="cellIs" dxfId="4974" priority="5571" operator="equal">
      <formula>"P"</formula>
    </cfRule>
    <cfRule type="cellIs" dxfId="4973" priority="5569" operator="equal">
      <formula>"L"</formula>
    </cfRule>
    <cfRule type="cellIs" dxfId="4972" priority="5568" operator="equal">
      <formula>"P"</formula>
    </cfRule>
    <cfRule type="cellIs" dxfId="4971" priority="5567" operator="equal">
      <formula>"P"</formula>
    </cfRule>
    <cfRule type="cellIs" dxfId="4970" priority="5566" operator="equal">
      <formula>"L"</formula>
    </cfRule>
    <cfRule type="cellIs" dxfId="4969" priority="5564" operator="equal">
      <formula>"T"</formula>
    </cfRule>
    <cfRule type="cellIs" dxfId="4968" priority="5563" operator="equal">
      <formula>"T"</formula>
    </cfRule>
    <cfRule type="cellIs" dxfId="4967" priority="5562" operator="equal">
      <formula>"P"</formula>
    </cfRule>
    <cfRule type="cellIs" dxfId="4966" priority="5561" operator="equal">
      <formula>"P"</formula>
    </cfRule>
    <cfRule type="cellIs" dxfId="4965" priority="5560" operator="equal">
      <formula>"P"</formula>
    </cfRule>
    <cfRule type="cellIs" dxfId="4964" priority="5559" operator="equal">
      <formula>"L"</formula>
    </cfRule>
    <cfRule type="cellIs" dxfId="4963" priority="5558" operator="equal">
      <formula>"L"</formula>
    </cfRule>
    <cfRule type="cellIs" dxfId="4962" priority="5557" operator="equal">
      <formula>"L"</formula>
    </cfRule>
    <cfRule type="cellIs" dxfId="4961" priority="5556" operator="equal">
      <formula>"P"</formula>
    </cfRule>
    <cfRule type="cellIs" dxfId="4960" priority="5551" operator="equal">
      <formula>"N"</formula>
    </cfRule>
    <cfRule type="cellIs" dxfId="4959" priority="5550" operator="equal">
      <formula>"P"</formula>
    </cfRule>
    <cfRule type="cellIs" dxfId="4958" priority="5549" operator="equal">
      <formula>"P"</formula>
    </cfRule>
    <cfRule type="cellIs" dxfId="4957" priority="5548" operator="equal">
      <formula>"P"</formula>
    </cfRule>
    <cfRule type="cellIs" dxfId="4956" priority="5546" operator="equal">
      <formula>"P"</formula>
    </cfRule>
    <cfRule type="cellIs" dxfId="4955" priority="5545" operator="equal">
      <formula>"L"</formula>
    </cfRule>
    <cfRule type="cellIs" dxfId="4954" priority="5544" operator="equal">
      <formula>"L"</formula>
    </cfRule>
    <cfRule type="cellIs" dxfId="4953" priority="5543" operator="equal">
      <formula>"P"</formula>
    </cfRule>
    <cfRule type="cellIs" dxfId="4952" priority="5542" operator="equal">
      <formula>"L"</formula>
    </cfRule>
    <cfRule type="cellIs" dxfId="4951" priority="5541" operator="equal">
      <formula>"P"</formula>
    </cfRule>
    <cfRule type="cellIs" dxfId="4950" priority="5540" operator="equal">
      <formula>"L"</formula>
    </cfRule>
    <cfRule type="cellIs" dxfId="4949" priority="5539" operator="equal">
      <formula>"P"</formula>
    </cfRule>
    <cfRule type="cellIs" dxfId="4948" priority="5538" operator="equal">
      <formula>"N"</formula>
    </cfRule>
    <cfRule type="cellIs" dxfId="4947" priority="5537" operator="equal">
      <formula>"L"</formula>
    </cfRule>
    <cfRule type="cellIs" dxfId="4946" priority="5535" operator="equal">
      <formula>"N"</formula>
    </cfRule>
    <cfRule type="cellIs" dxfId="4945" priority="5534" operator="equal">
      <formula>"L"</formula>
    </cfRule>
    <cfRule type="cellIs" dxfId="4944" priority="5533" operator="equal">
      <formula>"L"</formula>
    </cfRule>
    <cfRule type="cellIs" dxfId="4943" priority="5532" operator="equal">
      <formula>"L"</formula>
    </cfRule>
    <cfRule type="cellIs" dxfId="4942" priority="5531" operator="equal">
      <formula>"P"</formula>
    </cfRule>
    <cfRule type="cellIs" dxfId="4941" priority="5530" operator="equal">
      <formula>"P"</formula>
    </cfRule>
    <cfRule type="cellIs" dxfId="4940" priority="5529" operator="equal">
      <formula>"L"</formula>
    </cfRule>
    <cfRule type="cellIs" dxfId="4939" priority="5528" operator="equal">
      <formula>"P"</formula>
    </cfRule>
    <cfRule type="cellIs" dxfId="4938" priority="5527" operator="equal">
      <formula>"N"</formula>
    </cfRule>
    <cfRule type="cellIs" dxfId="4937" priority="5526" operator="equal">
      <formula>"L"</formula>
    </cfRule>
    <cfRule type="cellIs" dxfId="4936" priority="5525" operator="equal">
      <formula>"P"</formula>
    </cfRule>
    <cfRule type="cellIs" dxfId="4935" priority="5524" operator="equal">
      <formula>"P"</formula>
    </cfRule>
    <cfRule type="cellIs" dxfId="4934" priority="5520" operator="equal">
      <formula>"T"</formula>
    </cfRule>
    <cfRule type="cellIs" dxfId="4933" priority="5519" operator="equal">
      <formula>"T"</formula>
    </cfRule>
    <cfRule type="cellIs" dxfId="4932" priority="5518" operator="equal">
      <formula>"P"</formula>
    </cfRule>
    <cfRule type="cellIs" dxfId="4931" priority="5517" operator="equal">
      <formula>"L"</formula>
    </cfRule>
    <cfRule type="cellIs" dxfId="4930" priority="5515" operator="equal">
      <formula>"L"</formula>
    </cfRule>
    <cfRule type="cellIs" dxfId="4929" priority="5514" operator="equal">
      <formula>"P"</formula>
    </cfRule>
    <cfRule type="cellIs" dxfId="4928" priority="5513" operator="equal">
      <formula>"T"</formula>
    </cfRule>
    <cfRule type="cellIs" dxfId="4927" priority="5512" operator="equal">
      <formula>"T"</formula>
    </cfRule>
    <cfRule type="cellIs" dxfId="4926" priority="5511" operator="equal">
      <formula>"P"</formula>
    </cfRule>
    <cfRule type="cellIs" dxfId="4925" priority="5507" operator="equal">
      <formula>"L"</formula>
    </cfRule>
    <cfRule type="cellIs" dxfId="4924" priority="5506" operator="equal">
      <formula>"P"</formula>
    </cfRule>
    <cfRule type="cellIs" dxfId="4923" priority="5504" operator="equal">
      <formula>"L"</formula>
    </cfRule>
    <cfRule type="cellIs" dxfId="4922" priority="5503" operator="equal">
      <formula>"P"</formula>
    </cfRule>
    <cfRule type="cellIs" dxfId="4921" priority="5502" operator="equal">
      <formula>"P"</formula>
    </cfRule>
    <cfRule type="cellIs" dxfId="4920" priority="5501" operator="equal">
      <formula>"L"</formula>
    </cfRule>
    <cfRule type="cellIs" dxfId="4919" priority="5499" operator="equal">
      <formula>"T"</formula>
    </cfRule>
    <cfRule type="cellIs" dxfId="4918" priority="5498" operator="equal">
      <formula>"T"</formula>
    </cfRule>
    <cfRule type="cellIs" dxfId="4917" priority="5497" operator="equal">
      <formula>"P"</formula>
    </cfRule>
    <cfRule type="cellIs" dxfId="4916" priority="5496" operator="equal">
      <formula>"P"</formula>
    </cfRule>
    <cfRule type="cellIs" dxfId="4915" priority="5495" operator="equal">
      <formula>"P"</formula>
    </cfRule>
    <cfRule type="cellIs" dxfId="4914" priority="5494" operator="equal">
      <formula>"L"</formula>
    </cfRule>
    <cfRule type="cellIs" dxfId="4913" priority="5493" operator="equal">
      <formula>"L"</formula>
    </cfRule>
    <cfRule type="cellIs" dxfId="4912" priority="5492" operator="equal">
      <formula>"L"</formula>
    </cfRule>
    <cfRule type="cellIs" dxfId="4911" priority="5491" operator="equal">
      <formula>"P"</formula>
    </cfRule>
    <cfRule type="cellIs" dxfId="4910" priority="5486" operator="equal">
      <formula>"N"</formula>
    </cfRule>
    <cfRule type="cellIs" dxfId="4909" priority="5485" operator="equal">
      <formula>"P"</formula>
    </cfRule>
    <cfRule type="cellIs" dxfId="4908" priority="5484" operator="equal">
      <formula>"P"</formula>
    </cfRule>
    <cfRule type="cellIs" dxfId="4907" priority="5483" operator="equal">
      <formula>"P"</formula>
    </cfRule>
    <cfRule type="cellIs" dxfId="4906" priority="5481" operator="equal">
      <formula>"P"</formula>
    </cfRule>
    <cfRule type="cellIs" dxfId="4905" priority="5480" operator="equal">
      <formula>"L"</formula>
    </cfRule>
    <cfRule type="cellIs" dxfId="4904" priority="5479" operator="equal">
      <formula>"L"</formula>
    </cfRule>
    <cfRule type="cellIs" dxfId="4903" priority="5478" operator="equal">
      <formula>"P"</formula>
    </cfRule>
    <cfRule type="cellIs" dxfId="4902" priority="5477" operator="equal">
      <formula>"L"</formula>
    </cfRule>
    <cfRule type="cellIs" dxfId="4901" priority="5476" operator="equal">
      <formula>"P"</formula>
    </cfRule>
    <cfRule type="cellIs" dxfId="4900" priority="5475" operator="equal">
      <formula>"L"</formula>
    </cfRule>
    <cfRule type="cellIs" dxfId="4899" priority="5474" operator="equal">
      <formula>"P"</formula>
    </cfRule>
    <cfRule type="cellIs" dxfId="4898" priority="5473" operator="equal">
      <formula>"N"</formula>
    </cfRule>
    <cfRule type="cellIs" dxfId="4897" priority="5472" operator="equal">
      <formula>"L"</formula>
    </cfRule>
    <cfRule type="cellIs" dxfId="4896" priority="5470" operator="equal">
      <formula>"N"</formula>
    </cfRule>
    <cfRule type="cellIs" dxfId="4895" priority="5469" operator="equal">
      <formula>"L"</formula>
    </cfRule>
    <cfRule type="cellIs" dxfId="4894" priority="5468" operator="equal">
      <formula>"L"</formula>
    </cfRule>
    <cfRule type="cellIs" dxfId="4893" priority="5467" operator="equal">
      <formula>"L"</formula>
    </cfRule>
    <cfRule type="cellIs" dxfId="4892" priority="5466" operator="equal">
      <formula>"P"</formula>
    </cfRule>
    <cfRule type="cellIs" dxfId="4891" priority="5465" operator="equal">
      <formula>"P"</formula>
    </cfRule>
    <cfRule type="cellIs" dxfId="4890" priority="5464" operator="equal">
      <formula>"L"</formula>
    </cfRule>
    <cfRule type="cellIs" dxfId="4889" priority="5463" operator="equal">
      <formula>"P"</formula>
    </cfRule>
    <cfRule type="cellIs" dxfId="4888" priority="5462" operator="equal">
      <formula>"N"</formula>
    </cfRule>
    <cfRule type="cellIs" dxfId="4887" priority="5461" operator="equal">
      <formula>"L"</formula>
    </cfRule>
    <cfRule type="cellIs" dxfId="4886" priority="5460" operator="equal">
      <formula>"P"</formula>
    </cfRule>
    <cfRule type="cellIs" dxfId="4885" priority="5459" operator="equal">
      <formula>"P"</formula>
    </cfRule>
    <cfRule type="cellIs" dxfId="4884" priority="5455" operator="equal">
      <formula>"T"</formula>
    </cfRule>
    <cfRule type="cellIs" dxfId="4883" priority="5454" operator="equal">
      <formula>"T"</formula>
    </cfRule>
    <cfRule type="cellIs" dxfId="4882" priority="5453" operator="equal">
      <formula>"P"</formula>
    </cfRule>
    <cfRule type="cellIs" dxfId="4881" priority="5452" operator="equal">
      <formula>"L"</formula>
    </cfRule>
    <cfRule type="cellIs" dxfId="4880" priority="5450" operator="equal">
      <formula>"L"</formula>
    </cfRule>
    <cfRule type="cellIs" dxfId="4879" priority="5449" operator="equal">
      <formula>"P"</formula>
    </cfRule>
    <cfRule type="cellIs" dxfId="4878" priority="5448" operator="equal">
      <formula>"T"</formula>
    </cfRule>
    <cfRule type="cellIs" dxfId="4877" priority="5447" operator="equal">
      <formula>"T"</formula>
    </cfRule>
    <cfRule type="cellIs" dxfId="4876" priority="5446" operator="equal">
      <formula>"P"</formula>
    </cfRule>
    <cfRule type="cellIs" dxfId="4875" priority="5442" operator="equal">
      <formula>"L"</formula>
    </cfRule>
    <cfRule type="cellIs" dxfId="4874" priority="5441" operator="equal">
      <formula>"P"</formula>
    </cfRule>
    <cfRule type="cellIs" dxfId="4873" priority="5439" operator="equal">
      <formula>"L"</formula>
    </cfRule>
    <cfRule type="cellIs" dxfId="4872" priority="5438" operator="equal">
      <formula>"P"</formula>
    </cfRule>
    <cfRule type="cellIs" dxfId="4871" priority="5437" operator="equal">
      <formula>"P"</formula>
    </cfRule>
    <cfRule type="cellIs" dxfId="4870" priority="5436" operator="equal">
      <formula>"L"</formula>
    </cfRule>
    <cfRule type="cellIs" dxfId="4869" priority="5434" operator="equal">
      <formula>"T"</formula>
    </cfRule>
    <cfRule type="cellIs" dxfId="4868" priority="5433" operator="equal">
      <formula>"T"</formula>
    </cfRule>
    <cfRule type="cellIs" dxfId="4867" priority="5432" operator="equal">
      <formula>"P"</formula>
    </cfRule>
    <cfRule type="cellIs" dxfId="4866" priority="5431" operator="equal">
      <formula>"P"</formula>
    </cfRule>
    <cfRule type="cellIs" dxfId="4865" priority="5430" operator="equal">
      <formula>"P"</formula>
    </cfRule>
    <cfRule type="cellIs" dxfId="4864" priority="5429" operator="equal">
      <formula>"L"</formula>
    </cfRule>
    <cfRule type="cellIs" dxfId="4863" priority="5428" operator="equal">
      <formula>"L"</formula>
    </cfRule>
    <cfRule type="cellIs" dxfId="4862" priority="5427" operator="equal">
      <formula>"L"</formula>
    </cfRule>
    <cfRule type="cellIs" dxfId="4861" priority="5426" operator="equal">
      <formula>"P"</formula>
    </cfRule>
    <cfRule type="cellIs" dxfId="4860" priority="5421" operator="equal">
      <formula>"N"</formula>
    </cfRule>
    <cfRule type="cellIs" dxfId="4859" priority="5420" operator="equal">
      <formula>"P"</formula>
    </cfRule>
    <cfRule type="cellIs" dxfId="4858" priority="5419" operator="equal">
      <formula>"P"</formula>
    </cfRule>
    <cfRule type="cellIs" dxfId="4857" priority="5418" operator="equal">
      <formula>"P"</formula>
    </cfRule>
    <cfRule type="cellIs" dxfId="4856" priority="5416" operator="equal">
      <formula>"P"</formula>
    </cfRule>
    <cfRule type="cellIs" dxfId="4855" priority="5415" operator="equal">
      <formula>"L"</formula>
    </cfRule>
    <cfRule type="cellIs" dxfId="4854" priority="5414" operator="equal">
      <formula>"L"</formula>
    </cfRule>
    <cfRule type="cellIs" dxfId="4853" priority="5413" operator="equal">
      <formula>"P"</formula>
    </cfRule>
    <cfRule type="cellIs" dxfId="4852" priority="5412" operator="equal">
      <formula>"L"</formula>
    </cfRule>
    <cfRule type="cellIs" dxfId="4851" priority="5411" operator="equal">
      <formula>"P"</formula>
    </cfRule>
    <cfRule type="cellIs" dxfId="4850" priority="5410" operator="equal">
      <formula>"L"</formula>
    </cfRule>
    <cfRule type="cellIs" dxfId="4849" priority="5409" operator="equal">
      <formula>"P"</formula>
    </cfRule>
    <cfRule type="cellIs" dxfId="4848" priority="5408" operator="equal">
      <formula>"N"</formula>
    </cfRule>
    <cfRule type="cellIs" dxfId="4847" priority="5407" operator="equal">
      <formula>"L"</formula>
    </cfRule>
    <cfRule type="cellIs" dxfId="4846" priority="5405" operator="equal">
      <formula>"N"</formula>
    </cfRule>
    <cfRule type="cellIs" dxfId="4845" priority="5404" operator="equal">
      <formula>"L"</formula>
    </cfRule>
    <cfRule type="cellIs" dxfId="4844" priority="5403" operator="equal">
      <formula>"L"</formula>
    </cfRule>
    <cfRule type="cellIs" dxfId="4843" priority="5402" operator="equal">
      <formula>"L"</formula>
    </cfRule>
    <cfRule type="cellIs" dxfId="4842" priority="5401" operator="equal">
      <formula>"P"</formula>
    </cfRule>
    <cfRule type="cellIs" dxfId="4841" priority="5399" operator="equal">
      <formula>"L"</formula>
    </cfRule>
    <cfRule type="cellIs" dxfId="4840" priority="5398" operator="equal">
      <formula>"P"</formula>
    </cfRule>
    <cfRule type="cellIs" dxfId="4839" priority="5396" operator="equal">
      <formula>"L"</formula>
    </cfRule>
    <cfRule type="cellIs" dxfId="4838" priority="5395" operator="equal">
      <formula>"P"</formula>
    </cfRule>
    <cfRule type="cellIs" dxfId="4837" priority="5394" operator="equal">
      <formula>"P"</formula>
    </cfRule>
    <cfRule type="cellIs" dxfId="4836" priority="5390" operator="equal">
      <formula>"T"</formula>
    </cfRule>
    <cfRule type="cellIs" dxfId="4835" priority="5389" operator="equal">
      <formula>"T"</formula>
    </cfRule>
    <cfRule type="cellIs" dxfId="4834" priority="5388" operator="equal">
      <formula>"P"</formula>
    </cfRule>
    <cfRule type="cellIs" dxfId="4833" priority="5387" operator="equal">
      <formula>"L"</formula>
    </cfRule>
    <cfRule type="cellIs" dxfId="4832" priority="5384" operator="equal">
      <formula>"P"</formula>
    </cfRule>
    <cfRule type="cellIs" dxfId="4831" priority="5383" operator="equal">
      <formula>"T"</formula>
    </cfRule>
    <cfRule type="cellIs" dxfId="4830" priority="5382" operator="equal">
      <formula>"T"</formula>
    </cfRule>
    <cfRule type="cellIs" dxfId="4829" priority="5381" operator="equal">
      <formula>"P"</formula>
    </cfRule>
    <cfRule type="cellIs" dxfId="4828" priority="5691" operator="equal">
      <formula>"P"</formula>
    </cfRule>
    <cfRule type="cellIs" dxfId="4827" priority="5690" operator="equal">
      <formula>"P"</formula>
    </cfRule>
    <cfRule type="cellIs" dxfId="4826" priority="5689" operator="equal">
      <formula>"L"</formula>
    </cfRule>
    <cfRule type="cellIs" dxfId="4825" priority="5688" operator="equal">
      <formula>"L"</formula>
    </cfRule>
    <cfRule type="cellIs" dxfId="4824" priority="5687" operator="equal">
      <formula>"L"</formula>
    </cfRule>
    <cfRule type="cellIs" dxfId="4823" priority="5686" operator="equal">
      <formula>"P"</formula>
    </cfRule>
    <cfRule type="cellIs" dxfId="4822" priority="5400" operator="equal">
      <formula>"P"</formula>
    </cfRule>
    <cfRule type="cellIs" dxfId="4821" priority="5885" operator="equal">
      <formula>"P"</formula>
    </cfRule>
    <cfRule type="cellIs" dxfId="4820" priority="6101" operator="equal">
      <formula>"P"</formula>
    </cfRule>
    <cfRule type="cellIs" dxfId="4819" priority="6099" operator="equal">
      <formula>"P"</formula>
    </cfRule>
    <cfRule type="cellIs" dxfId="4818" priority="6098" operator="equal">
      <formula>"T"</formula>
    </cfRule>
    <cfRule type="cellIs" dxfId="4817" priority="6097" operator="equal">
      <formula>"T"</formula>
    </cfRule>
    <cfRule type="cellIs" dxfId="4816" priority="6096" operator="equal">
      <formula>"P"</formula>
    </cfRule>
    <cfRule type="cellIs" dxfId="4815" priority="6095" operator="equal">
      <formula>"P"</formula>
    </cfRule>
    <cfRule type="cellIs" dxfId="4814" priority="6094" operator="equal">
      <formula>"T"</formula>
    </cfRule>
    <cfRule type="cellIs" dxfId="4813" priority="6093" operator="equal">
      <formula>"T"</formula>
    </cfRule>
    <cfRule type="cellIs" dxfId="4812" priority="6092" operator="equal">
      <formula>"P"</formula>
    </cfRule>
    <cfRule type="cellIs" dxfId="4811" priority="6091" operator="equal">
      <formula>"P"</formula>
    </cfRule>
    <cfRule type="cellIs" dxfId="4810" priority="6088" operator="equal">
      <formula>"T"</formula>
    </cfRule>
    <cfRule type="cellIs" dxfId="4809" priority="6087" operator="equal">
      <formula>"T"</formula>
    </cfRule>
    <cfRule type="cellIs" dxfId="4808" priority="6086" operator="equal">
      <formula>"P"</formula>
    </cfRule>
    <cfRule type="cellIs" dxfId="4807" priority="6083" operator="equal">
      <formula>"P"</formula>
    </cfRule>
    <cfRule type="cellIs" dxfId="4806" priority="6082" operator="equal">
      <formula>"T"</formula>
    </cfRule>
    <cfRule type="cellIs" dxfId="4805" priority="6081" operator="equal">
      <formula>"T"</formula>
    </cfRule>
    <cfRule type="cellIs" dxfId="4804" priority="6080" operator="equal">
      <formula>"P"</formula>
    </cfRule>
    <cfRule type="cellIs" dxfId="4803" priority="6079" operator="equal">
      <formula>"L"</formula>
    </cfRule>
    <cfRule type="cellIs" dxfId="4802" priority="6077" operator="equal">
      <formula>"L"</formula>
    </cfRule>
    <cfRule type="cellIs" dxfId="4801" priority="6073" operator="equal">
      <formula>"L"</formula>
    </cfRule>
    <cfRule type="cellIs" dxfId="4800" priority="6072" operator="equal">
      <formula>"P"</formula>
    </cfRule>
    <cfRule type="cellIs" dxfId="4799" priority="6070" operator="equal">
      <formula>"L"</formula>
    </cfRule>
    <cfRule type="cellIs" dxfId="4798" priority="6069" operator="equal">
      <formula>"P"</formula>
    </cfRule>
    <cfRule type="cellIs" dxfId="4797" priority="6068" operator="equal">
      <formula>"P"</formula>
    </cfRule>
    <cfRule type="cellIs" dxfId="4796" priority="6067" operator="equal">
      <formula>"L"</formula>
    </cfRule>
    <cfRule type="cellIs" dxfId="4795" priority="6065" operator="equal">
      <formula>"T"</formula>
    </cfRule>
    <cfRule type="cellIs" dxfId="4794" priority="6064" operator="equal">
      <formula>"T"</formula>
    </cfRule>
    <cfRule type="cellIs" dxfId="4793" priority="6063" operator="equal">
      <formula>"P"</formula>
    </cfRule>
    <cfRule type="cellIs" dxfId="4792" priority="6062" operator="equal">
      <formula>"P"</formula>
    </cfRule>
    <cfRule type="cellIs" dxfId="4791" priority="6061" operator="equal">
      <formula>"P"</formula>
    </cfRule>
    <cfRule type="cellIs" dxfId="4790" priority="6060" operator="equal">
      <formula>"L"</formula>
    </cfRule>
    <cfRule type="cellIs" dxfId="4789" priority="6059" operator="equal">
      <formula>"L"</formula>
    </cfRule>
    <cfRule type="cellIs" dxfId="4788" priority="6058" operator="equal">
      <formula>"L"</formula>
    </cfRule>
    <cfRule type="cellIs" dxfId="4787" priority="6057" operator="equal">
      <formula>"P"</formula>
    </cfRule>
    <cfRule type="cellIs" dxfId="4786" priority="6052" operator="equal">
      <formula>"P"</formula>
    </cfRule>
    <cfRule type="cellIs" dxfId="4785" priority="6051" operator="equal">
      <formula>"P"</formula>
    </cfRule>
    <cfRule type="cellIs" dxfId="4784" priority="6050" operator="equal">
      <formula>"P"</formula>
    </cfRule>
    <cfRule type="cellIs" dxfId="4783" priority="6048" operator="equal">
      <formula>"P"</formula>
    </cfRule>
    <cfRule type="cellIs" dxfId="4782" priority="6047" operator="equal">
      <formula>"L"</formula>
    </cfRule>
    <cfRule type="cellIs" dxfId="4781" priority="6046" operator="equal">
      <formula>"L"</formula>
    </cfRule>
    <cfRule type="cellIs" dxfId="4780" priority="6045" operator="equal">
      <formula>"P"</formula>
    </cfRule>
    <cfRule type="cellIs" dxfId="4779" priority="6044" operator="equal">
      <formula>"L"</formula>
    </cfRule>
    <cfRule type="cellIs" dxfId="4778" priority="6043" operator="equal">
      <formula>"P"</formula>
    </cfRule>
    <cfRule type="cellIs" dxfId="4777" priority="6042" operator="equal">
      <formula>"L"</formula>
    </cfRule>
    <cfRule type="cellIs" dxfId="4776" priority="6041" operator="equal">
      <formula>"P"</formula>
    </cfRule>
    <cfRule type="cellIs" dxfId="4775" priority="6039" operator="equal">
      <formula>"L"</formula>
    </cfRule>
    <cfRule type="cellIs" dxfId="4774" priority="6037" operator="equal">
      <formula>"L"</formula>
    </cfRule>
    <cfRule type="cellIs" dxfId="4773" priority="6036" operator="equal">
      <formula>"L"</formula>
    </cfRule>
    <cfRule type="cellIs" dxfId="4772" priority="6035" operator="equal">
      <formula>"L"</formula>
    </cfRule>
    <cfRule type="cellIs" dxfId="4771" priority="6034" operator="equal">
      <formula>"P"</formula>
    </cfRule>
    <cfRule type="cellIs" dxfId="4770" priority="6033" operator="equal">
      <formula>"P"</formula>
    </cfRule>
    <cfRule type="cellIs" dxfId="4769" priority="6032" operator="equal">
      <formula>"L"</formula>
    </cfRule>
    <cfRule type="cellIs" dxfId="4768" priority="6031" operator="equal">
      <formula>"P"</formula>
    </cfRule>
    <cfRule type="cellIs" dxfId="4767" priority="6030" operator="equal">
      <formula>"N"</formula>
    </cfRule>
    <cfRule type="cellIs" dxfId="4766" priority="6029" operator="equal">
      <formula>"L"</formula>
    </cfRule>
    <cfRule type="cellIs" dxfId="4765" priority="6028" operator="equal">
      <formula>"P"</formula>
    </cfRule>
    <cfRule type="cellIs" dxfId="4764" priority="6027" operator="equal">
      <formula>"P"</formula>
    </cfRule>
    <cfRule type="cellIs" dxfId="4763" priority="6023" operator="equal">
      <formula>"T"</formula>
    </cfRule>
    <cfRule type="cellIs" dxfId="4762" priority="6022" operator="equal">
      <formula>"T"</formula>
    </cfRule>
    <cfRule type="cellIs" dxfId="4761" priority="6021" operator="equal">
      <formula>"P"</formula>
    </cfRule>
    <cfRule type="cellIs" dxfId="4760" priority="6020" operator="equal">
      <formula>"L"</formula>
    </cfRule>
    <cfRule type="cellIs" dxfId="4759" priority="6018" operator="equal">
      <formula>"L"</formula>
    </cfRule>
    <cfRule type="cellIs" dxfId="4758" priority="6017" operator="equal">
      <formula>"P"</formula>
    </cfRule>
    <cfRule type="cellIs" dxfId="4757" priority="6016" operator="equal">
      <formula>"T"</formula>
    </cfRule>
    <cfRule type="cellIs" dxfId="4756" priority="6015" operator="equal">
      <formula>"T"</formula>
    </cfRule>
    <cfRule type="cellIs" dxfId="4755" priority="6014" operator="equal">
      <formula>"P"</formula>
    </cfRule>
    <cfRule type="cellIs" dxfId="4754" priority="6013" operator="equal">
      <formula>"P"</formula>
    </cfRule>
    <cfRule type="cellIs" dxfId="4753" priority="6012" operator="equal">
      <formula>"T"</formula>
    </cfRule>
    <cfRule type="cellIs" dxfId="4752" priority="6011" operator="equal">
      <formula>"T"</formula>
    </cfRule>
    <cfRule type="cellIs" dxfId="4751" priority="6010" operator="equal">
      <formula>"P"</formula>
    </cfRule>
    <cfRule type="cellIs" dxfId="4750" priority="6009" operator="equal">
      <formula>"P"</formula>
    </cfRule>
    <cfRule type="cellIs" dxfId="4749" priority="6008" operator="equal">
      <formula>"T"</formula>
    </cfRule>
    <cfRule type="cellIs" dxfId="4748" priority="6007" operator="equal">
      <formula>"T"</formula>
    </cfRule>
    <cfRule type="cellIs" dxfId="4747" priority="6006" operator="equal">
      <formula>"P"</formula>
    </cfRule>
    <cfRule type="cellIs" dxfId="4746" priority="6005" operator="equal">
      <formula>"P"</formula>
    </cfRule>
    <cfRule type="cellIs" dxfId="4745" priority="6002" operator="equal">
      <formula>"T"</formula>
    </cfRule>
    <cfRule type="cellIs" dxfId="4744" priority="6001" operator="equal">
      <formula>"T"</formula>
    </cfRule>
    <cfRule type="cellIs" dxfId="4743" priority="6000" operator="equal">
      <formula>"P"</formula>
    </cfRule>
    <cfRule type="cellIs" dxfId="4742" priority="5997" operator="equal">
      <formula>"P"</formula>
    </cfRule>
    <cfRule type="cellIs" dxfId="4741" priority="5996" operator="equal">
      <formula>"T"</formula>
    </cfRule>
    <cfRule type="cellIs" dxfId="4740" priority="5995" operator="equal">
      <formula>"T"</formula>
    </cfRule>
    <cfRule type="cellIs" dxfId="4739" priority="5994" operator="equal">
      <formula>"P"</formula>
    </cfRule>
    <cfRule type="cellIs" dxfId="4738" priority="5993" operator="equal">
      <formula>"L"</formula>
    </cfRule>
    <cfRule type="cellIs" dxfId="4737" priority="5991" operator="equal">
      <formula>"L"</formula>
    </cfRule>
    <cfRule type="cellIs" dxfId="4736" priority="5987" operator="equal">
      <formula>"L"</formula>
    </cfRule>
    <cfRule type="cellIs" dxfId="4735" priority="5986" operator="equal">
      <formula>"P"</formula>
    </cfRule>
    <cfRule type="cellIs" dxfId="4734" priority="5984" operator="equal">
      <formula>"L"</formula>
    </cfRule>
    <cfRule type="cellIs" dxfId="4733" priority="5983" operator="equal">
      <formula>"P"</formula>
    </cfRule>
    <cfRule type="cellIs" dxfId="4732" priority="5982" operator="equal">
      <formula>"P"</formula>
    </cfRule>
    <cfRule type="cellIs" dxfId="4731" priority="5981" operator="equal">
      <formula>"L"</formula>
    </cfRule>
    <cfRule type="cellIs" dxfId="4730" priority="5979" operator="equal">
      <formula>"T"</formula>
    </cfRule>
    <cfRule type="cellIs" dxfId="4729" priority="5978" operator="equal">
      <formula>"T"</formula>
    </cfRule>
    <cfRule type="cellIs" dxfId="4728" priority="5977" operator="equal">
      <formula>"P"</formula>
    </cfRule>
    <cfRule type="cellIs" dxfId="4727" priority="5976" operator="equal">
      <formula>"P"</formula>
    </cfRule>
    <cfRule type="cellIs" dxfId="4726" priority="5975" operator="equal">
      <formula>"P"</formula>
    </cfRule>
    <cfRule type="cellIs" dxfId="4725" priority="5974" operator="equal">
      <formula>"L"</formula>
    </cfRule>
    <cfRule type="cellIs" dxfId="4724" priority="5973" operator="equal">
      <formula>"L"</formula>
    </cfRule>
    <cfRule type="cellIs" dxfId="4723" priority="5972" operator="equal">
      <formula>"L"</formula>
    </cfRule>
    <cfRule type="cellIs" dxfId="4722" priority="5971" operator="equal">
      <formula>"P"</formula>
    </cfRule>
    <cfRule type="cellIs" dxfId="4721" priority="5966" operator="equal">
      <formula>"N"</formula>
    </cfRule>
    <cfRule type="cellIs" dxfId="4720" priority="5965" operator="equal">
      <formula>"P"</formula>
    </cfRule>
    <cfRule type="cellIs" dxfId="4719" priority="5964" operator="equal">
      <formula>"P"</formula>
    </cfRule>
    <cfRule type="cellIs" dxfId="4718" priority="5963" operator="equal">
      <formula>"P"</formula>
    </cfRule>
    <cfRule type="cellIs" dxfId="4717" priority="5961" operator="equal">
      <formula>"P"</formula>
    </cfRule>
    <cfRule type="cellIs" dxfId="4716" priority="5960" operator="equal">
      <formula>"L"</formula>
    </cfRule>
    <cfRule type="cellIs" dxfId="4715" priority="5959" operator="equal">
      <formula>"L"</formula>
    </cfRule>
    <cfRule type="cellIs" dxfId="4714" priority="5958" operator="equal">
      <formula>"P"</formula>
    </cfRule>
    <cfRule type="cellIs" dxfId="4713" priority="5957" operator="equal">
      <formula>"L"</formula>
    </cfRule>
    <cfRule type="cellIs" dxfId="4712" priority="5956" operator="equal">
      <formula>"P"</formula>
    </cfRule>
    <cfRule type="cellIs" dxfId="4711" priority="5955" operator="equal">
      <formula>"L"</formula>
    </cfRule>
    <cfRule type="cellIs" dxfId="4710" priority="5954" operator="equal">
      <formula>"P"</formula>
    </cfRule>
    <cfRule type="cellIs" dxfId="4709" priority="5953" operator="equal">
      <formula>"N"</formula>
    </cfRule>
    <cfRule type="cellIs" dxfId="4708" priority="5952" operator="equal">
      <formula>"L"</formula>
    </cfRule>
    <cfRule type="cellIs" dxfId="4707" priority="5950" operator="equal">
      <formula>"N"</formula>
    </cfRule>
    <cfRule type="cellIs" dxfId="4706" priority="5949" operator="equal">
      <formula>"L"</formula>
    </cfRule>
    <cfRule type="cellIs" dxfId="4705" priority="5948" operator="equal">
      <formula>"L"</formula>
    </cfRule>
    <cfRule type="cellIs" dxfId="4704" priority="5947" operator="equal">
      <formula>"L"</formula>
    </cfRule>
    <cfRule type="cellIs" dxfId="4703" priority="5946" operator="equal">
      <formula>"P"</formula>
    </cfRule>
    <cfRule type="cellIs" dxfId="4702" priority="5945" operator="equal">
      <formula>"P"</formula>
    </cfRule>
    <cfRule type="cellIs" dxfId="4701" priority="5944" operator="equal">
      <formula>"L"</formula>
    </cfRule>
    <cfRule type="cellIs" dxfId="4700" priority="5943" operator="equal">
      <formula>"P"</formula>
    </cfRule>
    <cfRule type="cellIs" dxfId="4699" priority="5942" operator="equal">
      <formula>"N"</formula>
    </cfRule>
    <cfRule type="cellIs" dxfId="4698" priority="5941" operator="equal">
      <formula>"L"</formula>
    </cfRule>
    <cfRule type="cellIs" dxfId="4697" priority="5940" operator="equal">
      <formula>"P"</formula>
    </cfRule>
    <cfRule type="cellIs" dxfId="4696" priority="5939" operator="equal">
      <formula>"P"</formula>
    </cfRule>
    <cfRule type="cellIs" dxfId="4695" priority="5935" operator="equal">
      <formula>"T"</formula>
    </cfRule>
    <cfRule type="cellIs" dxfId="4694" priority="5934" operator="equal">
      <formula>"T"</formula>
    </cfRule>
    <cfRule type="cellIs" dxfId="4693" priority="5933" operator="equal">
      <formula>"P"</formula>
    </cfRule>
    <cfRule type="cellIs" dxfId="4692" priority="5932" operator="equal">
      <formula>"L"</formula>
    </cfRule>
    <cfRule type="cellIs" dxfId="4691" priority="5930" operator="equal">
      <formula>"L"</formula>
    </cfRule>
    <cfRule type="cellIs" dxfId="4690" priority="5929" operator="equal">
      <formula>"P"</formula>
    </cfRule>
    <cfRule type="cellIs" dxfId="4689" priority="5928" operator="equal">
      <formula>"T"</formula>
    </cfRule>
    <cfRule type="cellIs" dxfId="4688" priority="5927" operator="equal">
      <formula>"T"</formula>
    </cfRule>
    <cfRule type="cellIs" dxfId="4687" priority="5926" operator="equal">
      <formula>"P"</formula>
    </cfRule>
    <cfRule type="cellIs" dxfId="4686" priority="5925" operator="equal">
      <formula>"P"</formula>
    </cfRule>
    <cfRule type="cellIs" dxfId="4685" priority="5922" operator="equal">
      <formula>"T"</formula>
    </cfRule>
    <cfRule type="cellIs" dxfId="4684" priority="5921" operator="equal">
      <formula>"T"</formula>
    </cfRule>
    <cfRule type="cellIs" dxfId="4683" priority="5920" operator="equal">
      <formula>"P"</formula>
    </cfRule>
    <cfRule type="cellIs" dxfId="4682" priority="5917" operator="equal">
      <formula>"P"</formula>
    </cfRule>
    <cfRule type="cellIs" dxfId="4681" priority="5916" operator="equal">
      <formula>"T"</formula>
    </cfRule>
    <cfRule type="cellIs" dxfId="4680" priority="5915" operator="equal">
      <formula>"T"</formula>
    </cfRule>
    <cfRule type="cellIs" dxfId="4679" priority="5914" operator="equal">
      <formula>"P"</formula>
    </cfRule>
    <cfRule type="cellIs" dxfId="4678" priority="5913" operator="equal">
      <formula>"L"</formula>
    </cfRule>
    <cfRule type="cellIs" dxfId="4677" priority="5911" operator="equal">
      <formula>"L"</formula>
    </cfRule>
    <cfRule type="cellIs" dxfId="4676" priority="5907" operator="equal">
      <formula>"L"</formula>
    </cfRule>
    <cfRule type="cellIs" dxfId="4675" priority="5906" operator="equal">
      <formula>"P"</formula>
    </cfRule>
    <cfRule type="cellIs" dxfId="4674" priority="5904" operator="equal">
      <formula>"L"</formula>
    </cfRule>
    <cfRule type="cellIs" dxfId="4673" priority="5903" operator="equal">
      <formula>"P"</formula>
    </cfRule>
    <cfRule type="cellIs" dxfId="4672" priority="5902" operator="equal">
      <formula>"P"</formula>
    </cfRule>
    <cfRule type="cellIs" dxfId="4671" priority="5901" operator="equal">
      <formula>"L"</formula>
    </cfRule>
    <cfRule type="cellIs" dxfId="4670" priority="5899" operator="equal">
      <formula>"T"</formula>
    </cfRule>
    <cfRule type="cellIs" dxfId="4669" priority="5898" operator="equal">
      <formula>"T"</formula>
    </cfRule>
    <cfRule type="cellIs" dxfId="4668" priority="5897" operator="equal">
      <formula>"P"</formula>
    </cfRule>
    <cfRule type="cellIs" dxfId="4667" priority="5896" operator="equal">
      <formula>"P"</formula>
    </cfRule>
    <cfRule type="cellIs" dxfId="4666" priority="5895" operator="equal">
      <formula>"P"</formula>
    </cfRule>
    <cfRule type="cellIs" dxfId="4665" priority="5894" operator="equal">
      <formula>"L"</formula>
    </cfRule>
    <cfRule type="cellIs" dxfId="4664" priority="5893" operator="equal">
      <formula>"L"</formula>
    </cfRule>
    <cfRule type="cellIs" dxfId="4663" priority="5892" operator="equal">
      <formula>"L"</formula>
    </cfRule>
    <cfRule type="cellIs" dxfId="4662" priority="5891" operator="equal">
      <formula>"P"</formula>
    </cfRule>
    <cfRule type="cellIs" dxfId="4661" priority="5886" operator="equal">
      <formula>"N"</formula>
    </cfRule>
    <cfRule type="cellIs" dxfId="4660" priority="5884" operator="equal">
      <formula>"P"</formula>
    </cfRule>
    <cfRule type="cellIs" dxfId="4659" priority="5883" operator="equal">
      <formula>"P"</formula>
    </cfRule>
    <cfRule type="cellIs" dxfId="4658" priority="5881" operator="equal">
      <formula>"P"</formula>
    </cfRule>
    <cfRule type="cellIs" dxfId="4657" priority="5880" operator="equal">
      <formula>"L"</formula>
    </cfRule>
    <cfRule type="cellIs" dxfId="4656" priority="5879" operator="equal">
      <formula>"L"</formula>
    </cfRule>
    <cfRule type="cellIs" dxfId="4655" priority="5878" operator="equal">
      <formula>"P"</formula>
    </cfRule>
    <cfRule type="cellIs" dxfId="4654" priority="5877" operator="equal">
      <formula>"L"</formula>
    </cfRule>
    <cfRule type="cellIs" dxfId="4653" priority="5876" operator="equal">
      <formula>"P"</formula>
    </cfRule>
    <cfRule type="cellIs" dxfId="4652" priority="5875" operator="equal">
      <formula>"L"</formula>
    </cfRule>
    <cfRule type="cellIs" dxfId="4651" priority="5874" operator="equal">
      <formula>"P"</formula>
    </cfRule>
    <cfRule type="cellIs" dxfId="4650" priority="5873" operator="equal">
      <formula>"N"</formula>
    </cfRule>
    <cfRule type="cellIs" dxfId="4649" priority="5872" operator="equal">
      <formula>"L"</formula>
    </cfRule>
    <cfRule type="cellIs" dxfId="4648" priority="5870" operator="equal">
      <formula>"N"</formula>
    </cfRule>
    <cfRule type="cellIs" dxfId="4647" priority="5869" operator="equal">
      <formula>"L"</formula>
    </cfRule>
    <cfRule type="cellIs" dxfId="4646" priority="5868" operator="equal">
      <formula>"L"</formula>
    </cfRule>
    <cfRule type="cellIs" dxfId="4645" priority="5867" operator="equal">
      <formula>"L"</formula>
    </cfRule>
    <cfRule type="cellIs" dxfId="4644" priority="5866" operator="equal">
      <formula>"P"</formula>
    </cfRule>
    <cfRule type="cellIs" dxfId="4643" priority="5865" operator="equal">
      <formula>"P"</formula>
    </cfRule>
    <cfRule type="cellIs" dxfId="4642" priority="5864" operator="equal">
      <formula>"L"</formula>
    </cfRule>
    <cfRule type="cellIs" dxfId="4641" priority="5863" operator="equal">
      <formula>"P"</formula>
    </cfRule>
    <cfRule type="cellIs" dxfId="4640" priority="5862" operator="equal">
      <formula>"N"</formula>
    </cfRule>
    <cfRule type="cellIs" dxfId="4639" priority="5861" operator="equal">
      <formula>"L"</formula>
    </cfRule>
    <cfRule type="cellIs" dxfId="4638" priority="5860" operator="equal">
      <formula>"P"</formula>
    </cfRule>
    <cfRule type="cellIs" dxfId="4637" priority="5859" operator="equal">
      <formula>"P"</formula>
    </cfRule>
    <cfRule type="cellIs" dxfId="4636" priority="5855" operator="equal">
      <formula>"T"</formula>
    </cfRule>
    <cfRule type="cellIs" dxfId="4635" priority="5854" operator="equal">
      <formula>"T"</formula>
    </cfRule>
    <cfRule type="cellIs" dxfId="4634" priority="5853" operator="equal">
      <formula>"P"</formula>
    </cfRule>
    <cfRule type="cellIs" dxfId="4633" priority="5852" operator="equal">
      <formula>"L"</formula>
    </cfRule>
    <cfRule type="cellIs" dxfId="4632" priority="5850" operator="equal">
      <formula>"L"</formula>
    </cfRule>
    <cfRule type="cellIs" dxfId="4631" priority="5849" operator="equal">
      <formula>"P"</formula>
    </cfRule>
    <cfRule type="cellIs" dxfId="4630" priority="5848" operator="equal">
      <formula>"T"</formula>
    </cfRule>
    <cfRule type="cellIs" dxfId="4629" priority="5847" operator="equal">
      <formula>"T"</formula>
    </cfRule>
    <cfRule type="cellIs" dxfId="4628" priority="5846" operator="equal">
      <formula>"P"</formula>
    </cfRule>
    <cfRule type="cellIs" dxfId="4627" priority="5845" operator="equal">
      <formula>"P"</formula>
    </cfRule>
    <cfRule type="cellIs" dxfId="4626" priority="5844" operator="equal">
      <formula>"T"</formula>
    </cfRule>
    <cfRule type="cellIs" dxfId="4625" priority="5843" operator="equal">
      <formula>"T"</formula>
    </cfRule>
    <cfRule type="cellIs" dxfId="4624" priority="5842" operator="equal">
      <formula>"P"</formula>
    </cfRule>
    <cfRule type="cellIs" dxfId="4623" priority="5841" operator="equal">
      <formula>"L"</formula>
    </cfRule>
    <cfRule type="cellIs" dxfId="4622" priority="5839" operator="equal">
      <formula>"L"</formula>
    </cfRule>
    <cfRule type="cellIs" dxfId="4621" priority="5835" operator="equal">
      <formula>"L"</formula>
    </cfRule>
    <cfRule type="cellIs" dxfId="4620" priority="5834" operator="equal">
      <formula>"P"</formula>
    </cfRule>
    <cfRule type="cellIs" dxfId="4619" priority="5832" operator="equal">
      <formula>"L"</formula>
    </cfRule>
    <cfRule type="cellIs" dxfId="4618" priority="5831" operator="equal">
      <formula>"P"</formula>
    </cfRule>
    <cfRule type="cellIs" dxfId="4617" priority="5830" operator="equal">
      <formula>"P"</formula>
    </cfRule>
    <cfRule type="cellIs" dxfId="4616" priority="5829" operator="equal">
      <formula>"L"</formula>
    </cfRule>
    <cfRule type="cellIs" dxfId="4615" priority="5827" operator="equal">
      <formula>"T"</formula>
    </cfRule>
    <cfRule type="cellIs" dxfId="4614" priority="5826" operator="equal">
      <formula>"T"</formula>
    </cfRule>
    <cfRule type="cellIs" dxfId="4613" priority="5825" operator="equal">
      <formula>"P"</formula>
    </cfRule>
    <cfRule type="cellIs" dxfId="4612" priority="5824" operator="equal">
      <formula>"P"</formula>
    </cfRule>
    <cfRule type="cellIs" dxfId="4611" priority="5823" operator="equal">
      <formula>"P"</formula>
    </cfRule>
    <cfRule type="cellIs" dxfId="4610" priority="5822" operator="equal">
      <formula>"L"</formula>
    </cfRule>
    <cfRule type="cellIs" dxfId="4609" priority="5821" operator="equal">
      <formula>"L"</formula>
    </cfRule>
    <cfRule type="cellIs" dxfId="4608" priority="5820" operator="equal">
      <formula>"L"</formula>
    </cfRule>
    <cfRule type="cellIs" dxfId="4607" priority="5819" operator="equal">
      <formula>"P"</formula>
    </cfRule>
    <cfRule type="cellIs" dxfId="4606" priority="5814" operator="equal">
      <formula>"N"</formula>
    </cfRule>
    <cfRule type="cellIs" dxfId="4605" priority="5813" operator="equal">
      <formula>"P"</formula>
    </cfRule>
    <cfRule type="cellIs" dxfId="4604" priority="5812" operator="equal">
      <formula>"P"</formula>
    </cfRule>
    <cfRule type="cellIs" dxfId="4603" priority="5811" operator="equal">
      <formula>"P"</formula>
    </cfRule>
    <cfRule type="cellIs" dxfId="4602" priority="5809" operator="equal">
      <formula>"P"</formula>
    </cfRule>
    <cfRule type="cellIs" dxfId="4601" priority="5808" operator="equal">
      <formula>"L"</formula>
    </cfRule>
    <cfRule type="cellIs" dxfId="4600" priority="5807" operator="equal">
      <formula>"L"</formula>
    </cfRule>
    <cfRule type="cellIs" dxfId="4599" priority="5806" operator="equal">
      <formula>"P"</formula>
    </cfRule>
    <cfRule type="cellIs" dxfId="4598" priority="5805" operator="equal">
      <formula>"L"</formula>
    </cfRule>
    <cfRule type="cellIs" dxfId="4597" priority="5804" operator="equal">
      <formula>"P"</formula>
    </cfRule>
    <cfRule type="cellIs" dxfId="4596" priority="5803" operator="equal">
      <formula>"L"</formula>
    </cfRule>
    <cfRule type="cellIs" dxfId="4595" priority="5802" operator="equal">
      <formula>"P"</formula>
    </cfRule>
    <cfRule type="cellIs" dxfId="4594" priority="5801" operator="equal">
      <formula>"N"</formula>
    </cfRule>
    <cfRule type="cellIs" dxfId="4593" priority="5800" operator="equal">
      <formula>"L"</formula>
    </cfRule>
    <cfRule type="cellIs" dxfId="4592" priority="5798" operator="equal">
      <formula>"N"</formula>
    </cfRule>
    <cfRule type="cellIs" dxfId="4591" priority="5797" operator="equal">
      <formula>"L"</formula>
    </cfRule>
    <cfRule type="cellIs" dxfId="4590" priority="5796" operator="equal">
      <formula>"L"</formula>
    </cfRule>
    <cfRule type="cellIs" dxfId="4589" priority="5795" operator="equal">
      <formula>"L"</formula>
    </cfRule>
    <cfRule type="cellIs" dxfId="4588" priority="5794" operator="equal">
      <formula>"P"</formula>
    </cfRule>
    <cfRule type="cellIs" dxfId="4587" priority="5793" operator="equal">
      <formula>"P"</formula>
    </cfRule>
    <cfRule type="cellIs" dxfId="4586" priority="5792" operator="equal">
      <formula>"L"</formula>
    </cfRule>
    <cfRule type="cellIs" dxfId="4585" priority="5791" operator="equal">
      <formula>"P"</formula>
    </cfRule>
    <cfRule type="cellIs" dxfId="4584" priority="5790" operator="equal">
      <formula>"N"</formula>
    </cfRule>
    <cfRule type="cellIs" dxfId="4583" priority="5789" operator="equal">
      <formula>"L"</formula>
    </cfRule>
    <cfRule type="cellIs" dxfId="4582" priority="5788" operator="equal">
      <formula>"P"</formula>
    </cfRule>
    <cfRule type="cellIs" dxfId="4581" priority="5787" operator="equal">
      <formula>"P"</formula>
    </cfRule>
    <cfRule type="cellIs" dxfId="4580" priority="5783" operator="equal">
      <formula>"T"</formula>
    </cfRule>
    <cfRule type="cellIs" dxfId="4579" priority="5782" operator="equal">
      <formula>"T"</formula>
    </cfRule>
    <cfRule type="cellIs" dxfId="4578" priority="5781" operator="equal">
      <formula>"P"</formula>
    </cfRule>
    <cfRule type="cellIs" dxfId="4577" priority="5780" operator="equal">
      <formula>"L"</formula>
    </cfRule>
    <cfRule type="cellIs" dxfId="4576" priority="5778" operator="equal">
      <formula>"L"</formula>
    </cfRule>
    <cfRule type="cellIs" dxfId="4575" priority="5777" operator="equal">
      <formula>"P"</formula>
    </cfRule>
    <cfRule type="cellIs" dxfId="4574" priority="5776" operator="equal">
      <formula>"T"</formula>
    </cfRule>
    <cfRule type="cellIs" dxfId="4573" priority="5775" operator="equal">
      <formula>"T"</formula>
    </cfRule>
    <cfRule type="cellIs" dxfId="4572" priority="5774" operator="equal">
      <formula>"P"</formula>
    </cfRule>
    <cfRule type="cellIs" dxfId="4571" priority="5773" operator="equal">
      <formula>"L"</formula>
    </cfRule>
    <cfRule type="cellIs" dxfId="4570" priority="5771" operator="equal">
      <formula>"L"</formula>
    </cfRule>
    <cfRule type="cellIs" dxfId="4569" priority="5767" operator="equal">
      <formula>"L"</formula>
    </cfRule>
    <cfRule type="cellIs" dxfId="4568" priority="5766" operator="equal">
      <formula>"P"</formula>
    </cfRule>
    <cfRule type="cellIs" dxfId="4567" priority="5764" operator="equal">
      <formula>"L"</formula>
    </cfRule>
    <cfRule type="cellIs" dxfId="4566" priority="5763" operator="equal">
      <formula>"P"</formula>
    </cfRule>
    <cfRule type="cellIs" dxfId="4565" priority="5762" operator="equal">
      <formula>"P"</formula>
    </cfRule>
    <cfRule type="cellIs" dxfId="4564" priority="5761" operator="equal">
      <formula>"L"</formula>
    </cfRule>
    <cfRule type="cellIs" dxfId="4563" priority="5759" operator="equal">
      <formula>"T"</formula>
    </cfRule>
    <cfRule type="cellIs" dxfId="4562" priority="5758" operator="equal">
      <formula>"T"</formula>
    </cfRule>
    <cfRule type="cellIs" dxfId="4561" priority="5757" operator="equal">
      <formula>"P"</formula>
    </cfRule>
    <cfRule type="cellIs" dxfId="4560" priority="5756" operator="equal">
      <formula>"P"</formula>
    </cfRule>
    <cfRule type="cellIs" dxfId="4559" priority="5755" operator="equal">
      <formula>"P"</formula>
    </cfRule>
    <cfRule type="cellIs" dxfId="4558" priority="5754" operator="equal">
      <formula>"L"</formula>
    </cfRule>
    <cfRule type="cellIs" dxfId="4557" priority="5753" operator="equal">
      <formula>"L"</formula>
    </cfRule>
    <cfRule type="cellIs" dxfId="4556" priority="5752" operator="equal">
      <formula>"L"</formula>
    </cfRule>
    <cfRule type="cellIs" dxfId="4555" priority="5751" operator="equal">
      <formula>"P"</formula>
    </cfRule>
    <cfRule type="cellIs" dxfId="4554" priority="5746" operator="equal">
      <formula>"N"</formula>
    </cfRule>
    <cfRule type="cellIs" dxfId="4553" priority="5745" operator="equal">
      <formula>"P"</formula>
    </cfRule>
    <cfRule type="cellIs" dxfId="4552" priority="5744" operator="equal">
      <formula>"P"</formula>
    </cfRule>
    <cfRule type="cellIs" dxfId="4551" priority="5743" operator="equal">
      <formula>"P"</formula>
    </cfRule>
    <cfRule type="cellIs" dxfId="4550" priority="5741" operator="equal">
      <formula>"P"</formula>
    </cfRule>
    <cfRule type="cellIs" dxfId="4549" priority="5740" operator="equal">
      <formula>"L"</formula>
    </cfRule>
    <cfRule type="cellIs" dxfId="4548" priority="5739" operator="equal">
      <formula>"L"</formula>
    </cfRule>
    <cfRule type="cellIs" dxfId="4547" priority="5738" operator="equal">
      <formula>"P"</formula>
    </cfRule>
    <cfRule type="cellIs" dxfId="4546" priority="5737" operator="equal">
      <formula>"L"</formula>
    </cfRule>
    <cfRule type="cellIs" dxfId="4545" priority="5736" operator="equal">
      <formula>"P"</formula>
    </cfRule>
    <cfRule type="cellIs" dxfId="4544" priority="5735" operator="equal">
      <formula>"L"</formula>
    </cfRule>
    <cfRule type="cellIs" dxfId="4543" priority="5734" operator="equal">
      <formula>"P"</formula>
    </cfRule>
    <cfRule type="cellIs" dxfId="4542" priority="5733" operator="equal">
      <formula>"N"</formula>
    </cfRule>
    <cfRule type="cellIs" dxfId="4541" priority="5732" operator="equal">
      <formula>"L"</formula>
    </cfRule>
    <cfRule type="cellIs" dxfId="4540" priority="5730" operator="equal">
      <formula>"N"</formula>
    </cfRule>
    <cfRule type="cellIs" dxfId="4539" priority="5729" operator="equal">
      <formula>"L"</formula>
    </cfRule>
    <cfRule type="cellIs" dxfId="4538" priority="5728" operator="equal">
      <formula>"L"</formula>
    </cfRule>
    <cfRule type="cellIs" dxfId="4537" priority="5727" operator="equal">
      <formula>"L"</formula>
    </cfRule>
    <cfRule type="cellIs" dxfId="4536" priority="5726" operator="equal">
      <formula>"P"</formula>
    </cfRule>
    <cfRule type="cellIs" dxfId="4535" priority="5725" operator="equal">
      <formula>"P"</formula>
    </cfRule>
    <cfRule type="cellIs" dxfId="4534" priority="5724" operator="equal">
      <formula>"L"</formula>
    </cfRule>
    <cfRule type="cellIs" dxfId="4533" priority="5723" operator="equal">
      <formula>"P"</formula>
    </cfRule>
    <cfRule type="cellIs" dxfId="4532" priority="5722" operator="equal">
      <formula>"N"</formula>
    </cfRule>
    <cfRule type="cellIs" dxfId="4531" priority="5721" operator="equal">
      <formula>"L"</formula>
    </cfRule>
    <cfRule type="cellIs" dxfId="4530" priority="5720" operator="equal">
      <formula>"P"</formula>
    </cfRule>
    <cfRule type="cellIs" dxfId="4529" priority="5719" operator="equal">
      <formula>"P"</formula>
    </cfRule>
    <cfRule type="cellIs" dxfId="4528" priority="5715" operator="equal">
      <formula>"T"</formula>
    </cfRule>
    <cfRule type="cellIs" dxfId="4527" priority="5714" operator="equal">
      <formula>"T"</formula>
    </cfRule>
    <cfRule type="cellIs" dxfId="4526" priority="5713" operator="equal">
      <formula>"P"</formula>
    </cfRule>
    <cfRule type="cellIs" dxfId="4525" priority="5712" operator="equal">
      <formula>"L"</formula>
    </cfRule>
    <cfRule type="cellIs" dxfId="4524" priority="5710" operator="equal">
      <formula>"L"</formula>
    </cfRule>
    <cfRule type="cellIs" dxfId="4523" priority="5709" operator="equal">
      <formula>"P"</formula>
    </cfRule>
    <cfRule type="cellIs" dxfId="4522" priority="5708" operator="equal">
      <formula>"T"</formula>
    </cfRule>
    <cfRule type="cellIs" dxfId="4521" priority="5707" operator="equal">
      <formula>"T"</formula>
    </cfRule>
    <cfRule type="cellIs" dxfId="4520" priority="5706" operator="equal">
      <formula>"P"</formula>
    </cfRule>
    <cfRule type="cellIs" dxfId="4519" priority="5702" operator="equal">
      <formula>"L"</formula>
    </cfRule>
    <cfRule type="cellIs" dxfId="4518" priority="5701" operator="equal">
      <formula>"P"</formula>
    </cfRule>
    <cfRule type="cellIs" dxfId="4517" priority="5699" operator="equal">
      <formula>"L"</formula>
    </cfRule>
    <cfRule type="cellIs" dxfId="4516" priority="5698" operator="equal">
      <formula>"P"</formula>
    </cfRule>
    <cfRule type="cellIs" dxfId="4515" priority="5697" operator="equal">
      <formula>"P"</formula>
    </cfRule>
    <cfRule type="cellIs" dxfId="4514" priority="5696" operator="equal">
      <formula>"L"</formula>
    </cfRule>
    <cfRule type="cellIs" dxfId="4513" priority="5694" operator="equal">
      <formula>"T"</formula>
    </cfRule>
    <cfRule type="cellIs" dxfId="4512" priority="5693" operator="equal">
      <formula>"T"</formula>
    </cfRule>
    <cfRule type="cellIs" dxfId="4511" priority="5692" operator="equal">
      <formula>"P"</formula>
    </cfRule>
  </conditionalFormatting>
  <conditionalFormatting sqref="G105:H106 G125:H127 AI125:AK128">
    <cfRule type="cellIs" dxfId="4510" priority="5380" operator="equal">
      <formula>"P"</formula>
    </cfRule>
    <cfRule type="cellIs" dxfId="4509" priority="5378" operator="equal">
      <formula>"P"</formula>
    </cfRule>
    <cfRule type="cellIs" dxfId="4508" priority="5377" operator="equal">
      <formula>"T"</formula>
    </cfRule>
    <cfRule type="cellIs" dxfId="4507" priority="5376" operator="equal">
      <formula>"T"</formula>
    </cfRule>
    <cfRule type="cellIs" dxfId="4506" priority="5375" operator="equal">
      <formula>"P"</formula>
    </cfRule>
    <cfRule type="cellIs" dxfId="4505" priority="5374" operator="equal">
      <formula>"P"</formula>
    </cfRule>
    <cfRule type="cellIs" dxfId="4504" priority="5373" operator="equal">
      <formula>"T"</formula>
    </cfRule>
    <cfRule type="cellIs" dxfId="4503" priority="5372" operator="equal">
      <formula>"T"</formula>
    </cfRule>
    <cfRule type="cellIs" dxfId="4502" priority="5371" operator="equal">
      <formula>"P"</formula>
    </cfRule>
    <cfRule type="cellIs" dxfId="4501" priority="5370" operator="equal">
      <formula>"P"</formula>
    </cfRule>
    <cfRule type="cellIs" dxfId="4500" priority="5369" operator="equal">
      <formula>"T"</formula>
    </cfRule>
    <cfRule type="cellIs" dxfId="4499" priority="5368" operator="equal">
      <formula>"T"</formula>
    </cfRule>
    <cfRule type="cellIs" dxfId="4498" priority="5367" operator="equal">
      <formula>"P"</formula>
    </cfRule>
    <cfRule type="cellIs" dxfId="4497" priority="5365" operator="equal">
      <formula>"P"</formula>
    </cfRule>
    <cfRule type="cellIs" dxfId="4496" priority="5364" operator="equal">
      <formula>"T"</formula>
    </cfRule>
    <cfRule type="cellIs" dxfId="4495" priority="5363" operator="equal">
      <formula>"T"</formula>
    </cfRule>
    <cfRule type="cellIs" dxfId="4494" priority="5362" operator="equal">
      <formula>"P"</formula>
    </cfRule>
    <cfRule type="cellIs" dxfId="4493" priority="5361" operator="equal">
      <formula>"L"</formula>
    </cfRule>
    <cfRule type="cellIs" dxfId="4492" priority="5359" operator="equal">
      <formula>"L"</formula>
    </cfRule>
    <cfRule type="cellIs" dxfId="4491" priority="5356" operator="equal">
      <formula>"L"</formula>
    </cfRule>
    <cfRule type="cellIs" dxfId="4490" priority="5355" operator="equal">
      <formula>"P"</formula>
    </cfRule>
    <cfRule type="cellIs" dxfId="4489" priority="5353" operator="equal">
      <formula>"L"</formula>
    </cfRule>
    <cfRule type="cellIs" dxfId="4488" priority="5352" operator="equal">
      <formula>"P"</formula>
    </cfRule>
    <cfRule type="cellIs" dxfId="4487" priority="5351" operator="equal">
      <formula>"P"</formula>
    </cfRule>
    <cfRule type="cellIs" dxfId="4486" priority="5350" operator="equal">
      <formula>"L"</formula>
    </cfRule>
    <cfRule type="cellIs" dxfId="4485" priority="5348" operator="equal">
      <formula>"T"</formula>
    </cfRule>
    <cfRule type="cellIs" dxfId="4484" priority="5347" operator="equal">
      <formula>"T"</formula>
    </cfRule>
    <cfRule type="cellIs" dxfId="4483" priority="5346" operator="equal">
      <formula>"P"</formula>
    </cfRule>
    <cfRule type="cellIs" dxfId="4482" priority="5345" operator="equal">
      <formula>"P"</formula>
    </cfRule>
    <cfRule type="cellIs" dxfId="4481" priority="5344" operator="equal">
      <formula>"P"</formula>
    </cfRule>
    <cfRule type="cellIs" dxfId="4480" priority="5343" operator="equal">
      <formula>"L"</formula>
    </cfRule>
    <cfRule type="cellIs" dxfId="4479" priority="5342" operator="equal">
      <formula>"L"</formula>
    </cfRule>
    <cfRule type="cellIs" dxfId="4478" priority="5341" operator="equal">
      <formula>"L"</formula>
    </cfRule>
    <cfRule type="cellIs" dxfId="4477" priority="5340" operator="equal">
      <formula>"P"</formula>
    </cfRule>
    <cfRule type="cellIs" dxfId="4476" priority="5337" operator="equal">
      <formula>"P"</formula>
    </cfRule>
    <cfRule type="cellIs" dxfId="4475" priority="5336" operator="equal">
      <formula>"P"</formula>
    </cfRule>
    <cfRule type="cellIs" dxfId="4474" priority="5335" operator="equal">
      <formula>"P"</formula>
    </cfRule>
    <cfRule type="cellIs" dxfId="4473" priority="5333" operator="equal">
      <formula>"P"</formula>
    </cfRule>
    <cfRule type="cellIs" dxfId="4472" priority="5332" operator="equal">
      <formula>"L"</formula>
    </cfRule>
    <cfRule type="cellIs" dxfId="4471" priority="5331" operator="equal">
      <formula>"L"</formula>
    </cfRule>
    <cfRule type="cellIs" dxfId="4470" priority="5330" operator="equal">
      <formula>"P"</formula>
    </cfRule>
    <cfRule type="cellIs" dxfId="4469" priority="5329" operator="equal">
      <formula>"L"</formula>
    </cfRule>
    <cfRule type="cellIs" dxfId="4468" priority="5328" operator="equal">
      <formula>"P"</formula>
    </cfRule>
    <cfRule type="cellIs" dxfId="4467" priority="5327" operator="equal">
      <formula>"L"</formula>
    </cfRule>
    <cfRule type="cellIs" dxfId="4466" priority="5326" operator="equal">
      <formula>"P"</formula>
    </cfRule>
    <cfRule type="cellIs" dxfId="4465" priority="5325" operator="equal">
      <formula>"N"</formula>
    </cfRule>
    <cfRule type="cellIs" dxfId="4464" priority="5324" operator="equal">
      <formula>"L"</formula>
    </cfRule>
    <cfRule type="cellIs" dxfId="4463" priority="5322" operator="equal">
      <formula>"N"</formula>
    </cfRule>
    <cfRule type="cellIs" dxfId="4462" priority="5321" operator="equal">
      <formula>"L"</formula>
    </cfRule>
    <cfRule type="cellIs" dxfId="4461" priority="5320" operator="equal">
      <formula>"L"</formula>
    </cfRule>
    <cfRule type="cellIs" dxfId="4460" priority="5319" operator="equal">
      <formula>"L"</formula>
    </cfRule>
    <cfRule type="cellIs" dxfId="4459" priority="5318" operator="equal">
      <formula>"P"</formula>
    </cfRule>
    <cfRule type="cellIs" dxfId="4458" priority="5317" operator="equal">
      <formula>"P"</formula>
    </cfRule>
    <cfRule type="cellIs" dxfId="4457" priority="5316" operator="equal">
      <formula>"L"</formula>
    </cfRule>
    <cfRule type="cellIs" dxfId="4456" priority="5315" operator="equal">
      <formula>"P"</formula>
    </cfRule>
    <cfRule type="cellIs" dxfId="4455" priority="5313" operator="equal">
      <formula>"L"</formula>
    </cfRule>
    <cfRule type="cellIs" dxfId="4454" priority="5312" operator="equal">
      <formula>"P"</formula>
    </cfRule>
    <cfRule type="cellIs" dxfId="4453" priority="5311" operator="equal">
      <formula>"P"</formula>
    </cfRule>
    <cfRule type="cellIs" dxfId="4452" priority="5307" operator="equal">
      <formula>"T"</formula>
    </cfRule>
    <cfRule type="cellIs" dxfId="4451" priority="5306" operator="equal">
      <formula>"T"</formula>
    </cfRule>
    <cfRule type="cellIs" dxfId="4450" priority="5305" operator="equal">
      <formula>"P"</formula>
    </cfRule>
    <cfRule type="cellIs" dxfId="4449" priority="5304" operator="equal">
      <formula>"L"</formula>
    </cfRule>
    <cfRule type="cellIs" dxfId="4448" priority="5301" operator="equal">
      <formula>"P"</formula>
    </cfRule>
    <cfRule type="cellIs" dxfId="4447" priority="5300" operator="equal">
      <formula>"T"</formula>
    </cfRule>
  </conditionalFormatting>
  <conditionalFormatting sqref="G105:H106">
    <cfRule type="cellIs" dxfId="4446" priority="5310" operator="equal">
      <formula>"H"</formula>
    </cfRule>
  </conditionalFormatting>
  <conditionalFormatting sqref="G107:H109 I108:AK109 G110:AK124">
    <cfRule type="containsText" dxfId="4445" priority="5297" operator="containsText" text="T">
      <formula>NOT(ISERROR(SEARCH("T",G107)))</formula>
    </cfRule>
    <cfRule type="containsText" dxfId="4444" priority="5296" operator="containsText" text="DE">
      <formula>NOT(ISERROR(SEARCH("DE",G107)))</formula>
    </cfRule>
    <cfRule type="containsText" dxfId="4443" priority="5295" operator="containsText" text="n">
      <formula>NOT(ISERROR(SEARCH("n",G107)))</formula>
    </cfRule>
    <cfRule type="containsText" dxfId="4442" priority="5294" operator="containsText" text="V">
      <formula>NOT(ISERROR(SEARCH("V",G107)))</formula>
    </cfRule>
    <cfRule type="cellIs" dxfId="4441" priority="5293" operator="equal">
      <formula>"H"</formula>
    </cfRule>
    <cfRule type="containsText" dxfId="4440" priority="5292" operator="containsText" text="L">
      <formula>NOT(ISERROR(SEARCH("L",G107)))</formula>
    </cfRule>
  </conditionalFormatting>
  <conditionalFormatting sqref="G125:H127 AI125:AK128 G105:H106">
    <cfRule type="cellIs" dxfId="4439" priority="5302" operator="equal">
      <formula>"L"</formula>
    </cfRule>
    <cfRule type="cellIs" dxfId="4438" priority="5314" operator="equal">
      <formula>"N"</formula>
    </cfRule>
    <cfRule type="cellIs" dxfId="4437" priority="5299" operator="equal">
      <formula>"T"</formula>
    </cfRule>
    <cfRule type="cellIs" dxfId="4436" priority="5298" operator="equal">
      <formula>"P"</formula>
    </cfRule>
  </conditionalFormatting>
  <conditionalFormatting sqref="G125:H127">
    <cfRule type="cellIs" dxfId="4435" priority="2275" operator="equal">
      <formula>"N"</formula>
    </cfRule>
  </conditionalFormatting>
  <conditionalFormatting sqref="G125:H128">
    <cfRule type="cellIs" dxfId="4434" priority="2520" operator="equal">
      <formula>"H"</formula>
    </cfRule>
  </conditionalFormatting>
  <conditionalFormatting sqref="G126:H126">
    <cfRule type="cellIs" dxfId="4433" priority="5283" operator="equal">
      <formula>"T"</formula>
    </cfRule>
    <cfRule type="cellIs" dxfId="4432" priority="5282" operator="equal">
      <formula>"T"</formula>
    </cfRule>
    <cfRule type="cellIs" dxfId="4431" priority="5281" operator="equal">
      <formula>"P"</formula>
    </cfRule>
    <cfRule type="cellIs" dxfId="4430" priority="5280" operator="equal">
      <formula>"P"</formula>
    </cfRule>
    <cfRule type="cellIs" dxfId="4429" priority="5279" operator="equal">
      <formula>"T"</formula>
    </cfRule>
    <cfRule type="cellIs" dxfId="4428" priority="5278" operator="equal">
      <formula>"T"</formula>
    </cfRule>
    <cfRule type="cellIs" dxfId="4427" priority="5277" operator="equal">
      <formula>"P"</formula>
    </cfRule>
    <cfRule type="cellIs" dxfId="4426" priority="5276" operator="equal">
      <formula>"P"</formula>
    </cfRule>
    <cfRule type="cellIs" dxfId="4425" priority="5275" operator="equal">
      <formula>"T"</formula>
    </cfRule>
    <cfRule type="cellIs" dxfId="4424" priority="5274" operator="equal">
      <formula>"T"</formula>
    </cfRule>
    <cfRule type="cellIs" dxfId="4423" priority="5273" operator="equal">
      <formula>"P"</formula>
    </cfRule>
    <cfRule type="cellIs" dxfId="4422" priority="5271" operator="equal">
      <formula>"P"</formula>
    </cfRule>
    <cfRule type="cellIs" dxfId="4421" priority="5270" operator="equal">
      <formula>"T"</formula>
    </cfRule>
    <cfRule type="cellIs" dxfId="4420" priority="5269" operator="equal">
      <formula>"T"</formula>
    </cfRule>
    <cfRule type="cellIs" dxfId="4419" priority="5268" operator="equal">
      <formula>"P"</formula>
    </cfRule>
    <cfRule type="cellIs" dxfId="4418" priority="5267" operator="equal">
      <formula>"L"</formula>
    </cfRule>
    <cfRule type="cellIs" dxfId="4417" priority="5265" operator="equal">
      <formula>"L"</formula>
    </cfRule>
    <cfRule type="cellIs" dxfId="4416" priority="5262" operator="equal">
      <formula>"L"</formula>
    </cfRule>
    <cfRule type="cellIs" dxfId="4415" priority="5261" operator="equal">
      <formula>"P"</formula>
    </cfRule>
    <cfRule type="cellIs" dxfId="4414" priority="5259" operator="equal">
      <formula>"L"</formula>
    </cfRule>
    <cfRule type="cellIs" dxfId="4413" priority="5258" operator="equal">
      <formula>"P"</formula>
    </cfRule>
    <cfRule type="cellIs" dxfId="4412" priority="5257" operator="equal">
      <formula>"P"</formula>
    </cfRule>
    <cfRule type="cellIs" dxfId="4411" priority="5256" operator="equal">
      <formula>"L"</formula>
    </cfRule>
    <cfRule type="cellIs" dxfId="4410" priority="5254" operator="equal">
      <formula>"T"</formula>
    </cfRule>
    <cfRule type="cellIs" dxfId="4409" priority="5253" operator="equal">
      <formula>"T"</formula>
    </cfRule>
    <cfRule type="cellIs" dxfId="4408" priority="5252" operator="equal">
      <formula>"P"</formula>
    </cfRule>
    <cfRule type="cellIs" dxfId="4407" priority="5251" operator="equal">
      <formula>"P"</formula>
    </cfRule>
    <cfRule type="cellIs" dxfId="4406" priority="5250" operator="equal">
      <formula>"P"</formula>
    </cfRule>
    <cfRule type="cellIs" dxfId="4405" priority="5249" operator="equal">
      <formula>"L"</formula>
    </cfRule>
    <cfRule type="cellIs" dxfId="4404" priority="5248" operator="equal">
      <formula>"L"</formula>
    </cfRule>
    <cfRule type="cellIs" dxfId="4403" priority="5247" operator="equal">
      <formula>"L"</formula>
    </cfRule>
    <cfRule type="cellIs" dxfId="4402" priority="5246" operator="equal">
      <formula>"P"</formula>
    </cfRule>
    <cfRule type="cellIs" dxfId="4401" priority="5243" operator="equal">
      <formula>"N"</formula>
    </cfRule>
    <cfRule type="cellIs" dxfId="4400" priority="5242" operator="equal">
      <formula>"P"</formula>
    </cfRule>
    <cfRule type="cellIs" dxfId="4399" priority="5241" operator="equal">
      <formula>"P"</formula>
    </cfRule>
    <cfRule type="cellIs" dxfId="4398" priority="5240" operator="equal">
      <formula>"P"</formula>
    </cfRule>
    <cfRule type="cellIs" dxfId="4397" priority="5238" operator="equal">
      <formula>"P"</formula>
    </cfRule>
    <cfRule type="cellIs" dxfId="4396" priority="5237" operator="equal">
      <formula>"L"</formula>
    </cfRule>
    <cfRule type="cellIs" dxfId="4395" priority="5236" operator="equal">
      <formula>"L"</formula>
    </cfRule>
    <cfRule type="cellIs" dxfId="4394" priority="5235" operator="equal">
      <formula>"P"</formula>
    </cfRule>
    <cfRule type="cellIs" dxfId="4393" priority="5234" operator="equal">
      <formula>"L"</formula>
    </cfRule>
    <cfRule type="cellIs" dxfId="4392" priority="5233" operator="equal">
      <formula>"P"</formula>
    </cfRule>
    <cfRule type="cellIs" dxfId="4391" priority="5232" operator="equal">
      <formula>"L"</formula>
    </cfRule>
    <cfRule type="cellIs" dxfId="4390" priority="5231" operator="equal">
      <formula>"P"</formula>
    </cfRule>
    <cfRule type="cellIs" dxfId="4389" priority="5230" operator="equal">
      <formula>"N"</formula>
    </cfRule>
    <cfRule type="cellIs" dxfId="4388" priority="5229" operator="equal">
      <formula>"L"</formula>
    </cfRule>
    <cfRule type="cellIs" dxfId="4387" priority="5227" operator="equal">
      <formula>"N"</formula>
    </cfRule>
    <cfRule type="cellIs" dxfId="4386" priority="5226" operator="equal">
      <formula>"L"</formula>
    </cfRule>
    <cfRule type="cellIs" dxfId="4385" priority="5225" operator="equal">
      <formula>"L"</formula>
    </cfRule>
    <cfRule type="cellIs" dxfId="4384" priority="5224" operator="equal">
      <formula>"L"</formula>
    </cfRule>
    <cfRule type="cellIs" dxfId="4383" priority="5223" operator="equal">
      <formula>"P"</formula>
    </cfRule>
    <cfRule type="cellIs" dxfId="4382" priority="5222" operator="equal">
      <formula>"P"</formula>
    </cfRule>
    <cfRule type="cellIs" dxfId="4381" priority="5221" operator="equal">
      <formula>"L"</formula>
    </cfRule>
    <cfRule type="cellIs" dxfId="4380" priority="5220" operator="equal">
      <formula>"P"</formula>
    </cfRule>
    <cfRule type="cellIs" dxfId="4379" priority="5219" operator="equal">
      <formula>"N"</formula>
    </cfRule>
    <cfRule type="cellIs" dxfId="4378" priority="5218" operator="equal">
      <formula>"L"</formula>
    </cfRule>
    <cfRule type="cellIs" dxfId="4377" priority="5217" operator="equal">
      <formula>"P"</formula>
    </cfRule>
    <cfRule type="cellIs" dxfId="4376" priority="5216" operator="equal">
      <formula>"P"</formula>
    </cfRule>
    <cfRule type="cellIs" dxfId="4375" priority="5212" operator="equal">
      <formula>"T"</formula>
    </cfRule>
    <cfRule type="cellIs" dxfId="4374" priority="5211" operator="equal">
      <formula>"T"</formula>
    </cfRule>
    <cfRule type="cellIs" dxfId="4373" priority="5210" operator="equal">
      <formula>"P"</formula>
    </cfRule>
    <cfRule type="cellIs" dxfId="4372" priority="5209" operator="equal">
      <formula>"L"</formula>
    </cfRule>
    <cfRule type="cellIs" dxfId="4371" priority="5207" operator="equal">
      <formula>"L"</formula>
    </cfRule>
    <cfRule type="cellIs" dxfId="4370" priority="5206" operator="equal">
      <formula>"P"</formula>
    </cfRule>
    <cfRule type="cellIs" dxfId="4369" priority="5205" operator="equal">
      <formula>"T"</formula>
    </cfRule>
    <cfRule type="cellIs" dxfId="4368" priority="5204" operator="equal">
      <formula>"T"</formula>
    </cfRule>
    <cfRule type="cellIs" dxfId="4367" priority="5203" operator="equal">
      <formula>"P"</formula>
    </cfRule>
    <cfRule type="cellIs" dxfId="4366" priority="5202" operator="equal">
      <formula>"P"</formula>
    </cfRule>
    <cfRule type="cellIs" dxfId="4365" priority="5201" operator="equal">
      <formula>"T"</formula>
    </cfRule>
    <cfRule type="cellIs" dxfId="4364" priority="5200" operator="equal">
      <formula>"T"</formula>
    </cfRule>
    <cfRule type="cellIs" dxfId="4363" priority="5199" operator="equal">
      <formula>"P"</formula>
    </cfRule>
    <cfRule type="cellIs" dxfId="4362" priority="5198" operator="equal">
      <formula>"P"</formula>
    </cfRule>
    <cfRule type="cellIs" dxfId="4361" priority="5197" operator="equal">
      <formula>"T"</formula>
    </cfRule>
    <cfRule type="cellIs" dxfId="4360" priority="5196" operator="equal">
      <formula>"T"</formula>
    </cfRule>
    <cfRule type="cellIs" dxfId="4359" priority="5195" operator="equal">
      <formula>"P"</formula>
    </cfRule>
    <cfRule type="cellIs" dxfId="4358" priority="5194" operator="equal">
      <formula>"P"</formula>
    </cfRule>
    <cfRule type="cellIs" dxfId="4357" priority="5193" operator="equal">
      <formula>"T"</formula>
    </cfRule>
    <cfRule type="cellIs" dxfId="4356" priority="5192" operator="equal">
      <formula>"T"</formula>
    </cfRule>
    <cfRule type="cellIs" dxfId="4355" priority="5191" operator="equal">
      <formula>"P"</formula>
    </cfRule>
    <cfRule type="cellIs" dxfId="4354" priority="5189" operator="equal">
      <formula>"P"</formula>
    </cfRule>
    <cfRule type="cellIs" dxfId="4353" priority="5188" operator="equal">
      <formula>"T"</formula>
    </cfRule>
    <cfRule type="cellIs" dxfId="4352" priority="5187" operator="equal">
      <formula>"T"</formula>
    </cfRule>
    <cfRule type="cellIs" dxfId="4351" priority="5186" operator="equal">
      <formula>"P"</formula>
    </cfRule>
    <cfRule type="cellIs" dxfId="4350" priority="5185" operator="equal">
      <formula>"L"</formula>
    </cfRule>
    <cfRule type="cellIs" dxfId="4349" priority="5183" operator="equal">
      <formula>"L"</formula>
    </cfRule>
    <cfRule type="cellIs" dxfId="4348" priority="5180" operator="equal">
      <formula>"L"</formula>
    </cfRule>
    <cfRule type="cellIs" dxfId="4347" priority="5179" operator="equal">
      <formula>"P"</formula>
    </cfRule>
    <cfRule type="cellIs" dxfId="4346" priority="5177" operator="equal">
      <formula>"L"</formula>
    </cfRule>
    <cfRule type="cellIs" dxfId="4345" priority="5176" operator="equal">
      <formula>"P"</formula>
    </cfRule>
    <cfRule type="cellIs" dxfId="4344" priority="5175" operator="equal">
      <formula>"P"</formula>
    </cfRule>
    <cfRule type="cellIs" dxfId="4343" priority="5174" operator="equal">
      <formula>"L"</formula>
    </cfRule>
    <cfRule type="cellIs" dxfId="4342" priority="5172" operator="equal">
      <formula>"T"</formula>
    </cfRule>
    <cfRule type="cellIs" dxfId="4341" priority="5171" operator="equal">
      <formula>"T"</formula>
    </cfRule>
    <cfRule type="cellIs" dxfId="4340" priority="5170" operator="equal">
      <formula>"P"</formula>
    </cfRule>
    <cfRule type="cellIs" dxfId="4339" priority="5169" operator="equal">
      <formula>"P"</formula>
    </cfRule>
    <cfRule type="cellIs" dxfId="4338" priority="5168" operator="equal">
      <formula>"P"</formula>
    </cfRule>
    <cfRule type="cellIs" dxfId="4337" priority="5167" operator="equal">
      <formula>"L"</formula>
    </cfRule>
    <cfRule type="cellIs" dxfId="4336" priority="5166" operator="equal">
      <formula>"L"</formula>
    </cfRule>
    <cfRule type="cellIs" dxfId="4335" priority="5165" operator="equal">
      <formula>"L"</formula>
    </cfRule>
    <cfRule type="cellIs" dxfId="4334" priority="5164" operator="equal">
      <formula>"P"</formula>
    </cfRule>
    <cfRule type="cellIs" dxfId="4333" priority="5161" operator="equal">
      <formula>"N"</formula>
    </cfRule>
    <cfRule type="cellIs" dxfId="4332" priority="5160" operator="equal">
      <formula>"P"</formula>
    </cfRule>
    <cfRule type="cellIs" dxfId="4331" priority="5159" operator="equal">
      <formula>"P"</formula>
    </cfRule>
    <cfRule type="cellIs" dxfId="4330" priority="5158" operator="equal">
      <formula>"P"</formula>
    </cfRule>
    <cfRule type="cellIs" dxfId="4329" priority="5156" operator="equal">
      <formula>"P"</formula>
    </cfRule>
    <cfRule type="cellIs" dxfId="4328" priority="5155" operator="equal">
      <formula>"L"</formula>
    </cfRule>
    <cfRule type="cellIs" dxfId="4327" priority="5154" operator="equal">
      <formula>"L"</formula>
    </cfRule>
    <cfRule type="cellIs" dxfId="4326" priority="5153" operator="equal">
      <formula>"P"</formula>
    </cfRule>
    <cfRule type="cellIs" dxfId="4325" priority="5152" operator="equal">
      <formula>"L"</formula>
    </cfRule>
    <cfRule type="cellIs" dxfId="4324" priority="5151" operator="equal">
      <formula>"P"</formula>
    </cfRule>
    <cfRule type="cellIs" dxfId="4323" priority="5150" operator="equal">
      <formula>"L"</formula>
    </cfRule>
    <cfRule type="cellIs" dxfId="4322" priority="5149" operator="equal">
      <formula>"P"</formula>
    </cfRule>
    <cfRule type="cellIs" dxfId="4321" priority="5148" operator="equal">
      <formula>"N"</formula>
    </cfRule>
    <cfRule type="cellIs" dxfId="4320" priority="5147" operator="equal">
      <formula>"L"</formula>
    </cfRule>
    <cfRule type="cellIs" dxfId="4319" priority="5145" operator="equal">
      <formula>"N"</formula>
    </cfRule>
    <cfRule type="cellIs" dxfId="4318" priority="5144" operator="equal">
      <formula>"L"</formula>
    </cfRule>
    <cfRule type="cellIs" dxfId="4317" priority="5143" operator="equal">
      <formula>"L"</formula>
    </cfRule>
    <cfRule type="cellIs" dxfId="4316" priority="5142" operator="equal">
      <formula>"L"</formula>
    </cfRule>
    <cfRule type="cellIs" dxfId="4315" priority="5141" operator="equal">
      <formula>"P"</formula>
    </cfRule>
    <cfRule type="cellIs" dxfId="4314" priority="5140" operator="equal">
      <formula>"P"</formula>
    </cfRule>
    <cfRule type="cellIs" dxfId="4313" priority="5139" operator="equal">
      <formula>"L"</formula>
    </cfRule>
    <cfRule type="cellIs" dxfId="4312" priority="5138" operator="equal">
      <formula>"P"</formula>
    </cfRule>
    <cfRule type="cellIs" dxfId="4311" priority="5137" operator="equal">
      <formula>"N"</formula>
    </cfRule>
    <cfRule type="cellIs" dxfId="4310" priority="5136" operator="equal">
      <formula>"L"</formula>
    </cfRule>
    <cfRule type="cellIs" dxfId="4309" priority="5135" operator="equal">
      <formula>"P"</formula>
    </cfRule>
    <cfRule type="cellIs" dxfId="4308" priority="5134" operator="equal">
      <formula>"P"</formula>
    </cfRule>
    <cfRule type="cellIs" dxfId="4307" priority="5130" operator="equal">
      <formula>"T"</formula>
    </cfRule>
    <cfRule type="cellIs" dxfId="4306" priority="5129" operator="equal">
      <formula>"T"</formula>
    </cfRule>
    <cfRule type="cellIs" dxfId="4305" priority="5128" operator="equal">
      <formula>"P"</formula>
    </cfRule>
    <cfRule type="cellIs" dxfId="4304" priority="5127" operator="equal">
      <formula>"L"</formula>
    </cfRule>
    <cfRule type="cellIs" dxfId="4303" priority="5125" operator="equal">
      <formula>"L"</formula>
    </cfRule>
    <cfRule type="cellIs" dxfId="4302" priority="5124" operator="equal">
      <formula>"P"</formula>
    </cfRule>
    <cfRule type="cellIs" dxfId="4301" priority="5123" operator="equal">
      <formula>"T"</formula>
    </cfRule>
    <cfRule type="cellIs" dxfId="4300" priority="5122" operator="equal">
      <formula>"T"</formula>
    </cfRule>
    <cfRule type="cellIs" dxfId="4299" priority="5121" operator="equal">
      <formula>"P"</formula>
    </cfRule>
    <cfRule type="cellIs" dxfId="4298" priority="5120" operator="equal">
      <formula>"P"</formula>
    </cfRule>
    <cfRule type="cellIs" dxfId="4297" priority="5119" operator="equal">
      <formula>"T"</formula>
    </cfRule>
    <cfRule type="cellIs" dxfId="4296" priority="5118" operator="equal">
      <formula>"T"</formula>
    </cfRule>
    <cfRule type="cellIs" dxfId="4295" priority="5117" operator="equal">
      <formula>"P"</formula>
    </cfRule>
    <cfRule type="cellIs" dxfId="4294" priority="5115" operator="equal">
      <formula>"P"</formula>
    </cfRule>
    <cfRule type="cellIs" dxfId="4293" priority="5114" operator="equal">
      <formula>"T"</formula>
    </cfRule>
    <cfRule type="cellIs" dxfId="4292" priority="5113" operator="equal">
      <formula>"T"</formula>
    </cfRule>
    <cfRule type="cellIs" dxfId="4291" priority="5112" operator="equal">
      <formula>"P"</formula>
    </cfRule>
    <cfRule type="cellIs" dxfId="4290" priority="5111" operator="equal">
      <formula>"L"</formula>
    </cfRule>
    <cfRule type="cellIs" dxfId="4289" priority="5109" operator="equal">
      <formula>"L"</formula>
    </cfRule>
    <cfRule type="cellIs" dxfId="4288" priority="5106" operator="equal">
      <formula>"L"</formula>
    </cfRule>
    <cfRule type="cellIs" dxfId="4287" priority="5105" operator="equal">
      <formula>"P"</formula>
    </cfRule>
    <cfRule type="cellIs" dxfId="4286" priority="5103" operator="equal">
      <formula>"L"</formula>
    </cfRule>
    <cfRule type="cellIs" dxfId="4285" priority="5102" operator="equal">
      <formula>"P"</formula>
    </cfRule>
    <cfRule type="cellIs" dxfId="4284" priority="5101" operator="equal">
      <formula>"P"</formula>
    </cfRule>
    <cfRule type="cellIs" dxfId="4283" priority="5100" operator="equal">
      <formula>"L"</formula>
    </cfRule>
    <cfRule type="cellIs" dxfId="4282" priority="5098" operator="equal">
      <formula>"T"</formula>
    </cfRule>
    <cfRule type="cellIs" dxfId="4281" priority="5097" operator="equal">
      <formula>"T"</formula>
    </cfRule>
    <cfRule type="cellIs" dxfId="4280" priority="5096" operator="equal">
      <formula>"P"</formula>
    </cfRule>
    <cfRule type="cellIs" dxfId="4279" priority="5095" operator="equal">
      <formula>"P"</formula>
    </cfRule>
    <cfRule type="cellIs" dxfId="4278" priority="5094" operator="equal">
      <formula>"P"</formula>
    </cfRule>
    <cfRule type="cellIs" dxfId="4277" priority="5093" operator="equal">
      <formula>"L"</formula>
    </cfRule>
    <cfRule type="cellIs" dxfId="4276" priority="5092" operator="equal">
      <formula>"L"</formula>
    </cfRule>
    <cfRule type="cellIs" dxfId="4275" priority="5091" operator="equal">
      <formula>"L"</formula>
    </cfRule>
    <cfRule type="cellIs" dxfId="4274" priority="5090" operator="equal">
      <formula>"P"</formula>
    </cfRule>
    <cfRule type="cellIs" dxfId="4273" priority="5087" operator="equal">
      <formula>"N"</formula>
    </cfRule>
    <cfRule type="cellIs" dxfId="4272" priority="5086" operator="equal">
      <formula>"P"</formula>
    </cfRule>
    <cfRule type="cellIs" dxfId="4271" priority="5085" operator="equal">
      <formula>"P"</formula>
    </cfRule>
    <cfRule type="cellIs" dxfId="4270" priority="5084" operator="equal">
      <formula>"P"</formula>
    </cfRule>
    <cfRule type="cellIs" dxfId="4269" priority="5082" operator="equal">
      <formula>"P"</formula>
    </cfRule>
    <cfRule type="cellIs" dxfId="4268" priority="5081" operator="equal">
      <formula>"L"</formula>
    </cfRule>
    <cfRule type="cellIs" dxfId="4267" priority="5080" operator="equal">
      <formula>"L"</formula>
    </cfRule>
    <cfRule type="cellIs" dxfId="4266" priority="5079" operator="equal">
      <formula>"P"</formula>
    </cfRule>
    <cfRule type="cellIs" dxfId="4265" priority="5078" operator="equal">
      <formula>"L"</formula>
    </cfRule>
    <cfRule type="cellIs" dxfId="4264" priority="5077" operator="equal">
      <formula>"P"</formula>
    </cfRule>
    <cfRule type="cellIs" dxfId="4263" priority="5076" operator="equal">
      <formula>"L"</formula>
    </cfRule>
    <cfRule type="cellIs" dxfId="4262" priority="5075" operator="equal">
      <formula>"P"</formula>
    </cfRule>
    <cfRule type="cellIs" dxfId="4261" priority="5074" operator="equal">
      <formula>"N"</formula>
    </cfRule>
    <cfRule type="cellIs" dxfId="4260" priority="5073" operator="equal">
      <formula>"L"</formula>
    </cfRule>
    <cfRule type="cellIs" dxfId="4259" priority="5071" operator="equal">
      <formula>"N"</formula>
    </cfRule>
    <cfRule type="cellIs" dxfId="4258" priority="5070" operator="equal">
      <formula>"L"</formula>
    </cfRule>
    <cfRule type="cellIs" dxfId="4257" priority="5069" operator="equal">
      <formula>"L"</formula>
    </cfRule>
    <cfRule type="cellIs" dxfId="4256" priority="5068" operator="equal">
      <formula>"L"</formula>
    </cfRule>
    <cfRule type="cellIs" dxfId="4255" priority="5067" operator="equal">
      <formula>"P"</formula>
    </cfRule>
    <cfRule type="cellIs" dxfId="4254" priority="5066" operator="equal">
      <formula>"P"</formula>
    </cfRule>
    <cfRule type="cellIs" dxfId="4253" priority="5065" operator="equal">
      <formula>"L"</formula>
    </cfRule>
    <cfRule type="cellIs" dxfId="4252" priority="5064" operator="equal">
      <formula>"P"</formula>
    </cfRule>
    <cfRule type="cellIs" dxfId="4251" priority="5063" operator="equal">
      <formula>"N"</formula>
    </cfRule>
    <cfRule type="cellIs" dxfId="4250" priority="5062" operator="equal">
      <formula>"L"</formula>
    </cfRule>
    <cfRule type="cellIs" dxfId="4249" priority="5061" operator="equal">
      <formula>"P"</formula>
    </cfRule>
    <cfRule type="cellIs" dxfId="4248" priority="5060" operator="equal">
      <formula>"P"</formula>
    </cfRule>
    <cfRule type="cellIs" dxfId="4247" priority="5056" operator="equal">
      <formula>"T"</formula>
    </cfRule>
    <cfRule type="cellIs" dxfId="4246" priority="5055" operator="equal">
      <formula>"T"</formula>
    </cfRule>
    <cfRule type="cellIs" dxfId="4245" priority="5054" operator="equal">
      <formula>"P"</formula>
    </cfRule>
    <cfRule type="cellIs" dxfId="4244" priority="5053" operator="equal">
      <formula>"L"</formula>
    </cfRule>
    <cfRule type="cellIs" dxfId="4243" priority="5051" operator="equal">
      <formula>"L"</formula>
    </cfRule>
    <cfRule type="cellIs" dxfId="4242" priority="5050" operator="equal">
      <formula>"P"</formula>
    </cfRule>
    <cfRule type="cellIs" dxfId="4241" priority="5049" operator="equal">
      <formula>"T"</formula>
    </cfRule>
    <cfRule type="cellIs" dxfId="4240" priority="5048" operator="equal">
      <formula>"T"</formula>
    </cfRule>
    <cfRule type="cellIs" dxfId="4239" priority="5047" operator="equal">
      <formula>"P"</formula>
    </cfRule>
    <cfRule type="cellIs" dxfId="4238" priority="5046" operator="equal">
      <formula>"P"</formula>
    </cfRule>
    <cfRule type="cellIs" dxfId="4237" priority="5045" operator="equal">
      <formula>"T"</formula>
    </cfRule>
    <cfRule type="cellIs" dxfId="4236" priority="5044" operator="equal">
      <formula>"T"</formula>
    </cfRule>
    <cfRule type="cellIs" dxfId="4235" priority="5043" operator="equal">
      <formula>"P"</formula>
    </cfRule>
    <cfRule type="cellIs" dxfId="4234" priority="5042" operator="equal">
      <formula>"L"</formula>
    </cfRule>
    <cfRule type="cellIs" dxfId="4233" priority="5040" operator="equal">
      <formula>"L"</formula>
    </cfRule>
    <cfRule type="cellIs" dxfId="4232" priority="5037" operator="equal">
      <formula>"L"</formula>
    </cfRule>
    <cfRule type="cellIs" dxfId="4231" priority="5036" operator="equal">
      <formula>"P"</formula>
    </cfRule>
    <cfRule type="cellIs" dxfId="4230" priority="5034" operator="equal">
      <formula>"L"</formula>
    </cfRule>
    <cfRule type="cellIs" dxfId="4229" priority="5033" operator="equal">
      <formula>"P"</formula>
    </cfRule>
    <cfRule type="cellIs" dxfId="4228" priority="5032" operator="equal">
      <formula>"P"</formula>
    </cfRule>
    <cfRule type="cellIs" dxfId="4227" priority="5031" operator="equal">
      <formula>"L"</formula>
    </cfRule>
    <cfRule type="cellIs" dxfId="4226" priority="5029" operator="equal">
      <formula>"T"</formula>
    </cfRule>
    <cfRule type="cellIs" dxfId="4225" priority="5028" operator="equal">
      <formula>"T"</formula>
    </cfRule>
    <cfRule type="cellIs" dxfId="4224" priority="5027" operator="equal">
      <formula>"P"</formula>
    </cfRule>
    <cfRule type="cellIs" dxfId="4223" priority="5026" operator="equal">
      <formula>"P"</formula>
    </cfRule>
    <cfRule type="cellIs" dxfId="4222" priority="5025" operator="equal">
      <formula>"P"</formula>
    </cfRule>
    <cfRule type="cellIs" dxfId="4221" priority="5024" operator="equal">
      <formula>"L"</formula>
    </cfRule>
    <cfRule type="cellIs" dxfId="4220" priority="5023" operator="equal">
      <formula>"L"</formula>
    </cfRule>
    <cfRule type="cellIs" dxfId="4219" priority="5022" operator="equal">
      <formula>"L"</formula>
    </cfRule>
    <cfRule type="cellIs" dxfId="4218" priority="5021" operator="equal">
      <formula>"P"</formula>
    </cfRule>
    <cfRule type="cellIs" dxfId="4217" priority="5018" operator="equal">
      <formula>"N"</formula>
    </cfRule>
    <cfRule type="cellIs" dxfId="4216" priority="5017" operator="equal">
      <formula>"P"</formula>
    </cfRule>
    <cfRule type="cellIs" dxfId="4215" priority="5016" operator="equal">
      <formula>"P"</formula>
    </cfRule>
    <cfRule type="cellIs" dxfId="4214" priority="5015" operator="equal">
      <formula>"P"</formula>
    </cfRule>
    <cfRule type="cellIs" dxfId="4213" priority="5013" operator="equal">
      <formula>"P"</formula>
    </cfRule>
    <cfRule type="cellIs" dxfId="4212" priority="5012" operator="equal">
      <formula>"L"</formula>
    </cfRule>
    <cfRule type="cellIs" dxfId="4211" priority="5011" operator="equal">
      <formula>"L"</formula>
    </cfRule>
    <cfRule type="cellIs" dxfId="4210" priority="5010" operator="equal">
      <formula>"P"</formula>
    </cfRule>
    <cfRule type="cellIs" dxfId="4209" priority="5009" operator="equal">
      <formula>"L"</formula>
    </cfRule>
    <cfRule type="cellIs" dxfId="4208" priority="5008" operator="equal">
      <formula>"P"</formula>
    </cfRule>
    <cfRule type="cellIs" dxfId="4207" priority="5007" operator="equal">
      <formula>"L"</formula>
    </cfRule>
    <cfRule type="cellIs" dxfId="4206" priority="5006" operator="equal">
      <formula>"P"</formula>
    </cfRule>
    <cfRule type="cellIs" dxfId="4205" priority="5005" operator="equal">
      <formula>"N"</formula>
    </cfRule>
    <cfRule type="cellIs" dxfId="4204" priority="5004" operator="equal">
      <formula>"L"</formula>
    </cfRule>
    <cfRule type="cellIs" dxfId="4203" priority="5002" operator="equal">
      <formula>"N"</formula>
    </cfRule>
    <cfRule type="cellIs" dxfId="4202" priority="5001" operator="equal">
      <formula>"L"</formula>
    </cfRule>
    <cfRule type="cellIs" dxfId="4201" priority="5000" operator="equal">
      <formula>"L"</formula>
    </cfRule>
    <cfRule type="cellIs" dxfId="4200" priority="4999" operator="equal">
      <formula>"L"</formula>
    </cfRule>
    <cfRule type="cellIs" dxfId="4199" priority="4998" operator="equal">
      <formula>"P"</formula>
    </cfRule>
    <cfRule type="cellIs" dxfId="4198" priority="4997" operator="equal">
      <formula>"P"</formula>
    </cfRule>
    <cfRule type="cellIs" dxfId="4197" priority="4996" operator="equal">
      <formula>"L"</formula>
    </cfRule>
    <cfRule type="cellIs" dxfId="4196" priority="4995" operator="equal">
      <formula>"P"</formula>
    </cfRule>
    <cfRule type="cellIs" dxfId="4195" priority="4994" operator="equal">
      <formula>"N"</formula>
    </cfRule>
    <cfRule type="cellIs" dxfId="4194" priority="4993" operator="equal">
      <formula>"L"</formula>
    </cfRule>
    <cfRule type="cellIs" dxfId="4193" priority="4992" operator="equal">
      <formula>"P"</formula>
    </cfRule>
    <cfRule type="cellIs" dxfId="4192" priority="4991" operator="equal">
      <formula>"P"</formula>
    </cfRule>
    <cfRule type="cellIs" dxfId="4191" priority="4987" operator="equal">
      <formula>"T"</formula>
    </cfRule>
    <cfRule type="cellIs" dxfId="4190" priority="4986" operator="equal">
      <formula>"T"</formula>
    </cfRule>
    <cfRule type="cellIs" dxfId="4189" priority="5286" operator="equal">
      <formula>"P"</formula>
    </cfRule>
    <cfRule type="cellIs" dxfId="4188" priority="4985" operator="equal">
      <formula>"P"</formula>
    </cfRule>
    <cfRule type="cellIs" dxfId="4187" priority="4984" operator="equal">
      <formula>"L"</formula>
    </cfRule>
    <cfRule type="cellIs" dxfId="4186" priority="4885" operator="equal">
      <formula>"L"</formula>
    </cfRule>
    <cfRule type="cellIs" dxfId="4185" priority="4884" operator="equal">
      <formula>"L"</formula>
    </cfRule>
    <cfRule type="cellIs" dxfId="4184" priority="4883" operator="equal">
      <formula>"P"</formula>
    </cfRule>
    <cfRule type="cellIs" dxfId="4183" priority="4882" operator="equal">
      <formula>"L"</formula>
    </cfRule>
    <cfRule type="cellIs" dxfId="4182" priority="4881" operator="equal">
      <formula>"P"</formula>
    </cfRule>
    <cfRule type="cellIs" dxfId="4181" priority="4880" operator="equal">
      <formula>"L"</formula>
    </cfRule>
    <cfRule type="cellIs" dxfId="4180" priority="4879" operator="equal">
      <formula>"P"</formula>
    </cfRule>
    <cfRule type="cellIs" dxfId="4179" priority="4878" operator="equal">
      <formula>"N"</formula>
    </cfRule>
    <cfRule type="cellIs" dxfId="4178" priority="4877" operator="equal">
      <formula>"L"</formula>
    </cfRule>
    <cfRule type="cellIs" dxfId="4177" priority="4875" operator="equal">
      <formula>"N"</formula>
    </cfRule>
    <cfRule type="cellIs" dxfId="4176" priority="4874" operator="equal">
      <formula>"L"</formula>
    </cfRule>
    <cfRule type="cellIs" dxfId="4175" priority="4873" operator="equal">
      <formula>"L"</formula>
    </cfRule>
    <cfRule type="cellIs" dxfId="4174" priority="4872" operator="equal">
      <formula>"L"</formula>
    </cfRule>
    <cfRule type="cellIs" dxfId="4173" priority="4871" operator="equal">
      <formula>"P"</formula>
    </cfRule>
    <cfRule type="cellIs" dxfId="4172" priority="4870" operator="equal">
      <formula>"P"</formula>
    </cfRule>
    <cfRule type="cellIs" dxfId="4171" priority="4869" operator="equal">
      <formula>"L"</formula>
    </cfRule>
    <cfRule type="cellIs" dxfId="4170" priority="4868" operator="equal">
      <formula>"P"</formula>
    </cfRule>
    <cfRule type="cellIs" dxfId="4169" priority="4867" operator="equal">
      <formula>"N"</formula>
    </cfRule>
    <cfRule type="cellIs" dxfId="4168" priority="4866" operator="equal">
      <formula>"L"</formula>
    </cfRule>
    <cfRule type="cellIs" dxfId="4167" priority="4865" operator="equal">
      <formula>"P"</formula>
    </cfRule>
    <cfRule type="cellIs" dxfId="4166" priority="4864" operator="equal">
      <formula>"P"</formula>
    </cfRule>
    <cfRule type="cellIs" dxfId="4165" priority="4860" operator="equal">
      <formula>"T"</formula>
    </cfRule>
    <cfRule type="cellIs" dxfId="4164" priority="4859" operator="equal">
      <formula>"T"</formula>
    </cfRule>
    <cfRule type="cellIs" dxfId="4163" priority="4858" operator="equal">
      <formula>"P"</formula>
    </cfRule>
    <cfRule type="cellIs" dxfId="4162" priority="4857" operator="equal">
      <formula>"L"</formula>
    </cfRule>
    <cfRule type="cellIs" dxfId="4161" priority="4855" operator="equal">
      <formula>"L"</formula>
    </cfRule>
    <cfRule type="cellIs" dxfId="4160" priority="4854" operator="equal">
      <formula>"P"</formula>
    </cfRule>
    <cfRule type="cellIs" dxfId="4159" priority="4853" operator="equal">
      <formula>"T"</formula>
    </cfRule>
    <cfRule type="cellIs" dxfId="4158" priority="4852" operator="equal">
      <formula>"T"</formula>
    </cfRule>
    <cfRule type="cellIs" dxfId="4157" priority="4851" operator="equal">
      <formula>"P"</formula>
    </cfRule>
    <cfRule type="cellIs" dxfId="4156" priority="4848" operator="equal">
      <formula>"L"</formula>
    </cfRule>
    <cfRule type="cellIs" dxfId="4155" priority="4847" operator="equal">
      <formula>"P"</formula>
    </cfRule>
    <cfRule type="cellIs" dxfId="4154" priority="4845" operator="equal">
      <formula>"L"</formula>
    </cfRule>
    <cfRule type="cellIs" dxfId="4153" priority="4844" operator="equal">
      <formula>"P"</formula>
    </cfRule>
    <cfRule type="cellIs" dxfId="4152" priority="4843" operator="equal">
      <formula>"P"</formula>
    </cfRule>
    <cfRule type="cellIs" dxfId="4151" priority="4842" operator="equal">
      <formula>"L"</formula>
    </cfRule>
    <cfRule type="cellIs" dxfId="4150" priority="4840" operator="equal">
      <formula>"T"</formula>
    </cfRule>
    <cfRule type="cellIs" dxfId="4149" priority="4839" operator="equal">
      <formula>"T"</formula>
    </cfRule>
    <cfRule type="cellIs" dxfId="4148" priority="4838" operator="equal">
      <formula>"P"</formula>
    </cfRule>
    <cfRule type="cellIs" dxfId="4147" priority="4837" operator="equal">
      <formula>"P"</formula>
    </cfRule>
    <cfRule type="cellIs" dxfId="4146" priority="4836" operator="equal">
      <formula>"P"</formula>
    </cfRule>
    <cfRule type="cellIs" dxfId="4145" priority="4835" operator="equal">
      <formula>"L"</formula>
    </cfRule>
    <cfRule type="cellIs" dxfId="4144" priority="4834" operator="equal">
      <formula>"L"</formula>
    </cfRule>
    <cfRule type="cellIs" dxfId="4143" priority="4833" operator="equal">
      <formula>"L"</formula>
    </cfRule>
    <cfRule type="cellIs" dxfId="4142" priority="4832" operator="equal">
      <formula>"P"</formula>
    </cfRule>
    <cfRule type="cellIs" dxfId="4141" priority="4829" operator="equal">
      <formula>"N"</formula>
    </cfRule>
    <cfRule type="cellIs" dxfId="4140" priority="4828" operator="equal">
      <formula>"P"</formula>
    </cfRule>
    <cfRule type="cellIs" dxfId="4139" priority="4827" operator="equal">
      <formula>"P"</formula>
    </cfRule>
    <cfRule type="cellIs" dxfId="4138" priority="4826" operator="equal">
      <formula>"P"</formula>
    </cfRule>
    <cfRule type="cellIs" dxfId="4137" priority="4824" operator="equal">
      <formula>"P"</formula>
    </cfRule>
    <cfRule type="cellIs" dxfId="4136" priority="4823" operator="equal">
      <formula>"L"</formula>
    </cfRule>
    <cfRule type="cellIs" dxfId="4135" priority="4822" operator="equal">
      <formula>"L"</formula>
    </cfRule>
    <cfRule type="cellIs" dxfId="4134" priority="4821" operator="equal">
      <formula>"P"</formula>
    </cfRule>
    <cfRule type="cellIs" dxfId="4133" priority="4820" operator="equal">
      <formula>"L"</formula>
    </cfRule>
    <cfRule type="cellIs" dxfId="4132" priority="4819" operator="equal">
      <formula>"P"</formula>
    </cfRule>
    <cfRule type="cellIs" dxfId="4131" priority="4818" operator="equal">
      <formula>"L"</formula>
    </cfRule>
    <cfRule type="cellIs" dxfId="4130" priority="4817" operator="equal">
      <formula>"P"</formula>
    </cfRule>
    <cfRule type="cellIs" dxfId="4129" priority="4816" operator="equal">
      <formula>"N"</formula>
    </cfRule>
    <cfRule type="cellIs" dxfId="4128" priority="4815" operator="equal">
      <formula>"L"</formula>
    </cfRule>
    <cfRule type="cellIs" dxfId="4127" priority="4813" operator="equal">
      <formula>"N"</formula>
    </cfRule>
    <cfRule type="cellIs" dxfId="4126" priority="4812" operator="equal">
      <formula>"L"</formula>
    </cfRule>
    <cfRule type="cellIs" dxfId="4125" priority="4811" operator="equal">
      <formula>"L"</formula>
    </cfRule>
    <cfRule type="cellIs" dxfId="4124" priority="4810" operator="equal">
      <formula>"L"</formula>
    </cfRule>
    <cfRule type="cellIs" dxfId="4123" priority="4809" operator="equal">
      <formula>"P"</formula>
    </cfRule>
    <cfRule type="cellIs" dxfId="4122" priority="4808" operator="equal">
      <formula>"P"</formula>
    </cfRule>
    <cfRule type="cellIs" dxfId="4121" priority="4807" operator="equal">
      <formula>"L"</formula>
    </cfRule>
    <cfRule type="cellIs" dxfId="4120" priority="4806" operator="equal">
      <formula>"P"</formula>
    </cfRule>
    <cfRule type="cellIs" dxfId="4119" priority="4805" operator="equal">
      <formula>"N"</formula>
    </cfRule>
    <cfRule type="cellIs" dxfId="4118" priority="4804" operator="equal">
      <formula>"L"</formula>
    </cfRule>
    <cfRule type="cellIs" dxfId="4117" priority="4803" operator="equal">
      <formula>"P"</formula>
    </cfRule>
    <cfRule type="cellIs" dxfId="4116" priority="4802" operator="equal">
      <formula>"P"</formula>
    </cfRule>
    <cfRule type="cellIs" dxfId="4115" priority="4798" operator="equal">
      <formula>"T"</formula>
    </cfRule>
    <cfRule type="cellIs" dxfId="4114" priority="4797" operator="equal">
      <formula>"T"</formula>
    </cfRule>
    <cfRule type="cellIs" dxfId="4113" priority="4796" operator="equal">
      <formula>"P"</formula>
    </cfRule>
    <cfRule type="cellIs" dxfId="4112" priority="4795" operator="equal">
      <formula>"L"</formula>
    </cfRule>
    <cfRule type="cellIs" dxfId="4111" priority="4793" operator="equal">
      <formula>"L"</formula>
    </cfRule>
    <cfRule type="cellIs" dxfId="4110" priority="4792" operator="equal">
      <formula>"P"</formula>
    </cfRule>
    <cfRule type="cellIs" dxfId="4109" priority="4791" operator="equal">
      <formula>"T"</formula>
    </cfRule>
    <cfRule type="cellIs" dxfId="4108" priority="4790" operator="equal">
      <formula>"T"</formula>
    </cfRule>
    <cfRule type="cellIs" dxfId="4107" priority="4789" operator="equal">
      <formula>"P"</formula>
    </cfRule>
    <cfRule type="cellIs" dxfId="4106" priority="4786" operator="equal">
      <formula>"L"</formula>
    </cfRule>
    <cfRule type="cellIs" dxfId="4105" priority="4785" operator="equal">
      <formula>"P"</formula>
    </cfRule>
    <cfRule type="cellIs" dxfId="4104" priority="4783" operator="equal">
      <formula>"L"</formula>
    </cfRule>
    <cfRule type="cellIs" dxfId="4103" priority="4782" operator="equal">
      <formula>"P"</formula>
    </cfRule>
    <cfRule type="cellIs" dxfId="4102" priority="4781" operator="equal">
      <formula>"P"</formula>
    </cfRule>
    <cfRule type="cellIs" dxfId="4101" priority="4780" operator="equal">
      <formula>"L"</formula>
    </cfRule>
    <cfRule type="cellIs" dxfId="4100" priority="4778" operator="equal">
      <formula>"T"</formula>
    </cfRule>
    <cfRule type="cellIs" dxfId="4099" priority="4777" operator="equal">
      <formula>"T"</formula>
    </cfRule>
    <cfRule type="cellIs" dxfId="4098" priority="4776" operator="equal">
      <formula>"P"</formula>
    </cfRule>
    <cfRule type="cellIs" dxfId="4097" priority="4775" operator="equal">
      <formula>"P"</formula>
    </cfRule>
    <cfRule type="cellIs" dxfId="4096" priority="4774" operator="equal">
      <formula>"P"</formula>
    </cfRule>
    <cfRule type="cellIs" dxfId="4095" priority="4773" operator="equal">
      <formula>"L"</formula>
    </cfRule>
    <cfRule type="cellIs" dxfId="4094" priority="4772" operator="equal">
      <formula>"L"</formula>
    </cfRule>
    <cfRule type="cellIs" dxfId="4093" priority="5284" operator="equal">
      <formula>"P"</formula>
    </cfRule>
    <cfRule type="cellIs" dxfId="4092" priority="4771" operator="equal">
      <formula>"L"</formula>
    </cfRule>
    <cfRule type="cellIs" dxfId="4091" priority="4770" operator="equal">
      <formula>"P"</formula>
    </cfRule>
    <cfRule type="cellIs" dxfId="4090" priority="4767" operator="equal">
      <formula>"N"</formula>
    </cfRule>
    <cfRule type="cellIs" dxfId="4089" priority="4766" operator="equal">
      <formula>"P"</formula>
    </cfRule>
    <cfRule type="cellIs" dxfId="4088" priority="4765" operator="equal">
      <formula>"P"</formula>
    </cfRule>
    <cfRule type="cellIs" dxfId="4087" priority="4764" operator="equal">
      <formula>"P"</formula>
    </cfRule>
    <cfRule type="cellIs" dxfId="4086" priority="4762" operator="equal">
      <formula>"P"</formula>
    </cfRule>
    <cfRule type="cellIs" dxfId="4085" priority="4761" operator="equal">
      <formula>"L"</formula>
    </cfRule>
    <cfRule type="cellIs" dxfId="4084" priority="4760" operator="equal">
      <formula>"L"</formula>
    </cfRule>
    <cfRule type="cellIs" dxfId="4083" priority="4759" operator="equal">
      <formula>"P"</formula>
    </cfRule>
    <cfRule type="cellIs" dxfId="4082" priority="4758" operator="equal">
      <formula>"L"</formula>
    </cfRule>
    <cfRule type="cellIs" dxfId="4081" priority="4757" operator="equal">
      <formula>"P"</formula>
    </cfRule>
    <cfRule type="cellIs" dxfId="4080" priority="4756" operator="equal">
      <formula>"L"</formula>
    </cfRule>
    <cfRule type="cellIs" dxfId="4079" priority="4755" operator="equal">
      <formula>"P"</formula>
    </cfRule>
    <cfRule type="cellIs" dxfId="4078" priority="4754" operator="equal">
      <formula>"N"</formula>
    </cfRule>
    <cfRule type="cellIs" dxfId="4077" priority="4753" operator="equal">
      <formula>"L"</formula>
    </cfRule>
    <cfRule type="cellIs" dxfId="4076" priority="4751" operator="equal">
      <formula>"N"</formula>
    </cfRule>
    <cfRule type="cellIs" dxfId="4075" priority="4750" operator="equal">
      <formula>"L"</formula>
    </cfRule>
    <cfRule type="cellIs" dxfId="4074" priority="4749" operator="equal">
      <formula>"L"</formula>
    </cfRule>
    <cfRule type="cellIs" dxfId="4073" priority="4748" operator="equal">
      <formula>"L"</formula>
    </cfRule>
    <cfRule type="cellIs" dxfId="4072" priority="4747" operator="equal">
      <formula>"P"</formula>
    </cfRule>
    <cfRule type="cellIs" dxfId="4071" priority="4746" operator="equal">
      <formula>"P"</formula>
    </cfRule>
    <cfRule type="cellIs" dxfId="4070" priority="4745" operator="equal">
      <formula>"L"</formula>
    </cfRule>
    <cfRule type="cellIs" dxfId="4069" priority="4744" operator="equal">
      <formula>"P"</formula>
    </cfRule>
    <cfRule type="cellIs" dxfId="4068" priority="4743" operator="equal">
      <formula>"N"</formula>
    </cfRule>
    <cfRule type="cellIs" dxfId="4067" priority="4742" operator="equal">
      <formula>"L"</formula>
    </cfRule>
    <cfRule type="cellIs" dxfId="4066" priority="4741" operator="equal">
      <formula>"P"</formula>
    </cfRule>
    <cfRule type="cellIs" dxfId="4065" priority="4740" operator="equal">
      <formula>"P"</formula>
    </cfRule>
    <cfRule type="cellIs" dxfId="4064" priority="4736" operator="equal">
      <formula>"T"</formula>
    </cfRule>
    <cfRule type="cellIs" dxfId="4063" priority="4735" operator="equal">
      <formula>"T"</formula>
    </cfRule>
    <cfRule type="cellIs" dxfId="4062" priority="4734" operator="equal">
      <formula>"P"</formula>
    </cfRule>
    <cfRule type="cellIs" dxfId="4061" priority="4733" operator="equal">
      <formula>"L"</formula>
    </cfRule>
    <cfRule type="cellIs" dxfId="4060" priority="4731" operator="equal">
      <formula>"L"</formula>
    </cfRule>
    <cfRule type="cellIs" dxfId="4059" priority="4730" operator="equal">
      <formula>"P"</formula>
    </cfRule>
    <cfRule type="cellIs" dxfId="4058" priority="4729" operator="equal">
      <formula>"T"</formula>
    </cfRule>
    <cfRule type="cellIs" dxfId="4057" priority="4728" operator="equal">
      <formula>"T"</formula>
    </cfRule>
    <cfRule type="cellIs" dxfId="4056" priority="4727" operator="equal">
      <formula>"P"</formula>
    </cfRule>
    <cfRule type="cellIs" dxfId="4055" priority="4724" operator="equal">
      <formula>"L"</formula>
    </cfRule>
    <cfRule type="cellIs" dxfId="4054" priority="4723" operator="equal">
      <formula>"P"</formula>
    </cfRule>
    <cfRule type="cellIs" dxfId="4053" priority="4721" operator="equal">
      <formula>"L"</formula>
    </cfRule>
    <cfRule type="cellIs" dxfId="4052" priority="4720" operator="equal">
      <formula>"P"</formula>
    </cfRule>
    <cfRule type="cellIs" dxfId="4051" priority="4719" operator="equal">
      <formula>"P"</formula>
    </cfRule>
    <cfRule type="cellIs" dxfId="4050" priority="4718" operator="equal">
      <formula>"L"</formula>
    </cfRule>
    <cfRule type="cellIs" dxfId="4049" priority="4716" operator="equal">
      <formula>"T"</formula>
    </cfRule>
    <cfRule type="cellIs" dxfId="4048" priority="4715" operator="equal">
      <formula>"T"</formula>
    </cfRule>
    <cfRule type="cellIs" dxfId="4047" priority="4714" operator="equal">
      <formula>"P"</formula>
    </cfRule>
    <cfRule type="cellIs" dxfId="4046" priority="4713" operator="equal">
      <formula>"P"</formula>
    </cfRule>
    <cfRule type="cellIs" dxfId="4045" priority="4712" operator="equal">
      <formula>"P"</formula>
    </cfRule>
    <cfRule type="cellIs" dxfId="4044" priority="4711" operator="equal">
      <formula>"L"</formula>
    </cfRule>
    <cfRule type="cellIs" dxfId="4043" priority="4710" operator="equal">
      <formula>"L"</formula>
    </cfRule>
    <cfRule type="cellIs" dxfId="4042" priority="4709" operator="equal">
      <formula>"L"</formula>
    </cfRule>
    <cfRule type="cellIs" dxfId="4041" priority="4708" operator="equal">
      <formula>"P"</formula>
    </cfRule>
    <cfRule type="cellIs" dxfId="4040" priority="4705" operator="equal">
      <formula>"N"</formula>
    </cfRule>
    <cfRule type="cellIs" dxfId="4039" priority="4704" operator="equal">
      <formula>"P"</formula>
    </cfRule>
    <cfRule type="cellIs" dxfId="4038" priority="4703" operator="equal">
      <formula>"P"</formula>
    </cfRule>
    <cfRule type="cellIs" dxfId="4037" priority="4702" operator="equal">
      <formula>"P"</formula>
    </cfRule>
    <cfRule type="cellIs" dxfId="4036" priority="4700" operator="equal">
      <formula>"P"</formula>
    </cfRule>
    <cfRule type="cellIs" dxfId="4035" priority="4898" operator="equal">
      <formula>"P"</formula>
    </cfRule>
    <cfRule type="cellIs" dxfId="4034" priority="4699" operator="equal">
      <formula>"L"</formula>
    </cfRule>
    <cfRule type="cellIs" dxfId="4033" priority="4698" operator="equal">
      <formula>"L"</formula>
    </cfRule>
    <cfRule type="cellIs" dxfId="4032" priority="4697" operator="equal">
      <formula>"P"</formula>
    </cfRule>
    <cfRule type="cellIs" dxfId="4031" priority="4696" operator="equal">
      <formula>"L"</formula>
    </cfRule>
    <cfRule type="cellIs" dxfId="4030" priority="4695" operator="equal">
      <formula>"P"</formula>
    </cfRule>
    <cfRule type="cellIs" dxfId="4029" priority="4694" operator="equal">
      <formula>"L"</formula>
    </cfRule>
    <cfRule type="cellIs" dxfId="4028" priority="4693" operator="equal">
      <formula>"P"</formula>
    </cfRule>
    <cfRule type="cellIs" dxfId="4027" priority="4692" operator="equal">
      <formula>"N"</formula>
    </cfRule>
    <cfRule type="cellIs" dxfId="4026" priority="4691" operator="equal">
      <formula>"L"</formula>
    </cfRule>
    <cfRule type="cellIs" dxfId="4025" priority="4689" operator="equal">
      <formula>"N"</formula>
    </cfRule>
    <cfRule type="cellIs" dxfId="4024" priority="4688" operator="equal">
      <formula>"L"</formula>
    </cfRule>
    <cfRule type="cellIs" dxfId="4023" priority="4687" operator="equal">
      <formula>"L"</formula>
    </cfRule>
    <cfRule type="cellIs" dxfId="4022" priority="4686" operator="equal">
      <formula>"L"</formula>
    </cfRule>
    <cfRule type="cellIs" dxfId="4021" priority="4685" operator="equal">
      <formula>"P"</formula>
    </cfRule>
    <cfRule type="cellIs" dxfId="4020" priority="4684" operator="equal">
      <formula>"P"</formula>
    </cfRule>
    <cfRule type="cellIs" dxfId="4019" priority="4683" operator="equal">
      <formula>"L"</formula>
    </cfRule>
    <cfRule type="cellIs" dxfId="4018" priority="4682" operator="equal">
      <formula>"P"</formula>
    </cfRule>
    <cfRule type="cellIs" dxfId="4017" priority="4681" operator="equal">
      <formula>"N"</formula>
    </cfRule>
    <cfRule type="cellIs" dxfId="4016" priority="4680" operator="equal">
      <formula>"L"</formula>
    </cfRule>
    <cfRule type="cellIs" dxfId="4015" priority="4679" operator="equal">
      <formula>"P"</formula>
    </cfRule>
    <cfRule type="cellIs" dxfId="4014" priority="4678" operator="equal">
      <formula>"P"</formula>
    </cfRule>
    <cfRule type="cellIs" dxfId="4013" priority="4674" operator="equal">
      <formula>"T"</formula>
    </cfRule>
    <cfRule type="cellIs" dxfId="4012" priority="4673" operator="equal">
      <formula>"T"</formula>
    </cfRule>
    <cfRule type="cellIs" dxfId="4011" priority="4672" operator="equal">
      <formula>"P"</formula>
    </cfRule>
    <cfRule type="cellIs" dxfId="4010" priority="4671" operator="equal">
      <formula>"L"</formula>
    </cfRule>
    <cfRule type="cellIs" dxfId="4009" priority="4669" operator="equal">
      <formula>"L"</formula>
    </cfRule>
    <cfRule type="cellIs" dxfId="4008" priority="4668" operator="equal">
      <formula>"P"</formula>
    </cfRule>
    <cfRule type="cellIs" dxfId="4007" priority="4667" operator="equal">
      <formula>"T"</formula>
    </cfRule>
    <cfRule type="cellIs" dxfId="4006" priority="4666" operator="equal">
      <formula>"T"</formula>
    </cfRule>
    <cfRule type="cellIs" dxfId="4005" priority="4665" operator="equal">
      <formula>"P"</formula>
    </cfRule>
    <cfRule type="cellIs" dxfId="4004" priority="4662" operator="equal">
      <formula>"L"</formula>
    </cfRule>
    <cfRule type="cellIs" dxfId="4003" priority="4661" operator="equal">
      <formula>"P"</formula>
    </cfRule>
    <cfRule type="cellIs" dxfId="4002" priority="4659" operator="equal">
      <formula>"L"</formula>
    </cfRule>
    <cfRule type="cellIs" dxfId="4001" priority="4658" operator="equal">
      <formula>"P"</formula>
    </cfRule>
    <cfRule type="cellIs" dxfId="4000" priority="4657" operator="equal">
      <formula>"P"</formula>
    </cfRule>
    <cfRule type="cellIs" dxfId="3999" priority="4656" operator="equal">
      <formula>"L"</formula>
    </cfRule>
    <cfRule type="cellIs" dxfId="3998" priority="4654" operator="equal">
      <formula>"T"</formula>
    </cfRule>
    <cfRule type="cellIs" dxfId="3997" priority="4653" operator="equal">
      <formula>"T"</formula>
    </cfRule>
    <cfRule type="cellIs" dxfId="3996" priority="4652" operator="equal">
      <formula>"P"</formula>
    </cfRule>
    <cfRule type="cellIs" dxfId="3995" priority="4651" operator="equal">
      <formula>"P"</formula>
    </cfRule>
    <cfRule type="cellIs" dxfId="3994" priority="4650" operator="equal">
      <formula>"P"</formula>
    </cfRule>
    <cfRule type="cellIs" dxfId="3993" priority="4649" operator="equal">
      <formula>"L"</formula>
    </cfRule>
    <cfRule type="cellIs" dxfId="3992" priority="4648" operator="equal">
      <formula>"L"</formula>
    </cfRule>
    <cfRule type="cellIs" dxfId="3991" priority="4647" operator="equal">
      <formula>"L"</formula>
    </cfRule>
    <cfRule type="cellIs" dxfId="3990" priority="4646" operator="equal">
      <formula>"P"</formula>
    </cfRule>
    <cfRule type="cellIs" dxfId="3989" priority="4643" operator="equal">
      <formula>"N"</formula>
    </cfRule>
    <cfRule type="cellIs" dxfId="3988" priority="4899" operator="equal">
      <formula>"P"</formula>
    </cfRule>
    <cfRule type="cellIs" dxfId="3987" priority="4641" operator="equal">
      <formula>"P"</formula>
    </cfRule>
    <cfRule type="cellIs" dxfId="3986" priority="4640" operator="equal">
      <formula>"P"</formula>
    </cfRule>
    <cfRule type="cellIs" dxfId="3985" priority="4638" operator="equal">
      <formula>"P"</formula>
    </cfRule>
    <cfRule type="cellIs" dxfId="3984" priority="4637" operator="equal">
      <formula>"L"</formula>
    </cfRule>
    <cfRule type="cellIs" dxfId="3983" priority="4636" operator="equal">
      <formula>"L"</formula>
    </cfRule>
    <cfRule type="cellIs" dxfId="3982" priority="4635" operator="equal">
      <formula>"P"</formula>
    </cfRule>
    <cfRule type="cellIs" dxfId="3981" priority="4634" operator="equal">
      <formula>"L"</formula>
    </cfRule>
    <cfRule type="cellIs" dxfId="3980" priority="4633" operator="equal">
      <formula>"P"</formula>
    </cfRule>
    <cfRule type="cellIs" dxfId="3979" priority="4632" operator="equal">
      <formula>"L"</formula>
    </cfRule>
    <cfRule type="cellIs" dxfId="3978" priority="4631" operator="equal">
      <formula>"P"</formula>
    </cfRule>
    <cfRule type="cellIs" dxfId="3977" priority="4630" operator="equal">
      <formula>"N"</formula>
    </cfRule>
    <cfRule type="cellIs" dxfId="3976" priority="4629" operator="equal">
      <formula>"L"</formula>
    </cfRule>
    <cfRule type="cellIs" dxfId="3975" priority="4626" operator="equal">
      <formula>"L"</formula>
    </cfRule>
    <cfRule type="cellIs" dxfId="3974" priority="4625" operator="equal">
      <formula>"L"</formula>
    </cfRule>
    <cfRule type="cellIs" dxfId="3973" priority="4624" operator="equal">
      <formula>"L"</formula>
    </cfRule>
    <cfRule type="cellIs" dxfId="3972" priority="4623" operator="equal">
      <formula>"P"</formula>
    </cfRule>
    <cfRule type="cellIs" dxfId="3971" priority="4622" operator="equal">
      <formula>"P"</formula>
    </cfRule>
    <cfRule type="cellIs" dxfId="3970" priority="4621" operator="equal">
      <formula>"L"</formula>
    </cfRule>
    <cfRule type="cellIs" dxfId="3969" priority="4620" operator="equal">
      <formula>"P"</formula>
    </cfRule>
    <cfRule type="cellIs" dxfId="3968" priority="4618" operator="equal">
      <formula>"L"</formula>
    </cfRule>
    <cfRule type="cellIs" dxfId="3967" priority="4617" operator="equal">
      <formula>"P"</formula>
    </cfRule>
    <cfRule type="cellIs" dxfId="3966" priority="4616" operator="equal">
      <formula>"P"</formula>
    </cfRule>
    <cfRule type="cellIs" dxfId="3965" priority="4612" operator="equal">
      <formula>"T"</formula>
    </cfRule>
    <cfRule type="cellIs" dxfId="3964" priority="4611" operator="equal">
      <formula>"T"</formula>
    </cfRule>
    <cfRule type="cellIs" dxfId="3963" priority="4610" operator="equal">
      <formula>"P"</formula>
    </cfRule>
    <cfRule type="cellIs" dxfId="3962" priority="4609" operator="equal">
      <formula>"L"</formula>
    </cfRule>
    <cfRule type="cellIs" dxfId="3961" priority="4886" operator="equal">
      <formula>"P"</formula>
    </cfRule>
    <cfRule type="cellIs" dxfId="3960" priority="4642" operator="equal">
      <formula>"P"</formula>
    </cfRule>
    <cfRule type="cellIs" dxfId="3959" priority="4900" operator="equal">
      <formula>"P"</formula>
    </cfRule>
    <cfRule type="cellIs" dxfId="3958" priority="4901" operator="equal">
      <formula>"T"</formula>
    </cfRule>
    <cfRule type="cellIs" dxfId="3957" priority="4902" operator="equal">
      <formula>"T"</formula>
    </cfRule>
    <cfRule type="cellIs" dxfId="3956" priority="4904" operator="equal">
      <formula>"L"</formula>
    </cfRule>
    <cfRule type="cellIs" dxfId="3955" priority="4905" operator="equal">
      <formula>"P"</formula>
    </cfRule>
    <cfRule type="cellIs" dxfId="3954" priority="4906" operator="equal">
      <formula>"P"</formula>
    </cfRule>
    <cfRule type="cellIs" dxfId="3953" priority="4907" operator="equal">
      <formula>"L"</formula>
    </cfRule>
    <cfRule type="cellIs" dxfId="3952" priority="4909" operator="equal">
      <formula>"P"</formula>
    </cfRule>
    <cfRule type="cellIs" dxfId="3951" priority="4910" operator="equal">
      <formula>"L"</formula>
    </cfRule>
    <cfRule type="cellIs" dxfId="3950" priority="4913" operator="equal">
      <formula>"P"</formula>
    </cfRule>
    <cfRule type="cellIs" dxfId="3949" priority="4914" operator="equal">
      <formula>"T"</formula>
    </cfRule>
    <cfRule type="cellIs" dxfId="3948" priority="4915" operator="equal">
      <formula>"T"</formula>
    </cfRule>
    <cfRule type="cellIs" dxfId="3947" priority="4916" operator="equal">
      <formula>"P"</formula>
    </cfRule>
    <cfRule type="cellIs" dxfId="3946" priority="4917" operator="equal">
      <formula>"L"</formula>
    </cfRule>
    <cfRule type="cellIs" dxfId="3945" priority="4919" operator="equal">
      <formula>"L"</formula>
    </cfRule>
    <cfRule type="cellIs" dxfId="3944" priority="4920" operator="equal">
      <formula>"P"</formula>
    </cfRule>
    <cfRule type="cellIs" dxfId="3943" priority="4921" operator="equal">
      <formula>"T"</formula>
    </cfRule>
    <cfRule type="cellIs" dxfId="3942" priority="4922" operator="equal">
      <formula>"T"</formula>
    </cfRule>
    <cfRule type="cellIs" dxfId="3941" priority="4926" operator="equal">
      <formula>"P"</formula>
    </cfRule>
    <cfRule type="cellIs" dxfId="3940" priority="4927" operator="equal">
      <formula>"P"</formula>
    </cfRule>
    <cfRule type="cellIs" dxfId="3939" priority="4928" operator="equal">
      <formula>"L"</formula>
    </cfRule>
    <cfRule type="cellIs" dxfId="3938" priority="4929" operator="equal">
      <formula>"N"</formula>
    </cfRule>
    <cfRule type="cellIs" dxfId="3937" priority="4930" operator="equal">
      <formula>"P"</formula>
    </cfRule>
    <cfRule type="cellIs" dxfId="3936" priority="4931" operator="equal">
      <formula>"L"</formula>
    </cfRule>
    <cfRule type="cellIs" dxfId="3935" priority="4932" operator="equal">
      <formula>"P"</formula>
    </cfRule>
    <cfRule type="cellIs" dxfId="3934" priority="4933" operator="equal">
      <formula>"P"</formula>
    </cfRule>
    <cfRule type="cellIs" dxfId="3933" priority="4934" operator="equal">
      <formula>"L"</formula>
    </cfRule>
    <cfRule type="cellIs" dxfId="3932" priority="4935" operator="equal">
      <formula>"L"</formula>
    </cfRule>
    <cfRule type="cellIs" dxfId="3931" priority="4936" operator="equal">
      <formula>"L"</formula>
    </cfRule>
    <cfRule type="cellIs" dxfId="3930" priority="4937" operator="equal">
      <formula>"N"</formula>
    </cfRule>
    <cfRule type="cellIs" dxfId="3929" priority="4939" operator="equal">
      <formula>"L"</formula>
    </cfRule>
    <cfRule type="cellIs" dxfId="3928" priority="4940" operator="equal">
      <formula>"N"</formula>
    </cfRule>
    <cfRule type="cellIs" dxfId="3927" priority="4941" operator="equal">
      <formula>"P"</formula>
    </cfRule>
    <cfRule type="cellIs" dxfId="3926" priority="4942" operator="equal">
      <formula>"L"</formula>
    </cfRule>
    <cfRule type="cellIs" dxfId="3925" priority="4943" operator="equal">
      <formula>"P"</formula>
    </cfRule>
    <cfRule type="cellIs" dxfId="3924" priority="4944" operator="equal">
      <formula>"L"</formula>
    </cfRule>
    <cfRule type="cellIs" dxfId="3923" priority="4945" operator="equal">
      <formula>"P"</formula>
    </cfRule>
    <cfRule type="cellIs" dxfId="3922" priority="4946" operator="equal">
      <formula>"L"</formula>
    </cfRule>
    <cfRule type="cellIs" dxfId="3921" priority="4947" operator="equal">
      <formula>"L"</formula>
    </cfRule>
    <cfRule type="cellIs" dxfId="3920" priority="4948" operator="equal">
      <formula>"P"</formula>
    </cfRule>
    <cfRule type="cellIs" dxfId="3919" priority="4950" operator="equal">
      <formula>"P"</formula>
    </cfRule>
    <cfRule type="cellIs" dxfId="3918" priority="4951" operator="equal">
      <formula>"P"</formula>
    </cfRule>
    <cfRule type="cellIs" dxfId="3917" priority="4952" operator="equal">
      <formula>"P"</formula>
    </cfRule>
    <cfRule type="cellIs" dxfId="3916" priority="4953" operator="equal">
      <formula>"N"</formula>
    </cfRule>
    <cfRule type="cellIs" dxfId="3915" priority="4956" operator="equal">
      <formula>"P"</formula>
    </cfRule>
    <cfRule type="cellIs" dxfId="3914" priority="4957" operator="equal">
      <formula>"L"</formula>
    </cfRule>
    <cfRule type="cellIs" dxfId="3913" priority="4958" operator="equal">
      <formula>"L"</formula>
    </cfRule>
    <cfRule type="cellIs" dxfId="3912" priority="4959" operator="equal">
      <formula>"L"</formula>
    </cfRule>
    <cfRule type="cellIs" dxfId="3911" priority="4960" operator="equal">
      <formula>"P"</formula>
    </cfRule>
    <cfRule type="cellIs" dxfId="3910" priority="4961" operator="equal">
      <formula>"P"</formula>
    </cfRule>
    <cfRule type="cellIs" dxfId="3909" priority="4962" operator="equal">
      <formula>"P"</formula>
    </cfRule>
    <cfRule type="cellIs" dxfId="3908" priority="4963" operator="equal">
      <formula>"T"</formula>
    </cfRule>
    <cfRule type="cellIs" dxfId="3907" priority="4964" operator="equal">
      <formula>"T"</formula>
    </cfRule>
    <cfRule type="cellIs" dxfId="3906" priority="4966" operator="equal">
      <formula>"L"</formula>
    </cfRule>
    <cfRule type="cellIs" dxfId="3905" priority="4967" operator="equal">
      <formula>"P"</formula>
    </cfRule>
    <cfRule type="cellIs" dxfId="3904" priority="4968" operator="equal">
      <formula>"P"</formula>
    </cfRule>
    <cfRule type="cellIs" dxfId="3903" priority="4969" operator="equal">
      <formula>"L"</formula>
    </cfRule>
    <cfRule type="cellIs" dxfId="3902" priority="4971" operator="equal">
      <formula>"P"</formula>
    </cfRule>
    <cfRule type="cellIs" dxfId="3901" priority="4972" operator="equal">
      <formula>"L"</formula>
    </cfRule>
    <cfRule type="cellIs" dxfId="3900" priority="4975" operator="equal">
      <formula>"L"</formula>
    </cfRule>
    <cfRule type="cellIs" dxfId="3899" priority="4977" operator="equal">
      <formula>"L"</formula>
    </cfRule>
    <cfRule type="cellIs" dxfId="3898" priority="4978" operator="equal">
      <formula>"P"</formula>
    </cfRule>
    <cfRule type="cellIs" dxfId="3897" priority="4979" operator="equal">
      <formula>"T"</formula>
    </cfRule>
    <cfRule type="cellIs" dxfId="3896" priority="4980" operator="equal">
      <formula>"T"</formula>
    </cfRule>
    <cfRule type="cellIs" dxfId="3895" priority="4981" operator="equal">
      <formula>"P"</formula>
    </cfRule>
    <cfRule type="cellIs" dxfId="3894" priority="4982" operator="equal">
      <formula>"L"</formula>
    </cfRule>
    <cfRule type="cellIs" dxfId="3893" priority="4897" operator="equal">
      <formula>"L"</formula>
    </cfRule>
    <cfRule type="cellIs" dxfId="3892" priority="4896" operator="equal">
      <formula>"L"</formula>
    </cfRule>
    <cfRule type="cellIs" dxfId="3891" priority="4895" operator="equal">
      <formula>"L"</formula>
    </cfRule>
    <cfRule type="cellIs" dxfId="3890" priority="4894" operator="equal">
      <formula>"P"</formula>
    </cfRule>
    <cfRule type="cellIs" dxfId="3889" priority="4891" operator="equal">
      <formula>"N"</formula>
    </cfRule>
    <cfRule type="cellIs" dxfId="3888" priority="4890" operator="equal">
      <formula>"P"</formula>
    </cfRule>
    <cfRule type="cellIs" dxfId="3887" priority="4889" operator="equal">
      <formula>"P"</formula>
    </cfRule>
    <cfRule type="cellIs" dxfId="3886" priority="4888" operator="equal">
      <formula>"P"</formula>
    </cfRule>
  </conditionalFormatting>
  <conditionalFormatting sqref="G126:H127">
    <cfRule type="cellIs" dxfId="3885" priority="4546" operator="equal">
      <formula>"N"</formula>
    </cfRule>
    <cfRule type="cellIs" dxfId="3884" priority="4581" operator="equal">
      <formula>"L"</formula>
    </cfRule>
    <cfRule type="cellIs" dxfId="3883" priority="4559" operator="equal">
      <formula>"N"</formula>
    </cfRule>
    <cfRule type="cellIs" dxfId="3882" priority="4599" operator="equal">
      <formula>"T"</formula>
    </cfRule>
    <cfRule type="cellIs" dxfId="3881" priority="4598" operator="equal">
      <formula>"T"</formula>
    </cfRule>
    <cfRule type="cellIs" dxfId="3880" priority="4600" operator="equal">
      <formula>"P"</formula>
    </cfRule>
    <cfRule type="cellIs" dxfId="3879" priority="4597" operator="equal">
      <formula>"P"</formula>
    </cfRule>
  </conditionalFormatting>
  <conditionalFormatting sqref="G127:H127">
    <cfRule type="cellIs" dxfId="3878" priority="3529" operator="equal">
      <formula>"L"</formula>
    </cfRule>
    <cfRule type="cellIs" dxfId="3877" priority="3530" operator="equal">
      <formula>"P"</formula>
    </cfRule>
    <cfRule type="cellIs" dxfId="3876" priority="3531" operator="equal">
      <formula>"P"</formula>
    </cfRule>
    <cfRule type="cellIs" dxfId="3875" priority="3532" operator="equal">
      <formula>"P"</formula>
    </cfRule>
    <cfRule type="cellIs" dxfId="3874" priority="3533" operator="equal">
      <formula>"T"</formula>
    </cfRule>
    <cfRule type="cellIs" dxfId="3873" priority="3534" operator="equal">
      <formula>"T"</formula>
    </cfRule>
    <cfRule type="cellIs" dxfId="3872" priority="3536" operator="equal">
      <formula>"L"</formula>
    </cfRule>
    <cfRule type="cellIs" dxfId="3871" priority="3537" operator="equal">
      <formula>"P"</formula>
    </cfRule>
    <cfRule type="cellIs" dxfId="3870" priority="3538" operator="equal">
      <formula>"P"</formula>
    </cfRule>
    <cfRule type="cellIs" dxfId="3869" priority="3539" operator="equal">
      <formula>"L"</formula>
    </cfRule>
    <cfRule type="cellIs" dxfId="3868" priority="3541" operator="equal">
      <formula>"P"</formula>
    </cfRule>
    <cfRule type="cellIs" dxfId="3867" priority="3542" operator="equal">
      <formula>"L"</formula>
    </cfRule>
    <cfRule type="cellIs" dxfId="3866" priority="3545" operator="equal">
      <formula>"P"</formula>
    </cfRule>
    <cfRule type="cellIs" dxfId="3865" priority="3546" operator="equal">
      <formula>"T"</formula>
    </cfRule>
    <cfRule type="cellIs" dxfId="3864" priority="3547" operator="equal">
      <formula>"T"</formula>
    </cfRule>
    <cfRule type="cellIs" dxfId="3863" priority="3548" operator="equal">
      <formula>"P"</formula>
    </cfRule>
    <cfRule type="cellIs" dxfId="3862" priority="3549" operator="equal">
      <formula>"L"</formula>
    </cfRule>
    <cfRule type="cellIs" dxfId="3861" priority="3551" operator="equal">
      <formula>"L"</formula>
    </cfRule>
    <cfRule type="cellIs" dxfId="3860" priority="3552" operator="equal">
      <formula>"P"</formula>
    </cfRule>
    <cfRule type="cellIs" dxfId="3859" priority="3553" operator="equal">
      <formula>"T"</formula>
    </cfRule>
    <cfRule type="cellIs" dxfId="3858" priority="3554" operator="equal">
      <formula>"T"</formula>
    </cfRule>
    <cfRule type="cellIs" dxfId="3857" priority="3558" operator="equal">
      <formula>"P"</formula>
    </cfRule>
    <cfRule type="cellIs" dxfId="3856" priority="3559" operator="equal">
      <formula>"P"</formula>
    </cfRule>
    <cfRule type="cellIs" dxfId="3855" priority="3560" operator="equal">
      <formula>"L"</formula>
    </cfRule>
    <cfRule type="cellIs" dxfId="3854" priority="3561" operator="equal">
      <formula>"N"</formula>
    </cfRule>
    <cfRule type="cellIs" dxfId="3853" priority="3562" operator="equal">
      <formula>"P"</formula>
    </cfRule>
    <cfRule type="cellIs" dxfId="3852" priority="3563" operator="equal">
      <formula>"L"</formula>
    </cfRule>
    <cfRule type="cellIs" dxfId="3851" priority="3564" operator="equal">
      <formula>"P"</formula>
    </cfRule>
    <cfRule type="cellIs" dxfId="3850" priority="3565" operator="equal">
      <formula>"P"</formula>
    </cfRule>
    <cfRule type="cellIs" dxfId="3849" priority="3566" operator="equal">
      <formula>"L"</formula>
    </cfRule>
    <cfRule type="cellIs" dxfId="3848" priority="3567" operator="equal">
      <formula>"L"</formula>
    </cfRule>
    <cfRule type="cellIs" dxfId="3847" priority="3568" operator="equal">
      <formula>"L"</formula>
    </cfRule>
    <cfRule type="cellIs" dxfId="3846" priority="3569" operator="equal">
      <formula>"N"</formula>
    </cfRule>
    <cfRule type="cellIs" dxfId="3845" priority="3571" operator="equal">
      <formula>"L"</formula>
    </cfRule>
    <cfRule type="cellIs" dxfId="3844" priority="3572" operator="equal">
      <formula>"N"</formula>
    </cfRule>
    <cfRule type="cellIs" dxfId="3843" priority="3573" operator="equal">
      <formula>"P"</formula>
    </cfRule>
    <cfRule type="cellIs" dxfId="3842" priority="3574" operator="equal">
      <formula>"L"</formula>
    </cfRule>
    <cfRule type="cellIs" dxfId="3841" priority="3575" operator="equal">
      <formula>"P"</formula>
    </cfRule>
    <cfRule type="cellIs" dxfId="3840" priority="3576" operator="equal">
      <formula>"L"</formula>
    </cfRule>
    <cfRule type="cellIs" dxfId="3839" priority="3577" operator="equal">
      <formula>"P"</formula>
    </cfRule>
    <cfRule type="cellIs" dxfId="3838" priority="3578" operator="equal">
      <formula>"L"</formula>
    </cfRule>
    <cfRule type="cellIs" dxfId="3837" priority="3579" operator="equal">
      <formula>"L"</formula>
    </cfRule>
    <cfRule type="cellIs" dxfId="3836" priority="3580" operator="equal">
      <formula>"P"</formula>
    </cfRule>
    <cfRule type="cellIs" dxfId="3835" priority="3582" operator="equal">
      <formula>"P"</formula>
    </cfRule>
    <cfRule type="cellIs" dxfId="3834" priority="3583" operator="equal">
      <formula>"P"</formula>
    </cfRule>
    <cfRule type="cellIs" dxfId="3833" priority="3584" operator="equal">
      <formula>"P"</formula>
    </cfRule>
    <cfRule type="cellIs" dxfId="3832" priority="3585" operator="equal">
      <formula>"N"</formula>
    </cfRule>
    <cfRule type="cellIs" dxfId="3831" priority="3588" operator="equal">
      <formula>"P"</formula>
    </cfRule>
    <cfRule type="cellIs" dxfId="3830" priority="3589" operator="equal">
      <formula>"L"</formula>
    </cfRule>
    <cfRule type="cellIs" dxfId="3829" priority="3590" operator="equal">
      <formula>"L"</formula>
    </cfRule>
    <cfRule type="cellIs" dxfId="3828" priority="3591" operator="equal">
      <formula>"L"</formula>
    </cfRule>
    <cfRule type="cellIs" dxfId="3827" priority="3592" operator="equal">
      <formula>"P"</formula>
    </cfRule>
    <cfRule type="cellIs" dxfId="3826" priority="3593" operator="equal">
      <formula>"P"</formula>
    </cfRule>
    <cfRule type="cellIs" dxfId="3825" priority="3594" operator="equal">
      <formula>"P"</formula>
    </cfRule>
    <cfRule type="cellIs" dxfId="3824" priority="3595" operator="equal">
      <formula>"T"</formula>
    </cfRule>
    <cfRule type="cellIs" dxfId="3823" priority="3596" operator="equal">
      <formula>"T"</formula>
    </cfRule>
    <cfRule type="cellIs" dxfId="3822" priority="3598" operator="equal">
      <formula>"L"</formula>
    </cfRule>
    <cfRule type="cellIs" dxfId="3821" priority="3599" operator="equal">
      <formula>"P"</formula>
    </cfRule>
    <cfRule type="cellIs" dxfId="3820" priority="3600" operator="equal">
      <formula>"P"</formula>
    </cfRule>
    <cfRule type="cellIs" dxfId="3819" priority="3601" operator="equal">
      <formula>"L"</formula>
    </cfRule>
    <cfRule type="cellIs" dxfId="3818" priority="3603" operator="equal">
      <formula>"P"</formula>
    </cfRule>
    <cfRule type="cellIs" dxfId="3817" priority="3604" operator="equal">
      <formula>"L"</formula>
    </cfRule>
    <cfRule type="cellIs" dxfId="3816" priority="3607" operator="equal">
      <formula>"L"</formula>
    </cfRule>
    <cfRule type="cellIs" dxfId="3815" priority="3609" operator="equal">
      <formula>"L"</formula>
    </cfRule>
    <cfRule type="cellIs" dxfId="3814" priority="3610" operator="equal">
      <formula>"P"</formula>
    </cfRule>
    <cfRule type="cellIs" dxfId="3813" priority="3611" operator="equal">
      <formula>"T"</formula>
    </cfRule>
    <cfRule type="cellIs" dxfId="3812" priority="3612" operator="equal">
      <formula>"T"</formula>
    </cfRule>
    <cfRule type="cellIs" dxfId="3811" priority="3613" operator="equal">
      <formula>"P"</formula>
    </cfRule>
    <cfRule type="cellIs" dxfId="3810" priority="3614" operator="equal">
      <formula>"L"</formula>
    </cfRule>
    <cfRule type="cellIs" dxfId="3809" priority="3616" operator="equal">
      <formula>"L"</formula>
    </cfRule>
    <cfRule type="cellIs" dxfId="3808" priority="3617" operator="equal">
      <formula>"P"</formula>
    </cfRule>
    <cfRule type="cellIs" dxfId="3807" priority="3618" operator="equal">
      <formula>"T"</formula>
    </cfRule>
    <cfRule type="cellIs" dxfId="3806" priority="3619" operator="equal">
      <formula>"T"</formula>
    </cfRule>
    <cfRule type="cellIs" dxfId="3805" priority="3623" operator="equal">
      <formula>"P"</formula>
    </cfRule>
    <cfRule type="cellIs" dxfId="3804" priority="3624" operator="equal">
      <formula>"P"</formula>
    </cfRule>
    <cfRule type="cellIs" dxfId="3803" priority="3625" operator="equal">
      <formula>"L"</formula>
    </cfRule>
    <cfRule type="cellIs" dxfId="3802" priority="3626" operator="equal">
      <formula>"N"</formula>
    </cfRule>
    <cfRule type="cellIs" dxfId="3801" priority="3627" operator="equal">
      <formula>"P"</formula>
    </cfRule>
    <cfRule type="cellIs" dxfId="3800" priority="3628" operator="equal">
      <formula>"L"</formula>
    </cfRule>
    <cfRule type="cellIs" dxfId="3799" priority="3629" operator="equal">
      <formula>"P"</formula>
    </cfRule>
    <cfRule type="cellIs" dxfId="3798" priority="3630" operator="equal">
      <formula>"P"</formula>
    </cfRule>
    <cfRule type="cellIs" dxfId="3797" priority="3631" operator="equal">
      <formula>"L"</formula>
    </cfRule>
    <cfRule type="cellIs" dxfId="3796" priority="3632" operator="equal">
      <formula>"L"</formula>
    </cfRule>
    <cfRule type="cellIs" dxfId="3795" priority="3633" operator="equal">
      <formula>"L"</formula>
    </cfRule>
    <cfRule type="cellIs" dxfId="3794" priority="3634" operator="equal">
      <formula>"N"</formula>
    </cfRule>
    <cfRule type="cellIs" dxfId="3793" priority="3636" operator="equal">
      <formula>"L"</formula>
    </cfRule>
    <cfRule type="cellIs" dxfId="3792" priority="3637" operator="equal">
      <formula>"N"</formula>
    </cfRule>
    <cfRule type="cellIs" dxfId="3791" priority="3638" operator="equal">
      <formula>"P"</formula>
    </cfRule>
    <cfRule type="cellIs" dxfId="3790" priority="3639" operator="equal">
      <formula>"L"</formula>
    </cfRule>
    <cfRule type="cellIs" dxfId="3789" priority="3640" operator="equal">
      <formula>"P"</formula>
    </cfRule>
    <cfRule type="cellIs" dxfId="3788" priority="3641" operator="equal">
      <formula>"L"</formula>
    </cfRule>
    <cfRule type="cellIs" dxfId="3787" priority="3642" operator="equal">
      <formula>"P"</formula>
    </cfRule>
    <cfRule type="cellIs" dxfId="3786" priority="3643" operator="equal">
      <formula>"L"</formula>
    </cfRule>
    <cfRule type="cellIs" dxfId="3785" priority="3644" operator="equal">
      <formula>"L"</formula>
    </cfRule>
    <cfRule type="cellIs" dxfId="3784" priority="3645" operator="equal">
      <formula>"P"</formula>
    </cfRule>
    <cfRule type="cellIs" dxfId="3783" priority="3647" operator="equal">
      <formula>"P"</formula>
    </cfRule>
    <cfRule type="cellIs" dxfId="3782" priority="3648" operator="equal">
      <formula>"P"</formula>
    </cfRule>
    <cfRule type="cellIs" dxfId="3781" priority="3649" operator="equal">
      <formula>"P"</formula>
    </cfRule>
    <cfRule type="cellIs" dxfId="3780" priority="3650" operator="equal">
      <formula>"N"</formula>
    </cfRule>
    <cfRule type="cellIs" dxfId="3779" priority="3653" operator="equal">
      <formula>"P"</formula>
    </cfRule>
    <cfRule type="cellIs" dxfId="3778" priority="3654" operator="equal">
      <formula>"L"</formula>
    </cfRule>
    <cfRule type="cellIs" dxfId="3777" priority="3655" operator="equal">
      <formula>"L"</formula>
    </cfRule>
    <cfRule type="cellIs" dxfId="3776" priority="3656" operator="equal">
      <formula>"L"</formula>
    </cfRule>
    <cfRule type="cellIs" dxfId="3775" priority="3657" operator="equal">
      <formula>"P"</formula>
    </cfRule>
    <cfRule type="cellIs" dxfId="3774" priority="3658" operator="equal">
      <formula>"P"</formula>
    </cfRule>
    <cfRule type="cellIs" dxfId="3773" priority="3659" operator="equal">
      <formula>"P"</formula>
    </cfRule>
    <cfRule type="cellIs" dxfId="3772" priority="3660" operator="equal">
      <formula>"T"</formula>
    </cfRule>
    <cfRule type="cellIs" dxfId="3771" priority="3661" operator="equal">
      <formula>"T"</formula>
    </cfRule>
    <cfRule type="cellIs" dxfId="3770" priority="3663" operator="equal">
      <formula>"L"</formula>
    </cfRule>
    <cfRule type="cellIs" dxfId="3769" priority="3664" operator="equal">
      <formula>"P"</formula>
    </cfRule>
    <cfRule type="cellIs" dxfId="3768" priority="3665" operator="equal">
      <formula>"P"</formula>
    </cfRule>
    <cfRule type="cellIs" dxfId="3767" priority="3666" operator="equal">
      <formula>"L"</formula>
    </cfRule>
    <cfRule type="cellIs" dxfId="3766" priority="3668" operator="equal">
      <formula>"P"</formula>
    </cfRule>
    <cfRule type="cellIs" dxfId="3765" priority="3669" operator="equal">
      <formula>"L"</formula>
    </cfRule>
    <cfRule type="cellIs" dxfId="3764" priority="3672" operator="equal">
      <formula>"L"</formula>
    </cfRule>
    <cfRule type="cellIs" dxfId="3763" priority="3674" operator="equal">
      <formula>"L"</formula>
    </cfRule>
    <cfRule type="cellIs" dxfId="3762" priority="3675" operator="equal">
      <formula>"P"</formula>
    </cfRule>
    <cfRule type="cellIs" dxfId="3761" priority="3676" operator="equal">
      <formula>"T"</formula>
    </cfRule>
    <cfRule type="cellIs" dxfId="3760" priority="3677" operator="equal">
      <formula>"T"</formula>
    </cfRule>
    <cfRule type="cellIs" dxfId="3759" priority="3678" operator="equal">
      <formula>"P"</formula>
    </cfRule>
    <cfRule type="cellIs" dxfId="3758" priority="3679" operator="equal">
      <formula>"P"</formula>
    </cfRule>
    <cfRule type="cellIs" dxfId="3757" priority="3680" operator="equal">
      <formula>"T"</formula>
    </cfRule>
    <cfRule type="cellIs" dxfId="3756" priority="3681" operator="equal">
      <formula>"T"</formula>
    </cfRule>
    <cfRule type="cellIs" dxfId="3755" priority="3682" operator="equal">
      <formula>"P"</formula>
    </cfRule>
    <cfRule type="cellIs" dxfId="3754" priority="3683" operator="equal">
      <formula>"L"</formula>
    </cfRule>
    <cfRule type="cellIs" dxfId="3753" priority="3685" operator="equal">
      <formula>"L"</formula>
    </cfRule>
    <cfRule type="cellIs" dxfId="3752" priority="3686" operator="equal">
      <formula>"P"</formula>
    </cfRule>
    <cfRule type="cellIs" dxfId="3751" priority="3687" operator="equal">
      <formula>"T"</formula>
    </cfRule>
    <cfRule type="cellIs" dxfId="3750" priority="3688" operator="equal">
      <formula>"T"</formula>
    </cfRule>
    <cfRule type="cellIs" dxfId="3749" priority="3692" operator="equal">
      <formula>"P"</formula>
    </cfRule>
    <cfRule type="cellIs" dxfId="3748" priority="3693" operator="equal">
      <formula>"P"</formula>
    </cfRule>
    <cfRule type="cellIs" dxfId="3747" priority="3694" operator="equal">
      <formula>"L"</formula>
    </cfRule>
    <cfRule type="cellIs" dxfId="3746" priority="3695" operator="equal">
      <formula>"N"</formula>
    </cfRule>
    <cfRule type="cellIs" dxfId="3745" priority="3696" operator="equal">
      <formula>"P"</formula>
    </cfRule>
    <cfRule type="cellIs" dxfId="3744" priority="3697" operator="equal">
      <formula>"L"</formula>
    </cfRule>
    <cfRule type="cellIs" dxfId="3743" priority="3698" operator="equal">
      <formula>"P"</formula>
    </cfRule>
    <cfRule type="cellIs" dxfId="3742" priority="3699" operator="equal">
      <formula>"P"</formula>
    </cfRule>
    <cfRule type="cellIs" dxfId="3741" priority="3700" operator="equal">
      <formula>"L"</formula>
    </cfRule>
    <cfRule type="cellIs" dxfId="3740" priority="3701" operator="equal">
      <formula>"L"</formula>
    </cfRule>
    <cfRule type="cellIs" dxfId="3739" priority="3702" operator="equal">
      <formula>"L"</formula>
    </cfRule>
    <cfRule type="cellIs" dxfId="3738" priority="3703" operator="equal">
      <formula>"N"</formula>
    </cfRule>
    <cfRule type="cellIs" dxfId="3737" priority="3705" operator="equal">
      <formula>"L"</formula>
    </cfRule>
    <cfRule type="cellIs" dxfId="3736" priority="3706" operator="equal">
      <formula>"N"</formula>
    </cfRule>
    <cfRule type="cellIs" dxfId="3735" priority="3707" operator="equal">
      <formula>"P"</formula>
    </cfRule>
    <cfRule type="cellIs" dxfId="3734" priority="3708" operator="equal">
      <formula>"L"</formula>
    </cfRule>
    <cfRule type="cellIs" dxfId="3733" priority="3709" operator="equal">
      <formula>"P"</formula>
    </cfRule>
    <cfRule type="cellIs" dxfId="3732" priority="3710" operator="equal">
      <formula>"L"</formula>
    </cfRule>
    <cfRule type="cellIs" dxfId="3731" priority="3711" operator="equal">
      <formula>"P"</formula>
    </cfRule>
    <cfRule type="cellIs" dxfId="3730" priority="3712" operator="equal">
      <formula>"L"</formula>
    </cfRule>
    <cfRule type="cellIs" dxfId="3729" priority="3713" operator="equal">
      <formula>"L"</formula>
    </cfRule>
    <cfRule type="cellIs" dxfId="3728" priority="3714" operator="equal">
      <formula>"P"</formula>
    </cfRule>
    <cfRule type="cellIs" dxfId="3727" priority="3716" operator="equal">
      <formula>"P"</formula>
    </cfRule>
    <cfRule type="cellIs" dxfId="3726" priority="3717" operator="equal">
      <formula>"P"</formula>
    </cfRule>
    <cfRule type="cellIs" dxfId="3725" priority="3718" operator="equal">
      <formula>"P"</formula>
    </cfRule>
    <cfRule type="cellIs" dxfId="3724" priority="3719" operator="equal">
      <formula>"N"</formula>
    </cfRule>
    <cfRule type="cellIs" dxfId="3723" priority="3722" operator="equal">
      <formula>"P"</formula>
    </cfRule>
    <cfRule type="cellIs" dxfId="3722" priority="3723" operator="equal">
      <formula>"L"</formula>
    </cfRule>
    <cfRule type="cellIs" dxfId="3721" priority="3724" operator="equal">
      <formula>"L"</formula>
    </cfRule>
    <cfRule type="cellIs" dxfId="3720" priority="3725" operator="equal">
      <formula>"L"</formula>
    </cfRule>
    <cfRule type="cellIs" dxfId="3719" priority="3726" operator="equal">
      <formula>"P"</formula>
    </cfRule>
    <cfRule type="cellIs" dxfId="3718" priority="3727" operator="equal">
      <formula>"P"</formula>
    </cfRule>
    <cfRule type="cellIs" dxfId="3717" priority="3728" operator="equal">
      <formula>"P"</formula>
    </cfRule>
    <cfRule type="cellIs" dxfId="3716" priority="3729" operator="equal">
      <formula>"T"</formula>
    </cfRule>
    <cfRule type="cellIs" dxfId="3715" priority="3730" operator="equal">
      <formula>"T"</formula>
    </cfRule>
    <cfRule type="cellIs" dxfId="3714" priority="3732" operator="equal">
      <formula>"L"</formula>
    </cfRule>
    <cfRule type="cellIs" dxfId="3713" priority="3733" operator="equal">
      <formula>"P"</formula>
    </cfRule>
    <cfRule type="cellIs" dxfId="3712" priority="3734" operator="equal">
      <formula>"P"</formula>
    </cfRule>
    <cfRule type="cellIs" dxfId="3711" priority="3735" operator="equal">
      <formula>"L"</formula>
    </cfRule>
    <cfRule type="cellIs" dxfId="3710" priority="3737" operator="equal">
      <formula>"P"</formula>
    </cfRule>
    <cfRule type="cellIs" dxfId="3709" priority="3738" operator="equal">
      <formula>"L"</formula>
    </cfRule>
    <cfRule type="cellIs" dxfId="3708" priority="3741" operator="equal">
      <formula>"L"</formula>
    </cfRule>
    <cfRule type="cellIs" dxfId="3707" priority="3743" operator="equal">
      <formula>"L"</formula>
    </cfRule>
    <cfRule type="cellIs" dxfId="3706" priority="3744" operator="equal">
      <formula>"P"</formula>
    </cfRule>
    <cfRule type="cellIs" dxfId="3705" priority="3745" operator="equal">
      <formula>"T"</formula>
    </cfRule>
    <cfRule type="cellIs" dxfId="3704" priority="3746" operator="equal">
      <formula>"T"</formula>
    </cfRule>
    <cfRule type="cellIs" dxfId="3703" priority="3747" operator="equal">
      <formula>"P"</formula>
    </cfRule>
    <cfRule type="cellIs" dxfId="3702" priority="3749" operator="equal">
      <formula>"P"</formula>
    </cfRule>
    <cfRule type="cellIs" dxfId="3701" priority="3750" operator="equal">
      <formula>"T"</formula>
    </cfRule>
    <cfRule type="cellIs" dxfId="3700" priority="3751" operator="equal">
      <formula>"T"</formula>
    </cfRule>
    <cfRule type="cellIs" dxfId="3699" priority="3752" operator="equal">
      <formula>"P"</formula>
    </cfRule>
    <cfRule type="cellIs" dxfId="3698" priority="3753" operator="equal">
      <formula>"P"</formula>
    </cfRule>
    <cfRule type="cellIs" dxfId="3697" priority="3754" operator="equal">
      <formula>"T"</formula>
    </cfRule>
    <cfRule type="cellIs" dxfId="3696" priority="3755" operator="equal">
      <formula>"T"</formula>
    </cfRule>
    <cfRule type="cellIs" dxfId="3695" priority="3756" operator="equal">
      <formula>"P"</formula>
    </cfRule>
    <cfRule type="cellIs" dxfId="3694" priority="3757" operator="equal">
      <formula>"L"</formula>
    </cfRule>
    <cfRule type="cellIs" dxfId="3693" priority="3759" operator="equal">
      <formula>"L"</formula>
    </cfRule>
    <cfRule type="cellIs" dxfId="3692" priority="3760" operator="equal">
      <formula>"P"</formula>
    </cfRule>
    <cfRule type="cellIs" dxfId="3691" priority="3761" operator="equal">
      <formula>"T"</formula>
    </cfRule>
    <cfRule type="cellIs" dxfId="3690" priority="3762" operator="equal">
      <formula>"T"</formula>
    </cfRule>
    <cfRule type="cellIs" dxfId="3689" priority="3766" operator="equal">
      <formula>"P"</formula>
    </cfRule>
    <cfRule type="cellIs" dxfId="3688" priority="3767" operator="equal">
      <formula>"P"</formula>
    </cfRule>
    <cfRule type="cellIs" dxfId="3687" priority="3768" operator="equal">
      <formula>"L"</formula>
    </cfRule>
    <cfRule type="cellIs" dxfId="3686" priority="3769" operator="equal">
      <formula>"N"</formula>
    </cfRule>
    <cfRule type="cellIs" dxfId="3685" priority="3770" operator="equal">
      <formula>"P"</formula>
    </cfRule>
    <cfRule type="cellIs" dxfId="3684" priority="3771" operator="equal">
      <formula>"L"</formula>
    </cfRule>
    <cfRule type="cellIs" dxfId="3683" priority="3772" operator="equal">
      <formula>"P"</formula>
    </cfRule>
    <cfRule type="cellIs" dxfId="3682" priority="3773" operator="equal">
      <formula>"P"</formula>
    </cfRule>
    <cfRule type="cellIs" dxfId="3681" priority="3774" operator="equal">
      <formula>"L"</formula>
    </cfRule>
    <cfRule type="cellIs" dxfId="3680" priority="3775" operator="equal">
      <formula>"L"</formula>
    </cfRule>
    <cfRule type="cellIs" dxfId="3679" priority="3776" operator="equal">
      <formula>"L"</formula>
    </cfRule>
    <cfRule type="cellIs" dxfId="3678" priority="3777" operator="equal">
      <formula>"N"</formula>
    </cfRule>
    <cfRule type="cellIs" dxfId="3677" priority="3779" operator="equal">
      <formula>"L"</formula>
    </cfRule>
    <cfRule type="cellIs" dxfId="3676" priority="3780" operator="equal">
      <formula>"N"</formula>
    </cfRule>
    <cfRule type="cellIs" dxfId="3675" priority="3781" operator="equal">
      <formula>"P"</formula>
    </cfRule>
    <cfRule type="cellIs" dxfId="3674" priority="3782" operator="equal">
      <formula>"L"</formula>
    </cfRule>
    <cfRule type="cellIs" dxfId="3673" priority="3783" operator="equal">
      <formula>"P"</formula>
    </cfRule>
    <cfRule type="cellIs" dxfId="3672" priority="3784" operator="equal">
      <formula>"L"</formula>
    </cfRule>
    <cfRule type="cellIs" dxfId="3671" priority="3785" operator="equal">
      <formula>"P"</formula>
    </cfRule>
    <cfRule type="cellIs" dxfId="3670" priority="3786" operator="equal">
      <formula>"L"</formula>
    </cfRule>
    <cfRule type="cellIs" dxfId="3669" priority="3787" operator="equal">
      <formula>"L"</formula>
    </cfRule>
    <cfRule type="cellIs" dxfId="3668" priority="3788" operator="equal">
      <formula>"P"</formula>
    </cfRule>
    <cfRule type="cellIs" dxfId="3667" priority="3790" operator="equal">
      <formula>"P"</formula>
    </cfRule>
    <cfRule type="cellIs" dxfId="3666" priority="3791" operator="equal">
      <formula>"P"</formula>
    </cfRule>
    <cfRule type="cellIs" dxfId="3665" priority="3792" operator="equal">
      <formula>"P"</formula>
    </cfRule>
    <cfRule type="cellIs" dxfId="3664" priority="3793" operator="equal">
      <formula>"N"</formula>
    </cfRule>
    <cfRule type="cellIs" dxfId="3663" priority="3796" operator="equal">
      <formula>"P"</formula>
    </cfRule>
    <cfRule type="cellIs" dxfId="3662" priority="3797" operator="equal">
      <formula>"L"</formula>
    </cfRule>
    <cfRule type="cellIs" dxfId="3661" priority="3798" operator="equal">
      <formula>"L"</formula>
    </cfRule>
    <cfRule type="cellIs" dxfId="3660" priority="3799" operator="equal">
      <formula>"L"</formula>
    </cfRule>
    <cfRule type="cellIs" dxfId="3659" priority="3800" operator="equal">
      <formula>"P"</formula>
    </cfRule>
    <cfRule type="cellIs" dxfId="3658" priority="3801" operator="equal">
      <formula>"P"</formula>
    </cfRule>
    <cfRule type="cellIs" dxfId="3657" priority="3802" operator="equal">
      <formula>"P"</formula>
    </cfRule>
    <cfRule type="cellIs" dxfId="3656" priority="3803" operator="equal">
      <formula>"T"</formula>
    </cfRule>
    <cfRule type="cellIs" dxfId="3655" priority="3804" operator="equal">
      <formula>"T"</formula>
    </cfRule>
    <cfRule type="cellIs" dxfId="3654" priority="3806" operator="equal">
      <formula>"L"</formula>
    </cfRule>
    <cfRule type="cellIs" dxfId="3653" priority="3807" operator="equal">
      <formula>"P"</formula>
    </cfRule>
    <cfRule type="cellIs" dxfId="3652" priority="3808" operator="equal">
      <formula>"P"</formula>
    </cfRule>
    <cfRule type="cellIs" dxfId="3651" priority="3809" operator="equal">
      <formula>"L"</formula>
    </cfRule>
    <cfRule type="cellIs" dxfId="3650" priority="3811" operator="equal">
      <formula>"P"</formula>
    </cfRule>
    <cfRule type="cellIs" dxfId="3649" priority="3812" operator="equal">
      <formula>"L"</formula>
    </cfRule>
    <cfRule type="cellIs" dxfId="3648" priority="3815" operator="equal">
      <formula>"L"</formula>
    </cfRule>
    <cfRule type="cellIs" dxfId="3647" priority="3817" operator="equal">
      <formula>"L"</formula>
    </cfRule>
    <cfRule type="cellIs" dxfId="3646" priority="3818" operator="equal">
      <formula>"P"</formula>
    </cfRule>
    <cfRule type="cellIs" dxfId="3645" priority="3819" operator="equal">
      <formula>"T"</formula>
    </cfRule>
    <cfRule type="cellIs" dxfId="3644" priority="3820" operator="equal">
      <formula>"T"</formula>
    </cfRule>
    <cfRule type="cellIs" dxfId="3643" priority="3821" operator="equal">
      <formula>"P"</formula>
    </cfRule>
    <cfRule type="cellIs" dxfId="3642" priority="3823" operator="equal">
      <formula>"P"</formula>
    </cfRule>
    <cfRule type="cellIs" dxfId="3641" priority="3824" operator="equal">
      <formula>"T"</formula>
    </cfRule>
    <cfRule type="cellIs" dxfId="3640" priority="3825" operator="equal">
      <formula>"T"</formula>
    </cfRule>
    <cfRule type="cellIs" dxfId="3639" priority="3826" operator="equal">
      <formula>"P"</formula>
    </cfRule>
    <cfRule type="cellIs" dxfId="3638" priority="3827" operator="equal">
      <formula>"P"</formula>
    </cfRule>
    <cfRule type="cellIs" dxfId="3637" priority="3828" operator="equal">
      <formula>"T"</formula>
    </cfRule>
    <cfRule type="cellIs" dxfId="3636" priority="3829" operator="equal">
      <formula>"T"</formula>
    </cfRule>
    <cfRule type="cellIs" dxfId="3635" priority="3830" operator="equal">
      <formula>"P"</formula>
    </cfRule>
    <cfRule type="cellIs" dxfId="3634" priority="3831" operator="equal">
      <formula>"P"</formula>
    </cfRule>
    <cfRule type="cellIs" dxfId="3633" priority="3832" operator="equal">
      <formula>"T"</formula>
    </cfRule>
    <cfRule type="cellIs" dxfId="3632" priority="3833" operator="equal">
      <formula>"T"</formula>
    </cfRule>
    <cfRule type="cellIs" dxfId="3631" priority="3834" operator="equal">
      <formula>"P"</formula>
    </cfRule>
    <cfRule type="cellIs" dxfId="3630" priority="3835" operator="equal">
      <formula>"P"</formula>
    </cfRule>
    <cfRule type="cellIs" dxfId="3629" priority="3836" operator="equal">
      <formula>"T"</formula>
    </cfRule>
    <cfRule type="cellIs" dxfId="3628" priority="3837" operator="equal">
      <formula>"T"</formula>
    </cfRule>
    <cfRule type="cellIs" dxfId="3627" priority="3838" operator="equal">
      <formula>"P"</formula>
    </cfRule>
    <cfRule type="cellIs" dxfId="3626" priority="3839" operator="equal">
      <formula>"L"</formula>
    </cfRule>
    <cfRule type="cellIs" dxfId="3625" priority="3841" operator="equal">
      <formula>"L"</formula>
    </cfRule>
    <cfRule type="cellIs" dxfId="3624" priority="3842" operator="equal">
      <formula>"P"</formula>
    </cfRule>
    <cfRule type="cellIs" dxfId="3623" priority="3843" operator="equal">
      <formula>"T"</formula>
    </cfRule>
    <cfRule type="cellIs" dxfId="3622" priority="3844" operator="equal">
      <formula>"T"</formula>
    </cfRule>
    <cfRule type="cellIs" dxfId="3621" priority="3848" operator="equal">
      <formula>"P"</formula>
    </cfRule>
    <cfRule type="cellIs" dxfId="3620" priority="3849" operator="equal">
      <formula>"P"</formula>
    </cfRule>
    <cfRule type="cellIs" dxfId="3619" priority="3850" operator="equal">
      <formula>"L"</formula>
    </cfRule>
    <cfRule type="cellIs" dxfId="3618" priority="3851" operator="equal">
      <formula>"N"</formula>
    </cfRule>
    <cfRule type="cellIs" dxfId="3617" priority="3852" operator="equal">
      <formula>"P"</formula>
    </cfRule>
    <cfRule type="cellIs" dxfId="3616" priority="3853" operator="equal">
      <formula>"L"</formula>
    </cfRule>
    <cfRule type="cellIs" dxfId="3615" priority="3854" operator="equal">
      <formula>"P"</formula>
    </cfRule>
    <cfRule type="cellIs" dxfId="3614" priority="3855" operator="equal">
      <formula>"P"</formula>
    </cfRule>
    <cfRule type="cellIs" dxfId="3613" priority="3856" operator="equal">
      <formula>"L"</formula>
    </cfRule>
    <cfRule type="cellIs" dxfId="3612" priority="3857" operator="equal">
      <formula>"L"</formula>
    </cfRule>
    <cfRule type="cellIs" dxfId="3611" priority="3858" operator="equal">
      <formula>"L"</formula>
    </cfRule>
    <cfRule type="cellIs" dxfId="3610" priority="3859" operator="equal">
      <formula>"N"</formula>
    </cfRule>
    <cfRule type="cellIs" dxfId="3609" priority="3861" operator="equal">
      <formula>"L"</formula>
    </cfRule>
    <cfRule type="cellIs" dxfId="3608" priority="3862" operator="equal">
      <formula>"N"</formula>
    </cfRule>
    <cfRule type="cellIs" dxfId="3607" priority="3863" operator="equal">
      <formula>"P"</formula>
    </cfRule>
    <cfRule type="cellIs" dxfId="3606" priority="3864" operator="equal">
      <formula>"L"</formula>
    </cfRule>
    <cfRule type="cellIs" dxfId="3605" priority="3865" operator="equal">
      <formula>"P"</formula>
    </cfRule>
    <cfRule type="cellIs" dxfId="3604" priority="3866" operator="equal">
      <formula>"L"</formula>
    </cfRule>
    <cfRule type="cellIs" dxfId="3603" priority="3867" operator="equal">
      <formula>"P"</formula>
    </cfRule>
    <cfRule type="cellIs" dxfId="3602" priority="3868" operator="equal">
      <formula>"L"</formula>
    </cfRule>
    <cfRule type="cellIs" dxfId="3601" priority="3869" operator="equal">
      <formula>"L"</formula>
    </cfRule>
    <cfRule type="cellIs" dxfId="3600" priority="3870" operator="equal">
      <formula>"P"</formula>
    </cfRule>
    <cfRule type="cellIs" dxfId="3599" priority="3872" operator="equal">
      <formula>"P"</formula>
    </cfRule>
    <cfRule type="cellIs" dxfId="3598" priority="3873" operator="equal">
      <formula>"P"</formula>
    </cfRule>
    <cfRule type="cellIs" dxfId="3597" priority="3874" operator="equal">
      <formula>"P"</formula>
    </cfRule>
    <cfRule type="cellIs" dxfId="3596" priority="3878" operator="equal">
      <formula>"P"</formula>
    </cfRule>
    <cfRule type="cellIs" dxfId="3595" priority="3879" operator="equal">
      <formula>"L"</formula>
    </cfRule>
    <cfRule type="cellIs" dxfId="3594" priority="3880" operator="equal">
      <formula>"L"</formula>
    </cfRule>
    <cfRule type="cellIs" dxfId="3593" priority="3881" operator="equal">
      <formula>"L"</formula>
    </cfRule>
    <cfRule type="cellIs" dxfId="3592" priority="3882" operator="equal">
      <formula>"P"</formula>
    </cfRule>
    <cfRule type="cellIs" dxfId="3591" priority="3883" operator="equal">
      <formula>"P"</formula>
    </cfRule>
    <cfRule type="cellIs" dxfId="3590" priority="3884" operator="equal">
      <formula>"P"</formula>
    </cfRule>
    <cfRule type="cellIs" dxfId="3589" priority="3885" operator="equal">
      <formula>"T"</formula>
    </cfRule>
    <cfRule type="cellIs" dxfId="3588" priority="3886" operator="equal">
      <formula>"T"</formula>
    </cfRule>
    <cfRule type="cellIs" dxfId="3587" priority="3888" operator="equal">
      <formula>"L"</formula>
    </cfRule>
    <cfRule type="cellIs" dxfId="3586" priority="3889" operator="equal">
      <formula>"P"</formula>
    </cfRule>
    <cfRule type="cellIs" dxfId="3585" priority="3890" operator="equal">
      <formula>"P"</formula>
    </cfRule>
    <cfRule type="cellIs" dxfId="3584" priority="3891" operator="equal">
      <formula>"L"</formula>
    </cfRule>
    <cfRule type="cellIs" dxfId="3583" priority="3893" operator="equal">
      <formula>"P"</formula>
    </cfRule>
    <cfRule type="cellIs" dxfId="3582" priority="3894" operator="equal">
      <formula>"L"</formula>
    </cfRule>
    <cfRule type="cellIs" dxfId="3581" priority="3897" operator="equal">
      <formula>"L"</formula>
    </cfRule>
    <cfRule type="cellIs" dxfId="3580" priority="3899" operator="equal">
      <formula>"L"</formula>
    </cfRule>
    <cfRule type="cellIs" dxfId="3579" priority="3900" operator="equal">
      <formula>"P"</formula>
    </cfRule>
    <cfRule type="cellIs" dxfId="3578" priority="3901" operator="equal">
      <formula>"T"</formula>
    </cfRule>
    <cfRule type="cellIs" dxfId="3577" priority="3902" operator="equal">
      <formula>"T"</formula>
    </cfRule>
    <cfRule type="cellIs" dxfId="3576" priority="3903" operator="equal">
      <formula>"P"</formula>
    </cfRule>
    <cfRule type="cellIs" dxfId="3575" priority="3905" operator="equal">
      <formula>"P"</formula>
    </cfRule>
    <cfRule type="cellIs" dxfId="3574" priority="3906" operator="equal">
      <formula>"T"</formula>
    </cfRule>
    <cfRule type="cellIs" dxfId="3573" priority="3907" operator="equal">
      <formula>"T"</formula>
    </cfRule>
    <cfRule type="cellIs" dxfId="3572" priority="3908" operator="equal">
      <formula>"P"</formula>
    </cfRule>
    <cfRule type="cellIs" dxfId="3571" priority="3909" operator="equal">
      <formula>"P"</formula>
    </cfRule>
    <cfRule type="cellIs" dxfId="3570" priority="3910" operator="equal">
      <formula>"T"</formula>
    </cfRule>
    <cfRule type="cellIs" dxfId="3569" priority="3911" operator="equal">
      <formula>"T"</formula>
    </cfRule>
    <cfRule type="cellIs" dxfId="3568" priority="3912" operator="equal">
      <formula>"P"</formula>
    </cfRule>
    <cfRule type="cellIs" dxfId="3567" priority="3913" operator="equal">
      <formula>"P"</formula>
    </cfRule>
    <cfRule type="cellIs" dxfId="3566" priority="3914" operator="equal">
      <formula>"T"</formula>
    </cfRule>
    <cfRule type="cellIs" dxfId="3565" priority="3915" operator="equal">
      <formula>"T"</formula>
    </cfRule>
    <cfRule type="cellIs" dxfId="3564" priority="3916" operator="equal">
      <formula>"P"</formula>
    </cfRule>
    <cfRule type="cellIs" dxfId="3563" priority="3918" operator="equal">
      <formula>"P"</formula>
    </cfRule>
    <cfRule type="cellIs" dxfId="3562" priority="3919" operator="equal">
      <formula>"P"</formula>
    </cfRule>
    <cfRule type="cellIs" dxfId="3561" priority="3920" operator="equal">
      <formula>"T"</formula>
    </cfRule>
    <cfRule type="cellIs" dxfId="3560" priority="3921" operator="equal">
      <formula>"T"</formula>
    </cfRule>
    <cfRule type="cellIs" dxfId="3559" priority="3922" operator="equal">
      <formula>"P"</formula>
    </cfRule>
    <cfRule type="cellIs" dxfId="3558" priority="3923" operator="equal">
      <formula>"L"</formula>
    </cfRule>
    <cfRule type="cellIs" dxfId="3557" priority="3925" operator="equal">
      <formula>"L"</formula>
    </cfRule>
    <cfRule type="cellIs" dxfId="3556" priority="3926" operator="equal">
      <formula>"P"</formula>
    </cfRule>
    <cfRule type="cellIs" dxfId="3555" priority="3927" operator="equal">
      <formula>"T"</formula>
    </cfRule>
    <cfRule type="cellIs" dxfId="3554" priority="3928" operator="equal">
      <formula>"T"</formula>
    </cfRule>
    <cfRule type="cellIs" dxfId="3553" priority="3932" operator="equal">
      <formula>"P"</formula>
    </cfRule>
    <cfRule type="cellIs" dxfId="3552" priority="3933" operator="equal">
      <formula>"P"</formula>
    </cfRule>
    <cfRule type="cellIs" dxfId="3551" priority="3934" operator="equal">
      <formula>"L"</formula>
    </cfRule>
    <cfRule type="cellIs" dxfId="3550" priority="3935" operator="equal">
      <formula>"N"</formula>
    </cfRule>
    <cfRule type="cellIs" dxfId="3549" priority="3936" operator="equal">
      <formula>"P"</formula>
    </cfRule>
    <cfRule type="cellIs" dxfId="3548" priority="3937" operator="equal">
      <formula>"L"</formula>
    </cfRule>
    <cfRule type="cellIs" dxfId="3547" priority="3938" operator="equal">
      <formula>"P"</formula>
    </cfRule>
    <cfRule type="cellIs" dxfId="3546" priority="3939" operator="equal">
      <formula>"P"</formula>
    </cfRule>
    <cfRule type="cellIs" dxfId="3545" priority="3940" operator="equal">
      <formula>"L"</formula>
    </cfRule>
    <cfRule type="cellIs" dxfId="3544" priority="3941" operator="equal">
      <formula>"L"</formula>
    </cfRule>
    <cfRule type="cellIs" dxfId="3543" priority="3942" operator="equal">
      <formula>"L"</formula>
    </cfRule>
    <cfRule type="cellIs" dxfId="3542" priority="3943" operator="equal">
      <formula>"N"</formula>
    </cfRule>
    <cfRule type="cellIs" dxfId="3541" priority="3945" operator="equal">
      <formula>"L"</formula>
    </cfRule>
    <cfRule type="cellIs" dxfId="3540" priority="3946" operator="equal">
      <formula>"N"</formula>
    </cfRule>
    <cfRule type="cellIs" dxfId="3539" priority="3947" operator="equal">
      <formula>"P"</formula>
    </cfRule>
    <cfRule type="cellIs" dxfId="3538" priority="3948" operator="equal">
      <formula>"L"</formula>
    </cfRule>
    <cfRule type="cellIs" dxfId="3537" priority="3949" operator="equal">
      <formula>"P"</formula>
    </cfRule>
    <cfRule type="cellIs" dxfId="3536" priority="3950" operator="equal">
      <formula>"L"</formula>
    </cfRule>
    <cfRule type="cellIs" dxfId="3535" priority="3951" operator="equal">
      <formula>"P"</formula>
    </cfRule>
    <cfRule type="cellIs" dxfId="3534" priority="3952" operator="equal">
      <formula>"L"</formula>
    </cfRule>
    <cfRule type="cellIs" dxfId="3533" priority="3953" operator="equal">
      <formula>"L"</formula>
    </cfRule>
    <cfRule type="cellIs" dxfId="3532" priority="3954" operator="equal">
      <formula>"P"</formula>
    </cfRule>
    <cfRule type="cellIs" dxfId="3531" priority="3956" operator="equal">
      <formula>"P"</formula>
    </cfRule>
    <cfRule type="cellIs" dxfId="3530" priority="3957" operator="equal">
      <formula>"P"</formula>
    </cfRule>
    <cfRule type="cellIs" dxfId="3529" priority="3958" operator="equal">
      <formula>"P"</formula>
    </cfRule>
    <cfRule type="cellIs" dxfId="3528" priority="3959" operator="equal">
      <formula>"N"</formula>
    </cfRule>
    <cfRule type="cellIs" dxfId="3527" priority="3962" operator="equal">
      <formula>"P"</formula>
    </cfRule>
    <cfRule type="cellIs" dxfId="3526" priority="3963" operator="equal">
      <formula>"L"</formula>
    </cfRule>
    <cfRule type="cellIs" dxfId="3525" priority="3964" operator="equal">
      <formula>"L"</formula>
    </cfRule>
    <cfRule type="cellIs" dxfId="3524" priority="3965" operator="equal">
      <formula>"L"</formula>
    </cfRule>
    <cfRule type="cellIs" dxfId="3523" priority="3966" operator="equal">
      <formula>"P"</formula>
    </cfRule>
    <cfRule type="cellIs" dxfId="3522" priority="3967" operator="equal">
      <formula>"P"</formula>
    </cfRule>
    <cfRule type="cellIs" dxfId="3521" priority="3968" operator="equal">
      <formula>"P"</formula>
    </cfRule>
    <cfRule type="cellIs" dxfId="3520" priority="3969" operator="equal">
      <formula>"T"</formula>
    </cfRule>
    <cfRule type="cellIs" dxfId="3519" priority="3970" operator="equal">
      <formula>"T"</formula>
    </cfRule>
    <cfRule type="cellIs" dxfId="3518" priority="3972" operator="equal">
      <formula>"L"</formula>
    </cfRule>
    <cfRule type="cellIs" dxfId="3517" priority="3973" operator="equal">
      <formula>"P"</formula>
    </cfRule>
    <cfRule type="cellIs" dxfId="3516" priority="3974" operator="equal">
      <formula>"P"</formula>
    </cfRule>
    <cfRule type="cellIs" dxfId="3515" priority="3975" operator="equal">
      <formula>"L"</formula>
    </cfRule>
    <cfRule type="cellIs" dxfId="3514" priority="3977" operator="equal">
      <formula>"P"</formula>
    </cfRule>
    <cfRule type="cellIs" dxfId="3513" priority="3978" operator="equal">
      <formula>"L"</formula>
    </cfRule>
    <cfRule type="cellIs" dxfId="3512" priority="3981" operator="equal">
      <formula>"P"</formula>
    </cfRule>
    <cfRule type="cellIs" dxfId="3511" priority="3982" operator="equal">
      <formula>"T"</formula>
    </cfRule>
    <cfRule type="cellIs" dxfId="3510" priority="3983" operator="equal">
      <formula>"T"</formula>
    </cfRule>
    <cfRule type="cellIs" dxfId="3509" priority="3984" operator="equal">
      <formula>"P"</formula>
    </cfRule>
    <cfRule type="cellIs" dxfId="3508" priority="3985" operator="equal">
      <formula>"L"</formula>
    </cfRule>
    <cfRule type="cellIs" dxfId="3507" priority="3987" operator="equal">
      <formula>"L"</formula>
    </cfRule>
    <cfRule type="cellIs" dxfId="3506" priority="3988" operator="equal">
      <formula>"P"</formula>
    </cfRule>
    <cfRule type="cellIs" dxfId="3505" priority="3989" operator="equal">
      <formula>"T"</formula>
    </cfRule>
    <cfRule type="cellIs" dxfId="3504" priority="3990" operator="equal">
      <formula>"T"</formula>
    </cfRule>
    <cfRule type="cellIs" dxfId="3503" priority="3994" operator="equal">
      <formula>"P"</formula>
    </cfRule>
    <cfRule type="cellIs" dxfId="3502" priority="3995" operator="equal">
      <formula>"P"</formula>
    </cfRule>
    <cfRule type="cellIs" dxfId="3501" priority="3996" operator="equal">
      <formula>"L"</formula>
    </cfRule>
    <cfRule type="cellIs" dxfId="3500" priority="3997" operator="equal">
      <formula>"N"</formula>
    </cfRule>
    <cfRule type="cellIs" dxfId="3499" priority="3998" operator="equal">
      <formula>"P"</formula>
    </cfRule>
    <cfRule type="cellIs" dxfId="3498" priority="3999" operator="equal">
      <formula>"L"</formula>
    </cfRule>
    <cfRule type="cellIs" dxfId="3497" priority="4000" operator="equal">
      <formula>"P"</formula>
    </cfRule>
    <cfRule type="cellIs" dxfId="3496" priority="4001" operator="equal">
      <formula>"P"</formula>
    </cfRule>
    <cfRule type="cellIs" dxfId="3495" priority="4002" operator="equal">
      <formula>"L"</formula>
    </cfRule>
    <cfRule type="cellIs" dxfId="3494" priority="4003" operator="equal">
      <formula>"L"</formula>
    </cfRule>
    <cfRule type="cellIs" dxfId="3493" priority="4004" operator="equal">
      <formula>"L"</formula>
    </cfRule>
    <cfRule type="cellIs" dxfId="3492" priority="4005" operator="equal">
      <formula>"N"</formula>
    </cfRule>
    <cfRule type="cellIs" dxfId="3491" priority="4007" operator="equal">
      <formula>"L"</formula>
    </cfRule>
    <cfRule type="cellIs" dxfId="3490" priority="4008" operator="equal">
      <formula>"N"</formula>
    </cfRule>
    <cfRule type="cellIs" dxfId="3489" priority="4009" operator="equal">
      <formula>"P"</formula>
    </cfRule>
    <cfRule type="cellIs" dxfId="3488" priority="4010" operator="equal">
      <formula>"L"</formula>
    </cfRule>
    <cfRule type="cellIs" dxfId="3487" priority="4011" operator="equal">
      <formula>"P"</formula>
    </cfRule>
    <cfRule type="cellIs" dxfId="3486" priority="4012" operator="equal">
      <formula>"L"</formula>
    </cfRule>
    <cfRule type="cellIs" dxfId="3485" priority="4013" operator="equal">
      <formula>"P"</formula>
    </cfRule>
    <cfRule type="cellIs" dxfId="3484" priority="4014" operator="equal">
      <formula>"L"</formula>
    </cfRule>
    <cfRule type="cellIs" dxfId="3483" priority="4015" operator="equal">
      <formula>"L"</formula>
    </cfRule>
    <cfRule type="cellIs" dxfId="3482" priority="4016" operator="equal">
      <formula>"P"</formula>
    </cfRule>
    <cfRule type="cellIs" dxfId="3481" priority="4018" operator="equal">
      <formula>"P"</formula>
    </cfRule>
    <cfRule type="cellIs" dxfId="3480" priority="4019" operator="equal">
      <formula>"P"</formula>
    </cfRule>
    <cfRule type="cellIs" dxfId="3479" priority="4020" operator="equal">
      <formula>"P"</formula>
    </cfRule>
    <cfRule type="cellIs" dxfId="3478" priority="4021" operator="equal">
      <formula>"N"</formula>
    </cfRule>
    <cfRule type="cellIs" dxfId="3477" priority="4024" operator="equal">
      <formula>"P"</formula>
    </cfRule>
    <cfRule type="cellIs" dxfId="3476" priority="4025" operator="equal">
      <formula>"L"</formula>
    </cfRule>
    <cfRule type="cellIs" dxfId="3475" priority="4026" operator="equal">
      <formula>"L"</formula>
    </cfRule>
    <cfRule type="cellIs" dxfId="3474" priority="4027" operator="equal">
      <formula>"L"</formula>
    </cfRule>
    <cfRule type="cellIs" dxfId="3473" priority="4028" operator="equal">
      <formula>"P"</formula>
    </cfRule>
    <cfRule type="cellIs" dxfId="3472" priority="4029" operator="equal">
      <formula>"P"</formula>
    </cfRule>
    <cfRule type="cellIs" dxfId="3471" priority="4030" operator="equal">
      <formula>"P"</formula>
    </cfRule>
    <cfRule type="cellIs" dxfId="3470" priority="4031" operator="equal">
      <formula>"T"</formula>
    </cfRule>
    <cfRule type="cellIs" dxfId="3469" priority="4032" operator="equal">
      <formula>"T"</formula>
    </cfRule>
    <cfRule type="cellIs" dxfId="3468" priority="4034" operator="equal">
      <formula>"L"</formula>
    </cfRule>
    <cfRule type="cellIs" dxfId="3467" priority="4035" operator="equal">
      <formula>"P"</formula>
    </cfRule>
    <cfRule type="cellIs" dxfId="3466" priority="4036" operator="equal">
      <formula>"P"</formula>
    </cfRule>
    <cfRule type="cellIs" dxfId="3465" priority="4037" operator="equal">
      <formula>"L"</formula>
    </cfRule>
    <cfRule type="cellIs" dxfId="3464" priority="4039" operator="equal">
      <formula>"P"</formula>
    </cfRule>
    <cfRule type="cellIs" dxfId="3463" priority="4040" operator="equal">
      <formula>"L"</formula>
    </cfRule>
    <cfRule type="cellIs" dxfId="3462" priority="4043" operator="equal">
      <formula>"P"</formula>
    </cfRule>
    <cfRule type="cellIs" dxfId="3461" priority="4044" operator="equal">
      <formula>"T"</formula>
    </cfRule>
    <cfRule type="cellIs" dxfId="3460" priority="4045" operator="equal">
      <formula>"T"</formula>
    </cfRule>
    <cfRule type="cellIs" dxfId="3459" priority="4046" operator="equal">
      <formula>"P"</formula>
    </cfRule>
    <cfRule type="cellIs" dxfId="3458" priority="4047" operator="equal">
      <formula>"L"</formula>
    </cfRule>
    <cfRule type="cellIs" dxfId="3457" priority="4049" operator="equal">
      <formula>"L"</formula>
    </cfRule>
    <cfRule type="cellIs" dxfId="3456" priority="4050" operator="equal">
      <formula>"P"</formula>
    </cfRule>
    <cfRule type="cellIs" dxfId="3455" priority="4051" operator="equal">
      <formula>"T"</formula>
    </cfRule>
    <cfRule type="cellIs" dxfId="3454" priority="4052" operator="equal">
      <formula>"T"</formula>
    </cfRule>
    <cfRule type="cellIs" dxfId="3453" priority="4056" operator="equal">
      <formula>"P"</formula>
    </cfRule>
    <cfRule type="cellIs" dxfId="3452" priority="4057" operator="equal">
      <formula>"P"</formula>
    </cfRule>
    <cfRule type="cellIs" dxfId="3451" priority="4058" operator="equal">
      <formula>"L"</formula>
    </cfRule>
    <cfRule type="cellIs" dxfId="3450" priority="4059" operator="equal">
      <formula>"N"</formula>
    </cfRule>
    <cfRule type="cellIs" dxfId="3449" priority="4060" operator="equal">
      <formula>"P"</formula>
    </cfRule>
    <cfRule type="cellIs" dxfId="3448" priority="4061" operator="equal">
      <formula>"L"</formula>
    </cfRule>
    <cfRule type="cellIs" dxfId="3447" priority="4062" operator="equal">
      <formula>"P"</formula>
    </cfRule>
    <cfRule type="cellIs" dxfId="3446" priority="4063" operator="equal">
      <formula>"P"</formula>
    </cfRule>
    <cfRule type="cellIs" dxfId="3445" priority="4064" operator="equal">
      <formula>"L"</formula>
    </cfRule>
    <cfRule type="cellIs" dxfId="3444" priority="4065" operator="equal">
      <formula>"L"</formula>
    </cfRule>
    <cfRule type="cellIs" dxfId="3443" priority="4066" operator="equal">
      <formula>"L"</formula>
    </cfRule>
    <cfRule type="cellIs" dxfId="3442" priority="4067" operator="equal">
      <formula>"N"</formula>
    </cfRule>
    <cfRule type="cellIs" dxfId="3441" priority="4069" operator="equal">
      <formula>"L"</formula>
    </cfRule>
    <cfRule type="cellIs" dxfId="3440" priority="4070" operator="equal">
      <formula>"N"</formula>
    </cfRule>
    <cfRule type="cellIs" dxfId="3439" priority="4071" operator="equal">
      <formula>"P"</formula>
    </cfRule>
    <cfRule type="cellIs" dxfId="3438" priority="4072" operator="equal">
      <formula>"L"</formula>
    </cfRule>
    <cfRule type="cellIs" dxfId="3437" priority="4073" operator="equal">
      <formula>"P"</formula>
    </cfRule>
    <cfRule type="cellIs" dxfId="3436" priority="4074" operator="equal">
      <formula>"L"</formula>
    </cfRule>
    <cfRule type="cellIs" dxfId="3435" priority="4075" operator="equal">
      <formula>"P"</formula>
    </cfRule>
    <cfRule type="cellIs" dxfId="3434" priority="4076" operator="equal">
      <formula>"L"</formula>
    </cfRule>
    <cfRule type="cellIs" dxfId="3433" priority="4077" operator="equal">
      <formula>"L"</formula>
    </cfRule>
    <cfRule type="cellIs" dxfId="3432" priority="4078" operator="equal">
      <formula>"P"</formula>
    </cfRule>
    <cfRule type="cellIs" dxfId="3431" priority="4080" operator="equal">
      <formula>"P"</formula>
    </cfRule>
    <cfRule type="cellIs" dxfId="3430" priority="4081" operator="equal">
      <formula>"P"</formula>
    </cfRule>
    <cfRule type="cellIs" dxfId="3429" priority="4082" operator="equal">
      <formula>"P"</formula>
    </cfRule>
    <cfRule type="cellIs" dxfId="3428" priority="4083" operator="equal">
      <formula>"N"</formula>
    </cfRule>
    <cfRule type="cellIs" dxfId="3427" priority="4086" operator="equal">
      <formula>"P"</formula>
    </cfRule>
    <cfRule type="cellIs" dxfId="3426" priority="4087" operator="equal">
      <formula>"L"</formula>
    </cfRule>
    <cfRule type="cellIs" dxfId="3425" priority="4088" operator="equal">
      <formula>"L"</formula>
    </cfRule>
    <cfRule type="cellIs" dxfId="3424" priority="4089" operator="equal">
      <formula>"L"</formula>
    </cfRule>
    <cfRule type="cellIs" dxfId="3423" priority="4090" operator="equal">
      <formula>"P"</formula>
    </cfRule>
    <cfRule type="cellIs" dxfId="3422" priority="4091" operator="equal">
      <formula>"P"</formula>
    </cfRule>
    <cfRule type="cellIs" dxfId="3421" priority="4092" operator="equal">
      <formula>"P"</formula>
    </cfRule>
    <cfRule type="cellIs" dxfId="3420" priority="4093" operator="equal">
      <formula>"T"</formula>
    </cfRule>
    <cfRule type="cellIs" dxfId="3419" priority="4094" operator="equal">
      <formula>"T"</formula>
    </cfRule>
    <cfRule type="cellIs" dxfId="3418" priority="4096" operator="equal">
      <formula>"L"</formula>
    </cfRule>
    <cfRule type="cellIs" dxfId="3417" priority="4097" operator="equal">
      <formula>"P"</formula>
    </cfRule>
    <cfRule type="cellIs" dxfId="3416" priority="4098" operator="equal">
      <formula>"P"</formula>
    </cfRule>
    <cfRule type="cellIs" dxfId="3415" priority="4099" operator="equal">
      <formula>"L"</formula>
    </cfRule>
    <cfRule type="cellIs" dxfId="3414" priority="4101" operator="equal">
      <formula>"P"</formula>
    </cfRule>
    <cfRule type="cellIs" dxfId="3413" priority="4102" operator="equal">
      <formula>"L"</formula>
    </cfRule>
    <cfRule type="cellIs" dxfId="3412" priority="4105" operator="equal">
      <formula>"P"</formula>
    </cfRule>
    <cfRule type="cellIs" dxfId="3411" priority="4106" operator="equal">
      <formula>"T"</formula>
    </cfRule>
    <cfRule type="cellIs" dxfId="3410" priority="4107" operator="equal">
      <formula>"T"</formula>
    </cfRule>
    <cfRule type="cellIs" dxfId="3409" priority="4108" operator="equal">
      <formula>"P"</formula>
    </cfRule>
    <cfRule type="cellIs" dxfId="3408" priority="4109" operator="equal">
      <formula>"L"</formula>
    </cfRule>
    <cfRule type="cellIs" dxfId="3407" priority="4111" operator="equal">
      <formula>"L"</formula>
    </cfRule>
    <cfRule type="cellIs" dxfId="3406" priority="4112" operator="equal">
      <formula>"P"</formula>
    </cfRule>
    <cfRule type="cellIs" dxfId="3405" priority="4113" operator="equal">
      <formula>"T"</formula>
    </cfRule>
    <cfRule type="cellIs" dxfId="3404" priority="4114" operator="equal">
      <formula>"T"</formula>
    </cfRule>
    <cfRule type="cellIs" dxfId="3403" priority="4118" operator="equal">
      <formula>"P"</formula>
    </cfRule>
    <cfRule type="cellIs" dxfId="3402" priority="4119" operator="equal">
      <formula>"P"</formula>
    </cfRule>
    <cfRule type="cellIs" dxfId="3401" priority="4120" operator="equal">
      <formula>"L"</formula>
    </cfRule>
    <cfRule type="cellIs" dxfId="3400" priority="4121" operator="equal">
      <formula>"N"</formula>
    </cfRule>
    <cfRule type="cellIs" dxfId="3399" priority="4122" operator="equal">
      <formula>"P"</formula>
    </cfRule>
    <cfRule type="cellIs" dxfId="3398" priority="4123" operator="equal">
      <formula>"L"</formula>
    </cfRule>
    <cfRule type="cellIs" dxfId="3397" priority="4124" operator="equal">
      <formula>"P"</formula>
    </cfRule>
    <cfRule type="cellIs" dxfId="3396" priority="4125" operator="equal">
      <formula>"P"</formula>
    </cfRule>
    <cfRule type="cellIs" dxfId="3395" priority="4126" operator="equal">
      <formula>"L"</formula>
    </cfRule>
    <cfRule type="cellIs" dxfId="3394" priority="4127" operator="equal">
      <formula>"L"</formula>
    </cfRule>
    <cfRule type="cellIs" dxfId="3393" priority="4128" operator="equal">
      <formula>"L"</formula>
    </cfRule>
    <cfRule type="cellIs" dxfId="3392" priority="4129" operator="equal">
      <formula>"N"</formula>
    </cfRule>
    <cfRule type="cellIs" dxfId="3391" priority="4131" operator="equal">
      <formula>"L"</formula>
    </cfRule>
    <cfRule type="cellIs" dxfId="3390" priority="4132" operator="equal">
      <formula>"N"</formula>
    </cfRule>
    <cfRule type="cellIs" dxfId="3389" priority="4133" operator="equal">
      <formula>"P"</formula>
    </cfRule>
    <cfRule type="cellIs" dxfId="3388" priority="4134" operator="equal">
      <formula>"L"</formula>
    </cfRule>
    <cfRule type="cellIs" dxfId="3387" priority="4135" operator="equal">
      <formula>"P"</formula>
    </cfRule>
    <cfRule type="cellIs" dxfId="3386" priority="4136" operator="equal">
      <formula>"L"</formula>
    </cfRule>
    <cfRule type="cellIs" dxfId="3385" priority="4137" operator="equal">
      <formula>"P"</formula>
    </cfRule>
    <cfRule type="cellIs" dxfId="3384" priority="4138" operator="equal">
      <formula>"L"</formula>
    </cfRule>
    <cfRule type="cellIs" dxfId="3383" priority="4139" operator="equal">
      <formula>"L"</formula>
    </cfRule>
    <cfRule type="cellIs" dxfId="3382" priority="4140" operator="equal">
      <formula>"P"</formula>
    </cfRule>
    <cfRule type="cellIs" dxfId="3381" priority="4142" operator="equal">
      <formula>"P"</formula>
    </cfRule>
    <cfRule type="cellIs" dxfId="3380" priority="4143" operator="equal">
      <formula>"P"</formula>
    </cfRule>
    <cfRule type="cellIs" dxfId="3379" priority="4144" operator="equal">
      <formula>"P"</formula>
    </cfRule>
    <cfRule type="cellIs" dxfId="3378" priority="4145" operator="equal">
      <formula>"N"</formula>
    </cfRule>
    <cfRule type="cellIs" dxfId="3377" priority="4148" operator="equal">
      <formula>"P"</formula>
    </cfRule>
    <cfRule type="cellIs" dxfId="3376" priority="4149" operator="equal">
      <formula>"L"</formula>
    </cfRule>
    <cfRule type="cellIs" dxfId="3375" priority="4150" operator="equal">
      <formula>"L"</formula>
    </cfRule>
    <cfRule type="cellIs" dxfId="3374" priority="4151" operator="equal">
      <formula>"L"</formula>
    </cfRule>
    <cfRule type="cellIs" dxfId="3373" priority="4152" operator="equal">
      <formula>"P"</formula>
    </cfRule>
    <cfRule type="cellIs" dxfId="3372" priority="4153" operator="equal">
      <formula>"P"</formula>
    </cfRule>
    <cfRule type="cellIs" dxfId="3371" priority="4154" operator="equal">
      <formula>"P"</formula>
    </cfRule>
    <cfRule type="cellIs" dxfId="3370" priority="4155" operator="equal">
      <formula>"T"</formula>
    </cfRule>
    <cfRule type="cellIs" dxfId="3369" priority="4156" operator="equal">
      <formula>"T"</formula>
    </cfRule>
    <cfRule type="cellIs" dxfId="3368" priority="4158" operator="equal">
      <formula>"L"</formula>
    </cfRule>
    <cfRule type="cellIs" dxfId="3367" priority="4159" operator="equal">
      <formula>"P"</formula>
    </cfRule>
    <cfRule type="cellIs" dxfId="3366" priority="4160" operator="equal">
      <formula>"P"</formula>
    </cfRule>
    <cfRule type="cellIs" dxfId="3365" priority="4161" operator="equal">
      <formula>"L"</formula>
    </cfRule>
    <cfRule type="cellIs" dxfId="3364" priority="4163" operator="equal">
      <formula>"P"</formula>
    </cfRule>
    <cfRule type="cellIs" dxfId="3363" priority="4164" operator="equal">
      <formula>"L"</formula>
    </cfRule>
    <cfRule type="cellIs" dxfId="3362" priority="4167" operator="equal">
      <formula>"P"</formula>
    </cfRule>
    <cfRule type="cellIs" dxfId="3361" priority="4168" operator="equal">
      <formula>"T"</formula>
    </cfRule>
    <cfRule type="cellIs" dxfId="3360" priority="4169" operator="equal">
      <formula>"T"</formula>
    </cfRule>
    <cfRule type="cellIs" dxfId="3359" priority="4170" operator="equal">
      <formula>"P"</formula>
    </cfRule>
    <cfRule type="cellIs" dxfId="3358" priority="4171" operator="equal">
      <formula>"L"</formula>
    </cfRule>
    <cfRule type="cellIs" dxfId="3357" priority="4173" operator="equal">
      <formula>"L"</formula>
    </cfRule>
    <cfRule type="cellIs" dxfId="3356" priority="4174" operator="equal">
      <formula>"P"</formula>
    </cfRule>
    <cfRule type="cellIs" dxfId="3355" priority="4175" operator="equal">
      <formula>"T"</formula>
    </cfRule>
    <cfRule type="cellIs" dxfId="3354" priority="4176" operator="equal">
      <formula>"T"</formula>
    </cfRule>
    <cfRule type="cellIs" dxfId="3353" priority="4180" operator="equal">
      <formula>"P"</formula>
    </cfRule>
    <cfRule type="cellIs" dxfId="3352" priority="4181" operator="equal">
      <formula>"P"</formula>
    </cfRule>
    <cfRule type="cellIs" dxfId="3351" priority="4182" operator="equal">
      <formula>"L"</formula>
    </cfRule>
    <cfRule type="cellIs" dxfId="3350" priority="4183" operator="equal">
      <formula>"N"</formula>
    </cfRule>
    <cfRule type="cellIs" dxfId="3349" priority="4184" operator="equal">
      <formula>"P"</formula>
    </cfRule>
    <cfRule type="cellIs" dxfId="3348" priority="4185" operator="equal">
      <formula>"L"</formula>
    </cfRule>
    <cfRule type="cellIs" dxfId="3347" priority="4186" operator="equal">
      <formula>"P"</formula>
    </cfRule>
    <cfRule type="cellIs" dxfId="3346" priority="4187" operator="equal">
      <formula>"P"</formula>
    </cfRule>
    <cfRule type="cellIs" dxfId="3345" priority="4188" operator="equal">
      <formula>"L"</formula>
    </cfRule>
    <cfRule type="cellIs" dxfId="3344" priority="4189" operator="equal">
      <formula>"L"</formula>
    </cfRule>
    <cfRule type="cellIs" dxfId="3343" priority="4190" operator="equal">
      <formula>"L"</formula>
    </cfRule>
    <cfRule type="cellIs" dxfId="3342" priority="4191" operator="equal">
      <formula>"N"</formula>
    </cfRule>
    <cfRule type="cellIs" dxfId="3341" priority="4193" operator="equal">
      <formula>"L"</formula>
    </cfRule>
    <cfRule type="cellIs" dxfId="3340" priority="4194" operator="equal">
      <formula>"N"</formula>
    </cfRule>
    <cfRule type="cellIs" dxfId="3339" priority="4195" operator="equal">
      <formula>"P"</formula>
    </cfRule>
    <cfRule type="cellIs" dxfId="3338" priority="4196" operator="equal">
      <formula>"L"</formula>
    </cfRule>
    <cfRule type="cellIs" dxfId="3337" priority="4197" operator="equal">
      <formula>"P"</formula>
    </cfRule>
    <cfRule type="cellIs" dxfId="3336" priority="4198" operator="equal">
      <formula>"L"</formula>
    </cfRule>
    <cfRule type="cellIs" dxfId="3335" priority="4199" operator="equal">
      <formula>"P"</formula>
    </cfRule>
    <cfRule type="cellIs" dxfId="3334" priority="4200" operator="equal">
      <formula>"L"</formula>
    </cfRule>
    <cfRule type="cellIs" dxfId="3333" priority="4201" operator="equal">
      <formula>"L"</formula>
    </cfRule>
    <cfRule type="cellIs" dxfId="3332" priority="4202" operator="equal">
      <formula>"P"</formula>
    </cfRule>
    <cfRule type="cellIs" dxfId="3331" priority="4204" operator="equal">
      <formula>"P"</formula>
    </cfRule>
    <cfRule type="cellIs" dxfId="3330" priority="4205" operator="equal">
      <formula>"P"</formula>
    </cfRule>
    <cfRule type="cellIs" dxfId="3329" priority="4206" operator="equal">
      <formula>"P"</formula>
    </cfRule>
    <cfRule type="cellIs" dxfId="3328" priority="4207" operator="equal">
      <formula>"N"</formula>
    </cfRule>
    <cfRule type="cellIs" dxfId="3327" priority="4210" operator="equal">
      <formula>"P"</formula>
    </cfRule>
    <cfRule type="cellIs" dxfId="3326" priority="4211" operator="equal">
      <formula>"L"</formula>
    </cfRule>
    <cfRule type="cellIs" dxfId="3325" priority="4212" operator="equal">
      <formula>"L"</formula>
    </cfRule>
    <cfRule type="cellIs" dxfId="3324" priority="4213" operator="equal">
      <formula>"L"</formula>
    </cfRule>
    <cfRule type="cellIs" dxfId="3323" priority="4214" operator="equal">
      <formula>"P"</formula>
    </cfRule>
    <cfRule type="cellIs" dxfId="3322" priority="4215" operator="equal">
      <formula>"P"</formula>
    </cfRule>
    <cfRule type="cellIs" dxfId="3321" priority="4216" operator="equal">
      <formula>"P"</formula>
    </cfRule>
    <cfRule type="cellIs" dxfId="3320" priority="4217" operator="equal">
      <formula>"T"</formula>
    </cfRule>
    <cfRule type="cellIs" dxfId="3319" priority="4218" operator="equal">
      <formula>"T"</formula>
    </cfRule>
    <cfRule type="cellIs" dxfId="3318" priority="4220" operator="equal">
      <formula>"L"</formula>
    </cfRule>
    <cfRule type="cellIs" dxfId="3317" priority="4221" operator="equal">
      <formula>"P"</formula>
    </cfRule>
    <cfRule type="cellIs" dxfId="3316" priority="4222" operator="equal">
      <formula>"P"</formula>
    </cfRule>
    <cfRule type="cellIs" dxfId="3315" priority="4223" operator="equal">
      <formula>"L"</formula>
    </cfRule>
    <cfRule type="cellIs" dxfId="3314" priority="4225" operator="equal">
      <formula>"P"</formula>
    </cfRule>
    <cfRule type="cellIs" dxfId="3313" priority="4226" operator="equal">
      <formula>"L"</formula>
    </cfRule>
    <cfRule type="cellIs" dxfId="3312" priority="4229" operator="equal">
      <formula>"P"</formula>
    </cfRule>
    <cfRule type="cellIs" dxfId="3311" priority="4230" operator="equal">
      <formula>"T"</formula>
    </cfRule>
    <cfRule type="cellIs" dxfId="3310" priority="4231" operator="equal">
      <formula>"T"</formula>
    </cfRule>
    <cfRule type="cellIs" dxfId="3309" priority="4232" operator="equal">
      <formula>"P"</formula>
    </cfRule>
    <cfRule type="cellIs" dxfId="3308" priority="4233" operator="equal">
      <formula>"L"</formula>
    </cfRule>
    <cfRule type="cellIs" dxfId="3307" priority="4235" operator="equal">
      <formula>"L"</formula>
    </cfRule>
    <cfRule type="cellIs" dxfId="3306" priority="4236" operator="equal">
      <formula>"P"</formula>
    </cfRule>
    <cfRule type="cellIs" dxfId="3305" priority="4237" operator="equal">
      <formula>"T"</formula>
    </cfRule>
    <cfRule type="cellIs" dxfId="3304" priority="4238" operator="equal">
      <formula>"T"</formula>
    </cfRule>
    <cfRule type="cellIs" dxfId="3303" priority="4242" operator="equal">
      <formula>"P"</formula>
    </cfRule>
    <cfRule type="cellIs" dxfId="3302" priority="4243" operator="equal">
      <formula>"P"</formula>
    </cfRule>
    <cfRule type="cellIs" dxfId="3301" priority="4244" operator="equal">
      <formula>"L"</formula>
    </cfRule>
    <cfRule type="cellIs" dxfId="3300" priority="4245" operator="equal">
      <formula>"N"</formula>
    </cfRule>
    <cfRule type="cellIs" dxfId="3299" priority="4246" operator="equal">
      <formula>"P"</formula>
    </cfRule>
    <cfRule type="cellIs" dxfId="3298" priority="4247" operator="equal">
      <formula>"L"</formula>
    </cfRule>
    <cfRule type="cellIs" dxfId="3297" priority="4248" operator="equal">
      <formula>"P"</formula>
    </cfRule>
    <cfRule type="cellIs" dxfId="3296" priority="4249" operator="equal">
      <formula>"P"</formula>
    </cfRule>
    <cfRule type="cellIs" dxfId="3295" priority="4250" operator="equal">
      <formula>"L"</formula>
    </cfRule>
    <cfRule type="cellIs" dxfId="3294" priority="4251" operator="equal">
      <formula>"L"</formula>
    </cfRule>
    <cfRule type="cellIs" dxfId="3293" priority="4252" operator="equal">
      <formula>"L"</formula>
    </cfRule>
    <cfRule type="cellIs" dxfId="3292" priority="4253" operator="equal">
      <formula>"N"</formula>
    </cfRule>
    <cfRule type="cellIs" dxfId="3291" priority="4255" operator="equal">
      <formula>"L"</formula>
    </cfRule>
    <cfRule type="cellIs" dxfId="3290" priority="4256" operator="equal">
      <formula>"N"</formula>
    </cfRule>
    <cfRule type="cellIs" dxfId="3289" priority="4257" operator="equal">
      <formula>"P"</formula>
    </cfRule>
    <cfRule type="cellIs" dxfId="3288" priority="4258" operator="equal">
      <formula>"L"</formula>
    </cfRule>
    <cfRule type="cellIs" dxfId="3287" priority="4259" operator="equal">
      <formula>"P"</formula>
    </cfRule>
    <cfRule type="cellIs" dxfId="3286" priority="4260" operator="equal">
      <formula>"L"</formula>
    </cfRule>
    <cfRule type="cellIs" dxfId="3285" priority="4261" operator="equal">
      <formula>"P"</formula>
    </cfRule>
    <cfRule type="cellIs" dxfId="3284" priority="4262" operator="equal">
      <formula>"L"</formula>
    </cfRule>
    <cfRule type="cellIs" dxfId="3283" priority="4263" operator="equal">
      <formula>"L"</formula>
    </cfRule>
    <cfRule type="cellIs" dxfId="3282" priority="4264" operator="equal">
      <formula>"P"</formula>
    </cfRule>
    <cfRule type="cellIs" dxfId="3281" priority="4266" operator="equal">
      <formula>"P"</formula>
    </cfRule>
    <cfRule type="cellIs" dxfId="3280" priority="4267" operator="equal">
      <formula>"P"</formula>
    </cfRule>
    <cfRule type="cellIs" dxfId="3279" priority="4268" operator="equal">
      <formula>"P"</formula>
    </cfRule>
    <cfRule type="cellIs" dxfId="3278" priority="4269" operator="equal">
      <formula>"N"</formula>
    </cfRule>
    <cfRule type="cellIs" dxfId="3277" priority="4272" operator="equal">
      <formula>"P"</formula>
    </cfRule>
    <cfRule type="cellIs" dxfId="3276" priority="4273" operator="equal">
      <formula>"L"</formula>
    </cfRule>
    <cfRule type="cellIs" dxfId="3275" priority="4274" operator="equal">
      <formula>"L"</formula>
    </cfRule>
    <cfRule type="cellIs" dxfId="3274" priority="4275" operator="equal">
      <formula>"L"</formula>
    </cfRule>
    <cfRule type="cellIs" dxfId="3273" priority="4276" operator="equal">
      <formula>"P"</formula>
    </cfRule>
    <cfRule type="cellIs" dxfId="3272" priority="4277" operator="equal">
      <formula>"P"</formula>
    </cfRule>
    <cfRule type="cellIs" dxfId="3271" priority="4278" operator="equal">
      <formula>"P"</formula>
    </cfRule>
    <cfRule type="cellIs" dxfId="3270" priority="4279" operator="equal">
      <formula>"T"</formula>
    </cfRule>
    <cfRule type="cellIs" dxfId="3269" priority="4280" operator="equal">
      <formula>"T"</formula>
    </cfRule>
    <cfRule type="cellIs" dxfId="3268" priority="4282" operator="equal">
      <formula>"L"</formula>
    </cfRule>
    <cfRule type="cellIs" dxfId="3267" priority="4283" operator="equal">
      <formula>"P"</formula>
    </cfRule>
    <cfRule type="cellIs" dxfId="3266" priority="4284" operator="equal">
      <formula>"P"</formula>
    </cfRule>
    <cfRule type="cellIs" dxfId="3265" priority="4285" operator="equal">
      <formula>"L"</formula>
    </cfRule>
    <cfRule type="cellIs" dxfId="3264" priority="4287" operator="equal">
      <formula>"P"</formula>
    </cfRule>
    <cfRule type="cellIs" dxfId="3263" priority="4288" operator="equal">
      <formula>"L"</formula>
    </cfRule>
    <cfRule type="cellIs" dxfId="3262" priority="4291" operator="equal">
      <formula>"L"</formula>
    </cfRule>
    <cfRule type="cellIs" dxfId="3261" priority="4293" operator="equal">
      <formula>"L"</formula>
    </cfRule>
    <cfRule type="cellIs" dxfId="3260" priority="4294" operator="equal">
      <formula>"P"</formula>
    </cfRule>
    <cfRule type="cellIs" dxfId="3259" priority="4295" operator="equal">
      <formula>"T"</formula>
    </cfRule>
    <cfRule type="cellIs" dxfId="3258" priority="4296" operator="equal">
      <formula>"T"</formula>
    </cfRule>
    <cfRule type="cellIs" dxfId="3257" priority="4297" operator="equal">
      <formula>"P"</formula>
    </cfRule>
    <cfRule type="cellIs" dxfId="3256" priority="4298" operator="equal">
      <formula>"L"</formula>
    </cfRule>
    <cfRule type="cellIs" dxfId="3255" priority="4300" operator="equal">
      <formula>"L"</formula>
    </cfRule>
    <cfRule type="cellIs" dxfId="3254" priority="4301" operator="equal">
      <formula>"P"</formula>
    </cfRule>
    <cfRule type="cellIs" dxfId="3253" priority="4302" operator="equal">
      <formula>"T"</formula>
    </cfRule>
    <cfRule type="cellIs" dxfId="3252" priority="4303" operator="equal">
      <formula>"T"</formula>
    </cfRule>
    <cfRule type="cellIs" dxfId="3251" priority="4307" operator="equal">
      <formula>"P"</formula>
    </cfRule>
    <cfRule type="cellIs" dxfId="3250" priority="4308" operator="equal">
      <formula>"P"</formula>
    </cfRule>
    <cfRule type="cellIs" dxfId="3249" priority="4309" operator="equal">
      <formula>"L"</formula>
    </cfRule>
    <cfRule type="cellIs" dxfId="3248" priority="4310" operator="equal">
      <formula>"N"</formula>
    </cfRule>
    <cfRule type="cellIs" dxfId="3247" priority="4311" operator="equal">
      <formula>"P"</formula>
    </cfRule>
    <cfRule type="cellIs" dxfId="3246" priority="4312" operator="equal">
      <formula>"L"</formula>
    </cfRule>
    <cfRule type="cellIs" dxfId="3245" priority="4313" operator="equal">
      <formula>"P"</formula>
    </cfRule>
    <cfRule type="cellIs" dxfId="3244" priority="4314" operator="equal">
      <formula>"P"</formula>
    </cfRule>
    <cfRule type="cellIs" dxfId="3243" priority="4315" operator="equal">
      <formula>"L"</formula>
    </cfRule>
    <cfRule type="cellIs" dxfId="3242" priority="4316" operator="equal">
      <formula>"L"</formula>
    </cfRule>
    <cfRule type="cellIs" dxfId="3241" priority="4317" operator="equal">
      <formula>"L"</formula>
    </cfRule>
    <cfRule type="cellIs" dxfId="3240" priority="4318" operator="equal">
      <formula>"N"</formula>
    </cfRule>
    <cfRule type="cellIs" dxfId="3239" priority="4320" operator="equal">
      <formula>"L"</formula>
    </cfRule>
    <cfRule type="cellIs" dxfId="3238" priority="4321" operator="equal">
      <formula>"N"</formula>
    </cfRule>
    <cfRule type="cellIs" dxfId="3237" priority="4322" operator="equal">
      <formula>"P"</formula>
    </cfRule>
    <cfRule type="cellIs" dxfId="3236" priority="4323" operator="equal">
      <formula>"L"</formula>
    </cfRule>
    <cfRule type="cellIs" dxfId="3235" priority="4324" operator="equal">
      <formula>"P"</formula>
    </cfRule>
    <cfRule type="cellIs" dxfId="3234" priority="4325" operator="equal">
      <formula>"L"</formula>
    </cfRule>
    <cfRule type="cellIs" dxfId="3233" priority="4326" operator="equal">
      <formula>"P"</formula>
    </cfRule>
    <cfRule type="cellIs" dxfId="3232" priority="4327" operator="equal">
      <formula>"L"</formula>
    </cfRule>
    <cfRule type="cellIs" dxfId="3231" priority="4328" operator="equal">
      <formula>"L"</formula>
    </cfRule>
    <cfRule type="cellIs" dxfId="3230" priority="4329" operator="equal">
      <formula>"P"</formula>
    </cfRule>
    <cfRule type="cellIs" dxfId="3229" priority="4331" operator="equal">
      <formula>"P"</formula>
    </cfRule>
    <cfRule type="cellIs" dxfId="3228" priority="4332" operator="equal">
      <formula>"P"</formula>
    </cfRule>
    <cfRule type="cellIs" dxfId="3227" priority="4333" operator="equal">
      <formula>"P"</formula>
    </cfRule>
    <cfRule type="cellIs" dxfId="3226" priority="4334" operator="equal">
      <formula>"N"</formula>
    </cfRule>
    <cfRule type="cellIs" dxfId="3225" priority="4337" operator="equal">
      <formula>"P"</formula>
    </cfRule>
    <cfRule type="cellIs" dxfId="3224" priority="4338" operator="equal">
      <formula>"L"</formula>
    </cfRule>
    <cfRule type="cellIs" dxfId="3223" priority="4339" operator="equal">
      <formula>"L"</formula>
    </cfRule>
    <cfRule type="cellIs" dxfId="3222" priority="4340" operator="equal">
      <formula>"L"</formula>
    </cfRule>
    <cfRule type="cellIs" dxfId="3221" priority="4341" operator="equal">
      <formula>"P"</formula>
    </cfRule>
    <cfRule type="cellIs" dxfId="3220" priority="4342" operator="equal">
      <formula>"P"</formula>
    </cfRule>
    <cfRule type="cellIs" dxfId="3219" priority="4343" operator="equal">
      <formula>"P"</formula>
    </cfRule>
    <cfRule type="cellIs" dxfId="3218" priority="4344" operator="equal">
      <formula>"T"</formula>
    </cfRule>
    <cfRule type="cellIs" dxfId="3217" priority="4345" operator="equal">
      <formula>"T"</formula>
    </cfRule>
    <cfRule type="cellIs" dxfId="3216" priority="4347" operator="equal">
      <formula>"L"</formula>
    </cfRule>
    <cfRule type="cellIs" dxfId="3215" priority="4348" operator="equal">
      <formula>"P"</formula>
    </cfRule>
    <cfRule type="cellIs" dxfId="3214" priority="4349" operator="equal">
      <formula>"P"</formula>
    </cfRule>
    <cfRule type="cellIs" dxfId="3213" priority="4350" operator="equal">
      <formula>"L"</formula>
    </cfRule>
    <cfRule type="cellIs" dxfId="3212" priority="4352" operator="equal">
      <formula>"P"</formula>
    </cfRule>
    <cfRule type="cellIs" dxfId="3211" priority="4353" operator="equal">
      <formula>"L"</formula>
    </cfRule>
    <cfRule type="cellIs" dxfId="3210" priority="4356" operator="equal">
      <formula>"L"</formula>
    </cfRule>
    <cfRule type="cellIs" dxfId="3209" priority="4358" operator="equal">
      <formula>"L"</formula>
    </cfRule>
    <cfRule type="cellIs" dxfId="3208" priority="4359" operator="equal">
      <formula>"P"</formula>
    </cfRule>
    <cfRule type="cellIs" dxfId="3207" priority="4360" operator="equal">
      <formula>"T"</formula>
    </cfRule>
    <cfRule type="cellIs" dxfId="3206" priority="4361" operator="equal">
      <formula>"T"</formula>
    </cfRule>
    <cfRule type="cellIs" dxfId="3205" priority="4362" operator="equal">
      <formula>"P"</formula>
    </cfRule>
    <cfRule type="cellIs" dxfId="3204" priority="4363" operator="equal">
      <formula>"P"</formula>
    </cfRule>
    <cfRule type="cellIs" dxfId="3203" priority="4364" operator="equal">
      <formula>"T"</formula>
    </cfRule>
    <cfRule type="cellIs" dxfId="3202" priority="4365" operator="equal">
      <formula>"T"</formula>
    </cfRule>
    <cfRule type="cellIs" dxfId="3201" priority="4366" operator="equal">
      <formula>"P"</formula>
    </cfRule>
    <cfRule type="cellIs" dxfId="3200" priority="4367" operator="equal">
      <formula>"L"</formula>
    </cfRule>
    <cfRule type="cellIs" dxfId="3199" priority="4369" operator="equal">
      <formula>"L"</formula>
    </cfRule>
    <cfRule type="cellIs" dxfId="3198" priority="4370" operator="equal">
      <formula>"P"</formula>
    </cfRule>
    <cfRule type="cellIs" dxfId="3197" priority="4371" operator="equal">
      <formula>"T"</formula>
    </cfRule>
    <cfRule type="cellIs" dxfId="3196" priority="4372" operator="equal">
      <formula>"T"</formula>
    </cfRule>
    <cfRule type="cellIs" dxfId="3195" priority="4376" operator="equal">
      <formula>"P"</formula>
    </cfRule>
    <cfRule type="cellIs" dxfId="3194" priority="4377" operator="equal">
      <formula>"P"</formula>
    </cfRule>
    <cfRule type="cellIs" dxfId="3193" priority="4378" operator="equal">
      <formula>"L"</formula>
    </cfRule>
    <cfRule type="cellIs" dxfId="3192" priority="4379" operator="equal">
      <formula>"N"</formula>
    </cfRule>
    <cfRule type="cellIs" dxfId="3191" priority="4380" operator="equal">
      <formula>"P"</formula>
    </cfRule>
    <cfRule type="cellIs" dxfId="3190" priority="4381" operator="equal">
      <formula>"L"</formula>
    </cfRule>
    <cfRule type="cellIs" dxfId="3189" priority="4382" operator="equal">
      <formula>"P"</formula>
    </cfRule>
    <cfRule type="cellIs" dxfId="3188" priority="4383" operator="equal">
      <formula>"P"</formula>
    </cfRule>
    <cfRule type="cellIs" dxfId="3187" priority="4384" operator="equal">
      <formula>"L"</formula>
    </cfRule>
    <cfRule type="cellIs" dxfId="3186" priority="4385" operator="equal">
      <formula>"L"</formula>
    </cfRule>
    <cfRule type="cellIs" dxfId="3185" priority="4386" operator="equal">
      <formula>"L"</formula>
    </cfRule>
    <cfRule type="cellIs" dxfId="3184" priority="4387" operator="equal">
      <formula>"N"</formula>
    </cfRule>
    <cfRule type="cellIs" dxfId="3183" priority="4389" operator="equal">
      <formula>"L"</formula>
    </cfRule>
    <cfRule type="cellIs" dxfId="3182" priority="4390" operator="equal">
      <formula>"N"</formula>
    </cfRule>
    <cfRule type="cellIs" dxfId="3181" priority="4391" operator="equal">
      <formula>"P"</formula>
    </cfRule>
    <cfRule type="cellIs" dxfId="3180" priority="4392" operator="equal">
      <formula>"L"</formula>
    </cfRule>
    <cfRule type="cellIs" dxfId="3179" priority="4393" operator="equal">
      <formula>"P"</formula>
    </cfRule>
    <cfRule type="cellIs" dxfId="3178" priority="4394" operator="equal">
      <formula>"L"</formula>
    </cfRule>
    <cfRule type="cellIs" dxfId="3177" priority="4395" operator="equal">
      <formula>"P"</formula>
    </cfRule>
    <cfRule type="cellIs" dxfId="3176" priority="4396" operator="equal">
      <formula>"L"</formula>
    </cfRule>
    <cfRule type="cellIs" dxfId="3175" priority="4397" operator="equal">
      <formula>"L"</formula>
    </cfRule>
    <cfRule type="cellIs" dxfId="3174" priority="4398" operator="equal">
      <formula>"P"</formula>
    </cfRule>
    <cfRule type="cellIs" dxfId="3173" priority="4400" operator="equal">
      <formula>"P"</formula>
    </cfRule>
    <cfRule type="cellIs" dxfId="3172" priority="4401" operator="equal">
      <formula>"P"</formula>
    </cfRule>
    <cfRule type="cellIs" dxfId="3171" priority="4402" operator="equal">
      <formula>"P"</formula>
    </cfRule>
    <cfRule type="cellIs" dxfId="3170" priority="4403" operator="equal">
      <formula>"N"</formula>
    </cfRule>
    <cfRule type="cellIs" dxfId="3169" priority="4406" operator="equal">
      <formula>"P"</formula>
    </cfRule>
    <cfRule type="cellIs" dxfId="3168" priority="4407" operator="equal">
      <formula>"L"</formula>
    </cfRule>
    <cfRule type="cellIs" dxfId="3167" priority="4408" operator="equal">
      <formula>"L"</formula>
    </cfRule>
    <cfRule type="cellIs" dxfId="3166" priority="4409" operator="equal">
      <formula>"L"</formula>
    </cfRule>
    <cfRule type="cellIs" dxfId="3165" priority="4410" operator="equal">
      <formula>"P"</formula>
    </cfRule>
    <cfRule type="cellIs" dxfId="3164" priority="4411" operator="equal">
      <formula>"P"</formula>
    </cfRule>
    <cfRule type="cellIs" dxfId="3163" priority="4412" operator="equal">
      <formula>"P"</formula>
    </cfRule>
    <cfRule type="cellIs" dxfId="3162" priority="4413" operator="equal">
      <formula>"T"</formula>
    </cfRule>
    <cfRule type="cellIs" dxfId="3161" priority="4414" operator="equal">
      <formula>"T"</formula>
    </cfRule>
    <cfRule type="cellIs" dxfId="3160" priority="4416" operator="equal">
      <formula>"L"</formula>
    </cfRule>
    <cfRule type="cellIs" dxfId="3159" priority="4417" operator="equal">
      <formula>"P"</formula>
    </cfRule>
    <cfRule type="cellIs" dxfId="3158" priority="4418" operator="equal">
      <formula>"P"</formula>
    </cfRule>
    <cfRule type="cellIs" dxfId="3157" priority="4419" operator="equal">
      <formula>"L"</formula>
    </cfRule>
    <cfRule type="cellIs" dxfId="3156" priority="4421" operator="equal">
      <formula>"P"</formula>
    </cfRule>
    <cfRule type="cellIs" dxfId="3155" priority="4422" operator="equal">
      <formula>"L"</formula>
    </cfRule>
    <cfRule type="cellIs" dxfId="3154" priority="4425" operator="equal">
      <formula>"L"</formula>
    </cfRule>
    <cfRule type="cellIs" dxfId="3153" priority="4427" operator="equal">
      <formula>"L"</formula>
    </cfRule>
    <cfRule type="cellIs" dxfId="3152" priority="4428" operator="equal">
      <formula>"P"</formula>
    </cfRule>
    <cfRule type="cellIs" dxfId="3151" priority="4429" operator="equal">
      <formula>"T"</formula>
    </cfRule>
    <cfRule type="cellIs" dxfId="3150" priority="4430" operator="equal">
      <formula>"T"</formula>
    </cfRule>
    <cfRule type="cellIs" dxfId="3149" priority="4431" operator="equal">
      <formula>"P"</formula>
    </cfRule>
    <cfRule type="cellIs" dxfId="3148" priority="4433" operator="equal">
      <formula>"P"</formula>
    </cfRule>
    <cfRule type="cellIs" dxfId="3147" priority="4434" operator="equal">
      <formula>"T"</formula>
    </cfRule>
    <cfRule type="cellIs" dxfId="3146" priority="4435" operator="equal">
      <formula>"T"</formula>
    </cfRule>
    <cfRule type="cellIs" dxfId="3145" priority="4436" operator="equal">
      <formula>"P"</formula>
    </cfRule>
    <cfRule type="cellIs" dxfId="3144" priority="4437" operator="equal">
      <formula>"P"</formula>
    </cfRule>
    <cfRule type="cellIs" dxfId="3143" priority="4438" operator="equal">
      <formula>"T"</formula>
    </cfRule>
    <cfRule type="cellIs" dxfId="3142" priority="4439" operator="equal">
      <formula>"T"</formula>
    </cfRule>
    <cfRule type="cellIs" dxfId="3141" priority="4440" operator="equal">
      <formula>"P"</formula>
    </cfRule>
    <cfRule type="cellIs" dxfId="3140" priority="4441" operator="equal">
      <formula>"L"</formula>
    </cfRule>
    <cfRule type="cellIs" dxfId="3139" priority="4443" operator="equal">
      <formula>"L"</formula>
    </cfRule>
    <cfRule type="cellIs" dxfId="3138" priority="4444" operator="equal">
      <formula>"P"</formula>
    </cfRule>
    <cfRule type="cellIs" dxfId="3137" priority="4445" operator="equal">
      <formula>"T"</formula>
    </cfRule>
    <cfRule type="cellIs" dxfId="3136" priority="4446" operator="equal">
      <formula>"T"</formula>
    </cfRule>
    <cfRule type="cellIs" dxfId="3135" priority="4450" operator="equal">
      <formula>"P"</formula>
    </cfRule>
    <cfRule type="cellIs" dxfId="3134" priority="4451" operator="equal">
      <formula>"P"</formula>
    </cfRule>
    <cfRule type="cellIs" dxfId="3133" priority="4452" operator="equal">
      <formula>"L"</formula>
    </cfRule>
    <cfRule type="cellIs" dxfId="3132" priority="4453" operator="equal">
      <formula>"N"</formula>
    </cfRule>
    <cfRule type="cellIs" dxfId="3131" priority="4454" operator="equal">
      <formula>"P"</formula>
    </cfRule>
    <cfRule type="cellIs" dxfId="3130" priority="4455" operator="equal">
      <formula>"L"</formula>
    </cfRule>
    <cfRule type="cellIs" dxfId="3129" priority="4456" operator="equal">
      <formula>"P"</formula>
    </cfRule>
    <cfRule type="cellIs" dxfId="3128" priority="4457" operator="equal">
      <formula>"P"</formula>
    </cfRule>
    <cfRule type="cellIs" dxfId="3127" priority="4458" operator="equal">
      <formula>"L"</formula>
    </cfRule>
    <cfRule type="cellIs" dxfId="3126" priority="4459" operator="equal">
      <formula>"L"</formula>
    </cfRule>
    <cfRule type="cellIs" dxfId="3125" priority="4460" operator="equal">
      <formula>"L"</formula>
    </cfRule>
    <cfRule type="cellIs" dxfId="3124" priority="4461" operator="equal">
      <formula>"N"</formula>
    </cfRule>
    <cfRule type="cellIs" dxfId="3123" priority="4463" operator="equal">
      <formula>"L"</formula>
    </cfRule>
    <cfRule type="cellIs" dxfId="3122" priority="4464" operator="equal">
      <formula>"N"</formula>
    </cfRule>
    <cfRule type="cellIs" dxfId="3121" priority="4465" operator="equal">
      <formula>"P"</formula>
    </cfRule>
    <cfRule type="cellIs" dxfId="3120" priority="4466" operator="equal">
      <formula>"L"</formula>
    </cfRule>
    <cfRule type="cellIs" dxfId="3119" priority="4467" operator="equal">
      <formula>"P"</formula>
    </cfRule>
    <cfRule type="cellIs" dxfId="3118" priority="4468" operator="equal">
      <formula>"L"</formula>
    </cfRule>
    <cfRule type="cellIs" dxfId="3117" priority="4469" operator="equal">
      <formula>"P"</formula>
    </cfRule>
    <cfRule type="cellIs" dxfId="3116" priority="4470" operator="equal">
      <formula>"L"</formula>
    </cfRule>
    <cfRule type="cellIs" dxfId="3115" priority="4471" operator="equal">
      <formula>"L"</formula>
    </cfRule>
    <cfRule type="cellIs" dxfId="3114" priority="4472" operator="equal">
      <formula>"P"</formula>
    </cfRule>
    <cfRule type="cellIs" dxfId="3113" priority="4474" operator="equal">
      <formula>"P"</formula>
    </cfRule>
    <cfRule type="cellIs" dxfId="3112" priority="4475" operator="equal">
      <formula>"P"</formula>
    </cfRule>
    <cfRule type="cellIs" dxfId="3111" priority="4476" operator="equal">
      <formula>"P"</formula>
    </cfRule>
    <cfRule type="cellIs" dxfId="3110" priority="4477" operator="equal">
      <formula>"N"</formula>
    </cfRule>
    <cfRule type="cellIs" dxfId="3109" priority="4480" operator="equal">
      <formula>"P"</formula>
    </cfRule>
    <cfRule type="cellIs" dxfId="3108" priority="4481" operator="equal">
      <formula>"L"</formula>
    </cfRule>
    <cfRule type="cellIs" dxfId="3107" priority="4482" operator="equal">
      <formula>"L"</formula>
    </cfRule>
    <cfRule type="cellIs" dxfId="3106" priority="4483" operator="equal">
      <formula>"L"</formula>
    </cfRule>
    <cfRule type="cellIs" dxfId="3105" priority="4484" operator="equal">
      <formula>"P"</formula>
    </cfRule>
    <cfRule type="cellIs" dxfId="3104" priority="4485" operator="equal">
      <formula>"P"</formula>
    </cfRule>
    <cfRule type="cellIs" dxfId="3103" priority="4486" operator="equal">
      <formula>"P"</formula>
    </cfRule>
    <cfRule type="cellIs" dxfId="3102" priority="4487" operator="equal">
      <formula>"T"</formula>
    </cfRule>
    <cfRule type="cellIs" dxfId="3101" priority="4488" operator="equal">
      <formula>"T"</formula>
    </cfRule>
    <cfRule type="cellIs" dxfId="3100" priority="4490" operator="equal">
      <formula>"L"</formula>
    </cfRule>
    <cfRule type="cellIs" dxfId="3099" priority="4491" operator="equal">
      <formula>"P"</formula>
    </cfRule>
    <cfRule type="cellIs" dxfId="3098" priority="4492" operator="equal">
      <formula>"P"</formula>
    </cfRule>
    <cfRule type="cellIs" dxfId="3097" priority="4493" operator="equal">
      <formula>"L"</formula>
    </cfRule>
    <cfRule type="cellIs" dxfId="3096" priority="4495" operator="equal">
      <formula>"P"</formula>
    </cfRule>
    <cfRule type="cellIs" dxfId="3095" priority="4496" operator="equal">
      <formula>"L"</formula>
    </cfRule>
    <cfRule type="cellIs" dxfId="3094" priority="4499" operator="equal">
      <formula>"L"</formula>
    </cfRule>
    <cfRule type="cellIs" dxfId="3093" priority="4501" operator="equal">
      <formula>"L"</formula>
    </cfRule>
    <cfRule type="cellIs" dxfId="3092" priority="4502" operator="equal">
      <formula>"P"</formula>
    </cfRule>
    <cfRule type="cellIs" dxfId="3091" priority="4503" operator="equal">
      <formula>"T"</formula>
    </cfRule>
    <cfRule type="cellIs" dxfId="3090" priority="4504" operator="equal">
      <formula>"T"</formula>
    </cfRule>
    <cfRule type="cellIs" dxfId="3089" priority="4505" operator="equal">
      <formula>"P"</formula>
    </cfRule>
    <cfRule type="cellIs" dxfId="3088" priority="4507" operator="equal">
      <formula>"P"</formula>
    </cfRule>
    <cfRule type="cellIs" dxfId="3087" priority="4508" operator="equal">
      <formula>"T"</formula>
    </cfRule>
    <cfRule type="cellIs" dxfId="3086" priority="4509" operator="equal">
      <formula>"T"</formula>
    </cfRule>
    <cfRule type="cellIs" dxfId="3085" priority="4510" operator="equal">
      <formula>"P"</formula>
    </cfRule>
    <cfRule type="cellIs" dxfId="3084" priority="4511" operator="equal">
      <formula>"P"</formula>
    </cfRule>
    <cfRule type="cellIs" dxfId="3083" priority="4512" operator="equal">
      <formula>"T"</formula>
    </cfRule>
    <cfRule type="cellIs" dxfId="3082" priority="4513" operator="equal">
      <formula>"T"</formula>
    </cfRule>
    <cfRule type="cellIs" dxfId="3081" priority="4514" operator="equal">
      <formula>"P"</formula>
    </cfRule>
    <cfRule type="cellIs" dxfId="3080" priority="4515" operator="equal">
      <formula>"P"</formula>
    </cfRule>
    <cfRule type="cellIs" dxfId="3079" priority="4516" operator="equal">
      <formula>"T"</formula>
    </cfRule>
    <cfRule type="cellIs" dxfId="3078" priority="4517" operator="equal">
      <formula>"T"</formula>
    </cfRule>
    <cfRule type="cellIs" dxfId="3077" priority="4518" operator="equal">
      <formula>"P"</formula>
    </cfRule>
    <cfRule type="cellIs" dxfId="3076" priority="4519" operator="equal">
      <formula>"P"</formula>
    </cfRule>
    <cfRule type="cellIs" dxfId="3075" priority="4520" operator="equal">
      <formula>"T"</formula>
    </cfRule>
    <cfRule type="cellIs" dxfId="3074" priority="4521" operator="equal">
      <formula>"T"</formula>
    </cfRule>
    <cfRule type="cellIs" dxfId="3073" priority="4522" operator="equal">
      <formula>"P"</formula>
    </cfRule>
    <cfRule type="cellIs" dxfId="3072" priority="4523" operator="equal">
      <formula>"L"</formula>
    </cfRule>
    <cfRule type="cellIs" dxfId="3071" priority="4525" operator="equal">
      <formula>"L"</formula>
    </cfRule>
    <cfRule type="cellIs" dxfId="3070" priority="4526" operator="equal">
      <formula>"P"</formula>
    </cfRule>
    <cfRule type="cellIs" dxfId="3069" priority="4527" operator="equal">
      <formula>"T"</formula>
    </cfRule>
    <cfRule type="cellIs" dxfId="3068" priority="4528" operator="equal">
      <formula>"T"</formula>
    </cfRule>
    <cfRule type="cellIs" dxfId="3067" priority="4532" operator="equal">
      <formula>"P"</formula>
    </cfRule>
    <cfRule type="cellIs" dxfId="3066" priority="4533" operator="equal">
      <formula>"P"</formula>
    </cfRule>
    <cfRule type="cellIs" dxfId="3065" priority="4534" operator="equal">
      <formula>"L"</formula>
    </cfRule>
    <cfRule type="cellIs" dxfId="3064" priority="4535" operator="equal">
      <formula>"N"</formula>
    </cfRule>
    <cfRule type="cellIs" dxfId="3063" priority="4536" operator="equal">
      <formula>"P"</formula>
    </cfRule>
    <cfRule type="cellIs" dxfId="3062" priority="4537" operator="equal">
      <formula>"L"</formula>
    </cfRule>
    <cfRule type="cellIs" dxfId="3061" priority="4538" operator="equal">
      <formula>"P"</formula>
    </cfRule>
    <cfRule type="cellIs" dxfId="3060" priority="4539" operator="equal">
      <formula>"P"</formula>
    </cfRule>
    <cfRule type="cellIs" dxfId="3059" priority="4540" operator="equal">
      <formula>"L"</formula>
    </cfRule>
    <cfRule type="cellIs" dxfId="3058" priority="4541" operator="equal">
      <formula>"L"</formula>
    </cfRule>
    <cfRule type="cellIs" dxfId="3057" priority="4542" operator="equal">
      <formula>"L"</formula>
    </cfRule>
    <cfRule type="cellIs" dxfId="3056" priority="4543" operator="equal">
      <formula>"N"</formula>
    </cfRule>
    <cfRule type="cellIs" dxfId="3055" priority="4545" operator="equal">
      <formula>"L"</formula>
    </cfRule>
    <cfRule type="cellIs" dxfId="3054" priority="4547" operator="equal">
      <formula>"P"</formula>
    </cfRule>
    <cfRule type="cellIs" dxfId="3053" priority="4548" operator="equal">
      <formula>"L"</formula>
    </cfRule>
    <cfRule type="cellIs" dxfId="3052" priority="4549" operator="equal">
      <formula>"P"</formula>
    </cfRule>
    <cfRule type="cellIs" dxfId="3051" priority="4550" operator="equal">
      <formula>"L"</formula>
    </cfRule>
    <cfRule type="cellIs" dxfId="3050" priority="4551" operator="equal">
      <formula>"P"</formula>
    </cfRule>
    <cfRule type="cellIs" dxfId="3049" priority="4552" operator="equal">
      <formula>"L"</formula>
    </cfRule>
    <cfRule type="cellIs" dxfId="3048" priority="4553" operator="equal">
      <formula>"L"</formula>
    </cfRule>
    <cfRule type="cellIs" dxfId="3047" priority="4554" operator="equal">
      <formula>"P"</formula>
    </cfRule>
    <cfRule type="cellIs" dxfId="3046" priority="4556" operator="equal">
      <formula>"P"</formula>
    </cfRule>
    <cfRule type="cellIs" dxfId="3045" priority="4557" operator="equal">
      <formula>"P"</formula>
    </cfRule>
    <cfRule type="cellIs" dxfId="3044" priority="4558" operator="equal">
      <formula>"P"</formula>
    </cfRule>
    <cfRule type="cellIs" dxfId="3043" priority="4562" operator="equal">
      <formula>"P"</formula>
    </cfRule>
    <cfRule type="cellIs" dxfId="3042" priority="4563" operator="equal">
      <formula>"L"</formula>
    </cfRule>
    <cfRule type="cellIs" dxfId="3041" priority="4564" operator="equal">
      <formula>"L"</formula>
    </cfRule>
    <cfRule type="cellIs" dxfId="3040" priority="4565" operator="equal">
      <formula>"L"</formula>
    </cfRule>
    <cfRule type="cellIs" dxfId="3039" priority="4566" operator="equal">
      <formula>"P"</formula>
    </cfRule>
    <cfRule type="cellIs" dxfId="3038" priority="4567" operator="equal">
      <formula>"P"</formula>
    </cfRule>
    <cfRule type="cellIs" dxfId="3037" priority="4568" operator="equal">
      <formula>"P"</formula>
    </cfRule>
    <cfRule type="cellIs" dxfId="3036" priority="4569" operator="equal">
      <formula>"T"</formula>
    </cfRule>
    <cfRule type="cellIs" dxfId="3035" priority="4570" operator="equal">
      <formula>"T"</formula>
    </cfRule>
    <cfRule type="cellIs" dxfId="3034" priority="4572" operator="equal">
      <formula>"L"</formula>
    </cfRule>
    <cfRule type="cellIs" dxfId="3033" priority="4573" operator="equal">
      <formula>"P"</formula>
    </cfRule>
    <cfRule type="cellIs" dxfId="3032" priority="4574" operator="equal">
      <formula>"P"</formula>
    </cfRule>
    <cfRule type="cellIs" dxfId="3031" priority="4575" operator="equal">
      <formula>"L"</formula>
    </cfRule>
    <cfRule type="cellIs" dxfId="3030" priority="4577" operator="equal">
      <formula>"P"</formula>
    </cfRule>
    <cfRule type="cellIs" dxfId="3029" priority="4578" operator="equal">
      <formula>"L"</formula>
    </cfRule>
    <cfRule type="cellIs" dxfId="3028" priority="4583" operator="equal">
      <formula>"L"</formula>
    </cfRule>
    <cfRule type="cellIs" dxfId="3027" priority="4584" operator="equal">
      <formula>"P"</formula>
    </cfRule>
    <cfRule type="cellIs" dxfId="3026" priority="4585" operator="equal">
      <formula>"T"</formula>
    </cfRule>
    <cfRule type="cellIs" dxfId="3025" priority="4586" operator="equal">
      <formula>"T"</formula>
    </cfRule>
    <cfRule type="cellIs" dxfId="3024" priority="4587" operator="equal">
      <formula>"P"</formula>
    </cfRule>
    <cfRule type="cellIs" dxfId="3023" priority="4589" operator="equal">
      <formula>"P"</formula>
    </cfRule>
    <cfRule type="cellIs" dxfId="3022" priority="4590" operator="equal">
      <formula>"T"</formula>
    </cfRule>
    <cfRule type="cellIs" dxfId="3021" priority="4591" operator="equal">
      <formula>"T"</formula>
    </cfRule>
    <cfRule type="cellIs" dxfId="3020" priority="4592" operator="equal">
      <formula>"P"</formula>
    </cfRule>
    <cfRule type="cellIs" dxfId="3019" priority="4593" operator="equal">
      <formula>"P"</formula>
    </cfRule>
    <cfRule type="cellIs" dxfId="3018" priority="4594" operator="equal">
      <formula>"T"</formula>
    </cfRule>
    <cfRule type="cellIs" dxfId="3017" priority="4595" operator="equal">
      <formula>"T"</formula>
    </cfRule>
    <cfRule type="cellIs" dxfId="3016" priority="4596" operator="equal">
      <formula>"P"</formula>
    </cfRule>
    <cfRule type="cellIs" dxfId="3015" priority="4602" operator="equal">
      <formula>"P"</formula>
    </cfRule>
    <cfRule type="cellIs" dxfId="3014" priority="3119" operator="equal">
      <formula>"L"</formula>
    </cfRule>
    <cfRule type="cellIs" dxfId="3013" priority="2690" operator="equal">
      <formula>"L"</formula>
    </cfRule>
    <cfRule type="cellIs" dxfId="3012" priority="2691" operator="equal">
      <formula>"P"</formula>
    </cfRule>
    <cfRule type="cellIs" dxfId="3011" priority="2692" operator="equal">
      <formula>"T"</formula>
    </cfRule>
    <cfRule type="cellIs" dxfId="3010" priority="2693" operator="equal">
      <formula>"T"</formula>
    </cfRule>
    <cfRule type="cellIs" dxfId="3009" priority="2697" operator="equal">
      <formula>"P"</formula>
    </cfRule>
    <cfRule type="cellIs" dxfId="3008" priority="2698" operator="equal">
      <formula>"P"</formula>
    </cfRule>
    <cfRule type="cellIs" dxfId="3007" priority="2699" operator="equal">
      <formula>"L"</formula>
    </cfRule>
    <cfRule type="cellIs" dxfId="3006" priority="2701" operator="equal">
      <formula>"P"</formula>
    </cfRule>
    <cfRule type="cellIs" dxfId="3005" priority="2702" operator="equal">
      <formula>"L"</formula>
    </cfRule>
    <cfRule type="cellIs" dxfId="3004" priority="2703" operator="equal">
      <formula>"P"</formula>
    </cfRule>
    <cfRule type="cellIs" dxfId="3003" priority="2704" operator="equal">
      <formula>"P"</formula>
    </cfRule>
    <cfRule type="cellIs" dxfId="3002" priority="2705" operator="equal">
      <formula>"L"</formula>
    </cfRule>
    <cfRule type="cellIs" dxfId="3001" priority="2706" operator="equal">
      <formula>"L"</formula>
    </cfRule>
    <cfRule type="cellIs" dxfId="3000" priority="2707" operator="equal">
      <formula>"L"</formula>
    </cfRule>
    <cfRule type="cellIs" dxfId="2999" priority="2710" operator="equal">
      <formula>"L"</formula>
    </cfRule>
    <cfRule type="cellIs" dxfId="2998" priority="2711" operator="equal">
      <formula>"N"</formula>
    </cfRule>
    <cfRule type="cellIs" dxfId="2997" priority="2712" operator="equal">
      <formula>"P"</formula>
    </cfRule>
    <cfRule type="cellIs" dxfId="2996" priority="2713" operator="equal">
      <formula>"L"</formula>
    </cfRule>
    <cfRule type="cellIs" dxfId="2995" priority="2714" operator="equal">
      <formula>"P"</formula>
    </cfRule>
    <cfRule type="cellIs" dxfId="2994" priority="2715" operator="equal">
      <formula>"L"</formula>
    </cfRule>
    <cfRule type="cellIs" dxfId="2993" priority="2716" operator="equal">
      <formula>"P"</formula>
    </cfRule>
    <cfRule type="cellIs" dxfId="2992" priority="2717" operator="equal">
      <formula>"L"</formula>
    </cfRule>
    <cfRule type="cellIs" dxfId="2991" priority="2718" operator="equal">
      <formula>"L"</formula>
    </cfRule>
    <cfRule type="cellIs" dxfId="2990" priority="2719" operator="equal">
      <formula>"P"</formula>
    </cfRule>
    <cfRule type="cellIs" dxfId="2989" priority="2721" operator="equal">
      <formula>"P"</formula>
    </cfRule>
    <cfRule type="cellIs" dxfId="2988" priority="2722" operator="equal">
      <formula>"P"</formula>
    </cfRule>
    <cfRule type="cellIs" dxfId="2987" priority="2723" operator="equal">
      <formula>"P"</formula>
    </cfRule>
    <cfRule type="cellIs" dxfId="2986" priority="2724" operator="equal">
      <formula>"N"</formula>
    </cfRule>
    <cfRule type="cellIs" dxfId="2985" priority="2727" operator="equal">
      <formula>"P"</formula>
    </cfRule>
    <cfRule type="cellIs" dxfId="2984" priority="2728" operator="equal">
      <formula>"L"</formula>
    </cfRule>
    <cfRule type="cellIs" dxfId="2983" priority="2729" operator="equal">
      <formula>"L"</formula>
    </cfRule>
    <cfRule type="cellIs" dxfId="2982" priority="2730" operator="equal">
      <formula>"L"</formula>
    </cfRule>
    <cfRule type="cellIs" dxfId="2981" priority="2731" operator="equal">
      <formula>"P"</formula>
    </cfRule>
    <cfRule type="cellIs" dxfId="2980" priority="2732" operator="equal">
      <formula>"P"</formula>
    </cfRule>
    <cfRule type="cellIs" dxfId="2979" priority="2733" operator="equal">
      <formula>"P"</formula>
    </cfRule>
    <cfRule type="cellIs" dxfId="2978" priority="2734" operator="equal">
      <formula>"T"</formula>
    </cfRule>
    <cfRule type="cellIs" dxfId="2977" priority="2735" operator="equal">
      <formula>"T"</formula>
    </cfRule>
    <cfRule type="cellIs" dxfId="2976" priority="2737" operator="equal">
      <formula>"L"</formula>
    </cfRule>
    <cfRule type="cellIs" dxfId="2975" priority="2738" operator="equal">
      <formula>"P"</formula>
    </cfRule>
    <cfRule type="cellIs" dxfId="2974" priority="2739" operator="equal">
      <formula>"P"</formula>
    </cfRule>
    <cfRule type="cellIs" dxfId="2973" priority="2740" operator="equal">
      <formula>"L"</formula>
    </cfRule>
    <cfRule type="cellIs" dxfId="2972" priority="2742" operator="equal">
      <formula>"P"</formula>
    </cfRule>
    <cfRule type="cellIs" dxfId="2971" priority="2743" operator="equal">
      <formula>"L"</formula>
    </cfRule>
    <cfRule type="cellIs" dxfId="2970" priority="2746" operator="equal">
      <formula>"P"</formula>
    </cfRule>
    <cfRule type="cellIs" dxfId="2969" priority="2747" operator="equal">
      <formula>"T"</formula>
    </cfRule>
    <cfRule type="cellIs" dxfId="2968" priority="2748" operator="equal">
      <formula>"T"</formula>
    </cfRule>
    <cfRule type="cellIs" dxfId="2967" priority="2749" operator="equal">
      <formula>"P"</formula>
    </cfRule>
    <cfRule type="cellIs" dxfId="2966" priority="2750" operator="equal">
      <formula>"L"</formula>
    </cfRule>
    <cfRule type="cellIs" dxfId="2965" priority="2752" operator="equal">
      <formula>"L"</formula>
    </cfRule>
    <cfRule type="cellIs" dxfId="2964" priority="2753" operator="equal">
      <formula>"P"</formula>
    </cfRule>
    <cfRule type="cellIs" dxfId="2963" priority="2754" operator="equal">
      <formula>"T"</formula>
    </cfRule>
    <cfRule type="cellIs" dxfId="2962" priority="2755" operator="equal">
      <formula>"T"</formula>
    </cfRule>
    <cfRule type="cellIs" dxfId="2961" priority="2759" operator="equal">
      <formula>"P"</formula>
    </cfRule>
    <cfRule type="cellIs" dxfId="2960" priority="2760" operator="equal">
      <formula>"P"</formula>
    </cfRule>
    <cfRule type="cellIs" dxfId="2959" priority="2761" operator="equal">
      <formula>"L"</formula>
    </cfRule>
    <cfRule type="cellIs" dxfId="2958" priority="2762" operator="equal">
      <formula>"N"</formula>
    </cfRule>
    <cfRule type="cellIs" dxfId="2957" priority="2763" operator="equal">
      <formula>"P"</formula>
    </cfRule>
    <cfRule type="cellIs" dxfId="2956" priority="2764" operator="equal">
      <formula>"L"</formula>
    </cfRule>
    <cfRule type="cellIs" dxfId="2955" priority="2765" operator="equal">
      <formula>"P"</formula>
    </cfRule>
    <cfRule type="cellIs" dxfId="2954" priority="2766" operator="equal">
      <formula>"P"</formula>
    </cfRule>
    <cfRule type="cellIs" dxfId="2953" priority="2767" operator="equal">
      <formula>"L"</formula>
    </cfRule>
    <cfRule type="cellIs" dxfId="2952" priority="2768" operator="equal">
      <formula>"L"</formula>
    </cfRule>
    <cfRule type="cellIs" dxfId="2951" priority="2769" operator="equal">
      <formula>"L"</formula>
    </cfRule>
    <cfRule type="cellIs" dxfId="2950" priority="2770" operator="equal">
      <formula>"N"</formula>
    </cfRule>
    <cfRule type="cellIs" dxfId="2949" priority="2772" operator="equal">
      <formula>"L"</formula>
    </cfRule>
    <cfRule type="cellIs" dxfId="2948" priority="2773" operator="equal">
      <formula>"N"</formula>
    </cfRule>
    <cfRule type="cellIs" dxfId="2947" priority="2774" operator="equal">
      <formula>"P"</formula>
    </cfRule>
    <cfRule type="cellIs" dxfId="2946" priority="2775" operator="equal">
      <formula>"L"</formula>
    </cfRule>
    <cfRule type="cellIs" dxfId="2945" priority="2776" operator="equal">
      <formula>"P"</formula>
    </cfRule>
    <cfRule type="cellIs" dxfId="2944" priority="2777" operator="equal">
      <formula>"L"</formula>
    </cfRule>
    <cfRule type="cellIs" dxfId="2943" priority="2778" operator="equal">
      <formula>"P"</formula>
    </cfRule>
    <cfRule type="cellIs" dxfId="2942" priority="2779" operator="equal">
      <formula>"L"</formula>
    </cfRule>
    <cfRule type="cellIs" dxfId="2941" priority="2780" operator="equal">
      <formula>"L"</formula>
    </cfRule>
    <cfRule type="cellIs" dxfId="2940" priority="2781" operator="equal">
      <formula>"P"</formula>
    </cfRule>
    <cfRule type="cellIs" dxfId="2939" priority="2783" operator="equal">
      <formula>"P"</formula>
    </cfRule>
    <cfRule type="cellIs" dxfId="2938" priority="2784" operator="equal">
      <formula>"P"</formula>
    </cfRule>
    <cfRule type="cellIs" dxfId="2937" priority="2785" operator="equal">
      <formula>"P"</formula>
    </cfRule>
    <cfRule type="cellIs" dxfId="2936" priority="2786" operator="equal">
      <formula>"N"</formula>
    </cfRule>
    <cfRule type="cellIs" dxfId="2935" priority="2789" operator="equal">
      <formula>"P"</formula>
    </cfRule>
    <cfRule type="cellIs" dxfId="2934" priority="2790" operator="equal">
      <formula>"L"</formula>
    </cfRule>
    <cfRule type="cellIs" dxfId="2933" priority="2791" operator="equal">
      <formula>"L"</formula>
    </cfRule>
    <cfRule type="cellIs" dxfId="2932" priority="2792" operator="equal">
      <formula>"L"</formula>
    </cfRule>
    <cfRule type="cellIs" dxfId="2931" priority="2793" operator="equal">
      <formula>"P"</formula>
    </cfRule>
    <cfRule type="cellIs" dxfId="2930" priority="2794" operator="equal">
      <formula>"P"</formula>
    </cfRule>
    <cfRule type="cellIs" dxfId="2929" priority="2795" operator="equal">
      <formula>"P"</formula>
    </cfRule>
    <cfRule type="cellIs" dxfId="2928" priority="2796" operator="equal">
      <formula>"T"</formula>
    </cfRule>
    <cfRule type="cellIs" dxfId="2927" priority="2797" operator="equal">
      <formula>"T"</formula>
    </cfRule>
    <cfRule type="cellIs" dxfId="2926" priority="2799" operator="equal">
      <formula>"L"</formula>
    </cfRule>
    <cfRule type="cellIs" dxfId="2925" priority="2800" operator="equal">
      <formula>"P"</formula>
    </cfRule>
    <cfRule type="cellIs" dxfId="2924" priority="2801" operator="equal">
      <formula>"P"</formula>
    </cfRule>
    <cfRule type="cellIs" dxfId="2923" priority="2802" operator="equal">
      <formula>"L"</formula>
    </cfRule>
    <cfRule type="cellIs" dxfId="2922" priority="2804" operator="equal">
      <formula>"P"</formula>
    </cfRule>
    <cfRule type="cellIs" dxfId="2921" priority="2805" operator="equal">
      <formula>"L"</formula>
    </cfRule>
    <cfRule type="cellIs" dxfId="2920" priority="2808" operator="equal">
      <formula>"P"</formula>
    </cfRule>
    <cfRule type="cellIs" dxfId="2919" priority="2809" operator="equal">
      <formula>"T"</formula>
    </cfRule>
    <cfRule type="cellIs" dxfId="2918" priority="2810" operator="equal">
      <formula>"T"</formula>
    </cfRule>
    <cfRule type="cellIs" dxfId="2917" priority="2811" operator="equal">
      <formula>"P"</formula>
    </cfRule>
    <cfRule type="cellIs" dxfId="2916" priority="2812" operator="equal">
      <formula>"L"</formula>
    </cfRule>
    <cfRule type="cellIs" dxfId="2915" priority="2814" operator="equal">
      <formula>"L"</formula>
    </cfRule>
    <cfRule type="cellIs" dxfId="2914" priority="2815" operator="equal">
      <formula>"P"</formula>
    </cfRule>
    <cfRule type="cellIs" dxfId="2913" priority="2816" operator="equal">
      <formula>"T"</formula>
    </cfRule>
    <cfRule type="cellIs" dxfId="2912" priority="2817" operator="equal">
      <formula>"T"</formula>
    </cfRule>
    <cfRule type="cellIs" dxfId="2911" priority="2821" operator="equal">
      <formula>"P"</formula>
    </cfRule>
    <cfRule type="cellIs" dxfId="2910" priority="2822" operator="equal">
      <formula>"P"</formula>
    </cfRule>
    <cfRule type="cellIs" dxfId="2909" priority="2823" operator="equal">
      <formula>"L"</formula>
    </cfRule>
    <cfRule type="cellIs" dxfId="2908" priority="2824" operator="equal">
      <formula>"N"</formula>
    </cfRule>
    <cfRule type="cellIs" dxfId="2907" priority="2825" operator="equal">
      <formula>"P"</formula>
    </cfRule>
    <cfRule type="cellIs" dxfId="2906" priority="2826" operator="equal">
      <formula>"L"</formula>
    </cfRule>
    <cfRule type="cellIs" dxfId="2905" priority="2827" operator="equal">
      <formula>"P"</formula>
    </cfRule>
    <cfRule type="cellIs" dxfId="2904" priority="2828" operator="equal">
      <formula>"P"</formula>
    </cfRule>
    <cfRule type="cellIs" dxfId="2903" priority="2829" operator="equal">
      <formula>"L"</formula>
    </cfRule>
    <cfRule type="cellIs" dxfId="2902" priority="2830" operator="equal">
      <formula>"L"</formula>
    </cfRule>
    <cfRule type="cellIs" dxfId="2901" priority="2831" operator="equal">
      <formula>"L"</formula>
    </cfRule>
    <cfRule type="cellIs" dxfId="2900" priority="2832" operator="equal">
      <formula>"N"</formula>
    </cfRule>
    <cfRule type="cellIs" dxfId="2899" priority="2834" operator="equal">
      <formula>"L"</formula>
    </cfRule>
    <cfRule type="cellIs" dxfId="2898" priority="2835" operator="equal">
      <formula>"N"</formula>
    </cfRule>
    <cfRule type="cellIs" dxfId="2897" priority="2836" operator="equal">
      <formula>"P"</formula>
    </cfRule>
    <cfRule type="cellIs" dxfId="2896" priority="2837" operator="equal">
      <formula>"L"</formula>
    </cfRule>
    <cfRule type="cellIs" dxfId="2895" priority="2838" operator="equal">
      <formula>"P"</formula>
    </cfRule>
    <cfRule type="cellIs" dxfId="2894" priority="2839" operator="equal">
      <formula>"L"</formula>
    </cfRule>
    <cfRule type="cellIs" dxfId="2893" priority="2840" operator="equal">
      <formula>"P"</formula>
    </cfRule>
    <cfRule type="cellIs" dxfId="2892" priority="2841" operator="equal">
      <formula>"L"</formula>
    </cfRule>
    <cfRule type="cellIs" dxfId="2891" priority="2842" operator="equal">
      <formula>"L"</formula>
    </cfRule>
    <cfRule type="cellIs" dxfId="2890" priority="2843" operator="equal">
      <formula>"P"</formula>
    </cfRule>
    <cfRule type="cellIs" dxfId="2889" priority="2845" operator="equal">
      <formula>"P"</formula>
    </cfRule>
    <cfRule type="cellIs" dxfId="2888" priority="2846" operator="equal">
      <formula>"P"</formula>
    </cfRule>
    <cfRule type="cellIs" dxfId="2887" priority="2847" operator="equal">
      <formula>"P"</formula>
    </cfRule>
    <cfRule type="cellIs" dxfId="2886" priority="2848" operator="equal">
      <formula>"N"</formula>
    </cfRule>
    <cfRule type="cellIs" dxfId="2885" priority="2851" operator="equal">
      <formula>"P"</formula>
    </cfRule>
    <cfRule type="cellIs" dxfId="2884" priority="2852" operator="equal">
      <formula>"L"</formula>
    </cfRule>
    <cfRule type="cellIs" dxfId="2883" priority="2853" operator="equal">
      <formula>"L"</formula>
    </cfRule>
    <cfRule type="cellIs" dxfId="2882" priority="2854" operator="equal">
      <formula>"L"</formula>
    </cfRule>
    <cfRule type="cellIs" dxfId="2881" priority="2855" operator="equal">
      <formula>"P"</formula>
    </cfRule>
    <cfRule type="cellIs" dxfId="2880" priority="2856" operator="equal">
      <formula>"P"</formula>
    </cfRule>
    <cfRule type="cellIs" dxfId="2879" priority="2857" operator="equal">
      <formula>"P"</formula>
    </cfRule>
    <cfRule type="cellIs" dxfId="2878" priority="2858" operator="equal">
      <formula>"T"</formula>
    </cfRule>
    <cfRule type="cellIs" dxfId="2877" priority="2859" operator="equal">
      <formula>"T"</formula>
    </cfRule>
    <cfRule type="cellIs" dxfId="2876" priority="2861" operator="equal">
      <formula>"L"</formula>
    </cfRule>
    <cfRule type="cellIs" dxfId="2875" priority="2862" operator="equal">
      <formula>"P"</formula>
    </cfRule>
    <cfRule type="cellIs" dxfId="2874" priority="2863" operator="equal">
      <formula>"P"</formula>
    </cfRule>
    <cfRule type="cellIs" dxfId="2873" priority="2864" operator="equal">
      <formula>"L"</formula>
    </cfRule>
    <cfRule type="cellIs" dxfId="2872" priority="2866" operator="equal">
      <formula>"P"</formula>
    </cfRule>
    <cfRule type="cellIs" dxfId="2871" priority="2867" operator="equal">
      <formula>"L"</formula>
    </cfRule>
    <cfRule type="cellIs" dxfId="2870" priority="2870" operator="equal">
      <formula>"P"</formula>
    </cfRule>
    <cfRule type="cellIs" dxfId="2869" priority="2871" operator="equal">
      <formula>"T"</formula>
    </cfRule>
    <cfRule type="cellIs" dxfId="2868" priority="2872" operator="equal">
      <formula>"T"</formula>
    </cfRule>
    <cfRule type="cellIs" dxfId="2867" priority="2873" operator="equal">
      <formula>"P"</formula>
    </cfRule>
    <cfRule type="cellIs" dxfId="2866" priority="2874" operator="equal">
      <formula>"L"</formula>
    </cfRule>
    <cfRule type="cellIs" dxfId="2865" priority="2876" operator="equal">
      <formula>"L"</formula>
    </cfRule>
    <cfRule type="cellIs" dxfId="2864" priority="2877" operator="equal">
      <formula>"P"</formula>
    </cfRule>
    <cfRule type="cellIs" dxfId="2863" priority="2878" operator="equal">
      <formula>"T"</formula>
    </cfRule>
    <cfRule type="cellIs" dxfId="2862" priority="2879" operator="equal">
      <formula>"T"</formula>
    </cfRule>
    <cfRule type="cellIs" dxfId="2861" priority="2883" operator="equal">
      <formula>"P"</formula>
    </cfRule>
    <cfRule type="cellIs" dxfId="2860" priority="2884" operator="equal">
      <formula>"P"</formula>
    </cfRule>
    <cfRule type="cellIs" dxfId="2859" priority="2885" operator="equal">
      <formula>"L"</formula>
    </cfRule>
    <cfRule type="cellIs" dxfId="2858" priority="2886" operator="equal">
      <formula>"N"</formula>
    </cfRule>
    <cfRule type="cellIs" dxfId="2857" priority="2887" operator="equal">
      <formula>"P"</formula>
    </cfRule>
    <cfRule type="cellIs" dxfId="2856" priority="2888" operator="equal">
      <formula>"L"</formula>
    </cfRule>
    <cfRule type="cellIs" dxfId="2855" priority="2889" operator="equal">
      <formula>"P"</formula>
    </cfRule>
    <cfRule type="cellIs" dxfId="2854" priority="2890" operator="equal">
      <formula>"P"</formula>
    </cfRule>
    <cfRule type="cellIs" dxfId="2853" priority="2891" operator="equal">
      <formula>"L"</formula>
    </cfRule>
    <cfRule type="cellIs" dxfId="2852" priority="2892" operator="equal">
      <formula>"L"</formula>
    </cfRule>
    <cfRule type="cellIs" dxfId="2851" priority="2893" operator="equal">
      <formula>"L"</formula>
    </cfRule>
    <cfRule type="cellIs" dxfId="2850" priority="2894" operator="equal">
      <formula>"N"</formula>
    </cfRule>
    <cfRule type="cellIs" dxfId="2849" priority="2896" operator="equal">
      <formula>"L"</formula>
    </cfRule>
    <cfRule type="cellIs" dxfId="2848" priority="2897" operator="equal">
      <formula>"N"</formula>
    </cfRule>
    <cfRule type="cellIs" dxfId="2847" priority="2898" operator="equal">
      <formula>"P"</formula>
    </cfRule>
    <cfRule type="cellIs" dxfId="2846" priority="2899" operator="equal">
      <formula>"L"</formula>
    </cfRule>
    <cfRule type="cellIs" dxfId="2845" priority="2900" operator="equal">
      <formula>"P"</formula>
    </cfRule>
    <cfRule type="cellIs" dxfId="2844" priority="2901" operator="equal">
      <formula>"L"</formula>
    </cfRule>
    <cfRule type="cellIs" dxfId="2843" priority="2902" operator="equal">
      <formula>"P"</formula>
    </cfRule>
    <cfRule type="cellIs" dxfId="2842" priority="2903" operator="equal">
      <formula>"L"</formula>
    </cfRule>
    <cfRule type="cellIs" dxfId="2841" priority="2904" operator="equal">
      <formula>"L"</formula>
    </cfRule>
    <cfRule type="cellIs" dxfId="2840" priority="2905" operator="equal">
      <formula>"P"</formula>
    </cfRule>
    <cfRule type="cellIs" dxfId="2839" priority="2907" operator="equal">
      <formula>"P"</formula>
    </cfRule>
    <cfRule type="cellIs" dxfId="2838" priority="2908" operator="equal">
      <formula>"P"</formula>
    </cfRule>
    <cfRule type="cellIs" dxfId="2837" priority="2909" operator="equal">
      <formula>"P"</formula>
    </cfRule>
    <cfRule type="cellIs" dxfId="2836" priority="2910" operator="equal">
      <formula>"N"</formula>
    </cfRule>
    <cfRule type="cellIs" dxfId="2835" priority="2913" operator="equal">
      <formula>"P"</formula>
    </cfRule>
    <cfRule type="cellIs" dxfId="2834" priority="2914" operator="equal">
      <formula>"L"</formula>
    </cfRule>
    <cfRule type="cellIs" dxfId="2833" priority="2915" operator="equal">
      <formula>"L"</formula>
    </cfRule>
    <cfRule type="cellIs" dxfId="2832" priority="2916" operator="equal">
      <formula>"L"</formula>
    </cfRule>
    <cfRule type="cellIs" dxfId="2831" priority="2917" operator="equal">
      <formula>"P"</formula>
    </cfRule>
    <cfRule type="cellIs" dxfId="2830" priority="2918" operator="equal">
      <formula>"P"</formula>
    </cfRule>
    <cfRule type="cellIs" dxfId="2829" priority="2919" operator="equal">
      <formula>"P"</formula>
    </cfRule>
    <cfRule type="cellIs" dxfId="2828" priority="2920" operator="equal">
      <formula>"T"</formula>
    </cfRule>
    <cfRule type="cellIs" dxfId="2827" priority="2921" operator="equal">
      <formula>"T"</formula>
    </cfRule>
    <cfRule type="cellIs" dxfId="2826" priority="2923" operator="equal">
      <formula>"L"</formula>
    </cfRule>
    <cfRule type="cellIs" dxfId="2825" priority="2924" operator="equal">
      <formula>"P"</formula>
    </cfRule>
    <cfRule type="cellIs" dxfId="2824" priority="2925" operator="equal">
      <formula>"P"</formula>
    </cfRule>
    <cfRule type="cellIs" dxfId="2823" priority="2926" operator="equal">
      <formula>"L"</formula>
    </cfRule>
    <cfRule type="cellIs" dxfId="2822" priority="2928" operator="equal">
      <formula>"P"</formula>
    </cfRule>
    <cfRule type="cellIs" dxfId="2821" priority="2929" operator="equal">
      <formula>"L"</formula>
    </cfRule>
    <cfRule type="cellIs" dxfId="2820" priority="2932" operator="equal">
      <formula>"L"</formula>
    </cfRule>
    <cfRule type="cellIs" dxfId="2819" priority="2934" operator="equal">
      <formula>"L"</formula>
    </cfRule>
    <cfRule type="cellIs" dxfId="2818" priority="2935" operator="equal">
      <formula>"P"</formula>
    </cfRule>
    <cfRule type="cellIs" dxfId="2817" priority="2936" operator="equal">
      <formula>"T"</formula>
    </cfRule>
    <cfRule type="cellIs" dxfId="2816" priority="2937" operator="equal">
      <formula>"T"</formula>
    </cfRule>
    <cfRule type="cellIs" dxfId="2815" priority="2938" operator="equal">
      <formula>"P"</formula>
    </cfRule>
    <cfRule type="cellIs" dxfId="2814" priority="2939" operator="equal">
      <formula>"L"</formula>
    </cfRule>
    <cfRule type="cellIs" dxfId="2813" priority="2941" operator="equal">
      <formula>"L"</formula>
    </cfRule>
    <cfRule type="cellIs" dxfId="2812" priority="2942" operator="equal">
      <formula>"P"</formula>
    </cfRule>
    <cfRule type="cellIs" dxfId="2811" priority="2943" operator="equal">
      <formula>"T"</formula>
    </cfRule>
    <cfRule type="cellIs" dxfId="2810" priority="2944" operator="equal">
      <formula>"T"</formula>
    </cfRule>
    <cfRule type="cellIs" dxfId="2809" priority="2948" operator="equal">
      <formula>"P"</formula>
    </cfRule>
    <cfRule type="cellIs" dxfId="2808" priority="2949" operator="equal">
      <formula>"P"</formula>
    </cfRule>
    <cfRule type="cellIs" dxfId="2807" priority="2950" operator="equal">
      <formula>"L"</formula>
    </cfRule>
    <cfRule type="cellIs" dxfId="2806" priority="2951" operator="equal">
      <formula>"N"</formula>
    </cfRule>
    <cfRule type="cellIs" dxfId="2805" priority="2952" operator="equal">
      <formula>"P"</formula>
    </cfRule>
    <cfRule type="cellIs" dxfId="2804" priority="2953" operator="equal">
      <formula>"L"</formula>
    </cfRule>
    <cfRule type="cellIs" dxfId="2803" priority="2954" operator="equal">
      <formula>"P"</formula>
    </cfRule>
    <cfRule type="cellIs" dxfId="2802" priority="2955" operator="equal">
      <formula>"P"</formula>
    </cfRule>
    <cfRule type="cellIs" dxfId="2801" priority="2956" operator="equal">
      <formula>"L"</formula>
    </cfRule>
    <cfRule type="cellIs" dxfId="2800" priority="2957" operator="equal">
      <formula>"L"</formula>
    </cfRule>
    <cfRule type="cellIs" dxfId="2799" priority="2958" operator="equal">
      <formula>"L"</formula>
    </cfRule>
    <cfRule type="cellIs" dxfId="2798" priority="2959" operator="equal">
      <formula>"N"</formula>
    </cfRule>
    <cfRule type="cellIs" dxfId="2797" priority="2961" operator="equal">
      <formula>"L"</formula>
    </cfRule>
    <cfRule type="cellIs" dxfId="2796" priority="2962" operator="equal">
      <formula>"N"</formula>
    </cfRule>
    <cfRule type="cellIs" dxfId="2795" priority="2963" operator="equal">
      <formula>"P"</formula>
    </cfRule>
    <cfRule type="cellIs" dxfId="2794" priority="2964" operator="equal">
      <formula>"L"</formula>
    </cfRule>
    <cfRule type="cellIs" dxfId="2793" priority="2965" operator="equal">
      <formula>"P"</formula>
    </cfRule>
    <cfRule type="cellIs" dxfId="2792" priority="2966" operator="equal">
      <formula>"L"</formula>
    </cfRule>
    <cfRule type="cellIs" dxfId="2791" priority="2967" operator="equal">
      <formula>"P"</formula>
    </cfRule>
    <cfRule type="cellIs" dxfId="2790" priority="2968" operator="equal">
      <formula>"L"</formula>
    </cfRule>
    <cfRule type="cellIs" dxfId="2789" priority="2969" operator="equal">
      <formula>"L"</formula>
    </cfRule>
    <cfRule type="cellIs" dxfId="2788" priority="2970" operator="equal">
      <formula>"P"</formula>
    </cfRule>
    <cfRule type="cellIs" dxfId="2787" priority="2972" operator="equal">
      <formula>"P"</formula>
    </cfRule>
    <cfRule type="cellIs" dxfId="2786" priority="2973" operator="equal">
      <formula>"P"</formula>
    </cfRule>
    <cfRule type="cellIs" dxfId="2785" priority="2974" operator="equal">
      <formula>"P"</formula>
    </cfRule>
    <cfRule type="cellIs" dxfId="2784" priority="2975" operator="equal">
      <formula>"N"</formula>
    </cfRule>
    <cfRule type="cellIs" dxfId="2783" priority="2978" operator="equal">
      <formula>"P"</formula>
    </cfRule>
    <cfRule type="cellIs" dxfId="2782" priority="2979" operator="equal">
      <formula>"L"</formula>
    </cfRule>
    <cfRule type="cellIs" dxfId="2781" priority="2980" operator="equal">
      <formula>"L"</formula>
    </cfRule>
    <cfRule type="cellIs" dxfId="2780" priority="2981" operator="equal">
      <formula>"L"</formula>
    </cfRule>
    <cfRule type="cellIs" dxfId="2779" priority="2982" operator="equal">
      <formula>"P"</formula>
    </cfRule>
    <cfRule type="cellIs" dxfId="2778" priority="2983" operator="equal">
      <formula>"P"</formula>
    </cfRule>
    <cfRule type="cellIs" dxfId="2777" priority="2984" operator="equal">
      <formula>"P"</formula>
    </cfRule>
    <cfRule type="cellIs" dxfId="2776" priority="2985" operator="equal">
      <formula>"T"</formula>
    </cfRule>
    <cfRule type="cellIs" dxfId="2775" priority="2986" operator="equal">
      <formula>"T"</formula>
    </cfRule>
    <cfRule type="cellIs" dxfId="2774" priority="2988" operator="equal">
      <formula>"L"</formula>
    </cfRule>
    <cfRule type="cellIs" dxfId="2773" priority="2989" operator="equal">
      <formula>"P"</formula>
    </cfRule>
    <cfRule type="cellIs" dxfId="2772" priority="2990" operator="equal">
      <formula>"P"</formula>
    </cfRule>
    <cfRule type="cellIs" dxfId="2771" priority="2991" operator="equal">
      <formula>"L"</formula>
    </cfRule>
    <cfRule type="cellIs" dxfId="2770" priority="2993" operator="equal">
      <formula>"P"</formula>
    </cfRule>
    <cfRule type="cellIs" dxfId="2769" priority="2994" operator="equal">
      <formula>"L"</formula>
    </cfRule>
    <cfRule type="cellIs" dxfId="2768" priority="2997" operator="equal">
      <formula>"L"</formula>
    </cfRule>
    <cfRule type="cellIs" dxfId="2767" priority="2999" operator="equal">
      <formula>"L"</formula>
    </cfRule>
    <cfRule type="cellIs" dxfId="2766" priority="3000" operator="equal">
      <formula>"P"</formula>
    </cfRule>
    <cfRule type="cellIs" dxfId="2765" priority="3001" operator="equal">
      <formula>"T"</formula>
    </cfRule>
    <cfRule type="cellIs" dxfId="2764" priority="3002" operator="equal">
      <formula>"T"</formula>
    </cfRule>
    <cfRule type="cellIs" dxfId="2763" priority="3003" operator="equal">
      <formula>"P"</formula>
    </cfRule>
    <cfRule type="cellIs" dxfId="2762" priority="3004" operator="equal">
      <formula>"L"</formula>
    </cfRule>
    <cfRule type="cellIs" dxfId="2761" priority="3006" operator="equal">
      <formula>"L"</formula>
    </cfRule>
    <cfRule type="cellIs" dxfId="2760" priority="3007" operator="equal">
      <formula>"P"</formula>
    </cfRule>
    <cfRule type="cellIs" dxfId="2759" priority="3008" operator="equal">
      <formula>"T"</formula>
    </cfRule>
    <cfRule type="cellIs" dxfId="2758" priority="3009" operator="equal">
      <formula>"T"</formula>
    </cfRule>
    <cfRule type="cellIs" dxfId="2757" priority="3013" operator="equal">
      <formula>"P"</formula>
    </cfRule>
    <cfRule type="cellIs" dxfId="2756" priority="3014" operator="equal">
      <formula>"P"</formula>
    </cfRule>
    <cfRule type="cellIs" dxfId="2755" priority="3015" operator="equal">
      <formula>"L"</formula>
    </cfRule>
    <cfRule type="cellIs" dxfId="2754" priority="3016" operator="equal">
      <formula>"N"</formula>
    </cfRule>
    <cfRule type="cellIs" dxfId="2753" priority="3017" operator="equal">
      <formula>"P"</formula>
    </cfRule>
    <cfRule type="cellIs" dxfId="2752" priority="3018" operator="equal">
      <formula>"L"</formula>
    </cfRule>
    <cfRule type="cellIs" dxfId="2751" priority="3019" operator="equal">
      <formula>"P"</formula>
    </cfRule>
    <cfRule type="cellIs" dxfId="2750" priority="3020" operator="equal">
      <formula>"P"</formula>
    </cfRule>
    <cfRule type="cellIs" dxfId="2749" priority="3021" operator="equal">
      <formula>"L"</formula>
    </cfRule>
    <cfRule type="cellIs" dxfId="2748" priority="3022" operator="equal">
      <formula>"L"</formula>
    </cfRule>
    <cfRule type="cellIs" dxfId="2747" priority="3023" operator="equal">
      <formula>"L"</formula>
    </cfRule>
    <cfRule type="cellIs" dxfId="2746" priority="3024" operator="equal">
      <formula>"N"</formula>
    </cfRule>
    <cfRule type="cellIs" dxfId="2745" priority="3026" operator="equal">
      <formula>"L"</formula>
    </cfRule>
    <cfRule type="cellIs" dxfId="2744" priority="3027" operator="equal">
      <formula>"N"</formula>
    </cfRule>
    <cfRule type="cellIs" dxfId="2743" priority="3028" operator="equal">
      <formula>"P"</formula>
    </cfRule>
    <cfRule type="cellIs" dxfId="2742" priority="3029" operator="equal">
      <formula>"L"</formula>
    </cfRule>
    <cfRule type="cellIs" dxfId="2741" priority="3030" operator="equal">
      <formula>"P"</formula>
    </cfRule>
    <cfRule type="cellIs" dxfId="2740" priority="3031" operator="equal">
      <formula>"L"</formula>
    </cfRule>
    <cfRule type="cellIs" dxfId="2739" priority="3032" operator="equal">
      <formula>"P"</formula>
    </cfRule>
    <cfRule type="cellIs" dxfId="2738" priority="3033" operator="equal">
      <formula>"L"</formula>
    </cfRule>
    <cfRule type="cellIs" dxfId="2737" priority="3034" operator="equal">
      <formula>"L"</formula>
    </cfRule>
    <cfRule type="cellIs" dxfId="2736" priority="3035" operator="equal">
      <formula>"P"</formula>
    </cfRule>
    <cfRule type="cellIs" dxfId="2735" priority="3037" operator="equal">
      <formula>"P"</formula>
    </cfRule>
    <cfRule type="cellIs" dxfId="2734" priority="3038" operator="equal">
      <formula>"P"</formula>
    </cfRule>
    <cfRule type="cellIs" dxfId="2733" priority="3039" operator="equal">
      <formula>"P"</formula>
    </cfRule>
    <cfRule type="cellIs" dxfId="2732" priority="3040" operator="equal">
      <formula>"N"</formula>
    </cfRule>
    <cfRule type="cellIs" dxfId="2731" priority="3043" operator="equal">
      <formula>"P"</formula>
    </cfRule>
    <cfRule type="cellIs" dxfId="2730" priority="3044" operator="equal">
      <formula>"L"</formula>
    </cfRule>
    <cfRule type="cellIs" dxfId="2729" priority="3045" operator="equal">
      <formula>"L"</formula>
    </cfRule>
    <cfRule type="cellIs" dxfId="2728" priority="3046" operator="equal">
      <formula>"L"</formula>
    </cfRule>
    <cfRule type="cellIs" dxfId="2727" priority="3047" operator="equal">
      <formula>"P"</formula>
    </cfRule>
    <cfRule type="cellIs" dxfId="2726" priority="3048" operator="equal">
      <formula>"P"</formula>
    </cfRule>
    <cfRule type="cellIs" dxfId="2725" priority="3049" operator="equal">
      <formula>"P"</formula>
    </cfRule>
    <cfRule type="cellIs" dxfId="2724" priority="3050" operator="equal">
      <formula>"T"</formula>
    </cfRule>
    <cfRule type="cellIs" dxfId="2723" priority="3051" operator="equal">
      <formula>"T"</formula>
    </cfRule>
    <cfRule type="cellIs" dxfId="2722" priority="3053" operator="equal">
      <formula>"L"</formula>
    </cfRule>
    <cfRule type="cellIs" dxfId="2721" priority="3054" operator="equal">
      <formula>"P"</formula>
    </cfRule>
    <cfRule type="cellIs" dxfId="2720" priority="3055" operator="equal">
      <formula>"P"</formula>
    </cfRule>
    <cfRule type="cellIs" dxfId="2719" priority="3056" operator="equal">
      <formula>"L"</formula>
    </cfRule>
    <cfRule type="cellIs" dxfId="2718" priority="3058" operator="equal">
      <formula>"P"</formula>
    </cfRule>
    <cfRule type="cellIs" dxfId="2717" priority="3059" operator="equal">
      <formula>"L"</formula>
    </cfRule>
    <cfRule type="cellIs" dxfId="2716" priority="3062" operator="equal">
      <formula>"L"</formula>
    </cfRule>
    <cfRule type="cellIs" dxfId="2715" priority="3064" operator="equal">
      <formula>"L"</formula>
    </cfRule>
    <cfRule type="cellIs" dxfId="2714" priority="3065" operator="equal">
      <formula>"P"</formula>
    </cfRule>
    <cfRule type="cellIs" dxfId="2713" priority="3066" operator="equal">
      <formula>"T"</formula>
    </cfRule>
    <cfRule type="cellIs" dxfId="2712" priority="3067" operator="equal">
      <formula>"T"</formula>
    </cfRule>
    <cfRule type="cellIs" dxfId="2711" priority="3068" operator="equal">
      <formula>"P"</formula>
    </cfRule>
    <cfRule type="cellIs" dxfId="2710" priority="3070" operator="equal">
      <formula>"P"</formula>
    </cfRule>
    <cfRule type="cellIs" dxfId="2709" priority="3071" operator="equal">
      <formula>"T"</formula>
    </cfRule>
    <cfRule type="cellIs" dxfId="2708" priority="3072" operator="equal">
      <formula>"T"</formula>
    </cfRule>
    <cfRule type="cellIs" dxfId="2707" priority="3073" operator="equal">
      <formula>"P"</formula>
    </cfRule>
    <cfRule type="cellIs" dxfId="2706" priority="3074" operator="equal">
      <formula>"P"</formula>
    </cfRule>
    <cfRule type="cellIs" dxfId="2705" priority="3075" operator="equal">
      <formula>"T"</formula>
    </cfRule>
    <cfRule type="cellIs" dxfId="2704" priority="3076" operator="equal">
      <formula>"T"</formula>
    </cfRule>
    <cfRule type="cellIs" dxfId="2703" priority="3077" operator="equal">
      <formula>"P"</formula>
    </cfRule>
    <cfRule type="cellIs" dxfId="2702" priority="3078" operator="equal">
      <formula>"L"</formula>
    </cfRule>
    <cfRule type="cellIs" dxfId="2701" priority="3080" operator="equal">
      <formula>"L"</formula>
    </cfRule>
    <cfRule type="cellIs" dxfId="2700" priority="3081" operator="equal">
      <formula>"P"</formula>
    </cfRule>
    <cfRule type="cellIs" dxfId="2699" priority="3082" operator="equal">
      <formula>"T"</formula>
    </cfRule>
    <cfRule type="cellIs" dxfId="2698" priority="3083" operator="equal">
      <formula>"T"</formula>
    </cfRule>
    <cfRule type="cellIs" dxfId="2697" priority="3087" operator="equal">
      <formula>"P"</formula>
    </cfRule>
    <cfRule type="cellIs" dxfId="2696" priority="3088" operator="equal">
      <formula>"P"</formula>
    </cfRule>
    <cfRule type="cellIs" dxfId="2695" priority="3089" operator="equal">
      <formula>"L"</formula>
    </cfRule>
    <cfRule type="cellIs" dxfId="2694" priority="3090" operator="equal">
      <formula>"N"</formula>
    </cfRule>
    <cfRule type="cellIs" dxfId="2693" priority="3091" operator="equal">
      <formula>"P"</formula>
    </cfRule>
    <cfRule type="cellIs" dxfId="2692" priority="3092" operator="equal">
      <formula>"L"</formula>
    </cfRule>
    <cfRule type="cellIs" dxfId="2691" priority="3093" operator="equal">
      <formula>"P"</formula>
    </cfRule>
    <cfRule type="cellIs" dxfId="2690" priority="3094" operator="equal">
      <formula>"P"</formula>
    </cfRule>
    <cfRule type="cellIs" dxfId="2689" priority="3095" operator="equal">
      <formula>"L"</formula>
    </cfRule>
    <cfRule type="cellIs" dxfId="2688" priority="3096" operator="equal">
      <formula>"L"</formula>
    </cfRule>
    <cfRule type="cellIs" dxfId="2687" priority="3097" operator="equal">
      <formula>"L"</formula>
    </cfRule>
    <cfRule type="cellIs" dxfId="2686" priority="3098" operator="equal">
      <formula>"N"</formula>
    </cfRule>
    <cfRule type="cellIs" dxfId="2685" priority="3100" operator="equal">
      <formula>"L"</formula>
    </cfRule>
    <cfRule type="cellIs" dxfId="2684" priority="3101" operator="equal">
      <formula>"N"</formula>
    </cfRule>
    <cfRule type="cellIs" dxfId="2683" priority="3102" operator="equal">
      <formula>"P"</formula>
    </cfRule>
    <cfRule type="cellIs" dxfId="2682" priority="3103" operator="equal">
      <formula>"L"</formula>
    </cfRule>
    <cfRule type="cellIs" dxfId="2681" priority="3104" operator="equal">
      <formula>"P"</formula>
    </cfRule>
    <cfRule type="cellIs" dxfId="2680" priority="3105" operator="equal">
      <formula>"L"</formula>
    </cfRule>
    <cfRule type="cellIs" dxfId="2679" priority="3106" operator="equal">
      <formula>"P"</formula>
    </cfRule>
    <cfRule type="cellIs" dxfId="2678" priority="3107" operator="equal">
      <formula>"L"</formula>
    </cfRule>
    <cfRule type="cellIs" dxfId="2677" priority="3108" operator="equal">
      <formula>"L"</formula>
    </cfRule>
    <cfRule type="cellIs" dxfId="2676" priority="3109" operator="equal">
      <formula>"P"</formula>
    </cfRule>
    <cfRule type="cellIs" dxfId="2675" priority="3111" operator="equal">
      <formula>"P"</formula>
    </cfRule>
    <cfRule type="cellIs" dxfId="2674" priority="3112" operator="equal">
      <formula>"P"</formula>
    </cfRule>
    <cfRule type="cellIs" dxfId="2673" priority="3113" operator="equal">
      <formula>"P"</formula>
    </cfRule>
    <cfRule type="cellIs" dxfId="2672" priority="3114" operator="equal">
      <formula>"N"</formula>
    </cfRule>
    <cfRule type="cellIs" dxfId="2671" priority="3117" operator="equal">
      <formula>"P"</formula>
    </cfRule>
    <cfRule type="cellIs" dxfId="2670" priority="3118" operator="equal">
      <formula>"L"</formula>
    </cfRule>
    <cfRule type="cellIs" dxfId="2669" priority="3875" operator="equal">
      <formula>"N"</formula>
    </cfRule>
    <cfRule type="cellIs" dxfId="2668" priority="3120" operator="equal">
      <formula>"L"</formula>
    </cfRule>
    <cfRule type="cellIs" dxfId="2667" priority="3121" operator="equal">
      <formula>"P"</formula>
    </cfRule>
    <cfRule type="cellIs" dxfId="2666" priority="3122" operator="equal">
      <formula>"P"</formula>
    </cfRule>
    <cfRule type="cellIs" dxfId="2665" priority="3123" operator="equal">
      <formula>"P"</formula>
    </cfRule>
    <cfRule type="cellIs" dxfId="2664" priority="3124" operator="equal">
      <formula>"T"</formula>
    </cfRule>
    <cfRule type="cellIs" dxfId="2663" priority="3125" operator="equal">
      <formula>"T"</formula>
    </cfRule>
    <cfRule type="cellIs" dxfId="2662" priority="3127" operator="equal">
      <formula>"L"</formula>
    </cfRule>
    <cfRule type="cellIs" dxfId="2661" priority="3128" operator="equal">
      <formula>"P"</formula>
    </cfRule>
    <cfRule type="cellIs" dxfId="2660" priority="3129" operator="equal">
      <formula>"P"</formula>
    </cfRule>
    <cfRule type="cellIs" dxfId="2659" priority="3130" operator="equal">
      <formula>"L"</formula>
    </cfRule>
    <cfRule type="cellIs" dxfId="2658" priority="3132" operator="equal">
      <formula>"P"</formula>
    </cfRule>
    <cfRule type="cellIs" dxfId="2657" priority="3133" operator="equal">
      <formula>"L"</formula>
    </cfRule>
    <cfRule type="cellIs" dxfId="2656" priority="3136" operator="equal">
      <formula>"L"</formula>
    </cfRule>
    <cfRule type="cellIs" dxfId="2655" priority="3138" operator="equal">
      <formula>"L"</formula>
    </cfRule>
    <cfRule type="cellIs" dxfId="2654" priority="3139" operator="equal">
      <formula>"P"</formula>
    </cfRule>
    <cfRule type="cellIs" dxfId="2653" priority="3140" operator="equal">
      <formula>"T"</formula>
    </cfRule>
    <cfRule type="cellIs" dxfId="2652" priority="3141" operator="equal">
      <formula>"T"</formula>
    </cfRule>
    <cfRule type="cellIs" dxfId="2651" priority="3142" operator="equal">
      <formula>"P"</formula>
    </cfRule>
    <cfRule type="cellIs" dxfId="2650" priority="3144" operator="equal">
      <formula>"P"</formula>
    </cfRule>
    <cfRule type="cellIs" dxfId="2649" priority="3145" operator="equal">
      <formula>"T"</formula>
    </cfRule>
    <cfRule type="cellIs" dxfId="2648" priority="3146" operator="equal">
      <formula>"T"</formula>
    </cfRule>
    <cfRule type="cellIs" dxfId="2647" priority="3147" operator="equal">
      <formula>"P"</formula>
    </cfRule>
    <cfRule type="cellIs" dxfId="2646" priority="3148" operator="equal">
      <formula>"P"</formula>
    </cfRule>
    <cfRule type="cellIs" dxfId="2645" priority="3149" operator="equal">
      <formula>"T"</formula>
    </cfRule>
    <cfRule type="cellIs" dxfId="2644" priority="3150" operator="equal">
      <formula>"T"</formula>
    </cfRule>
    <cfRule type="cellIs" dxfId="2643" priority="3152" operator="equal">
      <formula>"T"</formula>
    </cfRule>
    <cfRule type="cellIs" dxfId="2642" priority="3153" operator="equal">
      <formula>"T"</formula>
    </cfRule>
    <cfRule type="cellIs" dxfId="2641" priority="3154" operator="equal">
      <formula>"P"</formula>
    </cfRule>
    <cfRule type="cellIs" dxfId="2640" priority="3155" operator="equal">
      <formula>"L"</formula>
    </cfRule>
    <cfRule type="cellIs" dxfId="2639" priority="3157" operator="equal">
      <formula>"L"</formula>
    </cfRule>
    <cfRule type="cellIs" dxfId="2638" priority="3158" operator="equal">
      <formula>"P"</formula>
    </cfRule>
    <cfRule type="cellIs" dxfId="2637" priority="3159" operator="equal">
      <formula>"T"</formula>
    </cfRule>
    <cfRule type="cellIs" dxfId="2636" priority="3160" operator="equal">
      <formula>"T"</formula>
    </cfRule>
    <cfRule type="cellIs" dxfId="2635" priority="3164" operator="equal">
      <formula>"P"</formula>
    </cfRule>
    <cfRule type="cellIs" dxfId="2634" priority="3165" operator="equal">
      <formula>"P"</formula>
    </cfRule>
    <cfRule type="cellIs" dxfId="2633" priority="3166" operator="equal">
      <formula>"L"</formula>
    </cfRule>
    <cfRule type="cellIs" dxfId="2632" priority="3167" operator="equal">
      <formula>"N"</formula>
    </cfRule>
    <cfRule type="cellIs" dxfId="2631" priority="3168" operator="equal">
      <formula>"P"</formula>
    </cfRule>
    <cfRule type="cellIs" dxfId="2630" priority="3169" operator="equal">
      <formula>"L"</formula>
    </cfRule>
    <cfRule type="cellIs" dxfId="2629" priority="3170" operator="equal">
      <formula>"P"</formula>
    </cfRule>
    <cfRule type="cellIs" dxfId="2628" priority="3171" operator="equal">
      <formula>"P"</formula>
    </cfRule>
    <cfRule type="cellIs" dxfId="2627" priority="3172" operator="equal">
      <formula>"L"</formula>
    </cfRule>
    <cfRule type="cellIs" dxfId="2626" priority="3173" operator="equal">
      <formula>"L"</formula>
    </cfRule>
    <cfRule type="cellIs" dxfId="2625" priority="3174" operator="equal">
      <formula>"L"</formula>
    </cfRule>
    <cfRule type="cellIs" dxfId="2624" priority="3175" operator="equal">
      <formula>"N"</formula>
    </cfRule>
    <cfRule type="cellIs" dxfId="2623" priority="3177" operator="equal">
      <formula>"L"</formula>
    </cfRule>
    <cfRule type="cellIs" dxfId="2622" priority="3178" operator="equal">
      <formula>"N"</formula>
    </cfRule>
    <cfRule type="cellIs" dxfId="2621" priority="3179" operator="equal">
      <formula>"P"</formula>
    </cfRule>
    <cfRule type="cellIs" dxfId="2620" priority="3180" operator="equal">
      <formula>"L"</formula>
    </cfRule>
    <cfRule type="cellIs" dxfId="2619" priority="3181" operator="equal">
      <formula>"P"</formula>
    </cfRule>
    <cfRule type="cellIs" dxfId="2618" priority="3182" operator="equal">
      <formula>"L"</formula>
    </cfRule>
    <cfRule type="cellIs" dxfId="2617" priority="3183" operator="equal">
      <formula>"P"</formula>
    </cfRule>
    <cfRule type="cellIs" dxfId="2616" priority="3184" operator="equal">
      <formula>"L"</formula>
    </cfRule>
    <cfRule type="cellIs" dxfId="2615" priority="3185" operator="equal">
      <formula>"L"</formula>
    </cfRule>
    <cfRule type="cellIs" dxfId="2614" priority="3186" operator="equal">
      <formula>"P"</formula>
    </cfRule>
    <cfRule type="cellIs" dxfId="2613" priority="3188" operator="equal">
      <formula>"P"</formula>
    </cfRule>
    <cfRule type="cellIs" dxfId="2612" priority="3189" operator="equal">
      <formula>"P"</formula>
    </cfRule>
    <cfRule type="cellIs" dxfId="2611" priority="3190" operator="equal">
      <formula>"P"</formula>
    </cfRule>
    <cfRule type="cellIs" dxfId="2610" priority="3191" operator="equal">
      <formula>"N"</formula>
    </cfRule>
    <cfRule type="cellIs" dxfId="2609" priority="3194" operator="equal">
      <formula>"P"</formula>
    </cfRule>
    <cfRule type="cellIs" dxfId="2608" priority="3195" operator="equal">
      <formula>"L"</formula>
    </cfRule>
    <cfRule type="cellIs" dxfId="2607" priority="3196" operator="equal">
      <formula>"L"</formula>
    </cfRule>
    <cfRule type="cellIs" dxfId="2606" priority="3197" operator="equal">
      <formula>"L"</formula>
    </cfRule>
    <cfRule type="cellIs" dxfId="2605" priority="3198" operator="equal">
      <formula>"P"</formula>
    </cfRule>
    <cfRule type="cellIs" dxfId="2604" priority="3199" operator="equal">
      <formula>"P"</formula>
    </cfRule>
    <cfRule type="cellIs" dxfId="2603" priority="3200" operator="equal">
      <formula>"P"</formula>
    </cfRule>
    <cfRule type="cellIs" dxfId="2602" priority="3201" operator="equal">
      <formula>"T"</formula>
    </cfRule>
    <cfRule type="cellIs" dxfId="2601" priority="3202" operator="equal">
      <formula>"T"</formula>
    </cfRule>
    <cfRule type="cellIs" dxfId="2600" priority="3204" operator="equal">
      <formula>"L"</formula>
    </cfRule>
    <cfRule type="cellIs" dxfId="2599" priority="3205" operator="equal">
      <formula>"P"</formula>
    </cfRule>
    <cfRule type="cellIs" dxfId="2598" priority="3206" operator="equal">
      <formula>"P"</formula>
    </cfRule>
    <cfRule type="cellIs" dxfId="2597" priority="3207" operator="equal">
      <formula>"L"</formula>
    </cfRule>
    <cfRule type="cellIs" dxfId="2596" priority="3209" operator="equal">
      <formula>"P"</formula>
    </cfRule>
    <cfRule type="cellIs" dxfId="2595" priority="3210" operator="equal">
      <formula>"L"</formula>
    </cfRule>
    <cfRule type="cellIs" dxfId="2594" priority="3213" operator="equal">
      <formula>"L"</formula>
    </cfRule>
    <cfRule type="cellIs" dxfId="2593" priority="3215" operator="equal">
      <formula>"L"</formula>
    </cfRule>
    <cfRule type="cellIs" dxfId="2592" priority="3216" operator="equal">
      <formula>"P"</formula>
    </cfRule>
    <cfRule type="cellIs" dxfId="2591" priority="3217" operator="equal">
      <formula>"T"</formula>
    </cfRule>
    <cfRule type="cellIs" dxfId="2590" priority="3218" operator="equal">
      <formula>"T"</formula>
    </cfRule>
    <cfRule type="cellIs" dxfId="2589" priority="3219" operator="equal">
      <formula>"P"</formula>
    </cfRule>
    <cfRule type="cellIs" dxfId="2588" priority="3221" operator="equal">
      <formula>"P"</formula>
    </cfRule>
    <cfRule type="cellIs" dxfId="2587" priority="3222" operator="equal">
      <formula>"T"</formula>
    </cfRule>
    <cfRule type="cellIs" dxfId="2586" priority="3223" operator="equal">
      <formula>"T"</formula>
    </cfRule>
    <cfRule type="cellIs" dxfId="2585" priority="3224" operator="equal">
      <formula>"P"</formula>
    </cfRule>
    <cfRule type="cellIs" dxfId="2584" priority="3225" operator="equal">
      <formula>"P"</formula>
    </cfRule>
    <cfRule type="cellIs" dxfId="2583" priority="3226" operator="equal">
      <formula>"T"</formula>
    </cfRule>
    <cfRule type="cellIs" dxfId="2582" priority="3227" operator="equal">
      <formula>"T"</formula>
    </cfRule>
    <cfRule type="cellIs" dxfId="2581" priority="3228" operator="equal">
      <formula>"P"</formula>
    </cfRule>
    <cfRule type="cellIs" dxfId="2580" priority="3229" operator="equal">
      <formula>"P"</formula>
    </cfRule>
    <cfRule type="cellIs" dxfId="2579" priority="3230" operator="equal">
      <formula>"T"</formula>
    </cfRule>
    <cfRule type="cellIs" dxfId="2578" priority="3231" operator="equal">
      <formula>"T"</formula>
    </cfRule>
    <cfRule type="cellIs" dxfId="2577" priority="3232" operator="equal">
      <formula>"P"</formula>
    </cfRule>
    <cfRule type="cellIs" dxfId="2576" priority="3234" operator="equal">
      <formula>"P"</formula>
    </cfRule>
    <cfRule type="cellIs" dxfId="2575" priority="3235" operator="equal">
      <formula>"P"</formula>
    </cfRule>
    <cfRule type="cellIs" dxfId="2574" priority="3236" operator="equal">
      <formula>"T"</formula>
    </cfRule>
    <cfRule type="cellIs" dxfId="2573" priority="3237" operator="equal">
      <formula>"T"</formula>
    </cfRule>
    <cfRule type="cellIs" dxfId="2572" priority="3238" operator="equal">
      <formula>"P"</formula>
    </cfRule>
    <cfRule type="cellIs" dxfId="2571" priority="3239" operator="equal">
      <formula>"L"</formula>
    </cfRule>
    <cfRule type="cellIs" dxfId="2570" priority="3241" operator="equal">
      <formula>"L"</formula>
    </cfRule>
    <cfRule type="cellIs" dxfId="2569" priority="3242" operator="equal">
      <formula>"P"</formula>
    </cfRule>
    <cfRule type="cellIs" dxfId="2568" priority="3243" operator="equal">
      <formula>"T"</formula>
    </cfRule>
    <cfRule type="cellIs" dxfId="2567" priority="3244" operator="equal">
      <formula>"T"</formula>
    </cfRule>
    <cfRule type="cellIs" dxfId="2566" priority="3248" operator="equal">
      <formula>"P"</formula>
    </cfRule>
    <cfRule type="cellIs" dxfId="2565" priority="3249" operator="equal">
      <formula>"P"</formula>
    </cfRule>
    <cfRule type="cellIs" dxfId="2564" priority="3250" operator="equal">
      <formula>"L"</formula>
    </cfRule>
    <cfRule type="cellIs" dxfId="2563" priority="3251" operator="equal">
      <formula>"N"</formula>
    </cfRule>
    <cfRule type="cellIs" dxfId="2562" priority="3252" operator="equal">
      <formula>"P"</formula>
    </cfRule>
    <cfRule type="cellIs" dxfId="2561" priority="3253" operator="equal">
      <formula>"L"</formula>
    </cfRule>
    <cfRule type="cellIs" dxfId="2560" priority="3254" operator="equal">
      <formula>"P"</formula>
    </cfRule>
    <cfRule type="cellIs" dxfId="2559" priority="3255" operator="equal">
      <formula>"P"</formula>
    </cfRule>
    <cfRule type="cellIs" dxfId="2558" priority="3256" operator="equal">
      <formula>"L"</formula>
    </cfRule>
    <cfRule type="cellIs" dxfId="2557" priority="3257" operator="equal">
      <formula>"L"</formula>
    </cfRule>
    <cfRule type="cellIs" dxfId="2556" priority="3258" operator="equal">
      <formula>"L"</formula>
    </cfRule>
    <cfRule type="cellIs" dxfId="2555" priority="3259" operator="equal">
      <formula>"N"</formula>
    </cfRule>
    <cfRule type="cellIs" dxfId="2554" priority="3261" operator="equal">
      <formula>"L"</formula>
    </cfRule>
    <cfRule type="cellIs" dxfId="2553" priority="3262" operator="equal">
      <formula>"N"</formula>
    </cfRule>
    <cfRule type="cellIs" dxfId="2552" priority="3263" operator="equal">
      <formula>"P"</formula>
    </cfRule>
    <cfRule type="cellIs" dxfId="2551" priority="3264" operator="equal">
      <formula>"L"</formula>
    </cfRule>
    <cfRule type="cellIs" dxfId="2550" priority="3265" operator="equal">
      <formula>"P"</formula>
    </cfRule>
    <cfRule type="cellIs" dxfId="2549" priority="3266" operator="equal">
      <formula>"L"</formula>
    </cfRule>
    <cfRule type="cellIs" dxfId="2548" priority="3267" operator="equal">
      <formula>"P"</formula>
    </cfRule>
    <cfRule type="cellIs" dxfId="2547" priority="3268" operator="equal">
      <formula>"L"</formula>
    </cfRule>
    <cfRule type="cellIs" dxfId="2546" priority="3269" operator="equal">
      <formula>"L"</formula>
    </cfRule>
    <cfRule type="cellIs" dxfId="2545" priority="3270" operator="equal">
      <formula>"P"</formula>
    </cfRule>
    <cfRule type="cellIs" dxfId="2544" priority="3272" operator="equal">
      <formula>"P"</formula>
    </cfRule>
    <cfRule type="cellIs" dxfId="2543" priority="3273" operator="equal">
      <formula>"P"</formula>
    </cfRule>
    <cfRule type="cellIs" dxfId="2542" priority="3274" operator="equal">
      <formula>"P"</formula>
    </cfRule>
    <cfRule type="cellIs" dxfId="2541" priority="3275" operator="equal">
      <formula>"N"</formula>
    </cfRule>
    <cfRule type="cellIs" dxfId="2540" priority="3278" operator="equal">
      <formula>"P"</formula>
    </cfRule>
    <cfRule type="cellIs" dxfId="2539" priority="3279" operator="equal">
      <formula>"L"</formula>
    </cfRule>
    <cfRule type="cellIs" dxfId="2538" priority="3280" operator="equal">
      <formula>"L"</formula>
    </cfRule>
    <cfRule type="cellIs" dxfId="2537" priority="3281" operator="equal">
      <formula>"L"</formula>
    </cfRule>
    <cfRule type="cellIs" dxfId="2536" priority="3282" operator="equal">
      <formula>"P"</formula>
    </cfRule>
    <cfRule type="cellIs" dxfId="2535" priority="3283" operator="equal">
      <formula>"P"</formula>
    </cfRule>
    <cfRule type="cellIs" dxfId="2534" priority="3284" operator="equal">
      <formula>"P"</formula>
    </cfRule>
    <cfRule type="cellIs" dxfId="2533" priority="3285" operator="equal">
      <formula>"T"</formula>
    </cfRule>
    <cfRule type="cellIs" dxfId="2532" priority="3286" operator="equal">
      <formula>"T"</formula>
    </cfRule>
    <cfRule type="cellIs" dxfId="2531" priority="3288" operator="equal">
      <formula>"L"</formula>
    </cfRule>
    <cfRule type="cellIs" dxfId="2530" priority="3289" operator="equal">
      <formula>"P"</formula>
    </cfRule>
    <cfRule type="cellIs" dxfId="2529" priority="3290" operator="equal">
      <formula>"P"</formula>
    </cfRule>
    <cfRule type="cellIs" dxfId="2528" priority="3291" operator="equal">
      <formula>"L"</formula>
    </cfRule>
    <cfRule type="cellIs" dxfId="2527" priority="3293" operator="equal">
      <formula>"P"</formula>
    </cfRule>
    <cfRule type="cellIs" dxfId="2526" priority="3294" operator="equal">
      <formula>"L"</formula>
    </cfRule>
    <cfRule type="cellIs" dxfId="2525" priority="3297" operator="equal">
      <formula>"P"</formula>
    </cfRule>
    <cfRule type="cellIs" dxfId="2524" priority="3298" operator="equal">
      <formula>"T"</formula>
    </cfRule>
    <cfRule type="cellIs" dxfId="2523" priority="3299" operator="equal">
      <formula>"T"</formula>
    </cfRule>
    <cfRule type="cellIs" dxfId="2522" priority="3300" operator="equal">
      <formula>"P"</formula>
    </cfRule>
    <cfRule type="cellIs" dxfId="2521" priority="3301" operator="equal">
      <formula>"L"</formula>
    </cfRule>
    <cfRule type="cellIs" dxfId="2520" priority="3303" operator="equal">
      <formula>"L"</formula>
    </cfRule>
    <cfRule type="cellIs" dxfId="2519" priority="3304" operator="equal">
      <formula>"P"</formula>
    </cfRule>
    <cfRule type="cellIs" dxfId="2518" priority="3305" operator="equal">
      <formula>"T"</formula>
    </cfRule>
    <cfRule type="cellIs" dxfId="2517" priority="3306" operator="equal">
      <formula>"T"</formula>
    </cfRule>
    <cfRule type="cellIs" dxfId="2516" priority="3310" operator="equal">
      <formula>"P"</formula>
    </cfRule>
    <cfRule type="cellIs" dxfId="2515" priority="3311" operator="equal">
      <formula>"P"</formula>
    </cfRule>
    <cfRule type="cellIs" dxfId="2514" priority="3312" operator="equal">
      <formula>"L"</formula>
    </cfRule>
    <cfRule type="cellIs" dxfId="2513" priority="3313" operator="equal">
      <formula>"N"</formula>
    </cfRule>
    <cfRule type="cellIs" dxfId="2512" priority="3314" operator="equal">
      <formula>"P"</formula>
    </cfRule>
    <cfRule type="cellIs" dxfId="2511" priority="3315" operator="equal">
      <formula>"L"</formula>
    </cfRule>
    <cfRule type="cellIs" dxfId="2510" priority="3316" operator="equal">
      <formula>"P"</formula>
    </cfRule>
    <cfRule type="cellIs" dxfId="2509" priority="3317" operator="equal">
      <formula>"P"</formula>
    </cfRule>
    <cfRule type="cellIs" dxfId="2508" priority="3318" operator="equal">
      <formula>"L"</formula>
    </cfRule>
    <cfRule type="cellIs" dxfId="2507" priority="3319" operator="equal">
      <formula>"L"</formula>
    </cfRule>
    <cfRule type="cellIs" dxfId="2506" priority="3320" operator="equal">
      <formula>"L"</formula>
    </cfRule>
    <cfRule type="cellIs" dxfId="2505" priority="3321" operator="equal">
      <formula>"N"</formula>
    </cfRule>
    <cfRule type="cellIs" dxfId="2504" priority="3323" operator="equal">
      <formula>"L"</formula>
    </cfRule>
    <cfRule type="cellIs" dxfId="2503" priority="3324" operator="equal">
      <formula>"N"</formula>
    </cfRule>
    <cfRule type="cellIs" dxfId="2502" priority="3325" operator="equal">
      <formula>"P"</formula>
    </cfRule>
    <cfRule type="cellIs" dxfId="2501" priority="3326" operator="equal">
      <formula>"L"</formula>
    </cfRule>
    <cfRule type="cellIs" dxfId="2500" priority="3327" operator="equal">
      <formula>"P"</formula>
    </cfRule>
    <cfRule type="cellIs" dxfId="2499" priority="3328" operator="equal">
      <formula>"L"</formula>
    </cfRule>
    <cfRule type="cellIs" dxfId="2498" priority="3329" operator="equal">
      <formula>"P"</formula>
    </cfRule>
    <cfRule type="cellIs" dxfId="2497" priority="3330" operator="equal">
      <formula>"L"</formula>
    </cfRule>
    <cfRule type="cellIs" dxfId="2496" priority="3331" operator="equal">
      <formula>"L"</formula>
    </cfRule>
    <cfRule type="cellIs" dxfId="2495" priority="3332" operator="equal">
      <formula>"P"</formula>
    </cfRule>
    <cfRule type="cellIs" dxfId="2494" priority="3334" operator="equal">
      <formula>"P"</formula>
    </cfRule>
    <cfRule type="cellIs" dxfId="2493" priority="3335" operator="equal">
      <formula>"P"</formula>
    </cfRule>
    <cfRule type="cellIs" dxfId="2492" priority="3336" operator="equal">
      <formula>"P"</formula>
    </cfRule>
    <cfRule type="cellIs" dxfId="2491" priority="3337" operator="equal">
      <formula>"N"</formula>
    </cfRule>
    <cfRule type="cellIs" dxfId="2490" priority="3340" operator="equal">
      <formula>"P"</formula>
    </cfRule>
    <cfRule type="cellIs" dxfId="2489" priority="3341" operator="equal">
      <formula>"L"</formula>
    </cfRule>
    <cfRule type="cellIs" dxfId="2488" priority="3342" operator="equal">
      <formula>"L"</formula>
    </cfRule>
    <cfRule type="cellIs" dxfId="2487" priority="3343" operator="equal">
      <formula>"L"</formula>
    </cfRule>
    <cfRule type="cellIs" dxfId="2486" priority="3344" operator="equal">
      <formula>"P"</formula>
    </cfRule>
    <cfRule type="cellIs" dxfId="2485" priority="3345" operator="equal">
      <formula>"P"</formula>
    </cfRule>
    <cfRule type="cellIs" dxfId="2484" priority="3346" operator="equal">
      <formula>"P"</formula>
    </cfRule>
    <cfRule type="cellIs" dxfId="2483" priority="3347" operator="equal">
      <formula>"T"</formula>
    </cfRule>
    <cfRule type="cellIs" dxfId="2482" priority="3348" operator="equal">
      <formula>"T"</formula>
    </cfRule>
    <cfRule type="cellIs" dxfId="2481" priority="3350" operator="equal">
      <formula>"L"</formula>
    </cfRule>
    <cfRule type="cellIs" dxfId="2480" priority="3351" operator="equal">
      <formula>"P"</formula>
    </cfRule>
    <cfRule type="cellIs" dxfId="2479" priority="3352" operator="equal">
      <formula>"P"</formula>
    </cfRule>
    <cfRule type="cellIs" dxfId="2478" priority="3353" operator="equal">
      <formula>"L"</formula>
    </cfRule>
    <cfRule type="cellIs" dxfId="2477" priority="3355" operator="equal">
      <formula>"P"</formula>
    </cfRule>
    <cfRule type="cellIs" dxfId="2476" priority="3356" operator="equal">
      <formula>"L"</formula>
    </cfRule>
    <cfRule type="cellIs" dxfId="2475" priority="3359" operator="equal">
      <formula>"P"</formula>
    </cfRule>
    <cfRule type="cellIs" dxfId="2474" priority="3360" operator="equal">
      <formula>"T"</formula>
    </cfRule>
    <cfRule type="cellIs" dxfId="2473" priority="3361" operator="equal">
      <formula>"T"</formula>
    </cfRule>
    <cfRule type="cellIs" dxfId="2472" priority="3362" operator="equal">
      <formula>"P"</formula>
    </cfRule>
    <cfRule type="cellIs" dxfId="2471" priority="3363" operator="equal">
      <formula>"L"</formula>
    </cfRule>
    <cfRule type="cellIs" dxfId="2470" priority="3365" operator="equal">
      <formula>"L"</formula>
    </cfRule>
    <cfRule type="cellIs" dxfId="2469" priority="3366" operator="equal">
      <formula>"P"</formula>
    </cfRule>
    <cfRule type="cellIs" dxfId="2468" priority="3367" operator="equal">
      <formula>"T"</formula>
    </cfRule>
    <cfRule type="cellIs" dxfId="2467" priority="3368" operator="equal">
      <formula>"T"</formula>
    </cfRule>
    <cfRule type="cellIs" dxfId="2466" priority="3372" operator="equal">
      <formula>"P"</formula>
    </cfRule>
    <cfRule type="cellIs" dxfId="2465" priority="3373" operator="equal">
      <formula>"P"</formula>
    </cfRule>
    <cfRule type="cellIs" dxfId="2464" priority="3374" operator="equal">
      <formula>"L"</formula>
    </cfRule>
    <cfRule type="cellIs" dxfId="2463" priority="3375" operator="equal">
      <formula>"N"</formula>
    </cfRule>
    <cfRule type="cellIs" dxfId="2462" priority="3376" operator="equal">
      <formula>"P"</formula>
    </cfRule>
    <cfRule type="cellIs" dxfId="2461" priority="3377" operator="equal">
      <formula>"L"</formula>
    </cfRule>
    <cfRule type="cellIs" dxfId="2460" priority="3378" operator="equal">
      <formula>"P"</formula>
    </cfRule>
    <cfRule type="cellIs" dxfId="2459" priority="3379" operator="equal">
      <formula>"P"</formula>
    </cfRule>
    <cfRule type="cellIs" dxfId="2458" priority="3380" operator="equal">
      <formula>"L"</formula>
    </cfRule>
    <cfRule type="cellIs" dxfId="2457" priority="3381" operator="equal">
      <formula>"L"</formula>
    </cfRule>
    <cfRule type="cellIs" dxfId="2456" priority="3382" operator="equal">
      <formula>"L"</formula>
    </cfRule>
    <cfRule type="cellIs" dxfId="2455" priority="3383" operator="equal">
      <formula>"N"</formula>
    </cfRule>
    <cfRule type="cellIs" dxfId="2454" priority="3385" operator="equal">
      <formula>"L"</formula>
    </cfRule>
    <cfRule type="cellIs" dxfId="2453" priority="3386" operator="equal">
      <formula>"N"</formula>
    </cfRule>
    <cfRule type="cellIs" dxfId="2452" priority="3387" operator="equal">
      <formula>"P"</formula>
    </cfRule>
    <cfRule type="cellIs" dxfId="2451" priority="3388" operator="equal">
      <formula>"L"</formula>
    </cfRule>
    <cfRule type="cellIs" dxfId="2450" priority="3389" operator="equal">
      <formula>"P"</formula>
    </cfRule>
    <cfRule type="cellIs" dxfId="2449" priority="3390" operator="equal">
      <formula>"L"</formula>
    </cfRule>
    <cfRule type="cellIs" dxfId="2448" priority="3391" operator="equal">
      <formula>"P"</formula>
    </cfRule>
    <cfRule type="cellIs" dxfId="2447" priority="3392" operator="equal">
      <formula>"L"</formula>
    </cfRule>
    <cfRule type="cellIs" dxfId="2446" priority="3393" operator="equal">
      <formula>"L"</formula>
    </cfRule>
    <cfRule type="cellIs" dxfId="2445" priority="3394" operator="equal">
      <formula>"P"</formula>
    </cfRule>
    <cfRule type="cellIs" dxfId="2444" priority="3396" operator="equal">
      <formula>"P"</formula>
    </cfRule>
    <cfRule type="cellIs" dxfId="2443" priority="3397" operator="equal">
      <formula>"P"</formula>
    </cfRule>
    <cfRule type="cellIs" dxfId="2442" priority="3398" operator="equal">
      <formula>"P"</formula>
    </cfRule>
    <cfRule type="cellIs" dxfId="2441" priority="3399" operator="equal">
      <formula>"N"</formula>
    </cfRule>
    <cfRule type="cellIs" dxfId="2440" priority="3402" operator="equal">
      <formula>"P"</formula>
    </cfRule>
    <cfRule type="cellIs" dxfId="2439" priority="3403" operator="equal">
      <formula>"L"</formula>
    </cfRule>
    <cfRule type="cellIs" dxfId="2438" priority="3404" operator="equal">
      <formula>"L"</formula>
    </cfRule>
    <cfRule type="cellIs" dxfId="2437" priority="3405" operator="equal">
      <formula>"L"</formula>
    </cfRule>
    <cfRule type="cellIs" dxfId="2436" priority="3406" operator="equal">
      <formula>"P"</formula>
    </cfRule>
    <cfRule type="cellIs" dxfId="2435" priority="3407" operator="equal">
      <formula>"P"</formula>
    </cfRule>
    <cfRule type="cellIs" dxfId="2434" priority="3408" operator="equal">
      <formula>"P"</formula>
    </cfRule>
    <cfRule type="cellIs" dxfId="2433" priority="3409" operator="equal">
      <formula>"T"</formula>
    </cfRule>
    <cfRule type="cellIs" dxfId="2432" priority="3410" operator="equal">
      <formula>"T"</formula>
    </cfRule>
    <cfRule type="cellIs" dxfId="2431" priority="3412" operator="equal">
      <formula>"L"</formula>
    </cfRule>
    <cfRule type="cellIs" dxfId="2430" priority="3413" operator="equal">
      <formula>"P"</formula>
    </cfRule>
    <cfRule type="cellIs" dxfId="2429" priority="3414" operator="equal">
      <formula>"P"</formula>
    </cfRule>
    <cfRule type="cellIs" dxfId="2428" priority="3415" operator="equal">
      <formula>"L"</formula>
    </cfRule>
    <cfRule type="cellIs" dxfId="2427" priority="3417" operator="equal">
      <formula>"P"</formula>
    </cfRule>
    <cfRule type="cellIs" dxfId="2426" priority="3418" operator="equal">
      <formula>"L"</formula>
    </cfRule>
    <cfRule type="cellIs" dxfId="2425" priority="3421" operator="equal">
      <formula>"P"</formula>
    </cfRule>
    <cfRule type="cellIs" dxfId="2424" priority="3422" operator="equal">
      <formula>"T"</formula>
    </cfRule>
    <cfRule type="cellIs" dxfId="2423" priority="3423" operator="equal">
      <formula>"T"</formula>
    </cfRule>
    <cfRule type="cellIs" dxfId="2422" priority="3424" operator="equal">
      <formula>"P"</formula>
    </cfRule>
    <cfRule type="cellIs" dxfId="2421" priority="3425" operator="equal">
      <formula>"L"</formula>
    </cfRule>
    <cfRule type="cellIs" dxfId="2420" priority="3427" operator="equal">
      <formula>"L"</formula>
    </cfRule>
    <cfRule type="cellIs" dxfId="2419" priority="3428" operator="equal">
      <formula>"P"</formula>
    </cfRule>
    <cfRule type="cellIs" dxfId="2418" priority="3429" operator="equal">
      <formula>"T"</formula>
    </cfRule>
    <cfRule type="cellIs" dxfId="2417" priority="3430" operator="equal">
      <formula>"T"</formula>
    </cfRule>
    <cfRule type="cellIs" dxfId="2416" priority="3434" operator="equal">
      <formula>"P"</formula>
    </cfRule>
    <cfRule type="cellIs" dxfId="2415" priority="3435" operator="equal">
      <formula>"P"</formula>
    </cfRule>
    <cfRule type="cellIs" dxfId="2414" priority="3436" operator="equal">
      <formula>"L"</formula>
    </cfRule>
    <cfRule type="cellIs" dxfId="2413" priority="3437" operator="equal">
      <formula>"N"</formula>
    </cfRule>
    <cfRule type="cellIs" dxfId="2412" priority="3438" operator="equal">
      <formula>"P"</formula>
    </cfRule>
    <cfRule type="cellIs" dxfId="2411" priority="3439" operator="equal">
      <formula>"L"</formula>
    </cfRule>
    <cfRule type="cellIs" dxfId="2410" priority="3440" operator="equal">
      <formula>"P"</formula>
    </cfRule>
    <cfRule type="cellIs" dxfId="2409" priority="3441" operator="equal">
      <formula>"P"</formula>
    </cfRule>
    <cfRule type="cellIs" dxfId="2408" priority="3442" operator="equal">
      <formula>"L"</formula>
    </cfRule>
    <cfRule type="cellIs" dxfId="2407" priority="3443" operator="equal">
      <formula>"L"</formula>
    </cfRule>
    <cfRule type="cellIs" dxfId="2406" priority="3444" operator="equal">
      <formula>"L"</formula>
    </cfRule>
    <cfRule type="cellIs" dxfId="2405" priority="3445" operator="equal">
      <formula>"N"</formula>
    </cfRule>
    <cfRule type="cellIs" dxfId="2404" priority="3447" operator="equal">
      <formula>"L"</formula>
    </cfRule>
    <cfRule type="cellIs" dxfId="2403" priority="3448" operator="equal">
      <formula>"N"</formula>
    </cfRule>
    <cfRule type="cellIs" dxfId="2402" priority="3449" operator="equal">
      <formula>"P"</formula>
    </cfRule>
    <cfRule type="cellIs" dxfId="2401" priority="3450" operator="equal">
      <formula>"L"</formula>
    </cfRule>
    <cfRule type="cellIs" dxfId="2400" priority="3451" operator="equal">
      <formula>"P"</formula>
    </cfRule>
    <cfRule type="cellIs" dxfId="2399" priority="3452" operator="equal">
      <formula>"L"</formula>
    </cfRule>
    <cfRule type="cellIs" dxfId="2398" priority="3453" operator="equal">
      <formula>"P"</formula>
    </cfRule>
    <cfRule type="cellIs" dxfId="2397" priority="3454" operator="equal">
      <formula>"L"</formula>
    </cfRule>
    <cfRule type="cellIs" dxfId="2396" priority="3455" operator="equal">
      <formula>"L"</formula>
    </cfRule>
    <cfRule type="cellIs" dxfId="2395" priority="3456" operator="equal">
      <formula>"P"</formula>
    </cfRule>
    <cfRule type="cellIs" dxfId="2394" priority="3458" operator="equal">
      <formula>"P"</formula>
    </cfRule>
    <cfRule type="cellIs" dxfId="2393" priority="3459" operator="equal">
      <formula>"P"</formula>
    </cfRule>
    <cfRule type="cellIs" dxfId="2392" priority="3460" operator="equal">
      <formula>"P"</formula>
    </cfRule>
    <cfRule type="cellIs" dxfId="2391" priority="3461" operator="equal">
      <formula>"N"</formula>
    </cfRule>
    <cfRule type="cellIs" dxfId="2390" priority="3464" operator="equal">
      <formula>"P"</formula>
    </cfRule>
    <cfRule type="cellIs" dxfId="2389" priority="3465" operator="equal">
      <formula>"L"</formula>
    </cfRule>
    <cfRule type="cellIs" dxfId="2388" priority="3466" operator="equal">
      <formula>"L"</formula>
    </cfRule>
    <cfRule type="cellIs" dxfId="2387" priority="3467" operator="equal">
      <formula>"L"</formula>
    </cfRule>
    <cfRule type="cellIs" dxfId="2386" priority="3468" operator="equal">
      <formula>"P"</formula>
    </cfRule>
    <cfRule type="cellIs" dxfId="2385" priority="3469" operator="equal">
      <formula>"P"</formula>
    </cfRule>
    <cfRule type="cellIs" dxfId="2384" priority="3470" operator="equal">
      <formula>"P"</formula>
    </cfRule>
    <cfRule type="cellIs" dxfId="2383" priority="3471" operator="equal">
      <formula>"T"</formula>
    </cfRule>
    <cfRule type="cellIs" dxfId="2382" priority="3472" operator="equal">
      <formula>"T"</formula>
    </cfRule>
    <cfRule type="cellIs" dxfId="2381" priority="3474" operator="equal">
      <formula>"L"</formula>
    </cfRule>
    <cfRule type="cellIs" dxfId="2380" priority="3475" operator="equal">
      <formula>"P"</formula>
    </cfRule>
    <cfRule type="cellIs" dxfId="2379" priority="3476" operator="equal">
      <formula>"P"</formula>
    </cfRule>
    <cfRule type="cellIs" dxfId="2378" priority="3477" operator="equal">
      <formula>"L"</formula>
    </cfRule>
    <cfRule type="cellIs" dxfId="2377" priority="3479" operator="equal">
      <formula>"P"</formula>
    </cfRule>
    <cfRule type="cellIs" dxfId="2376" priority="3480" operator="equal">
      <formula>"L"</formula>
    </cfRule>
    <cfRule type="cellIs" dxfId="2375" priority="3483" operator="equal">
      <formula>"P"</formula>
    </cfRule>
    <cfRule type="cellIs" dxfId="2374" priority="3484" operator="equal">
      <formula>"T"</formula>
    </cfRule>
    <cfRule type="cellIs" dxfId="2373" priority="3485" operator="equal">
      <formula>"T"</formula>
    </cfRule>
    <cfRule type="cellIs" dxfId="2372" priority="3486" operator="equal">
      <formula>"P"</formula>
    </cfRule>
    <cfRule type="cellIs" dxfId="2371" priority="3487" operator="equal">
      <formula>"L"</formula>
    </cfRule>
    <cfRule type="cellIs" dxfId="2370" priority="3489" operator="equal">
      <formula>"L"</formula>
    </cfRule>
    <cfRule type="cellIs" dxfId="2369" priority="3490" operator="equal">
      <formula>"P"</formula>
    </cfRule>
    <cfRule type="cellIs" dxfId="2368" priority="3491" operator="equal">
      <formula>"T"</formula>
    </cfRule>
    <cfRule type="cellIs" dxfId="2367" priority="3492" operator="equal">
      <formula>"T"</formula>
    </cfRule>
    <cfRule type="cellIs" dxfId="2366" priority="3496" operator="equal">
      <formula>"P"</formula>
    </cfRule>
    <cfRule type="cellIs" dxfId="2365" priority="3497" operator="equal">
      <formula>"P"</formula>
    </cfRule>
    <cfRule type="cellIs" dxfId="2364" priority="3498" operator="equal">
      <formula>"L"</formula>
    </cfRule>
    <cfRule type="cellIs" dxfId="2363" priority="3499" operator="equal">
      <formula>"N"</formula>
    </cfRule>
    <cfRule type="cellIs" dxfId="2362" priority="3500" operator="equal">
      <formula>"P"</formula>
    </cfRule>
    <cfRule type="cellIs" dxfId="2361" priority="3501" operator="equal">
      <formula>"L"</formula>
    </cfRule>
    <cfRule type="cellIs" dxfId="2360" priority="3502" operator="equal">
      <formula>"P"</formula>
    </cfRule>
    <cfRule type="cellIs" dxfId="2359" priority="3503" operator="equal">
      <formula>"P"</formula>
    </cfRule>
    <cfRule type="cellIs" dxfId="2358" priority="3504" operator="equal">
      <formula>"L"</formula>
    </cfRule>
    <cfRule type="cellIs" dxfId="2357" priority="3505" operator="equal">
      <formula>"L"</formula>
    </cfRule>
    <cfRule type="cellIs" dxfId="2356" priority="3506" operator="equal">
      <formula>"L"</formula>
    </cfRule>
    <cfRule type="cellIs" dxfId="2355" priority="3507" operator="equal">
      <formula>"N"</formula>
    </cfRule>
    <cfRule type="cellIs" dxfId="2354" priority="3509" operator="equal">
      <formula>"L"</formula>
    </cfRule>
    <cfRule type="cellIs" dxfId="2353" priority="3510" operator="equal">
      <formula>"N"</formula>
    </cfRule>
    <cfRule type="cellIs" dxfId="2352" priority="3511" operator="equal">
      <formula>"P"</formula>
    </cfRule>
    <cfRule type="cellIs" dxfId="2351" priority="3512" operator="equal">
      <formula>"L"</formula>
    </cfRule>
    <cfRule type="cellIs" dxfId="2350" priority="3513" operator="equal">
      <formula>"P"</formula>
    </cfRule>
    <cfRule type="cellIs" dxfId="2349" priority="3514" operator="equal">
      <formula>"L"</formula>
    </cfRule>
    <cfRule type="cellIs" dxfId="2348" priority="3515" operator="equal">
      <formula>"P"</formula>
    </cfRule>
    <cfRule type="cellIs" dxfId="2347" priority="3516" operator="equal">
      <formula>"L"</formula>
    </cfRule>
    <cfRule type="cellIs" dxfId="2346" priority="3517" operator="equal">
      <formula>"L"</formula>
    </cfRule>
    <cfRule type="cellIs" dxfId="2345" priority="3518" operator="equal">
      <formula>"P"</formula>
    </cfRule>
    <cfRule type="cellIs" dxfId="2344" priority="3520" operator="equal">
      <formula>"P"</formula>
    </cfRule>
    <cfRule type="cellIs" dxfId="2343" priority="3521" operator="equal">
      <formula>"P"</formula>
    </cfRule>
    <cfRule type="cellIs" dxfId="2342" priority="3522" operator="equal">
      <formula>"P"</formula>
    </cfRule>
    <cfRule type="cellIs" dxfId="2341" priority="3523" operator="equal">
      <formula>"N"</formula>
    </cfRule>
    <cfRule type="cellIs" dxfId="2340" priority="3526" operator="equal">
      <formula>"P"</formula>
    </cfRule>
    <cfRule type="cellIs" dxfId="2339" priority="3527" operator="equal">
      <formula>"L"</formula>
    </cfRule>
    <cfRule type="cellIs" dxfId="2338" priority="3528" operator="equal">
      <formula>"L"</formula>
    </cfRule>
  </conditionalFormatting>
  <conditionalFormatting sqref="G127:H128 AI128:AK128">
    <cfRule type="cellIs" dxfId="2337" priority="2623" operator="equal">
      <formula>"N"</formula>
    </cfRule>
    <cfRule type="cellIs" dxfId="2336" priority="2658" operator="equal">
      <formula>"L"</formula>
    </cfRule>
    <cfRule type="cellIs" dxfId="2335" priority="2683" operator="equal">
      <formula>"P"</formula>
    </cfRule>
    <cfRule type="cellIs" dxfId="2334" priority="2681" operator="equal">
      <formula>"T"</formula>
    </cfRule>
    <cfRule type="cellIs" dxfId="2333" priority="2682" operator="equal">
      <formula>"T"</formula>
    </cfRule>
    <cfRule type="cellIs" dxfId="2332" priority="2680" operator="equal">
      <formula>"P"</formula>
    </cfRule>
    <cfRule type="cellIs" dxfId="2331" priority="2636" operator="equal">
      <formula>"N"</formula>
    </cfRule>
  </conditionalFormatting>
  <conditionalFormatting sqref="G128:H128 AI128:AK128">
    <cfRule type="cellIs" dxfId="2330" priority="2618" operator="equal">
      <formula>"L"</formula>
    </cfRule>
    <cfRule type="cellIs" dxfId="2329" priority="2619" operator="equal">
      <formula>"L"</formula>
    </cfRule>
    <cfRule type="cellIs" dxfId="2328" priority="2596" operator="equal">
      <formula>"P"</formula>
    </cfRule>
    <cfRule type="cellIs" dxfId="2327" priority="2620" operator="equal">
      <formula>"N"</formula>
    </cfRule>
    <cfRule type="cellIs" dxfId="2326" priority="2622" operator="equal">
      <formula>"L"</formula>
    </cfRule>
    <cfRule type="cellIs" dxfId="2325" priority="2597" operator="equal">
      <formula>"T"</formula>
    </cfRule>
    <cfRule type="cellIs" dxfId="2324" priority="2624" operator="equal">
      <formula>"P"</formula>
    </cfRule>
    <cfRule type="cellIs" dxfId="2323" priority="2625" operator="equal">
      <formula>"L"</formula>
    </cfRule>
    <cfRule type="cellIs" dxfId="2322" priority="2626" operator="equal">
      <formula>"P"</formula>
    </cfRule>
    <cfRule type="cellIs" dxfId="2321" priority="2627" operator="equal">
      <formula>"L"</formula>
    </cfRule>
    <cfRule type="cellIs" dxfId="2320" priority="2628" operator="equal">
      <formula>"P"</formula>
    </cfRule>
    <cfRule type="cellIs" dxfId="2319" priority="2629" operator="equal">
      <formula>"L"</formula>
    </cfRule>
    <cfRule type="cellIs" dxfId="2318" priority="2630" operator="equal">
      <formula>"L"</formula>
    </cfRule>
    <cfRule type="cellIs" dxfId="2317" priority="2631" operator="equal">
      <formula>"P"</formula>
    </cfRule>
    <cfRule type="cellIs" dxfId="2316" priority="2633" operator="equal">
      <formula>"P"</formula>
    </cfRule>
    <cfRule type="cellIs" dxfId="2315" priority="2634" operator="equal">
      <formula>"P"</formula>
    </cfRule>
    <cfRule type="cellIs" dxfId="2314" priority="2635" operator="equal">
      <formula>"P"</formula>
    </cfRule>
    <cfRule type="cellIs" dxfId="2313" priority="2639" operator="equal">
      <formula>"P"</formula>
    </cfRule>
    <cfRule type="cellIs" dxfId="2312" priority="2640" operator="equal">
      <formula>"L"</formula>
    </cfRule>
    <cfRule type="cellIs" dxfId="2311" priority="2641" operator="equal">
      <formula>"L"</formula>
    </cfRule>
    <cfRule type="cellIs" dxfId="2310" priority="2642" operator="equal">
      <formula>"L"</formula>
    </cfRule>
    <cfRule type="cellIs" dxfId="2309" priority="2643" operator="equal">
      <formula>"P"</formula>
    </cfRule>
    <cfRule type="cellIs" dxfId="2308" priority="2644" operator="equal">
      <formula>"P"</formula>
    </cfRule>
    <cfRule type="cellIs" dxfId="2307" priority="2645" operator="equal">
      <formula>"P"</formula>
    </cfRule>
    <cfRule type="cellIs" dxfId="2306" priority="2646" operator="equal">
      <formula>"T"</formula>
    </cfRule>
    <cfRule type="cellIs" dxfId="2305" priority="2598" operator="equal">
      <formula>"T"</formula>
    </cfRule>
    <cfRule type="cellIs" dxfId="2304" priority="2647" operator="equal">
      <formula>"T"</formula>
    </cfRule>
    <cfRule type="cellIs" dxfId="2303" priority="2649" operator="equal">
      <formula>"L"</formula>
    </cfRule>
    <cfRule type="cellIs" dxfId="2302" priority="2650" operator="equal">
      <formula>"P"</formula>
    </cfRule>
    <cfRule type="cellIs" dxfId="2301" priority="2651" operator="equal">
      <formula>"P"</formula>
    </cfRule>
    <cfRule type="cellIs" dxfId="2300" priority="2652" operator="equal">
      <formula>"L"</formula>
    </cfRule>
    <cfRule type="cellIs" dxfId="2299" priority="2654" operator="equal">
      <formula>"P"</formula>
    </cfRule>
    <cfRule type="cellIs" dxfId="2298" priority="2655" operator="equal">
      <formula>"L"</formula>
    </cfRule>
    <cfRule type="cellIs" dxfId="2297" priority="2660" operator="equal">
      <formula>"L"</formula>
    </cfRule>
    <cfRule type="cellIs" dxfId="2296" priority="2662" operator="equal">
      <formula>"T"</formula>
    </cfRule>
    <cfRule type="cellIs" dxfId="2295" priority="2663" operator="equal">
      <formula>"T"</formula>
    </cfRule>
    <cfRule type="cellIs" dxfId="2294" priority="2664" operator="equal">
      <formula>"P"</formula>
    </cfRule>
    <cfRule type="cellIs" dxfId="2293" priority="2666" operator="equal">
      <formula>"P"</formula>
    </cfRule>
    <cfRule type="cellIs" dxfId="2292" priority="2667" operator="equal">
      <formula>"T"</formula>
    </cfRule>
    <cfRule type="cellIs" dxfId="2291" priority="2668" operator="equal">
      <formula>"T"</formula>
    </cfRule>
    <cfRule type="cellIs" dxfId="2290" priority="2669" operator="equal">
      <formula>"P"</formula>
    </cfRule>
    <cfRule type="cellIs" dxfId="2289" priority="2670" operator="equal">
      <formula>"P"</formula>
    </cfRule>
    <cfRule type="cellIs" dxfId="2288" priority="2671" operator="equal">
      <formula>"T"</formula>
    </cfRule>
    <cfRule type="cellIs" dxfId="2287" priority="2672" operator="equal">
      <formula>"T"</formula>
    </cfRule>
    <cfRule type="cellIs" dxfId="2286" priority="2673" operator="equal">
      <formula>"P"</formula>
    </cfRule>
    <cfRule type="cellIs" dxfId="2285" priority="2674" operator="equal">
      <formula>"P"</formula>
    </cfRule>
    <cfRule type="cellIs" dxfId="2284" priority="2675" operator="equal">
      <formula>"T"</formula>
    </cfRule>
    <cfRule type="cellIs" dxfId="2283" priority="2676" operator="equal">
      <formula>"T"</formula>
    </cfRule>
    <cfRule type="cellIs" dxfId="2282" priority="2677" operator="equal">
      <formula>"P"</formula>
    </cfRule>
    <cfRule type="cellIs" dxfId="2281" priority="2679" operator="equal">
      <formula>"P"</formula>
    </cfRule>
    <cfRule type="cellIs" dxfId="2280" priority="2617" operator="equal">
      <formula>"L"</formula>
    </cfRule>
    <cfRule type="cellIs" dxfId="2279" priority="2599" operator="equal">
      <formula>"P"</formula>
    </cfRule>
    <cfRule type="cellIs" dxfId="2278" priority="2600" operator="equal">
      <formula>"L"</formula>
    </cfRule>
    <cfRule type="cellIs" dxfId="2277" priority="2602" operator="equal">
      <formula>"L"</formula>
    </cfRule>
    <cfRule type="cellIs" dxfId="2276" priority="2603" operator="equal">
      <formula>"P"</formula>
    </cfRule>
    <cfRule type="cellIs" dxfId="2275" priority="2604" operator="equal">
      <formula>"T"</formula>
    </cfRule>
    <cfRule type="cellIs" dxfId="2274" priority="2605" operator="equal">
      <formula>"T"</formula>
    </cfRule>
    <cfRule type="cellIs" dxfId="2273" priority="2609" operator="equal">
      <formula>"P"</formula>
    </cfRule>
    <cfRule type="cellIs" dxfId="2272" priority="2610" operator="equal">
      <formula>"P"</formula>
    </cfRule>
    <cfRule type="cellIs" dxfId="2271" priority="2611" operator="equal">
      <formula>"L"</formula>
    </cfRule>
    <cfRule type="cellIs" dxfId="2270" priority="2612" operator="equal">
      <formula>"N"</formula>
    </cfRule>
    <cfRule type="cellIs" dxfId="2269" priority="2613" operator="equal">
      <formula>"P"</formula>
    </cfRule>
    <cfRule type="cellIs" dxfId="2268" priority="2614" operator="equal">
      <formula>"L"</formula>
    </cfRule>
    <cfRule type="cellIs" dxfId="2267" priority="2615" operator="equal">
      <formula>"P"</formula>
    </cfRule>
    <cfRule type="cellIs" dxfId="2266" priority="2616" operator="equal">
      <formula>"P"</formula>
    </cfRule>
    <cfRule type="cellIs" dxfId="2265" priority="2661" operator="equal">
      <formula>"P"</formula>
    </cfRule>
  </conditionalFormatting>
  <conditionalFormatting sqref="G128:H128">
    <cfRule type="cellIs" dxfId="2264" priority="2514" operator="equal">
      <formula>"L"</formula>
    </cfRule>
    <cfRule type="cellIs" dxfId="2263" priority="2595" operator="equal">
      <formula>"P"</formula>
    </cfRule>
    <cfRule type="cellIs" dxfId="2262" priority="2575" operator="equal">
      <formula>"T"</formula>
    </cfRule>
    <cfRule type="cellIs" dxfId="2261" priority="2574" operator="equal">
      <formula>"T"</formula>
    </cfRule>
    <cfRule type="cellIs" dxfId="2260" priority="2573" operator="equal">
      <formula>"P"</formula>
    </cfRule>
    <cfRule type="cellIs" dxfId="2259" priority="2572" operator="equal">
      <formula>"L"</formula>
    </cfRule>
    <cfRule type="cellIs" dxfId="2258" priority="2570" operator="equal">
      <formula>"L"</formula>
    </cfRule>
    <cfRule type="cellIs" dxfId="2257" priority="2567" operator="equal">
      <formula>"L"</formula>
    </cfRule>
    <cfRule type="cellIs" dxfId="2256" priority="2566" operator="equal">
      <formula>"P"</formula>
    </cfRule>
    <cfRule type="cellIs" dxfId="2255" priority="2564" operator="equal">
      <formula>"L"</formula>
    </cfRule>
    <cfRule type="cellIs" dxfId="2254" priority="2563" operator="equal">
      <formula>"P"</formula>
    </cfRule>
    <cfRule type="cellIs" dxfId="2253" priority="2562" operator="equal">
      <formula>"P"</formula>
    </cfRule>
    <cfRule type="cellIs" dxfId="2252" priority="2561" operator="equal">
      <formula>"L"</formula>
    </cfRule>
    <cfRule type="cellIs" dxfId="2251" priority="2559" operator="equal">
      <formula>"T"</formula>
    </cfRule>
    <cfRule type="cellIs" dxfId="2250" priority="2558" operator="equal">
      <formula>"T"</formula>
    </cfRule>
    <cfRule type="cellIs" dxfId="2249" priority="2556" operator="equal">
      <formula>"P"</formula>
    </cfRule>
    <cfRule type="cellIs" dxfId="2248" priority="2555" operator="equal">
      <formula>"P"</formula>
    </cfRule>
    <cfRule type="cellIs" dxfId="2247" priority="2554" operator="equal">
      <formula>"L"</formula>
    </cfRule>
    <cfRule type="cellIs" dxfId="2246" priority="2553" operator="equal">
      <formula>"L"</formula>
    </cfRule>
    <cfRule type="cellIs" dxfId="2245" priority="2552" operator="equal">
      <formula>"L"</formula>
    </cfRule>
    <cfRule type="cellIs" dxfId="2244" priority="2551" operator="equal">
      <formula>"P"</formula>
    </cfRule>
    <cfRule type="cellIs" dxfId="2243" priority="2548" operator="equal">
      <formula>"N"</formula>
    </cfRule>
    <cfRule type="cellIs" dxfId="2242" priority="2547" operator="equal">
      <formula>"P"</formula>
    </cfRule>
    <cfRule type="cellIs" dxfId="2241" priority="2546" operator="equal">
      <formula>"P"</formula>
    </cfRule>
    <cfRule type="cellIs" dxfId="2240" priority="2545" operator="equal">
      <formula>"P"</formula>
    </cfRule>
    <cfRule type="cellIs" dxfId="2239" priority="2543" operator="equal">
      <formula>"P"</formula>
    </cfRule>
    <cfRule type="cellIs" dxfId="2238" priority="2542" operator="equal">
      <formula>"L"</formula>
    </cfRule>
    <cfRule type="cellIs" dxfId="2237" priority="2541" operator="equal">
      <formula>"L"</formula>
    </cfRule>
    <cfRule type="cellIs" dxfId="2236" priority="2540" operator="equal">
      <formula>"P"</formula>
    </cfRule>
    <cfRule type="cellIs" dxfId="2235" priority="2539" operator="equal">
      <formula>"L"</formula>
    </cfRule>
    <cfRule type="cellIs" dxfId="2234" priority="2538" operator="equal">
      <formula>"P"</formula>
    </cfRule>
    <cfRule type="cellIs" dxfId="2233" priority="2537" operator="equal">
      <formula>"L"</formula>
    </cfRule>
    <cfRule type="cellIs" dxfId="2232" priority="2536" operator="equal">
      <formula>"P"</formula>
    </cfRule>
    <cfRule type="cellIs" dxfId="2231" priority="2535" operator="equal">
      <formula>"N"</formula>
    </cfRule>
    <cfRule type="cellIs" dxfId="2230" priority="2534" operator="equal">
      <formula>"L"</formula>
    </cfRule>
    <cfRule type="cellIs" dxfId="2229" priority="2532" operator="equal">
      <formula>"N"</formula>
    </cfRule>
    <cfRule type="cellIs" dxfId="2228" priority="2531" operator="equal">
      <formula>"L"</formula>
    </cfRule>
    <cfRule type="cellIs" dxfId="2227" priority="2530" operator="equal">
      <formula>"L"</formula>
    </cfRule>
    <cfRule type="cellIs" dxfId="2226" priority="2529" operator="equal">
      <formula>"L"</formula>
    </cfRule>
    <cfRule type="cellIs" dxfId="2225" priority="2528" operator="equal">
      <formula>"P"</formula>
    </cfRule>
    <cfRule type="cellIs" dxfId="2224" priority="2527" operator="equal">
      <formula>"P"</formula>
    </cfRule>
    <cfRule type="cellIs" dxfId="2223" priority="2526" operator="equal">
      <formula>"L"</formula>
    </cfRule>
    <cfRule type="cellIs" dxfId="2222" priority="2525" operator="equal">
      <formula>"P"</formula>
    </cfRule>
    <cfRule type="cellIs" dxfId="2221" priority="2524" operator="equal">
      <formula>"N"</formula>
    </cfRule>
    <cfRule type="cellIs" dxfId="2220" priority="2523" operator="equal">
      <formula>"L"</formula>
    </cfRule>
    <cfRule type="cellIs" dxfId="2219" priority="2522" operator="equal">
      <formula>"P"</formula>
    </cfRule>
    <cfRule type="cellIs" dxfId="2218" priority="2511" operator="equal">
      <formula>"P"</formula>
    </cfRule>
    <cfRule type="cellIs" dxfId="2217" priority="2512" operator="equal">
      <formula>"L"</formula>
    </cfRule>
    <cfRule type="cellIs" dxfId="2216" priority="2517" operator="equal">
      <formula>"T"</formula>
    </cfRule>
    <cfRule type="cellIs" dxfId="2215" priority="2515" operator="equal">
      <formula>"P"</formula>
    </cfRule>
    <cfRule type="cellIs" dxfId="2214" priority="2516" operator="equal">
      <formula>"T"</formula>
    </cfRule>
    <cfRule type="cellIs" dxfId="2213" priority="2508" operator="equal">
      <formula>"P"</formula>
    </cfRule>
    <cfRule type="cellIs" dxfId="2212" priority="2557" operator="equal">
      <formula>"P"</formula>
    </cfRule>
    <cfRule type="cellIs" dxfId="2211" priority="2576" operator="equal">
      <formula>"P"</formula>
    </cfRule>
    <cfRule type="cellIs" dxfId="2210" priority="2578" operator="equal">
      <formula>"P"</formula>
    </cfRule>
    <cfRule type="cellIs" dxfId="2209" priority="2579" operator="equal">
      <formula>"T"</formula>
    </cfRule>
    <cfRule type="cellIs" dxfId="2208" priority="2580" operator="equal">
      <formula>"T"</formula>
    </cfRule>
    <cfRule type="cellIs" dxfId="2207" priority="2581" operator="equal">
      <formula>"P"</formula>
    </cfRule>
    <cfRule type="cellIs" dxfId="2206" priority="2582" operator="equal">
      <formula>"P"</formula>
    </cfRule>
    <cfRule type="cellIs" dxfId="2205" priority="2583" operator="equal">
      <formula>"T"</formula>
    </cfRule>
    <cfRule type="cellIs" dxfId="2204" priority="2584" operator="equal">
      <formula>"T"</formula>
    </cfRule>
    <cfRule type="cellIs" dxfId="2203" priority="2585" operator="equal">
      <formula>"P"</formula>
    </cfRule>
    <cfRule type="cellIs" dxfId="2202" priority="2586" operator="equal">
      <formula>"P"</formula>
    </cfRule>
    <cfRule type="cellIs" dxfId="2201" priority="2587" operator="equal">
      <formula>"T"</formula>
    </cfRule>
    <cfRule type="cellIs" dxfId="2200" priority="2588" operator="equal">
      <formula>"T"</formula>
    </cfRule>
    <cfRule type="cellIs" dxfId="2199" priority="2589" operator="equal">
      <formula>"P"</formula>
    </cfRule>
    <cfRule type="cellIs" dxfId="2198" priority="2591" operator="equal">
      <formula>"P"</formula>
    </cfRule>
    <cfRule type="cellIs" dxfId="2197" priority="2521" operator="equal">
      <formula>"P"</formula>
    </cfRule>
    <cfRule type="cellIs" dxfId="2196" priority="2592" operator="equal">
      <formula>"P"</formula>
    </cfRule>
    <cfRule type="cellIs" dxfId="2195" priority="2593" operator="equal">
      <formula>"T"</formula>
    </cfRule>
    <cfRule type="cellIs" dxfId="2194" priority="2594" operator="equal">
      <formula>"T"</formula>
    </cfRule>
  </conditionalFormatting>
  <conditionalFormatting sqref="G103:I103">
    <cfRule type="cellIs" dxfId="2193" priority="2320" operator="equal">
      <formula>"L"</formula>
    </cfRule>
    <cfRule type="cellIs" dxfId="2192" priority="2319" operator="equal">
      <formula>"L"</formula>
    </cfRule>
    <cfRule type="cellIs" dxfId="2191" priority="2318" operator="equal">
      <formula>"P"</formula>
    </cfRule>
    <cfRule type="cellIs" dxfId="2190" priority="2316" operator="equal">
      <formula>"T"</formula>
    </cfRule>
    <cfRule type="cellIs" dxfId="2189" priority="2315" operator="equal">
      <formula>"T"</formula>
    </cfRule>
    <cfRule type="cellIs" dxfId="2188" priority="2432" operator="equal">
      <formula>"P"</formula>
    </cfRule>
    <cfRule type="cellIs" dxfId="2187" priority="2507" operator="equal">
      <formula>"P"</formula>
    </cfRule>
    <cfRule type="cellIs" dxfId="2186" priority="2505" operator="equal">
      <formula>"L"</formula>
    </cfRule>
    <cfRule type="cellIs" dxfId="2185" priority="2504" operator="equal">
      <formula>"L"</formula>
    </cfRule>
    <cfRule type="cellIs" dxfId="2184" priority="2500" operator="equal">
      <formula>"P"</formula>
    </cfRule>
    <cfRule type="cellIs" dxfId="2183" priority="2496" operator="equal">
      <formula>"L"</formula>
    </cfRule>
    <cfRule type="cellIs" dxfId="2182" priority="2495" operator="equal">
      <formula>"L"</formula>
    </cfRule>
    <cfRule type="cellIs" dxfId="2181" priority="2494" operator="equal">
      <formula>"P"</formula>
    </cfRule>
    <cfRule type="cellIs" dxfId="2180" priority="2493" operator="equal">
      <formula>"T"</formula>
    </cfRule>
    <cfRule type="cellIs" dxfId="2179" priority="2492" operator="equal">
      <formula>"T"</formula>
    </cfRule>
    <cfRule type="cellIs" dxfId="2178" priority="2491" operator="equal">
      <formula>"P"</formula>
    </cfRule>
    <cfRule type="cellIs" dxfId="2177" priority="2489" operator="equal">
      <formula>"P"</formula>
    </cfRule>
    <cfRule type="cellIs" dxfId="2176" priority="2488" operator="equal">
      <formula>"P"</formula>
    </cfRule>
    <cfRule type="cellIs" dxfId="2175" priority="2487" operator="equal">
      <formula>"L"</formula>
    </cfRule>
    <cfRule type="cellIs" dxfId="2174" priority="2484" operator="equal">
      <formula>"T"</formula>
    </cfRule>
    <cfRule type="cellIs" dxfId="2173" priority="2483" operator="equal">
      <formula>"T"</formula>
    </cfRule>
    <cfRule type="cellIs" dxfId="2172" priority="2482" operator="equal">
      <formula>"P"</formula>
    </cfRule>
    <cfRule type="cellIs" dxfId="2171" priority="2481" operator="equal">
      <formula>"P"</formula>
    </cfRule>
    <cfRule type="cellIs" dxfId="2170" priority="2480" operator="equal">
      <formula>"P"</formula>
    </cfRule>
    <cfRule type="cellIs" dxfId="2169" priority="2477" operator="equal">
      <formula>"T"</formula>
    </cfRule>
    <cfRule type="cellIs" dxfId="2168" priority="2476" operator="equal">
      <formula>"T"</formula>
    </cfRule>
    <cfRule type="cellIs" dxfId="2167" priority="2475" operator="equal">
      <formula>"P"</formula>
    </cfRule>
    <cfRule type="cellIs" dxfId="2166" priority="2474" operator="equal">
      <formula>"P"</formula>
    </cfRule>
    <cfRule type="cellIs" dxfId="2165" priority="2473" operator="equal">
      <formula>"L"</formula>
    </cfRule>
    <cfRule type="cellIs" dxfId="2164" priority="2471" operator="equal">
      <formula>"P"</formula>
    </cfRule>
    <cfRule type="cellIs" dxfId="2163" priority="2470" operator="equal">
      <formula>"P"</formula>
    </cfRule>
    <cfRule type="cellIs" dxfId="2162" priority="2468" operator="equal">
      <formula>"L"</formula>
    </cfRule>
    <cfRule type="cellIs" dxfId="2161" priority="2467" operator="equal">
      <formula>"L"</formula>
    </cfRule>
    <cfRule type="cellIs" dxfId="2160" priority="2466" operator="equal">
      <formula>"P"</formula>
    </cfRule>
    <cfRule type="cellIs" dxfId="2159" priority="2465" operator="equal">
      <formula>"L"</formula>
    </cfRule>
    <cfRule type="cellIs" dxfId="2158" priority="2464" operator="equal">
      <formula>"T"</formula>
    </cfRule>
    <cfRule type="cellIs" dxfId="2157" priority="2463" operator="equal">
      <formula>"T"</formula>
    </cfRule>
    <cfRule type="cellIs" dxfId="2156" priority="2462" operator="equal">
      <formula>"P"</formula>
    </cfRule>
    <cfRule type="cellIs" dxfId="2155" priority="2461" operator="equal">
      <formula>"L"</formula>
    </cfRule>
    <cfRule type="cellIs" dxfId="2154" priority="2457" operator="equal">
      <formula>"L"</formula>
    </cfRule>
    <cfRule type="cellIs" dxfId="2153" priority="2456" operator="equal">
      <formula>"P"</formula>
    </cfRule>
    <cfRule type="cellIs" dxfId="2152" priority="2454" operator="equal">
      <formula>"L"</formula>
    </cfRule>
    <cfRule type="cellIs" dxfId="2151" priority="2453" operator="equal">
      <formula>"P"</formula>
    </cfRule>
    <cfRule type="cellIs" dxfId="2150" priority="2452" operator="equal">
      <formula>"P"</formula>
    </cfRule>
    <cfRule type="cellIs" dxfId="2149" priority="2451" operator="equal">
      <formula>"L"</formula>
    </cfRule>
    <cfRule type="cellIs" dxfId="2148" priority="2449" operator="equal">
      <formula>"T"</formula>
    </cfRule>
    <cfRule type="cellIs" dxfId="2147" priority="2448" operator="equal">
      <formula>"T"</formula>
    </cfRule>
    <cfRule type="cellIs" dxfId="2146" priority="2447" operator="equal">
      <formula>"P"</formula>
    </cfRule>
    <cfRule type="cellIs" dxfId="2145" priority="2446" operator="equal">
      <formula>"P"</formula>
    </cfRule>
    <cfRule type="cellIs" dxfId="2144" priority="2445" operator="equal">
      <formula>"P"</formula>
    </cfRule>
    <cfRule type="cellIs" dxfId="2143" priority="2444" operator="equal">
      <formula>"L"</formula>
    </cfRule>
    <cfRule type="cellIs" dxfId="2142" priority="2443" operator="equal">
      <formula>"L"</formula>
    </cfRule>
    <cfRule type="cellIs" dxfId="2141" priority="2442" operator="equal">
      <formula>"L"</formula>
    </cfRule>
    <cfRule type="cellIs" dxfId="2140" priority="2441" operator="equal">
      <formula>"P"</formula>
    </cfRule>
    <cfRule type="cellIs" dxfId="2139" priority="2436" operator="equal">
      <formula>"P"</formula>
    </cfRule>
    <cfRule type="cellIs" dxfId="2138" priority="2435" operator="equal">
      <formula>"P"</formula>
    </cfRule>
    <cfRule type="cellIs" dxfId="2137" priority="2434" operator="equal">
      <formula>"P"</formula>
    </cfRule>
    <cfRule type="cellIs" dxfId="2136" priority="2313" operator="equal">
      <formula>"P"</formula>
    </cfRule>
    <cfRule type="cellIs" dxfId="2135" priority="2431" operator="equal">
      <formula>"L"</formula>
    </cfRule>
    <cfRule type="cellIs" dxfId="2134" priority="2430" operator="equal">
      <formula>"L"</formula>
    </cfRule>
    <cfRule type="cellIs" dxfId="2133" priority="2312" operator="equal">
      <formula>"N"</formula>
    </cfRule>
    <cfRule type="cellIs" dxfId="2132" priority="2311" operator="equal">
      <formula>"L"</formula>
    </cfRule>
    <cfRule type="cellIs" dxfId="2131" priority="2309" operator="equal">
      <formula>"P"</formula>
    </cfRule>
    <cfRule type="cellIs" dxfId="2130" priority="2308" operator="equal">
      <formula>"L"</formula>
    </cfRule>
    <cfRule type="cellIs" dxfId="2129" priority="2307" operator="equal">
      <formula>"P"</formula>
    </cfRule>
    <cfRule type="cellIs" dxfId="2128" priority="2306" operator="equal">
      <formula>"P"</formula>
    </cfRule>
    <cfRule type="cellIs" dxfId="2127" priority="2395" operator="equal">
      <formula>"L"</formula>
    </cfRule>
    <cfRule type="cellIs" dxfId="2126" priority="2305" operator="equal">
      <formula>"L"</formula>
    </cfRule>
    <cfRule type="cellIs" dxfId="2125" priority="2304" operator="equal">
      <formula>"P"</formula>
    </cfRule>
    <cfRule type="cellIs" dxfId="2124" priority="2303" operator="equal">
      <formula>"P"</formula>
    </cfRule>
    <cfRule type="cellIs" dxfId="2123" priority="2302" operator="equal">
      <formula>"L"</formula>
    </cfRule>
    <cfRule type="cellIs" dxfId="2122" priority="2299" operator="equal">
      <formula>"N"</formula>
    </cfRule>
    <cfRule type="cellIs" dxfId="2121" priority="2298" operator="equal">
      <formula>"L"</formula>
    </cfRule>
    <cfRule type="cellIs" dxfId="2120" priority="1507" operator="equal">
      <formula>"H"</formula>
    </cfRule>
    <cfRule type="cellIs" dxfId="2119" priority="1514" operator="equal">
      <formula>"L"</formula>
    </cfRule>
    <cfRule type="cellIs" dxfId="2118" priority="2333" operator="equal">
      <formula>"P"</formula>
    </cfRule>
    <cfRule type="cellIs" dxfId="2117" priority="2428" operator="equal">
      <formula>"L"</formula>
    </cfRule>
    <cfRule type="cellIs" dxfId="2116" priority="2427" operator="equal">
      <formula>"P"</formula>
    </cfRule>
    <cfRule type="cellIs" dxfId="2115" priority="2426" operator="equal">
      <formula>"L"</formula>
    </cfRule>
    <cfRule type="cellIs" dxfId="2114" priority="2425" operator="equal">
      <formula>"P"</formula>
    </cfRule>
    <cfRule type="cellIs" dxfId="2113" priority="2424" operator="equal">
      <formula>"N"</formula>
    </cfRule>
    <cfRule type="cellIs" dxfId="2112" priority="2423" operator="equal">
      <formula>"L"</formula>
    </cfRule>
    <cfRule type="cellIs" dxfId="2111" priority="2421" operator="equal">
      <formula>"N"</formula>
    </cfRule>
    <cfRule type="cellIs" dxfId="2110" priority="2420" operator="equal">
      <formula>"L"</formula>
    </cfRule>
    <cfRule type="cellIs" dxfId="2109" priority="2419" operator="equal">
      <formula>"L"</formula>
    </cfRule>
    <cfRule type="cellIs" dxfId="2108" priority="2418" operator="equal">
      <formula>"L"</formula>
    </cfRule>
    <cfRule type="cellIs" dxfId="2107" priority="2417" operator="equal">
      <formula>"P"</formula>
    </cfRule>
    <cfRule type="cellIs" dxfId="2106" priority="2416" operator="equal">
      <formula>"P"</formula>
    </cfRule>
    <cfRule type="cellIs" dxfId="2105" priority="2415" operator="equal">
      <formula>"L"</formula>
    </cfRule>
    <cfRule type="cellIs" dxfId="2104" priority="2414" operator="equal">
      <formula>"P"</formula>
    </cfRule>
    <cfRule type="cellIs" dxfId="2103" priority="2413" operator="equal">
      <formula>"N"</formula>
    </cfRule>
    <cfRule type="cellIs" dxfId="2102" priority="2412" operator="equal">
      <formula>"L"</formula>
    </cfRule>
    <cfRule type="cellIs" dxfId="2101" priority="2411" operator="equal">
      <formula>"P"</formula>
    </cfRule>
    <cfRule type="cellIs" dxfId="2100" priority="2410" operator="equal">
      <formula>"P"</formula>
    </cfRule>
    <cfRule type="cellIs" dxfId="2099" priority="2406" operator="equal">
      <formula>"T"</formula>
    </cfRule>
    <cfRule type="cellIs" dxfId="2098" priority="2405" operator="equal">
      <formula>"T"</formula>
    </cfRule>
    <cfRule type="cellIs" dxfId="2097" priority="2404" operator="equal">
      <formula>"P"</formula>
    </cfRule>
    <cfRule type="cellIs" dxfId="2096" priority="2403" operator="equal">
      <formula>"L"</formula>
    </cfRule>
    <cfRule type="cellIs" dxfId="2095" priority="2400" operator="equal">
      <formula>"P"</formula>
    </cfRule>
    <cfRule type="cellIs" dxfId="2094" priority="2399" operator="equal">
      <formula>"T"</formula>
    </cfRule>
    <cfRule type="cellIs" dxfId="2093" priority="2398" operator="equal">
      <formula>"T"</formula>
    </cfRule>
    <cfRule type="cellIs" dxfId="2092" priority="2397" operator="equal">
      <formula>"P"</formula>
    </cfRule>
    <cfRule type="cellIs" dxfId="2091" priority="2396" operator="equal">
      <formula>"L"</formula>
    </cfRule>
    <cfRule type="cellIs" dxfId="2090" priority="2394" operator="equal">
      <formula>"P"</formula>
    </cfRule>
    <cfRule type="cellIs" dxfId="2089" priority="2392" operator="equal">
      <formula>"P"</formula>
    </cfRule>
    <cfRule type="cellIs" dxfId="2088" priority="2391" operator="equal">
      <formula>"T"</formula>
    </cfRule>
    <cfRule type="cellIs" dxfId="2087" priority="2390" operator="equal">
      <formula>"T"</formula>
    </cfRule>
    <cfRule type="cellIs" dxfId="2086" priority="2388" operator="equal">
      <formula>"PL"</formula>
    </cfRule>
    <cfRule type="cellIs" dxfId="2085" priority="2387" operator="equal">
      <formula>"T"</formula>
    </cfRule>
    <cfRule type="cellIs" dxfId="2084" priority="2386" operator="equal">
      <formula>"T"</formula>
    </cfRule>
    <cfRule type="cellIs" dxfId="2083" priority="2385" operator="equal">
      <formula>"P"</formula>
    </cfRule>
    <cfRule type="cellIs" dxfId="2082" priority="2384" operator="equal">
      <formula>"P"</formula>
    </cfRule>
    <cfRule type="cellIs" dxfId="2081" priority="2381" operator="equal">
      <formula>"P"</formula>
    </cfRule>
    <cfRule type="cellIs" dxfId="2080" priority="2380" operator="equal">
      <formula>"L"</formula>
    </cfRule>
    <cfRule type="cellIs" dxfId="2079" priority="2376" operator="equal">
      <formula>"P"</formula>
    </cfRule>
    <cfRule type="cellIs" dxfId="2078" priority="2373" operator="equal">
      <formula>"P"</formula>
    </cfRule>
    <cfRule type="cellIs" dxfId="2077" priority="2372" operator="equal">
      <formula>"P"</formula>
    </cfRule>
    <cfRule type="cellIs" dxfId="2076" priority="2370" operator="equal">
      <formula>"T"</formula>
    </cfRule>
    <cfRule type="cellIs" dxfId="2075" priority="2369" operator="equal">
      <formula>"T"</formula>
    </cfRule>
    <cfRule type="cellIs" dxfId="2074" priority="2368" operator="equal">
      <formula>"P"</formula>
    </cfRule>
    <cfRule type="cellIs" dxfId="2073" priority="2367" operator="equal">
      <formula>"P"</formula>
    </cfRule>
    <cfRule type="cellIs" dxfId="2072" priority="2365" operator="equal">
      <formula>"P"</formula>
    </cfRule>
    <cfRule type="cellIs" dxfId="2071" priority="2364" operator="equal">
      <formula>"T"</formula>
    </cfRule>
    <cfRule type="cellIs" dxfId="2070" priority="2363" operator="equal">
      <formula>"T"</formula>
    </cfRule>
    <cfRule type="cellIs" dxfId="2069" priority="2362" operator="equal">
      <formula>"P"</formula>
    </cfRule>
    <cfRule type="cellIs" dxfId="2068" priority="2361" operator="equal">
      <formula>"P"</formula>
    </cfRule>
    <cfRule type="cellIs" dxfId="2067" priority="2360" operator="equal">
      <formula>"T"</formula>
    </cfRule>
    <cfRule type="cellIs" dxfId="2066" priority="2359" operator="equal">
      <formula>"T"</formula>
    </cfRule>
    <cfRule type="cellIs" dxfId="2065" priority="2358" operator="equal">
      <formula>"P"</formula>
    </cfRule>
    <cfRule type="cellIs" dxfId="2064" priority="2357" operator="equal">
      <formula>"P"</formula>
    </cfRule>
    <cfRule type="cellIs" dxfId="2063" priority="2354" operator="equal">
      <formula>"T"</formula>
    </cfRule>
    <cfRule type="cellIs" dxfId="2062" priority="2353" operator="equal">
      <formula>"T"</formula>
    </cfRule>
    <cfRule type="cellIs" dxfId="2061" priority="2352" operator="equal">
      <formula>"P"</formula>
    </cfRule>
    <cfRule type="cellIs" dxfId="2060" priority="2349" operator="equal">
      <formula>"P"</formula>
    </cfRule>
    <cfRule type="cellIs" dxfId="2059" priority="2348" operator="equal">
      <formula>"T"</formula>
    </cfRule>
    <cfRule type="cellIs" dxfId="2058" priority="2347" operator="equal">
      <formula>"T"</formula>
    </cfRule>
    <cfRule type="cellIs" dxfId="2057" priority="2346" operator="equal">
      <formula>"P"</formula>
    </cfRule>
    <cfRule type="cellIs" dxfId="2056" priority="2343" operator="equal">
      <formula>"P"</formula>
    </cfRule>
    <cfRule type="cellIs" dxfId="2055" priority="2342" operator="equal">
      <formula>"T"</formula>
    </cfRule>
    <cfRule type="cellIs" dxfId="2054" priority="2341" operator="equal">
      <formula>"T"</formula>
    </cfRule>
    <cfRule type="cellIs" dxfId="2053" priority="2429" operator="equal">
      <formula>"P"</formula>
    </cfRule>
    <cfRule type="cellIs" dxfId="2052" priority="2340" operator="equal">
      <formula>"P"</formula>
    </cfRule>
    <cfRule type="cellIs" dxfId="2051" priority="2337" operator="equal">
      <formula>"L"</formula>
    </cfRule>
    <cfRule type="cellIs" dxfId="2050" priority="2335" operator="equal">
      <formula>"L"</formula>
    </cfRule>
    <cfRule type="cellIs" dxfId="2049" priority="2334" operator="equal">
      <formula>"P"</formula>
    </cfRule>
    <cfRule type="cellIs" dxfId="2048" priority="2330" operator="equal">
      <formula>"P"</formula>
    </cfRule>
    <cfRule type="cellIs" dxfId="2047" priority="2329" operator="equal">
      <formula>"L"</formula>
    </cfRule>
    <cfRule type="cellIs" dxfId="2046" priority="2328" operator="equal">
      <formula>"N"</formula>
    </cfRule>
    <cfRule type="cellIs" dxfId="2045" priority="2326" operator="equal">
      <formula>"T"</formula>
    </cfRule>
    <cfRule type="cellIs" dxfId="2044" priority="2325" operator="equal">
      <formula>"T"</formula>
    </cfRule>
    <cfRule type="cellIs" dxfId="2043" priority="2324" operator="equal">
      <formula>"P"</formula>
    </cfRule>
    <cfRule type="cellIs" dxfId="2042" priority="2323" operator="equal">
      <formula>"P"</formula>
    </cfRule>
    <cfRule type="cellIs" dxfId="2041" priority="2322" operator="equal">
      <formula>"P"</formula>
    </cfRule>
  </conditionalFormatting>
  <conditionalFormatting sqref="G105:I105">
    <cfRule type="cellIs" dxfId="2040" priority="2281" operator="equal">
      <formula>"P"</formula>
    </cfRule>
    <cfRule type="cellIs" dxfId="2039" priority="2292" operator="equal">
      <formula>"P"</formula>
    </cfRule>
    <cfRule type="cellIs" dxfId="2038" priority="2291" operator="equal">
      <formula>"N"</formula>
    </cfRule>
    <cfRule type="cellIs" dxfId="2037" priority="2290" operator="equal">
      <formula>"N"</formula>
    </cfRule>
    <cfRule type="cellIs" dxfId="2036" priority="2289" operator="equal">
      <formula>"L"</formula>
    </cfRule>
    <cfRule type="cellIs" dxfId="2035" priority="2288" operator="equal">
      <formula>"H"</formula>
    </cfRule>
    <cfRule type="cellIs" dxfId="2034" priority="2282" operator="equal">
      <formula>"P"</formula>
    </cfRule>
    <cfRule type="cellIs" dxfId="2033" priority="2276" operator="equal">
      <formula>"L"</formula>
    </cfRule>
    <cfRule type="cellIs" dxfId="2032" priority="2277" operator="equal">
      <formula>"N"</formula>
    </cfRule>
    <cfRule type="cellIs" dxfId="2031" priority="2287" operator="equal">
      <formula>"P"</formula>
    </cfRule>
    <cfRule type="cellIs" dxfId="2030" priority="2286" operator="equal">
      <formula>"L"</formula>
    </cfRule>
    <cfRule type="cellIs" dxfId="2029" priority="2280" operator="equal">
      <formula>"L"</formula>
    </cfRule>
    <cfRule type="cellIs" dxfId="2028" priority="2285" operator="equal">
      <formula>"P"</formula>
    </cfRule>
    <cfRule type="cellIs" dxfId="2027" priority="2284" operator="equal">
      <formula>"P"</formula>
    </cfRule>
    <cfRule type="cellIs" dxfId="2026" priority="2283" operator="equal">
      <formula>"L"</formula>
    </cfRule>
  </conditionalFormatting>
  <conditionalFormatting sqref="G105:I106 G125:AK128">
    <cfRule type="cellIs" dxfId="2025" priority="2268" operator="equal">
      <formula>"PL"</formula>
    </cfRule>
  </conditionalFormatting>
  <conditionalFormatting sqref="G105:I106">
    <cfRule type="cellIs" dxfId="2024" priority="2264" operator="equal">
      <formula>"P"</formula>
    </cfRule>
    <cfRule type="cellIs" dxfId="2023" priority="2267" operator="equal">
      <formula>"L"</formula>
    </cfRule>
  </conditionalFormatting>
  <conditionalFormatting sqref="G106:I106">
    <cfRule type="cellIs" dxfId="2022" priority="2235" operator="equal">
      <formula>"P"</formula>
    </cfRule>
    <cfRule type="cellIs" dxfId="2021" priority="2234" operator="equal">
      <formula>"P"</formula>
    </cfRule>
    <cfRule type="cellIs" dxfId="2020" priority="2233" operator="equal">
      <formula>"L"</formula>
    </cfRule>
    <cfRule type="cellIs" dxfId="2019" priority="2239" operator="equal">
      <formula>"P"</formula>
    </cfRule>
    <cfRule type="cellIs" dxfId="2018" priority="2237" operator="equal">
      <formula>"L"</formula>
    </cfRule>
    <cfRule type="cellIs" dxfId="2017" priority="2236" operator="equal">
      <formula>"P"</formula>
    </cfRule>
    <cfRule type="cellIs" dxfId="2016" priority="2230" operator="equal">
      <formula>"L"</formula>
    </cfRule>
    <cfRule type="cellIs" dxfId="2015" priority="2229" operator="equal">
      <formula>"L"</formula>
    </cfRule>
    <cfRule type="cellIs" dxfId="2014" priority="2227" operator="equal">
      <formula>"T"</formula>
    </cfRule>
    <cfRule type="cellIs" dxfId="2013" priority="2226" operator="equal">
      <formula>"T"</formula>
    </cfRule>
    <cfRule type="cellIs" dxfId="2012" priority="2223" operator="equal">
      <formula>"L"</formula>
    </cfRule>
    <cfRule type="cellIs" dxfId="2011" priority="2228" operator="equal">
      <formula>"P"</formula>
    </cfRule>
    <cfRule type="cellIs" dxfId="2010" priority="2263" operator="equal">
      <formula>"P"</formula>
    </cfRule>
    <cfRule type="cellIs" dxfId="2009" priority="2262" operator="equal">
      <formula>"P"</formula>
    </cfRule>
    <cfRule type="cellIs" dxfId="2008" priority="2261" operator="equal">
      <formula>"L"</formula>
    </cfRule>
    <cfRule type="cellIs" dxfId="2007" priority="2259" operator="equal">
      <formula>"L"</formula>
    </cfRule>
    <cfRule type="cellIs" dxfId="2006" priority="2258" operator="equal">
      <formula>"L"</formula>
    </cfRule>
    <cfRule type="cellIs" dxfId="2005" priority="2257" operator="equal">
      <formula>"P"</formula>
    </cfRule>
    <cfRule type="cellIs" dxfId="2004" priority="2256" operator="equal">
      <formula>"T"</formula>
    </cfRule>
    <cfRule type="cellIs" dxfId="2003" priority="2255" operator="equal">
      <formula>"T"</formula>
    </cfRule>
    <cfRule type="cellIs" dxfId="2002" priority="2254" operator="equal">
      <formula>"P"</formula>
    </cfRule>
    <cfRule type="cellIs" dxfId="2001" priority="2250" operator="equal">
      <formula>"L"</formula>
    </cfRule>
    <cfRule type="cellIs" dxfId="2000" priority="2249" operator="equal">
      <formula>"P"</formula>
    </cfRule>
    <cfRule type="cellIs" dxfId="1999" priority="2248" operator="equal">
      <formula>"P"</formula>
    </cfRule>
    <cfRule type="cellIs" dxfId="1998" priority="2247" operator="equal">
      <formula>"P"</formula>
    </cfRule>
    <cfRule type="cellIs" dxfId="1997" priority="2246" operator="equal">
      <formula>"L"</formula>
    </cfRule>
    <cfRule type="cellIs" dxfId="1996" priority="2244" operator="equal">
      <formula>"L"</formula>
    </cfRule>
    <cfRule type="cellIs" dxfId="1995" priority="2243" operator="equal">
      <formula>"L"</formula>
    </cfRule>
    <cfRule type="cellIs" dxfId="1994" priority="2242" operator="equal">
      <formula>"P"</formula>
    </cfRule>
    <cfRule type="cellIs" dxfId="1993" priority="2241" operator="equal">
      <formula>"T"</formula>
    </cfRule>
    <cfRule type="cellIs" dxfId="1992" priority="2240" operator="equal">
      <formula>"T"</formula>
    </cfRule>
  </conditionalFormatting>
  <conditionalFormatting sqref="G103:J103 G105:J106">
    <cfRule type="cellIs" dxfId="1991" priority="1304" operator="equal">
      <formula>"V"</formula>
    </cfRule>
    <cfRule type="cellIs" dxfId="1990" priority="1278" operator="equal">
      <formula>"R"</formula>
    </cfRule>
    <cfRule type="cellIs" dxfId="1989" priority="1297" operator="equal">
      <formula>"FIN"</formula>
    </cfRule>
    <cfRule type="cellIs" dxfId="1988" priority="1286" operator="equal">
      <formula>"DS"</formula>
    </cfRule>
    <cfRule type="cellIs" dxfId="1987" priority="1280" operator="equal">
      <formula>"DE"</formula>
    </cfRule>
    <cfRule type="cellIs" dxfId="1986" priority="1279" operator="equal">
      <formula>"F"</formula>
    </cfRule>
  </conditionalFormatting>
  <conditionalFormatting sqref="G103:J103">
    <cfRule type="cellIs" dxfId="1985" priority="2221" operator="equal">
      <formula>"D"</formula>
    </cfRule>
    <cfRule type="cellIs" dxfId="1984" priority="2222" operator="equal">
      <formula>"N"</formula>
    </cfRule>
  </conditionalFormatting>
  <conditionalFormatting sqref="G105:J106">
    <cfRule type="cellIs" dxfId="1983" priority="2220" operator="equal">
      <formula>"D"</formula>
    </cfRule>
    <cfRule type="cellIs" dxfId="1982" priority="1272" operator="equal">
      <formula>"N"</formula>
    </cfRule>
  </conditionalFormatting>
  <conditionalFormatting sqref="G126:J126">
    <cfRule type="cellIs" dxfId="1981" priority="2124" operator="equal">
      <formula>"P"</formula>
    </cfRule>
    <cfRule type="cellIs" dxfId="1980" priority="2121" operator="equal">
      <formula>"P"</formula>
    </cfRule>
    <cfRule type="cellIs" dxfId="1979" priority="2140" operator="equal">
      <formula>"N"</formula>
    </cfRule>
    <cfRule type="cellIs" dxfId="1978" priority="2139" operator="equal">
      <formula>"L"</formula>
    </cfRule>
    <cfRule type="cellIs" dxfId="1977" priority="2138" operator="equal">
      <formula>"P"</formula>
    </cfRule>
    <cfRule type="cellIs" dxfId="1976" priority="2137" operator="equal">
      <formula>"P"</formula>
    </cfRule>
    <cfRule type="cellIs" dxfId="1975" priority="2133" operator="equal">
      <formula>"T"</formula>
    </cfRule>
    <cfRule type="cellIs" dxfId="1974" priority="2132" operator="equal">
      <formula>"T"</formula>
    </cfRule>
    <cfRule type="cellIs" dxfId="1973" priority="2131" operator="equal">
      <formula>"P"</formula>
    </cfRule>
    <cfRule type="cellIs" dxfId="1972" priority="2130" operator="equal">
      <formula>"L"</formula>
    </cfRule>
    <cfRule type="cellIs" dxfId="1971" priority="2125" operator="equal">
      <formula>"T"</formula>
    </cfRule>
    <cfRule type="cellIs" dxfId="1970" priority="2127" operator="equal">
      <formula>"P"</formula>
    </cfRule>
    <cfRule type="cellIs" dxfId="1969" priority="2126" operator="equal">
      <formula>"T"</formula>
    </cfRule>
    <cfRule type="cellIs" dxfId="1968" priority="2219" operator="equal">
      <formula>"L"</formula>
    </cfRule>
    <cfRule type="cellIs" dxfId="1967" priority="2218" operator="equal">
      <formula>"L"</formula>
    </cfRule>
    <cfRule type="cellIs" dxfId="1966" priority="2217" operator="equal">
      <formula>"P"</formula>
    </cfRule>
    <cfRule type="cellIs" dxfId="1965" priority="2216" operator="equal">
      <formula>"T"</formula>
    </cfRule>
    <cfRule type="cellIs" dxfId="1964" priority="2215" operator="equal">
      <formula>"T"</formula>
    </cfRule>
    <cfRule type="cellIs" dxfId="1963" priority="2214" operator="equal">
      <formula>"P"</formula>
    </cfRule>
    <cfRule type="cellIs" dxfId="1962" priority="2212" operator="equal">
      <formula>"P"</formula>
    </cfRule>
    <cfRule type="cellIs" dxfId="1961" priority="2211" operator="equal">
      <formula>"P"</formula>
    </cfRule>
    <cfRule type="cellIs" dxfId="1960" priority="2210" operator="equal">
      <formula>"L"</formula>
    </cfRule>
    <cfRule type="cellIs" dxfId="1959" priority="2208" operator="equal">
      <formula>"T"</formula>
    </cfRule>
    <cfRule type="cellIs" dxfId="1958" priority="2207" operator="equal">
      <formula>"T"</formula>
    </cfRule>
    <cfRule type="cellIs" dxfId="1957" priority="2206" operator="equal">
      <formula>"P"</formula>
    </cfRule>
    <cfRule type="cellIs" dxfId="1956" priority="2205" operator="equal">
      <formula>"P"</formula>
    </cfRule>
    <cfRule type="cellIs" dxfId="1955" priority="2204" operator="equal">
      <formula>"P"</formula>
    </cfRule>
    <cfRule type="cellIs" dxfId="1954" priority="2202" operator="equal">
      <formula>"T"</formula>
    </cfRule>
    <cfRule type="cellIs" dxfId="1953" priority="2201" operator="equal">
      <formula>"T"</formula>
    </cfRule>
    <cfRule type="cellIs" dxfId="1952" priority="2200" operator="equal">
      <formula>"P"</formula>
    </cfRule>
    <cfRule type="cellIs" dxfId="1951" priority="2199" operator="equal">
      <formula>"P"</formula>
    </cfRule>
    <cfRule type="cellIs" dxfId="1950" priority="2198" operator="equal">
      <formula>"L"</formula>
    </cfRule>
    <cfRule type="cellIs" dxfId="1949" priority="2196" operator="equal">
      <formula>"P"</formula>
    </cfRule>
    <cfRule type="cellIs" dxfId="1948" priority="2195" operator="equal">
      <formula>"P"</formula>
    </cfRule>
    <cfRule type="cellIs" dxfId="1947" priority="2193" operator="equal">
      <formula>"L"</formula>
    </cfRule>
    <cfRule type="cellIs" dxfId="1946" priority="2192" operator="equal">
      <formula>"L"</formula>
    </cfRule>
    <cfRule type="cellIs" dxfId="1945" priority="2191" operator="equal">
      <formula>"P"</formula>
    </cfRule>
    <cfRule type="cellIs" dxfId="1944" priority="2190" operator="equal">
      <formula>"L"</formula>
    </cfRule>
    <cfRule type="cellIs" dxfId="1943" priority="2189" operator="equal">
      <formula>"T"</formula>
    </cfRule>
    <cfRule type="cellIs" dxfId="1942" priority="2188" operator="equal">
      <formula>"T"</formula>
    </cfRule>
    <cfRule type="cellIs" dxfId="1941" priority="2187" operator="equal">
      <formula>"P"</formula>
    </cfRule>
    <cfRule type="cellIs" dxfId="1940" priority="2186" operator="equal">
      <formula>"L"</formula>
    </cfRule>
    <cfRule type="cellIs" dxfId="1939" priority="2183" operator="equal">
      <formula>"L"</formula>
    </cfRule>
    <cfRule type="cellIs" dxfId="1938" priority="2182" operator="equal">
      <formula>"P"</formula>
    </cfRule>
    <cfRule type="cellIs" dxfId="1937" priority="2180" operator="equal">
      <formula>"L"</formula>
    </cfRule>
    <cfRule type="cellIs" dxfId="1936" priority="2179" operator="equal">
      <formula>"P"</formula>
    </cfRule>
    <cfRule type="cellIs" dxfId="1935" priority="2178" operator="equal">
      <formula>"P"</formula>
    </cfRule>
    <cfRule type="cellIs" dxfId="1934" priority="2177" operator="equal">
      <formula>"L"</formula>
    </cfRule>
    <cfRule type="cellIs" dxfId="1933" priority="2175" operator="equal">
      <formula>"T"</formula>
    </cfRule>
    <cfRule type="cellIs" dxfId="1932" priority="2174" operator="equal">
      <formula>"T"</formula>
    </cfRule>
    <cfRule type="cellIs" dxfId="1931" priority="2173" operator="equal">
      <formula>"P"</formula>
    </cfRule>
    <cfRule type="cellIs" dxfId="1930" priority="2172" operator="equal">
      <formula>"P"</formula>
    </cfRule>
    <cfRule type="cellIs" dxfId="1929" priority="2171" operator="equal">
      <formula>"P"</formula>
    </cfRule>
    <cfRule type="cellIs" dxfId="1928" priority="2170" operator="equal">
      <formula>"L"</formula>
    </cfRule>
    <cfRule type="cellIs" dxfId="1927" priority="2169" operator="equal">
      <formula>"L"</formula>
    </cfRule>
    <cfRule type="cellIs" dxfId="1926" priority="2168" operator="equal">
      <formula>"L"</formula>
    </cfRule>
    <cfRule type="cellIs" dxfId="1925" priority="2167" operator="equal">
      <formula>"P"</formula>
    </cfRule>
    <cfRule type="cellIs" dxfId="1924" priority="2164" operator="equal">
      <formula>"N"</formula>
    </cfRule>
    <cfRule type="cellIs" dxfId="1923" priority="2163" operator="equal">
      <formula>"P"</formula>
    </cfRule>
    <cfRule type="cellIs" dxfId="1922" priority="2162" operator="equal">
      <formula>"P"</formula>
    </cfRule>
    <cfRule type="cellIs" dxfId="1921" priority="2161" operator="equal">
      <formula>"P"</formula>
    </cfRule>
    <cfRule type="cellIs" dxfId="1920" priority="2159" operator="equal">
      <formula>"P"</formula>
    </cfRule>
    <cfRule type="cellIs" dxfId="1919" priority="2158" operator="equal">
      <formula>"L"</formula>
    </cfRule>
    <cfRule type="cellIs" dxfId="1918" priority="2157" operator="equal">
      <formula>"L"</formula>
    </cfRule>
    <cfRule type="cellIs" dxfId="1917" priority="2156" operator="equal">
      <formula>"P"</formula>
    </cfRule>
    <cfRule type="cellIs" dxfId="1916" priority="2155" operator="equal">
      <formula>"L"</formula>
    </cfRule>
    <cfRule type="cellIs" dxfId="1915" priority="2154" operator="equal">
      <formula>"P"</formula>
    </cfRule>
    <cfRule type="cellIs" dxfId="1914" priority="2153" operator="equal">
      <formula>"L"</formula>
    </cfRule>
    <cfRule type="cellIs" dxfId="1913" priority="2152" operator="equal">
      <formula>"P"</formula>
    </cfRule>
    <cfRule type="cellIs" dxfId="1912" priority="2151" operator="equal">
      <formula>"N"</formula>
    </cfRule>
    <cfRule type="cellIs" dxfId="1911" priority="2150" operator="equal">
      <formula>"L"</formula>
    </cfRule>
    <cfRule type="cellIs" dxfId="1910" priority="2148" operator="equal">
      <formula>"N"</formula>
    </cfRule>
    <cfRule type="cellIs" dxfId="1909" priority="2147" operator="equal">
      <formula>"L"</formula>
    </cfRule>
    <cfRule type="cellIs" dxfId="1908" priority="2146" operator="equal">
      <formula>"L"</formula>
    </cfRule>
    <cfRule type="cellIs" dxfId="1907" priority="2145" operator="equal">
      <formula>"L"</formula>
    </cfRule>
    <cfRule type="cellIs" dxfId="1906" priority="2144" operator="equal">
      <formula>"P"</formula>
    </cfRule>
    <cfRule type="cellIs" dxfId="1905" priority="2143" operator="equal">
      <formula>"P"</formula>
    </cfRule>
    <cfRule type="cellIs" dxfId="1904" priority="2142" operator="equal">
      <formula>"L"</formula>
    </cfRule>
    <cfRule type="cellIs" dxfId="1903" priority="2141" operator="equal">
      <formula>"P"</formula>
    </cfRule>
  </conditionalFormatting>
  <conditionalFormatting sqref="G126:J127">
    <cfRule type="cellIs" dxfId="1902" priority="2115" operator="equal">
      <formula>"F"</formula>
    </cfRule>
    <cfRule type="cellIs" dxfId="1901" priority="2114" operator="equal">
      <formula>"R"</formula>
    </cfRule>
    <cfRule type="cellIs" dxfId="1900" priority="2113" operator="equal">
      <formula>"DE"</formula>
    </cfRule>
    <cfRule type="cellIs" dxfId="1899" priority="2112" operator="equal">
      <formula>"N"</formula>
    </cfRule>
    <cfRule type="cellIs" dxfId="1898" priority="2111" operator="equal">
      <formula>"L"</formula>
    </cfRule>
    <cfRule type="cellIs" dxfId="1897" priority="2109" operator="equal">
      <formula>"P"</formula>
    </cfRule>
    <cfRule type="cellIs" dxfId="1896" priority="2108" operator="equal">
      <formula>"T"</formula>
    </cfRule>
    <cfRule type="cellIs" dxfId="1895" priority="2107" operator="equal">
      <formula>"T"</formula>
    </cfRule>
    <cfRule type="cellIs" dxfId="1894" priority="2106" operator="equal">
      <formula>"P"</formula>
    </cfRule>
    <cfRule type="cellIs" dxfId="1893" priority="2046" operator="equal">
      <formula>"L"</formula>
    </cfRule>
  </conditionalFormatting>
  <conditionalFormatting sqref="G127:J127">
    <cfRule type="cellIs" dxfId="1892" priority="2093" operator="equal">
      <formula>"T"</formula>
    </cfRule>
    <cfRule type="cellIs" dxfId="1891" priority="2094" operator="equal">
      <formula>"T"</formula>
    </cfRule>
    <cfRule type="cellIs" dxfId="1890" priority="2096" operator="equal">
      <formula>"P"</formula>
    </cfRule>
    <cfRule type="cellIs" dxfId="1889" priority="2097" operator="equal">
      <formula>"P"</formula>
    </cfRule>
    <cfRule type="cellIs" dxfId="1888" priority="2098" operator="equal">
      <formula>"P"</formula>
    </cfRule>
    <cfRule type="cellIs" dxfId="1887" priority="2099" operator="equal">
      <formula>"T"</formula>
    </cfRule>
    <cfRule type="cellIs" dxfId="1886" priority="2100" operator="equal">
      <formula>"T"</formula>
    </cfRule>
    <cfRule type="cellIs" dxfId="1885" priority="2102" operator="equal">
      <formula>"L"</formula>
    </cfRule>
    <cfRule type="cellIs" dxfId="1884" priority="2103" operator="equal">
      <formula>"P"</formula>
    </cfRule>
    <cfRule type="cellIs" dxfId="1883" priority="2104" operator="equal">
      <formula>"P"</formula>
    </cfRule>
    <cfRule type="cellIs" dxfId="1882" priority="2110" operator="equal">
      <formula>"L"</formula>
    </cfRule>
    <cfRule type="cellIs" dxfId="1881" priority="2070" operator="equal">
      <formula>"P"</formula>
    </cfRule>
    <cfRule type="cellIs" dxfId="1880" priority="1922" operator="equal">
      <formula>"T"</formula>
    </cfRule>
    <cfRule type="cellIs" dxfId="1879" priority="1896" operator="equal">
      <formula>"P"</formula>
    </cfRule>
    <cfRule type="cellIs" dxfId="1878" priority="1897" operator="equal">
      <formula>"T"</formula>
    </cfRule>
    <cfRule type="cellIs" dxfId="1877" priority="1898" operator="equal">
      <formula>"T"</formula>
    </cfRule>
    <cfRule type="cellIs" dxfId="1876" priority="1900" operator="equal">
      <formula>"N"</formula>
    </cfRule>
    <cfRule type="cellIs" dxfId="1875" priority="1901" operator="equal">
      <formula>"P"</formula>
    </cfRule>
    <cfRule type="cellIs" dxfId="1874" priority="1902" operator="equal">
      <formula>"P"</formula>
    </cfRule>
    <cfRule type="cellIs" dxfId="1873" priority="1905" operator="equal">
      <formula>"P"</formula>
    </cfRule>
    <cfRule type="cellIs" dxfId="1872" priority="1906" operator="equal">
      <formula>"T"</formula>
    </cfRule>
    <cfRule type="cellIs" dxfId="1871" priority="1907" operator="equal">
      <formula>"T"</formula>
    </cfRule>
    <cfRule type="cellIs" dxfId="1870" priority="1908" operator="equal">
      <formula>"P"</formula>
    </cfRule>
    <cfRule type="cellIs" dxfId="1869" priority="1910" operator="equal">
      <formula>"P"</formula>
    </cfRule>
    <cfRule type="cellIs" dxfId="1868" priority="1911" operator="equal">
      <formula>"L"</formula>
    </cfRule>
    <cfRule type="cellIs" dxfId="1867" priority="1912" operator="equal">
      <formula>"L"</formula>
    </cfRule>
    <cfRule type="cellIs" dxfId="1866" priority="1913" operator="equal">
      <formula>"P"</formula>
    </cfRule>
    <cfRule type="cellIs" dxfId="1865" priority="1914" operator="equal">
      <formula>"T"</formula>
    </cfRule>
    <cfRule type="cellIs" dxfId="1864" priority="1915" operator="equal">
      <formula>"T"</formula>
    </cfRule>
    <cfRule type="cellIs" dxfId="1863" priority="1916" operator="equal">
      <formula>"P"</formula>
    </cfRule>
    <cfRule type="cellIs" dxfId="1862" priority="1919" operator="equal">
      <formula>"L"</formula>
    </cfRule>
    <cfRule type="cellIs" dxfId="1861" priority="1920" operator="equal">
      <formula>"P"</formula>
    </cfRule>
    <cfRule type="cellIs" dxfId="1860" priority="1921" operator="equal">
      <formula>"T"</formula>
    </cfRule>
    <cfRule type="cellIs" dxfId="1859" priority="2067" operator="equal">
      <formula>"T"</formula>
    </cfRule>
    <cfRule type="cellIs" dxfId="1858" priority="1926" operator="equal">
      <formula>"P"</formula>
    </cfRule>
    <cfRule type="cellIs" dxfId="1857" priority="1927" operator="equal">
      <formula>"P"</formula>
    </cfRule>
    <cfRule type="cellIs" dxfId="1856" priority="1928" operator="equal">
      <formula>"L"</formula>
    </cfRule>
    <cfRule type="cellIs" dxfId="1855" priority="1929" operator="equal">
      <formula>"N"</formula>
    </cfRule>
    <cfRule type="cellIs" dxfId="1854" priority="1930" operator="equal">
      <formula>"P"</formula>
    </cfRule>
    <cfRule type="cellIs" dxfId="1853" priority="1931" operator="equal">
      <formula>"L"</formula>
    </cfRule>
    <cfRule type="cellIs" dxfId="1852" priority="1932" operator="equal">
      <formula>"P"</formula>
    </cfRule>
    <cfRule type="cellIs" dxfId="1851" priority="1933" operator="equal">
      <formula>"P"</formula>
    </cfRule>
    <cfRule type="cellIs" dxfId="1850" priority="1934" operator="equal">
      <formula>"L"</formula>
    </cfRule>
    <cfRule type="cellIs" dxfId="1849" priority="1935" operator="equal">
      <formula>"L"</formula>
    </cfRule>
    <cfRule type="cellIs" dxfId="1848" priority="1936" operator="equal">
      <formula>"L"</formula>
    </cfRule>
    <cfRule type="cellIs" dxfId="1847" priority="1937" operator="equal">
      <formula>"N"</formula>
    </cfRule>
    <cfRule type="cellIs" dxfId="1846" priority="1939" operator="equal">
      <formula>"L"</formula>
    </cfRule>
    <cfRule type="cellIs" dxfId="1845" priority="1940" operator="equal">
      <formula>"N"</formula>
    </cfRule>
    <cfRule type="cellIs" dxfId="1844" priority="1941" operator="equal">
      <formula>"P"</formula>
    </cfRule>
    <cfRule type="cellIs" dxfId="1843" priority="1942" operator="equal">
      <formula>"L"</formula>
    </cfRule>
    <cfRule type="cellIs" dxfId="1842" priority="1943" operator="equal">
      <formula>"P"</formula>
    </cfRule>
    <cfRule type="cellIs" dxfId="1841" priority="1944" operator="equal">
      <formula>"L"</formula>
    </cfRule>
    <cfRule type="cellIs" dxfId="1840" priority="1945" operator="equal">
      <formula>"P"</formula>
    </cfRule>
    <cfRule type="cellIs" dxfId="1839" priority="1946" operator="equal">
      <formula>"L"</formula>
    </cfRule>
    <cfRule type="cellIs" dxfId="1838" priority="1947" operator="equal">
      <formula>"L"</formula>
    </cfRule>
    <cfRule type="cellIs" dxfId="1837" priority="1948" operator="equal">
      <formula>"P"</formula>
    </cfRule>
    <cfRule type="cellIs" dxfId="1836" priority="1950" operator="equal">
      <formula>"P"</formula>
    </cfRule>
    <cfRule type="cellIs" dxfId="1835" priority="1951" operator="equal">
      <formula>"P"</formula>
    </cfRule>
    <cfRule type="cellIs" dxfId="1834" priority="1952" operator="equal">
      <formula>"P"</formula>
    </cfRule>
    <cfRule type="cellIs" dxfId="1833" priority="1953" operator="equal">
      <formula>"N"</formula>
    </cfRule>
    <cfRule type="cellIs" dxfId="1832" priority="1956" operator="equal">
      <formula>"P"</formula>
    </cfRule>
    <cfRule type="cellIs" dxfId="1831" priority="1957" operator="equal">
      <formula>"L"</formula>
    </cfRule>
    <cfRule type="cellIs" dxfId="1830" priority="1958" operator="equal">
      <formula>"L"</formula>
    </cfRule>
    <cfRule type="cellIs" dxfId="1829" priority="1959" operator="equal">
      <formula>"L"</formula>
    </cfRule>
    <cfRule type="cellIs" dxfId="1828" priority="1960" operator="equal">
      <formula>"P"</formula>
    </cfRule>
    <cfRule type="cellIs" dxfId="1827" priority="1961" operator="equal">
      <formula>"P"</formula>
    </cfRule>
    <cfRule type="cellIs" dxfId="1826" priority="1962" operator="equal">
      <formula>"P"</formula>
    </cfRule>
    <cfRule type="cellIs" dxfId="1825" priority="1963" operator="equal">
      <formula>"T"</formula>
    </cfRule>
    <cfRule type="cellIs" dxfId="1824" priority="1964" operator="equal">
      <formula>"T"</formula>
    </cfRule>
    <cfRule type="cellIs" dxfId="1823" priority="1966" operator="equal">
      <formula>"L"</formula>
    </cfRule>
    <cfRule type="cellIs" dxfId="1822" priority="1967" operator="equal">
      <formula>"P"</formula>
    </cfRule>
    <cfRule type="cellIs" dxfId="1821" priority="1968" operator="equal">
      <formula>"P"</formula>
    </cfRule>
    <cfRule type="cellIs" dxfId="1820" priority="1969" operator="equal">
      <formula>"L"</formula>
    </cfRule>
    <cfRule type="cellIs" dxfId="1819" priority="1971" operator="equal">
      <formula>"P"</formula>
    </cfRule>
    <cfRule type="cellIs" dxfId="1818" priority="1972" operator="equal">
      <formula>"L"</formula>
    </cfRule>
    <cfRule type="cellIs" dxfId="1817" priority="1975" operator="equal">
      <formula>"L"</formula>
    </cfRule>
    <cfRule type="cellIs" dxfId="1816" priority="1976" operator="equal">
      <formula>"P"</formula>
    </cfRule>
    <cfRule type="cellIs" dxfId="1815" priority="1977" operator="equal">
      <formula>"T"</formula>
    </cfRule>
    <cfRule type="cellIs" dxfId="1814" priority="1978" operator="equal">
      <formula>"T"</formula>
    </cfRule>
    <cfRule type="cellIs" dxfId="1813" priority="1979" operator="equal">
      <formula>"L"</formula>
    </cfRule>
    <cfRule type="cellIs" dxfId="1812" priority="1980" operator="equal">
      <formula>"P"</formula>
    </cfRule>
    <cfRule type="cellIs" dxfId="1811" priority="1981" operator="equal">
      <formula>"L"</formula>
    </cfRule>
    <cfRule type="cellIs" dxfId="1810" priority="1982" operator="equal">
      <formula>"L"</formula>
    </cfRule>
    <cfRule type="cellIs" dxfId="1809" priority="1984" operator="equal">
      <formula>"P"</formula>
    </cfRule>
    <cfRule type="cellIs" dxfId="1808" priority="1985" operator="equal">
      <formula>"P"</formula>
    </cfRule>
    <cfRule type="cellIs" dxfId="1807" priority="1987" operator="equal">
      <formula>"L"</formula>
    </cfRule>
    <cfRule type="cellIs" dxfId="1806" priority="1988" operator="equal">
      <formula>"P"</formula>
    </cfRule>
    <cfRule type="cellIs" dxfId="1805" priority="1989" operator="equal">
      <formula>"P"</formula>
    </cfRule>
    <cfRule type="cellIs" dxfId="1804" priority="1990" operator="equal">
      <formula>"T"</formula>
    </cfRule>
    <cfRule type="cellIs" dxfId="1803" priority="1991" operator="equal">
      <formula>"T"</formula>
    </cfRule>
    <cfRule type="cellIs" dxfId="1802" priority="1993" operator="equal">
      <formula>"P"</formula>
    </cfRule>
    <cfRule type="cellIs" dxfId="1801" priority="1994" operator="equal">
      <formula>"P"</formula>
    </cfRule>
    <cfRule type="cellIs" dxfId="1800" priority="1995" operator="equal">
      <formula>"P"</formula>
    </cfRule>
    <cfRule type="cellIs" dxfId="1799" priority="1996" operator="equal">
      <formula>"T"</formula>
    </cfRule>
    <cfRule type="cellIs" dxfId="1798" priority="1997" operator="equal">
      <formula>"T"</formula>
    </cfRule>
    <cfRule type="cellIs" dxfId="1797" priority="1999" operator="equal">
      <formula>"L"</formula>
    </cfRule>
    <cfRule type="cellIs" dxfId="1796" priority="2000" operator="equal">
      <formula>"P"</formula>
    </cfRule>
    <cfRule type="cellIs" dxfId="1795" priority="2001" operator="equal">
      <formula>"P"</formula>
    </cfRule>
    <cfRule type="cellIs" dxfId="1794" priority="2003" operator="equal">
      <formula>"P"</formula>
    </cfRule>
    <cfRule type="cellIs" dxfId="1793" priority="2004" operator="equal">
      <formula>"T"</formula>
    </cfRule>
    <cfRule type="cellIs" dxfId="1792" priority="2005" operator="equal">
      <formula>"T"</formula>
    </cfRule>
    <cfRule type="cellIs" dxfId="1791" priority="2006" operator="equal">
      <formula>"P"</formula>
    </cfRule>
    <cfRule type="cellIs" dxfId="1790" priority="2007" operator="equal">
      <formula>"L"</formula>
    </cfRule>
    <cfRule type="cellIs" dxfId="1789" priority="2008" operator="equal">
      <formula>"L"</formula>
    </cfRule>
    <cfRule type="cellIs" dxfId="1788" priority="2009" operator="equal">
      <formula>"P"</formula>
    </cfRule>
    <cfRule type="cellIs" dxfId="1787" priority="2010" operator="equal">
      <formula>"T"</formula>
    </cfRule>
    <cfRule type="cellIs" dxfId="1786" priority="2011" operator="equal">
      <formula>"T"</formula>
    </cfRule>
    <cfRule type="cellIs" dxfId="1785" priority="2012" operator="equal">
      <formula>"P"</formula>
    </cfRule>
    <cfRule type="cellIs" dxfId="1784" priority="2014" operator="equal">
      <formula>"P"</formula>
    </cfRule>
    <cfRule type="cellIs" dxfId="1783" priority="2015" operator="equal">
      <formula>"L"</formula>
    </cfRule>
    <cfRule type="cellIs" dxfId="1782" priority="2016" operator="equal">
      <formula>"L"</formula>
    </cfRule>
    <cfRule type="cellIs" dxfId="1781" priority="2017" operator="equal">
      <formula>"P"</formula>
    </cfRule>
    <cfRule type="cellIs" dxfId="1780" priority="2018" operator="equal">
      <formula>"T"</formula>
    </cfRule>
    <cfRule type="cellIs" dxfId="1779" priority="2019" operator="equal">
      <formula>"T"</formula>
    </cfRule>
    <cfRule type="cellIs" dxfId="1778" priority="2020" operator="equal">
      <formula>"P"</formula>
    </cfRule>
    <cfRule type="cellIs" dxfId="1777" priority="2023" operator="equal">
      <formula>"L"</formula>
    </cfRule>
    <cfRule type="cellIs" dxfId="1776" priority="2024" operator="equal">
      <formula>"P"</formula>
    </cfRule>
    <cfRule type="cellIs" dxfId="1775" priority="2025" operator="equal">
      <formula>"T"</formula>
    </cfRule>
    <cfRule type="cellIs" dxfId="1774" priority="2026" operator="equal">
      <formula>"T"</formula>
    </cfRule>
    <cfRule type="cellIs" dxfId="1773" priority="2030" operator="equal">
      <formula>"P"</formula>
    </cfRule>
    <cfRule type="cellIs" dxfId="1772" priority="2031" operator="equal">
      <formula>"P"</formula>
    </cfRule>
    <cfRule type="cellIs" dxfId="1771" priority="2032" operator="equal">
      <formula>"L"</formula>
    </cfRule>
    <cfRule type="cellIs" dxfId="1770" priority="2033" operator="equal">
      <formula>"N"</formula>
    </cfRule>
    <cfRule type="cellIs" dxfId="1769" priority="2034" operator="equal">
      <formula>"P"</formula>
    </cfRule>
    <cfRule type="cellIs" dxfId="1768" priority="2035" operator="equal">
      <formula>"L"</formula>
    </cfRule>
    <cfRule type="cellIs" dxfId="1767" priority="2036" operator="equal">
      <formula>"P"</formula>
    </cfRule>
    <cfRule type="cellIs" dxfId="1766" priority="2037" operator="equal">
      <formula>"P"</formula>
    </cfRule>
    <cfRule type="cellIs" dxfId="1765" priority="2038" operator="equal">
      <formula>"L"</formula>
    </cfRule>
    <cfRule type="cellIs" dxfId="1764" priority="2039" operator="equal">
      <formula>"L"</formula>
    </cfRule>
    <cfRule type="cellIs" dxfId="1763" priority="2040" operator="equal">
      <formula>"L"</formula>
    </cfRule>
    <cfRule type="cellIs" dxfId="1762" priority="2041" operator="equal">
      <formula>"N"</formula>
    </cfRule>
    <cfRule type="cellIs" dxfId="1761" priority="2043" operator="equal">
      <formula>"L"</formula>
    </cfRule>
    <cfRule type="cellIs" dxfId="1760" priority="2044" operator="equal">
      <formula>"N"</formula>
    </cfRule>
    <cfRule type="cellIs" dxfId="1759" priority="2045" operator="equal">
      <formula>"P"</formula>
    </cfRule>
    <cfRule type="cellIs" dxfId="1758" priority="2047" operator="equal">
      <formula>"P"</formula>
    </cfRule>
    <cfRule type="cellIs" dxfId="1757" priority="2048" operator="equal">
      <formula>"L"</formula>
    </cfRule>
    <cfRule type="cellIs" dxfId="1756" priority="2049" operator="equal">
      <formula>"P"</formula>
    </cfRule>
    <cfRule type="cellIs" dxfId="1755" priority="2050" operator="equal">
      <formula>"L"</formula>
    </cfRule>
    <cfRule type="cellIs" dxfId="1754" priority="2051" operator="equal">
      <formula>"L"</formula>
    </cfRule>
    <cfRule type="cellIs" dxfId="1753" priority="2052" operator="equal">
      <formula>"P"</formula>
    </cfRule>
    <cfRule type="cellIs" dxfId="1752" priority="2054" operator="equal">
      <formula>"P"</formula>
    </cfRule>
    <cfRule type="cellIs" dxfId="1751" priority="2055" operator="equal">
      <formula>"P"</formula>
    </cfRule>
    <cfRule type="cellIs" dxfId="1750" priority="2056" operator="equal">
      <formula>"P"</formula>
    </cfRule>
    <cfRule type="cellIs" dxfId="1749" priority="2059" operator="equal">
      <formula>"P"</formula>
    </cfRule>
    <cfRule type="cellIs" dxfId="1748" priority="2060" operator="equal">
      <formula>"L"</formula>
    </cfRule>
    <cfRule type="cellIs" dxfId="1747" priority="2061" operator="equal">
      <formula>"L"</formula>
    </cfRule>
    <cfRule type="cellIs" dxfId="1746" priority="2062" operator="equal">
      <formula>"L"</formula>
    </cfRule>
    <cfRule type="cellIs" dxfId="1745" priority="2063" operator="equal">
      <formula>"P"</formula>
    </cfRule>
    <cfRule type="cellIs" dxfId="1744" priority="2064" operator="equal">
      <formula>"P"</formula>
    </cfRule>
    <cfRule type="cellIs" dxfId="1743" priority="2065" operator="equal">
      <formula>"P"</formula>
    </cfRule>
    <cfRule type="cellIs" dxfId="1742" priority="2066" operator="equal">
      <formula>"T"</formula>
    </cfRule>
    <cfRule type="cellIs" dxfId="1741" priority="2069" operator="equal">
      <formula>"L"</formula>
    </cfRule>
    <cfRule type="cellIs" dxfId="1740" priority="2071" operator="equal">
      <formula>"P"</formula>
    </cfRule>
    <cfRule type="cellIs" dxfId="1739" priority="2072" operator="equal">
      <formula>"L"</formula>
    </cfRule>
    <cfRule type="cellIs" dxfId="1738" priority="2074" operator="equal">
      <formula>"P"</formula>
    </cfRule>
    <cfRule type="cellIs" dxfId="1737" priority="2075" operator="equal">
      <formula>"L"</formula>
    </cfRule>
    <cfRule type="cellIs" dxfId="1736" priority="2078" operator="equal">
      <formula>"L"</formula>
    </cfRule>
    <cfRule type="cellIs" dxfId="1735" priority="2079" operator="equal">
      <formula>"P"</formula>
    </cfRule>
    <cfRule type="cellIs" dxfId="1734" priority="2080" operator="equal">
      <formula>"T"</formula>
    </cfRule>
    <cfRule type="cellIs" dxfId="1733" priority="2081" operator="equal">
      <formula>"T"</formula>
    </cfRule>
    <cfRule type="cellIs" dxfId="1732" priority="2082" operator="equal">
      <formula>"L"</formula>
    </cfRule>
    <cfRule type="cellIs" dxfId="1731" priority="2083" operator="equal">
      <formula>"P"</formula>
    </cfRule>
    <cfRule type="cellIs" dxfId="1730" priority="2084" operator="equal">
      <formula>"L"</formula>
    </cfRule>
    <cfRule type="cellIs" dxfId="1729" priority="2085" operator="equal">
      <formula>"L"</formula>
    </cfRule>
    <cfRule type="cellIs" dxfId="1728" priority="2087" operator="equal">
      <formula>"P"</formula>
    </cfRule>
    <cfRule type="cellIs" dxfId="1727" priority="2088" operator="equal">
      <formula>"P"</formula>
    </cfRule>
    <cfRule type="cellIs" dxfId="1726" priority="2090" operator="equal">
      <formula>"L"</formula>
    </cfRule>
    <cfRule type="cellIs" dxfId="1725" priority="2091" operator="equal">
      <formula>"P"</formula>
    </cfRule>
    <cfRule type="cellIs" dxfId="1724" priority="2092" operator="equal">
      <formula>"P"</formula>
    </cfRule>
  </conditionalFormatting>
  <conditionalFormatting sqref="G4:K6 P4:R6 W4:Y6">
    <cfRule type="cellIs" dxfId="1723" priority="1885" operator="equal">
      <formula>"F"</formula>
    </cfRule>
    <cfRule type="cellIs" dxfId="1722" priority="1886" operator="equal">
      <formula>"R"</formula>
    </cfRule>
    <cfRule type="containsText" dxfId="1721" priority="1894" operator="containsText" text="DE">
      <formula>NOT(ISERROR(SEARCH("DE",G4)))</formula>
    </cfRule>
    <cfRule type="containsText" dxfId="1720" priority="1893" operator="containsText" text="n">
      <formula>NOT(ISERROR(SEARCH("n",G4)))</formula>
    </cfRule>
    <cfRule type="cellIs" dxfId="1719" priority="1892" operator="equal">
      <formula>"D"</formula>
    </cfRule>
    <cfRule type="containsText" dxfId="1718" priority="1891" operator="containsText" text="V">
      <formula>NOT(ISERROR(SEARCH("V",G4)))</formula>
    </cfRule>
    <cfRule type="containsText" dxfId="1717" priority="1895" operator="containsText" text="T">
      <formula>NOT(ISERROR(SEARCH("T",G4)))</formula>
    </cfRule>
    <cfRule type="cellIs" dxfId="1716" priority="1890" operator="equal">
      <formula>"H"</formula>
    </cfRule>
    <cfRule type="containsText" dxfId="1715" priority="1889" operator="containsText" text="L">
      <formula>NOT(ISERROR(SEARCH("L",G4)))</formula>
    </cfRule>
    <cfRule type="cellIs" dxfId="1714" priority="1888" operator="equal">
      <formula>"P"</formula>
    </cfRule>
    <cfRule type="cellIs" dxfId="1713" priority="1887" operator="equal">
      <formula>"LS"</formula>
    </cfRule>
  </conditionalFormatting>
  <conditionalFormatting sqref="G126:T126">
    <cfRule type="cellIs" dxfId="1712" priority="1798" operator="equal">
      <formula>"T"</formula>
    </cfRule>
    <cfRule type="cellIs" dxfId="1711" priority="1797" operator="equal">
      <formula>"T"</formula>
    </cfRule>
    <cfRule type="cellIs" dxfId="1710" priority="1813" operator="equal">
      <formula>"P"</formula>
    </cfRule>
    <cfRule type="cellIs" dxfId="1709" priority="1811" operator="equal">
      <formula>"P"</formula>
    </cfRule>
    <cfRule type="cellIs" dxfId="1708" priority="1810" operator="equal">
      <formula>"L"</formula>
    </cfRule>
    <cfRule type="cellIs" dxfId="1707" priority="1807" operator="equal">
      <formula>"T"</formula>
    </cfRule>
    <cfRule type="cellIs" dxfId="1706" priority="1806" operator="equal">
      <formula>"P"</formula>
    </cfRule>
    <cfRule type="cellIs" dxfId="1705" priority="1805" operator="equal">
      <formula>"P"</formula>
    </cfRule>
    <cfRule type="cellIs" dxfId="1704" priority="1804" operator="equal">
      <formula>"P"</formula>
    </cfRule>
    <cfRule type="cellIs" dxfId="1703" priority="1802" operator="equal">
      <formula>"L"</formula>
    </cfRule>
    <cfRule type="cellIs" dxfId="1702" priority="1863" operator="equal">
      <formula>"P"</formula>
    </cfRule>
    <cfRule type="cellIs" dxfId="1701" priority="1800" operator="equal">
      <formula>"P"</formula>
    </cfRule>
    <cfRule type="cellIs" dxfId="1700" priority="1884" operator="equal">
      <formula>"P"</formula>
    </cfRule>
    <cfRule type="cellIs" dxfId="1699" priority="1883" operator="equal">
      <formula>"T"</formula>
    </cfRule>
    <cfRule type="cellIs" dxfId="1698" priority="1882" operator="equal">
      <formula>"T"</formula>
    </cfRule>
    <cfRule type="cellIs" dxfId="1697" priority="1881" operator="equal">
      <formula>"P"</formula>
    </cfRule>
    <cfRule type="cellIs" dxfId="1696" priority="1880" operator="equal">
      <formula>"P"</formula>
    </cfRule>
    <cfRule type="cellIs" dxfId="1695" priority="1879" operator="equal">
      <formula>"T"</formula>
    </cfRule>
    <cfRule type="cellIs" dxfId="1694" priority="1878" operator="equal">
      <formula>"T"</formula>
    </cfRule>
    <cfRule type="cellIs" dxfId="1693" priority="1876" operator="equal">
      <formula>"L"</formula>
    </cfRule>
    <cfRule type="cellIs" dxfId="1692" priority="1875" operator="equal">
      <formula>"P"</formula>
    </cfRule>
    <cfRule type="cellIs" dxfId="1691" priority="1874" operator="equal">
      <formula>"N"</formula>
    </cfRule>
    <cfRule type="cellIs" dxfId="1690" priority="1873" operator="equal">
      <formula>"N"</formula>
    </cfRule>
    <cfRule type="cellIs" dxfId="1689" priority="1872" operator="equal">
      <formula>"L"</formula>
    </cfRule>
    <cfRule type="cellIs" dxfId="1688" priority="1870" operator="equal">
      <formula>"P"</formula>
    </cfRule>
    <cfRule type="cellIs" dxfId="1687" priority="1869" operator="equal">
      <formula>"L"</formula>
    </cfRule>
    <cfRule type="cellIs" dxfId="1686" priority="1868" operator="equal">
      <formula>"L"</formula>
    </cfRule>
    <cfRule type="cellIs" dxfId="1685" priority="1867" operator="equal">
      <formula>"P"</formula>
    </cfRule>
    <cfRule type="cellIs" dxfId="1684" priority="1866" operator="equal">
      <formula>"P"</formula>
    </cfRule>
    <cfRule type="cellIs" dxfId="1683" priority="1865" operator="equal">
      <formula>"L"</formula>
    </cfRule>
    <cfRule type="cellIs" dxfId="1682" priority="1864" operator="equal">
      <formula>"L"</formula>
    </cfRule>
    <cfRule type="cellIs" dxfId="1681" priority="1808" operator="equal">
      <formula>"T"</formula>
    </cfRule>
    <cfRule type="cellIs" dxfId="1680" priority="1862" operator="equal">
      <formula>"P"</formula>
    </cfRule>
    <cfRule type="cellIs" dxfId="1679" priority="1861" operator="equal">
      <formula>"L"</formula>
    </cfRule>
    <cfRule type="cellIs" dxfId="1678" priority="1858" operator="equal">
      <formula>"N"</formula>
    </cfRule>
    <cfRule type="cellIs" dxfId="1677" priority="1857" operator="equal">
      <formula>"L"</formula>
    </cfRule>
    <cfRule type="cellIs" dxfId="1676" priority="1856" operator="equal">
      <formula>"P"</formula>
    </cfRule>
    <cfRule type="cellIs" dxfId="1675" priority="1853" operator="equal">
      <formula>"P"</formula>
    </cfRule>
    <cfRule type="cellIs" dxfId="1674" priority="1852" operator="equal">
      <formula>"L"</formula>
    </cfRule>
    <cfRule type="cellIs" dxfId="1673" priority="1850" operator="equal">
      <formula>"P"</formula>
    </cfRule>
    <cfRule type="cellIs" dxfId="1672" priority="1848" operator="equal">
      <formula>"P"</formula>
    </cfRule>
    <cfRule type="cellIs" dxfId="1671" priority="1847" operator="equal">
      <formula>"P"</formula>
    </cfRule>
    <cfRule type="cellIs" dxfId="1670" priority="1845" operator="equal">
      <formula>"T"</formula>
    </cfRule>
    <cfRule type="cellIs" dxfId="1669" priority="1844" operator="equal">
      <formula>"T"</formula>
    </cfRule>
    <cfRule type="cellIs" dxfId="1668" priority="1843" operator="equal">
      <formula>"P"</formula>
    </cfRule>
    <cfRule type="cellIs" dxfId="1667" priority="1842" operator="equal">
      <formula>"P"</formula>
    </cfRule>
    <cfRule type="cellIs" dxfId="1666" priority="1840" operator="equal">
      <formula>"P"</formula>
    </cfRule>
    <cfRule type="cellIs" dxfId="1665" priority="1839" operator="equal">
      <formula>"T"</formula>
    </cfRule>
    <cfRule type="cellIs" dxfId="1664" priority="1838" operator="equal">
      <formula>"T"</formula>
    </cfRule>
    <cfRule type="cellIs" dxfId="1663" priority="1837" operator="equal">
      <formula>"P"</formula>
    </cfRule>
    <cfRule type="cellIs" dxfId="1662" priority="1836" operator="equal">
      <formula>"P"</formula>
    </cfRule>
    <cfRule type="cellIs" dxfId="1661" priority="1835" operator="equal">
      <formula>"T"</formula>
    </cfRule>
    <cfRule type="cellIs" dxfId="1660" priority="1834" operator="equal">
      <formula>"T"</formula>
    </cfRule>
    <cfRule type="cellIs" dxfId="1659" priority="1833" operator="equal">
      <formula>"P"</formula>
    </cfRule>
    <cfRule type="cellIs" dxfId="1658" priority="1832" operator="equal">
      <formula>"P"</formula>
    </cfRule>
    <cfRule type="cellIs" dxfId="1657" priority="1831" operator="equal">
      <formula>"T"</formula>
    </cfRule>
    <cfRule type="cellIs" dxfId="1656" priority="1830" operator="equal">
      <formula>"T"</formula>
    </cfRule>
    <cfRule type="cellIs" dxfId="1655" priority="1829" operator="equal">
      <formula>"P"</formula>
    </cfRule>
    <cfRule type="cellIs" dxfId="1654" priority="1827" operator="equal">
      <formula>"P"</formula>
    </cfRule>
    <cfRule type="cellIs" dxfId="1653" priority="1826" operator="equal">
      <formula>"T"</formula>
    </cfRule>
    <cfRule type="cellIs" dxfId="1652" priority="1825" operator="equal">
      <formula>"T"</formula>
    </cfRule>
    <cfRule type="cellIs" dxfId="1651" priority="1824" operator="equal">
      <formula>"P"</formula>
    </cfRule>
    <cfRule type="cellIs" dxfId="1650" priority="1822" operator="equal">
      <formula>"P"</formula>
    </cfRule>
    <cfRule type="cellIs" dxfId="1649" priority="1821" operator="equal">
      <formula>"T"</formula>
    </cfRule>
    <cfRule type="cellIs" dxfId="1648" priority="1820" operator="equal">
      <formula>"T"</formula>
    </cfRule>
    <cfRule type="cellIs" dxfId="1647" priority="1819" operator="equal">
      <formula>"P"</formula>
    </cfRule>
    <cfRule type="cellIs" dxfId="1646" priority="1817" operator="equal">
      <formula>"L"</formula>
    </cfRule>
    <cfRule type="cellIs" dxfId="1645" priority="1815" operator="equal">
      <formula>"L"</formula>
    </cfRule>
    <cfRule type="cellIs" dxfId="1644" priority="1814" operator="equal">
      <formula>"P"</formula>
    </cfRule>
  </conditionalFormatting>
  <conditionalFormatting sqref="G126:T127 U125:AK128">
    <cfRule type="cellIs" dxfId="1643" priority="1794" operator="equal">
      <formula>"T"</formula>
    </cfRule>
    <cfRule type="cellIs" dxfId="1642" priority="1793" operator="equal">
      <formula>"P"</formula>
    </cfRule>
  </conditionalFormatting>
  <conditionalFormatting sqref="G126:T127">
    <cfRule type="cellIs" dxfId="1641" priority="1791" operator="equal">
      <formula>"N"</formula>
    </cfRule>
    <cfRule type="cellIs" dxfId="1640" priority="1790" operator="equal">
      <formula>"D"</formula>
    </cfRule>
    <cfRule type="cellIs" dxfId="1639" priority="1789" operator="equal">
      <formula>"P"</formula>
    </cfRule>
    <cfRule type="cellIs" dxfId="1638" priority="1781" operator="equal">
      <formula>"L"</formula>
    </cfRule>
    <cfRule type="cellIs" dxfId="1637" priority="1318" operator="equal">
      <formula>"FIN"</formula>
    </cfRule>
    <cfRule type="cellIs" dxfId="1636" priority="1328" operator="equal">
      <formula>"V"</formula>
    </cfRule>
    <cfRule type="cellIs" dxfId="1635" priority="1778" operator="equal">
      <formula>"L"</formula>
    </cfRule>
    <cfRule type="cellIs" dxfId="1634" priority="1339" operator="equal">
      <formula>"H"</formula>
    </cfRule>
    <cfRule type="cellIs" dxfId="1633" priority="1573" operator="equal">
      <formula>"DS"</formula>
    </cfRule>
  </conditionalFormatting>
  <conditionalFormatting sqref="G127:T127">
    <cfRule type="cellIs" dxfId="1632" priority="1574" operator="equal">
      <formula>"P"</formula>
    </cfRule>
    <cfRule type="cellIs" dxfId="1631" priority="1572" operator="equal">
      <formula>"L"</formula>
    </cfRule>
    <cfRule type="cellIs" dxfId="1630" priority="1571" operator="equal">
      <formula>"L"</formula>
    </cfRule>
    <cfRule type="cellIs" dxfId="1629" priority="1570" operator="equal">
      <formula>"P"</formula>
    </cfRule>
    <cfRule type="cellIs" dxfId="1628" priority="1569" operator="equal">
      <formula>"L"</formula>
    </cfRule>
    <cfRule type="cellIs" dxfId="1627" priority="1568" operator="equal">
      <formula>"T"</formula>
    </cfRule>
    <cfRule type="cellIs" dxfId="1626" priority="1567" operator="equal">
      <formula>"T"</formula>
    </cfRule>
    <cfRule type="cellIs" dxfId="1625" priority="1566" operator="equal">
      <formula>"P"</formula>
    </cfRule>
    <cfRule type="cellIs" dxfId="1624" priority="1774" operator="equal">
      <formula>"L"</formula>
    </cfRule>
    <cfRule type="cellIs" dxfId="1623" priority="1593" operator="equal">
      <formula>"T"</formula>
    </cfRule>
    <cfRule type="cellIs" dxfId="1622" priority="1788" operator="equal">
      <formula>"T"</formula>
    </cfRule>
    <cfRule type="cellIs" dxfId="1621" priority="1787" operator="equal">
      <formula>"T"</formula>
    </cfRule>
    <cfRule type="cellIs" dxfId="1620" priority="1786" operator="equal">
      <formula>"P"</formula>
    </cfRule>
    <cfRule type="cellIs" dxfId="1619" priority="1785" operator="equal">
      <formula>"P"</formula>
    </cfRule>
    <cfRule type="cellIs" dxfId="1618" priority="1784" operator="equal">
      <formula>"T"</formula>
    </cfRule>
    <cfRule type="cellIs" dxfId="1617" priority="1783" operator="equal">
      <formula>"T"</formula>
    </cfRule>
    <cfRule type="cellIs" dxfId="1616" priority="1780" operator="equal">
      <formula>"P"</formula>
    </cfRule>
    <cfRule type="cellIs" dxfId="1615" priority="1779" operator="equal">
      <formula>"N"</formula>
    </cfRule>
    <cfRule type="cellIs" dxfId="1614" priority="1776" operator="equal">
      <formula>"P"</formula>
    </cfRule>
    <cfRule type="cellIs" dxfId="1613" priority="1775" operator="equal">
      <formula>"L"</formula>
    </cfRule>
    <cfRule type="cellIs" dxfId="1612" priority="1773" operator="equal">
      <formula>"P"</formula>
    </cfRule>
    <cfRule type="cellIs" dxfId="1611" priority="1772" operator="equal">
      <formula>"P"</formula>
    </cfRule>
    <cfRule type="cellIs" dxfId="1610" priority="1771" operator="equal">
      <formula>"L"</formula>
    </cfRule>
    <cfRule type="cellIs" dxfId="1609" priority="1770" operator="equal">
      <formula>"L"</formula>
    </cfRule>
    <cfRule type="cellIs" dxfId="1608" priority="1769" operator="equal">
      <formula>"P"</formula>
    </cfRule>
    <cfRule type="cellIs" dxfId="1607" priority="1768" operator="equal">
      <formula>"P"</formula>
    </cfRule>
    <cfRule type="cellIs" dxfId="1606" priority="1767" operator="equal">
      <formula>"L"</formula>
    </cfRule>
    <cfRule type="cellIs" dxfId="1605" priority="1764" operator="equal">
      <formula>"N"</formula>
    </cfRule>
    <cfRule type="cellIs" dxfId="1604" priority="1763" operator="equal">
      <formula>"L"</formula>
    </cfRule>
    <cfRule type="cellIs" dxfId="1603" priority="1762" operator="equal">
      <formula>"P"</formula>
    </cfRule>
    <cfRule type="cellIs" dxfId="1602" priority="1759" operator="equal">
      <formula>"P"</formula>
    </cfRule>
    <cfRule type="cellIs" dxfId="1601" priority="1758" operator="equal">
      <formula>"L"</formula>
    </cfRule>
    <cfRule type="cellIs" dxfId="1600" priority="1756" operator="equal">
      <formula>"P"</formula>
    </cfRule>
    <cfRule type="cellIs" dxfId="1599" priority="1754" operator="equal">
      <formula>"P"</formula>
    </cfRule>
    <cfRule type="cellIs" dxfId="1598" priority="1753" operator="equal">
      <formula>"P"</formula>
    </cfRule>
    <cfRule type="cellIs" dxfId="1597" priority="1751" operator="equal">
      <formula>"T"</formula>
    </cfRule>
    <cfRule type="cellIs" dxfId="1596" priority="1750" operator="equal">
      <formula>"T"</formula>
    </cfRule>
    <cfRule type="cellIs" dxfId="1595" priority="1749" operator="equal">
      <formula>"P"</formula>
    </cfRule>
    <cfRule type="cellIs" dxfId="1594" priority="1748" operator="equal">
      <formula>"P"</formula>
    </cfRule>
    <cfRule type="cellIs" dxfId="1593" priority="1746" operator="equal">
      <formula>"P"</formula>
    </cfRule>
    <cfRule type="cellIs" dxfId="1592" priority="1745" operator="equal">
      <formula>"T"</formula>
    </cfRule>
    <cfRule type="cellIs" dxfId="1591" priority="1744" operator="equal">
      <formula>"T"</formula>
    </cfRule>
    <cfRule type="cellIs" dxfId="1590" priority="1743" operator="equal">
      <formula>"P"</formula>
    </cfRule>
    <cfRule type="cellIs" dxfId="1589" priority="1742" operator="equal">
      <formula>"P"</formula>
    </cfRule>
    <cfRule type="cellIs" dxfId="1588" priority="1741" operator="equal">
      <formula>"T"</formula>
    </cfRule>
    <cfRule type="cellIs" dxfId="1587" priority="1740" operator="equal">
      <formula>"T"</formula>
    </cfRule>
    <cfRule type="cellIs" dxfId="1586" priority="1739" operator="equal">
      <formula>"P"</formula>
    </cfRule>
    <cfRule type="cellIs" dxfId="1585" priority="1738" operator="equal">
      <formula>"P"</formula>
    </cfRule>
    <cfRule type="cellIs" dxfId="1584" priority="1737" operator="equal">
      <formula>"T"</formula>
    </cfRule>
    <cfRule type="cellIs" dxfId="1583" priority="1736" operator="equal">
      <formula>"T"</formula>
    </cfRule>
    <cfRule type="cellIs" dxfId="1582" priority="1735" operator="equal">
      <formula>"P"</formula>
    </cfRule>
    <cfRule type="cellIs" dxfId="1581" priority="1733" operator="equal">
      <formula>"P"</formula>
    </cfRule>
    <cfRule type="cellIs" dxfId="1580" priority="1732" operator="equal">
      <formula>"T"</formula>
    </cfRule>
    <cfRule type="cellIs" dxfId="1579" priority="1731" operator="equal">
      <formula>"T"</formula>
    </cfRule>
    <cfRule type="cellIs" dxfId="1578" priority="1730" operator="equal">
      <formula>"P"</formula>
    </cfRule>
    <cfRule type="cellIs" dxfId="1577" priority="1728" operator="equal">
      <formula>"P"</formula>
    </cfRule>
    <cfRule type="cellIs" dxfId="1576" priority="1727" operator="equal">
      <formula>"T"</formula>
    </cfRule>
    <cfRule type="cellIs" dxfId="1575" priority="1726" operator="equal">
      <formula>"T"</formula>
    </cfRule>
    <cfRule type="cellIs" dxfId="1574" priority="1725" operator="equal">
      <formula>"P"</formula>
    </cfRule>
    <cfRule type="cellIs" dxfId="1573" priority="1723" operator="equal">
      <formula>"L"</formula>
    </cfRule>
    <cfRule type="cellIs" dxfId="1572" priority="1721" operator="equal">
      <formula>"L"</formula>
    </cfRule>
    <cfRule type="cellIs" dxfId="1571" priority="1720" operator="equal">
      <formula>"P"</formula>
    </cfRule>
    <cfRule type="cellIs" dxfId="1570" priority="1719" operator="equal">
      <formula>"P"</formula>
    </cfRule>
    <cfRule type="cellIs" dxfId="1569" priority="1717" operator="equal">
      <formula>"P"</formula>
    </cfRule>
    <cfRule type="cellIs" dxfId="1568" priority="1716" operator="equal">
      <formula>"L"</formula>
    </cfRule>
    <cfRule type="cellIs" dxfId="1567" priority="1715" operator="equal">
      <formula>"N"</formula>
    </cfRule>
    <cfRule type="cellIs" dxfId="1566" priority="1713" operator="equal">
      <formula>"T"</formula>
    </cfRule>
    <cfRule type="cellIs" dxfId="1565" priority="1712" operator="equal">
      <formula>"T"</formula>
    </cfRule>
    <cfRule type="cellIs" dxfId="1564" priority="1711" operator="equal">
      <formula>"P"</formula>
    </cfRule>
    <cfRule type="cellIs" dxfId="1563" priority="1710" operator="equal">
      <formula>"P"</formula>
    </cfRule>
    <cfRule type="cellIs" dxfId="1562" priority="1709" operator="equal">
      <formula>"P"</formula>
    </cfRule>
    <cfRule type="cellIs" dxfId="1561" priority="1707" operator="equal">
      <formula>"L"</formula>
    </cfRule>
    <cfRule type="cellIs" dxfId="1560" priority="1706" operator="equal">
      <formula>"L"</formula>
    </cfRule>
    <cfRule type="cellIs" dxfId="1559" priority="1705" operator="equal">
      <formula>"P"</formula>
    </cfRule>
    <cfRule type="cellIs" dxfId="1558" priority="1704" operator="equal">
      <formula>"L"</formula>
    </cfRule>
    <cfRule type="cellIs" dxfId="1557" priority="1703" operator="equal">
      <formula>"T"</formula>
    </cfRule>
    <cfRule type="cellIs" dxfId="1556" priority="1702" operator="equal">
      <formula>"T"</formula>
    </cfRule>
    <cfRule type="cellIs" dxfId="1555" priority="1701" operator="equal">
      <formula>"P"</formula>
    </cfRule>
    <cfRule type="cellIs" dxfId="1554" priority="1700" operator="equal">
      <formula>"P"</formula>
    </cfRule>
    <cfRule type="cellIs" dxfId="1553" priority="1699" operator="equal">
      <formula>"T"</formula>
    </cfRule>
    <cfRule type="cellIs" dxfId="1552" priority="1698" operator="equal">
      <formula>"T"</formula>
    </cfRule>
    <cfRule type="cellIs" dxfId="1551" priority="1696" operator="equal">
      <formula>"L"</formula>
    </cfRule>
    <cfRule type="cellIs" dxfId="1550" priority="1695" operator="equal">
      <formula>"P"</formula>
    </cfRule>
    <cfRule type="cellIs" dxfId="1549" priority="1694" operator="equal">
      <formula>"N"</formula>
    </cfRule>
    <cfRule type="cellIs" dxfId="1548" priority="1693" operator="equal">
      <formula>"N"</formula>
    </cfRule>
    <cfRule type="cellIs" dxfId="1547" priority="1692" operator="equal">
      <formula>"L"</formula>
    </cfRule>
    <cfRule type="cellIs" dxfId="1546" priority="1690" operator="equal">
      <formula>"P"</formula>
    </cfRule>
    <cfRule type="cellIs" dxfId="1545" priority="1689" operator="equal">
      <formula>"L"</formula>
    </cfRule>
    <cfRule type="cellIs" dxfId="1544" priority="1688" operator="equal">
      <formula>"L"</formula>
    </cfRule>
    <cfRule type="cellIs" dxfId="1543" priority="1687" operator="equal">
      <formula>"P"</formula>
    </cfRule>
    <cfRule type="cellIs" dxfId="1542" priority="1686" operator="equal">
      <formula>"P"</formula>
    </cfRule>
    <cfRule type="cellIs" dxfId="1541" priority="1685" operator="equal">
      <formula>"L"</formula>
    </cfRule>
    <cfRule type="cellIs" dxfId="1540" priority="1684" operator="equal">
      <formula>"L"</formula>
    </cfRule>
    <cfRule type="cellIs" dxfId="1539" priority="1683" operator="equal">
      <formula>"P"</formula>
    </cfRule>
    <cfRule type="cellIs" dxfId="1538" priority="1682" operator="equal">
      <formula>"P"</formula>
    </cfRule>
    <cfRule type="cellIs" dxfId="1537" priority="1681" operator="equal">
      <formula>"L"</formula>
    </cfRule>
    <cfRule type="cellIs" dxfId="1536" priority="1678" operator="equal">
      <formula>"N"</formula>
    </cfRule>
    <cfRule type="cellIs" dxfId="1535" priority="1677" operator="equal">
      <formula>"L"</formula>
    </cfRule>
    <cfRule type="cellIs" dxfId="1534" priority="1676" operator="equal">
      <formula>"P"</formula>
    </cfRule>
    <cfRule type="cellIs" dxfId="1533" priority="1673" operator="equal">
      <formula>"P"</formula>
    </cfRule>
    <cfRule type="cellIs" dxfId="1532" priority="1672" operator="equal">
      <formula>"L"</formula>
    </cfRule>
    <cfRule type="cellIs" dxfId="1531" priority="1670" operator="equal">
      <formula>"P"</formula>
    </cfRule>
    <cfRule type="cellIs" dxfId="1530" priority="1668" operator="equal">
      <formula>"P"</formula>
    </cfRule>
    <cfRule type="cellIs" dxfId="1529" priority="1667" operator="equal">
      <formula>"P"</formula>
    </cfRule>
    <cfRule type="cellIs" dxfId="1528" priority="1665" operator="equal">
      <formula>"T"</formula>
    </cfRule>
    <cfRule type="cellIs" dxfId="1527" priority="1664" operator="equal">
      <formula>"T"</formula>
    </cfRule>
    <cfRule type="cellIs" dxfId="1526" priority="1663" operator="equal">
      <formula>"P"</formula>
    </cfRule>
    <cfRule type="cellIs" dxfId="1525" priority="1662" operator="equal">
      <formula>"P"</formula>
    </cfRule>
    <cfRule type="cellIs" dxfId="1524" priority="1660" operator="equal">
      <formula>"P"</formula>
    </cfRule>
    <cfRule type="cellIs" dxfId="1523" priority="1659" operator="equal">
      <formula>"T"</formula>
    </cfRule>
    <cfRule type="cellIs" dxfId="1522" priority="1658" operator="equal">
      <formula>"T"</formula>
    </cfRule>
    <cfRule type="cellIs" dxfId="1521" priority="1657" operator="equal">
      <formula>"P"</formula>
    </cfRule>
    <cfRule type="cellIs" dxfId="1520" priority="1656" operator="equal">
      <formula>"P"</formula>
    </cfRule>
    <cfRule type="cellIs" dxfId="1519" priority="1655" operator="equal">
      <formula>"T"</formula>
    </cfRule>
    <cfRule type="cellIs" dxfId="1518" priority="1654" operator="equal">
      <formula>"T"</formula>
    </cfRule>
    <cfRule type="cellIs" dxfId="1517" priority="1653" operator="equal">
      <formula>"P"</formula>
    </cfRule>
    <cfRule type="cellIs" dxfId="1516" priority="1652" operator="equal">
      <formula>"P"</formula>
    </cfRule>
    <cfRule type="cellIs" dxfId="1515" priority="1651" operator="equal">
      <formula>"T"</formula>
    </cfRule>
    <cfRule type="cellIs" dxfId="1514" priority="1650" operator="equal">
      <formula>"T"</formula>
    </cfRule>
    <cfRule type="cellIs" dxfId="1513" priority="1649" operator="equal">
      <formula>"P"</formula>
    </cfRule>
    <cfRule type="cellIs" dxfId="1512" priority="1647" operator="equal">
      <formula>"P"</formula>
    </cfRule>
    <cfRule type="cellIs" dxfId="1511" priority="1646" operator="equal">
      <formula>"T"</formula>
    </cfRule>
    <cfRule type="cellIs" dxfId="1510" priority="1645" operator="equal">
      <formula>"T"</formula>
    </cfRule>
    <cfRule type="cellIs" dxfId="1509" priority="1644" operator="equal">
      <formula>"P"</formula>
    </cfRule>
    <cfRule type="cellIs" dxfId="1508" priority="1642" operator="equal">
      <formula>"P"</formula>
    </cfRule>
    <cfRule type="cellIs" dxfId="1507" priority="1641" operator="equal">
      <formula>"T"</formula>
    </cfRule>
    <cfRule type="cellIs" dxfId="1506" priority="1640" operator="equal">
      <formula>"T"</formula>
    </cfRule>
    <cfRule type="cellIs" dxfId="1505" priority="1639" operator="equal">
      <formula>"P"</formula>
    </cfRule>
    <cfRule type="cellIs" dxfId="1504" priority="1637" operator="equal">
      <formula>"L"</formula>
    </cfRule>
    <cfRule type="cellIs" dxfId="1503" priority="1635" operator="equal">
      <formula>"L"</formula>
    </cfRule>
    <cfRule type="cellIs" dxfId="1502" priority="1634" operator="equal">
      <formula>"P"</formula>
    </cfRule>
    <cfRule type="cellIs" dxfId="1501" priority="1622" operator="equal">
      <formula>"L"</formula>
    </cfRule>
    <cfRule type="cellIs" dxfId="1500" priority="1633" operator="equal">
      <formula>"P"</formula>
    </cfRule>
    <cfRule type="cellIs" dxfId="1499" priority="1631" operator="equal">
      <formula>"P"</formula>
    </cfRule>
    <cfRule type="cellIs" dxfId="1498" priority="1630" operator="equal">
      <formula>"L"</formula>
    </cfRule>
    <cfRule type="cellIs" dxfId="1497" priority="1628" operator="equal">
      <formula>"T"</formula>
    </cfRule>
    <cfRule type="cellIs" dxfId="1496" priority="1627" operator="equal">
      <formula>"T"</formula>
    </cfRule>
    <cfRule type="cellIs" dxfId="1495" priority="1626" operator="equal">
      <formula>"P"</formula>
    </cfRule>
    <cfRule type="cellIs" dxfId="1494" priority="1625" operator="equal">
      <formula>"P"</formula>
    </cfRule>
    <cfRule type="cellIs" dxfId="1493" priority="1624" operator="equal">
      <formula>"P"</formula>
    </cfRule>
    <cfRule type="cellIs" dxfId="1492" priority="1621" operator="equal">
      <formula>"L"</formula>
    </cfRule>
    <cfRule type="cellIs" dxfId="1491" priority="1620" operator="equal">
      <formula>"P"</formula>
    </cfRule>
    <cfRule type="cellIs" dxfId="1490" priority="1619" operator="equal">
      <formula>"L"</formula>
    </cfRule>
    <cfRule type="cellIs" dxfId="1489" priority="1618" operator="equal">
      <formula>"T"</formula>
    </cfRule>
    <cfRule type="cellIs" dxfId="1488" priority="1617" operator="equal">
      <formula>"T"</formula>
    </cfRule>
    <cfRule type="cellIs" dxfId="1487" priority="1616" operator="equal">
      <formula>"P"</formula>
    </cfRule>
    <cfRule type="cellIs" dxfId="1486" priority="1615" operator="equal">
      <formula>"P"</formula>
    </cfRule>
    <cfRule type="cellIs" dxfId="1485" priority="1614" operator="equal">
      <formula>"T"</formula>
    </cfRule>
    <cfRule type="cellIs" dxfId="1484" priority="1613" operator="equal">
      <formula>"T"</formula>
    </cfRule>
    <cfRule type="cellIs" dxfId="1483" priority="1612" operator="equal">
      <formula>"P"</formula>
    </cfRule>
    <cfRule type="cellIs" dxfId="1482" priority="1611" operator="equal">
      <formula>"P"</formula>
    </cfRule>
    <cfRule type="cellIs" dxfId="1481" priority="1609" operator="equal">
      <formula>"P"</formula>
    </cfRule>
    <cfRule type="cellIs" dxfId="1480" priority="1608" operator="equal">
      <formula>"T"</formula>
    </cfRule>
    <cfRule type="cellIs" dxfId="1479" priority="1607" operator="equal">
      <formula>"T"</formula>
    </cfRule>
    <cfRule type="cellIs" dxfId="1478" priority="1606" operator="equal">
      <formula>"P"</formula>
    </cfRule>
    <cfRule type="cellIs" dxfId="1477" priority="1605" operator="equal">
      <formula>"P"</formula>
    </cfRule>
    <cfRule type="cellIs" dxfId="1476" priority="1604" operator="equal">
      <formula>"P"</formula>
    </cfRule>
    <cfRule type="cellIs" dxfId="1475" priority="1602" operator="equal">
      <formula>"P"</formula>
    </cfRule>
    <cfRule type="cellIs" dxfId="1474" priority="1601" operator="equal">
      <formula>"T"</formula>
    </cfRule>
    <cfRule type="cellIs" dxfId="1473" priority="1600" operator="equal">
      <formula>"T"</formula>
    </cfRule>
    <cfRule type="cellIs" dxfId="1472" priority="1598" operator="equal">
      <formula>"T"</formula>
    </cfRule>
    <cfRule type="cellIs" dxfId="1471" priority="1597" operator="equal">
      <formula>"T"</formula>
    </cfRule>
    <cfRule type="cellIs" dxfId="1470" priority="1596" operator="equal">
      <formula>"P"</formula>
    </cfRule>
    <cfRule type="cellIs" dxfId="1469" priority="1595" operator="equal">
      <formula>"P"</formula>
    </cfRule>
    <cfRule type="cellIs" dxfId="1468" priority="1594" operator="equal">
      <formula>"T"</formula>
    </cfRule>
    <cfRule type="cellIs" dxfId="1467" priority="1592" operator="equal">
      <formula>"P"</formula>
    </cfRule>
    <cfRule type="cellIs" dxfId="1466" priority="1590" operator="equal">
      <formula>"P"</formula>
    </cfRule>
    <cfRule type="cellIs" dxfId="1465" priority="1589" operator="equal">
      <formula>"T"</formula>
    </cfRule>
    <cfRule type="cellIs" dxfId="1464" priority="1588" operator="equal">
      <formula>"T"</formula>
    </cfRule>
    <cfRule type="cellIs" dxfId="1463" priority="1587" operator="equal">
      <formula>"P"</formula>
    </cfRule>
    <cfRule type="cellIs" dxfId="1462" priority="1585" operator="equal">
      <formula>"P"</formula>
    </cfRule>
    <cfRule type="cellIs" dxfId="1461" priority="1584" operator="equal">
      <formula>"P"</formula>
    </cfRule>
    <cfRule type="cellIs" dxfId="1460" priority="1583" operator="equal">
      <formula>"N"</formula>
    </cfRule>
    <cfRule type="cellIs" dxfId="1459" priority="1581" operator="equal">
      <formula>"T"</formula>
    </cfRule>
    <cfRule type="cellIs" dxfId="1458" priority="1580" operator="equal">
      <formula>"T"</formula>
    </cfRule>
    <cfRule type="cellIs" dxfId="1457" priority="1579" operator="equal">
      <formula>"P"</formula>
    </cfRule>
    <cfRule type="cellIs" dxfId="1456" priority="1578" operator="equal">
      <formula>"P"</formula>
    </cfRule>
    <cfRule type="cellIs" dxfId="1455" priority="1577" operator="equal">
      <formula>"L"</formula>
    </cfRule>
    <cfRule type="cellIs" dxfId="1454" priority="1575" operator="equal">
      <formula>"P"</formula>
    </cfRule>
  </conditionalFormatting>
  <conditionalFormatting sqref="G6:AK6 G12:AK102">
    <cfRule type="cellIs" dxfId="1453" priority="1553" operator="equal">
      <formula>"LS"</formula>
    </cfRule>
    <cfRule type="cellIs" dxfId="1452" priority="1551" operator="equal">
      <formula>"F"</formula>
    </cfRule>
    <cfRule type="containsText" dxfId="1451" priority="1561" operator="containsText" text="T">
      <formula>NOT(ISERROR(SEARCH("T",G6)))</formula>
    </cfRule>
    <cfRule type="containsText" dxfId="1450" priority="1560" operator="containsText" text="DE">
      <formula>NOT(ISERROR(SEARCH("DE",G6)))</formula>
    </cfRule>
    <cfRule type="containsText" dxfId="1449" priority="1559" operator="containsText" text="n">
      <formula>NOT(ISERROR(SEARCH("n",G6)))</formula>
    </cfRule>
    <cfRule type="containsText" dxfId="1448" priority="1555" operator="containsText" text="L">
      <formula>NOT(ISERROR(SEARCH("L",G6)))</formula>
    </cfRule>
    <cfRule type="containsText" dxfId="1447" priority="1557" operator="containsText" text="V">
      <formula>NOT(ISERROR(SEARCH("V",G6)))</formula>
    </cfRule>
    <cfRule type="cellIs" dxfId="1446" priority="1556" operator="equal">
      <formula>"H"</formula>
    </cfRule>
    <cfRule type="cellIs" dxfId="1445" priority="1554" operator="equal">
      <formula>"P"</formula>
    </cfRule>
    <cfRule type="cellIs" dxfId="1444" priority="1552" operator="equal">
      <formula>"R"</formula>
    </cfRule>
  </conditionalFormatting>
  <conditionalFormatting sqref="G6:AK6 G13:AK102">
    <cfRule type="cellIs" dxfId="1443" priority="1558" operator="equal">
      <formula>"D"</formula>
    </cfRule>
  </conditionalFormatting>
  <conditionalFormatting sqref="G103:AK104">
    <cfRule type="cellIs" dxfId="1442" priority="1550" operator="equal">
      <formula>"N"</formula>
    </cfRule>
  </conditionalFormatting>
  <conditionalFormatting sqref="G104:AK104">
    <cfRule type="containsText" dxfId="1441" priority="1545" operator="containsText" text="V">
      <formula>NOT(ISERROR(SEARCH("V",G104)))</formula>
    </cfRule>
    <cfRule type="cellIs" dxfId="1440" priority="1524" operator="equal">
      <formula>"L"</formula>
    </cfRule>
    <cfRule type="cellIs" dxfId="1439" priority="1525" operator="equal">
      <formula>"FIN"</formula>
    </cfRule>
    <cfRule type="cellIs" dxfId="1438" priority="1526" operator="equal">
      <formula>"L"</formula>
    </cfRule>
    <cfRule type="cellIs" dxfId="1437" priority="1527" operator="equal">
      <formula>"V"</formula>
    </cfRule>
    <cfRule type="cellIs" dxfId="1436" priority="1528" operator="equal">
      <formula>"DS"</formula>
    </cfRule>
    <cfRule type="cellIs" dxfId="1435" priority="1529" operator="equal">
      <formula>"D"</formula>
    </cfRule>
    <cfRule type="cellIs" dxfId="1434" priority="1540" operator="equal">
      <formula>"R"</formula>
    </cfRule>
    <cfRule type="containsText" dxfId="1433" priority="1538" operator="containsText" text="H">
      <formula>NOT(ISERROR(SEARCH("H",G104)))</formula>
    </cfRule>
    <cfRule type="cellIs" dxfId="1432" priority="1533" operator="equal">
      <formula>"P"</formula>
    </cfRule>
    <cfRule type="containsText" dxfId="1431" priority="1549" operator="containsText" text="T">
      <formula>NOT(ISERROR(SEARCH("T",G104)))</formula>
    </cfRule>
    <cfRule type="containsText" dxfId="1430" priority="1548" operator="containsText" text="DE">
      <formula>NOT(ISERROR(SEARCH("DE",G104)))</formula>
    </cfRule>
    <cfRule type="cellIs" dxfId="1429" priority="1535" operator="equal">
      <formula>"DE"</formula>
    </cfRule>
    <cfRule type="cellIs" dxfId="1428" priority="1536" operator="equal">
      <formula>"R"</formula>
    </cfRule>
    <cfRule type="cellIs" dxfId="1427" priority="1537" operator="equal">
      <formula>"F"</formula>
    </cfRule>
    <cfRule type="containsText" dxfId="1426" priority="1547" operator="containsText" text="n">
      <formula>NOT(ISERROR(SEARCH("n",G104)))</formula>
    </cfRule>
    <cfRule type="cellIs" dxfId="1425" priority="1546" operator="equal">
      <formula>"D"</formula>
    </cfRule>
    <cfRule type="cellIs" dxfId="1424" priority="1539" operator="equal">
      <formula>"F"</formula>
    </cfRule>
    <cfRule type="cellIs" dxfId="1423" priority="1544" operator="equal">
      <formula>"H"</formula>
    </cfRule>
    <cfRule type="containsText" dxfId="1422" priority="1543" operator="containsText" text="L">
      <formula>NOT(ISERROR(SEARCH("L",G104)))</formula>
    </cfRule>
    <cfRule type="cellIs" dxfId="1421" priority="1542" operator="equal">
      <formula>"P"</formula>
    </cfRule>
    <cfRule type="cellIs" dxfId="1420" priority="1541" operator="equal">
      <formula>"LS"</formula>
    </cfRule>
  </conditionalFormatting>
  <conditionalFormatting sqref="G104:AK106 G125:H127 AI125:AJ127 AK125:AK128">
    <cfRule type="cellIs" dxfId="1419" priority="1" operator="equal">
      <formula>"P"</formula>
    </cfRule>
    <cfRule type="cellIs" dxfId="1418" priority="2" operator="equal">
      <formula>"T"</formula>
    </cfRule>
    <cfRule type="cellIs" dxfId="1417" priority="3" operator="equal">
      <formula>"T"</formula>
    </cfRule>
  </conditionalFormatting>
  <conditionalFormatting sqref="G107:AK124 I108:R109 S109:AK109">
    <cfRule type="cellIs" dxfId="1416" priority="1489" operator="equal">
      <formula>"R"</formula>
    </cfRule>
  </conditionalFormatting>
  <conditionalFormatting sqref="G125:AK128 F2:G2">
    <cfRule type="cellIs" dxfId="1415" priority="1523" operator="equal">
      <formula>"N"</formula>
    </cfRule>
  </conditionalFormatting>
  <conditionalFormatting sqref="G125:AK128">
    <cfRule type="cellIs" dxfId="1414" priority="223" operator="equal">
      <formula>"DE"</formula>
    </cfRule>
    <cfRule type="cellIs" dxfId="1413" priority="224" operator="equal">
      <formula>"R"</formula>
    </cfRule>
    <cfRule type="cellIs" dxfId="1412" priority="225" operator="equal">
      <formula>"F"</formula>
    </cfRule>
    <cfRule type="cellIs" dxfId="1411" priority="2272" operator="equal">
      <formula>"P"</formula>
    </cfRule>
    <cfRule type="cellIs" dxfId="1410" priority="1522" operator="equal">
      <formula>"L"</formula>
    </cfRule>
    <cfRule type="cellIs" dxfId="1409" priority="4" operator="equal">
      <formula>"FIN"</formula>
    </cfRule>
    <cfRule type="cellIs" dxfId="1408" priority="30" operator="equal">
      <formula>"DS"</formula>
    </cfRule>
    <cfRule type="cellIs" dxfId="1407" priority="8" operator="equal">
      <formula>"V"</formula>
    </cfRule>
  </conditionalFormatting>
  <conditionalFormatting sqref="I103">
    <cfRule type="cellIs" dxfId="1406" priority="1494" operator="equal">
      <formula>"N"</formula>
    </cfRule>
    <cfRule type="cellIs" dxfId="1405" priority="1493" operator="equal">
      <formula>"L"</formula>
    </cfRule>
    <cfRule type="cellIs" dxfId="1404" priority="1502" operator="equal">
      <formula>"P"</formula>
    </cfRule>
    <cfRule type="cellIs" dxfId="1403" priority="1521" operator="equal">
      <formula>"P"</formula>
    </cfRule>
    <cfRule type="cellIs" dxfId="1402" priority="1520" operator="equal">
      <formula>"P"</formula>
    </cfRule>
    <cfRule type="cellIs" dxfId="1401" priority="1516" operator="equal">
      <formula>"P"</formula>
    </cfRule>
    <cfRule type="cellIs" dxfId="1400" priority="1515" operator="equal">
      <formula>"P"</formula>
    </cfRule>
    <cfRule type="cellIs" dxfId="1399" priority="1511" operator="equal">
      <formula>"P"</formula>
    </cfRule>
    <cfRule type="cellIs" dxfId="1398" priority="1510" operator="equal">
      <formula>"N"</formula>
    </cfRule>
    <cfRule type="cellIs" dxfId="1397" priority="1509" operator="equal">
      <formula>"N"</formula>
    </cfRule>
    <cfRule type="cellIs" dxfId="1396" priority="1508" operator="equal">
      <formula>"L"</formula>
    </cfRule>
    <cfRule type="cellIs" dxfId="1395" priority="1506" operator="equal">
      <formula>"P"</formula>
    </cfRule>
    <cfRule type="cellIs" dxfId="1394" priority="1505" operator="equal">
      <formula>"L"</formula>
    </cfRule>
    <cfRule type="cellIs" dxfId="1393" priority="1504" operator="equal">
      <formula>"L"</formula>
    </cfRule>
    <cfRule type="cellIs" dxfId="1392" priority="1503" operator="equal">
      <formula>"P"</formula>
    </cfRule>
    <cfRule type="cellIs" dxfId="1391" priority="1513" operator="equal">
      <formula>"P"</formula>
    </cfRule>
    <cfRule type="cellIs" dxfId="1390" priority="1501" operator="equal">
      <formula>"L"</formula>
    </cfRule>
    <cfRule type="cellIs" dxfId="1389" priority="1500" operator="equal">
      <formula>"L"</formula>
    </cfRule>
    <cfRule type="cellIs" dxfId="1388" priority="1499" operator="equal">
      <formula>"P"</formula>
    </cfRule>
    <cfRule type="cellIs" dxfId="1387" priority="1498" operator="equal">
      <formula>"P"</formula>
    </cfRule>
    <cfRule type="cellIs" dxfId="1386" priority="1497" operator="equal">
      <formula>"L"</formula>
    </cfRule>
  </conditionalFormatting>
  <conditionalFormatting sqref="I103:J103 J105:J106">
    <cfRule type="cellIs" dxfId="1385" priority="1311" operator="equal">
      <formula>"P"</formula>
    </cfRule>
    <cfRule type="cellIs" dxfId="1384" priority="1310" operator="equal">
      <formula>"T"</formula>
    </cfRule>
    <cfRule type="cellIs" dxfId="1383" priority="1309" operator="equal">
      <formula>"T"</formula>
    </cfRule>
    <cfRule type="cellIs" dxfId="1382" priority="1305" operator="equal">
      <formula>"L"</formula>
    </cfRule>
  </conditionalFormatting>
  <conditionalFormatting sqref="I126:T126">
    <cfRule type="cellIs" dxfId="1381" priority="1436" operator="equal">
      <formula>"P"</formula>
    </cfRule>
    <cfRule type="cellIs" dxfId="1380" priority="1433" operator="equal">
      <formula>"L"</formula>
    </cfRule>
    <cfRule type="cellIs" dxfId="1379" priority="1431" operator="equal">
      <formula>"P"</formula>
    </cfRule>
    <cfRule type="cellIs" dxfId="1378" priority="1430" operator="equal">
      <formula>"L"</formula>
    </cfRule>
    <cfRule type="cellIs" dxfId="1377" priority="1429" operator="equal">
      <formula>"L"</formula>
    </cfRule>
    <cfRule type="cellIs" dxfId="1376" priority="1428" operator="equal">
      <formula>"P"</formula>
    </cfRule>
    <cfRule type="cellIs" dxfId="1375" priority="1427" operator="equal">
      <formula>"P"</formula>
    </cfRule>
    <cfRule type="cellIs" dxfId="1374" priority="1426" operator="equal">
      <formula>"L"</formula>
    </cfRule>
    <cfRule type="cellIs" dxfId="1373" priority="1425" operator="equal">
      <formula>"L"</formula>
    </cfRule>
    <cfRule type="cellIs" dxfId="1372" priority="1424" operator="equal">
      <formula>"P"</formula>
    </cfRule>
    <cfRule type="cellIs" dxfId="1371" priority="1422" operator="equal">
      <formula>"L"</formula>
    </cfRule>
    <cfRule type="cellIs" dxfId="1370" priority="1418" operator="equal">
      <formula>"L"</formula>
    </cfRule>
    <cfRule type="cellIs" dxfId="1369" priority="1423" operator="equal">
      <formula>"P"</formula>
    </cfRule>
    <cfRule type="cellIs" dxfId="1368" priority="1446" operator="equal">
      <formula>"P"</formula>
    </cfRule>
    <cfRule type="cellIs" dxfId="1367" priority="1445" operator="equal">
      <formula>"P"</formula>
    </cfRule>
    <cfRule type="cellIs" dxfId="1366" priority="1441" operator="equal">
      <formula>"P"</formula>
    </cfRule>
    <cfRule type="cellIs" dxfId="1365" priority="1440" operator="equal">
      <formula>"P"</formula>
    </cfRule>
    <cfRule type="cellIs" dxfId="1364" priority="1439" operator="equal">
      <formula>"L"</formula>
    </cfRule>
    <cfRule type="cellIs" dxfId="1363" priority="1438" operator="equal">
      <formula>"P"</formula>
    </cfRule>
  </conditionalFormatting>
  <conditionalFormatting sqref="I126:T127">
    <cfRule type="cellIs" dxfId="1362" priority="1411" operator="equal">
      <formula>"T"</formula>
    </cfRule>
    <cfRule type="cellIs" dxfId="1361" priority="1412" operator="equal">
      <formula>"T"</formula>
    </cfRule>
    <cfRule type="cellIs" dxfId="1360" priority="1415" operator="equal">
      <formula>"P"</formula>
    </cfRule>
    <cfRule type="cellIs" dxfId="1359" priority="1404" operator="equal">
      <formula>"N"</formula>
    </cfRule>
    <cfRule type="cellIs" dxfId="1358" priority="1403" operator="equal">
      <formula>"N"</formula>
    </cfRule>
    <cfRule type="cellIs" dxfId="1357" priority="1388" operator="equal">
      <formula>"N"</formula>
    </cfRule>
    <cfRule type="cellIs" dxfId="1356" priority="1398" operator="equal">
      <formula>"L"</formula>
    </cfRule>
  </conditionalFormatting>
  <conditionalFormatting sqref="I127:T127">
    <cfRule type="cellIs" dxfId="1355" priority="1373" operator="equal">
      <formula>"N"</formula>
    </cfRule>
    <cfRule type="cellIs" dxfId="1354" priority="1372" operator="equal">
      <formula>"N"</formula>
    </cfRule>
    <cfRule type="cellIs" dxfId="1353" priority="1371" operator="equal">
      <formula>"L"</formula>
    </cfRule>
    <cfRule type="cellIs" dxfId="1352" priority="1369" operator="equal">
      <formula>"P"</formula>
    </cfRule>
    <cfRule type="cellIs" dxfId="1351" priority="1368" operator="equal">
      <formula>"L"</formula>
    </cfRule>
    <cfRule type="cellIs" dxfId="1350" priority="1367" operator="equal">
      <formula>"L"</formula>
    </cfRule>
    <cfRule type="cellIs" dxfId="1349" priority="1366" operator="equal">
      <formula>"P"</formula>
    </cfRule>
    <cfRule type="cellIs" dxfId="1348" priority="1365" operator="equal">
      <formula>"P"</formula>
    </cfRule>
    <cfRule type="cellIs" dxfId="1347" priority="1364" operator="equal">
      <formula>"L"</formula>
    </cfRule>
    <cfRule type="cellIs" dxfId="1346" priority="1363" operator="equal">
      <formula>"L"</formula>
    </cfRule>
    <cfRule type="cellIs" dxfId="1345" priority="1362" operator="equal">
      <formula>"P"</formula>
    </cfRule>
    <cfRule type="cellIs" dxfId="1344" priority="1361" operator="equal">
      <formula>"P"</formula>
    </cfRule>
    <cfRule type="cellIs" dxfId="1343" priority="1357" operator="equal">
      <formula>"N"</formula>
    </cfRule>
    <cfRule type="cellIs" dxfId="1342" priority="1356" operator="equal">
      <formula>"L"</formula>
    </cfRule>
    <cfRule type="cellIs" dxfId="1341" priority="1354" operator="equal">
      <formula>"L"</formula>
    </cfRule>
    <cfRule type="cellIs" dxfId="1340" priority="1353" operator="equal">
      <formula>"P"</formula>
    </cfRule>
    <cfRule type="cellIs" dxfId="1339" priority="1352" operator="equal">
      <formula>"P"</formula>
    </cfRule>
    <cfRule type="cellIs" dxfId="1338" priority="1350" operator="equal">
      <formula>"T"</formula>
    </cfRule>
    <cfRule type="cellIs" dxfId="1337" priority="1349" operator="equal">
      <formula>"T"</formula>
    </cfRule>
    <cfRule type="cellIs" dxfId="1336" priority="1348" operator="equal">
      <formula>"P"</formula>
    </cfRule>
    <cfRule type="cellIs" dxfId="1335" priority="1347" operator="equal">
      <formula>"P"</formula>
    </cfRule>
    <cfRule type="cellIs" dxfId="1334" priority="1346" operator="equal">
      <formula>"L"</formula>
    </cfRule>
    <cfRule type="cellIs" dxfId="1333" priority="1345" operator="equal">
      <formula>"P"</formula>
    </cfRule>
    <cfRule type="cellIs" dxfId="1332" priority="1343" operator="equal">
      <formula>"P"</formula>
    </cfRule>
    <cfRule type="cellIs" dxfId="1331" priority="1342" operator="equal">
      <formula>"N"</formula>
    </cfRule>
    <cfRule type="cellIs" dxfId="1330" priority="1341" operator="equal">
      <formula>"N"</formula>
    </cfRule>
    <cfRule type="cellIs" dxfId="1329" priority="1340" operator="equal">
      <formula>"L"</formula>
    </cfRule>
    <cfRule type="cellIs" dxfId="1328" priority="1338" operator="equal">
      <formula>"P"</formula>
    </cfRule>
    <cfRule type="cellIs" dxfId="1327" priority="1337" operator="equal">
      <formula>"L"</formula>
    </cfRule>
    <cfRule type="cellIs" dxfId="1326" priority="1336" operator="equal">
      <formula>"L"</formula>
    </cfRule>
    <cfRule type="cellIs" dxfId="1325" priority="1409" operator="equal">
      <formula>"P"</formula>
    </cfRule>
    <cfRule type="cellIs" dxfId="1324" priority="1410" operator="equal">
      <formula>"P"</formula>
    </cfRule>
    <cfRule type="cellIs" dxfId="1323" priority="1360" operator="equal">
      <formula>"L"</formula>
    </cfRule>
    <cfRule type="cellIs" dxfId="1322" priority="1414" operator="equal">
      <formula>"P"</formula>
    </cfRule>
    <cfRule type="cellIs" dxfId="1321" priority="1335" operator="equal">
      <formula>"P"</formula>
    </cfRule>
    <cfRule type="cellIs" dxfId="1320" priority="1334" operator="equal">
      <formula>"P"</formula>
    </cfRule>
    <cfRule type="cellIs" dxfId="1319" priority="1333" operator="equal">
      <formula>"L"</formula>
    </cfRule>
    <cfRule type="cellIs" dxfId="1318" priority="1332" operator="equal">
      <formula>"L"</formula>
    </cfRule>
    <cfRule type="cellIs" dxfId="1317" priority="1331" operator="equal">
      <formula>"P"</formula>
    </cfRule>
    <cfRule type="cellIs" dxfId="1316" priority="1330" operator="equal">
      <formula>"P"</formula>
    </cfRule>
    <cfRule type="cellIs" dxfId="1315" priority="1329" operator="equal">
      <formula>"L"</formula>
    </cfRule>
    <cfRule type="cellIs" dxfId="1314" priority="1326" operator="equal">
      <formula>"N"</formula>
    </cfRule>
    <cfRule type="cellIs" dxfId="1313" priority="1325" operator="equal">
      <formula>"L"</formula>
    </cfRule>
    <cfRule type="cellIs" dxfId="1312" priority="1324" operator="equal">
      <formula>"P"</formula>
    </cfRule>
    <cfRule type="cellIs" dxfId="1311" priority="1322" operator="equal">
      <formula>"D"</formula>
    </cfRule>
    <cfRule type="cellIs" dxfId="1310" priority="1321" operator="equal">
      <formula>"N"</formula>
    </cfRule>
    <cfRule type="cellIs" dxfId="1309" priority="1320" operator="equal">
      <formula>"L"</formula>
    </cfRule>
    <cfRule type="cellIs" dxfId="1308" priority="1319" operator="equal">
      <formula>"L"</formula>
    </cfRule>
    <cfRule type="cellIs" dxfId="1307" priority="1405" operator="equal">
      <formula>"P"</formula>
    </cfRule>
    <cfRule type="cellIs" dxfId="1306" priority="1407" operator="equal">
      <formula>"P"</formula>
    </cfRule>
    <cfRule type="cellIs" dxfId="1305" priority="1402" operator="equal">
      <formula>"L"</formula>
    </cfRule>
    <cfRule type="cellIs" dxfId="1304" priority="1408" operator="equal">
      <formula>"L"</formula>
    </cfRule>
    <cfRule type="cellIs" dxfId="1303" priority="1399" operator="equal">
      <formula>"L"</formula>
    </cfRule>
    <cfRule type="cellIs" dxfId="1302" priority="1374" operator="equal">
      <formula>"P"</formula>
    </cfRule>
    <cfRule type="cellIs" dxfId="1301" priority="1397" operator="equal">
      <formula>"P"</formula>
    </cfRule>
    <cfRule type="cellIs" dxfId="1300" priority="1396" operator="equal">
      <formula>"P"</formula>
    </cfRule>
    <cfRule type="cellIs" dxfId="1299" priority="1395" operator="equal">
      <formula>"L"</formula>
    </cfRule>
    <cfRule type="cellIs" dxfId="1298" priority="1394" operator="equal">
      <formula>"L"</formula>
    </cfRule>
    <cfRule type="cellIs" dxfId="1297" priority="1393" operator="equal">
      <formula>"P"</formula>
    </cfRule>
    <cfRule type="cellIs" dxfId="1296" priority="1392" operator="equal">
      <formula>"P"</formula>
    </cfRule>
    <cfRule type="cellIs" dxfId="1295" priority="1391" operator="equal">
      <formula>"L"</formula>
    </cfRule>
    <cfRule type="cellIs" dxfId="1294" priority="1400" operator="equal">
      <formula>"P"</formula>
    </cfRule>
    <cfRule type="cellIs" dxfId="1293" priority="1387" operator="equal">
      <formula>"L"</formula>
    </cfRule>
    <cfRule type="cellIs" dxfId="1292" priority="1385" operator="equal">
      <formula>"L"</formula>
    </cfRule>
    <cfRule type="cellIs" dxfId="1291" priority="1384" operator="equal">
      <formula>"P"</formula>
    </cfRule>
    <cfRule type="cellIs" dxfId="1290" priority="1383" operator="equal">
      <formula>"P"</formula>
    </cfRule>
    <cfRule type="cellIs" dxfId="1289" priority="1381" operator="equal">
      <formula>"T"</formula>
    </cfRule>
    <cfRule type="cellIs" dxfId="1288" priority="1380" operator="equal">
      <formula>"T"</formula>
    </cfRule>
    <cfRule type="cellIs" dxfId="1287" priority="1379" operator="equal">
      <formula>"P"</formula>
    </cfRule>
    <cfRule type="cellIs" dxfId="1286" priority="1378" operator="equal">
      <formula>"P"</formula>
    </cfRule>
    <cfRule type="cellIs" dxfId="1285" priority="1377" operator="equal">
      <formula>"L"</formula>
    </cfRule>
    <cfRule type="cellIs" dxfId="1284" priority="1376" operator="equal">
      <formula>"P"</formula>
    </cfRule>
  </conditionalFormatting>
  <conditionalFormatting sqref="I125:AH126 G127:AH127 I128:AH128 AI125:AK128">
    <cfRule type="cellIs" dxfId="1283" priority="1562" operator="equal">
      <formula>"P"</formula>
    </cfRule>
  </conditionalFormatting>
  <conditionalFormatting sqref="I125:AH126 G127:AH128 AI125:AK128">
    <cfRule type="cellIs" dxfId="1282" priority="1563" operator="equal">
      <formula>"T"</formula>
    </cfRule>
  </conditionalFormatting>
  <conditionalFormatting sqref="I125:AH126 U125:AK128 G127:AH127 I128:AH128">
    <cfRule type="cellIs" dxfId="1281" priority="1565" operator="equal">
      <formula>"P"</formula>
    </cfRule>
  </conditionalFormatting>
  <conditionalFormatting sqref="I125:AH126 AI125:AK128 G127:AH128">
    <cfRule type="cellIs" dxfId="1280" priority="1564" operator="equal">
      <formula>"T"</formula>
    </cfRule>
  </conditionalFormatting>
  <conditionalFormatting sqref="I107:AK107 I108:R109 S109:AK109">
    <cfRule type="containsText" dxfId="1279" priority="1477" operator="containsText" text="H">
      <formula>NOT(ISERROR(SEARCH("H",I107)))</formula>
    </cfRule>
    <cfRule type="cellIs" dxfId="1278" priority="1478" operator="equal">
      <formula>"FIN"</formula>
    </cfRule>
    <cfRule type="cellIs" dxfId="1277" priority="1479" operator="equal">
      <formula>"L"</formula>
    </cfRule>
    <cfRule type="cellIs" dxfId="1276" priority="1480" operator="equal">
      <formula>"V"</formula>
    </cfRule>
    <cfRule type="cellIs" dxfId="1275" priority="1481" operator="equal">
      <formula>"DS"</formula>
    </cfRule>
    <cfRule type="cellIs" dxfId="1274" priority="1482" operator="equal">
      <formula>"P"</formula>
    </cfRule>
    <cfRule type="cellIs" dxfId="1273" priority="1483" operator="equal">
      <formula>"T"</formula>
    </cfRule>
    <cfRule type="cellIs" dxfId="1272" priority="1484" operator="equal">
      <formula>"T"</formula>
    </cfRule>
    <cfRule type="cellIs" dxfId="1271" priority="1485" operator="equal">
      <formula>"P"</formula>
    </cfRule>
    <cfRule type="cellIs" dxfId="1270" priority="1487" operator="equal">
      <formula>"L"</formula>
    </cfRule>
    <cfRule type="cellIs" dxfId="1269" priority="1488" operator="equal">
      <formula>"DE"</formula>
    </cfRule>
    <cfRule type="cellIs" dxfId="1268" priority="1490" operator="equal">
      <formula>"F"</formula>
    </cfRule>
    <cfRule type="cellIs" dxfId="1267" priority="1312" operator="equal">
      <formula>"D"</formula>
    </cfRule>
    <cfRule type="cellIs" dxfId="1266" priority="1314" operator="equal">
      <formula>"P"</formula>
    </cfRule>
    <cfRule type="cellIs" dxfId="1265" priority="1313" operator="equal">
      <formula>"N"</formula>
    </cfRule>
    <cfRule type="cellIs" dxfId="1264" priority="1447" operator="equal">
      <formula>"DV"</formula>
    </cfRule>
    <cfRule type="cellIs" dxfId="1263" priority="1448" operator="equal">
      <formula>"F"</formula>
    </cfRule>
    <cfRule type="cellIs" dxfId="1262" priority="1449" operator="equal">
      <formula>"R"</formula>
    </cfRule>
    <cfRule type="cellIs" dxfId="1261" priority="1450" operator="equal">
      <formula>"LS"</formula>
    </cfRule>
    <cfRule type="cellIs" dxfId="1260" priority="1451" operator="equal">
      <formula>"P"</formula>
    </cfRule>
    <cfRule type="containsText" dxfId="1259" priority="1452" operator="containsText" text="L">
      <formula>NOT(ISERROR(SEARCH("L",I107)))</formula>
    </cfRule>
    <cfRule type="cellIs" dxfId="1258" priority="1453" operator="equal">
      <formula>"H"</formula>
    </cfRule>
    <cfRule type="containsText" dxfId="1257" priority="1454" operator="containsText" text="V">
      <formula>NOT(ISERROR(SEARCH("V",I107)))</formula>
    </cfRule>
    <cfRule type="containsText" dxfId="1256" priority="1455" operator="containsText" text="n">
      <formula>NOT(ISERROR(SEARCH("n",I107)))</formula>
    </cfRule>
    <cfRule type="containsText" dxfId="1255" priority="1456" operator="containsText" text="DE">
      <formula>NOT(ISERROR(SEARCH("DE",I107)))</formula>
    </cfRule>
    <cfRule type="containsText" dxfId="1254" priority="1457" operator="containsText" text="T">
      <formula>NOT(ISERROR(SEARCH("T",I107)))</formula>
    </cfRule>
    <cfRule type="cellIs" dxfId="1253" priority="1458" operator="equal">
      <formula>"L"</formula>
    </cfRule>
    <cfRule type="cellIs" dxfId="1252" priority="1459" operator="equal">
      <formula>"L"</formula>
    </cfRule>
    <cfRule type="cellIs" dxfId="1251" priority="1460" operator="equal">
      <formula>"DE"</formula>
    </cfRule>
    <cfRule type="cellIs" dxfId="1250" priority="1461" operator="equal">
      <formula>"R"</formula>
    </cfRule>
    <cfRule type="cellIs" dxfId="1249" priority="1462" operator="equal">
      <formula>"F"</formula>
    </cfRule>
    <cfRule type="cellIs" dxfId="1248" priority="1463" operator="equal">
      <formula>"FIN"</formula>
    </cfRule>
    <cfRule type="cellIs" dxfId="1247" priority="1464" operator="equal">
      <formula>"PL"</formula>
    </cfRule>
    <cfRule type="cellIs" dxfId="1246" priority="1466" operator="equal">
      <formula>"V"</formula>
    </cfRule>
    <cfRule type="cellIs" dxfId="1245" priority="1467" operator="equal">
      <formula>"P"</formula>
    </cfRule>
    <cfRule type="cellIs" dxfId="1244" priority="1468" operator="equal">
      <formula>"T"</formula>
    </cfRule>
    <cfRule type="cellIs" dxfId="1243" priority="1469" operator="equal">
      <formula>"T"</formula>
    </cfRule>
    <cfRule type="cellIs" dxfId="1242" priority="1470" operator="equal">
      <formula>"P"</formula>
    </cfRule>
    <cfRule type="cellIs" dxfId="1241" priority="1471" operator="equal">
      <formula>"DS"</formula>
    </cfRule>
    <cfRule type="cellIs" dxfId="1240" priority="1475" operator="equal">
      <formula>"L"</formula>
    </cfRule>
    <cfRule type="cellIs" dxfId="1239" priority="1476" operator="equal">
      <formula>"L"</formula>
    </cfRule>
  </conditionalFormatting>
  <conditionalFormatting sqref="I108:AK109 G107:H109 G110:AK124">
    <cfRule type="cellIs" dxfId="1238" priority="5288" operator="equal">
      <formula>"F"</formula>
    </cfRule>
    <cfRule type="cellIs" dxfId="1237" priority="5290" operator="equal">
      <formula>"LS"</formula>
    </cfRule>
    <cfRule type="cellIs" dxfId="1236" priority="5291" operator="equal">
      <formula>"P"</formula>
    </cfRule>
  </conditionalFormatting>
  <conditionalFormatting sqref="I108:AK109 G107:H109 G110:AK128">
    <cfRule type="cellIs" dxfId="1235" priority="5287" operator="equal">
      <formula>"D"</formula>
    </cfRule>
  </conditionalFormatting>
  <conditionalFormatting sqref="J103 J105:J106">
    <cfRule type="cellIs" dxfId="1234" priority="1284" operator="equal">
      <formula>"L"</formula>
    </cfRule>
    <cfRule type="cellIs" dxfId="1233" priority="1277" operator="equal">
      <formula>"P"</formula>
    </cfRule>
    <cfRule type="cellIs" dxfId="1232" priority="1281" operator="equal">
      <formula>"L"</formula>
    </cfRule>
    <cfRule type="cellIs" dxfId="1231" priority="1282" operator="equal">
      <formula>"P"</formula>
    </cfRule>
    <cfRule type="cellIs" dxfId="1230" priority="1288" operator="equal">
      <formula>"P"</formula>
    </cfRule>
    <cfRule type="cellIs" dxfId="1229" priority="1285" operator="equal">
      <formula>"L"</formula>
    </cfRule>
    <cfRule type="cellIs" dxfId="1228" priority="1293" operator="equal">
      <formula>"P"</formula>
    </cfRule>
    <cfRule type="cellIs" dxfId="1227" priority="1291" operator="equal">
      <formula>"P"</formula>
    </cfRule>
    <cfRule type="cellIs" dxfId="1226" priority="1290" operator="equal">
      <formula>"T"</formula>
    </cfRule>
    <cfRule type="cellIs" dxfId="1225" priority="1301" operator="equal">
      <formula>"T"</formula>
    </cfRule>
    <cfRule type="cellIs" dxfId="1224" priority="1289" operator="equal">
      <formula>"T"</formula>
    </cfRule>
    <cfRule type="cellIs" dxfId="1223" priority="1287" operator="equal">
      <formula>"P"</formula>
    </cfRule>
    <cfRule type="cellIs" dxfId="1222" priority="1274" operator="equal">
      <formula>"T"</formula>
    </cfRule>
    <cfRule type="cellIs" dxfId="1221" priority="1275" operator="equal">
      <formula>"T"</formula>
    </cfRule>
    <cfRule type="cellIs" dxfId="1220" priority="1276" operator="equal">
      <formula>"L"</formula>
    </cfRule>
    <cfRule type="cellIs" dxfId="1219" priority="1294" operator="equal">
      <formula>"T"</formula>
    </cfRule>
    <cfRule type="cellIs" dxfId="1218" priority="1295" operator="equal">
      <formula>"T"</formula>
    </cfRule>
    <cfRule type="cellIs" dxfId="1217" priority="1296" operator="equal">
      <formula>"P"</formula>
    </cfRule>
    <cfRule type="cellIs" dxfId="1216" priority="1299" operator="equal">
      <formula>"P"</formula>
    </cfRule>
    <cfRule type="cellIs" dxfId="1215" priority="1300" operator="equal">
      <formula>"T"</formula>
    </cfRule>
    <cfRule type="cellIs" dxfId="1214" priority="1302" operator="equal">
      <formula>"P"</formula>
    </cfRule>
    <cfRule type="cellIs" dxfId="1213" priority="1306" operator="equal">
      <formula>"L"</formula>
    </cfRule>
    <cfRule type="cellIs" dxfId="1212" priority="1308" operator="equal">
      <formula>"P"</formula>
    </cfRule>
    <cfRule type="cellIs" dxfId="1211" priority="1273" operator="equal">
      <formula>"P"</formula>
    </cfRule>
  </conditionalFormatting>
  <conditionalFormatting sqref="J103:AK103">
    <cfRule type="cellIs" dxfId="1210" priority="1247" operator="equal">
      <formula>"FIN"</formula>
    </cfRule>
    <cfRule type="cellIs" dxfId="1209" priority="1248" operator="equal">
      <formula>"L"</formula>
    </cfRule>
    <cfRule type="cellIs" dxfId="1208" priority="1249" operator="equal">
      <formula>"V"</formula>
    </cfRule>
    <cfRule type="cellIs" dxfId="1207" priority="1250" operator="equal">
      <formula>"DS"</formula>
    </cfRule>
    <cfRule type="cellIs" dxfId="1206" priority="1252" operator="equal">
      <formula>"P"</formula>
    </cfRule>
    <cfRule type="cellIs" dxfId="1205" priority="1253" operator="equal">
      <formula>"T"</formula>
    </cfRule>
    <cfRule type="cellIs" dxfId="1204" priority="1254" operator="equal">
      <formula>"T"</formula>
    </cfRule>
    <cfRule type="cellIs" dxfId="1203" priority="1255" operator="equal">
      <formula>"P"</formula>
    </cfRule>
    <cfRule type="cellIs" dxfId="1202" priority="1258" operator="equal">
      <formula>"R"</formula>
    </cfRule>
    <cfRule type="cellIs" dxfId="1201" priority="1259" operator="equal">
      <formula>"F"</formula>
    </cfRule>
    <cfRule type="containsText" dxfId="1200" priority="1260" operator="containsText" text="H">
      <formula>NOT(ISERROR(SEARCH("H",J103)))</formula>
    </cfRule>
    <cfRule type="cellIs" dxfId="1199" priority="1261" operator="equal">
      <formula>"F"</formula>
    </cfRule>
    <cfRule type="cellIs" dxfId="1198" priority="1262" operator="equal">
      <formula>"R"</formula>
    </cfRule>
    <cfRule type="cellIs" dxfId="1197" priority="1263" operator="equal">
      <formula>"LS"</formula>
    </cfRule>
    <cfRule type="cellIs" dxfId="1196" priority="1264" operator="equal">
      <formula>"P"</formula>
    </cfRule>
    <cfRule type="containsText" dxfId="1195" priority="1265" operator="containsText" text="L">
      <formula>NOT(ISERROR(SEARCH("L",J103)))</formula>
    </cfRule>
    <cfRule type="cellIs" dxfId="1194" priority="1251" operator="equal">
      <formula>"D"</formula>
    </cfRule>
    <cfRule type="cellIs" dxfId="1193" priority="1266" operator="equal">
      <formula>"H"</formula>
    </cfRule>
    <cfRule type="containsText" dxfId="1192" priority="1267" operator="containsText" text="V">
      <formula>NOT(ISERROR(SEARCH("V",J103)))</formula>
    </cfRule>
    <cfRule type="cellIs" dxfId="1191" priority="1268" operator="equal">
      <formula>"D"</formula>
    </cfRule>
    <cfRule type="containsText" dxfId="1190" priority="1270" operator="containsText" text="DE">
      <formula>NOT(ISERROR(SEARCH("DE",J103)))</formula>
    </cfRule>
    <cfRule type="containsText" dxfId="1189" priority="1271" operator="containsText" text="T">
      <formula>NOT(ISERROR(SEARCH("T",J103)))</formula>
    </cfRule>
    <cfRule type="containsText" dxfId="1188" priority="1269" operator="containsText" text="n">
      <formula>NOT(ISERROR(SEARCH("n",J103)))</formula>
    </cfRule>
    <cfRule type="cellIs" dxfId="1187" priority="1257" operator="equal">
      <formula>"DE"</formula>
    </cfRule>
    <cfRule type="cellIs" dxfId="1186" priority="1246" operator="equal">
      <formula>"L"</formula>
    </cfRule>
  </conditionalFormatting>
  <conditionalFormatting sqref="J105:AK106">
    <cfRule type="containsText" dxfId="1185" priority="1243" operator="containsText" text="n">
      <formula>NOT(ISERROR(SEARCH("n",J105)))</formula>
    </cfRule>
    <cfRule type="containsText" dxfId="1184" priority="1245" operator="containsText" text="T">
      <formula>NOT(ISERROR(SEARCH("T",J105)))</formula>
    </cfRule>
    <cfRule type="containsText" dxfId="1183" priority="1244" operator="containsText" text="DE">
      <formula>NOT(ISERROR(SEARCH("DE",J105)))</formula>
    </cfRule>
    <cfRule type="containsText" dxfId="1182" priority="1241" operator="containsText" text="V">
      <formula>NOT(ISERROR(SEARCH("V",J105)))</formula>
    </cfRule>
    <cfRule type="cellIs" dxfId="1181" priority="1240" operator="equal">
      <formula>"H"</formula>
    </cfRule>
    <cfRule type="containsText" dxfId="1180" priority="1239" operator="containsText" text="L">
      <formula>NOT(ISERROR(SEARCH("L",J105)))</formula>
    </cfRule>
    <cfRule type="cellIs" dxfId="1179" priority="1238" operator="equal">
      <formula>"P"</formula>
    </cfRule>
    <cfRule type="cellIs" dxfId="1178" priority="1237" operator="equal">
      <formula>"LS"</formula>
    </cfRule>
    <cfRule type="cellIs" dxfId="1177" priority="1236" operator="equal">
      <formula>"R"</formula>
    </cfRule>
    <cfRule type="cellIs" dxfId="1176" priority="1235" operator="equal">
      <formula>"F"</formula>
    </cfRule>
    <cfRule type="containsText" dxfId="1175" priority="1234" operator="containsText" text="H">
      <formula>NOT(ISERROR(SEARCH("H",J105)))</formula>
    </cfRule>
    <cfRule type="cellIs" dxfId="1174" priority="1233" operator="equal">
      <formula>"F"</formula>
    </cfRule>
    <cfRule type="cellIs" dxfId="1173" priority="1232" operator="equal">
      <formula>"R"</formula>
    </cfRule>
    <cfRule type="cellIs" dxfId="1172" priority="1231" operator="equal">
      <formula>"DE"</formula>
    </cfRule>
    <cfRule type="cellIs" dxfId="1171" priority="1229" operator="equal">
      <formula>"P"</formula>
    </cfRule>
    <cfRule type="cellIs" dxfId="1170" priority="1225" operator="equal">
      <formula>"D"</formula>
    </cfRule>
    <cfRule type="cellIs" dxfId="1169" priority="1224" operator="equal">
      <formula>"DS"</formula>
    </cfRule>
    <cfRule type="cellIs" dxfId="1168" priority="1223" operator="equal">
      <formula>"V"</formula>
    </cfRule>
    <cfRule type="cellIs" dxfId="1167" priority="1222" operator="equal">
      <formula>"L"</formula>
    </cfRule>
    <cfRule type="cellIs" dxfId="1166" priority="1221" operator="equal">
      <formula>"FIN"</formula>
    </cfRule>
    <cfRule type="cellIs" dxfId="1165" priority="1220" operator="equal">
      <formula>"N"</formula>
    </cfRule>
    <cfRule type="cellIs" dxfId="1164" priority="1219" operator="equal">
      <formula>"L"</formula>
    </cfRule>
    <cfRule type="cellIs" dxfId="1163" priority="1242" operator="equal">
      <formula>"D"</formula>
    </cfRule>
  </conditionalFormatting>
  <conditionalFormatting sqref="K125:T125">
    <cfRule type="cellIs" dxfId="1162" priority="1168" operator="equal">
      <formula>"P"</formula>
    </cfRule>
    <cfRule type="cellIs" dxfId="1161" priority="1169" operator="equal">
      <formula>"H"</formula>
    </cfRule>
    <cfRule type="cellIs" dxfId="1160" priority="1170" operator="equal">
      <formula>"L"</formula>
    </cfRule>
    <cfRule type="cellIs" dxfId="1159" priority="1171" operator="equal">
      <formula>"N"</formula>
    </cfRule>
    <cfRule type="cellIs" dxfId="1158" priority="1172" operator="equal">
      <formula>"N"</formula>
    </cfRule>
    <cfRule type="cellIs" dxfId="1157" priority="1173" operator="equal">
      <formula>"P"</formula>
    </cfRule>
    <cfRule type="cellIs" dxfId="1156" priority="1175" operator="equal">
      <formula>"P"</formula>
    </cfRule>
    <cfRule type="cellIs" dxfId="1155" priority="1176" operator="equal">
      <formula>"L"</formula>
    </cfRule>
    <cfRule type="cellIs" dxfId="1154" priority="1177" operator="equal">
      <formula>"P"</formula>
    </cfRule>
    <cfRule type="cellIs" dxfId="1153" priority="1179" operator="equal">
      <formula>"P"</formula>
    </cfRule>
    <cfRule type="cellIs" dxfId="1152" priority="1180" operator="equal">
      <formula>"P"</formula>
    </cfRule>
    <cfRule type="cellIs" dxfId="1151" priority="1181" operator="equal">
      <formula>"T"</formula>
    </cfRule>
    <cfRule type="cellIs" dxfId="1150" priority="1182" operator="equal">
      <formula>"T"</formula>
    </cfRule>
    <cfRule type="cellIs" dxfId="1149" priority="1184" operator="equal">
      <formula>"P"</formula>
    </cfRule>
    <cfRule type="cellIs" dxfId="1148" priority="1185" operator="equal">
      <formula>"P"</formula>
    </cfRule>
    <cfRule type="cellIs" dxfId="1147" priority="1186" operator="equal">
      <formula>"N"</formula>
    </cfRule>
    <cfRule type="cellIs" dxfId="1146" priority="1115" operator="equal">
      <formula>"V"</formula>
    </cfRule>
    <cfRule type="cellIs" dxfId="1145" priority="1144" operator="equal">
      <formula>"T"</formula>
    </cfRule>
    <cfRule type="cellIs" dxfId="1144" priority="1118" operator="equal">
      <formula>"T"</formula>
    </cfRule>
    <cfRule type="cellIs" dxfId="1143" priority="1119" operator="equal">
      <formula>"P"</formula>
    </cfRule>
    <cfRule type="cellIs" dxfId="1142" priority="1121" operator="equal">
      <formula>"P"</formula>
    </cfRule>
    <cfRule type="cellIs" dxfId="1141" priority="1122" operator="equal">
      <formula>"T"</formula>
    </cfRule>
    <cfRule type="cellIs" dxfId="1140" priority="1123" operator="equal">
      <formula>"T"</formula>
    </cfRule>
    <cfRule type="cellIs" dxfId="1139" priority="1124" operator="equal">
      <formula>"P"</formula>
    </cfRule>
    <cfRule type="cellIs" dxfId="1138" priority="1126" operator="equal">
      <formula>"P"</formula>
    </cfRule>
    <cfRule type="cellIs" dxfId="1137" priority="1127" operator="equal">
      <formula>"T"</formula>
    </cfRule>
    <cfRule type="cellIs" dxfId="1136" priority="1128" operator="equal">
      <formula>"T"</formula>
    </cfRule>
    <cfRule type="cellIs" dxfId="1135" priority="1129" operator="equal">
      <formula>"P"</formula>
    </cfRule>
    <cfRule type="cellIs" dxfId="1134" priority="1130" operator="equal">
      <formula>"P"</formula>
    </cfRule>
    <cfRule type="cellIs" dxfId="1133" priority="1131" operator="equal">
      <formula>"T"</formula>
    </cfRule>
    <cfRule type="cellIs" dxfId="1132" priority="1132" operator="equal">
      <formula>"T"</formula>
    </cfRule>
    <cfRule type="cellIs" dxfId="1131" priority="1133" operator="equal">
      <formula>"P"</formula>
    </cfRule>
    <cfRule type="cellIs" dxfId="1130" priority="1134" operator="equal">
      <formula>"P"</formula>
    </cfRule>
    <cfRule type="cellIs" dxfId="1129" priority="1114" operator="equal">
      <formula>"L"</formula>
    </cfRule>
    <cfRule type="cellIs" dxfId="1128" priority="1117" operator="equal">
      <formula>"T"</formula>
    </cfRule>
    <cfRule type="cellIs" dxfId="1127" priority="1112" operator="equal">
      <formula>"L"</formula>
    </cfRule>
    <cfRule type="cellIs" dxfId="1126" priority="1111" operator="equal">
      <formula>"P"</formula>
    </cfRule>
    <cfRule type="cellIs" dxfId="1125" priority="1110" operator="equal">
      <formula>"P"</formula>
    </cfRule>
    <cfRule type="cellIs" dxfId="1124" priority="1108" operator="equal">
      <formula>"D"</formula>
    </cfRule>
    <cfRule type="cellIs" dxfId="1123" priority="1107" operator="equal">
      <formula>"P"</formula>
    </cfRule>
    <cfRule type="cellIs" dxfId="1122" priority="1106" operator="equal">
      <formula>"L"</formula>
    </cfRule>
    <cfRule type="cellIs" dxfId="1121" priority="1105" operator="equal">
      <formula>"N"</formula>
    </cfRule>
    <cfRule type="cellIs" dxfId="1120" priority="1104" operator="equal">
      <formula>"FIN"</formula>
    </cfRule>
    <cfRule type="cellIs" dxfId="1119" priority="1103" operator="equal">
      <formula>"T"</formula>
    </cfRule>
    <cfRule type="cellIs" dxfId="1118" priority="1102" operator="equal">
      <formula>"T"</formula>
    </cfRule>
    <cfRule type="cellIs" dxfId="1117" priority="1101" operator="equal">
      <formula>"P"</formula>
    </cfRule>
    <cfRule type="cellIs" dxfId="1116" priority="1100" operator="equal">
      <formula>"P"</formula>
    </cfRule>
    <cfRule type="cellIs" dxfId="1115" priority="1135" operator="equal">
      <formula>"T"</formula>
    </cfRule>
    <cfRule type="cellIs" dxfId="1114" priority="1136" operator="equal">
      <formula>"T"</formula>
    </cfRule>
    <cfRule type="cellIs" dxfId="1113" priority="1137" operator="equal">
      <formula>"P"</formula>
    </cfRule>
    <cfRule type="cellIs" dxfId="1112" priority="1139" operator="equal">
      <formula>"P"</formula>
    </cfRule>
    <cfRule type="cellIs" dxfId="1111" priority="1099" operator="equal">
      <formula>"P"</formula>
    </cfRule>
    <cfRule type="cellIs" dxfId="1110" priority="1098" operator="equal">
      <formula>"DS"</formula>
    </cfRule>
    <cfRule type="cellIs" dxfId="1109" priority="1091" operator="equal">
      <formula>"P"</formula>
    </cfRule>
    <cfRule type="cellIs" dxfId="1108" priority="1092" operator="equal">
      <formula>"T"</formula>
    </cfRule>
    <cfRule type="cellIs" dxfId="1107" priority="1093" operator="equal">
      <formula>"T"</formula>
    </cfRule>
    <cfRule type="cellIs" dxfId="1106" priority="1094" operator="equal">
      <formula>"L"</formula>
    </cfRule>
    <cfRule type="cellIs" dxfId="1105" priority="1095" operator="equal">
      <formula>"P"</formula>
    </cfRule>
    <cfRule type="cellIs" dxfId="1104" priority="1096" operator="equal">
      <formula>"L"</formula>
    </cfRule>
    <cfRule type="cellIs" dxfId="1103" priority="1097" operator="equal">
      <formula>"L"</formula>
    </cfRule>
    <cfRule type="cellIs" dxfId="1102" priority="1140" operator="equal">
      <formula>"L"</formula>
    </cfRule>
    <cfRule type="cellIs" dxfId="1101" priority="1141" operator="equal">
      <formula>"P"</formula>
    </cfRule>
    <cfRule type="cellIs" dxfId="1100" priority="1142" operator="equal">
      <formula>"P"</formula>
    </cfRule>
    <cfRule type="cellIs" dxfId="1099" priority="1143" operator="equal">
      <formula>"T"</formula>
    </cfRule>
    <cfRule type="cellIs" dxfId="1098" priority="1146" operator="equal">
      <formula>"P"</formula>
    </cfRule>
    <cfRule type="cellIs" dxfId="1097" priority="1147" operator="equal">
      <formula>"P"</formula>
    </cfRule>
    <cfRule type="cellIs" dxfId="1096" priority="1148" operator="equal">
      <formula>"L"</formula>
    </cfRule>
    <cfRule type="cellIs" dxfId="1095" priority="1150" operator="equal">
      <formula>"P"</formula>
    </cfRule>
    <cfRule type="cellIs" dxfId="1094" priority="1152" operator="equal">
      <formula>"L"</formula>
    </cfRule>
    <cfRule type="cellIs" dxfId="1093" priority="1153" operator="equal">
      <formula>"P"</formula>
    </cfRule>
    <cfRule type="cellIs" dxfId="1092" priority="1155" operator="equal">
      <formula>"L"</formula>
    </cfRule>
    <cfRule type="cellIs" dxfId="1091" priority="1162" operator="equal">
      <formula>"L"</formula>
    </cfRule>
    <cfRule type="cellIs" dxfId="1090" priority="1156" operator="equal">
      <formula>"N"</formula>
    </cfRule>
    <cfRule type="cellIs" dxfId="1089" priority="1159" operator="equal">
      <formula>"L"</formula>
    </cfRule>
    <cfRule type="cellIs" dxfId="1088" priority="1160" operator="equal">
      <formula>"P"</formula>
    </cfRule>
    <cfRule type="cellIs" dxfId="1087" priority="1161" operator="equal">
      <formula>"P"</formula>
    </cfRule>
    <cfRule type="cellIs" dxfId="1086" priority="1163" operator="equal">
      <formula>"L"</formula>
    </cfRule>
    <cfRule type="cellIs" dxfId="1085" priority="1164" operator="equal">
      <formula>"P"</formula>
    </cfRule>
    <cfRule type="cellIs" dxfId="1084" priority="1165" operator="equal">
      <formula>"P"</formula>
    </cfRule>
    <cfRule type="cellIs" dxfId="1083" priority="1166" operator="equal">
      <formula>"L"</formula>
    </cfRule>
    <cfRule type="cellIs" dxfId="1082" priority="1218" operator="equal">
      <formula>"P"</formula>
    </cfRule>
    <cfRule type="cellIs" dxfId="1081" priority="1217" operator="equal">
      <formula>"T"</formula>
    </cfRule>
    <cfRule type="cellIs" dxfId="1080" priority="1216" operator="equal">
      <formula>"T"</formula>
    </cfRule>
    <cfRule type="cellIs" dxfId="1079" priority="1215" operator="equal">
      <formula>"P"</formula>
    </cfRule>
    <cfRule type="cellIs" dxfId="1078" priority="1214" operator="equal">
      <formula>"P"</formula>
    </cfRule>
    <cfRule type="cellIs" dxfId="1077" priority="1213" operator="equal">
      <formula>"T"</formula>
    </cfRule>
    <cfRule type="cellIs" dxfId="1076" priority="1212" operator="equal">
      <formula>"T"</formula>
    </cfRule>
    <cfRule type="cellIs" dxfId="1075" priority="1211" operator="equal">
      <formula>"P"</formula>
    </cfRule>
    <cfRule type="cellIs" dxfId="1074" priority="1167" operator="equal">
      <formula>"L"</formula>
    </cfRule>
    <cfRule type="cellIs" dxfId="1073" priority="1210" operator="equal">
      <formula>"P"</formula>
    </cfRule>
    <cfRule type="cellIs" dxfId="1072" priority="1209" operator="equal">
      <formula>"T"</formula>
    </cfRule>
    <cfRule type="cellIs" dxfId="1071" priority="1208" operator="equal">
      <formula>"T"</formula>
    </cfRule>
    <cfRule type="cellIs" dxfId="1070" priority="1206" operator="equal">
      <formula>"L"</formula>
    </cfRule>
    <cfRule type="cellIs" dxfId="1069" priority="1205" operator="equal">
      <formula>"P"</formula>
    </cfRule>
    <cfRule type="cellIs" dxfId="1068" priority="1204" operator="equal">
      <formula>"N"</formula>
    </cfRule>
    <cfRule type="cellIs" dxfId="1067" priority="1203" operator="equal">
      <formula>"N"</formula>
    </cfRule>
    <cfRule type="cellIs" dxfId="1066" priority="1202" operator="equal">
      <formula>"L"</formula>
    </cfRule>
    <cfRule type="cellIs" dxfId="1065" priority="1200" operator="equal">
      <formula>"P"</formula>
    </cfRule>
    <cfRule type="cellIs" dxfId="1064" priority="1199" operator="equal">
      <formula>"L"</formula>
    </cfRule>
    <cfRule type="cellIs" dxfId="1063" priority="1198" operator="equal">
      <formula>"L"</formula>
    </cfRule>
    <cfRule type="cellIs" dxfId="1062" priority="1197" operator="equal">
      <formula>"P"</formula>
    </cfRule>
    <cfRule type="cellIs" dxfId="1061" priority="1196" operator="equal">
      <formula>"P"</formula>
    </cfRule>
    <cfRule type="cellIs" dxfId="1060" priority="1195" operator="equal">
      <formula>"L"</formula>
    </cfRule>
    <cfRule type="cellIs" dxfId="1059" priority="1194" operator="equal">
      <formula>"L"</formula>
    </cfRule>
    <cfRule type="cellIs" dxfId="1058" priority="1193" operator="equal">
      <formula>"P"</formula>
    </cfRule>
    <cfRule type="cellIs" dxfId="1057" priority="1192" operator="equal">
      <formula>"P"</formula>
    </cfRule>
    <cfRule type="cellIs" dxfId="1056" priority="1191" operator="equal">
      <formula>"L"</formula>
    </cfRule>
    <cfRule type="cellIs" dxfId="1055" priority="1188" operator="equal">
      <formula>"N"</formula>
    </cfRule>
    <cfRule type="cellIs" dxfId="1054" priority="1187" operator="equal">
      <formula>"L"</formula>
    </cfRule>
    <cfRule type="cellIs" dxfId="1053" priority="1116" operator="equal">
      <formula>"P"</formula>
    </cfRule>
  </conditionalFormatting>
  <conditionalFormatting sqref="K128:T128">
    <cfRule type="cellIs" dxfId="1052" priority="1056" operator="equal">
      <formula>"P"</formula>
    </cfRule>
    <cfRule type="cellIs" dxfId="1051" priority="872" operator="equal">
      <formula>"P"</formula>
    </cfRule>
    <cfRule type="cellIs" dxfId="1050" priority="808" operator="equal">
      <formula>"L"</formula>
    </cfRule>
    <cfRule type="cellIs" dxfId="1049" priority="1090" operator="equal">
      <formula>"P"</formula>
    </cfRule>
    <cfRule type="cellIs" dxfId="1048" priority="1089" operator="equal">
      <formula>"T"</formula>
    </cfRule>
    <cfRule type="cellIs" dxfId="1047" priority="1088" operator="equal">
      <formula>"T"</formula>
    </cfRule>
    <cfRule type="cellIs" dxfId="1046" priority="1087" operator="equal">
      <formula>"P"</formula>
    </cfRule>
    <cfRule type="cellIs" dxfId="1045" priority="1086" operator="equal">
      <formula>"P"</formula>
    </cfRule>
    <cfRule type="cellIs" dxfId="1044" priority="1085" operator="equal">
      <formula>"T"</formula>
    </cfRule>
    <cfRule type="cellIs" dxfId="1043" priority="1084" operator="equal">
      <formula>"T"</formula>
    </cfRule>
    <cfRule type="cellIs" dxfId="1042" priority="1083" operator="equal">
      <formula>"P"</formula>
    </cfRule>
    <cfRule type="cellIs" dxfId="1041" priority="1082" operator="equal">
      <formula>"P"</formula>
    </cfRule>
    <cfRule type="cellIs" dxfId="1040" priority="1081" operator="equal">
      <formula>"T"</formula>
    </cfRule>
    <cfRule type="cellIs" dxfId="1039" priority="1080" operator="equal">
      <formula>"T"</formula>
    </cfRule>
    <cfRule type="cellIs" dxfId="1038" priority="1078" operator="equal">
      <formula>"L"</formula>
    </cfRule>
    <cfRule type="cellIs" dxfId="1037" priority="1077" operator="equal">
      <formula>"P"</formula>
    </cfRule>
    <cfRule type="cellIs" dxfId="1036" priority="1076" operator="equal">
      <formula>"N"</formula>
    </cfRule>
    <cfRule type="cellIs" dxfId="1035" priority="1075" operator="equal">
      <formula>"N"</formula>
    </cfRule>
    <cfRule type="cellIs" dxfId="1034" priority="1074" operator="equal">
      <formula>"L"</formula>
    </cfRule>
    <cfRule type="cellIs" dxfId="1033" priority="1072" operator="equal">
      <formula>"P"</formula>
    </cfRule>
    <cfRule type="cellIs" dxfId="1032" priority="1071" operator="equal">
      <formula>"L"</formula>
    </cfRule>
    <cfRule type="cellIs" dxfId="1031" priority="1070" operator="equal">
      <formula>"L"</formula>
    </cfRule>
    <cfRule type="cellIs" dxfId="1030" priority="1069" operator="equal">
      <formula>"P"</formula>
    </cfRule>
    <cfRule type="cellIs" dxfId="1029" priority="1068" operator="equal">
      <formula>"P"</formula>
    </cfRule>
    <cfRule type="cellIs" dxfId="1028" priority="1067" operator="equal">
      <formula>"L"</formula>
    </cfRule>
    <cfRule type="cellIs" dxfId="1027" priority="1066" operator="equal">
      <formula>"L"</formula>
    </cfRule>
    <cfRule type="cellIs" dxfId="1026" priority="1065" operator="equal">
      <formula>"P"</formula>
    </cfRule>
    <cfRule type="cellIs" dxfId="1025" priority="1064" operator="equal">
      <formula>"P"</formula>
    </cfRule>
    <cfRule type="cellIs" dxfId="1024" priority="1063" operator="equal">
      <formula>"L"</formula>
    </cfRule>
    <cfRule type="cellIs" dxfId="1023" priority="1060" operator="equal">
      <formula>"N"</formula>
    </cfRule>
    <cfRule type="cellIs" dxfId="1022" priority="1059" operator="equal">
      <formula>"L"</formula>
    </cfRule>
    <cfRule type="cellIs" dxfId="1021" priority="1058" operator="equal">
      <formula>"N"</formula>
    </cfRule>
    <cfRule type="cellIs" dxfId="1020" priority="1057" operator="equal">
      <formula>"P"</formula>
    </cfRule>
    <cfRule type="cellIs" dxfId="1019" priority="1054" operator="equal">
      <formula>"T"</formula>
    </cfRule>
    <cfRule type="cellIs" dxfId="1018" priority="1053" operator="equal">
      <formula>"T"</formula>
    </cfRule>
    <cfRule type="cellIs" dxfId="1017" priority="1052" operator="equal">
      <formula>"P"</formula>
    </cfRule>
    <cfRule type="cellIs" dxfId="1016" priority="1051" operator="equal">
      <formula>"P"</formula>
    </cfRule>
    <cfRule type="cellIs" dxfId="1015" priority="1049" operator="equal">
      <formula>"P"</formula>
    </cfRule>
    <cfRule type="cellIs" dxfId="1014" priority="1048" operator="equal">
      <formula>"L"</formula>
    </cfRule>
    <cfRule type="cellIs" dxfId="1013" priority="1047" operator="equal">
      <formula>"P"</formula>
    </cfRule>
    <cfRule type="cellIs" dxfId="1012" priority="1045" operator="equal">
      <formula>"P"</formula>
    </cfRule>
    <cfRule type="cellIs" dxfId="1011" priority="1044" operator="equal">
      <formula>"N"</formula>
    </cfRule>
    <cfRule type="cellIs" dxfId="1010" priority="1042" operator="equal">
      <formula>"L"</formula>
    </cfRule>
    <cfRule type="cellIs" dxfId="1009" priority="1040" operator="equal">
      <formula>"P"</formula>
    </cfRule>
    <cfRule type="cellIs" dxfId="1008" priority="1039" operator="equal">
      <formula>"L"</formula>
    </cfRule>
    <cfRule type="cellIs" dxfId="1007" priority="1038" operator="equal">
      <formula>"L"</formula>
    </cfRule>
    <cfRule type="cellIs" dxfId="1006" priority="1037" operator="equal">
      <formula>"P"</formula>
    </cfRule>
    <cfRule type="cellIs" dxfId="1005" priority="1036" operator="equal">
      <formula>"P"</formula>
    </cfRule>
    <cfRule type="cellIs" dxfId="1004" priority="1035" operator="equal">
      <formula>"L"</formula>
    </cfRule>
    <cfRule type="cellIs" dxfId="1003" priority="1034" operator="equal">
      <formula>"L"</formula>
    </cfRule>
    <cfRule type="cellIs" dxfId="1002" priority="1033" operator="equal">
      <formula>"P"</formula>
    </cfRule>
    <cfRule type="cellIs" dxfId="1001" priority="1032" operator="equal">
      <formula>"P"</formula>
    </cfRule>
    <cfRule type="cellIs" dxfId="1000" priority="1031" operator="equal">
      <formula>"L"</formula>
    </cfRule>
    <cfRule type="cellIs" dxfId="999" priority="1028" operator="equal">
      <formula>"N"</formula>
    </cfRule>
    <cfRule type="cellIs" dxfId="998" priority="1027" operator="equal">
      <formula>"L"</formula>
    </cfRule>
    <cfRule type="cellIs" dxfId="997" priority="1025" operator="equal">
      <formula>"P"</formula>
    </cfRule>
    <cfRule type="cellIs" dxfId="996" priority="1024" operator="equal">
      <formula>"L"</formula>
    </cfRule>
    <cfRule type="cellIs" dxfId="995" priority="1022" operator="equal">
      <formula>"P"</formula>
    </cfRule>
    <cfRule type="cellIs" dxfId="994" priority="1020" operator="equal">
      <formula>"L"</formula>
    </cfRule>
    <cfRule type="cellIs" dxfId="993" priority="1019" operator="equal">
      <formula>"P"</formula>
    </cfRule>
    <cfRule type="cellIs" dxfId="992" priority="1018" operator="equal">
      <formula>"P"</formula>
    </cfRule>
    <cfRule type="cellIs" dxfId="991" priority="1016" operator="equal">
      <formula>"T"</formula>
    </cfRule>
    <cfRule type="cellIs" dxfId="990" priority="1015" operator="equal">
      <formula>"T"</formula>
    </cfRule>
    <cfRule type="cellIs" dxfId="989" priority="1014" operator="equal">
      <formula>"P"</formula>
    </cfRule>
    <cfRule type="cellIs" dxfId="988" priority="1013" operator="equal">
      <formula>"P"</formula>
    </cfRule>
    <cfRule type="cellIs" dxfId="987" priority="1012" operator="equal">
      <formula>"L"</formula>
    </cfRule>
    <cfRule type="cellIs" dxfId="986" priority="1011" operator="equal">
      <formula>"P"</formula>
    </cfRule>
    <cfRule type="cellIs" dxfId="985" priority="1009" operator="equal">
      <formula>"P"</formula>
    </cfRule>
    <cfRule type="cellIs" dxfId="984" priority="1008" operator="equal">
      <formula>"T"</formula>
    </cfRule>
    <cfRule type="cellIs" dxfId="983" priority="1007" operator="equal">
      <formula>"T"</formula>
    </cfRule>
    <cfRule type="cellIs" dxfId="982" priority="1006" operator="equal">
      <formula>"P"</formula>
    </cfRule>
    <cfRule type="cellIs" dxfId="981" priority="1005" operator="equal">
      <formula>"P"</formula>
    </cfRule>
    <cfRule type="cellIs" dxfId="980" priority="1004" operator="equal">
      <formula>"T"</formula>
    </cfRule>
    <cfRule type="cellIs" dxfId="979" priority="1003" operator="equal">
      <formula>"T"</formula>
    </cfRule>
    <cfRule type="cellIs" dxfId="978" priority="1002" operator="equal">
      <formula>"P"</formula>
    </cfRule>
    <cfRule type="cellIs" dxfId="977" priority="1001" operator="equal">
      <formula>"P"</formula>
    </cfRule>
    <cfRule type="cellIs" dxfId="976" priority="1000" operator="equal">
      <formula>"T"</formula>
    </cfRule>
    <cfRule type="cellIs" dxfId="975" priority="999" operator="equal">
      <formula>"T"</formula>
    </cfRule>
    <cfRule type="cellIs" dxfId="974" priority="998" operator="equal">
      <formula>"P"</formula>
    </cfRule>
    <cfRule type="cellIs" dxfId="973" priority="996" operator="equal">
      <formula>"P"</formula>
    </cfRule>
    <cfRule type="cellIs" dxfId="972" priority="995" operator="equal">
      <formula>"T"</formula>
    </cfRule>
    <cfRule type="cellIs" dxfId="971" priority="994" operator="equal">
      <formula>"T"</formula>
    </cfRule>
    <cfRule type="cellIs" dxfId="970" priority="993" operator="equal">
      <formula>"P"</formula>
    </cfRule>
    <cfRule type="cellIs" dxfId="969" priority="991" operator="equal">
      <formula>"P"</formula>
    </cfRule>
    <cfRule type="cellIs" dxfId="968" priority="990" operator="equal">
      <formula>"T"</formula>
    </cfRule>
    <cfRule type="cellIs" dxfId="967" priority="989" operator="equal">
      <formula>"T"</formula>
    </cfRule>
    <cfRule type="cellIs" dxfId="966" priority="988" operator="equal">
      <formula>"P"</formula>
    </cfRule>
    <cfRule type="cellIs" dxfId="965" priority="986" operator="equal">
      <formula>"L"</formula>
    </cfRule>
    <cfRule type="cellIs" dxfId="964" priority="984" operator="equal">
      <formula>"L"</formula>
    </cfRule>
    <cfRule type="cellIs" dxfId="963" priority="983" operator="equal">
      <formula>"P"</formula>
    </cfRule>
    <cfRule type="cellIs" dxfId="962" priority="982" operator="equal">
      <formula>"P"</formula>
    </cfRule>
    <cfRule type="cellIs" dxfId="961" priority="980" operator="equal">
      <formula>"P"</formula>
    </cfRule>
    <cfRule type="cellIs" dxfId="960" priority="979" operator="equal">
      <formula>"L"</formula>
    </cfRule>
    <cfRule type="cellIs" dxfId="959" priority="978" operator="equal">
      <formula>"N"</formula>
    </cfRule>
    <cfRule type="cellIs" dxfId="958" priority="976" operator="equal">
      <formula>"T"</formula>
    </cfRule>
    <cfRule type="cellIs" dxfId="957" priority="975" operator="equal">
      <formula>"T"</formula>
    </cfRule>
    <cfRule type="cellIs" dxfId="956" priority="974" operator="equal">
      <formula>"P"</formula>
    </cfRule>
    <cfRule type="cellIs" dxfId="955" priority="973" operator="equal">
      <formula>"P"</formula>
    </cfRule>
    <cfRule type="cellIs" dxfId="954" priority="972" operator="equal">
      <formula>"P"</formula>
    </cfRule>
    <cfRule type="cellIs" dxfId="953" priority="970" operator="equal">
      <formula>"L"</formula>
    </cfRule>
    <cfRule type="cellIs" dxfId="952" priority="969" operator="equal">
      <formula>"L"</formula>
    </cfRule>
    <cfRule type="cellIs" dxfId="951" priority="968" operator="equal">
      <formula>"P"</formula>
    </cfRule>
    <cfRule type="cellIs" dxfId="950" priority="967" operator="equal">
      <formula>"L"</formula>
    </cfRule>
    <cfRule type="cellIs" dxfId="949" priority="966" operator="equal">
      <formula>"T"</formula>
    </cfRule>
    <cfRule type="cellIs" dxfId="948" priority="965" operator="equal">
      <formula>"T"</formula>
    </cfRule>
    <cfRule type="cellIs" dxfId="947" priority="964" operator="equal">
      <formula>"P"</formula>
    </cfRule>
    <cfRule type="cellIs" dxfId="946" priority="963" operator="equal">
      <formula>"P"</formula>
    </cfRule>
    <cfRule type="cellIs" dxfId="945" priority="962" operator="equal">
      <formula>"T"</formula>
    </cfRule>
    <cfRule type="cellIs" dxfId="944" priority="961" operator="equal">
      <formula>"T"</formula>
    </cfRule>
    <cfRule type="cellIs" dxfId="943" priority="959" operator="equal">
      <formula>"L"</formula>
    </cfRule>
    <cfRule type="cellIs" dxfId="942" priority="958" operator="equal">
      <formula>"P"</formula>
    </cfRule>
    <cfRule type="cellIs" dxfId="941" priority="957" operator="equal">
      <formula>"N"</formula>
    </cfRule>
    <cfRule type="cellIs" dxfId="940" priority="956" operator="equal">
      <formula>"N"</formula>
    </cfRule>
    <cfRule type="cellIs" dxfId="939" priority="955" operator="equal">
      <formula>"L"</formula>
    </cfRule>
    <cfRule type="cellIs" dxfId="938" priority="953" operator="equal">
      <formula>"P"</formula>
    </cfRule>
    <cfRule type="cellIs" dxfId="937" priority="952" operator="equal">
      <formula>"L"</formula>
    </cfRule>
    <cfRule type="cellIs" dxfId="936" priority="951" operator="equal">
      <formula>"L"</formula>
    </cfRule>
    <cfRule type="cellIs" dxfId="935" priority="950" operator="equal">
      <formula>"P"</formula>
    </cfRule>
    <cfRule type="cellIs" dxfId="934" priority="949" operator="equal">
      <formula>"P"</formula>
    </cfRule>
    <cfRule type="cellIs" dxfId="933" priority="948" operator="equal">
      <formula>"L"</formula>
    </cfRule>
    <cfRule type="cellIs" dxfId="932" priority="947" operator="equal">
      <formula>"L"</formula>
    </cfRule>
    <cfRule type="cellIs" dxfId="931" priority="946" operator="equal">
      <formula>"P"</formula>
    </cfRule>
    <cfRule type="cellIs" dxfId="930" priority="945" operator="equal">
      <formula>"P"</formula>
    </cfRule>
    <cfRule type="cellIs" dxfId="929" priority="944" operator="equal">
      <formula>"L"</formula>
    </cfRule>
    <cfRule type="cellIs" dxfId="928" priority="941" operator="equal">
      <formula>"N"</formula>
    </cfRule>
    <cfRule type="cellIs" dxfId="927" priority="940" operator="equal">
      <formula>"L"</formula>
    </cfRule>
    <cfRule type="cellIs" dxfId="926" priority="939" operator="equal">
      <formula>"N"</formula>
    </cfRule>
    <cfRule type="cellIs" dxfId="925" priority="938" operator="equal">
      <formula>"P"</formula>
    </cfRule>
    <cfRule type="cellIs" dxfId="924" priority="937" operator="equal">
      <formula>"P"</formula>
    </cfRule>
    <cfRule type="cellIs" dxfId="923" priority="935" operator="equal">
      <formula>"T"</formula>
    </cfRule>
    <cfRule type="cellIs" dxfId="922" priority="934" operator="equal">
      <formula>"T"</formula>
    </cfRule>
    <cfRule type="cellIs" dxfId="921" priority="933" operator="equal">
      <formula>"P"</formula>
    </cfRule>
    <cfRule type="cellIs" dxfId="920" priority="932" operator="equal">
      <formula>"P"</formula>
    </cfRule>
    <cfRule type="cellIs" dxfId="919" priority="930" operator="equal">
      <formula>"P"</formula>
    </cfRule>
    <cfRule type="cellIs" dxfId="918" priority="929" operator="equal">
      <formula>"L"</formula>
    </cfRule>
    <cfRule type="cellIs" dxfId="917" priority="928" operator="equal">
      <formula>"P"</formula>
    </cfRule>
    <cfRule type="cellIs" dxfId="916" priority="926" operator="equal">
      <formula>"P"</formula>
    </cfRule>
    <cfRule type="cellIs" dxfId="915" priority="925" operator="equal">
      <formula>"N"</formula>
    </cfRule>
    <cfRule type="cellIs" dxfId="914" priority="924" operator="equal">
      <formula>"N"</formula>
    </cfRule>
    <cfRule type="cellIs" dxfId="913" priority="923" operator="equal">
      <formula>"L"</formula>
    </cfRule>
    <cfRule type="cellIs" dxfId="912" priority="921" operator="equal">
      <formula>"P"</formula>
    </cfRule>
    <cfRule type="cellIs" dxfId="911" priority="920" operator="equal">
      <formula>"L"</formula>
    </cfRule>
    <cfRule type="cellIs" dxfId="910" priority="919" operator="equal">
      <formula>"L"</formula>
    </cfRule>
    <cfRule type="cellIs" dxfId="909" priority="918" operator="equal">
      <formula>"P"</formula>
    </cfRule>
    <cfRule type="cellIs" dxfId="908" priority="917" operator="equal">
      <formula>"P"</formula>
    </cfRule>
    <cfRule type="cellIs" dxfId="907" priority="916" operator="equal">
      <formula>"L"</formula>
    </cfRule>
    <cfRule type="cellIs" dxfId="906" priority="915" operator="equal">
      <formula>"L"</formula>
    </cfRule>
    <cfRule type="cellIs" dxfId="905" priority="914" operator="equal">
      <formula>"P"</formula>
    </cfRule>
    <cfRule type="cellIs" dxfId="904" priority="913" operator="equal">
      <formula>"P"</formula>
    </cfRule>
    <cfRule type="cellIs" dxfId="903" priority="912" operator="equal">
      <formula>"L"</formula>
    </cfRule>
    <cfRule type="cellIs" dxfId="902" priority="909" operator="equal">
      <formula>"N"</formula>
    </cfRule>
    <cfRule type="cellIs" dxfId="901" priority="908" operator="equal">
      <formula>"L"</formula>
    </cfRule>
    <cfRule type="cellIs" dxfId="900" priority="906" operator="equal">
      <formula>"P"</formula>
    </cfRule>
    <cfRule type="cellIs" dxfId="899" priority="905" operator="equal">
      <formula>"L"</formula>
    </cfRule>
    <cfRule type="cellIs" dxfId="898" priority="901" operator="equal">
      <formula>"P"</formula>
    </cfRule>
    <cfRule type="cellIs" dxfId="897" priority="899" operator="equal">
      <formula>"L"</formula>
    </cfRule>
    <cfRule type="cellIs" dxfId="896" priority="898" operator="equal">
      <formula>"P"</formula>
    </cfRule>
    <cfRule type="cellIs" dxfId="895" priority="897" operator="equal">
      <formula>"P"</formula>
    </cfRule>
    <cfRule type="cellIs" dxfId="894" priority="895" operator="equal">
      <formula>"T"</formula>
    </cfRule>
    <cfRule type="cellIs" dxfId="893" priority="894" operator="equal">
      <formula>"T"</formula>
    </cfRule>
    <cfRule type="cellIs" dxfId="892" priority="893" operator="equal">
      <formula>"P"</formula>
    </cfRule>
    <cfRule type="cellIs" dxfId="891" priority="892" operator="equal">
      <formula>"P"</formula>
    </cfRule>
    <cfRule type="cellIs" dxfId="890" priority="891" operator="equal">
      <formula>"L"</formula>
    </cfRule>
    <cfRule type="cellIs" dxfId="889" priority="890" operator="equal">
      <formula>"P"</formula>
    </cfRule>
    <cfRule type="cellIs" dxfId="888" priority="888" operator="equal">
      <formula>"P"</formula>
    </cfRule>
    <cfRule type="cellIs" dxfId="887" priority="887" operator="equal">
      <formula>"T"</formula>
    </cfRule>
    <cfRule type="cellIs" dxfId="886" priority="886" operator="equal">
      <formula>"T"</formula>
    </cfRule>
    <cfRule type="cellIs" dxfId="885" priority="885" operator="equal">
      <formula>"P"</formula>
    </cfRule>
    <cfRule type="cellIs" dxfId="884" priority="884" operator="equal">
      <formula>"P"</formula>
    </cfRule>
    <cfRule type="cellIs" dxfId="883" priority="883" operator="equal">
      <formula>"T"</formula>
    </cfRule>
    <cfRule type="cellIs" dxfId="882" priority="882" operator="equal">
      <formula>"T"</formula>
    </cfRule>
    <cfRule type="cellIs" dxfId="881" priority="881" operator="equal">
      <formula>"P"</formula>
    </cfRule>
    <cfRule type="cellIs" dxfId="880" priority="880" operator="equal">
      <formula>"P"</formula>
    </cfRule>
    <cfRule type="cellIs" dxfId="879" priority="877" operator="equal">
      <formula>"T"</formula>
    </cfRule>
    <cfRule type="cellIs" dxfId="878" priority="876" operator="equal">
      <formula>"T"</formula>
    </cfRule>
    <cfRule type="cellIs" dxfId="877" priority="875" operator="equal">
      <formula>"P"</formula>
    </cfRule>
    <cfRule type="cellIs" dxfId="876" priority="871" operator="equal">
      <formula>"T"</formula>
    </cfRule>
    <cfRule type="cellIs" dxfId="875" priority="870" operator="equal">
      <formula>"T"</formula>
    </cfRule>
    <cfRule type="cellIs" dxfId="874" priority="869" operator="equal">
      <formula>"P"</formula>
    </cfRule>
    <cfRule type="cellIs" dxfId="873" priority="866" operator="equal">
      <formula>"P"</formula>
    </cfRule>
    <cfRule type="cellIs" dxfId="872" priority="865" operator="equal">
      <formula>"T"</formula>
    </cfRule>
    <cfRule type="cellIs" dxfId="871" priority="864" operator="equal">
      <formula>"T"</formula>
    </cfRule>
    <cfRule type="cellIs" dxfId="870" priority="863" operator="equal">
      <formula>"P"</formula>
    </cfRule>
    <cfRule type="cellIs" dxfId="869" priority="860" operator="equal">
      <formula>"L"</formula>
    </cfRule>
    <cfRule type="cellIs" dxfId="868" priority="858" operator="equal">
      <formula>"L"</formula>
    </cfRule>
    <cfRule type="cellIs" dxfId="867" priority="857" operator="equal">
      <formula>"P"</formula>
    </cfRule>
    <cfRule type="cellIs" dxfId="866" priority="856" operator="equal">
      <formula>"P"</formula>
    </cfRule>
    <cfRule type="cellIs" dxfId="865" priority="853" operator="equal">
      <formula>"P"</formula>
    </cfRule>
    <cfRule type="cellIs" dxfId="864" priority="852" operator="equal">
      <formula>"L"</formula>
    </cfRule>
    <cfRule type="cellIs" dxfId="863" priority="850" operator="equal">
      <formula>"T"</formula>
    </cfRule>
    <cfRule type="cellIs" dxfId="862" priority="849" operator="equal">
      <formula>"T"</formula>
    </cfRule>
    <cfRule type="cellIs" dxfId="861" priority="848" operator="equal">
      <formula>"P"</formula>
    </cfRule>
    <cfRule type="cellIs" dxfId="860" priority="847" operator="equal">
      <formula>"P"</formula>
    </cfRule>
    <cfRule type="cellIs" dxfId="859" priority="846" operator="equal">
      <formula>"P"</formula>
    </cfRule>
    <cfRule type="cellIs" dxfId="858" priority="844" operator="equal">
      <formula>"L"</formula>
    </cfRule>
    <cfRule type="cellIs" dxfId="857" priority="843" operator="equal">
      <formula>"L"</formula>
    </cfRule>
    <cfRule type="cellIs" dxfId="856" priority="842" operator="equal">
      <formula>"P"</formula>
    </cfRule>
    <cfRule type="cellIs" dxfId="855" priority="841" operator="equal">
      <formula>"L"</formula>
    </cfRule>
    <cfRule type="cellIs" dxfId="854" priority="840" operator="equal">
      <formula>"T"</formula>
    </cfRule>
    <cfRule type="cellIs" dxfId="853" priority="839" operator="equal">
      <formula>"T"</formula>
    </cfRule>
    <cfRule type="cellIs" dxfId="852" priority="838" operator="equal">
      <formula>"P"</formula>
    </cfRule>
    <cfRule type="cellIs" dxfId="851" priority="837" operator="equal">
      <formula>"P"</formula>
    </cfRule>
    <cfRule type="cellIs" dxfId="850" priority="836" operator="equal">
      <formula>"T"</formula>
    </cfRule>
    <cfRule type="cellIs" dxfId="849" priority="835" operator="equal">
      <formula>"T"</formula>
    </cfRule>
    <cfRule type="cellIs" dxfId="848" priority="834" operator="equal">
      <formula>"P"</formula>
    </cfRule>
    <cfRule type="cellIs" dxfId="847" priority="833" operator="equal">
      <formula>"N"</formula>
    </cfRule>
    <cfRule type="cellIs" dxfId="846" priority="832" operator="equal">
      <formula>"P"</formula>
    </cfRule>
    <cfRule type="cellIs" dxfId="845" priority="831" operator="equal">
      <formula>"P"</formula>
    </cfRule>
    <cfRule type="cellIs" dxfId="844" priority="829" operator="equal">
      <formula>"T"</formula>
    </cfRule>
    <cfRule type="cellIs" dxfId="843" priority="828" operator="equal">
      <formula>"T"</formula>
    </cfRule>
    <cfRule type="cellIs" dxfId="842" priority="827" operator="equal">
      <formula>"P"</formula>
    </cfRule>
    <cfRule type="cellIs" dxfId="841" priority="826" operator="equal">
      <formula>"P"</formula>
    </cfRule>
    <cfRule type="cellIs" dxfId="840" priority="824" operator="equal">
      <formula>"P"</formula>
    </cfRule>
    <cfRule type="cellIs" dxfId="839" priority="823" operator="equal">
      <formula>"T"</formula>
    </cfRule>
    <cfRule type="cellIs" dxfId="838" priority="822" operator="equal">
      <formula>"T"</formula>
    </cfRule>
    <cfRule type="cellIs" dxfId="837" priority="821" operator="equal">
      <formula>"P"</formula>
    </cfRule>
    <cfRule type="cellIs" dxfId="836" priority="819" operator="equal">
      <formula>"P"</formula>
    </cfRule>
    <cfRule type="cellIs" dxfId="835" priority="818" operator="equal">
      <formula>"L"</formula>
    </cfRule>
    <cfRule type="cellIs" dxfId="834" priority="817" operator="equal">
      <formula>"P"</formula>
    </cfRule>
    <cfRule type="cellIs" dxfId="833" priority="815" operator="equal">
      <formula>"P"</formula>
    </cfRule>
    <cfRule type="cellIs" dxfId="832" priority="814" operator="equal">
      <formula>"N"</formula>
    </cfRule>
    <cfRule type="cellIs" dxfId="831" priority="813" operator="equal">
      <formula>"N"</formula>
    </cfRule>
    <cfRule type="cellIs" dxfId="830" priority="812" operator="equal">
      <formula>"L"</formula>
    </cfRule>
    <cfRule type="cellIs" dxfId="829" priority="810" operator="equal">
      <formula>"P"</formula>
    </cfRule>
    <cfRule type="cellIs" dxfId="828" priority="809" operator="equal">
      <formula>"L"</formula>
    </cfRule>
    <cfRule type="cellIs" dxfId="827" priority="807" operator="equal">
      <formula>"P"</formula>
    </cfRule>
    <cfRule type="cellIs" dxfId="826" priority="806" operator="equal">
      <formula>"P"</formula>
    </cfRule>
    <cfRule type="cellIs" dxfId="825" priority="805" operator="equal">
      <formula>"L"</formula>
    </cfRule>
    <cfRule type="cellIs" dxfId="824" priority="804" operator="equal">
      <formula>"L"</formula>
    </cfRule>
    <cfRule type="cellIs" dxfId="823" priority="803" operator="equal">
      <formula>"P"</formula>
    </cfRule>
    <cfRule type="cellIs" dxfId="822" priority="802" operator="equal">
      <formula>"P"</formula>
    </cfRule>
    <cfRule type="cellIs" dxfId="821" priority="801" operator="equal">
      <formula>"L"</formula>
    </cfRule>
    <cfRule type="cellIs" dxfId="820" priority="798" operator="equal">
      <formula>"N"</formula>
    </cfRule>
    <cfRule type="cellIs" dxfId="819" priority="797" operator="equal">
      <formula>"L"</formula>
    </cfRule>
    <cfRule type="cellIs" dxfId="818" priority="796" operator="equal">
      <formula>"P"</formula>
    </cfRule>
    <cfRule type="cellIs" dxfId="817" priority="794" operator="equal">
      <formula>"L"</formula>
    </cfRule>
    <cfRule type="cellIs" dxfId="816" priority="791" operator="equal">
      <formula>"P"</formula>
    </cfRule>
    <cfRule type="cellIs" dxfId="815" priority="789" operator="equal">
      <formula>"P"</formula>
    </cfRule>
    <cfRule type="cellIs" dxfId="814" priority="788" operator="equal">
      <formula>"T"</formula>
    </cfRule>
    <cfRule type="cellIs" dxfId="813" priority="787" operator="equal">
      <formula>"T"</formula>
    </cfRule>
    <cfRule type="cellIs" dxfId="812" priority="1043" operator="equal">
      <formula>"N"</formula>
    </cfRule>
    <cfRule type="cellIs" dxfId="811" priority="785" operator="equal">
      <formula>"T"</formula>
    </cfRule>
    <cfRule type="cellIs" dxfId="810" priority="784" operator="equal">
      <formula>"T"</formula>
    </cfRule>
    <cfRule type="cellIs" dxfId="809" priority="783" operator="equal">
      <formula>"P"</formula>
    </cfRule>
    <cfRule type="cellIs" dxfId="808" priority="782" operator="equal">
      <formula>"P"</formula>
    </cfRule>
    <cfRule type="cellIs" dxfId="807" priority="781" operator="equal">
      <formula>"T"</formula>
    </cfRule>
    <cfRule type="cellIs" dxfId="806" priority="780" operator="equal">
      <formula>"T"</formula>
    </cfRule>
    <cfRule type="cellIs" dxfId="805" priority="779" operator="equal">
      <formula>"P"</formula>
    </cfRule>
    <cfRule type="cellIs" dxfId="804" priority="776" operator="equal">
      <formula>"P"</formula>
    </cfRule>
    <cfRule type="cellIs" dxfId="803" priority="775" operator="equal">
      <formula>"T"</formula>
    </cfRule>
    <cfRule type="cellIs" dxfId="802" priority="774" operator="equal">
      <formula>"T"</formula>
    </cfRule>
    <cfRule type="cellIs" dxfId="801" priority="773" operator="equal">
      <formula>"P"</formula>
    </cfRule>
    <cfRule type="cellIs" dxfId="800" priority="769" operator="equal">
      <formula>"P"</formula>
    </cfRule>
    <cfRule type="cellIs" dxfId="799" priority="768" operator="equal">
      <formula>"P"</formula>
    </cfRule>
    <cfRule type="cellIs" dxfId="798" priority="765" operator="equal">
      <formula>"T"</formula>
    </cfRule>
    <cfRule type="cellIs" dxfId="797" priority="764" operator="equal">
      <formula>"T"</formula>
    </cfRule>
    <cfRule type="cellIs" dxfId="796" priority="763" operator="equal">
      <formula>"P"</formula>
    </cfRule>
    <cfRule type="cellIs" dxfId="795" priority="762" operator="equal">
      <formula>"D"</formula>
    </cfRule>
    <cfRule type="cellIs" dxfId="794" priority="761" operator="equal">
      <formula>"P"</formula>
    </cfRule>
    <cfRule type="cellIs" dxfId="793" priority="760" operator="equal">
      <formula>"L"</formula>
    </cfRule>
    <cfRule type="cellIs" dxfId="792" priority="758" operator="equal">
      <formula>"P"</formula>
    </cfRule>
    <cfRule type="cellIs" dxfId="791" priority="757" operator="equal">
      <formula>"P"</formula>
    </cfRule>
    <cfRule type="cellIs" dxfId="790" priority="756" operator="equal">
      <formula>"DS"</formula>
    </cfRule>
    <cfRule type="cellIs" dxfId="789" priority="755" operator="equal">
      <formula>"L"</formula>
    </cfRule>
    <cfRule type="cellIs" dxfId="788" priority="754" operator="equal">
      <formula>"L"</formula>
    </cfRule>
    <cfRule type="cellIs" dxfId="787" priority="752" operator="equal">
      <formula>"L"</formula>
    </cfRule>
  </conditionalFormatting>
  <conditionalFormatting sqref="K128:U128">
    <cfRule type="cellIs" dxfId="786" priority="662" operator="equal">
      <formula>"V"</formula>
    </cfRule>
    <cfRule type="cellIs" dxfId="785" priority="661" operator="equal">
      <formula>"FIN"</formula>
    </cfRule>
    <cfRule type="cellIs" dxfId="784" priority="748" operator="equal">
      <formula>"N"</formula>
    </cfRule>
    <cfRule type="cellIs" dxfId="783" priority="673" operator="equal">
      <formula>"H"</formula>
    </cfRule>
    <cfRule type="cellIs" dxfId="782" priority="676" operator="equal">
      <formula>"P"</formula>
    </cfRule>
    <cfRule type="cellIs" dxfId="781" priority="680" operator="equal">
      <formula>"P"</formula>
    </cfRule>
  </conditionalFormatting>
  <conditionalFormatting sqref="K128:AD128">
    <cfRule type="cellIs" dxfId="780" priority="637" operator="equal">
      <formula>"T"</formula>
    </cfRule>
    <cfRule type="cellIs" dxfId="779" priority="636" operator="equal">
      <formula>"T"</formula>
    </cfRule>
  </conditionalFormatting>
  <conditionalFormatting sqref="L4:O6 S4:V6 Z4:AB6">
    <cfRule type="cellIs" dxfId="778" priority="617" operator="equal">
      <formula>"D"</formula>
    </cfRule>
  </conditionalFormatting>
  <conditionalFormatting sqref="M2:N2 T2:U2 AA2:AB2 AH2:AI2">
    <cfRule type="cellIs" dxfId="777" priority="702" operator="equal">
      <formula>"D"</formula>
    </cfRule>
    <cfRule type="cellIs" dxfId="776" priority="691" operator="equal">
      <formula>"DS"</formula>
    </cfRule>
    <cfRule type="cellIs" dxfId="775" priority="703" operator="equal">
      <formula>"N"</formula>
    </cfRule>
    <cfRule type="cellIs" dxfId="774" priority="689" operator="equal">
      <formula>"L"</formula>
    </cfRule>
    <cfRule type="cellIs" dxfId="773" priority="690" operator="equal">
      <formula>"V"</formula>
    </cfRule>
  </conditionalFormatting>
  <conditionalFormatting sqref="M125:Q128">
    <cfRule type="cellIs" dxfId="772" priority="692" operator="equal">
      <formula>"L"</formula>
    </cfRule>
  </conditionalFormatting>
  <conditionalFormatting sqref="U126">
    <cfRule type="cellIs" dxfId="771" priority="682" operator="equal">
      <formula>"DS"</formula>
    </cfRule>
  </conditionalFormatting>
  <conditionalFormatting sqref="U128">
    <cfRule type="cellIs" dxfId="770" priority="664" operator="equal">
      <formula>"P"</formula>
    </cfRule>
    <cfRule type="cellIs" dxfId="769" priority="668" operator="equal">
      <formula>"P"</formula>
    </cfRule>
    <cfRule type="cellIs" dxfId="768" priority="667" operator="equal">
      <formula>"L"</formula>
    </cfRule>
    <cfRule type="cellIs" dxfId="767" priority="670" operator="equal">
      <formula>"L"</formula>
    </cfRule>
    <cfRule type="cellIs" dxfId="766" priority="666" operator="equal">
      <formula>"L"</formula>
    </cfRule>
    <cfRule type="cellIs" dxfId="765" priority="665" operator="equal">
      <formula>"P"</formula>
    </cfRule>
    <cfRule type="cellIs" dxfId="764" priority="677" operator="equal">
      <formula>"L"</formula>
    </cfRule>
    <cfRule type="cellIs" dxfId="763" priority="663" operator="equal">
      <formula>"L"</formula>
    </cfRule>
    <cfRule type="cellIs" dxfId="762" priority="660" operator="equal">
      <formula>"N"</formula>
    </cfRule>
    <cfRule type="cellIs" dxfId="761" priority="659" operator="equal">
      <formula>"L"</formula>
    </cfRule>
    <cfRule type="cellIs" dxfId="760" priority="669" operator="equal">
      <formula>"P"</formula>
    </cfRule>
    <cfRule type="cellIs" dxfId="759" priority="671" operator="equal">
      <formula>"L"</formula>
    </cfRule>
    <cfRule type="cellIs" dxfId="758" priority="672" operator="equal">
      <formula>"P"</formula>
    </cfRule>
    <cfRule type="cellIs" dxfId="757" priority="674" operator="equal">
      <formula>"L"</formula>
    </cfRule>
    <cfRule type="cellIs" dxfId="756" priority="675" operator="equal">
      <formula>"N"</formula>
    </cfRule>
    <cfRule type="cellIs" dxfId="755" priority="679" operator="equal">
      <formula>"P"</formula>
    </cfRule>
  </conditionalFormatting>
  <conditionalFormatting sqref="U126:W126">
    <cfRule type="cellIs" dxfId="754" priority="656" operator="equal">
      <formula>"T"</formula>
    </cfRule>
    <cfRule type="cellIs" dxfId="753" priority="655" operator="equal">
      <formula>"P"</formula>
    </cfRule>
    <cfRule type="cellIs" dxfId="752" priority="653" operator="equal">
      <formula>"P"</formula>
    </cfRule>
    <cfRule type="cellIs" dxfId="751" priority="651" operator="equal">
      <formula>"P"</formula>
    </cfRule>
    <cfRule type="cellIs" dxfId="750" priority="650" operator="equal">
      <formula>"N"</formula>
    </cfRule>
    <cfRule type="cellIs" dxfId="749" priority="647" operator="equal">
      <formula>"FIN"</formula>
    </cfRule>
    <cfRule type="cellIs" dxfId="748" priority="646" operator="equal">
      <formula>"P"</formula>
    </cfRule>
    <cfRule type="cellIs" dxfId="747" priority="643" operator="equal">
      <formula>"D"</formula>
    </cfRule>
    <cfRule type="cellIs" dxfId="746" priority="639" operator="equal">
      <formula>"L"</formula>
    </cfRule>
    <cfRule type="cellIs" dxfId="745" priority="649" operator="equal">
      <formula>"L"</formula>
    </cfRule>
    <cfRule type="cellIs" dxfId="744" priority="658" operator="equal">
      <formula>"P"</formula>
    </cfRule>
    <cfRule type="cellIs" dxfId="743" priority="657" operator="equal">
      <formula>"T"</formula>
    </cfRule>
  </conditionalFormatting>
  <conditionalFormatting sqref="U126:AD126">
    <cfRule type="cellIs" dxfId="742" priority="627" operator="equal">
      <formula>"P"</formula>
    </cfRule>
    <cfRule type="cellIs" dxfId="741" priority="630" operator="equal">
      <formula>"P"</formula>
    </cfRule>
    <cfRule type="cellIs" dxfId="740" priority="629" operator="equal">
      <formula>"T"</formula>
    </cfRule>
    <cfRule type="cellIs" dxfId="739" priority="628" operator="equal">
      <formula>"T"</formula>
    </cfRule>
  </conditionalFormatting>
  <conditionalFormatting sqref="U128:AD128">
    <cfRule type="cellIs" dxfId="738" priority="635" operator="equal">
      <formula>"P"</formula>
    </cfRule>
    <cfRule type="cellIs" dxfId="737" priority="634" operator="equal">
      <formula>"P"</formula>
    </cfRule>
    <cfRule type="cellIs" dxfId="736" priority="632" operator="equal">
      <formula>"T"</formula>
    </cfRule>
    <cfRule type="cellIs" dxfId="735" priority="631" operator="equal">
      <formula>"P"</formula>
    </cfRule>
    <cfRule type="cellIs" dxfId="734" priority="633" operator="equal">
      <formula>"T"</formula>
    </cfRule>
    <cfRule type="cellIs" dxfId="733" priority="638" operator="equal">
      <formula>"P"</formula>
    </cfRule>
  </conditionalFormatting>
  <conditionalFormatting sqref="U125:AK128 G126:T127">
    <cfRule type="cellIs" dxfId="732" priority="1795" operator="equal">
      <formula>"T"</formula>
    </cfRule>
  </conditionalFormatting>
  <conditionalFormatting sqref="X126:AD126">
    <cfRule type="cellIs" dxfId="731" priority="626" operator="equal">
      <formula>"P"</formula>
    </cfRule>
    <cfRule type="cellIs" dxfId="730" priority="625" operator="equal">
      <formula>"T"</formula>
    </cfRule>
    <cfRule type="cellIs" dxfId="729" priority="624" operator="equal">
      <formula>"T"</formula>
    </cfRule>
    <cfRule type="cellIs" dxfId="728" priority="623" operator="equal">
      <formula>"P"</formula>
    </cfRule>
  </conditionalFormatting>
  <conditionalFormatting sqref="AC4:AC5 L4:O6 S4:V6 Z4:AB6 I7:R11">
    <cfRule type="cellIs" dxfId="727" priority="733" operator="equal">
      <formula>"L"</formula>
    </cfRule>
    <cfRule type="cellIs" dxfId="726" priority="732" operator="equal">
      <formula>"L"</formula>
    </cfRule>
    <cfRule type="cellIs" dxfId="725" priority="728" operator="equal">
      <formula>"DS"</formula>
    </cfRule>
    <cfRule type="cellIs" dxfId="724" priority="726" operator="equal">
      <formula>"T"</formula>
    </cfRule>
    <cfRule type="cellIs" dxfId="723" priority="725" operator="equal">
      <formula>"T"</formula>
    </cfRule>
    <cfRule type="cellIs" dxfId="722" priority="724" operator="equal">
      <formula>"P"</formula>
    </cfRule>
    <cfRule type="cellIs" dxfId="721" priority="723" operator="equal">
      <formula>"V"</formula>
    </cfRule>
    <cfRule type="cellIs" dxfId="720" priority="619" operator="equal">
      <formula>"P"</formula>
    </cfRule>
    <cfRule type="cellIs" dxfId="719" priority="618" operator="equal">
      <formula>"N"</formula>
    </cfRule>
    <cfRule type="cellIs" dxfId="718" priority="721" operator="equal">
      <formula>"PL"</formula>
    </cfRule>
    <cfRule type="cellIs" dxfId="717" priority="720" operator="equal">
      <formula>"FIN"</formula>
    </cfRule>
    <cfRule type="cellIs" dxfId="716" priority="719" operator="equal">
      <formula>"F"</formula>
    </cfRule>
    <cfRule type="cellIs" dxfId="715" priority="718" operator="equal">
      <formula>"R"</formula>
    </cfRule>
    <cfRule type="cellIs" dxfId="714" priority="717" operator="equal">
      <formula>"DE"</formula>
    </cfRule>
    <cfRule type="cellIs" dxfId="713" priority="716" operator="equal">
      <formula>"L"</formula>
    </cfRule>
    <cfRule type="cellIs" dxfId="712" priority="715" operator="equal">
      <formula>"L"</formula>
    </cfRule>
    <cfRule type="containsText" dxfId="711" priority="714" operator="containsText" text="T">
      <formula>NOT(ISERROR(SEARCH("T",I4)))</formula>
    </cfRule>
    <cfRule type="containsText" dxfId="710" priority="713" operator="containsText" text="DE">
      <formula>NOT(ISERROR(SEARCH("DE",I4)))</formula>
    </cfRule>
    <cfRule type="containsText" dxfId="709" priority="712" operator="containsText" text="n">
      <formula>NOT(ISERROR(SEARCH("n",I4)))</formula>
    </cfRule>
    <cfRule type="containsText" dxfId="708" priority="711" operator="containsText" text="V">
      <formula>NOT(ISERROR(SEARCH("V",I4)))</formula>
    </cfRule>
    <cfRule type="cellIs" dxfId="707" priority="710" operator="equal">
      <formula>"H"</formula>
    </cfRule>
    <cfRule type="containsText" dxfId="706" priority="709" operator="containsText" text="L">
      <formula>NOT(ISERROR(SEARCH("L",I4)))</formula>
    </cfRule>
    <cfRule type="cellIs" dxfId="705" priority="706" operator="equal">
      <formula>"R"</formula>
    </cfRule>
    <cfRule type="cellIs" dxfId="704" priority="704" operator="equal">
      <formula>"DV"</formula>
    </cfRule>
    <cfRule type="cellIs" dxfId="703" priority="727" operator="equal">
      <formula>"P"</formula>
    </cfRule>
    <cfRule type="cellIs" dxfId="702" priority="747" operator="equal">
      <formula>"F"</formula>
    </cfRule>
    <cfRule type="cellIs" dxfId="701" priority="745" operator="equal">
      <formula>"DE"</formula>
    </cfRule>
    <cfRule type="cellIs" dxfId="700" priority="744" operator="equal">
      <formula>"L"</formula>
    </cfRule>
    <cfRule type="cellIs" dxfId="699" priority="742" operator="equal">
      <formula>"P"</formula>
    </cfRule>
    <cfRule type="cellIs" dxfId="698" priority="741" operator="equal">
      <formula>"T"</formula>
    </cfRule>
    <cfRule type="cellIs" dxfId="697" priority="740" operator="equal">
      <formula>"T"</formula>
    </cfRule>
    <cfRule type="cellIs" dxfId="696" priority="739" operator="equal">
      <formula>"P"</formula>
    </cfRule>
    <cfRule type="cellIs" dxfId="695" priority="738" operator="equal">
      <formula>"DS"</formula>
    </cfRule>
    <cfRule type="cellIs" dxfId="694" priority="737" operator="equal">
      <formula>"V"</formula>
    </cfRule>
    <cfRule type="cellIs" dxfId="693" priority="736" operator="equal">
      <formula>"L"</formula>
    </cfRule>
    <cfRule type="cellIs" dxfId="692" priority="735" operator="equal">
      <formula>"FIN"</formula>
    </cfRule>
    <cfRule type="containsText" dxfId="691" priority="734" operator="containsText" text="H">
      <formula>NOT(ISERROR(SEARCH("H",I4)))</formula>
    </cfRule>
  </conditionalFormatting>
  <conditionalFormatting sqref="AC6:AE6 AF6:AK8 S7:AE8 S9:AK11 AD4:AK5 G7:H11">
    <cfRule type="containsText" dxfId="690" priority="6106" operator="containsText" text="L">
      <formula>NOT(ISERROR(SEARCH("L",G4)))</formula>
    </cfRule>
  </conditionalFormatting>
  <conditionalFormatting sqref="AC6:AE6 AF6:AK8 S7:AE8 S9:AK11">
    <cfRule type="cellIs" dxfId="689" priority="6105" operator="equal">
      <formula>"P"</formula>
    </cfRule>
    <cfRule type="cellIs" dxfId="688" priority="6104" operator="equal">
      <formula>"LS"</formula>
    </cfRule>
    <cfRule type="cellIs" dxfId="687" priority="6103" operator="equal">
      <formula>"R"</formula>
    </cfRule>
    <cfRule type="cellIs" dxfId="686" priority="6102" operator="equal">
      <formula>"F"</formula>
    </cfRule>
  </conditionalFormatting>
  <conditionalFormatting sqref="AC4:AK5 L4:O6 S4:V6 Z4:AB6 G7:R11">
    <cfRule type="cellIs" dxfId="685" priority="746" operator="equal">
      <formula>"R"</formula>
    </cfRule>
    <cfRule type="cellIs" dxfId="684" priority="708" operator="equal">
      <formula>"P"</formula>
    </cfRule>
    <cfRule type="cellIs" dxfId="683" priority="705" operator="equal">
      <formula>"F"</formula>
    </cfRule>
    <cfRule type="cellIs" dxfId="682" priority="707" operator="equal">
      <formula>"LS"</formula>
    </cfRule>
  </conditionalFormatting>
  <conditionalFormatting sqref="AC4:AK5 AC6:AE6 AF6:AK8 S7:AE8 G7:R11 S9:AK11 G12:AK12">
    <cfRule type="cellIs" dxfId="681" priority="616" operator="equal">
      <formula>"D"</formula>
    </cfRule>
  </conditionalFormatting>
  <conditionalFormatting sqref="AD4:AK5 AC6:AE6 AF6:AK8 S7:AE8 G7:H11 S9:AK11">
    <cfRule type="containsText" dxfId="680" priority="6108" operator="containsText" text="V">
      <formula>NOT(ISERROR(SEARCH("V",G4)))</formula>
    </cfRule>
    <cfRule type="containsText" dxfId="679" priority="6111" operator="containsText" text="T">
      <formula>NOT(ISERROR(SEARCH("T",G4)))</formula>
    </cfRule>
    <cfRule type="containsText" dxfId="678" priority="6110" operator="containsText" text="DE">
      <formula>NOT(ISERROR(SEARCH("DE",G4)))</formula>
    </cfRule>
    <cfRule type="containsText" dxfId="677" priority="6109" operator="containsText" text="n">
      <formula>NOT(ISERROR(SEARCH("n",G4)))</formula>
    </cfRule>
    <cfRule type="cellIs" dxfId="676" priority="6107" operator="equal">
      <formula>"H"</formula>
    </cfRule>
  </conditionalFormatting>
  <conditionalFormatting sqref="AE125:AH128 AK125:AK128">
    <cfRule type="cellIs" dxfId="675" priority="9" operator="equal">
      <formula>"L"</formula>
    </cfRule>
    <cfRule type="cellIs" dxfId="674" priority="21" operator="equal">
      <formula>"P"</formula>
    </cfRule>
    <cfRule type="cellIs" dxfId="673" priority="22" operator="equal">
      <formula>"L"</formula>
    </cfRule>
    <cfRule type="cellIs" dxfId="672" priority="24" operator="equal">
      <formula>"P"</formula>
    </cfRule>
    <cfRule type="cellIs" dxfId="671" priority="6" operator="equal">
      <formula>"N"</formula>
    </cfRule>
    <cfRule type="cellIs" dxfId="670" priority="612" operator="equal">
      <formula>"P"</formula>
    </cfRule>
    <cfRule type="cellIs" dxfId="669" priority="15" operator="equal">
      <formula>"L"</formula>
    </cfRule>
    <cfRule type="cellIs" dxfId="668" priority="16" operator="equal">
      <formula>"L"</formula>
    </cfRule>
    <cfRule type="cellIs" dxfId="667" priority="19" operator="equal">
      <formula>"L"</formula>
    </cfRule>
    <cfRule type="cellIs" dxfId="666" priority="5" operator="equal">
      <formula>"L"</formula>
    </cfRule>
    <cfRule type="cellIs" dxfId="665" priority="11" operator="equal">
      <formula>"P"</formula>
    </cfRule>
    <cfRule type="cellIs" dxfId="664" priority="12" operator="equal">
      <formula>"L"</formula>
    </cfRule>
    <cfRule type="cellIs" dxfId="663" priority="13" operator="equal">
      <formula>"L"</formula>
    </cfRule>
    <cfRule type="cellIs" dxfId="662" priority="14" operator="equal">
      <formula>"P"</formula>
    </cfRule>
  </conditionalFormatting>
  <conditionalFormatting sqref="AE125:AH128">
    <cfRule type="cellIs" dxfId="661" priority="611" operator="equal">
      <formula>"L"</formula>
    </cfRule>
  </conditionalFormatting>
  <conditionalFormatting sqref="AE125:AK128">
    <cfRule type="cellIs" dxfId="660" priority="597" operator="equal">
      <formula>"P"</formula>
    </cfRule>
    <cfRule type="cellIs" dxfId="659" priority="596" operator="equal">
      <formula>"T"</formula>
    </cfRule>
    <cfRule type="cellIs" dxfId="658" priority="18" operator="equal">
      <formula>"H"</formula>
    </cfRule>
    <cfRule type="cellIs" dxfId="657" priority="20" operator="equal">
      <formula>"N"</formula>
    </cfRule>
    <cfRule type="cellIs" dxfId="656" priority="573" operator="equal">
      <formula>"L"</formula>
    </cfRule>
    <cfRule type="cellIs" dxfId="655" priority="568" operator="equal">
      <formula>"L"</formula>
    </cfRule>
    <cfRule type="cellIs" dxfId="654" priority="565" operator="equal">
      <formula>"L"</formula>
    </cfRule>
    <cfRule type="cellIs" dxfId="653" priority="564" operator="equal">
      <formula>"T"</formula>
    </cfRule>
    <cfRule type="cellIs" dxfId="652" priority="563" operator="equal">
      <formula>"T"</formula>
    </cfRule>
    <cfRule type="cellIs" dxfId="651" priority="562" operator="equal">
      <formula>"P"</formula>
    </cfRule>
    <cfRule type="cellIs" dxfId="650" priority="561" operator="equal">
      <formula>"N"</formula>
    </cfRule>
    <cfRule type="cellIs" dxfId="649" priority="610" operator="equal">
      <formula>"P"</formula>
    </cfRule>
    <cfRule type="cellIs" dxfId="648" priority="571" operator="equal">
      <formula>"P"</formula>
    </cfRule>
    <cfRule type="cellIs" dxfId="647" priority="567" operator="equal">
      <formula>"L"</formula>
    </cfRule>
    <cfRule type="cellIs" dxfId="646" priority="608" operator="equal">
      <formula>"T"</formula>
    </cfRule>
    <cfRule type="cellIs" dxfId="645" priority="570" operator="equal">
      <formula>"P"</formula>
    </cfRule>
    <cfRule type="cellIs" dxfId="644" priority="566" operator="equal">
      <formula>"P"</formula>
    </cfRule>
    <cfRule type="cellIs" dxfId="643" priority="607" operator="equal">
      <formula>"T"</formula>
    </cfRule>
    <cfRule type="cellIs" dxfId="642" priority="606" operator="equal">
      <formula>"P"</formula>
    </cfRule>
    <cfRule type="cellIs" dxfId="641" priority="604" operator="equal">
      <formula>"P"</formula>
    </cfRule>
    <cfRule type="cellIs" dxfId="640" priority="595" operator="equal">
      <formula>"T"</formula>
    </cfRule>
    <cfRule type="cellIs" dxfId="639" priority="603" operator="equal">
      <formula>"P"</formula>
    </cfRule>
    <cfRule type="cellIs" dxfId="638" priority="602" operator="equal">
      <formula>"T"</formula>
    </cfRule>
    <cfRule type="cellIs" dxfId="637" priority="601" operator="equal">
      <formula>"T"</formula>
    </cfRule>
    <cfRule type="cellIs" dxfId="636" priority="600" operator="equal">
      <formula>"P"</formula>
    </cfRule>
    <cfRule type="cellIs" dxfId="635" priority="575" operator="equal">
      <formula>"P"</formula>
    </cfRule>
    <cfRule type="cellIs" dxfId="634" priority="576" operator="equal">
      <formula>"T"</formula>
    </cfRule>
    <cfRule type="cellIs" dxfId="633" priority="577" operator="equal">
      <formula>"T"</formula>
    </cfRule>
    <cfRule type="cellIs" dxfId="632" priority="580" operator="equal">
      <formula>"P"</formula>
    </cfRule>
    <cfRule type="cellIs" dxfId="631" priority="581" operator="equal">
      <formula>"P"</formula>
    </cfRule>
    <cfRule type="cellIs" dxfId="630" priority="582" operator="equal">
      <formula>"P"</formula>
    </cfRule>
    <cfRule type="cellIs" dxfId="629" priority="583" operator="equal">
      <formula>"L"</formula>
    </cfRule>
    <cfRule type="cellIs" dxfId="628" priority="574" operator="equal">
      <formula>"P"</formula>
    </cfRule>
    <cfRule type="cellIs" dxfId="627" priority="586" operator="equal">
      <formula>"T"</formula>
    </cfRule>
    <cfRule type="cellIs" dxfId="626" priority="587" operator="equal">
      <formula>"T"</formula>
    </cfRule>
    <cfRule type="cellIs" dxfId="625" priority="588" operator="equal">
      <formula>"L"</formula>
    </cfRule>
    <cfRule type="cellIs" dxfId="624" priority="589" operator="equal">
      <formula>"P"</formula>
    </cfRule>
    <cfRule type="cellIs" dxfId="623" priority="591" operator="equal">
      <formula>"L"</formula>
    </cfRule>
    <cfRule type="cellIs" dxfId="622" priority="592" operator="equal">
      <formula>"L"</formula>
    </cfRule>
    <cfRule type="cellIs" dxfId="621" priority="594" operator="equal">
      <formula>"P"</formula>
    </cfRule>
    <cfRule type="cellIs" dxfId="620" priority="585" operator="equal">
      <formula>"P"</formula>
    </cfRule>
  </conditionalFormatting>
  <conditionalFormatting sqref="AI126:AJ126">
    <cfRule type="cellIs" dxfId="619" priority="495" operator="equal">
      <formula>"L"</formula>
    </cfRule>
    <cfRule type="cellIs" dxfId="618" priority="494" operator="equal">
      <formula>"L"</formula>
    </cfRule>
    <cfRule type="cellIs" dxfId="617" priority="493" operator="equal">
      <formula>"P"</formula>
    </cfRule>
    <cfRule type="cellIs" dxfId="616" priority="492" operator="equal">
      <formula>"P"</formula>
    </cfRule>
    <cfRule type="cellIs" dxfId="615" priority="491" operator="equal">
      <formula>"L"</formula>
    </cfRule>
    <cfRule type="cellIs" dxfId="614" priority="490" operator="equal">
      <formula>"V"</formula>
    </cfRule>
    <cfRule type="cellIs" dxfId="613" priority="488" operator="equal">
      <formula>"N"</formula>
    </cfRule>
    <cfRule type="cellIs" dxfId="612" priority="487" operator="equal">
      <formula>"L"</formula>
    </cfRule>
    <cfRule type="cellIs" dxfId="611" priority="486" operator="equal">
      <formula>"P"</formula>
    </cfRule>
    <cfRule type="cellIs" dxfId="610" priority="485" operator="equal">
      <formula>"FIN"</formula>
    </cfRule>
    <cfRule type="cellIs" dxfId="609" priority="536" operator="equal">
      <formula>"T"</formula>
    </cfRule>
    <cfRule type="cellIs" dxfId="608" priority="537" operator="equal">
      <formula>"L"</formula>
    </cfRule>
    <cfRule type="cellIs" dxfId="607" priority="538" operator="equal">
      <formula>"P"</formula>
    </cfRule>
    <cfRule type="cellIs" dxfId="606" priority="497" operator="equal">
      <formula>"P"</formula>
    </cfRule>
    <cfRule type="cellIs" dxfId="605" priority="541" operator="equal">
      <formula>"L"</formula>
    </cfRule>
    <cfRule type="cellIs" dxfId="604" priority="540" operator="equal">
      <formula>"L"</formula>
    </cfRule>
    <cfRule type="cellIs" dxfId="603" priority="543" operator="equal">
      <formula>"P"</formula>
    </cfRule>
    <cfRule type="cellIs" dxfId="602" priority="544" operator="equal">
      <formula>"T"</formula>
    </cfRule>
    <cfRule type="cellIs" dxfId="601" priority="545" operator="equal">
      <formula>"T"</formula>
    </cfRule>
    <cfRule type="cellIs" dxfId="600" priority="546" operator="equal">
      <formula>"P"</formula>
    </cfRule>
    <cfRule type="cellIs" dxfId="599" priority="549" operator="equal">
      <formula>"P"</formula>
    </cfRule>
    <cfRule type="cellIs" dxfId="598" priority="550" operator="equal">
      <formula>"T"</formula>
    </cfRule>
    <cfRule type="cellIs" dxfId="597" priority="551" operator="equal">
      <formula>"T"</formula>
    </cfRule>
    <cfRule type="cellIs" dxfId="596" priority="552" operator="equal">
      <formula>"P"</formula>
    </cfRule>
    <cfRule type="cellIs" dxfId="595" priority="553" operator="equal">
      <formula>"P"</formula>
    </cfRule>
    <cfRule type="cellIs" dxfId="594" priority="554" operator="equal">
      <formula>"T"</formula>
    </cfRule>
    <cfRule type="cellIs" dxfId="593" priority="555" operator="equal">
      <formula>"T"</formula>
    </cfRule>
    <cfRule type="cellIs" dxfId="592" priority="556" operator="equal">
      <formula>"P"</formula>
    </cfRule>
    <cfRule type="cellIs" dxfId="591" priority="557" operator="equal">
      <formula>"P"</formula>
    </cfRule>
    <cfRule type="cellIs" dxfId="590" priority="560" operator="equal">
      <formula>"L"</formula>
    </cfRule>
    <cfRule type="cellIs" dxfId="589" priority="498" operator="equal">
      <formula>"L"</formula>
    </cfRule>
    <cfRule type="cellIs" dxfId="588" priority="499" operator="equal">
      <formula>"L"</formula>
    </cfRule>
    <cfRule type="cellIs" dxfId="587" priority="500" operator="equal">
      <formula>"P"</formula>
    </cfRule>
    <cfRule type="cellIs" dxfId="586" priority="501" operator="equal">
      <formula>"H"</formula>
    </cfRule>
    <cfRule type="cellIs" dxfId="585" priority="496" operator="equal">
      <formula>"P"</formula>
    </cfRule>
    <cfRule type="cellIs" dxfId="584" priority="502" operator="equal">
      <formula>"L"</formula>
    </cfRule>
    <cfRule type="cellIs" dxfId="583" priority="503" operator="equal">
      <formula>"N"</formula>
    </cfRule>
    <cfRule type="cellIs" dxfId="582" priority="504" operator="equal">
      <formula>"N"</formula>
    </cfRule>
    <cfRule type="cellIs" dxfId="581" priority="505" operator="equal">
      <formula>"P"</formula>
    </cfRule>
    <cfRule type="cellIs" dxfId="580" priority="506" operator="equal">
      <formula>"L"</formula>
    </cfRule>
    <cfRule type="cellIs" dxfId="579" priority="508" operator="equal">
      <formula>"P"</formula>
    </cfRule>
    <cfRule type="cellIs" dxfId="578" priority="509" operator="equal">
      <formula>"P"</formula>
    </cfRule>
    <cfRule type="cellIs" dxfId="577" priority="510" operator="equal">
      <formula>"T"</formula>
    </cfRule>
    <cfRule type="cellIs" dxfId="576" priority="511" operator="equal">
      <formula>"T"</formula>
    </cfRule>
    <cfRule type="cellIs" dxfId="575" priority="512" operator="equal">
      <formula>"L"</formula>
    </cfRule>
    <cfRule type="cellIs" dxfId="574" priority="513" operator="equal">
      <formula>"P"</formula>
    </cfRule>
    <cfRule type="cellIs" dxfId="573" priority="514" operator="equal">
      <formula>"L"</formula>
    </cfRule>
    <cfRule type="cellIs" dxfId="572" priority="515" operator="equal">
      <formula>"L"</formula>
    </cfRule>
    <cfRule type="cellIs" dxfId="571" priority="516" operator="equal">
      <formula>"DS"</formula>
    </cfRule>
    <cfRule type="cellIs" dxfId="570" priority="517" operator="equal">
      <formula>"P"</formula>
    </cfRule>
    <cfRule type="cellIs" dxfId="569" priority="518" operator="equal">
      <formula>"P"</formula>
    </cfRule>
    <cfRule type="cellIs" dxfId="568" priority="520" operator="equal">
      <formula>"L"</formula>
    </cfRule>
    <cfRule type="cellIs" dxfId="567" priority="521" operator="equal">
      <formula>"P"</formula>
    </cfRule>
    <cfRule type="cellIs" dxfId="566" priority="522" operator="equal">
      <formula>"D"</formula>
    </cfRule>
    <cfRule type="cellIs" dxfId="565" priority="523" operator="equal">
      <formula>"P"</formula>
    </cfRule>
    <cfRule type="cellIs" dxfId="564" priority="524" operator="equal">
      <formula>"T"</formula>
    </cfRule>
    <cfRule type="cellIs" dxfId="563" priority="525" operator="equal">
      <formula>"T"</formula>
    </cfRule>
    <cfRule type="cellIs" dxfId="562" priority="527" operator="equal">
      <formula>"N"</formula>
    </cfRule>
    <cfRule type="cellIs" dxfId="561" priority="529" operator="equal">
      <formula>"P"</formula>
    </cfRule>
    <cfRule type="cellIs" dxfId="560" priority="530" operator="equal">
      <formula>"P"</formula>
    </cfRule>
    <cfRule type="cellIs" dxfId="559" priority="531" operator="equal">
      <formula>"P"</formula>
    </cfRule>
    <cfRule type="cellIs" dxfId="558" priority="532" operator="equal">
      <formula>"L"</formula>
    </cfRule>
    <cfRule type="cellIs" dxfId="557" priority="534" operator="equal">
      <formula>"P"</formula>
    </cfRule>
    <cfRule type="cellIs" dxfId="556" priority="535" operator="equal">
      <formula>"T"</formula>
    </cfRule>
  </conditionalFormatting>
  <conditionalFormatting sqref="AI125:AK128">
    <cfRule type="cellIs" dxfId="555" priority="484" operator="equal">
      <formula>"P"</formula>
    </cfRule>
    <cfRule type="cellIs" dxfId="554" priority="482" operator="equal">
      <formula>"P"</formula>
    </cfRule>
    <cfRule type="cellIs" dxfId="553" priority="481" operator="equal">
      <formula>"T"</formula>
    </cfRule>
    <cfRule type="cellIs" dxfId="552" priority="480" operator="equal">
      <formula>"T"</formula>
    </cfRule>
    <cfRule type="cellIs" dxfId="551" priority="479" operator="equal">
      <formula>"P"</formula>
    </cfRule>
    <cfRule type="cellIs" dxfId="550" priority="478" operator="equal">
      <formula>"P"</formula>
    </cfRule>
    <cfRule type="cellIs" dxfId="549" priority="477" operator="equal">
      <formula>"T"</formula>
    </cfRule>
    <cfRule type="cellIs" dxfId="548" priority="476" operator="equal">
      <formula>"T"</formula>
    </cfRule>
    <cfRule type="cellIs" dxfId="547" priority="475" operator="equal">
      <formula>"P"</formula>
    </cfRule>
    <cfRule type="cellIs" dxfId="546" priority="474" operator="equal">
      <formula>"P"</formula>
    </cfRule>
    <cfRule type="cellIs" dxfId="545" priority="471" operator="equal">
      <formula>"T"</formula>
    </cfRule>
    <cfRule type="cellIs" dxfId="544" priority="470" operator="equal">
      <formula>"T"</formula>
    </cfRule>
    <cfRule type="cellIs" dxfId="543" priority="469" operator="equal">
      <formula>"P"</formula>
    </cfRule>
    <cfRule type="cellIs" dxfId="542" priority="466" operator="equal">
      <formula>"P"</formula>
    </cfRule>
    <cfRule type="cellIs" dxfId="541" priority="465" operator="equal">
      <formula>"T"</formula>
    </cfRule>
    <cfRule type="cellIs" dxfId="540" priority="464" operator="equal">
      <formula>"T"</formula>
    </cfRule>
    <cfRule type="cellIs" dxfId="539" priority="463" operator="equal">
      <formula>"P"</formula>
    </cfRule>
    <cfRule type="cellIs" dxfId="538" priority="462" operator="equal">
      <formula>"L"</formula>
    </cfRule>
    <cfRule type="cellIs" dxfId="537" priority="460" operator="equal">
      <formula>"L"</formula>
    </cfRule>
    <cfRule type="cellIs" dxfId="536" priority="456" operator="equal">
      <formula>"L"</formula>
    </cfRule>
    <cfRule type="cellIs" dxfId="535" priority="455" operator="equal">
      <formula>"P"</formula>
    </cfRule>
    <cfRule type="cellIs" dxfId="534" priority="453" operator="equal">
      <formula>"L"</formula>
    </cfRule>
    <cfRule type="cellIs" dxfId="533" priority="452" operator="equal">
      <formula>"P"</formula>
    </cfRule>
    <cfRule type="cellIs" dxfId="532" priority="451" operator="equal">
      <formula>"P"</formula>
    </cfRule>
    <cfRule type="cellIs" dxfId="531" priority="450" operator="equal">
      <formula>"L"</formula>
    </cfRule>
    <cfRule type="cellIs" dxfId="530" priority="448" operator="equal">
      <formula>"T"</formula>
    </cfRule>
    <cfRule type="cellIs" dxfId="529" priority="447" operator="equal">
      <formula>"T"</formula>
    </cfRule>
    <cfRule type="cellIs" dxfId="528" priority="446" operator="equal">
      <formula>"P"</formula>
    </cfRule>
    <cfRule type="cellIs" dxfId="527" priority="445" operator="equal">
      <formula>"P"</formula>
    </cfRule>
    <cfRule type="cellIs" dxfId="526" priority="444" operator="equal">
      <formula>"P"</formula>
    </cfRule>
    <cfRule type="cellIs" dxfId="525" priority="443" operator="equal">
      <formula>"L"</formula>
    </cfRule>
    <cfRule type="cellIs" dxfId="524" priority="442" operator="equal">
      <formula>"L"</formula>
    </cfRule>
    <cfRule type="cellIs" dxfId="523" priority="441" operator="equal">
      <formula>"L"</formula>
    </cfRule>
    <cfRule type="cellIs" dxfId="522" priority="440" operator="equal">
      <formula>"P"</formula>
    </cfRule>
    <cfRule type="cellIs" dxfId="521" priority="435" operator="equal">
      <formula>"P"</formula>
    </cfRule>
    <cfRule type="cellIs" dxfId="520" priority="434" operator="equal">
      <formula>"P"</formula>
    </cfRule>
    <cfRule type="cellIs" dxfId="519" priority="433" operator="equal">
      <formula>"P"</formula>
    </cfRule>
    <cfRule type="cellIs" dxfId="518" priority="431" operator="equal">
      <formula>"P"</formula>
    </cfRule>
    <cfRule type="cellIs" dxfId="517" priority="430" operator="equal">
      <formula>"L"</formula>
    </cfRule>
    <cfRule type="cellIs" dxfId="516" priority="429" operator="equal">
      <formula>"L"</formula>
    </cfRule>
    <cfRule type="cellIs" dxfId="515" priority="428" operator="equal">
      <formula>"P"</formula>
    </cfRule>
    <cfRule type="cellIs" dxfId="514" priority="427" operator="equal">
      <formula>"L"</formula>
    </cfRule>
    <cfRule type="cellIs" dxfId="513" priority="426" operator="equal">
      <formula>"P"</formula>
    </cfRule>
    <cfRule type="cellIs" dxfId="512" priority="425" operator="equal">
      <formula>"L"</formula>
    </cfRule>
    <cfRule type="cellIs" dxfId="511" priority="424" operator="equal">
      <formula>"P"</formula>
    </cfRule>
    <cfRule type="cellIs" dxfId="510" priority="423" operator="equal">
      <formula>"N"</formula>
    </cfRule>
    <cfRule type="cellIs" dxfId="509" priority="422" operator="equal">
      <formula>"L"</formula>
    </cfRule>
    <cfRule type="cellIs" dxfId="508" priority="420" operator="equal">
      <formula>"N"</formula>
    </cfRule>
    <cfRule type="cellIs" dxfId="507" priority="419" operator="equal">
      <formula>"L"</formula>
    </cfRule>
    <cfRule type="cellIs" dxfId="506" priority="418" operator="equal">
      <formula>"L"</formula>
    </cfRule>
    <cfRule type="cellIs" dxfId="505" priority="417" operator="equal">
      <formula>"L"</formula>
    </cfRule>
    <cfRule type="cellIs" dxfId="504" priority="416" operator="equal">
      <formula>"P"</formula>
    </cfRule>
    <cfRule type="cellIs" dxfId="503" priority="415" operator="equal">
      <formula>"P"</formula>
    </cfRule>
    <cfRule type="cellIs" dxfId="502" priority="414" operator="equal">
      <formula>"L"</formula>
    </cfRule>
    <cfRule type="cellIs" dxfId="501" priority="413" operator="equal">
      <formula>"P"</formula>
    </cfRule>
    <cfRule type="cellIs" dxfId="500" priority="412" operator="equal">
      <formula>"N"</formula>
    </cfRule>
    <cfRule type="cellIs" dxfId="499" priority="411" operator="equal">
      <formula>"L"</formula>
    </cfRule>
    <cfRule type="cellIs" dxfId="498" priority="410" operator="equal">
      <formula>"P"</formula>
    </cfRule>
    <cfRule type="cellIs" dxfId="497" priority="409" operator="equal">
      <formula>"P"</formula>
    </cfRule>
    <cfRule type="cellIs" dxfId="496" priority="404" operator="equal">
      <formula>"T"</formula>
    </cfRule>
    <cfRule type="cellIs" dxfId="495" priority="403" operator="equal">
      <formula>"P"</formula>
    </cfRule>
    <cfRule type="cellIs" dxfId="494" priority="402" operator="equal">
      <formula>"L"</formula>
    </cfRule>
    <cfRule type="cellIs" dxfId="493" priority="400" operator="equal">
      <formula>"L"</formula>
    </cfRule>
    <cfRule type="cellIs" dxfId="492" priority="399" operator="equal">
      <formula>"P"</formula>
    </cfRule>
    <cfRule type="cellIs" dxfId="491" priority="398" operator="equal">
      <formula>"T"</formula>
    </cfRule>
    <cfRule type="cellIs" dxfId="490" priority="397" operator="equal">
      <formula>"T"</formula>
    </cfRule>
    <cfRule type="cellIs" dxfId="489" priority="395" operator="equal">
      <formula>"T"</formula>
    </cfRule>
    <cfRule type="cellIs" dxfId="488" priority="394" operator="equal">
      <formula>"T"</formula>
    </cfRule>
    <cfRule type="cellIs" dxfId="487" priority="393" operator="equal">
      <formula>"P"</formula>
    </cfRule>
    <cfRule type="cellIs" dxfId="486" priority="392" operator="equal">
      <formula>"P"</formula>
    </cfRule>
    <cfRule type="cellIs" dxfId="485" priority="389" operator="equal">
      <formula>"T"</formula>
    </cfRule>
    <cfRule type="cellIs" dxfId="484" priority="388" operator="equal">
      <formula>"T"</formula>
    </cfRule>
    <cfRule type="cellIs" dxfId="483" priority="387" operator="equal">
      <formula>"P"</formula>
    </cfRule>
    <cfRule type="cellIs" dxfId="482" priority="162" operator="equal">
      <formula>"P"</formula>
    </cfRule>
    <cfRule type="cellIs" dxfId="481" priority="163" operator="equal">
      <formula>"T"</formula>
    </cfRule>
    <cfRule type="cellIs" dxfId="480" priority="164" operator="equal">
      <formula>"T"</formula>
    </cfRule>
    <cfRule type="cellIs" dxfId="479" priority="168" operator="equal">
      <formula>"P"</formula>
    </cfRule>
    <cfRule type="cellIs" dxfId="478" priority="169" operator="equal">
      <formula>"P"</formula>
    </cfRule>
    <cfRule type="cellIs" dxfId="477" priority="170" operator="equal">
      <formula>"L"</formula>
    </cfRule>
    <cfRule type="cellIs" dxfId="476" priority="171" operator="equal">
      <formula>"N"</formula>
    </cfRule>
    <cfRule type="cellIs" dxfId="475" priority="172" operator="equal">
      <formula>"P"</formula>
    </cfRule>
    <cfRule type="cellIs" dxfId="474" priority="173" operator="equal">
      <formula>"L"</formula>
    </cfRule>
    <cfRule type="cellIs" dxfId="473" priority="174" operator="equal">
      <formula>"P"</formula>
    </cfRule>
    <cfRule type="cellIs" dxfId="472" priority="175" operator="equal">
      <formula>"P"</formula>
    </cfRule>
    <cfRule type="cellIs" dxfId="471" priority="176" operator="equal">
      <formula>"L"</formula>
    </cfRule>
    <cfRule type="cellIs" dxfId="470" priority="177" operator="equal">
      <formula>"L"</formula>
    </cfRule>
    <cfRule type="cellIs" dxfId="469" priority="178" operator="equal">
      <formula>"L"</formula>
    </cfRule>
    <cfRule type="cellIs" dxfId="468" priority="179" operator="equal">
      <formula>"N"</formula>
    </cfRule>
    <cfRule type="cellIs" dxfId="467" priority="181" operator="equal">
      <formula>"L"</formula>
    </cfRule>
    <cfRule type="cellIs" dxfId="466" priority="182" operator="equal">
      <formula>"N"</formula>
    </cfRule>
    <cfRule type="cellIs" dxfId="465" priority="183" operator="equal">
      <formula>"P"</formula>
    </cfRule>
    <cfRule type="cellIs" dxfId="464" priority="184" operator="equal">
      <formula>"L"</formula>
    </cfRule>
    <cfRule type="cellIs" dxfId="463" priority="185" operator="equal">
      <formula>"P"</formula>
    </cfRule>
    <cfRule type="cellIs" dxfId="462" priority="186" operator="equal">
      <formula>"L"</formula>
    </cfRule>
    <cfRule type="cellIs" dxfId="461" priority="187" operator="equal">
      <formula>"P"</formula>
    </cfRule>
    <cfRule type="cellIs" dxfId="460" priority="188" operator="equal">
      <formula>"L"</formula>
    </cfRule>
    <cfRule type="cellIs" dxfId="459" priority="189" operator="equal">
      <formula>"L"</formula>
    </cfRule>
    <cfRule type="cellIs" dxfId="458" priority="190" operator="equal">
      <formula>"P"</formula>
    </cfRule>
    <cfRule type="cellIs" dxfId="457" priority="192" operator="equal">
      <formula>"P"</formula>
    </cfRule>
    <cfRule type="cellIs" dxfId="456" priority="193" operator="equal">
      <formula>"P"</formula>
    </cfRule>
    <cfRule type="cellIs" dxfId="455" priority="194" operator="equal">
      <formula>"P"</formula>
    </cfRule>
    <cfRule type="cellIs" dxfId="454" priority="195" operator="equal">
      <formula>"N"</formula>
    </cfRule>
    <cfRule type="cellIs" dxfId="453" priority="200" operator="equal">
      <formula>"P"</formula>
    </cfRule>
    <cfRule type="cellIs" dxfId="452" priority="201" operator="equal">
      <formula>"L"</formula>
    </cfRule>
    <cfRule type="cellIs" dxfId="451" priority="202" operator="equal">
      <formula>"L"</formula>
    </cfRule>
    <cfRule type="cellIs" dxfId="450" priority="203" operator="equal">
      <formula>"L"</formula>
    </cfRule>
    <cfRule type="cellIs" dxfId="449" priority="204" operator="equal">
      <formula>"P"</formula>
    </cfRule>
    <cfRule type="cellIs" dxfId="448" priority="205" operator="equal">
      <formula>"P"</formula>
    </cfRule>
    <cfRule type="cellIs" dxfId="447" priority="206" operator="equal">
      <formula>"P"</formula>
    </cfRule>
    <cfRule type="cellIs" dxfId="446" priority="207" operator="equal">
      <formula>"T"</formula>
    </cfRule>
    <cfRule type="cellIs" dxfId="445" priority="208" operator="equal">
      <formula>"T"</formula>
    </cfRule>
    <cfRule type="cellIs" dxfId="444" priority="210" operator="equal">
      <formula>"L"</formula>
    </cfRule>
    <cfRule type="cellIs" dxfId="443" priority="212" operator="equal">
      <formula>"P"</formula>
    </cfRule>
    <cfRule type="cellIs" dxfId="442" priority="213" operator="equal">
      <formula>"L"</formula>
    </cfRule>
    <cfRule type="cellIs" dxfId="441" priority="215" operator="equal">
      <formula>"P"</formula>
    </cfRule>
    <cfRule type="cellIs" dxfId="440" priority="216" operator="equal">
      <formula>"L"</formula>
    </cfRule>
    <cfRule type="cellIs" dxfId="439" priority="220" operator="equal">
      <formula>"L"</formula>
    </cfRule>
    <cfRule type="cellIs" dxfId="438" priority="222" operator="equal">
      <formula>"L"</formula>
    </cfRule>
    <cfRule type="cellIs" dxfId="437" priority="226" operator="equal">
      <formula>"P"</formula>
    </cfRule>
    <cfRule type="cellIs" dxfId="436" priority="227" operator="equal">
      <formula>"T"</formula>
    </cfRule>
    <cfRule type="cellIs" dxfId="435" priority="228" operator="equal">
      <formula>"T"</formula>
    </cfRule>
    <cfRule type="cellIs" dxfId="434" priority="233" operator="equal">
      <formula>"T"</formula>
    </cfRule>
    <cfRule type="cellIs" dxfId="433" priority="234" operator="equal">
      <formula>"T"</formula>
    </cfRule>
    <cfRule type="cellIs" dxfId="432" priority="235" operator="equal">
      <formula>"P"</formula>
    </cfRule>
    <cfRule type="cellIs" dxfId="431" priority="236" operator="equal">
      <formula>"L"</formula>
    </cfRule>
    <cfRule type="cellIs" dxfId="430" priority="238" operator="equal">
      <formula>"L"</formula>
    </cfRule>
    <cfRule type="cellIs" dxfId="429" priority="239" operator="equal">
      <formula>"P"</formula>
    </cfRule>
    <cfRule type="cellIs" dxfId="428" priority="240" operator="equal">
      <formula>"T"</formula>
    </cfRule>
    <cfRule type="cellIs" dxfId="427" priority="241" operator="equal">
      <formula>"T"</formula>
    </cfRule>
    <cfRule type="cellIs" dxfId="426" priority="211" operator="equal">
      <formula>"P"</formula>
    </cfRule>
    <cfRule type="cellIs" dxfId="425" priority="245" operator="equal">
      <formula>"P"</formula>
    </cfRule>
    <cfRule type="cellIs" dxfId="424" priority="246" operator="equal">
      <formula>"P"</formula>
    </cfRule>
    <cfRule type="cellIs" dxfId="423" priority="247" operator="equal">
      <formula>"L"</formula>
    </cfRule>
    <cfRule type="cellIs" dxfId="422" priority="248" operator="equal">
      <formula>"N"</formula>
    </cfRule>
    <cfRule type="cellIs" dxfId="421" priority="249" operator="equal">
      <formula>"P"</formula>
    </cfRule>
    <cfRule type="cellIs" dxfId="420" priority="250" operator="equal">
      <formula>"L"</formula>
    </cfRule>
    <cfRule type="cellIs" dxfId="419" priority="251" operator="equal">
      <formula>"P"</formula>
    </cfRule>
    <cfRule type="cellIs" dxfId="418" priority="252" operator="equal">
      <formula>"P"</formula>
    </cfRule>
    <cfRule type="cellIs" dxfId="417" priority="253" operator="equal">
      <formula>"L"</formula>
    </cfRule>
    <cfRule type="cellIs" dxfId="416" priority="254" operator="equal">
      <formula>"L"</formula>
    </cfRule>
    <cfRule type="cellIs" dxfId="415" priority="255" operator="equal">
      <formula>"L"</formula>
    </cfRule>
    <cfRule type="cellIs" dxfId="414" priority="256" operator="equal">
      <formula>"N"</formula>
    </cfRule>
    <cfRule type="cellIs" dxfId="413" priority="258" operator="equal">
      <formula>"L"</formula>
    </cfRule>
    <cfRule type="cellIs" dxfId="412" priority="259" operator="equal">
      <formula>"N"</formula>
    </cfRule>
    <cfRule type="cellIs" dxfId="411" priority="161" operator="equal">
      <formula>"L"</formula>
    </cfRule>
    <cfRule type="cellIs" dxfId="410" priority="260" operator="equal">
      <formula>"P"</formula>
    </cfRule>
    <cfRule type="cellIs" dxfId="409" priority="261" operator="equal">
      <formula>"L"</formula>
    </cfRule>
    <cfRule type="cellIs" dxfId="408" priority="262" operator="equal">
      <formula>"P"</formula>
    </cfRule>
    <cfRule type="cellIs" dxfId="407" priority="263" operator="equal">
      <formula>"L"</formula>
    </cfRule>
    <cfRule type="cellIs" dxfId="406" priority="264" operator="equal">
      <formula>"P"</formula>
    </cfRule>
    <cfRule type="cellIs" dxfId="405" priority="265" operator="equal">
      <formula>"L"</formula>
    </cfRule>
    <cfRule type="cellIs" dxfId="404" priority="266" operator="equal">
      <formula>"L"</formula>
    </cfRule>
    <cfRule type="cellIs" dxfId="403" priority="267" operator="equal">
      <formula>"P"</formula>
    </cfRule>
    <cfRule type="cellIs" dxfId="402" priority="269" operator="equal">
      <formula>"P"</formula>
    </cfRule>
    <cfRule type="cellIs" dxfId="401" priority="270" operator="equal">
      <formula>"P"</formula>
    </cfRule>
    <cfRule type="cellIs" dxfId="400" priority="159" operator="equal">
      <formula>"L"</formula>
    </cfRule>
    <cfRule type="cellIs" dxfId="399" priority="271" operator="equal">
      <formula>"P"</formula>
    </cfRule>
    <cfRule type="cellIs" dxfId="398" priority="272" operator="equal">
      <formula>"N"</formula>
    </cfRule>
    <cfRule type="cellIs" dxfId="397" priority="277" operator="equal">
      <formula>"P"</formula>
    </cfRule>
    <cfRule type="cellIs" dxfId="396" priority="278" operator="equal">
      <formula>"L"</formula>
    </cfRule>
    <cfRule type="cellIs" dxfId="395" priority="279" operator="equal">
      <formula>"L"</formula>
    </cfRule>
    <cfRule type="cellIs" dxfId="394" priority="280" operator="equal">
      <formula>"L"</formula>
    </cfRule>
    <cfRule type="cellIs" dxfId="393" priority="281" operator="equal">
      <formula>"P"</formula>
    </cfRule>
    <cfRule type="cellIs" dxfId="392" priority="158" operator="equal">
      <formula>"P"</formula>
    </cfRule>
    <cfRule type="cellIs" dxfId="391" priority="282" operator="equal">
      <formula>"P"</formula>
    </cfRule>
    <cfRule type="cellIs" dxfId="390" priority="283" operator="equal">
      <formula>"P"</formula>
    </cfRule>
    <cfRule type="cellIs" dxfId="389" priority="284" operator="equal">
      <formula>"T"</formula>
    </cfRule>
    <cfRule type="cellIs" dxfId="388" priority="157" operator="equal">
      <formula>"T"</formula>
    </cfRule>
    <cfRule type="cellIs" dxfId="387" priority="156" operator="equal">
      <formula>"T"</formula>
    </cfRule>
    <cfRule type="cellIs" dxfId="386" priority="155" operator="equal">
      <formula>"P"</formula>
    </cfRule>
    <cfRule type="cellIs" dxfId="385" priority="285" operator="equal">
      <formula>"T"</formula>
    </cfRule>
    <cfRule type="cellIs" dxfId="384" priority="287" operator="equal">
      <formula>"L"</formula>
    </cfRule>
    <cfRule type="cellIs" dxfId="383" priority="151" operator="equal">
      <formula>"L"</formula>
    </cfRule>
    <cfRule type="cellIs" dxfId="382" priority="150" operator="equal">
      <formula>"P"</formula>
    </cfRule>
    <cfRule type="cellIs" dxfId="381" priority="288" operator="equal">
      <formula>"P"</formula>
    </cfRule>
    <cfRule type="cellIs" dxfId="380" priority="289" operator="equal">
      <formula>"P"</formula>
    </cfRule>
    <cfRule type="cellIs" dxfId="379" priority="290" operator="equal">
      <formula>"L"</formula>
    </cfRule>
    <cfRule type="cellIs" dxfId="378" priority="292" operator="equal">
      <formula>"P"</formula>
    </cfRule>
    <cfRule type="cellIs" dxfId="377" priority="148" operator="equal">
      <formula>"L"</formula>
    </cfRule>
    <cfRule type="cellIs" dxfId="376" priority="293" operator="equal">
      <formula>"L"</formula>
    </cfRule>
    <cfRule type="cellIs" dxfId="375" priority="344" operator="equal">
      <formula>"L"</formula>
    </cfRule>
    <cfRule type="cellIs" dxfId="374" priority="297" operator="equal">
      <formula>"L"</formula>
    </cfRule>
    <cfRule type="cellIs" dxfId="373" priority="299" operator="equal">
      <formula>"L"</formula>
    </cfRule>
    <cfRule type="cellIs" dxfId="372" priority="300" operator="equal">
      <formula>"P"</formula>
    </cfRule>
    <cfRule type="cellIs" dxfId="371" priority="301" operator="equal">
      <formula>"T"</formula>
    </cfRule>
    <cfRule type="cellIs" dxfId="370" priority="302" operator="equal">
      <formula>"T"</formula>
    </cfRule>
    <cfRule type="cellIs" dxfId="369" priority="303" operator="equal">
      <formula>"P"</formula>
    </cfRule>
    <cfRule type="cellIs" dxfId="368" priority="306" operator="equal">
      <formula>"P"</formula>
    </cfRule>
    <cfRule type="cellIs" dxfId="367" priority="147" operator="equal">
      <formula>"P"</formula>
    </cfRule>
    <cfRule type="cellIs" dxfId="366" priority="307" operator="equal">
      <formula>"T"</formula>
    </cfRule>
    <cfRule type="cellIs" dxfId="365" priority="308" operator="equal">
      <formula>"T"</formula>
    </cfRule>
    <cfRule type="cellIs" dxfId="364" priority="311" operator="equal">
      <formula>"P"</formula>
    </cfRule>
    <cfRule type="cellIs" dxfId="363" priority="312" operator="equal">
      <formula>"P"</formula>
    </cfRule>
    <cfRule type="cellIs" dxfId="362" priority="146" operator="equal">
      <formula>"P"</formula>
    </cfRule>
    <cfRule type="cellIs" dxfId="361" priority="145" operator="equal">
      <formula>"L"</formula>
    </cfRule>
    <cfRule type="cellIs" dxfId="360" priority="143" operator="equal">
      <formula>"T"</formula>
    </cfRule>
    <cfRule type="cellIs" dxfId="359" priority="313" operator="equal">
      <formula>"P"</formula>
    </cfRule>
    <cfRule type="cellIs" dxfId="358" priority="314" operator="equal">
      <formula>"T"</formula>
    </cfRule>
    <cfRule type="cellIs" dxfId="357" priority="315" operator="equal">
      <formula>"T"</formula>
    </cfRule>
    <cfRule type="cellIs" dxfId="356" priority="316" operator="equal">
      <formula>"P"</formula>
    </cfRule>
    <cfRule type="cellIs" dxfId="355" priority="317" operator="equal">
      <formula>"L"</formula>
    </cfRule>
    <cfRule type="cellIs" dxfId="354" priority="142" operator="equal">
      <formula>"T"</formula>
    </cfRule>
    <cfRule type="cellIs" dxfId="353" priority="319" operator="equal">
      <formula>"L"</formula>
    </cfRule>
    <cfRule type="cellIs" dxfId="352" priority="320" operator="equal">
      <formula>"P"</formula>
    </cfRule>
    <cfRule type="cellIs" dxfId="351" priority="321" operator="equal">
      <formula>"T"</formula>
    </cfRule>
    <cfRule type="cellIs" dxfId="350" priority="322" operator="equal">
      <formula>"T"</formula>
    </cfRule>
    <cfRule type="cellIs" dxfId="349" priority="326" operator="equal">
      <formula>"P"</formula>
    </cfRule>
    <cfRule type="cellIs" dxfId="348" priority="327" operator="equal">
      <formula>"P"</formula>
    </cfRule>
    <cfRule type="cellIs" dxfId="347" priority="328" operator="equal">
      <formula>"L"</formula>
    </cfRule>
    <cfRule type="cellIs" dxfId="346" priority="329" operator="equal">
      <formula>"N"</formula>
    </cfRule>
    <cfRule type="cellIs" dxfId="345" priority="330" operator="equal">
      <formula>"P"</formula>
    </cfRule>
    <cfRule type="cellIs" dxfId="344" priority="331" operator="equal">
      <formula>"L"</formula>
    </cfRule>
    <cfRule type="cellIs" dxfId="343" priority="332" operator="equal">
      <formula>"P"</formula>
    </cfRule>
    <cfRule type="cellIs" dxfId="342" priority="333" operator="equal">
      <formula>"P"</formula>
    </cfRule>
    <cfRule type="cellIs" dxfId="341" priority="334" operator="equal">
      <formula>"L"</formula>
    </cfRule>
    <cfRule type="cellIs" dxfId="340" priority="335" operator="equal">
      <formula>"L"</formula>
    </cfRule>
    <cfRule type="cellIs" dxfId="339" priority="336" operator="equal">
      <formula>"L"</formula>
    </cfRule>
    <cfRule type="cellIs" dxfId="338" priority="337" operator="equal">
      <formula>"N"</formula>
    </cfRule>
    <cfRule type="cellIs" dxfId="337" priority="339" operator="equal">
      <formula>"L"</formula>
    </cfRule>
    <cfRule type="cellIs" dxfId="336" priority="340" operator="equal">
      <formula>"N"</formula>
    </cfRule>
    <cfRule type="cellIs" dxfId="335" priority="341" operator="equal">
      <formula>"P"</formula>
    </cfRule>
    <cfRule type="cellIs" dxfId="334" priority="342" operator="equal">
      <formula>"L"</formula>
    </cfRule>
    <cfRule type="cellIs" dxfId="333" priority="343" operator="equal">
      <formula>"P"</formula>
    </cfRule>
    <cfRule type="cellIs" dxfId="332" priority="345" operator="equal">
      <formula>"P"</formula>
    </cfRule>
    <cfRule type="cellIs" dxfId="331" priority="346" operator="equal">
      <formula>"L"</formula>
    </cfRule>
    <cfRule type="cellIs" dxfId="330" priority="347" operator="equal">
      <formula>"L"</formula>
    </cfRule>
    <cfRule type="cellIs" dxfId="329" priority="348" operator="equal">
      <formula>"P"</formula>
    </cfRule>
    <cfRule type="cellIs" dxfId="328" priority="350" operator="equal">
      <formula>"P"</formula>
    </cfRule>
    <cfRule type="cellIs" dxfId="327" priority="351" operator="equal">
      <formula>"P"</formula>
    </cfRule>
    <cfRule type="cellIs" dxfId="326" priority="352" operator="equal">
      <formula>"P"</formula>
    </cfRule>
    <cfRule type="cellIs" dxfId="325" priority="353" operator="equal">
      <formula>"N"</formula>
    </cfRule>
    <cfRule type="cellIs" dxfId="324" priority="141" operator="equal">
      <formula>"P"</formula>
    </cfRule>
    <cfRule type="cellIs" dxfId="323" priority="140" operator="equal">
      <formula>"P"</formula>
    </cfRule>
    <cfRule type="cellIs" dxfId="322" priority="139" operator="equal">
      <formula>"P"</formula>
    </cfRule>
    <cfRule type="cellIs" dxfId="321" priority="138" operator="equal">
      <formula>"L"</formula>
    </cfRule>
    <cfRule type="cellIs" dxfId="320" priority="137" operator="equal">
      <formula>"L"</formula>
    </cfRule>
    <cfRule type="cellIs" dxfId="319" priority="136" operator="equal">
      <formula>"L"</formula>
    </cfRule>
    <cfRule type="cellIs" dxfId="318" priority="135" operator="equal">
      <formula>"P"</formula>
    </cfRule>
    <cfRule type="cellIs" dxfId="317" priority="130" operator="equal">
      <formula>"N"</formula>
    </cfRule>
    <cfRule type="cellIs" dxfId="316" priority="129" operator="equal">
      <formula>"P"</formula>
    </cfRule>
    <cfRule type="cellIs" dxfId="315" priority="128" operator="equal">
      <formula>"P"</formula>
    </cfRule>
    <cfRule type="cellIs" dxfId="314" priority="127" operator="equal">
      <formula>"P"</formula>
    </cfRule>
    <cfRule type="cellIs" dxfId="313" priority="125" operator="equal">
      <formula>"P"</formula>
    </cfRule>
    <cfRule type="cellIs" dxfId="312" priority="124" operator="equal">
      <formula>"L"</formula>
    </cfRule>
    <cfRule type="cellIs" dxfId="311" priority="123" operator="equal">
      <formula>"L"</formula>
    </cfRule>
    <cfRule type="cellIs" dxfId="310" priority="122" operator="equal">
      <formula>"P"</formula>
    </cfRule>
    <cfRule type="cellIs" dxfId="309" priority="121" operator="equal">
      <formula>"L"</formula>
    </cfRule>
    <cfRule type="cellIs" dxfId="308" priority="120" operator="equal">
      <formula>"P"</formula>
    </cfRule>
    <cfRule type="cellIs" dxfId="307" priority="119" operator="equal">
      <formula>"L"</formula>
    </cfRule>
    <cfRule type="cellIs" dxfId="306" priority="118" operator="equal">
      <formula>"P"</formula>
    </cfRule>
    <cfRule type="cellIs" dxfId="305" priority="117" operator="equal">
      <formula>"N"</formula>
    </cfRule>
    <cfRule type="cellIs" dxfId="304" priority="116" operator="equal">
      <formula>"L"</formula>
    </cfRule>
    <cfRule type="cellIs" dxfId="303" priority="114" operator="equal">
      <formula>"N"</formula>
    </cfRule>
    <cfRule type="cellIs" dxfId="302" priority="113" operator="equal">
      <formula>"L"</formula>
    </cfRule>
    <cfRule type="cellIs" dxfId="301" priority="112" operator="equal">
      <formula>"L"</formula>
    </cfRule>
    <cfRule type="cellIs" dxfId="300" priority="111" operator="equal">
      <formula>"L"</formula>
    </cfRule>
    <cfRule type="cellIs" dxfId="299" priority="110" operator="equal">
      <formula>"P"</formula>
    </cfRule>
    <cfRule type="cellIs" dxfId="298" priority="109" operator="equal">
      <formula>"P"</formula>
    </cfRule>
    <cfRule type="cellIs" dxfId="297" priority="108" operator="equal">
      <formula>"L"</formula>
    </cfRule>
    <cfRule type="cellIs" dxfId="296" priority="107" operator="equal">
      <formula>"P"</formula>
    </cfRule>
    <cfRule type="cellIs" dxfId="295" priority="106" operator="equal">
      <formula>"N"</formula>
    </cfRule>
    <cfRule type="cellIs" dxfId="294" priority="105" operator="equal">
      <formula>"L"</formula>
    </cfRule>
    <cfRule type="cellIs" dxfId="293" priority="104" operator="equal">
      <formula>"P"</formula>
    </cfRule>
    <cfRule type="cellIs" dxfId="292" priority="103" operator="equal">
      <formula>"P"</formula>
    </cfRule>
    <cfRule type="cellIs" dxfId="291" priority="99" operator="equal">
      <formula>"T"</formula>
    </cfRule>
    <cfRule type="cellIs" dxfId="290" priority="98" operator="equal">
      <formula>"T"</formula>
    </cfRule>
    <cfRule type="cellIs" dxfId="289" priority="97" operator="equal">
      <formula>"P"</formula>
    </cfRule>
    <cfRule type="cellIs" dxfId="288" priority="358" operator="equal">
      <formula>"P"</formula>
    </cfRule>
    <cfRule type="cellIs" dxfId="287" priority="359" operator="equal">
      <formula>"L"</formula>
    </cfRule>
    <cfRule type="cellIs" dxfId="286" priority="360" operator="equal">
      <formula>"L"</formula>
    </cfRule>
    <cfRule type="cellIs" dxfId="285" priority="361" operator="equal">
      <formula>"L"</formula>
    </cfRule>
    <cfRule type="cellIs" dxfId="284" priority="362" operator="equal">
      <formula>"P"</formula>
    </cfRule>
    <cfRule type="cellIs" dxfId="283" priority="405" operator="equal">
      <formula>"T"</formula>
    </cfRule>
    <cfRule type="cellIs" dxfId="282" priority="363" operator="equal">
      <formula>"P"</formula>
    </cfRule>
    <cfRule type="cellIs" dxfId="281" priority="364" operator="equal">
      <formula>"P"</formula>
    </cfRule>
    <cfRule type="cellIs" dxfId="280" priority="365" operator="equal">
      <formula>"T"</formula>
    </cfRule>
    <cfRule type="cellIs" dxfId="279" priority="366" operator="equal">
      <formula>"T"</formula>
    </cfRule>
    <cfRule type="cellIs" dxfId="278" priority="96" operator="equal">
      <formula>"L"</formula>
    </cfRule>
    <cfRule type="cellIs" dxfId="277" priority="94" operator="equal">
      <formula>"L"</formula>
    </cfRule>
    <cfRule type="cellIs" dxfId="276" priority="93" operator="equal">
      <formula>"P"</formula>
    </cfRule>
    <cfRule type="cellIs" dxfId="275" priority="92" operator="equal">
      <formula>"T"</formula>
    </cfRule>
    <cfRule type="cellIs" dxfId="274" priority="91" operator="equal">
      <formula>"T"</formula>
    </cfRule>
    <cfRule type="cellIs" dxfId="273" priority="90" operator="equal">
      <formula>"P"</formula>
    </cfRule>
    <cfRule type="cellIs" dxfId="272" priority="86" operator="equal">
      <formula>"L"</formula>
    </cfRule>
    <cfRule type="cellIs" dxfId="271" priority="85" operator="equal">
      <formula>"P"</formula>
    </cfRule>
    <cfRule type="cellIs" dxfId="270" priority="83" operator="equal">
      <formula>"L"</formula>
    </cfRule>
    <cfRule type="cellIs" dxfId="269" priority="82" operator="equal">
      <formula>"P"</formula>
    </cfRule>
    <cfRule type="cellIs" dxfId="268" priority="81" operator="equal">
      <formula>"P"</formula>
    </cfRule>
    <cfRule type="cellIs" dxfId="267" priority="80" operator="equal">
      <formula>"L"</formula>
    </cfRule>
    <cfRule type="cellIs" dxfId="266" priority="78" operator="equal">
      <formula>"T"</formula>
    </cfRule>
    <cfRule type="cellIs" dxfId="265" priority="77" operator="equal">
      <formula>"T"</formula>
    </cfRule>
    <cfRule type="cellIs" dxfId="264" priority="76" operator="equal">
      <formula>"P"</formula>
    </cfRule>
    <cfRule type="cellIs" dxfId="263" priority="75" operator="equal">
      <formula>"P"</formula>
    </cfRule>
    <cfRule type="cellIs" dxfId="262" priority="74" operator="equal">
      <formula>"P"</formula>
    </cfRule>
    <cfRule type="cellIs" dxfId="261" priority="73" operator="equal">
      <formula>"L"</formula>
    </cfRule>
    <cfRule type="cellIs" dxfId="260" priority="72" operator="equal">
      <formula>"L"</formula>
    </cfRule>
    <cfRule type="cellIs" dxfId="259" priority="71" operator="equal">
      <formula>"L"</formula>
    </cfRule>
    <cfRule type="cellIs" dxfId="258" priority="70" operator="equal">
      <formula>"P"</formula>
    </cfRule>
    <cfRule type="cellIs" dxfId="257" priority="65" operator="equal">
      <formula>"N"</formula>
    </cfRule>
    <cfRule type="cellIs" dxfId="256" priority="64" operator="equal">
      <formula>"P"</formula>
    </cfRule>
    <cfRule type="cellIs" dxfId="255" priority="63" operator="equal">
      <formula>"P"</formula>
    </cfRule>
    <cfRule type="cellIs" dxfId="254" priority="62" operator="equal">
      <formula>"P"</formula>
    </cfRule>
    <cfRule type="cellIs" dxfId="253" priority="60" operator="equal">
      <formula>"P"</formula>
    </cfRule>
    <cfRule type="cellIs" dxfId="252" priority="59" operator="equal">
      <formula>"L"</formula>
    </cfRule>
    <cfRule type="cellIs" dxfId="251" priority="58" operator="equal">
      <formula>"L"</formula>
    </cfRule>
    <cfRule type="cellIs" dxfId="250" priority="57" operator="equal">
      <formula>"P"</formula>
    </cfRule>
    <cfRule type="cellIs" dxfId="249" priority="56" operator="equal">
      <formula>"L"</formula>
    </cfRule>
    <cfRule type="cellIs" dxfId="248" priority="55" operator="equal">
      <formula>"P"</formula>
    </cfRule>
    <cfRule type="cellIs" dxfId="247" priority="54" operator="equal">
      <formula>"L"</formula>
    </cfRule>
    <cfRule type="cellIs" dxfId="246" priority="53" operator="equal">
      <formula>"P"</formula>
    </cfRule>
    <cfRule type="cellIs" dxfId="245" priority="52" operator="equal">
      <formula>"N"</formula>
    </cfRule>
    <cfRule type="cellIs" dxfId="244" priority="51" operator="equal">
      <formula>"L"</formula>
    </cfRule>
    <cfRule type="cellIs" dxfId="243" priority="49" operator="equal">
      <formula>"N"</formula>
    </cfRule>
    <cfRule type="cellIs" dxfId="242" priority="48" operator="equal">
      <formula>"L"</formula>
    </cfRule>
    <cfRule type="cellIs" dxfId="241" priority="47" operator="equal">
      <formula>"L"</formula>
    </cfRule>
    <cfRule type="cellIs" dxfId="240" priority="46" operator="equal">
      <formula>"L"</formula>
    </cfRule>
    <cfRule type="cellIs" dxfId="239" priority="45" operator="equal">
      <formula>"P"</formula>
    </cfRule>
    <cfRule type="cellIs" dxfId="238" priority="44" operator="equal">
      <formula>"P"</formula>
    </cfRule>
    <cfRule type="cellIs" dxfId="237" priority="43" operator="equal">
      <formula>"L"</formula>
    </cfRule>
    <cfRule type="cellIs" dxfId="236" priority="42" operator="equal">
      <formula>"P"</formula>
    </cfRule>
    <cfRule type="cellIs" dxfId="235" priority="40" operator="equal">
      <formula>"L"</formula>
    </cfRule>
    <cfRule type="cellIs" dxfId="234" priority="39" operator="equal">
      <formula>"P"</formula>
    </cfRule>
    <cfRule type="cellIs" dxfId="233" priority="38" operator="equal">
      <formula>"P"</formula>
    </cfRule>
    <cfRule type="cellIs" dxfId="232" priority="34" operator="equal">
      <formula>"T"</formula>
    </cfRule>
    <cfRule type="cellIs" dxfId="231" priority="33" operator="equal">
      <formula>"T"</formula>
    </cfRule>
    <cfRule type="cellIs" dxfId="230" priority="32" operator="equal">
      <formula>"P"</formula>
    </cfRule>
    <cfRule type="cellIs" dxfId="229" priority="31" operator="equal">
      <formula>"L"</formula>
    </cfRule>
    <cfRule type="cellIs" dxfId="228" priority="29" operator="equal">
      <formula>"L"</formula>
    </cfRule>
    <cfRule type="cellIs" dxfId="227" priority="28" operator="equal">
      <formula>"P"</formula>
    </cfRule>
    <cfRule type="cellIs" dxfId="226" priority="27" operator="equal">
      <formula>"T"</formula>
    </cfRule>
    <cfRule type="cellIs" dxfId="225" priority="26" operator="equal">
      <formula>"T"</formula>
    </cfRule>
    <cfRule type="cellIs" dxfId="224" priority="25" operator="equal">
      <formula>"P"</formula>
    </cfRule>
    <cfRule type="cellIs" dxfId="223" priority="368" operator="equal">
      <formula>"L"</formula>
    </cfRule>
    <cfRule type="cellIs" dxfId="222" priority="369" operator="equal">
      <formula>"P"</formula>
    </cfRule>
    <cfRule type="cellIs" dxfId="221" priority="370" operator="equal">
      <formula>"P"</formula>
    </cfRule>
    <cfRule type="cellIs" dxfId="220" priority="371" operator="equal">
      <formula>"L"</formula>
    </cfRule>
    <cfRule type="cellIs" dxfId="219" priority="373" operator="equal">
      <formula>"P"</formula>
    </cfRule>
    <cfRule type="cellIs" dxfId="218" priority="374" operator="equal">
      <formula>"L"</formula>
    </cfRule>
    <cfRule type="cellIs" dxfId="217" priority="378" operator="equal">
      <formula>"L"</formula>
    </cfRule>
    <cfRule type="cellIs" dxfId="216" priority="380" operator="equal">
      <formula>"L"</formula>
    </cfRule>
    <cfRule type="cellIs" dxfId="215" priority="381" operator="equal">
      <formula>"P"</formula>
    </cfRule>
    <cfRule type="cellIs" dxfId="214" priority="382" operator="equal">
      <formula>"T"</formula>
    </cfRule>
    <cfRule type="cellIs" dxfId="213" priority="383" operator="equal">
      <formula>"T"</formula>
    </cfRule>
    <cfRule type="cellIs" dxfId="212" priority="384" operator="equal">
      <formula>"P"</formula>
    </cfRule>
  </conditionalFormatting>
  <conditionalFormatting sqref="AK125:AK128 AE125:AH128">
    <cfRule type="cellIs" dxfId="211" priority="10" operator="equal">
      <formula>"P"</formula>
    </cfRule>
  </conditionalFormatting>
  <pageMargins left="0.7" right="0.7" top="0.75" bottom="0.75" header="0.3" footer="0.3"/>
  <pageSetup scale="3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AE93"/>
  <sheetViews>
    <sheetView topLeftCell="A10" zoomScale="90" zoomScaleNormal="90" workbookViewId="0">
      <selection activeCell="N11" sqref="N11:O11"/>
    </sheetView>
  </sheetViews>
  <sheetFormatPr defaultColWidth="11.42578125" defaultRowHeight="12"/>
  <cols>
    <col min="1" max="1" width="1" style="19" customWidth="1"/>
    <col min="2" max="2" width="10" style="49" customWidth="1"/>
    <col min="3" max="3" width="12.140625" style="20" customWidth="1"/>
    <col min="4" max="4" width="11.5703125" style="19" customWidth="1"/>
    <col min="5" max="5" width="9" style="20" customWidth="1"/>
    <col min="6" max="6" width="36.7109375" style="19" customWidth="1"/>
    <col min="7" max="7" width="23.85546875" style="19" customWidth="1"/>
    <col min="8" max="17" width="10.7109375" style="19" customWidth="1"/>
    <col min="18" max="18" width="36.140625" style="19" customWidth="1"/>
    <col min="19" max="19" width="10.7109375" style="20" customWidth="1"/>
    <col min="20" max="22" width="10.7109375" style="19" customWidth="1"/>
    <col min="23" max="24" width="9.7109375" style="19" customWidth="1"/>
    <col min="25" max="29" width="11.42578125" style="19"/>
    <col min="30" max="31" width="2" style="19" bestFit="1" customWidth="1"/>
    <col min="32" max="32" width="11.28515625" style="19" bestFit="1" customWidth="1"/>
    <col min="33" max="16384" width="11.42578125" style="19"/>
  </cols>
  <sheetData>
    <row r="1" spans="2:31" ht="14.25" customHeight="1" thickBot="1">
      <c r="H1" s="452" t="s">
        <v>346</v>
      </c>
      <c r="I1" s="453"/>
      <c r="J1" s="453"/>
      <c r="K1" s="453"/>
      <c r="L1" s="453"/>
      <c r="M1" s="453"/>
      <c r="N1" s="453"/>
      <c r="O1" s="454"/>
      <c r="P1" s="573" t="s">
        <v>347</v>
      </c>
      <c r="Q1" s="575"/>
      <c r="R1" s="107"/>
      <c r="S1" s="107"/>
      <c r="T1" s="107"/>
      <c r="U1" s="107"/>
    </row>
    <row r="2" spans="2:31" ht="14.25" customHeight="1" thickBot="1">
      <c r="C2" s="582" t="s">
        <v>348</v>
      </c>
      <c r="D2" s="582" t="s">
        <v>349</v>
      </c>
      <c r="E2" s="582" t="s">
        <v>350</v>
      </c>
      <c r="H2" s="576"/>
      <c r="I2" s="577"/>
      <c r="J2" s="578" t="s">
        <v>351</v>
      </c>
      <c r="K2" s="579"/>
      <c r="L2" s="576"/>
      <c r="M2" s="577"/>
      <c r="N2" s="576" t="s">
        <v>352</v>
      </c>
      <c r="O2" s="577"/>
      <c r="P2" s="576" t="s">
        <v>353</v>
      </c>
      <c r="Q2" s="577"/>
      <c r="T2" s="66"/>
      <c r="U2" s="66"/>
      <c r="V2" s="93"/>
      <c r="W2" s="93"/>
    </row>
    <row r="3" spans="2:31" ht="14.25" customHeight="1" thickBot="1">
      <c r="C3" s="583"/>
      <c r="D3" s="583"/>
      <c r="E3" s="583"/>
      <c r="H3" s="372"/>
      <c r="I3" s="373"/>
      <c r="J3" s="372" t="s">
        <v>354</v>
      </c>
      <c r="K3" s="373" t="s">
        <v>355</v>
      </c>
      <c r="L3" s="374"/>
      <c r="M3" s="375"/>
      <c r="N3" s="372" t="s">
        <v>354</v>
      </c>
      <c r="O3" s="373" t="s">
        <v>355</v>
      </c>
      <c r="P3" s="595" t="s">
        <v>356</v>
      </c>
      <c r="Q3" s="596"/>
      <c r="T3" s="88"/>
      <c r="U3" s="88"/>
      <c r="V3" s="88"/>
      <c r="W3" s="88"/>
      <c r="Y3" s="26"/>
      <c r="Z3" s="91"/>
    </row>
    <row r="4" spans="2:31" ht="14.25" customHeight="1">
      <c r="B4" s="49" t="s">
        <v>357</v>
      </c>
      <c r="C4" s="21">
        <v>500</v>
      </c>
      <c r="D4" s="22">
        <v>700</v>
      </c>
      <c r="E4" s="22">
        <v>900</v>
      </c>
      <c r="G4" s="590" t="s">
        <v>358</v>
      </c>
      <c r="H4" s="64"/>
      <c r="I4" s="65"/>
      <c r="J4" s="64">
        <f>'740-7'!$AN$9</f>
        <v>298.3</v>
      </c>
      <c r="K4" s="65">
        <f>'740-7'!$AO$9</f>
        <v>0</v>
      </c>
      <c r="L4" s="64"/>
      <c r="M4" s="281"/>
      <c r="N4" s="64">
        <f>'740-14 '!$AO$9</f>
        <v>411.75</v>
      </c>
      <c r="O4" s="65">
        <f>'740-14 '!$AP$9</f>
        <v>43.75</v>
      </c>
      <c r="P4" s="597">
        <f>'1200-01'!$AK$9</f>
        <v>856</v>
      </c>
      <c r="Q4" s="598"/>
      <c r="T4" s="26"/>
      <c r="U4" s="26"/>
      <c r="V4" s="26"/>
      <c r="W4" s="26"/>
      <c r="Z4" s="81"/>
    </row>
    <row r="5" spans="2:31" ht="14.25" customHeight="1" thickBot="1">
      <c r="B5" s="49" t="s">
        <v>110</v>
      </c>
      <c r="C5" s="23">
        <v>750</v>
      </c>
      <c r="D5" s="24">
        <v>900</v>
      </c>
      <c r="E5" s="24">
        <v>1200</v>
      </c>
      <c r="G5" s="591"/>
      <c r="H5" s="580"/>
      <c r="I5" s="581"/>
      <c r="J5" s="580">
        <f>J4+K4</f>
        <v>298.3</v>
      </c>
      <c r="K5" s="581"/>
      <c r="L5" s="580"/>
      <c r="M5" s="581"/>
      <c r="N5" s="580">
        <f>N4+O4</f>
        <v>455.5</v>
      </c>
      <c r="O5" s="581"/>
      <c r="P5" s="580"/>
      <c r="Q5" s="581"/>
      <c r="T5" s="343"/>
      <c r="U5" s="26"/>
      <c r="V5" s="94"/>
      <c r="W5" s="94"/>
    </row>
    <row r="6" spans="2:31" ht="14.25" customHeight="1" thickBot="1">
      <c r="B6" s="25"/>
      <c r="G6" s="590" t="s">
        <v>359</v>
      </c>
      <c r="H6" s="64"/>
      <c r="I6" s="65"/>
      <c r="J6" s="64">
        <f>'740-7'!$AP$9</f>
        <v>168.2</v>
      </c>
      <c r="K6" s="65">
        <f>'740-7'!$AQ$9</f>
        <v>0</v>
      </c>
      <c r="L6" s="64"/>
      <c r="M6" s="281"/>
      <c r="N6" s="64">
        <f>'740-14 '!$AQ$9</f>
        <v>237.15</v>
      </c>
      <c r="O6" s="65">
        <f>'740-14 '!$AR$9</f>
        <v>6.25</v>
      </c>
      <c r="P6" s="597">
        <f>'1200-01'!$AL$9</f>
        <v>336</v>
      </c>
      <c r="Q6" s="598"/>
      <c r="T6" s="26"/>
      <c r="U6" s="26"/>
      <c r="V6" s="26"/>
      <c r="W6" s="26"/>
    </row>
    <row r="7" spans="2:31" ht="14.25" customHeight="1" thickBot="1">
      <c r="C7" s="582" t="s">
        <v>360</v>
      </c>
      <c r="D7" s="584"/>
      <c r="E7" s="584"/>
      <c r="G7" s="591"/>
      <c r="H7" s="580"/>
      <c r="I7" s="581"/>
      <c r="J7" s="592">
        <f>J6+K6</f>
        <v>168.2</v>
      </c>
      <c r="K7" s="593"/>
      <c r="L7" s="580"/>
      <c r="M7" s="581"/>
      <c r="N7" s="580">
        <f>N6+O6</f>
        <v>243.4</v>
      </c>
      <c r="O7" s="581"/>
      <c r="P7" s="580"/>
      <c r="Q7" s="581"/>
      <c r="T7" s="26"/>
      <c r="U7" s="26"/>
      <c r="V7" s="94"/>
      <c r="W7" s="94"/>
    </row>
    <row r="8" spans="2:31" ht="14.25" customHeight="1" thickBot="1">
      <c r="C8" s="583"/>
      <c r="D8" s="584"/>
      <c r="E8" s="584"/>
      <c r="T8" s="26"/>
      <c r="U8" s="26"/>
      <c r="V8" s="94"/>
      <c r="W8" s="94"/>
    </row>
    <row r="9" spans="2:31" ht="14.25" customHeight="1" thickBot="1">
      <c r="B9" s="49" t="s">
        <v>357</v>
      </c>
      <c r="C9" s="22">
        <v>200</v>
      </c>
      <c r="D9" s="72"/>
      <c r="E9" s="73"/>
      <c r="G9" s="587" t="s">
        <v>361</v>
      </c>
      <c r="H9" s="374"/>
      <c r="I9" s="373"/>
      <c r="J9" s="372" t="s">
        <v>354</v>
      </c>
      <c r="K9" s="373" t="s">
        <v>355</v>
      </c>
      <c r="L9" s="372"/>
      <c r="M9" s="373"/>
      <c r="N9" s="372" t="s">
        <v>354</v>
      </c>
      <c r="O9" s="373" t="s">
        <v>355</v>
      </c>
      <c r="P9" s="595" t="s">
        <v>356</v>
      </c>
      <c r="Q9" s="596"/>
      <c r="R9" s="92"/>
      <c r="S9" s="92"/>
      <c r="T9" s="92"/>
      <c r="U9" s="92"/>
      <c r="V9" s="92"/>
      <c r="W9" s="92"/>
      <c r="X9" s="26"/>
    </row>
    <row r="10" spans="2:31" ht="14.25" customHeight="1" thickBot="1">
      <c r="B10" s="49" t="s">
        <v>110</v>
      </c>
      <c r="C10" s="24">
        <v>300</v>
      </c>
      <c r="D10" s="72"/>
      <c r="E10" s="73"/>
      <c r="G10" s="588"/>
      <c r="H10" s="376"/>
      <c r="I10" s="377"/>
      <c r="J10" s="376">
        <f>J4+J6</f>
        <v>466.5</v>
      </c>
      <c r="K10" s="377">
        <f>K4+K6</f>
        <v>0</v>
      </c>
      <c r="L10" s="376"/>
      <c r="M10" s="377"/>
      <c r="N10" s="376">
        <f>N4+N6</f>
        <v>648.9</v>
      </c>
      <c r="O10" s="377">
        <f>O4+O6</f>
        <v>50</v>
      </c>
      <c r="P10" s="336"/>
      <c r="Q10" s="337"/>
      <c r="T10" s="48"/>
      <c r="U10" s="48"/>
      <c r="V10" s="93"/>
      <c r="W10" s="93"/>
      <c r="X10" s="26"/>
    </row>
    <row r="11" spans="2:31" ht="14.25" customHeight="1" thickBot="1">
      <c r="C11" s="73"/>
      <c r="D11" s="72"/>
      <c r="E11" s="73"/>
      <c r="G11" s="589"/>
      <c r="H11" s="585"/>
      <c r="I11" s="586"/>
      <c r="J11" s="585">
        <f>J10+K10</f>
        <v>466.5</v>
      </c>
      <c r="K11" s="586"/>
      <c r="L11" s="585"/>
      <c r="M11" s="586"/>
      <c r="N11" s="585">
        <f>N10+O10</f>
        <v>698.9</v>
      </c>
      <c r="O11" s="586"/>
      <c r="P11" s="585">
        <f>P4+P6</f>
        <v>1192</v>
      </c>
      <c r="Q11" s="586"/>
      <c r="T11" s="182"/>
      <c r="U11" s="182"/>
      <c r="V11" s="26"/>
      <c r="W11" s="26"/>
      <c r="X11" s="26"/>
    </row>
    <row r="12" spans="2:31" ht="14.25" customHeight="1">
      <c r="C12" s="73"/>
      <c r="D12" s="72"/>
      <c r="E12" s="73"/>
      <c r="G12" s="66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T12" s="594"/>
      <c r="U12" s="594"/>
      <c r="V12" s="26"/>
      <c r="W12" s="26"/>
      <c r="X12" s="26"/>
    </row>
    <row r="13" spans="2:31" ht="14.25" customHeight="1" thickBot="1">
      <c r="B13" s="50"/>
      <c r="F13" s="107"/>
      <c r="H13" s="26"/>
      <c r="I13" s="340"/>
      <c r="J13" s="340"/>
      <c r="K13" s="340"/>
      <c r="L13" s="66"/>
      <c r="M13" s="66"/>
      <c r="N13" s="6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2:31" ht="15.75" customHeight="1" thickBot="1">
      <c r="B14" s="573" t="s">
        <v>358</v>
      </c>
      <c r="C14" s="574"/>
      <c r="D14" s="574"/>
      <c r="E14" s="574"/>
      <c r="F14" s="574"/>
      <c r="G14" s="575"/>
      <c r="H14" s="388"/>
      <c r="I14" s="455" t="s">
        <v>362</v>
      </c>
      <c r="J14" s="456"/>
      <c r="K14" s="457"/>
      <c r="L14" s="452" t="s">
        <v>363</v>
      </c>
      <c r="M14" s="453"/>
      <c r="N14" s="454"/>
      <c r="O14" s="341"/>
      <c r="P14" s="93">
        <v>25</v>
      </c>
      <c r="Q14" s="88"/>
      <c r="R14" s="352"/>
      <c r="S14" s="352"/>
    </row>
    <row r="15" spans="2:31" s="28" customFormat="1" ht="24" customHeight="1" thickBot="1">
      <c r="B15" s="63" t="s">
        <v>1</v>
      </c>
      <c r="C15" s="514" t="s">
        <v>2</v>
      </c>
      <c r="D15" s="109" t="s">
        <v>364</v>
      </c>
      <c r="E15" s="109" t="s">
        <v>4</v>
      </c>
      <c r="F15" s="40" t="s">
        <v>6</v>
      </c>
      <c r="G15" s="109" t="s">
        <v>7</v>
      </c>
      <c r="H15" s="111" t="s">
        <v>365</v>
      </c>
      <c r="I15" s="63" t="s">
        <v>354</v>
      </c>
      <c r="J15" s="63" t="s">
        <v>355</v>
      </c>
      <c r="K15" s="40" t="s">
        <v>366</v>
      </c>
      <c r="L15" s="41" t="s">
        <v>367</v>
      </c>
      <c r="M15" s="41" t="s">
        <v>368</v>
      </c>
      <c r="N15" s="40" t="s">
        <v>369</v>
      </c>
      <c r="O15" s="109" t="s">
        <v>302</v>
      </c>
      <c r="P15" s="109" t="s">
        <v>370</v>
      </c>
      <c r="Q15" s="114" t="s">
        <v>371</v>
      </c>
      <c r="R15" s="109" t="s">
        <v>9</v>
      </c>
      <c r="S15" s="109" t="s">
        <v>372</v>
      </c>
      <c r="AD15" s="28">
        <f>$AD$2*AA15</f>
        <v>0</v>
      </c>
      <c r="AE15" s="28">
        <f>$AE$2*AB15</f>
        <v>0</v>
      </c>
    </row>
    <row r="16" spans="2:31" s="28" customFormat="1">
      <c r="B16" s="134" t="s">
        <v>34</v>
      </c>
      <c r="C16" s="122">
        <v>45691</v>
      </c>
      <c r="D16" s="515"/>
      <c r="E16" s="46" t="s">
        <v>373</v>
      </c>
      <c r="F16" s="271" t="s">
        <v>35</v>
      </c>
      <c r="G16" s="89" t="s">
        <v>23</v>
      </c>
      <c r="H16" s="136">
        <f t="shared" ref="H16:H32" si="0">MAX($H$11:$O$11)</f>
        <v>698.9</v>
      </c>
      <c r="I16" s="30" cm="1">
        <f t="array" ref="I16">_xlfn.IFS($J$11=MAX($J$11,$N$11),$J$10,$N$11=MAX($J$11,$N$11),$N$10)</f>
        <v>648.9</v>
      </c>
      <c r="J16" s="37" cm="1">
        <f t="array" ref="J16">_xlfn.IFS(
$J$11=MAX($J$11,$N$11),$K$10,
$N$11=MAX($J$11,$N$11),$O$10)</f>
        <v>50</v>
      </c>
      <c r="K16" s="39">
        <v>0</v>
      </c>
      <c r="L16" s="31">
        <f>I16*$C$4</f>
        <v>324450</v>
      </c>
      <c r="M16" s="137">
        <f>J16*$D$4</f>
        <v>35000</v>
      </c>
      <c r="N16" s="32">
        <f>K16*$E$4</f>
        <v>0</v>
      </c>
      <c r="O16" s="32">
        <v>353450</v>
      </c>
      <c r="P16" s="59">
        <f>VLOOKUP(B16,'ASISTENCIA JULIO'!$B$4:$AP$128,41,FALSE)</f>
        <v>19</v>
      </c>
      <c r="Q16" s="76">
        <f t="shared" ref="Q16:Q32" si="1">(O16/$P$14)*P16</f>
        <v>268622</v>
      </c>
      <c r="R16" s="61"/>
      <c r="S16" s="62"/>
    </row>
    <row r="17" spans="2:19" ht="12" customHeight="1">
      <c r="B17" s="134" t="s">
        <v>31</v>
      </c>
      <c r="C17" s="122">
        <v>46087</v>
      </c>
      <c r="D17" s="67"/>
      <c r="E17" s="122" t="s">
        <v>373</v>
      </c>
      <c r="F17" s="273" t="s">
        <v>33</v>
      </c>
      <c r="G17" s="135" t="s">
        <v>23</v>
      </c>
      <c r="H17" s="136">
        <f t="shared" si="0"/>
        <v>698.9</v>
      </c>
      <c r="I17" s="30" cm="1">
        <f t="array" ref="I17">_xlfn.IFS(
$H$11=MAX($H$11,$J$11,$L$11,$N$11),$H$10,
$J$11=MAX($H$11,$J$11,$L$11,$N$11),$J$10,
$L$11=MAX($H$11,$J$11,$L$11,$N$11),$L$10,
$N$11=MAX($H$11,$J$11,$L$11,$N$11),$N$10)</f>
        <v>648.9</v>
      </c>
      <c r="J17" s="37" cm="1">
        <f t="array" ref="J17">_xlfn.IFS(
$J$11=MAX($J$11,$N$11),$K$10,
$N$11=MAX($J$11,$N$11),$O$10)</f>
        <v>50</v>
      </c>
      <c r="K17" s="39">
        <v>0</v>
      </c>
      <c r="L17" s="31">
        <f t="shared" ref="L17:L30" si="2">I17*$C$4</f>
        <v>324450</v>
      </c>
      <c r="M17" s="137">
        <f t="shared" ref="M17:M30" si="3">J17*$D$4</f>
        <v>35000</v>
      </c>
      <c r="N17" s="32">
        <f t="shared" ref="N17:N30" si="4">K17*$E$4</f>
        <v>0</v>
      </c>
      <c r="O17" s="32">
        <v>353450</v>
      </c>
      <c r="P17" s="59">
        <f>VLOOKUP(B17,'ASISTENCIA JULIO'!$B$4:$AP$128,41,FALSE)</f>
        <v>10</v>
      </c>
      <c r="Q17" s="138">
        <f t="shared" si="1"/>
        <v>141380</v>
      </c>
      <c r="R17" s="124"/>
      <c r="S17" s="139"/>
    </row>
    <row r="18" spans="2:19" ht="12" customHeight="1">
      <c r="B18" s="134" t="s">
        <v>21</v>
      </c>
      <c r="C18" s="122">
        <v>45967</v>
      </c>
      <c r="D18" s="67"/>
      <c r="E18" s="122" t="s">
        <v>373</v>
      </c>
      <c r="F18" s="273" t="s">
        <v>22</v>
      </c>
      <c r="G18" s="135" t="s">
        <v>23</v>
      </c>
      <c r="H18" s="136">
        <f t="shared" si="0"/>
        <v>698.9</v>
      </c>
      <c r="I18" s="30" cm="1">
        <f t="array" ref="I18">_xlfn.IFS(
$H$11=MAX($H$11,$J$11,$L$11,$N$11),$H$10,
$J$11=MAX($H$11,$J$11,$L$11,$N$11),$J$10,
$L$11=MAX($H$11,$J$11,$L$11,$N$11),$L$10,
$N$11=MAX($H$11,$J$11,$L$11,$N$11),$N$10)</f>
        <v>648.9</v>
      </c>
      <c r="J18" s="37" cm="1">
        <f t="array" ref="J18">_xlfn.IFS(
$J$11=MAX($J$11,$N$11),$K$10,
$N$11=MAX($J$11,$N$11),$O$10)</f>
        <v>50</v>
      </c>
      <c r="K18" s="39">
        <v>0</v>
      </c>
      <c r="L18" s="31">
        <f t="shared" si="2"/>
        <v>324450</v>
      </c>
      <c r="M18" s="137">
        <f t="shared" si="3"/>
        <v>35000</v>
      </c>
      <c r="N18" s="32">
        <f t="shared" si="4"/>
        <v>0</v>
      </c>
      <c r="O18" s="32">
        <v>353450</v>
      </c>
      <c r="P18" s="59">
        <f>VLOOKUP(B18,'ASISTENCIA JULIO'!$B$4:$AP$128,41,FALSE)</f>
        <v>19</v>
      </c>
      <c r="Q18" s="138">
        <f t="shared" si="1"/>
        <v>268622</v>
      </c>
      <c r="R18" s="124"/>
      <c r="S18" s="139"/>
    </row>
    <row r="19" spans="2:19" ht="12" customHeight="1">
      <c r="B19" s="51" t="s">
        <v>81</v>
      </c>
      <c r="C19" s="122">
        <v>45627</v>
      </c>
      <c r="D19" s="67"/>
      <c r="E19" s="122" t="s">
        <v>373</v>
      </c>
      <c r="F19" s="274" t="s">
        <v>82</v>
      </c>
      <c r="G19" s="29" t="s">
        <v>83</v>
      </c>
      <c r="H19" s="136">
        <f t="shared" si="0"/>
        <v>698.9</v>
      </c>
      <c r="I19" s="30" cm="1">
        <f t="array" ref="I19">_xlfn.IFS(
$H$11=MAX($H$11,$J$11,$L$11,$N$11),$H$10,
$J$11=MAX($H$11,$J$11,$L$11,$N$11),$J$10,
$L$11=MAX($H$11,$J$11,$L$11,$N$11),$L$10,
$N$11=MAX($H$11,$J$11,$L$11,$N$11),$N$10)</f>
        <v>648.9</v>
      </c>
      <c r="J19" s="37" cm="1">
        <f t="array" ref="J19">_xlfn.IFS(
$J$11=MAX($J$11,$N$11),$K$10,
$N$11=MAX($J$11,$N$11),$O$10)</f>
        <v>50</v>
      </c>
      <c r="K19" s="39">
        <v>0</v>
      </c>
      <c r="L19" s="31">
        <f t="shared" si="2"/>
        <v>324450</v>
      </c>
      <c r="M19" s="137">
        <f t="shared" si="3"/>
        <v>35000</v>
      </c>
      <c r="N19" s="32">
        <f t="shared" si="4"/>
        <v>0</v>
      </c>
      <c r="O19" s="32">
        <v>353450</v>
      </c>
      <c r="P19" s="59">
        <f>VLOOKUP(B19,'ASISTENCIA JULIO'!$B$4:$AP$128,41,FALSE)</f>
        <v>13</v>
      </c>
      <c r="Q19" s="76">
        <f t="shared" si="1"/>
        <v>183794</v>
      </c>
      <c r="R19" s="18"/>
      <c r="S19" s="27"/>
    </row>
    <row r="20" spans="2:19" ht="12" customHeight="1">
      <c r="B20" s="51" t="s">
        <v>84</v>
      </c>
      <c r="C20" s="122">
        <v>45627</v>
      </c>
      <c r="D20" s="67"/>
      <c r="E20" s="122" t="s">
        <v>373</v>
      </c>
      <c r="F20" s="274" t="s">
        <v>85</v>
      </c>
      <c r="G20" s="29" t="s">
        <v>86</v>
      </c>
      <c r="H20" s="136">
        <f t="shared" si="0"/>
        <v>698.9</v>
      </c>
      <c r="I20" s="30" cm="1">
        <f t="array" ref="I20">_xlfn.IFS(
$H$11=MAX($H$11,$J$11,$L$11,$N$11),$H$10,
$J$11=MAX($H$11,$J$11,$L$11,$N$11),$J$10,
$L$11=MAX($H$11,$J$11,$L$11,$N$11),$L$10,
$N$11=MAX($H$11,$J$11,$L$11,$N$11),$N$10)</f>
        <v>648.9</v>
      </c>
      <c r="J20" s="37" cm="1">
        <f t="array" ref="J20">_xlfn.IFS(
$J$11=MAX($J$11,$N$11),$K$10,
$N$11=MAX($J$11,$N$11),$O$10)</f>
        <v>50</v>
      </c>
      <c r="K20" s="39">
        <v>0</v>
      </c>
      <c r="L20" s="31">
        <f t="shared" si="2"/>
        <v>324450</v>
      </c>
      <c r="M20" s="137">
        <f t="shared" si="3"/>
        <v>35000</v>
      </c>
      <c r="N20" s="32">
        <f t="shared" si="4"/>
        <v>0</v>
      </c>
      <c r="O20" s="32">
        <v>353450</v>
      </c>
      <c r="P20" s="59">
        <f>VLOOKUP(B20,'ASISTENCIA JULIO'!$B$4:$AP$128,41,FALSE)</f>
        <v>19</v>
      </c>
      <c r="Q20" s="76">
        <f t="shared" si="1"/>
        <v>268622</v>
      </c>
      <c r="R20" s="18"/>
      <c r="S20" s="27"/>
    </row>
    <row r="21" spans="2:19" ht="12" customHeight="1">
      <c r="B21" s="51" t="s">
        <v>87</v>
      </c>
      <c r="C21" s="122">
        <v>45733</v>
      </c>
      <c r="D21" s="67"/>
      <c r="E21" s="122" t="s">
        <v>373</v>
      </c>
      <c r="F21" s="274" t="s">
        <v>88</v>
      </c>
      <c r="G21" s="29" t="s">
        <v>86</v>
      </c>
      <c r="H21" s="136">
        <f t="shared" si="0"/>
        <v>698.9</v>
      </c>
      <c r="I21" s="30" cm="1">
        <f t="array" ref="I21">_xlfn.IFS(
$H$11=MAX($H$11,$J$11,$L$11,$N$11),$H$10,
$J$11=MAX($H$11,$J$11,$L$11,$N$11),$J$10,
$L$11=MAX($H$11,$J$11,$L$11,$N$11),$L$10,
$N$11=MAX($H$11,$J$11,$L$11,$N$11),$N$10)</f>
        <v>648.9</v>
      </c>
      <c r="J21" s="37" cm="1">
        <f t="array" ref="J21">_xlfn.IFS(
$J$11=MAX($J$11,$N$11),$K$10,
$N$11=MAX($J$11,$N$11),$O$10)</f>
        <v>50</v>
      </c>
      <c r="K21" s="39">
        <v>0</v>
      </c>
      <c r="L21" s="31">
        <f t="shared" si="2"/>
        <v>324450</v>
      </c>
      <c r="M21" s="137">
        <f t="shared" si="3"/>
        <v>35000</v>
      </c>
      <c r="N21" s="32">
        <f t="shared" si="4"/>
        <v>0</v>
      </c>
      <c r="O21" s="32">
        <v>353450</v>
      </c>
      <c r="P21" s="59">
        <f>VLOOKUP(B21,'ASISTENCIA JULIO'!$B$4:$AP$128,41,FALSE)</f>
        <v>19</v>
      </c>
      <c r="Q21" s="76">
        <f t="shared" si="1"/>
        <v>268622</v>
      </c>
      <c r="R21" s="18"/>
      <c r="S21" s="27"/>
    </row>
    <row r="22" spans="2:19" ht="12" customHeight="1">
      <c r="B22" s="51" t="s">
        <v>89</v>
      </c>
      <c r="C22" s="122">
        <v>45804</v>
      </c>
      <c r="D22" s="67"/>
      <c r="E22" s="122" t="s">
        <v>373</v>
      </c>
      <c r="F22" s="274" t="s">
        <v>90</v>
      </c>
      <c r="G22" s="29" t="s">
        <v>86</v>
      </c>
      <c r="H22" s="136">
        <f t="shared" si="0"/>
        <v>698.9</v>
      </c>
      <c r="I22" s="30" cm="1">
        <f t="array" ref="I22">_xlfn.IFS(
$H$11=MAX($H$11,$J$11,$L$11,$N$11),$H$10,
$J$11=MAX($H$11,$J$11,$L$11,$N$11),$J$10,
$L$11=MAX($H$11,$J$11,$L$11,$N$11),$L$10,
$N$11=MAX($H$11,$J$11,$L$11,$N$11),$N$10)</f>
        <v>648.9</v>
      </c>
      <c r="J22" s="37" cm="1">
        <f t="array" ref="J22">_xlfn.IFS(
$J$11=MAX($J$11,$N$11),$K$10,
$N$11=MAX($J$11,$N$11),$O$10)</f>
        <v>50</v>
      </c>
      <c r="K22" s="39">
        <v>0</v>
      </c>
      <c r="L22" s="31">
        <f t="shared" si="2"/>
        <v>324450</v>
      </c>
      <c r="M22" s="137">
        <f t="shared" si="3"/>
        <v>35000</v>
      </c>
      <c r="N22" s="32">
        <f t="shared" si="4"/>
        <v>0</v>
      </c>
      <c r="O22" s="32">
        <v>353450</v>
      </c>
      <c r="P22" s="59">
        <f>VLOOKUP(B22,'ASISTENCIA JULIO'!$B$4:$AP$128,41,FALSE)</f>
        <v>19</v>
      </c>
      <c r="Q22" s="76">
        <f t="shared" si="1"/>
        <v>268622</v>
      </c>
      <c r="R22" s="18"/>
      <c r="S22" s="27"/>
    </row>
    <row r="23" spans="2:19" ht="12" customHeight="1">
      <c r="B23" s="51" t="s">
        <v>91</v>
      </c>
      <c r="C23" s="122">
        <v>46063</v>
      </c>
      <c r="D23" s="67"/>
      <c r="E23" s="122" t="s">
        <v>373</v>
      </c>
      <c r="F23" s="274" t="s">
        <v>92</v>
      </c>
      <c r="G23" s="29" t="s">
        <v>86</v>
      </c>
      <c r="H23" s="136">
        <f t="shared" si="0"/>
        <v>698.9</v>
      </c>
      <c r="I23" s="30" cm="1">
        <f t="array" ref="I23">_xlfn.IFS(
$H$11=MAX($H$11,$J$11,$L$11,$N$11),$H$10,
$J$11=MAX($H$11,$J$11,$L$11,$N$11),$J$10,
$L$11=MAX($H$11,$J$11,$L$11,$N$11),$L$10,
$N$11=MAX($H$11,$J$11,$L$11,$N$11),$N$10)</f>
        <v>648.9</v>
      </c>
      <c r="J23" s="37" cm="1">
        <f t="array" ref="J23">_xlfn.IFS(
$J$11=MAX($J$11,$N$11),$K$10,
$N$11=MAX($J$11,$N$11),$O$10)</f>
        <v>50</v>
      </c>
      <c r="K23" s="39">
        <v>0</v>
      </c>
      <c r="L23" s="31">
        <f t="shared" si="2"/>
        <v>324450</v>
      </c>
      <c r="M23" s="137">
        <f t="shared" si="3"/>
        <v>35000</v>
      </c>
      <c r="N23" s="32">
        <f t="shared" si="4"/>
        <v>0</v>
      </c>
      <c r="O23" s="32">
        <v>353450</v>
      </c>
      <c r="P23" s="59">
        <f>VLOOKUP(B23,'ASISTENCIA JULIO'!$B$4:$AP$128,41,FALSE)</f>
        <v>19</v>
      </c>
      <c r="Q23" s="76">
        <f t="shared" si="1"/>
        <v>268622</v>
      </c>
      <c r="R23" s="18"/>
      <c r="S23" s="27"/>
    </row>
    <row r="24" spans="2:19" ht="12" customHeight="1">
      <c r="B24" s="51" t="s">
        <v>96</v>
      </c>
      <c r="C24" s="122">
        <v>45876</v>
      </c>
      <c r="D24" s="67"/>
      <c r="E24" s="122" t="s">
        <v>373</v>
      </c>
      <c r="F24" s="274" t="s">
        <v>97</v>
      </c>
      <c r="G24" s="29" t="s">
        <v>86</v>
      </c>
      <c r="H24" s="136">
        <f t="shared" si="0"/>
        <v>698.9</v>
      </c>
      <c r="I24" s="30" cm="1">
        <f t="array" ref="I24">_xlfn.IFS(
$H$11=MAX($H$11,$J$11,$L$11,$N$11),$H$10,
$J$11=MAX($H$11,$J$11,$L$11,$N$11),$J$10,
$L$11=MAX($H$11,$J$11,$L$11,$N$11),$L$10,
$N$11=MAX($H$11,$J$11,$L$11,$N$11),$N$10)</f>
        <v>648.9</v>
      </c>
      <c r="J24" s="37" cm="1">
        <f t="array" ref="J24">_xlfn.IFS(
$J$11=MAX($J$11,$N$11),$K$10,
$N$11=MAX($J$11,$N$11),$O$10)</f>
        <v>50</v>
      </c>
      <c r="K24" s="39">
        <v>0</v>
      </c>
      <c r="L24" s="31">
        <f t="shared" si="2"/>
        <v>324450</v>
      </c>
      <c r="M24" s="137">
        <f t="shared" si="3"/>
        <v>35000</v>
      </c>
      <c r="N24" s="32">
        <f t="shared" si="4"/>
        <v>0</v>
      </c>
      <c r="O24" s="32">
        <v>353450</v>
      </c>
      <c r="P24" s="59">
        <f>VLOOKUP(B24,'ASISTENCIA JULIO'!$B$4:$AP$128,41,FALSE)</f>
        <v>10</v>
      </c>
      <c r="Q24" s="76">
        <f t="shared" si="1"/>
        <v>141380</v>
      </c>
      <c r="R24" s="18" t="s">
        <v>374</v>
      </c>
      <c r="S24" s="27"/>
    </row>
    <row r="25" spans="2:19" ht="12" customHeight="1">
      <c r="B25" s="51" t="s">
        <v>98</v>
      </c>
      <c r="C25" s="122">
        <v>45646</v>
      </c>
      <c r="D25" s="67"/>
      <c r="E25" s="122" t="s">
        <v>373</v>
      </c>
      <c r="F25" s="274" t="s">
        <v>99</v>
      </c>
      <c r="G25" s="29" t="s">
        <v>86</v>
      </c>
      <c r="H25" s="136">
        <f t="shared" si="0"/>
        <v>698.9</v>
      </c>
      <c r="I25" s="30" cm="1">
        <f t="array" ref="I25">_xlfn.IFS(
$H$11=MAX($H$11,$J$11,$L$11,$N$11),$H$10,
$J$11=MAX($H$11,$J$11,$L$11,$N$11),$J$10,
$L$11=MAX($H$11,$J$11,$L$11,$N$11),$L$10,
$N$11=MAX($H$11,$J$11,$L$11,$N$11),$N$10)</f>
        <v>648.9</v>
      </c>
      <c r="J25" s="37" cm="1">
        <f t="array" ref="J25">_xlfn.IFS(
$J$11=MAX($J$11,$N$11),$K$10,
$N$11=MAX($J$11,$N$11),$O$10)</f>
        <v>50</v>
      </c>
      <c r="K25" s="39">
        <v>0</v>
      </c>
      <c r="L25" s="31">
        <f t="shared" si="2"/>
        <v>324450</v>
      </c>
      <c r="M25" s="137">
        <f t="shared" si="3"/>
        <v>35000</v>
      </c>
      <c r="N25" s="32">
        <f t="shared" si="4"/>
        <v>0</v>
      </c>
      <c r="O25" s="32">
        <v>353450</v>
      </c>
      <c r="P25" s="59">
        <f>VLOOKUP(B25,'ASISTENCIA JULIO'!$B$4:$AP$128,41,FALSE)</f>
        <v>19</v>
      </c>
      <c r="Q25" s="76">
        <f t="shared" si="1"/>
        <v>268622</v>
      </c>
      <c r="R25" s="18"/>
      <c r="S25" s="27"/>
    </row>
    <row r="26" spans="2:19" ht="12" customHeight="1">
      <c r="B26" s="51" t="s">
        <v>93</v>
      </c>
      <c r="C26" s="122">
        <v>46049</v>
      </c>
      <c r="D26" s="67"/>
      <c r="E26" s="122" t="s">
        <v>373</v>
      </c>
      <c r="F26" s="274" t="s">
        <v>94</v>
      </c>
      <c r="G26" s="29" t="s">
        <v>232</v>
      </c>
      <c r="H26" s="136">
        <f t="shared" si="0"/>
        <v>698.9</v>
      </c>
      <c r="I26" s="30" cm="1">
        <f t="array" ref="I26">_xlfn.IFS(
$H$11=MAX($H$11,$J$11,$L$11,$N$11),$H$10,
$J$11=MAX($H$11,$J$11,$L$11,$N$11),$J$10,
$L$11=MAX($H$11,$J$11,$L$11,$N$11),$L$10,
$N$11=MAX($H$11,$J$11,$L$11,$N$11),$N$10)</f>
        <v>648.9</v>
      </c>
      <c r="J26" s="37" cm="1">
        <f t="array" ref="J26">_xlfn.IFS(
$J$11=MAX($J$11,$N$11),$K$10,
$N$11=MAX($J$11,$N$11),$O$10)</f>
        <v>50</v>
      </c>
      <c r="K26" s="39">
        <v>0</v>
      </c>
      <c r="L26" s="31">
        <f t="shared" si="2"/>
        <v>324450</v>
      </c>
      <c r="M26" s="137">
        <f t="shared" si="3"/>
        <v>35000</v>
      </c>
      <c r="N26" s="32">
        <f t="shared" si="4"/>
        <v>0</v>
      </c>
      <c r="O26" s="32">
        <v>353450</v>
      </c>
      <c r="P26" s="59">
        <f>VLOOKUP(B26,'ASISTENCIA JULIO'!$B$4:$AP$128,41,FALSE)</f>
        <v>4</v>
      </c>
      <c r="Q26" s="76">
        <f t="shared" si="1"/>
        <v>56552</v>
      </c>
      <c r="R26" s="18"/>
      <c r="S26" s="27"/>
    </row>
    <row r="27" spans="2:19" ht="12" customHeight="1">
      <c r="B27" s="51" t="s">
        <v>100</v>
      </c>
      <c r="C27" s="122">
        <v>46148</v>
      </c>
      <c r="D27" s="67"/>
      <c r="E27" s="122" t="s">
        <v>373</v>
      </c>
      <c r="F27" s="274" t="s">
        <v>101</v>
      </c>
      <c r="G27" s="29" t="s">
        <v>102</v>
      </c>
      <c r="H27" s="136">
        <f t="shared" si="0"/>
        <v>698.9</v>
      </c>
      <c r="I27" s="30" cm="1">
        <f t="array" ref="I27">_xlfn.IFS(
$H$11=MAX($H$11,$J$11,$L$11,$N$11),$H$10,
$J$11=MAX($H$11,$J$11,$L$11,$N$11),$J$10,
$L$11=MAX($H$11,$J$11,$L$11,$N$11),$L$10,
$N$11=MAX($H$11,$J$11,$L$11,$N$11),$N$10)</f>
        <v>648.9</v>
      </c>
      <c r="J27" s="37" cm="1">
        <f t="array" ref="J27">_xlfn.IFS(
$J$11=MAX($J$11,$N$11),$K$10,
$N$11=MAX($J$11,$N$11),$O$10)</f>
        <v>50</v>
      </c>
      <c r="K27" s="39">
        <v>0</v>
      </c>
      <c r="L27" s="31">
        <f t="shared" ref="L27" si="5">I27*$C$4</f>
        <v>324450</v>
      </c>
      <c r="M27" s="137">
        <f t="shared" ref="M27" si="6">J27*$D$4</f>
        <v>35000</v>
      </c>
      <c r="N27" s="32">
        <f t="shared" ref="N27" si="7">K27*$E$4</f>
        <v>0</v>
      </c>
      <c r="O27" s="32">
        <v>353450</v>
      </c>
      <c r="P27" s="59">
        <v>19</v>
      </c>
      <c r="Q27" s="76">
        <f t="shared" si="1"/>
        <v>268622</v>
      </c>
      <c r="R27" s="18"/>
      <c r="S27" s="27"/>
    </row>
    <row r="28" spans="2:19" ht="12" customHeight="1">
      <c r="B28" s="51" t="s">
        <v>103</v>
      </c>
      <c r="C28" s="122">
        <v>45826</v>
      </c>
      <c r="D28" s="67"/>
      <c r="E28" s="122" t="s">
        <v>373</v>
      </c>
      <c r="F28" s="274" t="s">
        <v>104</v>
      </c>
      <c r="G28" s="29" t="s">
        <v>102</v>
      </c>
      <c r="H28" s="136">
        <f t="shared" si="0"/>
        <v>698.9</v>
      </c>
      <c r="I28" s="30" cm="1">
        <f t="array" ref="I28">_xlfn.IFS(
$H$11=MAX($H$11,$J$11,$L$11,$N$11),$H$10,
$J$11=MAX($H$11,$J$11,$L$11,$N$11),$J$10,
$L$11=MAX($H$11,$J$11,$L$11,$N$11),$L$10,
$N$11=MAX($H$11,$J$11,$L$11,$N$11),$N$10)</f>
        <v>648.9</v>
      </c>
      <c r="J28" s="37" cm="1">
        <f t="array" ref="J28">_xlfn.IFS(
$J$11=MAX($J$11,$N$11),$K$10,
$N$11=MAX($J$11,$N$11),$O$10)</f>
        <v>50</v>
      </c>
      <c r="K28" s="39">
        <v>0</v>
      </c>
      <c r="L28" s="31">
        <f t="shared" si="2"/>
        <v>324450</v>
      </c>
      <c r="M28" s="137">
        <f t="shared" si="3"/>
        <v>35000</v>
      </c>
      <c r="N28" s="32">
        <f t="shared" si="4"/>
        <v>0</v>
      </c>
      <c r="O28" s="32">
        <v>353450</v>
      </c>
      <c r="P28" s="59">
        <f>VLOOKUP(B28,'ASISTENCIA JULIO'!$B$4:$AP$128,41,FALSE)</f>
        <v>19</v>
      </c>
      <c r="Q28" s="76">
        <f t="shared" si="1"/>
        <v>268622</v>
      </c>
      <c r="R28" s="18"/>
      <c r="S28" s="27"/>
    </row>
    <row r="29" spans="2:19" ht="12" customHeight="1">
      <c r="B29" s="51" t="s">
        <v>105</v>
      </c>
      <c r="C29" s="122">
        <v>45946</v>
      </c>
      <c r="D29" s="67"/>
      <c r="E29" s="122" t="s">
        <v>373</v>
      </c>
      <c r="F29" s="274" t="s">
        <v>106</v>
      </c>
      <c r="G29" s="29" t="s">
        <v>107</v>
      </c>
      <c r="H29" s="136">
        <f t="shared" si="0"/>
        <v>698.9</v>
      </c>
      <c r="I29" s="30" cm="1">
        <f t="array" ref="I29">_xlfn.IFS(
$H$11=MAX($H$11,$J$11,$L$11,$N$11),$H$10,
$J$11=MAX($H$11,$J$11,$L$11,$N$11),$J$10,
$L$11=MAX($H$11,$J$11,$L$11,$N$11),$L$10,
$N$11=MAX($H$11,$J$11,$L$11,$N$11),$N$10)</f>
        <v>648.9</v>
      </c>
      <c r="J29" s="37" cm="1">
        <f t="array" ref="J29">_xlfn.IFS(
$J$11=MAX($J$11,$N$11),$K$10,
$N$11=MAX($J$11,$N$11),$O$10)</f>
        <v>50</v>
      </c>
      <c r="K29" s="39">
        <v>0</v>
      </c>
      <c r="L29" s="31">
        <f t="shared" si="2"/>
        <v>324450</v>
      </c>
      <c r="M29" s="137">
        <f t="shared" si="3"/>
        <v>35000</v>
      </c>
      <c r="N29" s="32">
        <f t="shared" si="4"/>
        <v>0</v>
      </c>
      <c r="O29" s="32">
        <v>353450</v>
      </c>
      <c r="P29" s="59">
        <f>VLOOKUP(B29,'ASISTENCIA JULIO'!$B$4:$AP$128,41,FALSE)</f>
        <v>19</v>
      </c>
      <c r="Q29" s="76">
        <f t="shared" si="1"/>
        <v>268622</v>
      </c>
      <c r="R29" s="18"/>
      <c r="S29" s="27"/>
    </row>
    <row r="30" spans="2:19" ht="12" customHeight="1">
      <c r="B30" s="51" t="s">
        <v>135</v>
      </c>
      <c r="C30" s="122">
        <v>45946</v>
      </c>
      <c r="D30" s="67"/>
      <c r="E30" s="122" t="s">
        <v>373</v>
      </c>
      <c r="F30" s="274" t="s">
        <v>136</v>
      </c>
      <c r="G30" s="29" t="s">
        <v>137</v>
      </c>
      <c r="H30" s="136">
        <f t="shared" si="0"/>
        <v>698.9</v>
      </c>
      <c r="I30" s="30" cm="1">
        <f t="array" ref="I30">_xlfn.IFS(
$H$11=MAX($H$11,$J$11,$L$11,$N$11),$H$10,
$J$11=MAX($H$11,$J$11,$L$11,$N$11),$J$10,
$L$11=MAX($H$11,$J$11,$L$11,$N$11),$L$10,
$N$11=MAX($H$11,$J$11,$L$11,$N$11),$N$10)</f>
        <v>648.9</v>
      </c>
      <c r="J30" s="37" cm="1">
        <f t="array" ref="J30">_xlfn.IFS(
$J$11=MAX($J$11,$N$11),$K$10,
$N$11=MAX($J$11,$N$11),$O$10)</f>
        <v>50</v>
      </c>
      <c r="K30" s="39">
        <v>0</v>
      </c>
      <c r="L30" s="31">
        <f t="shared" si="2"/>
        <v>324450</v>
      </c>
      <c r="M30" s="137">
        <f t="shared" si="3"/>
        <v>35000</v>
      </c>
      <c r="N30" s="32">
        <f t="shared" si="4"/>
        <v>0</v>
      </c>
      <c r="O30" s="32">
        <v>353450</v>
      </c>
      <c r="P30" s="59">
        <f>VLOOKUP(B30,'ASISTENCIA JULIO'!$B$4:$AP$128,41,FALSE)</f>
        <v>19</v>
      </c>
      <c r="Q30" s="76">
        <f t="shared" si="1"/>
        <v>268622</v>
      </c>
      <c r="R30" s="18"/>
      <c r="S30" s="27"/>
    </row>
    <row r="31" spans="2:19" ht="12" customHeight="1">
      <c r="B31" s="51" t="s">
        <v>138</v>
      </c>
      <c r="C31" s="122">
        <v>45946</v>
      </c>
      <c r="D31" s="67"/>
      <c r="E31" s="45" t="s">
        <v>373</v>
      </c>
      <c r="F31" s="274" t="s">
        <v>139</v>
      </c>
      <c r="G31" s="29" t="s">
        <v>137</v>
      </c>
      <c r="H31" s="136">
        <f t="shared" si="0"/>
        <v>698.9</v>
      </c>
      <c r="I31" s="30" cm="1">
        <f t="array" ref="I31">_xlfn.IFS(
$H$11=MAX($H$11,$J$11,$L$11,$N$11),$H$10,
$J$11=MAX($H$11,$J$11,$L$11,$N$11),$J$10,
$L$11=MAX($H$11,$J$11,$L$11,$N$11),$L$10,
$N$11=MAX($H$11,$J$11,$L$11,$N$11),$N$10)</f>
        <v>648.9</v>
      </c>
      <c r="J31" s="37" cm="1">
        <f t="array" ref="J31">_xlfn.IFS(
$J$11=MAX($J$11,$N$11),$K$10,
$N$11=MAX($J$11,$N$11),$O$10)</f>
        <v>50</v>
      </c>
      <c r="K31" s="39">
        <v>0</v>
      </c>
      <c r="L31" s="31">
        <f t="shared" ref="L31:L32" si="8">I31*$C$4</f>
        <v>324450</v>
      </c>
      <c r="M31" s="137">
        <f t="shared" ref="M31:M32" si="9">J31*$D$4</f>
        <v>35000</v>
      </c>
      <c r="N31" s="32">
        <f t="shared" ref="N31:N32" si="10">K31*$E$4</f>
        <v>0</v>
      </c>
      <c r="O31" s="32">
        <v>353450</v>
      </c>
      <c r="P31" s="59">
        <f>VLOOKUP(B31,'ASISTENCIA JULIO'!$B$4:$AP$128,41,FALSE)</f>
        <v>19</v>
      </c>
      <c r="Q31" s="76">
        <f t="shared" si="1"/>
        <v>268622</v>
      </c>
      <c r="R31" s="18"/>
      <c r="S31" s="27"/>
    </row>
    <row r="32" spans="2:19" ht="12" customHeight="1">
      <c r="B32" s="51" t="s">
        <v>77</v>
      </c>
      <c r="C32" s="122"/>
      <c r="D32" s="67"/>
      <c r="E32" s="45" t="s">
        <v>373</v>
      </c>
      <c r="F32" s="274" t="s">
        <v>78</v>
      </c>
      <c r="G32" s="29" t="s">
        <v>375</v>
      </c>
      <c r="H32" s="136">
        <f t="shared" si="0"/>
        <v>698.9</v>
      </c>
      <c r="I32" s="30" cm="1">
        <f t="array" ref="I32">_xlfn.IFS(
$H$11=MAX($H$11,$J$11,$L$11,$N$11),$H$10,
$J$11=MAX($H$11,$J$11,$L$11,$N$11),$J$10,
$L$11=MAX($H$11,$J$11,$L$11,$N$11),$L$10,
$N$11=MAX($H$11,$J$11,$L$11,$N$11),$N$10)</f>
        <v>648.9</v>
      </c>
      <c r="J32" s="37" cm="1">
        <f t="array" ref="J32">_xlfn.IFS(
$J$11=MAX($J$11,$N$11),$K$10,
$N$11=MAX($J$11,$N$11),$O$10)</f>
        <v>50</v>
      </c>
      <c r="K32" s="39">
        <v>0</v>
      </c>
      <c r="L32" s="31">
        <f t="shared" si="8"/>
        <v>324450</v>
      </c>
      <c r="M32" s="137">
        <f t="shared" si="9"/>
        <v>35000</v>
      </c>
      <c r="N32" s="32">
        <f t="shared" si="10"/>
        <v>0</v>
      </c>
      <c r="O32" s="32">
        <v>353450</v>
      </c>
      <c r="P32" s="59">
        <f>VLOOKUP(B32,'ASISTENCIA JULIO'!$B$4:$AP$128,41,FALSE)</f>
        <v>10</v>
      </c>
      <c r="Q32" s="76">
        <f t="shared" si="1"/>
        <v>141380</v>
      </c>
      <c r="R32" s="18"/>
      <c r="S32" s="27"/>
    </row>
    <row r="33" spans="2:19" ht="12" customHeight="1">
      <c r="B33" s="51"/>
      <c r="C33" s="122"/>
      <c r="D33" s="67"/>
      <c r="E33" s="122"/>
      <c r="F33" s="274"/>
      <c r="G33" s="29"/>
      <c r="H33" s="30"/>
      <c r="I33" s="30"/>
      <c r="J33" s="37"/>
      <c r="K33" s="39"/>
      <c r="L33" s="31"/>
      <c r="M33" s="137"/>
      <c r="N33" s="32"/>
      <c r="O33" s="32"/>
      <c r="P33" s="59"/>
      <c r="Q33" s="76"/>
      <c r="R33" s="18"/>
      <c r="S33" s="27"/>
    </row>
    <row r="34" spans="2:19" ht="12" customHeight="1">
      <c r="B34" s="51"/>
      <c r="C34" s="122"/>
      <c r="D34" s="67"/>
      <c r="E34" s="122"/>
      <c r="F34" s="274"/>
      <c r="G34" s="29"/>
      <c r="H34" s="30"/>
      <c r="I34" s="30"/>
      <c r="J34" s="37"/>
      <c r="K34" s="39"/>
      <c r="L34" s="31"/>
      <c r="M34" s="137"/>
      <c r="N34" s="32"/>
      <c r="O34" s="32"/>
      <c r="P34" s="58"/>
      <c r="Q34" s="76"/>
      <c r="R34" s="18"/>
      <c r="S34" s="27"/>
    </row>
    <row r="35" spans="2:19" ht="12" customHeight="1">
      <c r="B35" s="51"/>
      <c r="C35" s="122"/>
      <c r="D35" s="67"/>
      <c r="E35" s="122"/>
      <c r="F35" s="274"/>
      <c r="G35" s="29"/>
      <c r="H35" s="30"/>
      <c r="I35" s="30"/>
      <c r="J35" s="37"/>
      <c r="K35" s="39"/>
      <c r="L35" s="31"/>
      <c r="M35" s="137"/>
      <c r="N35" s="32"/>
      <c r="O35" s="32"/>
      <c r="P35" s="58"/>
      <c r="Q35" s="76"/>
      <c r="R35" s="18"/>
      <c r="S35" s="27"/>
    </row>
    <row r="36" spans="2:19" ht="12" customHeight="1">
      <c r="B36" s="51"/>
      <c r="C36" s="122"/>
      <c r="D36" s="67"/>
      <c r="E36" s="122"/>
      <c r="F36" s="274"/>
      <c r="G36" s="29"/>
      <c r="H36" s="30"/>
      <c r="I36" s="30"/>
      <c r="J36" s="37"/>
      <c r="K36" s="39"/>
      <c r="L36" s="31"/>
      <c r="M36" s="137"/>
      <c r="N36" s="32"/>
      <c r="O36" s="32"/>
      <c r="P36" s="58"/>
      <c r="Q36" s="76"/>
      <c r="R36" s="18"/>
      <c r="S36" s="27"/>
    </row>
    <row r="37" spans="2:19" ht="12" customHeight="1">
      <c r="B37" s="51"/>
      <c r="C37" s="122"/>
      <c r="D37" s="67"/>
      <c r="E37" s="122"/>
      <c r="F37" s="274"/>
      <c r="G37" s="29"/>
      <c r="H37" s="30"/>
      <c r="I37" s="30"/>
      <c r="J37" s="37"/>
      <c r="K37" s="39"/>
      <c r="L37" s="31"/>
      <c r="M37" s="137"/>
      <c r="N37" s="32"/>
      <c r="O37" s="32"/>
      <c r="P37" s="58"/>
      <c r="Q37" s="76"/>
      <c r="R37" s="18"/>
      <c r="S37" s="27"/>
    </row>
    <row r="38" spans="2:19" ht="12" customHeight="1">
      <c r="B38" s="51"/>
      <c r="C38" s="122"/>
      <c r="D38" s="67"/>
      <c r="E38" s="122"/>
      <c r="F38" s="274"/>
      <c r="G38" s="29"/>
      <c r="H38" s="30"/>
      <c r="I38" s="30"/>
      <c r="J38" s="37"/>
      <c r="K38" s="39"/>
      <c r="L38" s="31"/>
      <c r="M38" s="137"/>
      <c r="N38" s="32"/>
      <c r="O38" s="32"/>
      <c r="P38" s="58"/>
      <c r="Q38" s="76"/>
      <c r="R38" s="18"/>
      <c r="S38" s="27"/>
    </row>
    <row r="39" spans="2:19" ht="12" customHeight="1">
      <c r="B39" s="51"/>
      <c r="C39" s="122"/>
      <c r="D39" s="67"/>
      <c r="E39" s="122"/>
      <c r="F39" s="274"/>
      <c r="G39" s="29"/>
      <c r="H39" s="30"/>
      <c r="I39" s="30"/>
      <c r="J39" s="37"/>
      <c r="K39" s="39"/>
      <c r="L39" s="31"/>
      <c r="M39" s="137"/>
      <c r="N39" s="32"/>
      <c r="O39" s="32"/>
      <c r="P39" s="58"/>
      <c r="Q39" s="76"/>
      <c r="R39" s="18"/>
      <c r="S39" s="27"/>
    </row>
    <row r="40" spans="2:19" ht="12" customHeight="1" thickBot="1">
      <c r="B40" s="184"/>
      <c r="C40" s="185"/>
      <c r="D40" s="68"/>
      <c r="E40" s="47"/>
      <c r="F40" s="274"/>
      <c r="G40" s="29"/>
      <c r="H40" s="382"/>
      <c r="I40" s="30"/>
      <c r="J40" s="37"/>
      <c r="K40" s="39"/>
      <c r="L40" s="31"/>
      <c r="M40" s="137"/>
      <c r="N40" s="32"/>
      <c r="O40" s="383"/>
      <c r="P40" s="384"/>
      <c r="Q40" s="385"/>
      <c r="R40" s="386"/>
      <c r="S40" s="387"/>
    </row>
    <row r="41" spans="2:19" ht="15.75" customHeight="1" thickBot="1">
      <c r="B41" s="573" t="s">
        <v>359</v>
      </c>
      <c r="C41" s="574"/>
      <c r="D41" s="574"/>
      <c r="E41" s="574"/>
      <c r="F41" s="574"/>
      <c r="G41" s="575"/>
      <c r="H41" s="388"/>
      <c r="I41" s="455" t="s">
        <v>362</v>
      </c>
      <c r="J41" s="456"/>
      <c r="K41" s="457"/>
      <c r="L41" s="452" t="s">
        <v>363</v>
      </c>
      <c r="M41" s="453"/>
      <c r="N41" s="454"/>
      <c r="O41" s="391"/>
      <c r="P41" s="392"/>
      <c r="Q41" s="392"/>
      <c r="R41" s="392"/>
      <c r="S41" s="392"/>
    </row>
    <row r="42" spans="2:19" ht="24" customHeight="1" thickBot="1">
      <c r="B42" s="63" t="s">
        <v>1</v>
      </c>
      <c r="C42" s="514" t="s">
        <v>2</v>
      </c>
      <c r="D42" s="109" t="s">
        <v>364</v>
      </c>
      <c r="E42" s="109" t="s">
        <v>4</v>
      </c>
      <c r="F42" s="40" t="s">
        <v>6</v>
      </c>
      <c r="G42" s="109" t="s">
        <v>7</v>
      </c>
      <c r="H42" s="111" t="s">
        <v>365</v>
      </c>
      <c r="I42" s="63" t="s">
        <v>354</v>
      </c>
      <c r="J42" s="63" t="s">
        <v>355</v>
      </c>
      <c r="K42" s="40" t="s">
        <v>366</v>
      </c>
      <c r="L42" s="41" t="s">
        <v>367</v>
      </c>
      <c r="M42" s="41" t="s">
        <v>368</v>
      </c>
      <c r="N42" s="40" t="s">
        <v>369</v>
      </c>
      <c r="O42" s="109" t="s">
        <v>302</v>
      </c>
      <c r="P42" s="109" t="s">
        <v>370</v>
      </c>
      <c r="Q42" s="114" t="s">
        <v>371</v>
      </c>
      <c r="R42" s="109" t="s">
        <v>9</v>
      </c>
      <c r="S42" s="109" t="s">
        <v>372</v>
      </c>
    </row>
    <row r="43" spans="2:19" ht="12" customHeight="1">
      <c r="B43" s="513" t="s">
        <v>159</v>
      </c>
      <c r="C43" s="122">
        <v>45627</v>
      </c>
      <c r="D43" s="122"/>
      <c r="E43" s="46" t="s">
        <v>373</v>
      </c>
      <c r="F43" s="327" t="s">
        <v>161</v>
      </c>
      <c r="G43" s="89" t="s">
        <v>23</v>
      </c>
      <c r="H43" s="77">
        <f t="shared" ref="H43:H60" si="11">MAX($H$11:$O$11)</f>
        <v>698.9</v>
      </c>
      <c r="I43" s="79" cm="1">
        <f t="array" ref="I43">_xlfn.IFS(
$H$11=MAX($H$11,$J$11,$L$11,$N$11),$H$10,
$J$11=MAX($H$11,$J$11,$L$11,$N$11),$J$10,
$L$11=MAX($H$11,$J$11,$L$11,$N$11),$L$10,
$N$11=MAX($H$11,$J$11,$L$11,$N$11),$N$10)</f>
        <v>648.9</v>
      </c>
      <c r="J43" s="80" cm="1">
        <f t="array" ref="J43">_xlfn.IFS(
$H$11=MAX($H$11,$J$11,$L$11,$N$11),$I$10,
$J$11=MAX($H$11,$J$11,$L$11,$N$11),$K$10,
$L$11=MAX($H$11,$J$11,$L$11,$N$11),$M$10,
$N$11=MAX($H$11,$J$11,$L$11,$N$11),$O$10)</f>
        <v>50</v>
      </c>
      <c r="K43" s="38">
        <v>0</v>
      </c>
      <c r="L43" s="328">
        <f t="shared" ref="L43:L53" si="12">I43*$C$4</f>
        <v>324450</v>
      </c>
      <c r="M43" s="34">
        <f t="shared" ref="M43:M53" si="13">J43*$D$4</f>
        <v>35000</v>
      </c>
      <c r="N43" s="35">
        <f t="shared" ref="N43:N53" si="14">K43*$E$4</f>
        <v>0</v>
      </c>
      <c r="O43" s="36">
        <v>353450</v>
      </c>
      <c r="P43" s="60">
        <f>VLOOKUP(B43,'ASISTENCIA JULIO'!$B$4:$AP$128,41,FALSE)</f>
        <v>12</v>
      </c>
      <c r="Q43" s="75">
        <f t="shared" ref="Q43:Q60" si="15">(O43/$P$14)*P43</f>
        <v>169656</v>
      </c>
      <c r="R43" s="61"/>
      <c r="S43" s="62"/>
    </row>
    <row r="44" spans="2:19" ht="12" customHeight="1">
      <c r="B44" s="322" t="s">
        <v>162</v>
      </c>
      <c r="C44" s="122">
        <v>46114</v>
      </c>
      <c r="D44" s="45"/>
      <c r="E44" s="45" t="s">
        <v>373</v>
      </c>
      <c r="F44" s="101" t="s">
        <v>163</v>
      </c>
      <c r="G44" s="29" t="s">
        <v>23</v>
      </c>
      <c r="H44" s="78">
        <f t="shared" si="11"/>
        <v>698.9</v>
      </c>
      <c r="I44" s="30" cm="1">
        <f t="array" ref="I44">_xlfn.IFS(
$H$11=MAX($H$11,$J$11,$L$11,$N$11),$H$10,
$J$11=MAX($H$11,$J$11,$L$11,$N$11),$J$10,
$L$11=MAX($H$11,$J$11,$L$11,$N$11),$L$10,
$N$11=MAX($H$11,$J$11,$L$11,$N$11),$N$10)</f>
        <v>648.9</v>
      </c>
      <c r="J44" s="37" cm="1">
        <f t="array" ref="J44">_xlfn.IFS(
$H$11=MAX($H$11,$J$11,$L$11,$N$11),$I$10,
$J$11=MAX($H$11,$J$11,$L$11,$N$11),$K$10,
$L$11=MAX($H$11,$J$11,$L$11,$N$11),$M$10,
$N$11=MAX($H$11,$J$11,$L$11,$N$11),$O$10)</f>
        <v>50</v>
      </c>
      <c r="K44" s="39">
        <v>0</v>
      </c>
      <c r="L44" s="329">
        <f t="shared" si="12"/>
        <v>324450</v>
      </c>
      <c r="M44" s="31">
        <f t="shared" si="13"/>
        <v>35000</v>
      </c>
      <c r="N44" s="32">
        <f t="shared" si="14"/>
        <v>0</v>
      </c>
      <c r="O44" s="33">
        <v>353450</v>
      </c>
      <c r="P44" s="58">
        <f>VLOOKUP(B44,'ASISTENCIA JULIO'!$B$4:$AP$128,41,FALSE)</f>
        <v>2</v>
      </c>
      <c r="Q44" s="76">
        <f t="shared" si="15"/>
        <v>28276</v>
      </c>
      <c r="R44" s="18"/>
      <c r="S44" s="27"/>
    </row>
    <row r="45" spans="2:19" ht="12" customHeight="1">
      <c r="B45" s="322" t="s">
        <v>212</v>
      </c>
      <c r="C45" s="122">
        <v>45636</v>
      </c>
      <c r="D45" s="45"/>
      <c r="E45" s="122" t="s">
        <v>373</v>
      </c>
      <c r="F45" s="101" t="s">
        <v>213</v>
      </c>
      <c r="G45" s="29" t="s">
        <v>83</v>
      </c>
      <c r="H45" s="78">
        <f t="shared" si="11"/>
        <v>698.9</v>
      </c>
      <c r="I45" s="30" cm="1">
        <f t="array" ref="I45">_xlfn.IFS(
$H$11=MAX($H$11,$J$11,$L$11,$N$11),$H$10,
$J$11=MAX($H$11,$J$11,$L$11,$N$11),$J$10,
$L$11=MAX($H$11,$J$11,$L$11,$N$11),$L$10,
$N$11=MAX($H$11,$J$11,$L$11,$N$11),$N$10)</f>
        <v>648.9</v>
      </c>
      <c r="J45" s="37" cm="1">
        <f t="array" ref="J45">_xlfn.IFS(
$H$11=MAX($H$11,$J$11,$L$11,$N$11),$I$10,
$J$11=MAX($H$11,$J$11,$L$11,$N$11),$K$10,
$L$11=MAX($H$11,$J$11,$L$11,$N$11),$M$10,
$N$11=MAX($H$11,$J$11,$L$11,$N$11),$O$10)</f>
        <v>50</v>
      </c>
      <c r="K45" s="39">
        <v>0</v>
      </c>
      <c r="L45" s="329">
        <f t="shared" si="12"/>
        <v>324450</v>
      </c>
      <c r="M45" s="31">
        <f t="shared" si="13"/>
        <v>35000</v>
      </c>
      <c r="N45" s="32">
        <f t="shared" si="14"/>
        <v>0</v>
      </c>
      <c r="O45" s="33">
        <v>353450</v>
      </c>
      <c r="P45" s="58">
        <f>VLOOKUP(B45,'ASISTENCIA JULIO'!$B$4:$AP$128,41,FALSE)</f>
        <v>12</v>
      </c>
      <c r="Q45" s="76">
        <f t="shared" si="15"/>
        <v>169656</v>
      </c>
      <c r="R45" s="18"/>
      <c r="S45" s="27"/>
    </row>
    <row r="46" spans="2:19" ht="12" customHeight="1">
      <c r="B46" s="322" t="s">
        <v>214</v>
      </c>
      <c r="C46" s="122">
        <v>46176</v>
      </c>
      <c r="D46" s="45"/>
      <c r="E46" s="122" t="s">
        <v>373</v>
      </c>
      <c r="F46" s="101" t="s">
        <v>215</v>
      </c>
      <c r="G46" s="29" t="s">
        <v>86</v>
      </c>
      <c r="H46" s="78">
        <f t="shared" si="11"/>
        <v>698.9</v>
      </c>
      <c r="I46" s="30" cm="1">
        <f t="array" ref="I46">_xlfn.IFS(
$H$11=MAX($H$11,$J$11,$L$11,$N$11),$H$10,
$J$11=MAX($H$11,$J$11,$L$11,$N$11),$J$10,
$L$11=MAX($H$11,$J$11,$L$11,$N$11),$L$10,
$N$11=MAX($H$11,$J$11,$L$11,$N$11),$N$10)</f>
        <v>648.9</v>
      </c>
      <c r="J46" s="37" cm="1">
        <f t="array" ref="J46">_xlfn.IFS(
$H$11=MAX($H$11,$J$11,$L$11,$N$11),$I$10,
$J$11=MAX($H$11,$J$11,$L$11,$N$11),$K$10,
$L$11=MAX($H$11,$J$11,$L$11,$N$11),$M$10,
$N$11=MAX($H$11,$J$11,$L$11,$N$11),$O$10)</f>
        <v>50</v>
      </c>
      <c r="K46" s="39">
        <v>0</v>
      </c>
      <c r="L46" s="329">
        <f t="shared" ref="L46" si="16">I46*$C$4</f>
        <v>324450</v>
      </c>
      <c r="M46" s="31">
        <f t="shared" ref="M46" si="17">J46*$D$4</f>
        <v>35000</v>
      </c>
      <c r="N46" s="32">
        <f t="shared" ref="N46" si="18">K46*$E$4</f>
        <v>0</v>
      </c>
      <c r="O46" s="33">
        <v>353450</v>
      </c>
      <c r="P46" s="58">
        <v>12</v>
      </c>
      <c r="Q46" s="76">
        <f t="shared" si="15"/>
        <v>169656</v>
      </c>
      <c r="R46" s="18"/>
      <c r="S46" s="27"/>
    </row>
    <row r="47" spans="2:19" ht="12" customHeight="1">
      <c r="B47" s="323" t="s">
        <v>216</v>
      </c>
      <c r="C47" s="122">
        <v>45836</v>
      </c>
      <c r="D47" s="45"/>
      <c r="E47" s="122" t="s">
        <v>373</v>
      </c>
      <c r="F47" s="101" t="s">
        <v>217</v>
      </c>
      <c r="G47" s="29" t="s">
        <v>86</v>
      </c>
      <c r="H47" s="78">
        <f t="shared" si="11"/>
        <v>698.9</v>
      </c>
      <c r="I47" s="30" cm="1">
        <f t="array" ref="I47">_xlfn.IFS(
$H$11=MAX($H$11,$J$11,$L$11,$N$11),$H$10,
$J$11=MAX($H$11,$J$11,$L$11,$N$11),$J$10,
$L$11=MAX($H$11,$J$11,$L$11,$N$11),$L$10,
$N$11=MAX($H$11,$J$11,$L$11,$N$11),$N$10)</f>
        <v>648.9</v>
      </c>
      <c r="J47" s="37" cm="1">
        <f t="array" ref="J47">_xlfn.IFS(
$H$11=MAX($H$11,$J$11,$L$11,$N$11),$I$10,
$J$11=MAX($H$11,$J$11,$L$11,$N$11),$K$10,
$L$11=MAX($H$11,$J$11,$L$11,$N$11),$M$10,
$N$11=MAX($H$11,$J$11,$L$11,$N$11),$O$10)</f>
        <v>50</v>
      </c>
      <c r="K47" s="39">
        <v>0</v>
      </c>
      <c r="L47" s="329">
        <f t="shared" si="12"/>
        <v>324450</v>
      </c>
      <c r="M47" s="31">
        <f t="shared" si="13"/>
        <v>35000</v>
      </c>
      <c r="N47" s="32">
        <f t="shared" si="14"/>
        <v>0</v>
      </c>
      <c r="O47" s="33">
        <v>353450</v>
      </c>
      <c r="P47" s="58">
        <f>VLOOKUP(B47,'ASISTENCIA JULIO'!$B$4:$AP$128,41,FALSE)</f>
        <v>2</v>
      </c>
      <c r="Q47" s="76">
        <f t="shared" si="15"/>
        <v>28276</v>
      </c>
      <c r="R47" s="18"/>
      <c r="S47" s="27"/>
    </row>
    <row r="48" spans="2:19" ht="12" customHeight="1">
      <c r="B48" s="324" t="s">
        <v>218</v>
      </c>
      <c r="C48" s="122">
        <v>46063</v>
      </c>
      <c r="D48" s="45"/>
      <c r="E48" s="122" t="s">
        <v>373</v>
      </c>
      <c r="F48" s="202" t="s">
        <v>219</v>
      </c>
      <c r="G48" s="29" t="s">
        <v>86</v>
      </c>
      <c r="H48" s="78">
        <f t="shared" si="11"/>
        <v>698.9</v>
      </c>
      <c r="I48" s="30" cm="1">
        <f t="array" ref="I48">_xlfn.IFS(
$H$11=MAX($H$11,$J$11,$L$11,$N$11),$H$10,
$J$11=MAX($H$11,$J$11,$L$11,$N$11),$J$10,
$L$11=MAX($H$11,$J$11,$L$11,$N$11),$L$10,
$N$11=MAX($H$11,$J$11,$L$11,$N$11),$N$10)</f>
        <v>648.9</v>
      </c>
      <c r="J48" s="37" cm="1">
        <f t="array" ref="J48">_xlfn.IFS(
$H$11=MAX($H$11,$J$11,$L$11,$N$11),$I$10,
$J$11=MAX($H$11,$J$11,$L$11,$N$11),$K$10,
$L$11=MAX($H$11,$J$11,$L$11,$N$11),$M$10,
$N$11=MAX($H$11,$J$11,$L$11,$N$11),$O$10)</f>
        <v>50</v>
      </c>
      <c r="K48" s="39">
        <v>0</v>
      </c>
      <c r="L48" s="329">
        <f t="shared" si="12"/>
        <v>324450</v>
      </c>
      <c r="M48" s="31">
        <f t="shared" si="13"/>
        <v>35000</v>
      </c>
      <c r="N48" s="32">
        <f t="shared" si="14"/>
        <v>0</v>
      </c>
      <c r="O48" s="33">
        <v>353450</v>
      </c>
      <c r="P48" s="58">
        <f>VLOOKUP(B48,'ASISTENCIA JULIO'!$B$4:$AP$128,41,FALSE)</f>
        <v>2</v>
      </c>
      <c r="Q48" s="76">
        <f t="shared" si="15"/>
        <v>28276</v>
      </c>
      <c r="R48" s="18"/>
      <c r="S48" s="27"/>
    </row>
    <row r="49" spans="2:19" ht="12" customHeight="1">
      <c r="B49" s="322" t="s">
        <v>220</v>
      </c>
      <c r="C49" s="122">
        <v>45716</v>
      </c>
      <c r="D49" s="45"/>
      <c r="E49" s="122" t="s">
        <v>373</v>
      </c>
      <c r="F49" s="101" t="s">
        <v>221</v>
      </c>
      <c r="G49" s="29" t="s">
        <v>86</v>
      </c>
      <c r="H49" s="78">
        <f t="shared" si="11"/>
        <v>698.9</v>
      </c>
      <c r="I49" s="30" cm="1">
        <f t="array" ref="I49">_xlfn.IFS(
$H$11=MAX($H$11,$J$11,$L$11,$N$11),$H$10,
$J$11=MAX($H$11,$J$11,$L$11,$N$11),$J$10,
$L$11=MAX($H$11,$J$11,$L$11,$N$11),$L$10,
$N$11=MAX($H$11,$J$11,$L$11,$N$11),$N$10)</f>
        <v>648.9</v>
      </c>
      <c r="J49" s="37" cm="1">
        <f t="array" ref="J49">_xlfn.IFS(
$H$11=MAX($H$11,$J$11,$L$11,$N$11),$I$10,
$J$11=MAX($H$11,$J$11,$L$11,$N$11),$K$10,
$L$11=MAX($H$11,$J$11,$L$11,$N$11),$M$10,
$N$11=MAX($H$11,$J$11,$L$11,$N$11),$O$10)</f>
        <v>50</v>
      </c>
      <c r="K49" s="39">
        <v>0</v>
      </c>
      <c r="L49" s="329">
        <f t="shared" si="12"/>
        <v>324450</v>
      </c>
      <c r="M49" s="31">
        <f t="shared" si="13"/>
        <v>35000</v>
      </c>
      <c r="N49" s="32">
        <f t="shared" si="14"/>
        <v>0</v>
      </c>
      <c r="O49" s="33">
        <v>353450</v>
      </c>
      <c r="P49" s="58">
        <f>VLOOKUP(B49,'ASISTENCIA JULIO'!$B$4:$AP$128,41,FALSE)</f>
        <v>12</v>
      </c>
      <c r="Q49" s="76">
        <f t="shared" si="15"/>
        <v>169656</v>
      </c>
      <c r="R49" s="18"/>
      <c r="S49" s="27"/>
    </row>
    <row r="50" spans="2:19" ht="12" customHeight="1">
      <c r="B50" s="322" t="s">
        <v>222</v>
      </c>
      <c r="C50" s="122">
        <v>45636</v>
      </c>
      <c r="D50" s="45"/>
      <c r="E50" s="122" t="s">
        <v>373</v>
      </c>
      <c r="F50" s="101" t="s">
        <v>223</v>
      </c>
      <c r="G50" s="29" t="s">
        <v>86</v>
      </c>
      <c r="H50" s="78">
        <f t="shared" si="11"/>
        <v>698.9</v>
      </c>
      <c r="I50" s="30" cm="1">
        <f t="array" ref="I50">_xlfn.IFS(
$H$11=MAX($H$11,$J$11,$L$11,$N$11),$H$10,
$J$11=MAX($H$11,$J$11,$L$11,$N$11),$J$10,
$L$11=MAX($H$11,$J$11,$L$11,$N$11),$L$10,
$N$11=MAX($H$11,$J$11,$L$11,$N$11),$N$10)</f>
        <v>648.9</v>
      </c>
      <c r="J50" s="37" cm="1">
        <f t="array" ref="J50">_xlfn.IFS(
$H$11=MAX($H$11,$J$11,$L$11,$N$11),$I$10,
$J$11=MAX($H$11,$J$11,$L$11,$N$11),$K$10,
$L$11=MAX($H$11,$J$11,$L$11,$N$11),$M$10,
$N$11=MAX($H$11,$J$11,$L$11,$N$11),$O$10)</f>
        <v>50</v>
      </c>
      <c r="K50" s="39">
        <v>0</v>
      </c>
      <c r="L50" s="329">
        <f t="shared" si="12"/>
        <v>324450</v>
      </c>
      <c r="M50" s="31">
        <f t="shared" si="13"/>
        <v>35000</v>
      </c>
      <c r="N50" s="32">
        <f t="shared" si="14"/>
        <v>0</v>
      </c>
      <c r="O50" s="33">
        <v>353450</v>
      </c>
      <c r="P50" s="58">
        <f>VLOOKUP(B50,'ASISTENCIA JULIO'!$B$4:$AP$128,41,FALSE)</f>
        <v>12</v>
      </c>
      <c r="Q50" s="76">
        <f t="shared" si="15"/>
        <v>169656</v>
      </c>
      <c r="R50" s="18"/>
      <c r="S50" s="27"/>
    </row>
    <row r="51" spans="2:19" ht="12" customHeight="1">
      <c r="B51" s="322" t="s">
        <v>224</v>
      </c>
      <c r="C51" s="122">
        <v>45719</v>
      </c>
      <c r="D51" s="45"/>
      <c r="E51" s="122" t="s">
        <v>373</v>
      </c>
      <c r="F51" s="101" t="s">
        <v>225</v>
      </c>
      <c r="G51" s="29" t="s">
        <v>86</v>
      </c>
      <c r="H51" s="78">
        <f t="shared" si="11"/>
        <v>698.9</v>
      </c>
      <c r="I51" s="30" cm="1">
        <f t="array" ref="I51">_xlfn.IFS(
$H$11=MAX($H$11,$J$11,$L$11,$N$11),$H$10,
$J$11=MAX($H$11,$J$11,$L$11,$N$11),$J$10,
$L$11=MAX($H$11,$J$11,$L$11,$N$11),$L$10,
$N$11=MAX($H$11,$J$11,$L$11,$N$11),$N$10)</f>
        <v>648.9</v>
      </c>
      <c r="J51" s="37" cm="1">
        <f t="array" ref="J51">_xlfn.IFS(
$H$11=MAX($H$11,$J$11,$L$11,$N$11),$I$10,
$J$11=MAX($H$11,$J$11,$L$11,$N$11),$K$10,
$L$11=MAX($H$11,$J$11,$L$11,$N$11),$M$10,
$N$11=MAX($H$11,$J$11,$L$11,$N$11),$O$10)</f>
        <v>50</v>
      </c>
      <c r="K51" s="39">
        <v>0</v>
      </c>
      <c r="L51" s="329">
        <f t="shared" si="12"/>
        <v>324450</v>
      </c>
      <c r="M51" s="31">
        <f t="shared" si="13"/>
        <v>35000</v>
      </c>
      <c r="N51" s="32">
        <f t="shared" si="14"/>
        <v>0</v>
      </c>
      <c r="O51" s="33">
        <v>353450</v>
      </c>
      <c r="P51" s="58">
        <f>VLOOKUP(B51,'ASISTENCIA JULIO'!$B$4:$AP$128,41,FALSE)</f>
        <v>12</v>
      </c>
      <c r="Q51" s="76">
        <f t="shared" si="15"/>
        <v>169656</v>
      </c>
      <c r="R51" s="18"/>
      <c r="S51" s="27"/>
    </row>
    <row r="52" spans="2:19" ht="12" customHeight="1">
      <c r="B52" s="322" t="s">
        <v>226</v>
      </c>
      <c r="C52" s="122">
        <v>45636</v>
      </c>
      <c r="D52" s="45"/>
      <c r="E52" s="122" t="s">
        <v>373</v>
      </c>
      <c r="F52" s="101" t="s">
        <v>227</v>
      </c>
      <c r="G52" s="29" t="s">
        <v>86</v>
      </c>
      <c r="H52" s="78">
        <f t="shared" si="11"/>
        <v>698.9</v>
      </c>
      <c r="I52" s="30" cm="1">
        <f t="array" ref="I52">_xlfn.IFS(
$H$11=MAX($H$11,$J$11,$L$11,$N$11),$H$10,
$J$11=MAX($H$11,$J$11,$L$11,$N$11),$J$10,
$L$11=MAX($H$11,$J$11,$L$11,$N$11),$L$10,
$N$11=MAX($H$11,$J$11,$L$11,$N$11),$N$10)</f>
        <v>648.9</v>
      </c>
      <c r="J52" s="37" cm="1">
        <f t="array" ref="J52">_xlfn.IFS(
$H$11=MAX($H$11,$J$11,$L$11,$N$11),$I$10,
$J$11=MAX($H$11,$J$11,$L$11,$N$11),$K$10,
$L$11=MAX($H$11,$J$11,$L$11,$N$11),$M$10,
$N$11=MAX($H$11,$J$11,$L$11,$N$11),$O$10)</f>
        <v>50</v>
      </c>
      <c r="K52" s="39">
        <v>0</v>
      </c>
      <c r="L52" s="329">
        <f t="shared" si="12"/>
        <v>324450</v>
      </c>
      <c r="M52" s="31">
        <f t="shared" si="13"/>
        <v>35000</v>
      </c>
      <c r="N52" s="32">
        <f t="shared" si="14"/>
        <v>0</v>
      </c>
      <c r="O52" s="33">
        <v>353450</v>
      </c>
      <c r="P52" s="58">
        <f>VLOOKUP(B52,'ASISTENCIA JULIO'!$B$4:$AP$128,41,FALSE)</f>
        <v>12</v>
      </c>
      <c r="Q52" s="76">
        <f t="shared" si="15"/>
        <v>169656</v>
      </c>
      <c r="R52" s="18"/>
      <c r="S52" s="27"/>
    </row>
    <row r="53" spans="2:19" ht="12" customHeight="1">
      <c r="B53" s="322" t="s">
        <v>228</v>
      </c>
      <c r="C53" s="122">
        <v>45915</v>
      </c>
      <c r="D53" s="45"/>
      <c r="E53" s="122" t="s">
        <v>373</v>
      </c>
      <c r="F53" s="101" t="s">
        <v>229</v>
      </c>
      <c r="G53" s="29" t="s">
        <v>86</v>
      </c>
      <c r="H53" s="78">
        <f t="shared" si="11"/>
        <v>698.9</v>
      </c>
      <c r="I53" s="30" cm="1">
        <f t="array" ref="I53">_xlfn.IFS(
$H$11=MAX($H$11,$J$11,$L$11,$N$11),$H$10,
$J$11=MAX($H$11,$J$11,$L$11,$N$11),$J$10,
$L$11=MAX($H$11,$J$11,$L$11,$N$11),$L$10,
$N$11=MAX($H$11,$J$11,$L$11,$N$11),$N$10)</f>
        <v>648.9</v>
      </c>
      <c r="J53" s="37" cm="1">
        <f t="array" ref="J53">_xlfn.IFS(
$H$11=MAX($H$11,$J$11,$L$11,$N$11),$I$10,
$J$11=MAX($H$11,$J$11,$L$11,$N$11),$K$10,
$L$11=MAX($H$11,$J$11,$L$11,$N$11),$M$10,
$N$11=MAX($H$11,$J$11,$L$11,$N$11),$O$10)</f>
        <v>50</v>
      </c>
      <c r="K53" s="39">
        <v>0</v>
      </c>
      <c r="L53" s="329">
        <f t="shared" si="12"/>
        <v>324450</v>
      </c>
      <c r="M53" s="31">
        <f t="shared" si="13"/>
        <v>35000</v>
      </c>
      <c r="N53" s="32">
        <f t="shared" si="14"/>
        <v>0</v>
      </c>
      <c r="O53" s="33">
        <v>353450</v>
      </c>
      <c r="P53" s="58">
        <f>VLOOKUP(B53,'ASISTENCIA JULIO'!$B$4:$AP$128,41,FALSE)</f>
        <v>2</v>
      </c>
      <c r="Q53" s="76">
        <f t="shared" si="15"/>
        <v>28276</v>
      </c>
      <c r="R53" s="18"/>
      <c r="S53" s="27"/>
    </row>
    <row r="54" spans="2:19" ht="12" customHeight="1">
      <c r="B54" s="324" t="s">
        <v>230</v>
      </c>
      <c r="C54" s="122">
        <v>46181</v>
      </c>
      <c r="D54" s="45"/>
      <c r="E54" s="122" t="s">
        <v>373</v>
      </c>
      <c r="F54" s="202" t="s">
        <v>231</v>
      </c>
      <c r="G54" s="29" t="s">
        <v>232</v>
      </c>
      <c r="H54" s="78">
        <f t="shared" si="11"/>
        <v>698.9</v>
      </c>
      <c r="I54" s="30" cm="1">
        <f t="array" ref="I54">_xlfn.IFS(
$H$11=MAX($H$11,$J$11,$L$11,$N$11),$H$10,
$J$11=MAX($H$11,$J$11,$L$11,$N$11),$J$10,
$L$11=MAX($H$11,$J$11,$L$11,$N$11),$L$10,
$N$11=MAX($H$11,$J$11,$L$11,$N$11),$N$10)</f>
        <v>648.9</v>
      </c>
      <c r="J54" s="37" cm="1">
        <f t="array" ref="J54">_xlfn.IFS(
$H$11=MAX($H$11,$J$11,$L$11,$N$11),$I$10,
$J$11=MAX($H$11,$J$11,$L$11,$N$11),$K$10,
$L$11=MAX($H$11,$J$11,$L$11,$N$11),$M$10,
$N$11=MAX($H$11,$J$11,$L$11,$N$11),$O$10)</f>
        <v>50</v>
      </c>
      <c r="K54" s="39">
        <v>0</v>
      </c>
      <c r="L54" s="329">
        <f t="shared" ref="L54" si="19">I54*$C$4</f>
        <v>324450</v>
      </c>
      <c r="M54" s="31">
        <f t="shared" ref="M54" si="20">J54*$D$4</f>
        <v>35000</v>
      </c>
      <c r="N54" s="32">
        <f t="shared" ref="N54" si="21">K54*$E$4</f>
        <v>0</v>
      </c>
      <c r="O54" s="33">
        <v>353450</v>
      </c>
      <c r="P54" s="58">
        <f>VLOOKUP(B54,'ASISTENCIA JULIO'!$B$4:$AP$128,41,FALSE)</f>
        <v>2</v>
      </c>
      <c r="Q54" s="76">
        <f t="shared" ref="Q54" si="22">(O54/$P$14)*P54</f>
        <v>28276</v>
      </c>
      <c r="R54" s="18"/>
      <c r="S54" s="326"/>
    </row>
    <row r="55" spans="2:19" ht="12" customHeight="1">
      <c r="B55" s="322" t="s">
        <v>241</v>
      </c>
      <c r="C55" s="122">
        <v>45936</v>
      </c>
      <c r="D55" s="45"/>
      <c r="E55" s="122" t="s">
        <v>373</v>
      </c>
      <c r="F55" s="101" t="s">
        <v>242</v>
      </c>
      <c r="G55" s="29" t="s">
        <v>102</v>
      </c>
      <c r="H55" s="78">
        <f t="shared" si="11"/>
        <v>698.9</v>
      </c>
      <c r="I55" s="30" cm="1">
        <f t="array" ref="I55">_xlfn.IFS(
$H$11=MAX($H$11,$J$11,$L$11,$N$11),$H$10,
$J$11=MAX($H$11,$J$11,$L$11,$N$11),$J$10,
$L$11=MAX($H$11,$J$11,$L$11,$N$11),$L$10,
$N$11=MAX($H$11,$J$11,$L$11,$N$11),$N$10)</f>
        <v>648.9</v>
      </c>
      <c r="J55" s="37" cm="1">
        <f t="array" ref="J55">_xlfn.IFS(
$H$11=MAX($H$11,$J$11,$L$11,$N$11),$I$10,
$J$11=MAX($H$11,$J$11,$L$11,$N$11),$K$10,
$L$11=MAX($H$11,$J$11,$L$11,$N$11),$M$10,
$N$11=MAX($H$11,$J$11,$L$11,$N$11),$O$10)</f>
        <v>50</v>
      </c>
      <c r="K55" s="39">
        <v>0</v>
      </c>
      <c r="L55" s="329">
        <f t="shared" ref="L55:L60" si="23">I55*$C$4</f>
        <v>324450</v>
      </c>
      <c r="M55" s="31">
        <f t="shared" ref="M55:M60" si="24">J55*$D$4</f>
        <v>35000</v>
      </c>
      <c r="N55" s="32">
        <f t="shared" ref="N55:N60" si="25">K55*$E$4</f>
        <v>0</v>
      </c>
      <c r="O55" s="33">
        <v>353450</v>
      </c>
      <c r="P55" s="58">
        <f>VLOOKUP(B55,'ASISTENCIA JULIO'!$B$4:$AP$128,41,FALSE)</f>
        <v>12</v>
      </c>
      <c r="Q55" s="76">
        <f t="shared" si="15"/>
        <v>169656</v>
      </c>
      <c r="R55" s="18"/>
      <c r="S55" s="326"/>
    </row>
    <row r="56" spans="2:19" ht="12" customHeight="1">
      <c r="B56" s="324" t="s">
        <v>243</v>
      </c>
      <c r="C56" s="122">
        <v>45945</v>
      </c>
      <c r="D56" s="45"/>
      <c r="E56" s="122" t="s">
        <v>373</v>
      </c>
      <c r="F56" s="202" t="s">
        <v>244</v>
      </c>
      <c r="G56" s="29" t="s">
        <v>102</v>
      </c>
      <c r="H56" s="78">
        <f t="shared" si="11"/>
        <v>698.9</v>
      </c>
      <c r="I56" s="30" cm="1">
        <f t="array" ref="I56">_xlfn.IFS(
$H$11=MAX($H$11,$J$11,$L$11,$N$11),$H$10,
$J$11=MAX($H$11,$J$11,$L$11,$N$11),$J$10,
$L$11=MAX($H$11,$J$11,$L$11,$N$11),$L$10,
$N$11=MAX($H$11,$J$11,$L$11,$N$11),$N$10)</f>
        <v>648.9</v>
      </c>
      <c r="J56" s="37" cm="1">
        <f t="array" ref="J56">_xlfn.IFS(
$H$11=MAX($H$11,$J$11,$L$11,$N$11),$I$10,
$J$11=MAX($H$11,$J$11,$L$11,$N$11),$K$10,
$L$11=MAX($H$11,$J$11,$L$11,$N$11),$M$10,
$N$11=MAX($H$11,$J$11,$L$11,$N$11),$O$10)</f>
        <v>50</v>
      </c>
      <c r="K56" s="39">
        <v>0</v>
      </c>
      <c r="L56" s="329">
        <f t="shared" si="23"/>
        <v>324450</v>
      </c>
      <c r="M56" s="31">
        <f t="shared" si="24"/>
        <v>35000</v>
      </c>
      <c r="N56" s="32">
        <f t="shared" si="25"/>
        <v>0</v>
      </c>
      <c r="O56" s="33">
        <v>353450</v>
      </c>
      <c r="P56" s="58">
        <v>12</v>
      </c>
      <c r="Q56" s="76">
        <f t="shared" si="15"/>
        <v>169656</v>
      </c>
      <c r="R56" s="18"/>
      <c r="S56" s="326"/>
    </row>
    <row r="57" spans="2:19" ht="12" customHeight="1">
      <c r="B57" s="322" t="s">
        <v>245</v>
      </c>
      <c r="C57" s="122">
        <v>45728</v>
      </c>
      <c r="D57" s="45"/>
      <c r="E57" s="122" t="s">
        <v>373</v>
      </c>
      <c r="F57" s="202" t="s">
        <v>246</v>
      </c>
      <c r="G57" s="29" t="s">
        <v>247</v>
      </c>
      <c r="H57" s="78">
        <f t="shared" si="11"/>
        <v>698.9</v>
      </c>
      <c r="I57" s="30" cm="1">
        <f t="array" ref="I57">_xlfn.IFS(
$H$11=MAX($H$11,$J$11,$L$11,$N$11),$H$10,
$J$11=MAX($H$11,$J$11,$L$11,$N$11),$J$10,
$L$11=MAX($H$11,$J$11,$L$11,$N$11),$L$10,
$N$11=MAX($H$11,$J$11,$L$11,$N$11),$N$10)</f>
        <v>648.9</v>
      </c>
      <c r="J57" s="37" cm="1">
        <f t="array" ref="J57">_xlfn.IFS(
$H$11=MAX($H$11,$J$11,$L$11,$N$11),$I$10,
$J$11=MAX($H$11,$J$11,$L$11,$N$11),$K$10,
$L$11=MAX($H$11,$J$11,$L$11,$N$11),$M$10,
$N$11=MAX($H$11,$J$11,$L$11,$N$11),$O$10)</f>
        <v>50</v>
      </c>
      <c r="K57" s="39">
        <v>0</v>
      </c>
      <c r="L57" s="329">
        <f t="shared" si="23"/>
        <v>324450</v>
      </c>
      <c r="M57" s="31">
        <f t="shared" si="24"/>
        <v>35000</v>
      </c>
      <c r="N57" s="32">
        <f t="shared" si="25"/>
        <v>0</v>
      </c>
      <c r="O57" s="33">
        <v>353450</v>
      </c>
      <c r="P57" s="58">
        <f>VLOOKUP(B57,'ASISTENCIA JULIO'!$B$4:$AP$128,41,FALSE)</f>
        <v>12</v>
      </c>
      <c r="Q57" s="76">
        <f t="shared" si="15"/>
        <v>169656</v>
      </c>
      <c r="R57" s="18"/>
      <c r="S57" s="27"/>
    </row>
    <row r="58" spans="2:19" ht="12" customHeight="1">
      <c r="B58" s="322" t="s">
        <v>268</v>
      </c>
      <c r="C58" s="122">
        <v>45876</v>
      </c>
      <c r="D58" s="45"/>
      <c r="E58" s="122" t="s">
        <v>373</v>
      </c>
      <c r="F58" s="101" t="s">
        <v>269</v>
      </c>
      <c r="G58" s="29" t="s">
        <v>137</v>
      </c>
      <c r="H58" s="78">
        <f t="shared" si="11"/>
        <v>698.9</v>
      </c>
      <c r="I58" s="30" cm="1">
        <f t="array" ref="I58">_xlfn.IFS(
$H$11=MAX($H$11,$J$11,$L$11,$N$11),$H$10,
$J$11=MAX($H$11,$J$11,$L$11,$N$11),$J$10,
$L$11=MAX($H$11,$J$11,$L$11,$N$11),$L$10,
$N$11=MAX($H$11,$J$11,$L$11,$N$11),$N$10)</f>
        <v>648.9</v>
      </c>
      <c r="J58" s="37" cm="1">
        <f t="array" ref="J58">_xlfn.IFS(
$H$11=MAX($H$11,$J$11,$L$11,$N$11),$I$10,
$J$11=MAX($H$11,$J$11,$L$11,$N$11),$K$10,
$L$11=MAX($H$11,$J$11,$L$11,$N$11),$M$10,
$N$11=MAX($H$11,$J$11,$L$11,$N$11),$O$10)</f>
        <v>50</v>
      </c>
      <c r="K58" s="39">
        <v>0</v>
      </c>
      <c r="L58" s="329">
        <f t="shared" si="23"/>
        <v>324450</v>
      </c>
      <c r="M58" s="31">
        <f t="shared" si="24"/>
        <v>35000</v>
      </c>
      <c r="N58" s="32">
        <f t="shared" si="25"/>
        <v>0</v>
      </c>
      <c r="O58" s="33">
        <v>353450</v>
      </c>
      <c r="P58" s="58">
        <f>VLOOKUP(B58,'ASISTENCIA JULIO'!$B$4:$AP$128,41,FALSE)</f>
        <v>12</v>
      </c>
      <c r="Q58" s="76">
        <f t="shared" si="15"/>
        <v>169656</v>
      </c>
      <c r="R58" s="18"/>
      <c r="S58" s="27"/>
    </row>
    <row r="59" spans="2:19" ht="12" customHeight="1">
      <c r="B59" s="322" t="s">
        <v>270</v>
      </c>
      <c r="C59" s="122">
        <v>45959</v>
      </c>
      <c r="D59" s="45"/>
      <c r="E59" s="122" t="s">
        <v>373</v>
      </c>
      <c r="F59" s="101" t="s">
        <v>271</v>
      </c>
      <c r="G59" s="29" t="s">
        <v>137</v>
      </c>
      <c r="H59" s="78">
        <f t="shared" si="11"/>
        <v>698.9</v>
      </c>
      <c r="I59" s="30" cm="1">
        <f t="array" ref="I59">_xlfn.IFS(
$H$11=MAX($H$11,$J$11,$L$11,$N$11),$H$10,
$J$11=MAX($H$11,$J$11,$L$11,$N$11),$J$10,
$L$11=MAX($H$11,$J$11,$L$11,$N$11),$L$10,
$N$11=MAX($H$11,$J$11,$L$11,$N$11),$N$10)</f>
        <v>648.9</v>
      </c>
      <c r="J59" s="37" cm="1">
        <f t="array" ref="J59">_xlfn.IFS(
$H$11=MAX($H$11,$J$11,$L$11,$N$11),$I$10,
$J$11=MAX($H$11,$J$11,$L$11,$N$11),$K$10,
$L$11=MAX($H$11,$J$11,$L$11,$N$11),$M$10,
$N$11=MAX($H$11,$J$11,$L$11,$N$11),$O$10)</f>
        <v>50</v>
      </c>
      <c r="K59" s="39">
        <v>0</v>
      </c>
      <c r="L59" s="329">
        <f t="shared" si="23"/>
        <v>324450</v>
      </c>
      <c r="M59" s="31">
        <f t="shared" si="24"/>
        <v>35000</v>
      </c>
      <c r="N59" s="32">
        <f t="shared" si="25"/>
        <v>0</v>
      </c>
      <c r="O59" s="33">
        <v>353450</v>
      </c>
      <c r="P59" s="58">
        <f>VLOOKUP(B59,'ASISTENCIA JULIO'!$B$4:$AP$128,41,FALSE)</f>
        <v>12</v>
      </c>
      <c r="Q59" s="76">
        <f t="shared" si="15"/>
        <v>169656</v>
      </c>
      <c r="R59" s="18"/>
      <c r="S59" s="27"/>
    </row>
    <row r="60" spans="2:19" ht="12" customHeight="1">
      <c r="B60" s="324" t="s">
        <v>234</v>
      </c>
      <c r="C60" s="122">
        <v>46063</v>
      </c>
      <c r="D60" s="45"/>
      <c r="E60" s="122" t="s">
        <v>373</v>
      </c>
      <c r="F60" s="202" t="s">
        <v>235</v>
      </c>
      <c r="G60" s="29" t="s">
        <v>236</v>
      </c>
      <c r="H60" s="78">
        <f t="shared" si="11"/>
        <v>698.9</v>
      </c>
      <c r="I60" s="30" cm="1">
        <f t="array" ref="I60">_xlfn.IFS(
$H$11=MAX($H$11,$J$11,$L$11,$N$11),$H$10,
$J$11=MAX($H$11,$J$11,$L$11,$N$11),$J$10,
$L$11=MAX($H$11,$J$11,$L$11,$N$11),$L$10,
$N$11=MAX($H$11,$J$11,$L$11,$N$11),$N$10)</f>
        <v>648.9</v>
      </c>
      <c r="J60" s="37" cm="1">
        <f t="array" ref="J60">_xlfn.IFS(
$H$11=MAX($H$11,$J$11,$L$11,$N$11),$I$10,
$J$11=MAX($H$11,$J$11,$L$11,$N$11),$K$10,
$L$11=MAX($H$11,$J$11,$L$11,$N$11),$M$10,
$N$11=MAX($H$11,$J$11,$L$11,$N$11),$O$10)</f>
        <v>50</v>
      </c>
      <c r="K60" s="39">
        <v>0</v>
      </c>
      <c r="L60" s="329">
        <f t="shared" si="23"/>
        <v>324450</v>
      </c>
      <c r="M60" s="31">
        <f t="shared" si="24"/>
        <v>35000</v>
      </c>
      <c r="N60" s="32">
        <f t="shared" si="25"/>
        <v>0</v>
      </c>
      <c r="O60" s="33">
        <v>353450</v>
      </c>
      <c r="P60" s="58">
        <f>VLOOKUP(B60,'ASISTENCIA JULIO'!$B$4:$AP$128,41,FALSE)</f>
        <v>12</v>
      </c>
      <c r="Q60" s="76">
        <f t="shared" si="15"/>
        <v>169656</v>
      </c>
      <c r="R60" s="18"/>
      <c r="S60" s="27"/>
    </row>
    <row r="61" spans="2:19" ht="12" customHeight="1">
      <c r="B61" s="322"/>
      <c r="C61" s="122"/>
      <c r="D61" s="45"/>
      <c r="E61" s="122"/>
      <c r="F61" s="202"/>
      <c r="G61" s="29"/>
      <c r="H61" s="78"/>
      <c r="I61" s="30"/>
      <c r="J61" s="37"/>
      <c r="K61" s="39"/>
      <c r="L61" s="329"/>
      <c r="M61" s="31"/>
      <c r="N61" s="32"/>
      <c r="O61" s="33"/>
      <c r="P61" s="58"/>
      <c r="Q61" s="76"/>
      <c r="R61" s="18"/>
      <c r="S61" s="27"/>
    </row>
    <row r="62" spans="2:19" ht="12" customHeight="1">
      <c r="B62" s="322"/>
      <c r="C62" s="122"/>
      <c r="D62" s="45"/>
      <c r="E62" s="122"/>
      <c r="F62" s="202"/>
      <c r="G62" s="29"/>
      <c r="H62" s="78"/>
      <c r="I62" s="30"/>
      <c r="J62" s="37"/>
      <c r="K62" s="39"/>
      <c r="L62" s="329"/>
      <c r="M62" s="31"/>
      <c r="N62" s="32"/>
      <c r="O62" s="33"/>
      <c r="P62" s="58"/>
      <c r="Q62" s="76"/>
      <c r="R62" s="18"/>
      <c r="S62" s="27"/>
    </row>
    <row r="63" spans="2:19" ht="12" customHeight="1">
      <c r="B63" s="322"/>
      <c r="C63" s="122"/>
      <c r="D63" s="45"/>
      <c r="E63" s="122"/>
      <c r="F63" s="202"/>
      <c r="G63" s="29"/>
      <c r="H63" s="78"/>
      <c r="I63" s="30"/>
      <c r="J63" s="37"/>
      <c r="K63" s="39"/>
      <c r="L63" s="329"/>
      <c r="M63" s="31"/>
      <c r="N63" s="32"/>
      <c r="O63" s="33"/>
      <c r="P63" s="58"/>
      <c r="Q63" s="76"/>
      <c r="R63" s="18"/>
      <c r="S63" s="27"/>
    </row>
    <row r="64" spans="2:19" ht="12" customHeight="1">
      <c r="B64" s="322"/>
      <c r="C64" s="122"/>
      <c r="D64" s="45"/>
      <c r="E64" s="122"/>
      <c r="F64" s="202"/>
      <c r="G64" s="29"/>
      <c r="H64" s="78"/>
      <c r="I64" s="30"/>
      <c r="J64" s="37"/>
      <c r="K64" s="39"/>
      <c r="L64" s="329"/>
      <c r="M64" s="31"/>
      <c r="N64" s="32"/>
      <c r="O64" s="33"/>
      <c r="P64" s="58"/>
      <c r="Q64" s="76"/>
      <c r="R64" s="18"/>
      <c r="S64" s="27"/>
    </row>
    <row r="65" spans="2:19" ht="12" customHeight="1">
      <c r="B65" s="322"/>
      <c r="C65" s="122"/>
      <c r="D65" s="45"/>
      <c r="E65" s="122"/>
      <c r="F65" s="202"/>
      <c r="G65" s="29"/>
      <c r="H65" s="78"/>
      <c r="I65" s="30"/>
      <c r="J65" s="37"/>
      <c r="K65" s="39"/>
      <c r="L65" s="329"/>
      <c r="M65" s="31"/>
      <c r="N65" s="32"/>
      <c r="O65" s="33"/>
      <c r="P65" s="58"/>
      <c r="Q65" s="76"/>
      <c r="R65" s="18"/>
      <c r="S65" s="27"/>
    </row>
    <row r="66" spans="2:19" ht="12" customHeight="1">
      <c r="B66" s="322"/>
      <c r="C66" s="122"/>
      <c r="D66" s="45"/>
      <c r="E66" s="122"/>
      <c r="F66" s="202"/>
      <c r="G66" s="29"/>
      <c r="H66" s="78"/>
      <c r="I66" s="30"/>
      <c r="J66" s="37"/>
      <c r="K66" s="39"/>
      <c r="L66" s="329"/>
      <c r="M66" s="31"/>
      <c r="N66" s="32"/>
      <c r="O66" s="33"/>
      <c r="P66" s="58"/>
      <c r="Q66" s="76"/>
      <c r="R66" s="18"/>
      <c r="S66" s="27"/>
    </row>
    <row r="67" spans="2:19" ht="12" customHeight="1">
      <c r="B67" s="322"/>
      <c r="C67" s="122"/>
      <c r="D67" s="45"/>
      <c r="E67" s="122"/>
      <c r="F67" s="202"/>
      <c r="G67" s="29"/>
      <c r="H67" s="78"/>
      <c r="I67" s="30"/>
      <c r="J67" s="37"/>
      <c r="K67" s="39"/>
      <c r="L67" s="329"/>
      <c r="M67" s="31"/>
      <c r="N67" s="32"/>
      <c r="O67" s="33"/>
      <c r="P67" s="58"/>
      <c r="Q67" s="76"/>
      <c r="R67" s="18"/>
      <c r="S67" s="27"/>
    </row>
    <row r="68" spans="2:19" ht="12" customHeight="1" thickBot="1">
      <c r="B68" s="325"/>
      <c r="C68" s="57"/>
      <c r="D68" s="47"/>
      <c r="E68" s="185"/>
      <c r="F68" s="272"/>
      <c r="G68" s="90"/>
      <c r="H68" s="126"/>
      <c r="I68" s="127"/>
      <c r="J68" s="128"/>
      <c r="K68" s="123"/>
      <c r="L68" s="330"/>
      <c r="M68" s="129"/>
      <c r="N68" s="130"/>
      <c r="O68" s="131"/>
      <c r="P68" s="140"/>
      <c r="Q68" s="132"/>
      <c r="R68" s="125"/>
      <c r="S68" s="133"/>
    </row>
    <row r="69" spans="2:19" ht="13.9">
      <c r="D69" s="20"/>
      <c r="Q69" s="74">
        <f>SUM(Q16:Q68)</f>
        <v>6234858</v>
      </c>
    </row>
    <row r="70" spans="2:19">
      <c r="C70" s="19"/>
      <c r="F70" s="20"/>
    </row>
    <row r="71" spans="2:19">
      <c r="C71" s="19"/>
      <c r="F71" s="20"/>
    </row>
    <row r="72" spans="2:19">
      <c r="C72" s="19"/>
      <c r="F72" s="20"/>
    </row>
    <row r="73" spans="2:19">
      <c r="C73" s="19"/>
      <c r="F73" s="20"/>
    </row>
    <row r="74" spans="2:19">
      <c r="C74" s="19"/>
      <c r="F74" s="20"/>
    </row>
    <row r="75" spans="2:19">
      <c r="C75" s="19"/>
      <c r="F75" s="20"/>
    </row>
    <row r="76" spans="2:19">
      <c r="C76" s="19"/>
      <c r="F76" s="20"/>
    </row>
    <row r="77" spans="2:19">
      <c r="C77" s="19"/>
      <c r="F77" s="20"/>
    </row>
    <row r="78" spans="2:19">
      <c r="C78" s="19"/>
      <c r="F78" s="20"/>
    </row>
    <row r="79" spans="2:19">
      <c r="C79" s="19"/>
      <c r="F79" s="20"/>
    </row>
    <row r="80" spans="2:19">
      <c r="C80" s="19"/>
      <c r="F80" s="20"/>
    </row>
    <row r="81" spans="3:6">
      <c r="C81" s="19"/>
      <c r="F81" s="20"/>
    </row>
    <row r="82" spans="3:6">
      <c r="C82" s="19"/>
      <c r="F82" s="20"/>
    </row>
    <row r="83" spans="3:6">
      <c r="C83" s="19"/>
      <c r="F83" s="20"/>
    </row>
    <row r="84" spans="3:6">
      <c r="C84" s="19"/>
      <c r="F84" s="20"/>
    </row>
    <row r="85" spans="3:6">
      <c r="C85" s="19"/>
      <c r="F85" s="20"/>
    </row>
    <row r="86" spans="3:6">
      <c r="C86" s="19"/>
      <c r="F86" s="20"/>
    </row>
    <row r="87" spans="3:6">
      <c r="C87" s="19"/>
      <c r="F87" s="20"/>
    </row>
    <row r="88" spans="3:6">
      <c r="C88" s="19"/>
      <c r="F88" s="20"/>
    </row>
    <row r="89" spans="3:6">
      <c r="C89" s="19"/>
      <c r="F89" s="20"/>
    </row>
    <row r="90" spans="3:6">
      <c r="C90" s="19"/>
      <c r="F90" s="20"/>
    </row>
    <row r="91" spans="3:6">
      <c r="C91" s="19"/>
      <c r="F91" s="20"/>
    </row>
    <row r="92" spans="3:6">
      <c r="C92" s="19"/>
      <c r="F92" s="20"/>
    </row>
    <row r="93" spans="3:6">
      <c r="C93" s="19"/>
      <c r="F93" s="20"/>
    </row>
  </sheetData>
  <sortState xmlns:xlrd2="http://schemas.microsoft.com/office/spreadsheetml/2017/richdata2" ref="B18:G40">
    <sortCondition ref="B18:B40"/>
  </sortState>
  <mergeCells count="37">
    <mergeCell ref="T12:U12"/>
    <mergeCell ref="P11:Q11"/>
    <mergeCell ref="P2:Q2"/>
    <mergeCell ref="P5:Q5"/>
    <mergeCell ref="P7:Q7"/>
    <mergeCell ref="P3:Q3"/>
    <mergeCell ref="P4:Q4"/>
    <mergeCell ref="P6:Q6"/>
    <mergeCell ref="P9:Q9"/>
    <mergeCell ref="G9:G11"/>
    <mergeCell ref="G6:G7"/>
    <mergeCell ref="G4:G5"/>
    <mergeCell ref="H5:I5"/>
    <mergeCell ref="J5:K5"/>
    <mergeCell ref="H7:I7"/>
    <mergeCell ref="J7:K7"/>
    <mergeCell ref="P1:Q1"/>
    <mergeCell ref="H11:I11"/>
    <mergeCell ref="J11:K11"/>
    <mergeCell ref="L11:M11"/>
    <mergeCell ref="N11:O11"/>
    <mergeCell ref="B14:G14"/>
    <mergeCell ref="B41:G41"/>
    <mergeCell ref="N2:O2"/>
    <mergeCell ref="H2:I2"/>
    <mergeCell ref="J2:K2"/>
    <mergeCell ref="L2:M2"/>
    <mergeCell ref="L7:M7"/>
    <mergeCell ref="N7:O7"/>
    <mergeCell ref="L5:M5"/>
    <mergeCell ref="N5:O5"/>
    <mergeCell ref="C2:C3"/>
    <mergeCell ref="C7:C8"/>
    <mergeCell ref="D7:D8"/>
    <mergeCell ref="E7:E8"/>
    <mergeCell ref="E2:E3"/>
    <mergeCell ref="D2:D3"/>
  </mergeCells>
  <phoneticPr fontId="5" type="noConversion"/>
  <conditionalFormatting sqref="B43:B60 B16:B32">
    <cfRule type="duplicateValues" dxfId="210" priority="1"/>
  </conditionalFormatting>
  <conditionalFormatting sqref="B54">
    <cfRule type="duplicateValues" dxfId="209" priority="2"/>
  </conditionalFormatting>
  <conditionalFormatting sqref="B56">
    <cfRule type="duplicateValues" dxfId="208" priority="3"/>
  </conditionalFormatting>
  <conditionalFormatting sqref="C16:C26 C28:C40 C43 C45 C47:C53 C55 C57:C68">
    <cfRule type="cellIs" dxfId="207" priority="5" operator="greaterThan">
      <formula>46112</formula>
    </cfRule>
  </conditionalFormatting>
  <conditionalFormatting sqref="E2:E12 E70:E1048576">
    <cfRule type="cellIs" dxfId="206" priority="47" operator="equal">
      <formula>"VIGENTE"</formula>
    </cfRule>
  </conditionalFormatting>
  <conditionalFormatting sqref="H5:L5 N5 P5 T8 H11 J11 L11 N11 P11">
    <cfRule type="cellIs" dxfId="205" priority="32" operator="greaterThanOrEqual">
      <formula>2500</formula>
    </cfRule>
  </conditionalFormatting>
  <pageMargins left="0.7" right="0.7" top="0.75" bottom="0.75" header="0.3" footer="0.3"/>
  <pageSetup orientation="portrait" r:id="rId1"/>
  <ignoredErrors>
    <ignoredError sqref="H16:I32 H43:I60 P16:P33 P43:P60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AC43"/>
  <sheetViews>
    <sheetView topLeftCell="A3" zoomScale="90" zoomScaleNormal="90" workbookViewId="0">
      <pane xSplit="1" topLeftCell="B1" activePane="topRight" state="frozen"/>
      <selection pane="topRight" activeCell="O6" sqref="O6"/>
    </sheetView>
  </sheetViews>
  <sheetFormatPr defaultColWidth="11.42578125" defaultRowHeight="12"/>
  <cols>
    <col min="1" max="1" width="1" style="19" customWidth="1"/>
    <col min="2" max="2" width="10" style="19" customWidth="1"/>
    <col min="3" max="3" width="12.140625" style="20" customWidth="1"/>
    <col min="4" max="4" width="11.5703125" style="71" customWidth="1"/>
    <col min="5" max="5" width="9" style="20" customWidth="1"/>
    <col min="6" max="6" width="36.7109375" style="20" customWidth="1"/>
    <col min="7" max="7" width="23.85546875" style="19" customWidth="1"/>
    <col min="8" max="17" width="10.7109375" style="19" customWidth="1"/>
    <col min="18" max="18" width="36.140625" style="19" customWidth="1"/>
    <col min="19" max="31" width="10.7109375" style="19" customWidth="1"/>
    <col min="32" max="16384" width="11.42578125" style="19"/>
  </cols>
  <sheetData>
    <row r="1" spans="2:29" ht="14.25" customHeight="1" thickBot="1">
      <c r="H1" s="452" t="s">
        <v>346</v>
      </c>
      <c r="I1" s="453"/>
      <c r="J1" s="453"/>
      <c r="K1" s="453"/>
      <c r="L1" s="453"/>
      <c r="M1" s="453"/>
      <c r="N1" s="453"/>
      <c r="O1" s="454"/>
      <c r="P1" s="573" t="s">
        <v>347</v>
      </c>
      <c r="Q1" s="575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</row>
    <row r="2" spans="2:29" ht="14.25" customHeight="1" thickBot="1">
      <c r="B2" s="49"/>
      <c r="C2" s="582" t="s">
        <v>348</v>
      </c>
      <c r="D2" s="582" t="s">
        <v>349</v>
      </c>
      <c r="E2" s="582" t="s">
        <v>350</v>
      </c>
      <c r="H2" s="576"/>
      <c r="I2" s="577"/>
      <c r="J2" s="578" t="s">
        <v>351</v>
      </c>
      <c r="K2" s="579"/>
      <c r="L2" s="576"/>
      <c r="M2" s="577"/>
      <c r="N2" s="576" t="s">
        <v>352</v>
      </c>
      <c r="O2" s="577"/>
      <c r="P2" s="576" t="s">
        <v>353</v>
      </c>
      <c r="Q2" s="577"/>
      <c r="S2" s="66"/>
      <c r="T2" s="66"/>
      <c r="V2" s="193"/>
      <c r="AA2" s="193"/>
    </row>
    <row r="3" spans="2:29" ht="14.25" customHeight="1" thickBot="1">
      <c r="B3" s="49"/>
      <c r="C3" s="583"/>
      <c r="D3" s="583"/>
      <c r="E3" s="583"/>
      <c r="H3" s="372"/>
      <c r="I3" s="373"/>
      <c r="J3" s="372" t="s">
        <v>354</v>
      </c>
      <c r="K3" s="373" t="s">
        <v>355</v>
      </c>
      <c r="L3" s="374"/>
      <c r="M3" s="375"/>
      <c r="N3" s="372" t="s">
        <v>354</v>
      </c>
      <c r="O3" s="373" t="s">
        <v>355</v>
      </c>
      <c r="P3" s="595" t="s">
        <v>356</v>
      </c>
      <c r="Q3" s="596"/>
      <c r="S3" s="93"/>
      <c r="T3" s="93"/>
      <c r="V3" s="93"/>
      <c r="AA3" s="93"/>
    </row>
    <row r="4" spans="2:29" ht="14.25" customHeight="1">
      <c r="B4" s="49" t="s">
        <v>357</v>
      </c>
      <c r="C4" s="21">
        <v>500</v>
      </c>
      <c r="D4" s="22">
        <v>700</v>
      </c>
      <c r="E4" s="22">
        <v>900</v>
      </c>
      <c r="G4" s="590" t="s">
        <v>358</v>
      </c>
      <c r="H4" s="64"/>
      <c r="I4" s="65"/>
      <c r="J4" s="64">
        <f>'740-7'!$AN$9</f>
        <v>298.3</v>
      </c>
      <c r="K4" s="65">
        <f>'740-7'!$AO$9</f>
        <v>0</v>
      </c>
      <c r="L4" s="64"/>
      <c r="M4" s="281"/>
      <c r="N4" s="64">
        <f>'740-14 '!$AO$9</f>
        <v>411.75</v>
      </c>
      <c r="O4" s="65">
        <f>'740-14 '!$AP$9</f>
        <v>43.75</v>
      </c>
      <c r="P4" s="597">
        <f>'1200-01'!$AK$9</f>
        <v>856</v>
      </c>
      <c r="Q4" s="598"/>
      <c r="S4" s="341"/>
      <c r="T4" s="341"/>
      <c r="V4" s="26"/>
    </row>
    <row r="5" spans="2:29" ht="14.25" customHeight="1" thickBot="1">
      <c r="B5" s="49" t="s">
        <v>110</v>
      </c>
      <c r="C5" s="23">
        <v>750</v>
      </c>
      <c r="D5" s="24">
        <v>900</v>
      </c>
      <c r="E5" s="24">
        <v>1200</v>
      </c>
      <c r="G5" s="591"/>
      <c r="H5" s="580"/>
      <c r="I5" s="581"/>
      <c r="J5" s="580">
        <f>J4+K4</f>
        <v>298.3</v>
      </c>
      <c r="K5" s="581"/>
      <c r="L5" s="580"/>
      <c r="M5" s="581"/>
      <c r="N5" s="580">
        <f>N4+O4</f>
        <v>455.5</v>
      </c>
      <c r="O5" s="581"/>
      <c r="P5" s="580"/>
      <c r="Q5" s="581"/>
      <c r="S5" s="380"/>
      <c r="T5" s="344"/>
      <c r="U5" s="204"/>
      <c r="V5" s="342"/>
      <c r="AA5" s="343"/>
    </row>
    <row r="6" spans="2:29" s="107" customFormat="1" ht="14.25" customHeight="1" thickBot="1">
      <c r="B6" s="25"/>
      <c r="C6" s="20"/>
      <c r="D6" s="19"/>
      <c r="E6" s="20"/>
      <c r="G6" s="590" t="s">
        <v>359</v>
      </c>
      <c r="H6" s="64"/>
      <c r="I6" s="65"/>
      <c r="J6" s="64">
        <f>'740-7'!$AP$9</f>
        <v>168.2</v>
      </c>
      <c r="K6" s="65">
        <f>'740-7'!$AQ$9</f>
        <v>0</v>
      </c>
      <c r="L6" s="64"/>
      <c r="M6" s="281"/>
      <c r="N6" s="64">
        <f>'740-14 '!$AQ$9</f>
        <v>237.15</v>
      </c>
      <c r="O6" s="65">
        <f>'740-14 '!$AR$9</f>
        <v>6.25</v>
      </c>
      <c r="P6" s="597">
        <f>'1200-01'!$AL$9</f>
        <v>336</v>
      </c>
      <c r="Q6" s="598"/>
      <c r="S6" s="380"/>
      <c r="T6" s="344"/>
      <c r="U6" s="204"/>
      <c r="V6" s="344"/>
      <c r="AA6" s="345"/>
    </row>
    <row r="7" spans="2:29" ht="14.25" customHeight="1" thickBot="1">
      <c r="B7" s="49"/>
      <c r="C7" s="582" t="s">
        <v>360</v>
      </c>
      <c r="D7" s="584"/>
      <c r="E7" s="584"/>
      <c r="G7" s="591"/>
      <c r="H7" s="580"/>
      <c r="I7" s="581"/>
      <c r="J7" s="592">
        <f>J6+K6</f>
        <v>168.2</v>
      </c>
      <c r="K7" s="593"/>
      <c r="L7" s="580"/>
      <c r="M7" s="581"/>
      <c r="N7" s="580">
        <f>N6+O6</f>
        <v>243.4</v>
      </c>
      <c r="O7" s="581"/>
      <c r="P7" s="580"/>
      <c r="Q7" s="581"/>
      <c r="S7" s="380"/>
      <c r="T7" s="344"/>
      <c r="U7" s="204"/>
      <c r="V7" s="347"/>
    </row>
    <row r="8" spans="2:29" ht="14.25" customHeight="1" thickBot="1">
      <c r="B8" s="49"/>
      <c r="C8" s="583"/>
      <c r="D8" s="584"/>
      <c r="E8" s="584"/>
      <c r="S8" s="348"/>
      <c r="T8" s="73"/>
      <c r="V8" s="73"/>
      <c r="AA8" s="343"/>
    </row>
    <row r="9" spans="2:29" s="107" customFormat="1" ht="14.25" customHeight="1" thickBot="1">
      <c r="B9" s="49" t="s">
        <v>357</v>
      </c>
      <c r="C9" s="22">
        <v>200</v>
      </c>
      <c r="D9" s="72"/>
      <c r="E9" s="73"/>
      <c r="F9" s="346"/>
      <c r="G9" s="587" t="s">
        <v>361</v>
      </c>
      <c r="H9" s="374"/>
      <c r="I9" s="373"/>
      <c r="J9" s="372" t="s">
        <v>354</v>
      </c>
      <c r="K9" s="373" t="s">
        <v>355</v>
      </c>
      <c r="L9" s="372"/>
      <c r="M9" s="373"/>
      <c r="N9" s="372" t="s">
        <v>354</v>
      </c>
      <c r="O9" s="373" t="s">
        <v>355</v>
      </c>
      <c r="P9" s="595" t="s">
        <v>356</v>
      </c>
      <c r="Q9" s="596"/>
      <c r="S9" s="380"/>
      <c r="T9" s="349"/>
      <c r="V9" s="349"/>
      <c r="AA9" s="350"/>
    </row>
    <row r="10" spans="2:29" s="107" customFormat="1" ht="14.25" customHeight="1" thickBot="1">
      <c r="B10" s="49" t="s">
        <v>110</v>
      </c>
      <c r="C10" s="24">
        <v>300</v>
      </c>
      <c r="D10" s="72"/>
      <c r="E10" s="73"/>
      <c r="F10" s="346"/>
      <c r="G10" s="588"/>
      <c r="H10" s="376"/>
      <c r="I10" s="377"/>
      <c r="J10" s="376">
        <f>J4+J6</f>
        <v>466.5</v>
      </c>
      <c r="K10" s="377">
        <f>K4+K6</f>
        <v>0</v>
      </c>
      <c r="L10" s="376"/>
      <c r="M10" s="377"/>
      <c r="N10" s="376">
        <f>N4+N6</f>
        <v>648.9</v>
      </c>
      <c r="O10" s="377">
        <f>O4+O6</f>
        <v>50</v>
      </c>
      <c r="P10" s="336"/>
      <c r="Q10" s="337"/>
      <c r="S10" s="380"/>
      <c r="T10" s="351"/>
      <c r="U10" s="349"/>
      <c r="V10" s="349"/>
      <c r="AA10" s="350"/>
    </row>
    <row r="11" spans="2:29" ht="14.25" customHeight="1" thickBot="1">
      <c r="G11" s="589"/>
      <c r="H11" s="585"/>
      <c r="I11" s="586"/>
      <c r="J11" s="585">
        <f>J10+K10</f>
        <v>466.5</v>
      </c>
      <c r="K11" s="586"/>
      <c r="L11" s="585"/>
      <c r="M11" s="586"/>
      <c r="N11" s="585">
        <f>N10+O10</f>
        <v>698.9</v>
      </c>
      <c r="O11" s="586"/>
      <c r="P11" s="585">
        <f>P4+P6</f>
        <v>1192</v>
      </c>
      <c r="Q11" s="586"/>
      <c r="S11" s="380"/>
    </row>
    <row r="12" spans="2:29" ht="14.25" customHeight="1"/>
    <row r="13" spans="2:29" ht="14.25" customHeight="1" thickBot="1">
      <c r="Y13" s="343"/>
    </row>
    <row r="14" spans="2:29" ht="15.75" customHeight="1" thickBot="1">
      <c r="B14" s="573" t="s">
        <v>376</v>
      </c>
      <c r="C14" s="574"/>
      <c r="D14" s="574"/>
      <c r="E14" s="574"/>
      <c r="F14" s="574"/>
      <c r="G14" s="575"/>
      <c r="H14" s="381"/>
      <c r="I14" s="602" t="s">
        <v>362</v>
      </c>
      <c r="J14" s="603"/>
      <c r="K14" s="604"/>
      <c r="L14" s="573" t="s">
        <v>363</v>
      </c>
      <c r="M14" s="574"/>
      <c r="N14" s="575"/>
      <c r="O14" s="26"/>
      <c r="P14" s="107">
        <v>25</v>
      </c>
      <c r="R14" s="20"/>
      <c r="S14" s="20"/>
      <c r="W14" s="107"/>
      <c r="X14" s="107"/>
      <c r="Y14" s="107"/>
    </row>
    <row r="15" spans="2:29" ht="24" customHeight="1" thickBot="1">
      <c r="B15" s="63" t="s">
        <v>1</v>
      </c>
      <c r="C15" s="70" t="s">
        <v>2</v>
      </c>
      <c r="D15" s="69" t="s">
        <v>364</v>
      </c>
      <c r="E15" s="109" t="s">
        <v>4</v>
      </c>
      <c r="F15" s="40" t="s">
        <v>6</v>
      </c>
      <c r="G15" s="109" t="s">
        <v>7</v>
      </c>
      <c r="H15" s="111" t="s">
        <v>365</v>
      </c>
      <c r="I15" s="63" t="s">
        <v>354</v>
      </c>
      <c r="J15" s="63" t="s">
        <v>355</v>
      </c>
      <c r="K15" s="40" t="s">
        <v>366</v>
      </c>
      <c r="L15" s="41" t="s">
        <v>367</v>
      </c>
      <c r="M15" s="41" t="s">
        <v>368</v>
      </c>
      <c r="N15" s="40" t="s">
        <v>369</v>
      </c>
      <c r="O15" s="109" t="s">
        <v>302</v>
      </c>
      <c r="P15" s="109" t="s">
        <v>370</v>
      </c>
      <c r="Q15" s="114" t="s">
        <v>371</v>
      </c>
      <c r="R15" s="109" t="s">
        <v>9</v>
      </c>
      <c r="S15" s="109" t="s">
        <v>372</v>
      </c>
      <c r="W15" s="343"/>
      <c r="AA15" s="20"/>
    </row>
    <row r="16" spans="2:29">
      <c r="B16" s="353" t="s">
        <v>15</v>
      </c>
      <c r="C16" s="354">
        <f>VLOOKUP(B16,[1]ASISTENCIA!$B$4:$U$170,20,FALSE)</f>
        <v>45964</v>
      </c>
      <c r="D16" s="46"/>
      <c r="E16" s="46" t="s">
        <v>373</v>
      </c>
      <c r="F16" s="355" t="s">
        <v>17</v>
      </c>
      <c r="G16" s="46" t="s">
        <v>304</v>
      </c>
      <c r="H16" s="378">
        <f>MAX($H$11:$O$11)</f>
        <v>698.9</v>
      </c>
      <c r="I16" s="79" cm="1">
        <f t="array" ref="I16">_xlfn.IFS($J$11=MAX($J$11,$N$11),$J$10,$N$11=MAX($J$11,$N$11),$N$10)</f>
        <v>648.9</v>
      </c>
      <c r="J16" s="80" cm="1">
        <f t="array" ref="J16">_xlfn.IFS(
$J$11=MAX($J$11,$N$11),$K$10,
$N$11=MAX($J$11,$N$11),$O$10)</f>
        <v>50</v>
      </c>
      <c r="K16" s="38">
        <v>0</v>
      </c>
      <c r="L16" s="34">
        <f>I16*$C$5</f>
        <v>486675</v>
      </c>
      <c r="M16" s="34">
        <f>J16*$D$5</f>
        <v>45000</v>
      </c>
      <c r="N16" s="35">
        <f>K16*$E$5</f>
        <v>0</v>
      </c>
      <c r="O16" s="36">
        <v>522675</v>
      </c>
      <c r="P16" s="368">
        <f>VLOOKUP(B16,'ASISTENCIA JULIO'!$B$4:$AP$128,41,FALSE)</f>
        <v>17</v>
      </c>
      <c r="Q16" s="75">
        <f>(O16/$P$14)*P16</f>
        <v>355419</v>
      </c>
      <c r="R16" s="61" t="s">
        <v>16</v>
      </c>
      <c r="S16" s="62"/>
      <c r="W16" s="343"/>
      <c r="AA16" s="20"/>
    </row>
    <row r="17" spans="2:27">
      <c r="B17" s="356">
        <v>122192016</v>
      </c>
      <c r="C17" s="357">
        <v>46139</v>
      </c>
      <c r="D17" s="45"/>
      <c r="E17" s="45" t="s">
        <v>373</v>
      </c>
      <c r="F17" s="358" t="s">
        <v>26</v>
      </c>
      <c r="G17" s="356" t="s">
        <v>27</v>
      </c>
      <c r="H17" s="378">
        <f t="shared" ref="H17:H22" si="0">MAX($H$11:$O$11)</f>
        <v>698.9</v>
      </c>
      <c r="I17" s="30" cm="1">
        <f t="array" ref="I17">_xlfn.IFS($J$11=MAX($J$11,$N$11),$J$10,$N$11=MAX($J$11,$N$11),$N$10)</f>
        <v>648.9</v>
      </c>
      <c r="J17" s="37" cm="1">
        <f t="array" ref="J17">_xlfn.IFS(
$J$11=MAX($J$11,$N$11),$K$10,
$N$11=MAX($J$11,$N$11),$O$10)</f>
        <v>50</v>
      </c>
      <c r="K17" s="39">
        <v>0</v>
      </c>
      <c r="L17" s="31">
        <f t="shared" ref="L17:L22" si="1">I17*$C$5</f>
        <v>486675</v>
      </c>
      <c r="M17" s="31">
        <f t="shared" ref="M17:M22" si="2">J17*$D$5</f>
        <v>45000</v>
      </c>
      <c r="N17" s="32">
        <f t="shared" ref="N17:N22" si="3">K17*$E$5</f>
        <v>0</v>
      </c>
      <c r="O17" s="33">
        <v>522675</v>
      </c>
      <c r="P17" s="59">
        <f>VLOOKUP(B17,'ASISTENCIA JULIO'!$B$4:$AP$128,41,FALSE)</f>
        <v>17</v>
      </c>
      <c r="Q17" s="76">
        <f t="shared" ref="Q17:Q22" si="4">(O17/$P$14)*P17</f>
        <v>355419</v>
      </c>
      <c r="R17" s="124" t="s">
        <v>16</v>
      </c>
      <c r="S17" s="139"/>
      <c r="W17" s="343"/>
      <c r="AA17" s="20"/>
    </row>
    <row r="18" spans="2:27">
      <c r="B18" s="356" t="s">
        <v>148</v>
      </c>
      <c r="C18" s="357">
        <f>VLOOKUP(B18,[1]ASISTENCIA!$B$4:$U$170,20,FALSE)</f>
        <v>45627</v>
      </c>
      <c r="D18" s="45"/>
      <c r="E18" s="45" t="s">
        <v>373</v>
      </c>
      <c r="F18" s="358" t="s">
        <v>150</v>
      </c>
      <c r="G18" s="356" t="s">
        <v>151</v>
      </c>
      <c r="H18" s="378">
        <f t="shared" si="0"/>
        <v>698.9</v>
      </c>
      <c r="I18" s="30" cm="1">
        <f t="array" ref="I18">_xlfn.IFS($J$11=MAX($J$11,$N$11),$J$10,$N$11=MAX($J$11,$N$11),$N$10)</f>
        <v>648.9</v>
      </c>
      <c r="J18" s="37" cm="1">
        <f t="array" ref="J18">_xlfn.IFS(
$J$11=MAX($J$11,$N$11),$K$10,
$N$11=MAX($J$11,$N$11),$O$10)</f>
        <v>50</v>
      </c>
      <c r="K18" s="39">
        <v>0</v>
      </c>
      <c r="L18" s="31">
        <f t="shared" si="1"/>
        <v>486675</v>
      </c>
      <c r="M18" s="31">
        <f t="shared" si="2"/>
        <v>45000</v>
      </c>
      <c r="N18" s="32">
        <f t="shared" si="3"/>
        <v>0</v>
      </c>
      <c r="O18" s="33">
        <v>522675</v>
      </c>
      <c r="P18" s="59">
        <f>VLOOKUP(B18,'ASISTENCIA JULIO'!$B$4:$AP$128,41,FALSE)</f>
        <v>14</v>
      </c>
      <c r="Q18" s="76">
        <f t="shared" si="4"/>
        <v>292698</v>
      </c>
      <c r="R18" s="124" t="s">
        <v>377</v>
      </c>
      <c r="S18" s="139"/>
      <c r="W18" s="343"/>
      <c r="AA18" s="20"/>
    </row>
    <row r="19" spans="2:27">
      <c r="B19" s="356" t="s">
        <v>152</v>
      </c>
      <c r="C19" s="357">
        <f>VLOOKUP(B19,[1]ASISTENCIA!$B$4:$U$170,20,FALSE)</f>
        <v>45638</v>
      </c>
      <c r="D19" s="45"/>
      <c r="E19" s="45" t="s">
        <v>373</v>
      </c>
      <c r="F19" s="358" t="s">
        <v>153</v>
      </c>
      <c r="G19" s="45" t="s">
        <v>151</v>
      </c>
      <c r="H19" s="378">
        <f t="shared" si="0"/>
        <v>698.9</v>
      </c>
      <c r="I19" s="30" cm="1">
        <f t="array" ref="I19">_xlfn.IFS($J$11=MAX($J$11,$N$11),$J$10,$N$11=MAX($J$11,$N$11),$N$10)</f>
        <v>648.9</v>
      </c>
      <c r="J19" s="37" cm="1">
        <f t="array" ref="J19">_xlfn.IFS(
$J$11=MAX($J$11,$N$11),$K$10,
$N$11=MAX($J$11,$N$11),$O$10)</f>
        <v>50</v>
      </c>
      <c r="K19" s="39">
        <v>0</v>
      </c>
      <c r="L19" s="31">
        <f t="shared" si="1"/>
        <v>486675</v>
      </c>
      <c r="M19" s="31">
        <f t="shared" si="2"/>
        <v>45000</v>
      </c>
      <c r="N19" s="32">
        <f t="shared" si="3"/>
        <v>0</v>
      </c>
      <c r="O19" s="33">
        <v>522675</v>
      </c>
      <c r="P19" s="59">
        <f>VLOOKUP(B19,'ASISTENCIA JULIO'!$B$4:$AP$128,41,FALSE)</f>
        <v>17</v>
      </c>
      <c r="Q19" s="76">
        <f t="shared" si="4"/>
        <v>355419</v>
      </c>
      <c r="R19" s="18" t="s">
        <v>377</v>
      </c>
      <c r="S19" s="27"/>
      <c r="U19" s="66"/>
      <c r="V19" s="66"/>
      <c r="AA19" s="20"/>
    </row>
    <row r="20" spans="2:27">
      <c r="B20" s="356" t="s">
        <v>154</v>
      </c>
      <c r="C20" s="357">
        <v>45746</v>
      </c>
      <c r="D20" s="45"/>
      <c r="E20" s="45" t="s">
        <v>373</v>
      </c>
      <c r="F20" s="358" t="s">
        <v>155</v>
      </c>
      <c r="G20" s="45" t="s">
        <v>378</v>
      </c>
      <c r="H20" s="378">
        <f t="shared" si="0"/>
        <v>698.9</v>
      </c>
      <c r="I20" s="30" cm="1">
        <f t="array" ref="I20">_xlfn.IFS($J$11=MAX($J$11,$N$11),$J$10,$N$11=MAX($J$11,$N$11),$N$10)</f>
        <v>648.9</v>
      </c>
      <c r="J20" s="37" cm="1">
        <f t="array" ref="J20">_xlfn.IFS(
$J$11=MAX($J$11,$N$11),$K$10,
$N$11=MAX($J$11,$N$11),$O$10)</f>
        <v>50</v>
      </c>
      <c r="K20" s="39">
        <v>0</v>
      </c>
      <c r="L20" s="31">
        <f t="shared" si="1"/>
        <v>486675</v>
      </c>
      <c r="M20" s="31">
        <f t="shared" si="2"/>
        <v>45000</v>
      </c>
      <c r="N20" s="32">
        <f t="shared" si="3"/>
        <v>0</v>
      </c>
      <c r="O20" s="33">
        <v>522675</v>
      </c>
      <c r="P20" s="59">
        <f>VLOOKUP(B20,'ASISTENCIA JULIO'!$B$4:$AP$128,41,FALSE)</f>
        <v>14</v>
      </c>
      <c r="Q20" s="76">
        <f t="shared" si="4"/>
        <v>292698</v>
      </c>
      <c r="R20" s="124" t="s">
        <v>377</v>
      </c>
      <c r="S20" s="139"/>
      <c r="U20" s="361"/>
      <c r="V20" s="343"/>
      <c r="W20" s="343"/>
      <c r="AA20" s="20"/>
    </row>
    <row r="21" spans="2:27">
      <c r="B21" s="356" t="s">
        <v>157</v>
      </c>
      <c r="C21" s="357">
        <v>45646</v>
      </c>
      <c r="D21" s="45"/>
      <c r="E21" s="45" t="s">
        <v>373</v>
      </c>
      <c r="F21" s="358" t="s">
        <v>158</v>
      </c>
      <c r="G21" s="45" t="s">
        <v>379</v>
      </c>
      <c r="H21" s="378">
        <f t="shared" si="0"/>
        <v>698.9</v>
      </c>
      <c r="I21" s="30" cm="1">
        <f t="array" ref="I21">_xlfn.IFS($J$11=MAX($J$11,$N$11),$J$10,$N$11=MAX($J$11,$N$11),$N$10)</f>
        <v>648.9</v>
      </c>
      <c r="J21" s="37" cm="1">
        <f t="array" ref="J21">_xlfn.IFS(
$J$11=MAX($J$11,$N$11),$K$10,
$N$11=MAX($J$11,$N$11),$O$10)</f>
        <v>50</v>
      </c>
      <c r="K21" s="39">
        <v>0</v>
      </c>
      <c r="L21" s="31">
        <f t="shared" ref="L21" si="5">I21*$C$5</f>
        <v>486675</v>
      </c>
      <c r="M21" s="31">
        <f t="shared" ref="M21" si="6">J21*$D$5</f>
        <v>45000</v>
      </c>
      <c r="N21" s="32">
        <f t="shared" ref="N21" si="7">K21*$E$5</f>
        <v>0</v>
      </c>
      <c r="O21" s="33">
        <v>522675</v>
      </c>
      <c r="P21" s="59">
        <f>VLOOKUP(B21,'ASISTENCIA JULIO'!$B$4:$AP$128,41,FALSE)</f>
        <v>17</v>
      </c>
      <c r="Q21" s="76">
        <f t="shared" ref="Q21" si="8">(O21/$P$14)*P21</f>
        <v>355419</v>
      </c>
      <c r="R21" s="124" t="s">
        <v>377</v>
      </c>
      <c r="S21" s="139"/>
      <c r="U21" s="361"/>
      <c r="V21" s="362"/>
      <c r="W21" s="343"/>
      <c r="AA21" s="20"/>
    </row>
    <row r="22" spans="2:27" ht="12.6" thickBot="1">
      <c r="B22" s="359" t="s">
        <v>237</v>
      </c>
      <c r="C22" s="501"/>
      <c r="D22" s="47"/>
      <c r="E22" s="47" t="s">
        <v>373</v>
      </c>
      <c r="F22" s="502" t="s">
        <v>238</v>
      </c>
      <c r="G22" s="359" t="s">
        <v>239</v>
      </c>
      <c r="H22" s="378">
        <f t="shared" si="0"/>
        <v>698.9</v>
      </c>
      <c r="I22" s="127" cm="1">
        <f t="array" ref="I22">_xlfn.IFS($J$11=MAX($J$11,$N$11),$J$10,$N$11=MAX($J$11,$N$11),$N$10)</f>
        <v>648.9</v>
      </c>
      <c r="J22" s="128" cm="1">
        <f t="array" ref="J22">_xlfn.IFS(
$J$11=MAX($J$11,$N$11),$K$10,
$N$11=MAX($J$11,$N$11),$O$10)</f>
        <v>50</v>
      </c>
      <c r="K22" s="123">
        <v>0</v>
      </c>
      <c r="L22" s="31">
        <f t="shared" si="1"/>
        <v>486675</v>
      </c>
      <c r="M22" s="129">
        <f t="shared" si="2"/>
        <v>45000</v>
      </c>
      <c r="N22" s="130">
        <f t="shared" si="3"/>
        <v>0</v>
      </c>
      <c r="O22" s="131">
        <v>522675</v>
      </c>
      <c r="P22" s="360">
        <f>VLOOKUP(B22,'ASISTENCIA JULIO'!$B$4:$AP$128,41,FALSE)</f>
        <v>7</v>
      </c>
      <c r="Q22" s="132">
        <f t="shared" si="4"/>
        <v>146349</v>
      </c>
      <c r="R22" s="125" t="s">
        <v>380</v>
      </c>
      <c r="S22" s="133"/>
      <c r="U22" s="361"/>
      <c r="V22" s="362"/>
      <c r="W22" s="343"/>
      <c r="AA22" s="20"/>
    </row>
    <row r="23" spans="2:27" ht="15.75" customHeight="1" thickBot="1">
      <c r="B23" s="599" t="s">
        <v>358</v>
      </c>
      <c r="C23" s="600"/>
      <c r="D23" s="600"/>
      <c r="E23" s="600"/>
      <c r="F23" s="600"/>
      <c r="G23" s="601"/>
      <c r="H23" s="381"/>
      <c r="I23" s="602" t="s">
        <v>362</v>
      </c>
      <c r="J23" s="603"/>
      <c r="K23" s="604"/>
      <c r="L23" s="573" t="s">
        <v>363</v>
      </c>
      <c r="M23" s="574"/>
      <c r="N23" s="575"/>
      <c r="O23" s="389"/>
      <c r="P23" s="390"/>
      <c r="Q23" s="390"/>
      <c r="R23" s="390"/>
      <c r="S23" s="390"/>
      <c r="U23" s="361"/>
      <c r="V23" s="362"/>
      <c r="W23" s="343"/>
      <c r="AA23" s="20"/>
    </row>
    <row r="24" spans="2:27" ht="24" customHeight="1" thickBot="1">
      <c r="B24" s="63" t="s">
        <v>1</v>
      </c>
      <c r="C24" s="70" t="s">
        <v>2</v>
      </c>
      <c r="D24" s="69" t="s">
        <v>364</v>
      </c>
      <c r="E24" s="109" t="s">
        <v>4</v>
      </c>
      <c r="F24" s="40" t="s">
        <v>6</v>
      </c>
      <c r="G24" s="109" t="s">
        <v>7</v>
      </c>
      <c r="H24" s="111" t="s">
        <v>365</v>
      </c>
      <c r="I24" s="63" t="s">
        <v>354</v>
      </c>
      <c r="J24" s="63" t="s">
        <v>355</v>
      </c>
      <c r="K24" s="40" t="s">
        <v>366</v>
      </c>
      <c r="L24" s="41" t="s">
        <v>367</v>
      </c>
      <c r="M24" s="41" t="s">
        <v>368</v>
      </c>
      <c r="N24" s="40" t="s">
        <v>369</v>
      </c>
      <c r="O24" s="109" t="s">
        <v>302</v>
      </c>
      <c r="P24" s="109" t="s">
        <v>370</v>
      </c>
      <c r="Q24" s="114" t="s">
        <v>371</v>
      </c>
      <c r="R24" s="109" t="s">
        <v>9</v>
      </c>
      <c r="S24" s="109" t="s">
        <v>372</v>
      </c>
      <c r="U24" s="361"/>
      <c r="V24" s="343"/>
      <c r="AA24" s="20"/>
    </row>
    <row r="25" spans="2:27">
      <c r="B25" s="89" t="s">
        <v>126</v>
      </c>
      <c r="C25" s="354">
        <f>VLOOKUP(B25,[1]ASISTENCIA!$B$4:$U$170,20,FALSE)</f>
        <v>45826</v>
      </c>
      <c r="D25" s="503"/>
      <c r="E25" s="46" t="s">
        <v>373</v>
      </c>
      <c r="F25" s="100" t="s">
        <v>127</v>
      </c>
      <c r="G25" s="46" t="s">
        <v>128</v>
      </c>
      <c r="H25" s="378">
        <f>MAX($H$11:$O$11)</f>
        <v>698.9</v>
      </c>
      <c r="I25" s="79" cm="1">
        <f t="array" ref="I25">_xlfn.IFS($J$11=MAX($J$11,$N$11),$J$10,$N$11=MAX($J$11,$N$11),$N$10)</f>
        <v>648.9</v>
      </c>
      <c r="J25" s="80" cm="1">
        <f t="array" ref="J25">_xlfn.IFS(
$J$11=MAX($J$11,$N$11),$K$10,
$N$11=MAX($J$11,$N$11),$O$10)</f>
        <v>50</v>
      </c>
      <c r="K25" s="38">
        <v>0</v>
      </c>
      <c r="L25" s="328">
        <f t="shared" ref="L25:L28" si="9">I25*$C$5</f>
        <v>486675</v>
      </c>
      <c r="M25" s="34">
        <f t="shared" ref="M25:M28" si="10">J25*$D$5</f>
        <v>45000</v>
      </c>
      <c r="N25" s="35">
        <f t="shared" ref="N25:N28" si="11">K25*$E$5</f>
        <v>0</v>
      </c>
      <c r="O25" s="35">
        <v>522675</v>
      </c>
      <c r="P25" s="368">
        <f>VLOOKUP(B25,'ASISTENCIA JULIO'!$B$4:$AP$128,41,FALSE)</f>
        <v>19</v>
      </c>
      <c r="Q25" s="75">
        <f t="shared" ref="Q25:Q28" si="12">(O25/$P$14)*P25</f>
        <v>397233</v>
      </c>
      <c r="R25" s="61"/>
      <c r="S25" s="62"/>
      <c r="U25" s="361"/>
      <c r="V25" s="343"/>
      <c r="AA25" s="20"/>
    </row>
    <row r="26" spans="2:27">
      <c r="B26" s="29" t="s">
        <v>129</v>
      </c>
      <c r="C26" s="357">
        <f>VLOOKUP(B26,[1]ASISTENCIA!$B$4:$U$170,20,FALSE)</f>
        <v>45628</v>
      </c>
      <c r="D26" s="504"/>
      <c r="E26" s="45" t="s">
        <v>373</v>
      </c>
      <c r="F26" s="101" t="s">
        <v>130</v>
      </c>
      <c r="G26" s="122" t="s">
        <v>128</v>
      </c>
      <c r="H26" s="378">
        <f t="shared" ref="H26:H28" si="13">MAX($H$11:$O$11)</f>
        <v>698.9</v>
      </c>
      <c r="I26" s="30" cm="1">
        <f t="array" ref="I26">_xlfn.IFS($J$11=MAX($J$11,$N$11),$J$10,$N$11=MAX($J$11,$N$11),$N$10)</f>
        <v>648.9</v>
      </c>
      <c r="J26" s="37" cm="1">
        <f t="array" ref="J26">_xlfn.IFS(
$J$11=MAX($J$11,$N$11),$K$10,
$N$11=MAX($J$11,$N$11),$O$10)</f>
        <v>50</v>
      </c>
      <c r="K26" s="39">
        <v>0</v>
      </c>
      <c r="L26" s="329">
        <f t="shared" si="9"/>
        <v>486675</v>
      </c>
      <c r="M26" s="31">
        <f t="shared" si="10"/>
        <v>45000</v>
      </c>
      <c r="N26" s="32">
        <f t="shared" si="11"/>
        <v>0</v>
      </c>
      <c r="O26" s="32">
        <v>522675</v>
      </c>
      <c r="P26" s="59">
        <f>VLOOKUP(B26,'ASISTENCIA JULIO'!$B$4:$AP$128,41,FALSE)</f>
        <v>0</v>
      </c>
      <c r="Q26" s="76">
        <f t="shared" si="12"/>
        <v>0</v>
      </c>
      <c r="R26" s="18" t="s">
        <v>131</v>
      </c>
      <c r="S26" s="27"/>
      <c r="U26" s="361"/>
      <c r="V26" s="362"/>
      <c r="AA26" s="20"/>
    </row>
    <row r="27" spans="2:27">
      <c r="B27" s="29" t="s">
        <v>144</v>
      </c>
      <c r="C27" s="357">
        <f>VLOOKUP(B27,[1]ASISTENCIA!$B$4:$U$170,20,FALSE)</f>
        <v>45936</v>
      </c>
      <c r="D27" s="504"/>
      <c r="E27" s="45" t="s">
        <v>373</v>
      </c>
      <c r="F27" s="507" t="s">
        <v>145</v>
      </c>
      <c r="G27" s="29" t="s">
        <v>142</v>
      </c>
      <c r="H27" s="378">
        <f t="shared" si="13"/>
        <v>698.9</v>
      </c>
      <c r="I27" s="30" cm="1">
        <f t="array" ref="I27">_xlfn.IFS($J$11=MAX($J$11,$N$11),$J$10,$N$11=MAX($J$11,$N$11),$N$10)</f>
        <v>648.9</v>
      </c>
      <c r="J27" s="37" cm="1">
        <f t="array" ref="J27">_xlfn.IFS(
$J$11=MAX($J$11,$N$11),$K$10,
$N$11=MAX($J$11,$N$11),$O$10)</f>
        <v>50</v>
      </c>
      <c r="K27" s="39">
        <v>0</v>
      </c>
      <c r="L27" s="329">
        <f t="shared" si="9"/>
        <v>486675</v>
      </c>
      <c r="M27" s="31">
        <f t="shared" si="10"/>
        <v>45000</v>
      </c>
      <c r="N27" s="32">
        <f t="shared" si="11"/>
        <v>0</v>
      </c>
      <c r="O27" s="32">
        <v>522675</v>
      </c>
      <c r="P27" s="59">
        <f>VLOOKUP(B27,'ASISTENCIA JULIO'!$B$4:$AP$128,41,FALSE)</f>
        <v>19</v>
      </c>
      <c r="Q27" s="76">
        <f t="shared" si="12"/>
        <v>397233</v>
      </c>
      <c r="R27" s="18"/>
      <c r="S27" s="27"/>
      <c r="AA27" s="20"/>
    </row>
    <row r="28" spans="2:27">
      <c r="B28" s="505" t="s">
        <v>146</v>
      </c>
      <c r="C28" s="357">
        <f>VLOOKUP(B28,[1]ASISTENCIA!$B$4:$U$170,20,FALSE)</f>
        <v>45846</v>
      </c>
      <c r="D28" s="504"/>
      <c r="E28" s="45" t="s">
        <v>373</v>
      </c>
      <c r="F28" s="506" t="s">
        <v>147</v>
      </c>
      <c r="G28" s="122" t="s">
        <v>142</v>
      </c>
      <c r="H28" s="378">
        <f t="shared" si="13"/>
        <v>698.9</v>
      </c>
      <c r="I28" s="30" cm="1">
        <f t="array" ref="I28">_xlfn.IFS($J$11=MAX($J$11,$N$11),$J$10,$N$11=MAX($J$11,$N$11),$N$10)</f>
        <v>648.9</v>
      </c>
      <c r="J28" s="37" cm="1">
        <f t="array" ref="J28">_xlfn.IFS(
$J$11=MAX($J$11,$N$11),$K$10,
$N$11=MAX($J$11,$N$11),$O$10)</f>
        <v>50</v>
      </c>
      <c r="K28" s="39">
        <v>0</v>
      </c>
      <c r="L28" s="329">
        <f t="shared" si="9"/>
        <v>486675</v>
      </c>
      <c r="M28" s="31">
        <f t="shared" si="10"/>
        <v>45000</v>
      </c>
      <c r="N28" s="32">
        <f t="shared" si="11"/>
        <v>0</v>
      </c>
      <c r="O28" s="32">
        <v>522675</v>
      </c>
      <c r="P28" s="59">
        <f>VLOOKUP(B28,'ASISTENCIA JULIO'!$B$4:$AP$128,41,FALSE)</f>
        <v>19</v>
      </c>
      <c r="Q28" s="76">
        <f t="shared" si="12"/>
        <v>397233</v>
      </c>
      <c r="R28" s="18"/>
      <c r="S28" s="27"/>
      <c r="U28" s="361"/>
      <c r="V28" s="343"/>
      <c r="AA28" s="20"/>
    </row>
    <row r="29" spans="2:27" ht="12.6" thickBot="1">
      <c r="B29" s="508"/>
      <c r="C29" s="509"/>
      <c r="D29" s="504"/>
      <c r="E29" s="45"/>
      <c r="F29" s="507"/>
      <c r="G29" s="29"/>
      <c r="H29" s="378"/>
      <c r="I29" s="127"/>
      <c r="J29" s="128"/>
      <c r="K29" s="123"/>
      <c r="L29" s="129"/>
      <c r="M29" s="369"/>
      <c r="N29" s="130"/>
      <c r="O29" s="130"/>
      <c r="P29" s="365"/>
      <c r="Q29" s="132"/>
      <c r="R29" s="125"/>
      <c r="S29" s="133"/>
      <c r="U29" s="361"/>
      <c r="V29" s="343"/>
      <c r="AA29" s="20"/>
    </row>
    <row r="30" spans="2:27" ht="15.75" customHeight="1" thickBot="1">
      <c r="B30" s="599" t="s">
        <v>359</v>
      </c>
      <c r="C30" s="600"/>
      <c r="D30" s="600"/>
      <c r="E30" s="600"/>
      <c r="F30" s="600"/>
      <c r="G30" s="601"/>
      <c r="H30" s="381"/>
      <c r="I30" s="602" t="s">
        <v>362</v>
      </c>
      <c r="J30" s="603"/>
      <c r="K30" s="604"/>
      <c r="L30" s="573" t="s">
        <v>363</v>
      </c>
      <c r="M30" s="574"/>
      <c r="N30" s="575"/>
      <c r="O30" s="389"/>
      <c r="P30" s="390"/>
      <c r="Q30" s="390"/>
      <c r="R30" s="390"/>
      <c r="S30" s="390"/>
      <c r="U30" s="361"/>
      <c r="V30" s="343"/>
      <c r="AA30" s="20"/>
    </row>
    <row r="31" spans="2:27" ht="24" customHeight="1" thickBot="1">
      <c r="B31" s="63" t="s">
        <v>1</v>
      </c>
      <c r="C31" s="70" t="s">
        <v>2</v>
      </c>
      <c r="D31" s="69" t="s">
        <v>364</v>
      </c>
      <c r="E31" s="109" t="s">
        <v>4</v>
      </c>
      <c r="F31" s="40" t="s">
        <v>6</v>
      </c>
      <c r="G31" s="109" t="s">
        <v>7</v>
      </c>
      <c r="H31" s="111" t="s">
        <v>365</v>
      </c>
      <c r="I31" s="63" t="s">
        <v>354</v>
      </c>
      <c r="J31" s="63" t="s">
        <v>355</v>
      </c>
      <c r="K31" s="40" t="s">
        <v>366</v>
      </c>
      <c r="L31" s="41" t="s">
        <v>367</v>
      </c>
      <c r="M31" s="41" t="s">
        <v>368</v>
      </c>
      <c r="N31" s="40" t="s">
        <v>369</v>
      </c>
      <c r="O31" s="109" t="s">
        <v>302</v>
      </c>
      <c r="P31" s="109" t="s">
        <v>370</v>
      </c>
      <c r="Q31" s="114" t="s">
        <v>371</v>
      </c>
      <c r="R31" s="109" t="s">
        <v>9</v>
      </c>
      <c r="S31" s="109" t="s">
        <v>372</v>
      </c>
      <c r="U31" s="361"/>
      <c r="V31" s="343"/>
      <c r="AA31" s="20"/>
    </row>
    <row r="32" spans="2:27">
      <c r="B32" s="89" t="s">
        <v>264</v>
      </c>
      <c r="C32" s="354">
        <f>VLOOKUP(B32,[1]ASISTENCIA!$B$4:$U$255,20,FALSE)</f>
        <v>46017</v>
      </c>
      <c r="D32" s="363"/>
      <c r="E32" s="45" t="s">
        <v>373</v>
      </c>
      <c r="F32" s="101" t="s">
        <v>265</v>
      </c>
      <c r="G32" s="45" t="s">
        <v>128</v>
      </c>
      <c r="H32" s="378">
        <f>MAX($H$11:$O$11)</f>
        <v>698.9</v>
      </c>
      <c r="I32" s="79" cm="1">
        <f t="array" ref="I32">_xlfn.IFS($J$11=MAX($J$11,$N$11),$J$10,$N$11=MAX($J$11,$N$11),$N$10)</f>
        <v>648.9</v>
      </c>
      <c r="J32" s="80" cm="1">
        <f t="array" ref="J32">_xlfn.IFS(
$J$11=MAX($J$11,$N$11),$K$10,
$N$11=MAX($J$11,$N$11),$O$10)</f>
        <v>50</v>
      </c>
      <c r="K32" s="38">
        <v>0</v>
      </c>
      <c r="L32" s="34">
        <f t="shared" ref="L32:L35" si="14">I32*$C$5</f>
        <v>486675</v>
      </c>
      <c r="M32" s="34">
        <f t="shared" ref="M32:M35" si="15">J32*$D$5</f>
        <v>45000</v>
      </c>
      <c r="N32" s="35">
        <f t="shared" ref="N32:N35" si="16">K32*$E$5</f>
        <v>0</v>
      </c>
      <c r="O32" s="35">
        <v>522675</v>
      </c>
      <c r="P32" s="368">
        <f>VLOOKUP(B32,'ASISTENCIA JULIO'!$B$4:$AP$128,41,FALSE)</f>
        <v>2</v>
      </c>
      <c r="Q32" s="75">
        <f t="shared" ref="Q32:Q38" si="17">(O32/$P$14)*P32</f>
        <v>41814</v>
      </c>
      <c r="R32" s="61"/>
      <c r="S32" s="62"/>
      <c r="U32" s="361"/>
      <c r="V32" s="343"/>
    </row>
    <row r="33" spans="2:22">
      <c r="B33" s="356" t="s">
        <v>266</v>
      </c>
      <c r="C33" s="357">
        <f>VLOOKUP(B33,[1]ASISTENCIA!$B$4:$U$170,20,FALSE)</f>
        <v>46036</v>
      </c>
      <c r="D33" s="363"/>
      <c r="E33" s="45" t="s">
        <v>373</v>
      </c>
      <c r="F33" s="101" t="s">
        <v>267</v>
      </c>
      <c r="G33" s="45" t="s">
        <v>128</v>
      </c>
      <c r="H33" s="378">
        <f t="shared" ref="H33:H38" si="18">MAX($H$11:$O$11)</f>
        <v>698.9</v>
      </c>
      <c r="I33" s="30" cm="1">
        <f t="array" ref="I33">_xlfn.IFS($J$11=MAX($J$11,$N$11),$J$10,$N$11=MAX($J$11,$N$11),$N$10)</f>
        <v>648.9</v>
      </c>
      <c r="J33" s="37" cm="1">
        <f t="array" ref="J33">_xlfn.IFS(
$J$11=MAX($J$11,$N$11),$K$10,
$N$11=MAX($J$11,$N$11),$O$10)</f>
        <v>50</v>
      </c>
      <c r="K33" s="39">
        <v>0</v>
      </c>
      <c r="L33" s="31">
        <f t="shared" si="14"/>
        <v>486675</v>
      </c>
      <c r="M33" s="137">
        <f t="shared" si="15"/>
        <v>45000</v>
      </c>
      <c r="N33" s="32">
        <f t="shared" si="16"/>
        <v>0</v>
      </c>
      <c r="O33" s="32">
        <v>522675</v>
      </c>
      <c r="P33" s="59">
        <f>VLOOKUP(B33,'ASISTENCIA JULIO'!$B$4:$AP$128,41,FALSE)</f>
        <v>6</v>
      </c>
      <c r="Q33" s="76">
        <f t="shared" si="17"/>
        <v>125442</v>
      </c>
      <c r="R33" s="18"/>
      <c r="S33" s="27"/>
      <c r="U33" s="361"/>
      <c r="V33" s="343"/>
    </row>
    <row r="34" spans="2:22">
      <c r="B34" s="356" t="s">
        <v>140</v>
      </c>
      <c r="C34" s="357">
        <f>VLOOKUP(B34,[1]ASISTENCIA!$B$4:$U$170,20,FALSE)</f>
        <v>45946</v>
      </c>
      <c r="D34" s="363"/>
      <c r="E34" s="45" t="s">
        <v>373</v>
      </c>
      <c r="F34" s="101" t="s">
        <v>141</v>
      </c>
      <c r="G34" s="45" t="s">
        <v>142</v>
      </c>
      <c r="H34" s="378">
        <f t="shared" si="18"/>
        <v>698.9</v>
      </c>
      <c r="I34" s="30" cm="1">
        <f t="array" ref="I34">_xlfn.IFS($J$11=MAX($J$11,$N$11),$J$10,$N$11=MAX($J$11,$N$11),$N$10)</f>
        <v>648.9</v>
      </c>
      <c r="J34" s="37" cm="1">
        <f t="array" ref="J34">_xlfn.IFS(
$J$11=MAX($J$11,$N$11),$K$10,
$N$11=MAX($J$11,$N$11),$O$10)</f>
        <v>50</v>
      </c>
      <c r="K34" s="39">
        <v>0</v>
      </c>
      <c r="L34" s="31">
        <f t="shared" si="14"/>
        <v>486675</v>
      </c>
      <c r="M34" s="137">
        <f t="shared" si="15"/>
        <v>45000</v>
      </c>
      <c r="N34" s="32">
        <f t="shared" si="16"/>
        <v>0</v>
      </c>
      <c r="O34" s="32">
        <v>522675</v>
      </c>
      <c r="P34" s="59">
        <f>VLOOKUP(B34,'ASISTENCIA JULIO'!$B$4:$AP$128,41,FALSE)</f>
        <v>10</v>
      </c>
      <c r="Q34" s="76">
        <f t="shared" si="17"/>
        <v>209070</v>
      </c>
      <c r="R34" s="18" t="s">
        <v>143</v>
      </c>
      <c r="S34" s="27"/>
      <c r="U34" s="361"/>
      <c r="V34" s="343"/>
    </row>
    <row r="35" spans="2:22">
      <c r="B35" s="356" t="s">
        <v>272</v>
      </c>
      <c r="C35" s="357">
        <f>VLOOKUP(B35,[1]ASISTENCIA!$B$4:$U$170,20,FALSE)</f>
        <v>45836</v>
      </c>
      <c r="D35" s="363"/>
      <c r="E35" s="45" t="s">
        <v>373</v>
      </c>
      <c r="F35" s="101" t="s">
        <v>273</v>
      </c>
      <c r="G35" s="45" t="s">
        <v>142</v>
      </c>
      <c r="H35" s="378">
        <f t="shared" si="18"/>
        <v>698.9</v>
      </c>
      <c r="I35" s="30" cm="1">
        <f t="array" ref="I35">_xlfn.IFS($J$11=MAX($J$11,$N$11),$J$10,$N$11=MAX($J$11,$N$11),$N$10)</f>
        <v>648.9</v>
      </c>
      <c r="J35" s="37" cm="1">
        <f t="array" ref="J35">_xlfn.IFS(
$J$11=MAX($J$11,$N$11),$K$10,
$N$11=MAX($J$11,$N$11),$O$10)</f>
        <v>50</v>
      </c>
      <c r="K35" s="39">
        <v>0</v>
      </c>
      <c r="L35" s="31">
        <f t="shared" si="14"/>
        <v>486675</v>
      </c>
      <c r="M35" s="137">
        <f t="shared" si="15"/>
        <v>45000</v>
      </c>
      <c r="N35" s="32">
        <f t="shared" si="16"/>
        <v>0</v>
      </c>
      <c r="O35" s="32">
        <v>522675</v>
      </c>
      <c r="P35" s="59">
        <f>VLOOKUP(B35,'ASISTENCIA JULIO'!$B$4:$AP$128,41,FALSE)</f>
        <v>12</v>
      </c>
      <c r="Q35" s="76">
        <f t="shared" si="17"/>
        <v>250884</v>
      </c>
      <c r="R35" s="18"/>
      <c r="S35" s="27"/>
      <c r="U35" s="361"/>
      <c r="V35" s="343"/>
    </row>
    <row r="36" spans="2:22">
      <c r="B36" s="356" t="s">
        <v>274</v>
      </c>
      <c r="C36" s="357">
        <f>VLOOKUP(B36,[1]ASISTENCIA!$B$4:$U$170,20,FALSE)</f>
        <v>45636</v>
      </c>
      <c r="D36" s="363"/>
      <c r="E36" s="45" t="s">
        <v>373</v>
      </c>
      <c r="F36" s="101" t="s">
        <v>275</v>
      </c>
      <c r="G36" s="45" t="s">
        <v>142</v>
      </c>
      <c r="H36" s="378">
        <f t="shared" si="18"/>
        <v>698.9</v>
      </c>
      <c r="I36" s="30" cm="1">
        <f t="array" ref="I36">_xlfn.IFS($J$11=MAX($J$11,$N$11),$J$10,$N$11=MAX($J$11,$N$11),$N$10)</f>
        <v>648.9</v>
      </c>
      <c r="J36" s="37" cm="1">
        <f t="array" ref="J36">_xlfn.IFS(
$J$11=MAX($J$11,$N$11),$K$10,
$N$11=MAX($J$11,$N$11),$O$10)</f>
        <v>50</v>
      </c>
      <c r="K36" s="39">
        <v>0</v>
      </c>
      <c r="L36" s="31">
        <f t="shared" ref="L36:L38" si="19">I36*$C$5</f>
        <v>486675</v>
      </c>
      <c r="M36" s="137">
        <f t="shared" ref="M36:M38" si="20">J36*$D$5</f>
        <v>45000</v>
      </c>
      <c r="N36" s="32">
        <f t="shared" ref="N36:N38" si="21">K36*$E$5</f>
        <v>0</v>
      </c>
      <c r="O36" s="32">
        <v>522675</v>
      </c>
      <c r="P36" s="59">
        <f>VLOOKUP(B36,'ASISTENCIA JULIO'!$B$4:$AP$128,41,FALSE)</f>
        <v>12</v>
      </c>
      <c r="Q36" s="76">
        <f t="shared" si="17"/>
        <v>250884</v>
      </c>
      <c r="R36" s="18"/>
      <c r="S36" s="27"/>
    </row>
    <row r="37" spans="2:22">
      <c r="B37" s="356" t="s">
        <v>276</v>
      </c>
      <c r="C37" s="357">
        <v>46176</v>
      </c>
      <c r="D37" s="363"/>
      <c r="E37" s="45" t="s">
        <v>373</v>
      </c>
      <c r="F37" s="101" t="s">
        <v>277</v>
      </c>
      <c r="G37" s="45" t="s">
        <v>142</v>
      </c>
      <c r="H37" s="378">
        <f t="shared" si="18"/>
        <v>698.9</v>
      </c>
      <c r="I37" s="30" cm="1">
        <f t="array" ref="I37">_xlfn.IFS($J$11=MAX($J$11,$N$11),$J$10,$N$11=MAX($J$11,$N$11),$N$10)</f>
        <v>648.9</v>
      </c>
      <c r="J37" s="37" cm="1">
        <f t="array" ref="J37">_xlfn.IFS(
$J$11=MAX($J$11,$N$11),$K$10,
$N$11=MAX($J$11,$N$11),$O$10)</f>
        <v>50</v>
      </c>
      <c r="K37" s="39">
        <v>0</v>
      </c>
      <c r="L37" s="31">
        <f t="shared" si="19"/>
        <v>486675</v>
      </c>
      <c r="M37" s="137">
        <f t="shared" si="20"/>
        <v>45000</v>
      </c>
      <c r="N37" s="32">
        <f t="shared" si="21"/>
        <v>0</v>
      </c>
      <c r="O37" s="32">
        <v>522675</v>
      </c>
      <c r="P37" s="59">
        <v>12</v>
      </c>
      <c r="Q37" s="76">
        <f t="shared" si="17"/>
        <v>250884</v>
      </c>
      <c r="R37" s="18"/>
      <c r="S37" s="27"/>
    </row>
    <row r="38" spans="2:22">
      <c r="B38" s="356" t="s">
        <v>132</v>
      </c>
      <c r="C38" s="357"/>
      <c r="D38" s="363"/>
      <c r="E38" s="45"/>
      <c r="F38" s="101" t="s">
        <v>133</v>
      </c>
      <c r="G38" s="45" t="s">
        <v>128</v>
      </c>
      <c r="H38" s="378">
        <f t="shared" si="18"/>
        <v>698.9</v>
      </c>
      <c r="I38" s="30" cm="1">
        <f t="array" ref="I38">_xlfn.IFS($J$11=MAX($J$11,$N$11),$J$10,$N$11=MAX($J$11,$N$11),$N$10)</f>
        <v>648.9</v>
      </c>
      <c r="J38" s="37" cm="1">
        <f t="array" ref="J38">_xlfn.IFS(
$J$11=MAX($J$11,$N$11),$K$10,
$N$11=MAX($J$11,$N$11),$O$10)</f>
        <v>50</v>
      </c>
      <c r="K38" s="39">
        <v>0</v>
      </c>
      <c r="L38" s="31">
        <f t="shared" si="19"/>
        <v>486675</v>
      </c>
      <c r="M38" s="137">
        <f t="shared" si="20"/>
        <v>45000</v>
      </c>
      <c r="N38" s="32">
        <f t="shared" si="21"/>
        <v>0</v>
      </c>
      <c r="O38" s="32">
        <v>522675</v>
      </c>
      <c r="P38" s="59">
        <f>VLOOKUP(B38,'ASISTENCIA JULIO'!$B$4:$AP$128,41,FALSE)</f>
        <v>11</v>
      </c>
      <c r="Q38" s="76">
        <f t="shared" si="17"/>
        <v>229977</v>
      </c>
      <c r="R38" s="18" t="s">
        <v>134</v>
      </c>
      <c r="S38" s="27"/>
    </row>
    <row r="39" spans="2:22" ht="12.6" thickBot="1">
      <c r="B39" s="359"/>
      <c r="C39" s="359"/>
      <c r="D39" s="364"/>
      <c r="E39" s="47"/>
      <c r="F39" s="272"/>
      <c r="G39" s="359"/>
      <c r="H39" s="379"/>
      <c r="I39" s="127"/>
      <c r="J39" s="128"/>
      <c r="K39" s="123"/>
      <c r="L39" s="129"/>
      <c r="M39" s="369"/>
      <c r="N39" s="130"/>
      <c r="O39" s="130"/>
      <c r="P39" s="365"/>
      <c r="Q39" s="132"/>
      <c r="R39" s="125"/>
      <c r="S39" s="133"/>
    </row>
    <row r="40" spans="2:22">
      <c r="P40" s="367" t="s">
        <v>302</v>
      </c>
      <c r="Q40" s="366">
        <f>SUM(Q15:Q39)</f>
        <v>4704075</v>
      </c>
    </row>
    <row r="42" spans="2:22">
      <c r="B42" s="240"/>
    </row>
    <row r="43" spans="2:22">
      <c r="B43" s="240"/>
    </row>
  </sheetData>
  <mergeCells count="43">
    <mergeCell ref="P9:Q9"/>
    <mergeCell ref="H11:I11"/>
    <mergeCell ref="J11:K11"/>
    <mergeCell ref="N11:O11"/>
    <mergeCell ref="P11:Q11"/>
    <mergeCell ref="L11:M11"/>
    <mergeCell ref="P6:Q6"/>
    <mergeCell ref="H7:I7"/>
    <mergeCell ref="J7:K7"/>
    <mergeCell ref="N7:O7"/>
    <mergeCell ref="P7:Q7"/>
    <mergeCell ref="L7:M7"/>
    <mergeCell ref="P3:Q3"/>
    <mergeCell ref="P4:Q4"/>
    <mergeCell ref="H5:I5"/>
    <mergeCell ref="J5:K5"/>
    <mergeCell ref="N5:O5"/>
    <mergeCell ref="P5:Q5"/>
    <mergeCell ref="L5:M5"/>
    <mergeCell ref="P1:Q1"/>
    <mergeCell ref="H2:I2"/>
    <mergeCell ref="J2:K2"/>
    <mergeCell ref="N2:O2"/>
    <mergeCell ref="P2:Q2"/>
    <mergeCell ref="L2:M2"/>
    <mergeCell ref="E2:E3"/>
    <mergeCell ref="C7:C8"/>
    <mergeCell ref="D7:D8"/>
    <mergeCell ref="E7:E8"/>
    <mergeCell ref="C2:C3"/>
    <mergeCell ref="D2:D3"/>
    <mergeCell ref="G4:G5"/>
    <mergeCell ref="G6:G7"/>
    <mergeCell ref="B30:G30"/>
    <mergeCell ref="I30:K30"/>
    <mergeCell ref="L30:N30"/>
    <mergeCell ref="I14:K14"/>
    <mergeCell ref="L14:N14"/>
    <mergeCell ref="B14:G14"/>
    <mergeCell ref="B23:G23"/>
    <mergeCell ref="I23:K23"/>
    <mergeCell ref="L23:N23"/>
    <mergeCell ref="G9:G11"/>
  </mergeCells>
  <phoneticPr fontId="5" type="noConversion"/>
  <conditionalFormatting sqref="B32:B36 B1 S9:S11 S5:S7 B14 B25:B29 B16:B22 B38:B1048576">
    <cfRule type="duplicateValues" dxfId="204" priority="1454"/>
  </conditionalFormatting>
  <conditionalFormatting sqref="B37">
    <cfRule type="duplicateValues" dxfId="203" priority="2"/>
    <cfRule type="duplicateValues" dxfId="202" priority="3"/>
  </conditionalFormatting>
  <conditionalFormatting sqref="B42:B43">
    <cfRule type="duplicateValues" dxfId="201" priority="1458"/>
    <cfRule type="duplicateValues" dxfId="200" priority="1459"/>
    <cfRule type="duplicateValues" dxfId="199" priority="1460"/>
    <cfRule type="duplicateValues" dxfId="198" priority="1461"/>
  </conditionalFormatting>
  <conditionalFormatting sqref="B44:B1048576 B1 S9:S11 S5:S7 B14 B32:B36 B25:B29 B16:B22 B38:B41">
    <cfRule type="duplicateValues" dxfId="197" priority="1463"/>
  </conditionalFormatting>
  <conditionalFormatting sqref="B40:G40 F25:F29 F32:F36 F16:F22 F38:F39">
    <cfRule type="duplicateValues" dxfId="196" priority="1451"/>
  </conditionalFormatting>
  <conditionalFormatting sqref="C16 C18:C22 C25:C29 C32:C36 C38:C39">
    <cfRule type="cellIs" dxfId="195" priority="13" operator="greaterThan">
      <formula>46111</formula>
    </cfRule>
  </conditionalFormatting>
  <conditionalFormatting sqref="E2:E10 E40:E1048576">
    <cfRule type="cellIs" dxfId="194" priority="9" operator="equal">
      <formula>"VIGENTE"</formula>
    </cfRule>
  </conditionalFormatting>
  <conditionalFormatting sqref="F37">
    <cfRule type="duplicateValues" dxfId="193" priority="1"/>
  </conditionalFormatting>
  <conditionalFormatting sqref="H5:L5 N5 P5 H11 J11 L11 N11 P11">
    <cfRule type="cellIs" dxfId="192" priority="4" operator="greaterThanOrEqual">
      <formula>2500</formula>
    </cfRule>
  </conditionalFormatting>
  <pageMargins left="0.7" right="0.7" top="0.75" bottom="0.75" header="0.3" footer="0.3"/>
  <pageSetup orientation="portrait" horizontalDpi="360" verticalDpi="360" r:id="rId1"/>
  <ignoredErrors>
    <ignoredError sqref="H16:H22 H25:H26 H32:H38 P16:P22 P25:P26 P32:P38 H27:H28 P27:P28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3E56-E0CA-4A1A-8164-33853EB7E692}">
  <sheetPr codeName="Hoja14"/>
  <dimension ref="D5:J10"/>
  <sheetViews>
    <sheetView workbookViewId="0">
      <selection activeCell="I15" sqref="I15"/>
    </sheetView>
  </sheetViews>
  <sheetFormatPr defaultColWidth="11.42578125" defaultRowHeight="14.45"/>
  <sheetData>
    <row r="5" spans="4:10">
      <c r="D5" t="s">
        <v>381</v>
      </c>
      <c r="J5" t="s">
        <v>381</v>
      </c>
    </row>
    <row r="6" spans="4:10">
      <c r="D6" t="s">
        <v>382</v>
      </c>
      <c r="J6" t="s">
        <v>383</v>
      </c>
    </row>
    <row r="7" spans="4:10">
      <c r="D7" t="s">
        <v>384</v>
      </c>
      <c r="J7" t="s">
        <v>385</v>
      </c>
    </row>
    <row r="8" spans="4:10">
      <c r="D8" t="s">
        <v>386</v>
      </c>
      <c r="J8" t="s">
        <v>387</v>
      </c>
    </row>
    <row r="9" spans="4:10">
      <c r="D9" t="s">
        <v>388</v>
      </c>
      <c r="J9" t="s">
        <v>389</v>
      </c>
    </row>
    <row r="10" spans="4:10">
      <c r="D10" t="s">
        <v>390</v>
      </c>
      <c r="J10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1:AC68"/>
  <sheetViews>
    <sheetView zoomScaleNormal="100" workbookViewId="0">
      <pane xSplit="9" ySplit="3" topLeftCell="S11" activePane="bottomRight" state="frozen"/>
      <selection pane="bottomRight" activeCell="Y15" sqref="Y15"/>
      <selection pane="bottomLeft" activeCell="A4" sqref="A4"/>
      <selection pane="topRight" activeCell="J1" sqref="J1"/>
    </sheetView>
  </sheetViews>
  <sheetFormatPr defaultColWidth="11.42578125" defaultRowHeight="12"/>
  <cols>
    <col min="1" max="1" width="1.5703125" style="193" customWidth="1"/>
    <col min="2" max="2" width="10.42578125" style="240" customWidth="1"/>
    <col min="3" max="3" width="8.7109375" style="193" customWidth="1"/>
    <col min="4" max="4" width="9" style="88" customWidth="1"/>
    <col min="5" max="5" width="14.42578125" style="88" customWidth="1"/>
    <col min="6" max="6" width="4.28515625" style="193" customWidth="1"/>
    <col min="7" max="7" width="33.5703125" style="193" bestFit="1" customWidth="1"/>
    <col min="8" max="8" width="9.7109375" style="193" bestFit="1" customWidth="1"/>
    <col min="9" max="9" width="1.85546875" style="193" customWidth="1"/>
    <col min="10" max="10" width="9.5703125" style="193" bestFit="1" customWidth="1"/>
    <col min="11" max="11" width="9" style="193" bestFit="1" customWidth="1"/>
    <col min="12" max="12" width="9.28515625" style="193" bestFit="1" customWidth="1"/>
    <col min="13" max="13" width="1.85546875" style="193" customWidth="1"/>
    <col min="14" max="14" width="9.5703125" style="193" bestFit="1" customWidth="1"/>
    <col min="15" max="15" width="9" style="193" bestFit="1" customWidth="1"/>
    <col min="16" max="16" width="9.28515625" style="193" bestFit="1" customWidth="1"/>
    <col min="17" max="17" width="1.85546875" style="193" customWidth="1"/>
    <col min="18" max="18" width="9.5703125" style="193" bestFit="1" customWidth="1"/>
    <col min="19" max="19" width="9.28515625" style="193" bestFit="1" customWidth="1"/>
    <col min="20" max="20" width="1.85546875" style="193" customWidth="1"/>
    <col min="21" max="27" width="8.7109375" style="193" customWidth="1"/>
    <col min="28" max="28" width="14.140625" style="193" bestFit="1" customWidth="1"/>
    <col min="29" max="29" width="11.42578125" style="193"/>
    <col min="30" max="30" width="14.140625" style="193" bestFit="1" customWidth="1"/>
    <col min="31" max="16384" width="11.42578125" style="193"/>
  </cols>
  <sheetData>
    <row r="1" spans="2:29" ht="12.6" thickBot="1"/>
    <row r="2" spans="2:29" ht="15.75" customHeight="1" thickBot="1">
      <c r="I2" s="194"/>
      <c r="J2" s="590" t="s">
        <v>392</v>
      </c>
      <c r="K2" s="611"/>
      <c r="L2" s="610"/>
      <c r="M2" s="194"/>
      <c r="N2" s="590" t="s">
        <v>393</v>
      </c>
      <c r="O2" s="611"/>
      <c r="P2" s="610"/>
      <c r="Q2" s="194"/>
      <c r="R2" s="590" t="s">
        <v>353</v>
      </c>
      <c r="S2" s="610"/>
      <c r="T2" s="195"/>
      <c r="U2" s="612" t="s">
        <v>394</v>
      </c>
      <c r="V2" s="612"/>
      <c r="W2" s="613"/>
      <c r="X2" s="223"/>
      <c r="Y2" s="576" t="s">
        <v>395</v>
      </c>
      <c r="Z2" s="609"/>
      <c r="AA2" s="577"/>
      <c r="AB2" s="607" t="s">
        <v>396</v>
      </c>
      <c r="AC2" s="605" t="s">
        <v>397</v>
      </c>
    </row>
    <row r="3" spans="2:29" s="197" customFormat="1" ht="36.6" thickBot="1">
      <c r="B3" s="69" t="s">
        <v>1</v>
      </c>
      <c r="C3" s="69" t="s">
        <v>2</v>
      </c>
      <c r="D3" s="69" t="s">
        <v>364</v>
      </c>
      <c r="E3" s="69" t="s">
        <v>4</v>
      </c>
      <c r="F3" s="69" t="s">
        <v>398</v>
      </c>
      <c r="G3" s="69" t="s">
        <v>6</v>
      </c>
      <c r="H3" s="69" t="s">
        <v>7</v>
      </c>
      <c r="I3" s="241" t="s">
        <v>32</v>
      </c>
      <c r="J3" s="242" t="s">
        <v>354</v>
      </c>
      <c r="K3" s="243" t="s">
        <v>355</v>
      </c>
      <c r="L3" s="230" t="s">
        <v>399</v>
      </c>
      <c r="M3" s="241" t="s">
        <v>32</v>
      </c>
      <c r="N3" s="242" t="s">
        <v>354</v>
      </c>
      <c r="O3" s="243" t="s">
        <v>355</v>
      </c>
      <c r="P3" s="230" t="s">
        <v>399</v>
      </c>
      <c r="Q3" s="241" t="s">
        <v>32</v>
      </c>
      <c r="R3" s="242" t="s">
        <v>356</v>
      </c>
      <c r="S3" s="230" t="s">
        <v>399</v>
      </c>
      <c r="T3" s="244" t="s">
        <v>32</v>
      </c>
      <c r="U3" s="245" t="s">
        <v>354</v>
      </c>
      <c r="V3" s="245" t="s">
        <v>355</v>
      </c>
      <c r="W3" s="246" t="s">
        <v>360</v>
      </c>
      <c r="X3" s="245" t="s">
        <v>400</v>
      </c>
      <c r="Y3" s="247">
        <v>750</v>
      </c>
      <c r="Z3" s="248">
        <v>900</v>
      </c>
      <c r="AA3" s="246">
        <v>300</v>
      </c>
      <c r="AB3" s="608"/>
      <c r="AC3" s="606"/>
    </row>
    <row r="4" spans="2:29" ht="12" customHeight="1" thickBot="1">
      <c r="B4" s="451" t="s">
        <v>321</v>
      </c>
      <c r="D4" s="250"/>
      <c r="E4" s="250"/>
      <c r="F4" s="249"/>
      <c r="G4" s="251" t="s">
        <v>322</v>
      </c>
      <c r="H4" s="252" t="s">
        <v>110</v>
      </c>
      <c r="I4" s="241" t="s">
        <v>32</v>
      </c>
      <c r="J4" s="30">
        <f>VLOOKUP(B4,'740-7'!$B$11:$AL$90,37,FALSE)</f>
        <v>0</v>
      </c>
      <c r="K4" s="201">
        <f>VLOOKUP(B4,'740-7'!$B$11:$AM$90,38,FALSE)</f>
        <v>0</v>
      </c>
      <c r="L4" s="78">
        <f t="shared" ref="L4:L12" si="0">J4+K4</f>
        <v>0</v>
      </c>
      <c r="M4" s="241" t="s">
        <v>32</v>
      </c>
      <c r="N4" s="30">
        <f>VLOOKUP(B4,'740-14 '!B11:$AM$90,38,FALSE)</f>
        <v>0</v>
      </c>
      <c r="O4" s="201">
        <f>VLOOKUP(B4,'740-14 '!$B$11:$AN$90,39,FALSE)</f>
        <v>0</v>
      </c>
      <c r="P4" s="78">
        <f t="shared" ref="P4:P12" si="1">N4+O4</f>
        <v>0</v>
      </c>
      <c r="Q4" s="253"/>
      <c r="R4" s="78">
        <f>VLOOKUP(B4,'1200-01'!$B$11:$AL$90,37,FALSE)</f>
        <v>0</v>
      </c>
      <c r="S4" s="78">
        <f t="shared" ref="S4:S5" si="2">SUM(R4:R4)</f>
        <v>0</v>
      </c>
      <c r="T4" s="253"/>
      <c r="U4" s="78">
        <f>J4+N4</f>
        <v>0</v>
      </c>
      <c r="V4" s="78">
        <f>K4+O4</f>
        <v>0</v>
      </c>
      <c r="W4" s="78">
        <f t="shared" ref="W4:W16" si="3">+S4</f>
        <v>0</v>
      </c>
      <c r="X4" s="78">
        <f t="shared" ref="X4:X16" si="4">SUM(U4:W4)</f>
        <v>0</v>
      </c>
      <c r="Y4" s="229">
        <f t="shared" ref="Y4:Y16" si="5">U4*$Y$3</f>
        <v>0</v>
      </c>
      <c r="Z4" s="229">
        <f t="shared" ref="Z4:Z16" si="6">$Z$3*V4</f>
        <v>0</v>
      </c>
      <c r="AA4" s="229">
        <f t="shared" ref="AA4:AA16" si="7">$AA$3*W4</f>
        <v>0</v>
      </c>
      <c r="AB4" s="229">
        <f>Y4+Z4+AA4</f>
        <v>0</v>
      </c>
      <c r="AC4" s="254">
        <f>VLOOKUP(B4,'BONO EXTRA'!$A$7:$AO$84,41,FALSE)</f>
        <v>0</v>
      </c>
    </row>
    <row r="5" spans="2:29" ht="12" customHeight="1" thickBot="1">
      <c r="B5" s="451" t="s">
        <v>108</v>
      </c>
      <c r="C5" s="249"/>
      <c r="D5" s="250"/>
      <c r="E5" s="250"/>
      <c r="F5" s="249"/>
      <c r="G5" s="251" t="s">
        <v>109</v>
      </c>
      <c r="H5" s="252" t="s">
        <v>110</v>
      </c>
      <c r="I5" s="241" t="s">
        <v>32</v>
      </c>
      <c r="J5" s="30">
        <f>VLOOKUP(B5,'740-7'!$B$11:$AL$90,37,FALSE)</f>
        <v>298.3</v>
      </c>
      <c r="K5" s="201">
        <f>VLOOKUP(B5,'740-7'!$B$11:$AM$90,38,FALSE)</f>
        <v>0</v>
      </c>
      <c r="L5" s="78">
        <f t="shared" si="0"/>
        <v>298.3</v>
      </c>
      <c r="M5" s="241" t="s">
        <v>32</v>
      </c>
      <c r="N5" s="30">
        <f>VLOOKUP(B5,'740-14 '!B12:$AM$90,38,FALSE)</f>
        <v>0</v>
      </c>
      <c r="O5" s="201">
        <f>VLOOKUP(B5,'740-14 '!$B$11:$AN$90,39,FALSE)</f>
        <v>0</v>
      </c>
      <c r="P5" s="78">
        <f t="shared" si="1"/>
        <v>0</v>
      </c>
      <c r="Q5" s="253"/>
      <c r="R5" s="78">
        <f>VLOOKUP(B5,'1200-01'!$B$11:$AL$90,37,FALSE)</f>
        <v>0</v>
      </c>
      <c r="S5" s="78">
        <f t="shared" si="2"/>
        <v>0</v>
      </c>
      <c r="T5" s="253"/>
      <c r="U5" s="78">
        <f t="shared" ref="U5:U16" si="8">J5+N5</f>
        <v>298.3</v>
      </c>
      <c r="V5" s="78">
        <f t="shared" ref="V5:V16" si="9">K5+O5</f>
        <v>0</v>
      </c>
      <c r="W5" s="78">
        <f t="shared" si="3"/>
        <v>0</v>
      </c>
      <c r="X5" s="78">
        <f t="shared" si="4"/>
        <v>298.3</v>
      </c>
      <c r="Y5" s="229">
        <f t="shared" si="5"/>
        <v>223725</v>
      </c>
      <c r="Z5" s="229">
        <f t="shared" si="6"/>
        <v>0</v>
      </c>
      <c r="AA5" s="229">
        <f t="shared" si="7"/>
        <v>0</v>
      </c>
      <c r="AB5" s="229">
        <f t="shared" ref="AB5:AB16" si="10">Y5+Z5+AA5</f>
        <v>223725</v>
      </c>
      <c r="AC5" s="254">
        <f>VLOOKUP(B5,'BONO EXTRA'!$A$7:$AO$84,41,FALSE)</f>
        <v>11775</v>
      </c>
    </row>
    <row r="6" spans="2:29" ht="12" customHeight="1" thickBot="1">
      <c r="B6" s="451" t="s">
        <v>331</v>
      </c>
      <c r="C6" s="249"/>
      <c r="D6" s="250"/>
      <c r="E6" s="250"/>
      <c r="F6" s="249"/>
      <c r="G6" s="251" t="s">
        <v>332</v>
      </c>
      <c r="H6" s="252" t="s">
        <v>110</v>
      </c>
      <c r="I6" s="241" t="s">
        <v>32</v>
      </c>
      <c r="J6" s="30">
        <f>VLOOKUP(B6,'740-7'!$B$11:$AL$90,37,FALSE)</f>
        <v>0</v>
      </c>
      <c r="K6" s="201">
        <f>VLOOKUP(B6,'740-7'!$B$11:$AM$90,38,FALSE)</f>
        <v>0</v>
      </c>
      <c r="L6" s="78">
        <f t="shared" si="0"/>
        <v>0</v>
      </c>
      <c r="M6" s="241" t="s">
        <v>32</v>
      </c>
      <c r="N6" s="30">
        <f>VLOOKUP(B6,'740-14 '!B13:$AM$90,38,FALSE)</f>
        <v>0</v>
      </c>
      <c r="O6" s="201">
        <f>VLOOKUP(B6,'740-14 '!$B$11:$AN$90,39,FALSE)</f>
        <v>0</v>
      </c>
      <c r="P6" s="78">
        <f t="shared" si="1"/>
        <v>0</v>
      </c>
      <c r="Q6" s="253"/>
      <c r="R6" s="78">
        <f>VLOOKUP(B6,'1200-01'!$B$11:$AL$90,37,FALSE)</f>
        <v>0</v>
      </c>
      <c r="S6" s="78">
        <f t="shared" ref="S6:S16" si="11">SUM(R6:R6)</f>
        <v>0</v>
      </c>
      <c r="T6" s="253"/>
      <c r="U6" s="78">
        <f t="shared" si="8"/>
        <v>0</v>
      </c>
      <c r="V6" s="78">
        <f t="shared" si="9"/>
        <v>0</v>
      </c>
      <c r="W6" s="78">
        <f t="shared" si="3"/>
        <v>0</v>
      </c>
      <c r="X6" s="78">
        <f t="shared" si="4"/>
        <v>0</v>
      </c>
      <c r="Y6" s="229">
        <f t="shared" si="5"/>
        <v>0</v>
      </c>
      <c r="Z6" s="229">
        <f t="shared" si="6"/>
        <v>0</v>
      </c>
      <c r="AA6" s="229">
        <f t="shared" si="7"/>
        <v>0</v>
      </c>
      <c r="AB6" s="229">
        <f t="shared" si="10"/>
        <v>0</v>
      </c>
      <c r="AC6" s="254">
        <f>VLOOKUP(B6,'BONO EXTRA'!$A$7:$AO$84,41,FALSE)</f>
        <v>0</v>
      </c>
    </row>
    <row r="7" spans="2:29" ht="12" customHeight="1" thickBot="1">
      <c r="B7" s="451" t="s">
        <v>336</v>
      </c>
      <c r="C7" s="249"/>
      <c r="D7" s="250"/>
      <c r="E7" s="250"/>
      <c r="F7" s="249"/>
      <c r="G7" s="251" t="s">
        <v>337</v>
      </c>
      <c r="H7" s="252" t="s">
        <v>110</v>
      </c>
      <c r="I7" s="241" t="s">
        <v>32</v>
      </c>
      <c r="J7" s="30">
        <f>VLOOKUP(B7,'740-7'!$B$11:$AL$90,37,FALSE)</f>
        <v>0</v>
      </c>
      <c r="K7" s="201">
        <f>VLOOKUP(B7,'740-7'!$B$11:$AM$90,38,FALSE)</f>
        <v>0</v>
      </c>
      <c r="L7" s="78">
        <f t="shared" si="0"/>
        <v>0</v>
      </c>
      <c r="M7" s="241" t="s">
        <v>32</v>
      </c>
      <c r="N7" s="30">
        <f>VLOOKUP(B7,'740-14 '!B14:$AM$90,38,FALSE)</f>
        <v>0</v>
      </c>
      <c r="O7" s="201">
        <f>VLOOKUP(B7,'740-14 '!$B$11:$AN$90,39,FALSE)</f>
        <v>0</v>
      </c>
      <c r="P7" s="78">
        <f t="shared" si="1"/>
        <v>0</v>
      </c>
      <c r="Q7" s="253"/>
      <c r="R7" s="78">
        <f>VLOOKUP(B7,'1200-01'!$B$11:$AL$90,37,FALSE)</f>
        <v>0</v>
      </c>
      <c r="S7" s="78">
        <f t="shared" si="11"/>
        <v>0</v>
      </c>
      <c r="T7" s="253"/>
      <c r="U7" s="78">
        <f t="shared" si="8"/>
        <v>0</v>
      </c>
      <c r="V7" s="78">
        <f t="shared" si="9"/>
        <v>0</v>
      </c>
      <c r="W7" s="78">
        <f t="shared" si="3"/>
        <v>0</v>
      </c>
      <c r="X7" s="78">
        <f t="shared" si="4"/>
        <v>0</v>
      </c>
      <c r="Y7" s="229">
        <f t="shared" si="5"/>
        <v>0</v>
      </c>
      <c r="Z7" s="229">
        <f t="shared" si="6"/>
        <v>0</v>
      </c>
      <c r="AA7" s="229">
        <f t="shared" si="7"/>
        <v>0</v>
      </c>
      <c r="AB7" s="229">
        <f t="shared" si="10"/>
        <v>0</v>
      </c>
      <c r="AC7" s="254">
        <f>VLOOKUP(B7,'BONO EXTRA'!$A$7:$AO$84,41,FALSE)</f>
        <v>0</v>
      </c>
    </row>
    <row r="8" spans="2:29" ht="12" customHeight="1" thickBot="1">
      <c r="B8" s="451" t="s">
        <v>112</v>
      </c>
      <c r="D8" s="250"/>
      <c r="E8" s="250"/>
      <c r="F8" s="249"/>
      <c r="G8" s="251" t="s">
        <v>113</v>
      </c>
      <c r="H8" s="252" t="s">
        <v>110</v>
      </c>
      <c r="I8" s="241" t="s">
        <v>32</v>
      </c>
      <c r="J8" s="30">
        <f>VLOOKUP(B8,'740-7'!$B$11:$AL$90,37,FALSE)</f>
        <v>134.40000000000003</v>
      </c>
      <c r="K8" s="201">
        <f>VLOOKUP(B8,'740-7'!$B$11:$AM$90,38,FALSE)</f>
        <v>0</v>
      </c>
      <c r="L8" s="78">
        <f t="shared" ref="L8" si="12">J8+K8</f>
        <v>134.40000000000003</v>
      </c>
      <c r="M8" s="241" t="s">
        <v>32</v>
      </c>
      <c r="N8" s="30">
        <f>VLOOKUP(B8,'740-14 '!B15:$AM$90,38,FALSE)</f>
        <v>0</v>
      </c>
      <c r="O8" s="201">
        <f>VLOOKUP(B8,'740-14 '!$B$11:$AN$90,39,FALSE)</f>
        <v>0</v>
      </c>
      <c r="P8" s="78">
        <f t="shared" ref="P8" si="13">N8+O8</f>
        <v>0</v>
      </c>
      <c r="Q8" s="253"/>
      <c r="R8" s="78">
        <f>VLOOKUP(B8,'1200-01'!$B$11:$AL$90,37,FALSE)</f>
        <v>0</v>
      </c>
      <c r="S8" s="78">
        <f t="shared" ref="S8" si="14">SUM(R8:R8)</f>
        <v>0</v>
      </c>
      <c r="T8" s="253"/>
      <c r="U8" s="78">
        <f t="shared" si="8"/>
        <v>134.40000000000003</v>
      </c>
      <c r="V8" s="78">
        <f t="shared" si="9"/>
        <v>0</v>
      </c>
      <c r="W8" s="78">
        <f t="shared" ref="W8" si="15">+S8</f>
        <v>0</v>
      </c>
      <c r="X8" s="78">
        <f t="shared" ref="X8" si="16">SUM(U8:W8)</f>
        <v>134.40000000000003</v>
      </c>
      <c r="Y8" s="229">
        <f t="shared" ref="Y8" si="17">U8*$Y$3</f>
        <v>100800.00000000003</v>
      </c>
      <c r="Z8" s="229">
        <f t="shared" ref="Z8" si="18">$Z$3*V8</f>
        <v>0</v>
      </c>
      <c r="AA8" s="229">
        <f t="shared" ref="AA8" si="19">$AA$3*W8</f>
        <v>0</v>
      </c>
      <c r="AB8" s="229">
        <f t="shared" ref="AB8" si="20">Y8+Z8+AA8</f>
        <v>100800.00000000003</v>
      </c>
      <c r="AC8" s="254">
        <f>VLOOKUP(B8,'BONO EXTRA'!$A$7:$AO$84,41,FALSE)</f>
        <v>3000</v>
      </c>
    </row>
    <row r="9" spans="2:29" ht="12" customHeight="1" thickBot="1">
      <c r="B9" s="451" t="s">
        <v>114</v>
      </c>
      <c r="C9" s="249"/>
      <c r="D9" s="250"/>
      <c r="E9" s="250"/>
      <c r="F9" s="249"/>
      <c r="G9" s="251" t="s">
        <v>115</v>
      </c>
      <c r="H9" s="252" t="s">
        <v>110</v>
      </c>
      <c r="I9" s="241" t="s">
        <v>32</v>
      </c>
      <c r="J9" s="30">
        <f>VLOOKUP(B9,'740-7'!$B$11:$AL$90,37,FALSE)</f>
        <v>234.8</v>
      </c>
      <c r="K9" s="201">
        <f>VLOOKUP(B9,'740-7'!$B$11:$AM$90,38,FALSE)</f>
        <v>0</v>
      </c>
      <c r="L9" s="78">
        <f t="shared" si="0"/>
        <v>234.8</v>
      </c>
      <c r="M9" s="241" t="s">
        <v>32</v>
      </c>
      <c r="N9" s="30">
        <f>VLOOKUP(B9,'740-14 '!B16:$AM$90,38,FALSE)</f>
        <v>339.75</v>
      </c>
      <c r="O9" s="201">
        <f>VLOOKUP(B9,'740-14 '!$B$11:$AN$90,39,FALSE)</f>
        <v>0</v>
      </c>
      <c r="P9" s="78">
        <f t="shared" si="1"/>
        <v>339.75</v>
      </c>
      <c r="Q9" s="253"/>
      <c r="R9" s="78">
        <f>VLOOKUP(B9,'1200-01'!$B$11:$AL$90,37,FALSE)</f>
        <v>0</v>
      </c>
      <c r="S9" s="78">
        <f t="shared" si="11"/>
        <v>0</v>
      </c>
      <c r="T9" s="253"/>
      <c r="U9" s="78">
        <f t="shared" si="8"/>
        <v>574.54999999999995</v>
      </c>
      <c r="V9" s="78">
        <f t="shared" si="9"/>
        <v>0</v>
      </c>
      <c r="W9" s="78">
        <f t="shared" si="3"/>
        <v>0</v>
      </c>
      <c r="X9" s="78">
        <f t="shared" si="4"/>
        <v>574.54999999999995</v>
      </c>
      <c r="Y9" s="229">
        <f t="shared" si="5"/>
        <v>430912.49999999994</v>
      </c>
      <c r="Z9" s="229">
        <f t="shared" si="6"/>
        <v>0</v>
      </c>
      <c r="AA9" s="229">
        <f t="shared" si="7"/>
        <v>0</v>
      </c>
      <c r="AB9" s="229">
        <f t="shared" si="10"/>
        <v>430912.49999999994</v>
      </c>
      <c r="AC9" s="254">
        <f>VLOOKUP(B9,'BONO EXTRA'!$A$7:$AO$84,41,FALSE)</f>
        <v>10500</v>
      </c>
    </row>
    <row r="10" spans="2:29" ht="12" customHeight="1" thickBot="1">
      <c r="B10" s="451" t="s">
        <v>116</v>
      </c>
      <c r="C10" s="249"/>
      <c r="D10" s="250"/>
      <c r="E10" s="250"/>
      <c r="F10" s="249"/>
      <c r="G10" s="251" t="s">
        <v>117</v>
      </c>
      <c r="H10" s="252" t="s">
        <v>110</v>
      </c>
      <c r="I10" s="241" t="s">
        <v>32</v>
      </c>
      <c r="J10" s="30">
        <f>VLOOKUP(B10,'740-7'!$B$11:$AL$90,37,FALSE)</f>
        <v>0</v>
      </c>
      <c r="K10" s="201">
        <f>VLOOKUP(B10,'740-7'!$B$11:$AM$90,38,FALSE)</f>
        <v>0</v>
      </c>
      <c r="L10" s="78">
        <f t="shared" si="0"/>
        <v>0</v>
      </c>
      <c r="M10" s="241" t="s">
        <v>32</v>
      </c>
      <c r="N10" s="30">
        <f>VLOOKUP(B10,'740-14 '!B17:$AM$90,38,FALSE)</f>
        <v>411.75</v>
      </c>
      <c r="O10" s="201">
        <f>VLOOKUP(B10,'740-14 '!$B$11:$AN$90,39,FALSE)</f>
        <v>43.75</v>
      </c>
      <c r="P10" s="78">
        <f t="shared" si="1"/>
        <v>455.5</v>
      </c>
      <c r="Q10" s="253"/>
      <c r="R10" s="78">
        <f>VLOOKUP(B10,'1200-01'!$B$11:$AL$90,37,FALSE)</f>
        <v>0</v>
      </c>
      <c r="S10" s="78">
        <f t="shared" si="11"/>
        <v>0</v>
      </c>
      <c r="T10" s="253"/>
      <c r="U10" s="78">
        <f t="shared" si="8"/>
        <v>411.75</v>
      </c>
      <c r="V10" s="78">
        <f t="shared" si="9"/>
        <v>43.75</v>
      </c>
      <c r="W10" s="78">
        <f t="shared" si="3"/>
        <v>0</v>
      </c>
      <c r="X10" s="78">
        <f t="shared" si="4"/>
        <v>455.5</v>
      </c>
      <c r="Y10" s="229">
        <f t="shared" si="5"/>
        <v>308812.5</v>
      </c>
      <c r="Z10" s="229">
        <f t="shared" si="6"/>
        <v>39375</v>
      </c>
      <c r="AA10" s="229">
        <f t="shared" si="7"/>
        <v>0</v>
      </c>
      <c r="AB10" s="229">
        <f t="shared" si="10"/>
        <v>348187.5</v>
      </c>
      <c r="AC10" s="254">
        <f>VLOOKUP(B10,'BONO EXTRA'!$A$7:$AO$84,41,FALSE)</f>
        <v>18037.5</v>
      </c>
    </row>
    <row r="11" spans="2:29" ht="12" customHeight="1" thickBot="1">
      <c r="B11" s="451" t="s">
        <v>118</v>
      </c>
      <c r="C11" s="249"/>
      <c r="D11" s="250"/>
      <c r="E11" s="250"/>
      <c r="F11" s="249"/>
      <c r="G11" s="251" t="s">
        <v>119</v>
      </c>
      <c r="H11" s="252" t="s">
        <v>110</v>
      </c>
      <c r="I11" s="241" t="s">
        <v>32</v>
      </c>
      <c r="J11" s="30">
        <f>VLOOKUP(B11,'740-7'!$B$11:$AL$90,37,FALSE)</f>
        <v>0</v>
      </c>
      <c r="K11" s="201">
        <f>VLOOKUP(B11,'740-7'!$B$11:$AM$90,38,FALSE)</f>
        <v>0</v>
      </c>
      <c r="L11" s="78">
        <f t="shared" si="0"/>
        <v>0</v>
      </c>
      <c r="M11" s="241" t="s">
        <v>32</v>
      </c>
      <c r="N11" s="30">
        <f>VLOOKUP(B11,'740-14 '!B18:$AM$90,38,FALSE)</f>
        <v>411.75</v>
      </c>
      <c r="O11" s="201">
        <f>VLOOKUP(B11,'740-14 '!$B$11:$AN$90,39,FALSE)</f>
        <v>43.75</v>
      </c>
      <c r="P11" s="78">
        <f t="shared" si="1"/>
        <v>455.5</v>
      </c>
      <c r="Q11" s="253"/>
      <c r="R11" s="78">
        <f>VLOOKUP(B11,'1200-01'!$B$11:$AL$90,37,FALSE)</f>
        <v>0</v>
      </c>
      <c r="S11" s="78">
        <f t="shared" si="11"/>
        <v>0</v>
      </c>
      <c r="T11" s="253"/>
      <c r="U11" s="78">
        <f t="shared" si="8"/>
        <v>411.75</v>
      </c>
      <c r="V11" s="78">
        <f t="shared" si="9"/>
        <v>43.75</v>
      </c>
      <c r="W11" s="78">
        <f t="shared" si="3"/>
        <v>0</v>
      </c>
      <c r="X11" s="78">
        <f t="shared" si="4"/>
        <v>455.5</v>
      </c>
      <c r="Y11" s="229">
        <f t="shared" si="5"/>
        <v>308812.5</v>
      </c>
      <c r="Z11" s="229">
        <f t="shared" si="6"/>
        <v>39375</v>
      </c>
      <c r="AA11" s="229">
        <f t="shared" si="7"/>
        <v>0</v>
      </c>
      <c r="AB11" s="229">
        <f t="shared" si="10"/>
        <v>348187.5</v>
      </c>
      <c r="AC11" s="254">
        <f>VLOOKUP(B11,'BONO EXTRA'!$A$7:$AO$84,41,FALSE)</f>
        <v>18000</v>
      </c>
    </row>
    <row r="12" spans="2:29" ht="12" customHeight="1" thickBot="1">
      <c r="B12" s="451" t="s">
        <v>122</v>
      </c>
      <c r="D12" s="250"/>
      <c r="E12" s="250"/>
      <c r="F12" s="249"/>
      <c r="G12" s="251" t="s">
        <v>123</v>
      </c>
      <c r="H12" s="252" t="s">
        <v>110</v>
      </c>
      <c r="I12" s="241" t="s">
        <v>32</v>
      </c>
      <c r="J12" s="30">
        <f>VLOOKUP(B12,'740-7'!$B$11:$AL$90,37,FALSE)</f>
        <v>298.3</v>
      </c>
      <c r="K12" s="201">
        <f>VLOOKUP(B12,'740-7'!$B$11:$AM$90,38,FALSE)</f>
        <v>0</v>
      </c>
      <c r="L12" s="78">
        <f t="shared" si="0"/>
        <v>298.3</v>
      </c>
      <c r="M12" s="241" t="s">
        <v>32</v>
      </c>
      <c r="N12" s="30">
        <f>VLOOKUP(B12,'740-14 '!B19:$AM$90,38,FALSE)</f>
        <v>0</v>
      </c>
      <c r="O12" s="201">
        <f>VLOOKUP(B12,'740-14 '!$B$11:$AN$90,39,FALSE)</f>
        <v>0</v>
      </c>
      <c r="P12" s="78">
        <f t="shared" si="1"/>
        <v>0</v>
      </c>
      <c r="Q12" s="253"/>
      <c r="R12" s="78">
        <f>VLOOKUP(B12,'1200-01'!$B$11:$AL$90,37,FALSE)</f>
        <v>0</v>
      </c>
      <c r="S12" s="78">
        <f t="shared" si="11"/>
        <v>0</v>
      </c>
      <c r="T12" s="253"/>
      <c r="U12" s="78">
        <f t="shared" si="8"/>
        <v>298.3</v>
      </c>
      <c r="V12" s="78">
        <f t="shared" si="9"/>
        <v>0</v>
      </c>
      <c r="W12" s="78">
        <f t="shared" si="3"/>
        <v>0</v>
      </c>
      <c r="X12" s="78">
        <f t="shared" si="4"/>
        <v>298.3</v>
      </c>
      <c r="Y12" s="229">
        <f t="shared" si="5"/>
        <v>223725</v>
      </c>
      <c r="Z12" s="229">
        <f t="shared" si="6"/>
        <v>0</v>
      </c>
      <c r="AA12" s="229">
        <f t="shared" si="7"/>
        <v>0</v>
      </c>
      <c r="AB12" s="229">
        <f t="shared" si="10"/>
        <v>223725</v>
      </c>
      <c r="AC12" s="254">
        <f>VLOOKUP(B12,'BONO EXTRA'!$A$7:$AO$84,41,FALSE)</f>
        <v>4068.7500000000005</v>
      </c>
    </row>
    <row r="13" spans="2:29" ht="12" customHeight="1" thickBot="1">
      <c r="B13" s="451" t="s">
        <v>124</v>
      </c>
      <c r="C13" s="249"/>
      <c r="D13" s="250"/>
      <c r="E13" s="250"/>
      <c r="F13" s="249"/>
      <c r="G13" s="251" t="s">
        <v>125</v>
      </c>
      <c r="H13" s="252" t="s">
        <v>110</v>
      </c>
      <c r="I13" s="241" t="s">
        <v>32</v>
      </c>
      <c r="J13" s="30">
        <f>VLOOKUP(B13,'740-7'!$B$11:$AL$90,37,FALSE)</f>
        <v>0</v>
      </c>
      <c r="K13" s="201">
        <f>VLOOKUP(B13,'740-7'!$B$11:$AM$90,38,FALSE)</f>
        <v>0</v>
      </c>
      <c r="L13" s="78">
        <f t="shared" ref="L13:L20" si="21">J13+K13</f>
        <v>0</v>
      </c>
      <c r="M13" s="241" t="s">
        <v>32</v>
      </c>
      <c r="N13" s="30">
        <f>VLOOKUP(B13,'740-14 '!B20:$AM$90,38,FALSE)</f>
        <v>0</v>
      </c>
      <c r="O13" s="201">
        <f>VLOOKUP(B13,'740-14 '!$B$11:$AN$90,39,FALSE)</f>
        <v>0</v>
      </c>
      <c r="P13" s="78">
        <f t="shared" ref="P13:P20" si="22">N13+O13</f>
        <v>0</v>
      </c>
      <c r="Q13" s="253"/>
      <c r="R13" s="78">
        <f>VLOOKUP(B13,'1200-01'!$B$11:$AL$90,37,FALSE)</f>
        <v>856</v>
      </c>
      <c r="S13" s="78">
        <f t="shared" si="11"/>
        <v>856</v>
      </c>
      <c r="T13" s="253"/>
      <c r="U13" s="78">
        <f t="shared" si="8"/>
        <v>0</v>
      </c>
      <c r="V13" s="78">
        <f t="shared" si="9"/>
        <v>0</v>
      </c>
      <c r="W13" s="78">
        <f t="shared" si="3"/>
        <v>856</v>
      </c>
      <c r="X13" s="78">
        <f t="shared" si="4"/>
        <v>856</v>
      </c>
      <c r="Y13" s="229">
        <f t="shared" si="5"/>
        <v>0</v>
      </c>
      <c r="Z13" s="229">
        <f t="shared" si="6"/>
        <v>0</v>
      </c>
      <c r="AA13" s="229">
        <f t="shared" si="7"/>
        <v>256800</v>
      </c>
      <c r="AB13" s="229">
        <f t="shared" si="10"/>
        <v>256800</v>
      </c>
      <c r="AC13" s="254">
        <f>VLOOKUP(B13,'BONO EXTRA'!$A$7:$AO$84,41,FALSE)</f>
        <v>19500</v>
      </c>
    </row>
    <row r="14" spans="2:29" ht="12" customHeight="1" thickBot="1">
      <c r="B14" s="451" t="s">
        <v>248</v>
      </c>
      <c r="C14" s="249"/>
      <c r="D14" s="250"/>
      <c r="E14" s="250"/>
      <c r="F14" s="249"/>
      <c r="G14" s="251" t="s">
        <v>249</v>
      </c>
      <c r="H14" s="252" t="s">
        <v>110</v>
      </c>
      <c r="I14" s="241" t="s">
        <v>32</v>
      </c>
      <c r="J14" s="30">
        <f>VLOOKUP(B14,'740-7'!$B$11:$AL$90,37,FALSE)</f>
        <v>0</v>
      </c>
      <c r="K14" s="201">
        <f>VLOOKUP(B14,'740-7'!$B$11:$AM$90,38,FALSE)</f>
        <v>0</v>
      </c>
      <c r="L14" s="78">
        <f t="shared" si="21"/>
        <v>0</v>
      </c>
      <c r="M14" s="241" t="s">
        <v>32</v>
      </c>
      <c r="N14" s="30">
        <f>VLOOKUP(B14,'740-14 '!B21:$AM$90,38,FALSE)</f>
        <v>0</v>
      </c>
      <c r="O14" s="201">
        <f>VLOOKUP(B14,'740-14 '!$B$11:$AN$90,39,FALSE)</f>
        <v>0</v>
      </c>
      <c r="P14" s="78">
        <f t="shared" si="22"/>
        <v>0</v>
      </c>
      <c r="Q14" s="253"/>
      <c r="R14" s="78">
        <f>VLOOKUP(B14,'1200-01'!$B$11:$AL$90,37,FALSE)</f>
        <v>336</v>
      </c>
      <c r="S14" s="239">
        <f t="shared" si="11"/>
        <v>336</v>
      </c>
      <c r="T14" s="253"/>
      <c r="U14" s="78">
        <f t="shared" si="8"/>
        <v>0</v>
      </c>
      <c r="V14" s="78">
        <f t="shared" si="9"/>
        <v>0</v>
      </c>
      <c r="W14" s="239">
        <f t="shared" si="3"/>
        <v>336</v>
      </c>
      <c r="X14" s="239">
        <f t="shared" si="4"/>
        <v>336</v>
      </c>
      <c r="Y14" s="315">
        <f t="shared" si="5"/>
        <v>0</v>
      </c>
      <c r="Z14" s="229">
        <f t="shared" si="6"/>
        <v>0</v>
      </c>
      <c r="AA14" s="315">
        <f t="shared" si="7"/>
        <v>100800</v>
      </c>
      <c r="AB14" s="229">
        <f t="shared" si="10"/>
        <v>100800</v>
      </c>
      <c r="AC14" s="254">
        <f>VLOOKUP(B14,'BONO EXTRA'!$A$7:$AO$84,41,FALSE)</f>
        <v>0</v>
      </c>
    </row>
    <row r="15" spans="2:29" ht="12" customHeight="1" thickBot="1">
      <c r="B15" s="451" t="s">
        <v>250</v>
      </c>
      <c r="C15" s="249"/>
      <c r="D15" s="250"/>
      <c r="E15" s="250"/>
      <c r="F15" s="249"/>
      <c r="G15" s="251" t="s">
        <v>251</v>
      </c>
      <c r="H15" s="252" t="s">
        <v>110</v>
      </c>
      <c r="I15" s="241" t="s">
        <v>32</v>
      </c>
      <c r="J15" s="30">
        <f>VLOOKUP(B15,'740-7'!$B$11:$AL$90,37,FALSE)</f>
        <v>168.2</v>
      </c>
      <c r="K15" s="201">
        <f>VLOOKUP(B15,'740-7'!$B$11:$AM$90,38,FALSE)</f>
        <v>0</v>
      </c>
      <c r="L15" s="78">
        <f t="shared" si="21"/>
        <v>168.2</v>
      </c>
      <c r="M15" s="241" t="s">
        <v>32</v>
      </c>
      <c r="N15" s="30">
        <f>VLOOKUP(B15,'740-14 '!B22:$AM$90,38,FALSE)</f>
        <v>0</v>
      </c>
      <c r="O15" s="201">
        <f>VLOOKUP(B15,'740-14 '!$B$11:$AN$90,39,FALSE)</f>
        <v>0</v>
      </c>
      <c r="P15" s="78">
        <f t="shared" si="22"/>
        <v>0</v>
      </c>
      <c r="Q15" s="253"/>
      <c r="R15" s="78">
        <f>VLOOKUP(B15,'1200-01'!$B$11:$AL$90,37,FALSE)</f>
        <v>0</v>
      </c>
      <c r="S15" s="78">
        <f t="shared" si="11"/>
        <v>0</v>
      </c>
      <c r="T15" s="253"/>
      <c r="U15" s="78">
        <f t="shared" si="8"/>
        <v>168.2</v>
      </c>
      <c r="V15" s="78">
        <f t="shared" si="9"/>
        <v>0</v>
      </c>
      <c r="W15" s="78">
        <f t="shared" si="3"/>
        <v>0</v>
      </c>
      <c r="X15" s="78">
        <f t="shared" si="4"/>
        <v>168.2</v>
      </c>
      <c r="Y15" s="229">
        <f>U15*$Y$3</f>
        <v>126149.99999999999</v>
      </c>
      <c r="Z15" s="229">
        <f t="shared" si="6"/>
        <v>0</v>
      </c>
      <c r="AA15" s="229">
        <f t="shared" si="7"/>
        <v>0</v>
      </c>
      <c r="AB15" s="229">
        <f t="shared" si="10"/>
        <v>126149.99999999999</v>
      </c>
      <c r="AC15" s="254">
        <f>VLOOKUP(B15,'BONO EXTRA'!$A$7:$AO$84,41,FALSE)</f>
        <v>2350</v>
      </c>
    </row>
    <row r="16" spans="2:29" ht="12" customHeight="1" thickBot="1">
      <c r="B16" s="451" t="s">
        <v>252</v>
      </c>
      <c r="D16" s="250"/>
      <c r="E16" s="250"/>
      <c r="F16" s="249"/>
      <c r="G16" s="251" t="s">
        <v>253</v>
      </c>
      <c r="H16" s="252" t="s">
        <v>110</v>
      </c>
      <c r="I16" s="241" t="s">
        <v>32</v>
      </c>
      <c r="J16" s="30">
        <f>VLOOKUP(B16,'740-7'!$B$11:$AL$90,37,FALSE)</f>
        <v>0</v>
      </c>
      <c r="K16" s="201">
        <f>VLOOKUP(B16,'740-7'!$B$11:$AM$90,38,FALSE)</f>
        <v>0</v>
      </c>
      <c r="L16" s="78">
        <f t="shared" si="21"/>
        <v>0</v>
      </c>
      <c r="M16" s="241" t="s">
        <v>32</v>
      </c>
      <c r="N16" s="30">
        <f>VLOOKUP(B16,'740-14 '!B23:$AM$90,38,FALSE)</f>
        <v>181.85000000000002</v>
      </c>
      <c r="O16" s="201">
        <f>VLOOKUP(B16,'740-14 '!$B$11:$AN$90,39,FALSE)</f>
        <v>6.25</v>
      </c>
      <c r="P16" s="78">
        <f t="shared" si="22"/>
        <v>188.10000000000002</v>
      </c>
      <c r="Q16" s="253"/>
      <c r="R16" s="78">
        <f>VLOOKUP(B16,'1200-01'!$B$11:$AL$90,37,FALSE)</f>
        <v>0</v>
      </c>
      <c r="S16" s="78">
        <f t="shared" si="11"/>
        <v>0</v>
      </c>
      <c r="T16" s="253"/>
      <c r="U16" s="78">
        <f t="shared" si="8"/>
        <v>181.85000000000002</v>
      </c>
      <c r="V16" s="78">
        <f t="shared" si="9"/>
        <v>6.25</v>
      </c>
      <c r="W16" s="78">
        <f t="shared" si="3"/>
        <v>0</v>
      </c>
      <c r="X16" s="78">
        <f t="shared" si="4"/>
        <v>188.10000000000002</v>
      </c>
      <c r="Y16" s="229">
        <f t="shared" si="5"/>
        <v>136387.50000000003</v>
      </c>
      <c r="Z16" s="229">
        <f t="shared" si="6"/>
        <v>5625</v>
      </c>
      <c r="AA16" s="229">
        <f t="shared" si="7"/>
        <v>0</v>
      </c>
      <c r="AB16" s="229">
        <f t="shared" si="10"/>
        <v>142012.50000000003</v>
      </c>
      <c r="AC16" s="254">
        <f>VLOOKUP(B16,'BONO EXTRA'!$A$7:$AO$84,41,FALSE)</f>
        <v>550</v>
      </c>
    </row>
    <row r="17" spans="2:29" ht="12" customHeight="1" thickBot="1">
      <c r="B17" s="451" t="s">
        <v>254</v>
      </c>
      <c r="C17" s="249"/>
      <c r="D17" s="250"/>
      <c r="E17" s="250"/>
      <c r="F17" s="249"/>
      <c r="G17" s="251" t="s">
        <v>255</v>
      </c>
      <c r="H17" s="252" t="s">
        <v>110</v>
      </c>
      <c r="I17" s="241" t="s">
        <v>32</v>
      </c>
      <c r="J17" s="30">
        <f>VLOOKUP(B17,'740-7'!$B$11:$AL$90,37,FALSE)</f>
        <v>168.2</v>
      </c>
      <c r="K17" s="201">
        <f>VLOOKUP(B17,'740-7'!$B$11:$AM$90,38,FALSE)</f>
        <v>0</v>
      </c>
      <c r="L17" s="78">
        <f t="shared" si="21"/>
        <v>168.2</v>
      </c>
      <c r="M17" s="241" t="s">
        <v>32</v>
      </c>
      <c r="N17" s="30">
        <f>VLOOKUP(B17,'740-14 '!B24:$AM$90,38,FALSE)</f>
        <v>0</v>
      </c>
      <c r="O17" s="201">
        <f>VLOOKUP(B17,'740-14 '!$B$11:$AN$90,39,FALSE)</f>
        <v>0</v>
      </c>
      <c r="P17" s="78">
        <f t="shared" si="22"/>
        <v>0</v>
      </c>
      <c r="Q17" s="253"/>
      <c r="R17" s="78">
        <f>VLOOKUP(B17,'1200-01'!$B$11:$AL$90,37,FALSE)</f>
        <v>0</v>
      </c>
      <c r="S17" s="78">
        <f t="shared" ref="S17:S22" si="23">SUM(R17:R17)</f>
        <v>0</v>
      </c>
      <c r="T17" s="253"/>
      <c r="U17" s="78">
        <f t="shared" ref="U17:U22" si="24">J17+N17</f>
        <v>168.2</v>
      </c>
      <c r="V17" s="78">
        <f t="shared" ref="V17:V22" si="25">K17+O17</f>
        <v>0</v>
      </c>
      <c r="W17" s="78">
        <f t="shared" ref="W17:W22" si="26">+S17</f>
        <v>0</v>
      </c>
      <c r="X17" s="78">
        <f t="shared" ref="X17:X22" si="27">SUM(U17:W17)</f>
        <v>168.2</v>
      </c>
      <c r="Y17" s="229">
        <f t="shared" ref="Y17:Y22" si="28">U17*$Y$3</f>
        <v>126149.99999999999</v>
      </c>
      <c r="Z17" s="229">
        <f t="shared" ref="Z17:Z22" si="29">$Z$3*V17</f>
        <v>0</v>
      </c>
      <c r="AA17" s="229">
        <f t="shared" ref="AA17:AA22" si="30">$AA$3*W17</f>
        <v>0</v>
      </c>
      <c r="AB17" s="229">
        <f t="shared" ref="AB17:AB22" si="31">Y17+Z17+AA17</f>
        <v>126149.99999999999</v>
      </c>
      <c r="AC17" s="254">
        <f>VLOOKUP(B17,'BONO EXTRA'!$A$7:$AO$84,41,FALSE)</f>
        <v>150</v>
      </c>
    </row>
    <row r="18" spans="2:29" ht="12" customHeight="1" thickBot="1">
      <c r="B18" s="451" t="s">
        <v>256</v>
      </c>
      <c r="C18" s="249"/>
      <c r="D18" s="250"/>
      <c r="E18" s="250"/>
      <c r="F18" s="249"/>
      <c r="G18" s="251" t="s">
        <v>257</v>
      </c>
      <c r="H18" s="252" t="s">
        <v>110</v>
      </c>
      <c r="I18" s="241" t="s">
        <v>32</v>
      </c>
      <c r="J18" s="30">
        <f>VLOOKUP(B18,'740-7'!$B$11:$AL$90,37,FALSE)</f>
        <v>0</v>
      </c>
      <c r="K18" s="201">
        <f>VLOOKUP(B18,'740-7'!$B$11:$AM$90,38,FALSE)</f>
        <v>0</v>
      </c>
      <c r="L18" s="78">
        <f t="shared" si="21"/>
        <v>0</v>
      </c>
      <c r="M18" s="241" t="s">
        <v>32</v>
      </c>
      <c r="N18" s="30">
        <f>VLOOKUP(B18,'740-14 '!B25:$AM$90,38,FALSE)</f>
        <v>55.299999999999983</v>
      </c>
      <c r="O18" s="201">
        <f>VLOOKUP(B18,'740-14 '!$B$11:$AN$90,39,FALSE)</f>
        <v>0</v>
      </c>
      <c r="P18" s="78">
        <f t="shared" si="22"/>
        <v>55.299999999999983</v>
      </c>
      <c r="Q18" s="253"/>
      <c r="R18" s="78">
        <f>VLOOKUP(B18,'1200-01'!$B$11:$AL$90,37,FALSE)</f>
        <v>0</v>
      </c>
      <c r="S18" s="78">
        <f t="shared" si="23"/>
        <v>0</v>
      </c>
      <c r="T18" s="253"/>
      <c r="U18" s="78">
        <f t="shared" si="24"/>
        <v>55.299999999999983</v>
      </c>
      <c r="V18" s="78">
        <f t="shared" si="25"/>
        <v>0</v>
      </c>
      <c r="W18" s="78">
        <f t="shared" si="26"/>
        <v>0</v>
      </c>
      <c r="X18" s="78">
        <f t="shared" si="27"/>
        <v>55.299999999999983</v>
      </c>
      <c r="Y18" s="229">
        <f t="shared" si="28"/>
        <v>41474.999999999985</v>
      </c>
      <c r="Z18" s="229">
        <f t="shared" si="29"/>
        <v>0</v>
      </c>
      <c r="AA18" s="229">
        <f t="shared" si="30"/>
        <v>0</v>
      </c>
      <c r="AB18" s="229">
        <f t="shared" si="31"/>
        <v>41474.999999999985</v>
      </c>
      <c r="AC18" s="254">
        <f>VLOOKUP(B18,'BONO EXTRA'!$A$7:$AO$84,41,FALSE)</f>
        <v>1387.5</v>
      </c>
    </row>
    <row r="19" spans="2:29" ht="12" customHeight="1" thickBot="1">
      <c r="B19" s="451" t="s">
        <v>258</v>
      </c>
      <c r="C19" s="249"/>
      <c r="D19" s="250"/>
      <c r="E19" s="250"/>
      <c r="F19" s="249"/>
      <c r="G19" s="251" t="s">
        <v>259</v>
      </c>
      <c r="H19" s="252" t="s">
        <v>110</v>
      </c>
      <c r="I19" s="241" t="s">
        <v>32</v>
      </c>
      <c r="J19" s="30">
        <f>VLOOKUP(B19,'740-7'!$B$11:$AL$90,37,FALSE)</f>
        <v>8.0999999999999659</v>
      </c>
      <c r="K19" s="201">
        <f>VLOOKUP(B19,'740-7'!$B$11:$AM$90,38,FALSE)</f>
        <v>0</v>
      </c>
      <c r="L19" s="78">
        <f t="shared" si="21"/>
        <v>8.0999999999999659</v>
      </c>
      <c r="M19" s="241" t="s">
        <v>32</v>
      </c>
      <c r="N19" s="30">
        <f>VLOOKUP(B19,'740-14 '!B26:$AM$90,38,FALSE)</f>
        <v>181.85000000000002</v>
      </c>
      <c r="O19" s="201">
        <f>VLOOKUP(B19,'740-14 '!$B$11:$AN$90,39,FALSE)</f>
        <v>6.25</v>
      </c>
      <c r="P19" s="78">
        <f t="shared" si="22"/>
        <v>188.10000000000002</v>
      </c>
      <c r="Q19" s="253"/>
      <c r="R19" s="78">
        <f>VLOOKUP(B19,'1200-01'!$B$11:$AL$90,37,FALSE)</f>
        <v>0</v>
      </c>
      <c r="S19" s="78">
        <f t="shared" si="23"/>
        <v>0</v>
      </c>
      <c r="T19" s="253"/>
      <c r="U19" s="78">
        <f t="shared" si="24"/>
        <v>189.95</v>
      </c>
      <c r="V19" s="78">
        <f t="shared" si="25"/>
        <v>6.25</v>
      </c>
      <c r="W19" s="78">
        <f t="shared" si="26"/>
        <v>0</v>
      </c>
      <c r="X19" s="78">
        <f t="shared" si="27"/>
        <v>196.2</v>
      </c>
      <c r="Y19" s="229">
        <f t="shared" si="28"/>
        <v>142462.5</v>
      </c>
      <c r="Z19" s="229">
        <f t="shared" si="29"/>
        <v>5625</v>
      </c>
      <c r="AA19" s="229">
        <f t="shared" si="30"/>
        <v>0</v>
      </c>
      <c r="AB19" s="229">
        <f t="shared" si="31"/>
        <v>148087.5</v>
      </c>
      <c r="AC19" s="254">
        <f>VLOOKUP(B19,'BONO EXTRA'!$A$7:$AO$84,41,FALSE)</f>
        <v>487.5</v>
      </c>
    </row>
    <row r="20" spans="2:29" ht="12" customHeight="1" thickBot="1">
      <c r="B20" s="451" t="s">
        <v>260</v>
      </c>
      <c r="C20" s="249"/>
      <c r="D20" s="250"/>
      <c r="E20" s="250"/>
      <c r="F20" s="249"/>
      <c r="G20" s="251" t="s">
        <v>261</v>
      </c>
      <c r="H20" s="252" t="s">
        <v>110</v>
      </c>
      <c r="I20" s="241" t="s">
        <v>32</v>
      </c>
      <c r="J20" s="30">
        <f>VLOOKUP(B20,'740-7'!$B$11:$AL$90,37,FALSE)</f>
        <v>0</v>
      </c>
      <c r="K20" s="201">
        <f>VLOOKUP(B20,'740-7'!$B$11:$AM$90,38,FALSE)</f>
        <v>0</v>
      </c>
      <c r="L20" s="78">
        <f t="shared" si="21"/>
        <v>0</v>
      </c>
      <c r="M20" s="241" t="s">
        <v>32</v>
      </c>
      <c r="N20" s="30">
        <f>VLOOKUP(B20,'740-14 '!B27:$AM$90,38,FALSE)</f>
        <v>0</v>
      </c>
      <c r="O20" s="201">
        <f>VLOOKUP(B20,'740-14 '!$B$11:$AN$90,39,FALSE)</f>
        <v>0</v>
      </c>
      <c r="P20" s="78">
        <f t="shared" si="22"/>
        <v>0</v>
      </c>
      <c r="Q20" s="253"/>
      <c r="R20" s="78">
        <f>VLOOKUP(B20,'1200-01'!$B$11:$AL$90,37,FALSE)</f>
        <v>336</v>
      </c>
      <c r="S20" s="78">
        <f t="shared" si="23"/>
        <v>336</v>
      </c>
      <c r="T20" s="253"/>
      <c r="U20" s="78">
        <f t="shared" si="24"/>
        <v>0</v>
      </c>
      <c r="V20" s="78">
        <f t="shared" si="25"/>
        <v>0</v>
      </c>
      <c r="W20" s="78">
        <f t="shared" si="26"/>
        <v>336</v>
      </c>
      <c r="X20" s="78">
        <f t="shared" si="27"/>
        <v>336</v>
      </c>
      <c r="Y20" s="229">
        <f t="shared" si="28"/>
        <v>0</v>
      </c>
      <c r="Z20" s="229">
        <f t="shared" si="29"/>
        <v>0</v>
      </c>
      <c r="AA20" s="229">
        <f t="shared" si="30"/>
        <v>100800</v>
      </c>
      <c r="AB20" s="229">
        <f t="shared" si="31"/>
        <v>100800</v>
      </c>
      <c r="AC20" s="254">
        <f>VLOOKUP(B20,'BONO EXTRA'!$A$7:$AO$84,41,FALSE)</f>
        <v>900</v>
      </c>
    </row>
    <row r="21" spans="2:29" ht="12" customHeight="1" thickBot="1">
      <c r="B21" s="451" t="s">
        <v>262</v>
      </c>
      <c r="C21" s="249"/>
      <c r="D21" s="250"/>
      <c r="E21" s="250"/>
      <c r="F21" s="249"/>
      <c r="G21" s="251" t="s">
        <v>263</v>
      </c>
      <c r="H21" s="252" t="s">
        <v>110</v>
      </c>
      <c r="I21" s="241" t="s">
        <v>32</v>
      </c>
      <c r="J21" s="30">
        <f>VLOOKUP(B21,'740-7'!$B$11:$AL$90,37,FALSE)</f>
        <v>0</v>
      </c>
      <c r="K21" s="201">
        <f>VLOOKUP(B21,'740-7'!$B$11:$AM$90,38,FALSE)</f>
        <v>0</v>
      </c>
      <c r="L21" s="78">
        <f t="shared" ref="L21:L22" si="32">J21+K21</f>
        <v>0</v>
      </c>
      <c r="M21" s="241" t="s">
        <v>32</v>
      </c>
      <c r="N21" s="30">
        <f>VLOOKUP(B21,'740-14 '!B28:$AM$90,38,FALSE)</f>
        <v>237.15</v>
      </c>
      <c r="O21" s="201">
        <f>VLOOKUP(B21,'740-14 '!$B$11:$AN$90,39,FALSE)</f>
        <v>6.25</v>
      </c>
      <c r="P21" s="78">
        <f t="shared" ref="P21:P22" si="33">N21+O21</f>
        <v>243.4</v>
      </c>
      <c r="Q21" s="253"/>
      <c r="R21" s="78">
        <f>VLOOKUP(B21,'1200-01'!$B$11:$AL$90,37,FALSE)</f>
        <v>0</v>
      </c>
      <c r="S21" s="78">
        <f t="shared" si="23"/>
        <v>0</v>
      </c>
      <c r="T21" s="253"/>
      <c r="U21" s="78">
        <f t="shared" si="24"/>
        <v>237.15</v>
      </c>
      <c r="V21" s="78">
        <f t="shared" si="25"/>
        <v>6.25</v>
      </c>
      <c r="W21" s="78">
        <f t="shared" si="26"/>
        <v>0</v>
      </c>
      <c r="X21" s="78">
        <f t="shared" si="27"/>
        <v>243.4</v>
      </c>
      <c r="Y21" s="229">
        <f t="shared" si="28"/>
        <v>177862.5</v>
      </c>
      <c r="Z21" s="229">
        <f t="shared" si="29"/>
        <v>5625</v>
      </c>
      <c r="AA21" s="229">
        <f t="shared" si="30"/>
        <v>0</v>
      </c>
      <c r="AB21" s="229">
        <f t="shared" si="31"/>
        <v>183487.5</v>
      </c>
      <c r="AC21" s="254">
        <f>VLOOKUP(B21,'BONO EXTRA'!$A$7:$AO$84,41,FALSE)</f>
        <v>325</v>
      </c>
    </row>
    <row r="22" spans="2:29" ht="12" customHeight="1" thickBot="1">
      <c r="B22" s="451" t="s">
        <v>120</v>
      </c>
      <c r="D22" s="250"/>
      <c r="E22" s="250"/>
      <c r="F22" s="249"/>
      <c r="G22" s="251" t="s">
        <v>121</v>
      </c>
      <c r="H22" s="252" t="s">
        <v>110</v>
      </c>
      <c r="I22" s="241"/>
      <c r="J22" s="30">
        <f>VLOOKUP(B22,'740-7'!$B$11:$AL$90,37,FALSE)</f>
        <v>0</v>
      </c>
      <c r="K22" s="201">
        <f>VLOOKUP(B22,'740-7'!$B$11:$AM$90,38,FALSE)</f>
        <v>0</v>
      </c>
      <c r="L22" s="78">
        <f t="shared" si="32"/>
        <v>0</v>
      </c>
      <c r="M22" s="241" t="s">
        <v>32</v>
      </c>
      <c r="N22" s="30">
        <v>0</v>
      </c>
      <c r="O22" s="201">
        <f>VLOOKUP(B22,'740-14 '!$B$11:$AN$90,39,FALSE)</f>
        <v>0</v>
      </c>
      <c r="P22" s="78">
        <f t="shared" si="33"/>
        <v>0</v>
      </c>
      <c r="Q22" s="253"/>
      <c r="R22" s="78">
        <f>VLOOKUP(B22,'1200-01'!$B$11:$AL$90,37,FALSE)</f>
        <v>856</v>
      </c>
      <c r="S22" s="239">
        <f t="shared" si="23"/>
        <v>856</v>
      </c>
      <c r="T22" s="253"/>
      <c r="U22" s="78">
        <f t="shared" si="24"/>
        <v>0</v>
      </c>
      <c r="V22" s="78">
        <f t="shared" si="25"/>
        <v>0</v>
      </c>
      <c r="W22" s="239">
        <f t="shared" si="26"/>
        <v>856</v>
      </c>
      <c r="X22" s="239">
        <f t="shared" si="27"/>
        <v>856</v>
      </c>
      <c r="Y22" s="315">
        <f t="shared" si="28"/>
        <v>0</v>
      </c>
      <c r="Z22" s="229">
        <f t="shared" si="29"/>
        <v>0</v>
      </c>
      <c r="AA22" s="315">
        <f t="shared" si="30"/>
        <v>256800</v>
      </c>
      <c r="AB22" s="229">
        <f t="shared" si="31"/>
        <v>256800</v>
      </c>
      <c r="AC22" s="254">
        <f>VLOOKUP(B22,'BONO EXTRA'!$A$7:$AO$84,41,FALSE)</f>
        <v>11400</v>
      </c>
    </row>
    <row r="23" spans="2:29" ht="12" customHeight="1" thickBot="1">
      <c r="B23" s="451"/>
      <c r="C23" s="249"/>
      <c r="D23" s="250"/>
      <c r="E23" s="250"/>
      <c r="F23" s="249"/>
      <c r="G23" s="251"/>
      <c r="H23" s="252"/>
      <c r="I23" s="241"/>
      <c r="J23" s="30"/>
      <c r="K23" s="201"/>
      <c r="L23" s="78"/>
      <c r="M23" s="241"/>
      <c r="N23" s="30"/>
      <c r="O23" s="201"/>
      <c r="P23" s="78"/>
      <c r="Q23" s="253"/>
      <c r="R23" s="78"/>
      <c r="S23" s="78"/>
      <c r="T23" s="253"/>
      <c r="U23" s="78"/>
      <c r="V23" s="78"/>
      <c r="W23" s="78"/>
      <c r="X23" s="78"/>
      <c r="Y23" s="229"/>
      <c r="Z23" s="229"/>
      <c r="AA23" s="229"/>
      <c r="AB23" s="229"/>
      <c r="AC23" s="254"/>
    </row>
    <row r="24" spans="2:29" ht="12" customHeight="1" thickBot="1">
      <c r="B24" s="451"/>
      <c r="D24" s="250"/>
      <c r="E24" s="250"/>
      <c r="F24" s="249"/>
      <c r="G24" s="251"/>
      <c r="H24" s="252"/>
      <c r="I24" s="241"/>
      <c r="J24" s="30"/>
      <c r="K24" s="201"/>
      <c r="L24" s="78"/>
      <c r="M24" s="241"/>
      <c r="N24" s="30"/>
      <c r="O24" s="201"/>
      <c r="P24" s="78"/>
      <c r="Q24" s="253"/>
      <c r="R24" s="78"/>
      <c r="S24" s="78"/>
      <c r="T24" s="253"/>
      <c r="U24" s="78"/>
      <c r="V24" s="78"/>
      <c r="W24" s="78"/>
      <c r="X24" s="78"/>
      <c r="Y24" s="229"/>
      <c r="Z24" s="229"/>
      <c r="AA24" s="229"/>
      <c r="AB24" s="229"/>
      <c r="AC24" s="254"/>
    </row>
    <row r="25" spans="2:29" ht="12" customHeight="1" thickBot="1">
      <c r="B25" s="451"/>
      <c r="C25" s="249"/>
      <c r="D25" s="250"/>
      <c r="E25" s="250"/>
      <c r="F25" s="249"/>
      <c r="G25" s="251"/>
      <c r="H25" s="252"/>
      <c r="I25" s="241"/>
      <c r="J25" s="30"/>
      <c r="K25" s="201"/>
      <c r="L25" s="78"/>
      <c r="M25" s="241"/>
      <c r="N25" s="30"/>
      <c r="O25" s="201"/>
      <c r="P25" s="78"/>
      <c r="Q25" s="253"/>
      <c r="R25" s="78"/>
      <c r="S25" s="78"/>
      <c r="T25" s="253"/>
      <c r="U25" s="78"/>
      <c r="V25" s="78"/>
      <c r="W25" s="78"/>
      <c r="X25" s="78"/>
      <c r="Y25" s="229"/>
      <c r="Z25" s="229"/>
      <c r="AA25" s="229"/>
      <c r="AB25" s="229"/>
      <c r="AC25" s="254"/>
    </row>
    <row r="26" spans="2:29" ht="12" customHeight="1" thickBot="1">
      <c r="B26" s="451"/>
      <c r="C26" s="249"/>
      <c r="D26" s="250"/>
      <c r="E26" s="250"/>
      <c r="F26" s="249"/>
      <c r="G26" s="251"/>
      <c r="H26" s="252"/>
      <c r="I26" s="241"/>
      <c r="J26" s="30"/>
      <c r="K26" s="201"/>
      <c r="L26" s="78"/>
      <c r="M26" s="241"/>
      <c r="N26" s="30"/>
      <c r="O26" s="201"/>
      <c r="P26" s="78"/>
      <c r="Q26" s="253"/>
      <c r="R26" s="78"/>
      <c r="S26" s="78"/>
      <c r="T26" s="253"/>
      <c r="U26" s="78"/>
      <c r="V26" s="78"/>
      <c r="W26" s="78"/>
      <c r="X26" s="78"/>
      <c r="Y26" s="229"/>
      <c r="Z26" s="229"/>
      <c r="AA26" s="229"/>
      <c r="AB26" s="229"/>
      <c r="AC26" s="254"/>
    </row>
    <row r="27" spans="2:29" ht="12" customHeight="1">
      <c r="B27" s="451"/>
      <c r="C27" s="249"/>
      <c r="D27" s="250"/>
      <c r="E27" s="250"/>
      <c r="F27" s="249"/>
      <c r="G27" s="251"/>
      <c r="H27" s="252"/>
      <c r="I27" s="241"/>
      <c r="J27" s="30"/>
      <c r="K27" s="201"/>
      <c r="L27" s="78"/>
      <c r="M27" s="241"/>
      <c r="N27" s="30"/>
      <c r="O27" s="201"/>
      <c r="P27" s="78"/>
      <c r="Q27" s="253"/>
      <c r="R27" s="78"/>
      <c r="S27" s="78"/>
      <c r="T27" s="253"/>
      <c r="U27" s="78"/>
      <c r="V27" s="78"/>
      <c r="W27" s="78"/>
      <c r="X27" s="78"/>
      <c r="Y27" s="229"/>
      <c r="Z27" s="229"/>
      <c r="AA27" s="229"/>
      <c r="AB27" s="229"/>
      <c r="AC27" s="254"/>
    </row>
    <row r="28" spans="2:29" ht="12" customHeight="1">
      <c r="B28" s="451"/>
      <c r="D28" s="250"/>
      <c r="E28" s="250"/>
      <c r="F28" s="249"/>
      <c r="G28" s="251"/>
      <c r="H28" s="252"/>
      <c r="I28" s="259"/>
      <c r="J28" s="136"/>
      <c r="K28" s="237"/>
      <c r="L28" s="236"/>
      <c r="M28" s="253"/>
      <c r="N28" s="136"/>
      <c r="O28" s="237"/>
      <c r="P28" s="236"/>
      <c r="Q28" s="253"/>
      <c r="R28" s="78"/>
      <c r="S28" s="78"/>
      <c r="T28" s="253"/>
      <c r="U28" s="78"/>
      <c r="V28" s="78"/>
      <c r="W28" s="78"/>
      <c r="X28" s="78"/>
      <c r="Y28" s="229"/>
      <c r="Z28" s="229"/>
      <c r="AA28" s="229"/>
      <c r="AB28" s="229"/>
      <c r="AC28" s="254"/>
    </row>
    <row r="29" spans="2:29" ht="12" customHeight="1" thickBot="1">
      <c r="B29" s="260"/>
      <c r="C29" s="255"/>
      <c r="D29" s="261"/>
      <c r="E29" s="256"/>
      <c r="F29" s="255"/>
      <c r="G29" s="257"/>
      <c r="H29" s="258"/>
      <c r="I29" s="262"/>
      <c r="J29" s="127"/>
      <c r="K29" s="128"/>
      <c r="L29" s="126"/>
      <c r="M29" s="263"/>
      <c r="N29" s="127"/>
      <c r="O29" s="128"/>
      <c r="P29" s="126"/>
      <c r="Q29" s="263"/>
      <c r="R29" s="126"/>
      <c r="S29" s="126"/>
      <c r="T29" s="263"/>
      <c r="U29" s="126"/>
      <c r="V29" s="126"/>
      <c r="W29" s="126"/>
      <c r="X29" s="126"/>
      <c r="Y29" s="264"/>
      <c r="Z29" s="264"/>
      <c r="AA29" s="264"/>
      <c r="AB29" s="264"/>
      <c r="AC29" s="265"/>
    </row>
    <row r="30" spans="2:29">
      <c r="AB30" s="204">
        <f>SUM(AB4:AB29)</f>
        <v>3158100</v>
      </c>
      <c r="AC30" s="204">
        <f>SUM(AC4:AC29)</f>
        <v>102431.25</v>
      </c>
    </row>
    <row r="36" spans="8:9">
      <c r="H36" s="88"/>
      <c r="I36" s="88"/>
    </row>
    <row r="37" spans="8:9">
      <c r="H37" s="88"/>
      <c r="I37" s="88"/>
    </row>
    <row r="38" spans="8:9">
      <c r="H38" s="88"/>
      <c r="I38" s="88"/>
    </row>
    <row r="39" spans="8:9">
      <c r="H39" s="88"/>
      <c r="I39" s="88"/>
    </row>
    <row r="40" spans="8:9">
      <c r="H40" s="88"/>
      <c r="I40" s="88"/>
    </row>
    <row r="41" spans="8:9">
      <c r="H41" s="88"/>
      <c r="I41" s="88"/>
    </row>
    <row r="42" spans="8:9">
      <c r="H42" s="88"/>
      <c r="I42" s="88"/>
    </row>
    <row r="43" spans="8:9">
      <c r="H43" s="88"/>
      <c r="I43" s="88"/>
    </row>
    <row r="44" spans="8:9">
      <c r="H44" s="88"/>
      <c r="I44" s="88"/>
    </row>
    <row r="45" spans="8:9">
      <c r="H45" s="88"/>
      <c r="I45" s="88"/>
    </row>
    <row r="46" spans="8:9">
      <c r="H46" s="88"/>
      <c r="I46" s="88"/>
    </row>
    <row r="47" spans="8:9">
      <c r="H47" s="88"/>
      <c r="I47" s="88"/>
    </row>
    <row r="48" spans="8:9">
      <c r="H48" s="88"/>
      <c r="I48" s="88"/>
    </row>
    <row r="49" spans="8:9">
      <c r="H49" s="88"/>
      <c r="I49" s="88"/>
    </row>
    <row r="50" spans="8:9">
      <c r="H50" s="88"/>
      <c r="I50" s="88"/>
    </row>
    <row r="51" spans="8:9">
      <c r="H51" s="88"/>
      <c r="I51" s="88"/>
    </row>
    <row r="52" spans="8:9">
      <c r="H52" s="88"/>
      <c r="I52" s="88"/>
    </row>
    <row r="53" spans="8:9">
      <c r="H53" s="88"/>
      <c r="I53" s="88"/>
    </row>
    <row r="54" spans="8:9">
      <c r="H54" s="88"/>
      <c r="I54" s="88"/>
    </row>
    <row r="55" spans="8:9">
      <c r="H55" s="88"/>
      <c r="I55" s="88"/>
    </row>
    <row r="56" spans="8:9">
      <c r="H56" s="88"/>
      <c r="I56" s="88"/>
    </row>
    <row r="57" spans="8:9">
      <c r="H57" s="88"/>
      <c r="I57" s="88"/>
    </row>
    <row r="58" spans="8:9">
      <c r="H58" s="88"/>
      <c r="I58" s="88"/>
    </row>
    <row r="59" spans="8:9">
      <c r="H59" s="88"/>
      <c r="I59" s="88"/>
    </row>
    <row r="60" spans="8:9">
      <c r="H60" s="88"/>
      <c r="I60" s="88"/>
    </row>
    <row r="61" spans="8:9">
      <c r="H61" s="88"/>
      <c r="I61" s="88"/>
    </row>
    <row r="62" spans="8:9">
      <c r="H62" s="88"/>
      <c r="I62" s="88"/>
    </row>
    <row r="63" spans="8:9">
      <c r="H63" s="88"/>
      <c r="I63" s="88"/>
    </row>
    <row r="64" spans="8:9">
      <c r="H64" s="88"/>
      <c r="I64" s="88"/>
    </row>
    <row r="65" spans="8:9">
      <c r="H65" s="88"/>
      <c r="I65" s="88"/>
    </row>
    <row r="66" spans="8:9">
      <c r="H66" s="88"/>
      <c r="I66" s="88"/>
    </row>
    <row r="67" spans="8:9">
      <c r="H67" s="88"/>
      <c r="I67" s="88"/>
    </row>
    <row r="68" spans="8:9">
      <c r="H68" s="88"/>
      <c r="I68" s="88"/>
    </row>
  </sheetData>
  <autoFilter ref="A3:AD26" xr:uid="{00000000-0001-0000-0400-000000000000}"/>
  <sortState xmlns:xlrd2="http://schemas.microsoft.com/office/spreadsheetml/2017/richdata2" ref="B4:AC29">
    <sortCondition ref="F4:F29"/>
    <sortCondition ref="G4:G29"/>
  </sortState>
  <mergeCells count="7">
    <mergeCell ref="AC2:AC3"/>
    <mergeCell ref="AB2:AB3"/>
    <mergeCell ref="Y2:AA2"/>
    <mergeCell ref="R2:S2"/>
    <mergeCell ref="J2:L2"/>
    <mergeCell ref="N2:P2"/>
    <mergeCell ref="U2:W2"/>
  </mergeCells>
  <conditionalFormatting sqref="B29:B1048576 B1:B3">
    <cfRule type="duplicateValues" dxfId="191" priority="2"/>
    <cfRule type="duplicateValues" dxfId="190" priority="3"/>
  </conditionalFormatting>
  <conditionalFormatting sqref="E1:E2 E30:E35 I36:I68 E69:E1048576">
    <cfRule type="cellIs" dxfId="189" priority="5" operator="equal">
      <formula>"VIGENTE"</formula>
    </cfRule>
  </conditionalFormatting>
  <conditionalFormatting sqref="G30:G35 G69:G1048576 G1:G2">
    <cfRule type="duplicateValues" dxfId="188" priority="705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1:AC68"/>
  <sheetViews>
    <sheetView topLeftCell="B1" zoomScaleNormal="100" workbookViewId="0">
      <pane ySplit="3" topLeftCell="A4" activePane="bottomLeft" state="frozen"/>
      <selection pane="bottomLeft" activeCell="U11" sqref="U11"/>
      <selection activeCell="D1" sqref="D1"/>
    </sheetView>
  </sheetViews>
  <sheetFormatPr defaultColWidth="11.42578125" defaultRowHeight="12" outlineLevelCol="1"/>
  <cols>
    <col min="1" max="1" width="2.140625" style="193" customWidth="1"/>
    <col min="2" max="2" width="10.140625" style="193" bestFit="1" customWidth="1"/>
    <col min="3" max="3" width="9.7109375" style="193" bestFit="1" customWidth="1"/>
    <col min="4" max="4" width="11" style="88" bestFit="1" customWidth="1"/>
    <col min="5" max="5" width="6.42578125" style="88" customWidth="1"/>
    <col min="6" max="6" width="4.140625" style="193" bestFit="1" customWidth="1"/>
    <col min="7" max="7" width="35.5703125" style="193" bestFit="1" customWidth="1"/>
    <col min="8" max="8" width="21" style="193" bestFit="1" customWidth="1"/>
    <col min="9" max="9" width="1.5703125" style="193" bestFit="1" customWidth="1"/>
    <col min="10" max="10" width="6.28515625" style="193" customWidth="1" outlineLevel="1"/>
    <col min="11" max="11" width="8.28515625" style="193" customWidth="1" outlineLevel="1"/>
    <col min="12" max="12" width="5.85546875" style="193" customWidth="1" outlineLevel="1"/>
    <col min="13" max="13" width="2" style="193" customWidth="1" outlineLevel="1"/>
    <col min="14" max="14" width="6.28515625" style="193" customWidth="1" outlineLevel="1"/>
    <col min="15" max="15" width="8.28515625" style="193" customWidth="1" outlineLevel="1"/>
    <col min="16" max="16" width="6.28515625" style="193" customWidth="1" outlineLevel="1"/>
    <col min="17" max="17" width="1.5703125" style="193" customWidth="1" outlineLevel="1"/>
    <col min="18" max="18" width="9.5703125" style="193" customWidth="1" outlineLevel="1"/>
    <col min="19" max="19" width="9.28515625" style="193" customWidth="1" outlineLevel="1"/>
    <col min="20" max="20" width="1.5703125" style="193" customWidth="1"/>
    <col min="21" max="21" width="9.5703125" style="193" bestFit="1" customWidth="1"/>
    <col min="22" max="22" width="9" style="193" bestFit="1" customWidth="1"/>
    <col min="23" max="23" width="9.5703125" style="193" customWidth="1"/>
    <col min="24" max="24" width="9.42578125" style="193" bestFit="1" customWidth="1"/>
    <col min="25" max="26" width="8.28515625" style="193" bestFit="1" customWidth="1"/>
    <col min="27" max="27" width="8.85546875" style="193" customWidth="1"/>
    <col min="28" max="28" width="10.28515625" style="193" bestFit="1" customWidth="1"/>
    <col min="29" max="16384" width="11.42578125" style="193"/>
  </cols>
  <sheetData>
    <row r="1" spans="2:29" ht="12.6" thickBot="1"/>
    <row r="2" spans="2:29" ht="9.75" customHeight="1" thickBot="1">
      <c r="I2" s="194"/>
      <c r="J2" s="590" t="s">
        <v>392</v>
      </c>
      <c r="K2" s="611"/>
      <c r="L2" s="610"/>
      <c r="M2" s="194"/>
      <c r="N2" s="590" t="s">
        <v>401</v>
      </c>
      <c r="O2" s="611"/>
      <c r="P2" s="610"/>
      <c r="Q2" s="194"/>
      <c r="R2" s="590" t="s">
        <v>353</v>
      </c>
      <c r="S2" s="610"/>
      <c r="T2" s="195"/>
      <c r="U2" s="612" t="s">
        <v>394</v>
      </c>
      <c r="V2" s="612"/>
      <c r="W2" s="613"/>
      <c r="X2" s="223"/>
      <c r="Y2" s="578" t="s">
        <v>395</v>
      </c>
      <c r="Z2" s="614"/>
      <c r="AA2" s="579"/>
      <c r="AB2" s="108"/>
      <c r="AC2" s="99"/>
    </row>
    <row r="3" spans="2:29" s="197" customFormat="1" ht="36.6" thickBot="1">
      <c r="B3" s="109" t="s">
        <v>1</v>
      </c>
      <c r="C3" s="110" t="s">
        <v>2</v>
      </c>
      <c r="D3" s="109" t="s">
        <v>364</v>
      </c>
      <c r="E3" s="109" t="s">
        <v>4</v>
      </c>
      <c r="F3" s="109" t="s">
        <v>398</v>
      </c>
      <c r="G3" s="109" t="s">
        <v>6</v>
      </c>
      <c r="H3" s="109" t="s">
        <v>7</v>
      </c>
      <c r="I3" s="196" t="s">
        <v>402</v>
      </c>
      <c r="J3" s="111" t="s">
        <v>354</v>
      </c>
      <c r="K3" s="41" t="s">
        <v>355</v>
      </c>
      <c r="L3" s="112" t="s">
        <v>399</v>
      </c>
      <c r="M3" s="196" t="s">
        <v>402</v>
      </c>
      <c r="N3" s="111" t="s">
        <v>354</v>
      </c>
      <c r="O3" s="41" t="s">
        <v>355</v>
      </c>
      <c r="P3" s="112" t="s">
        <v>399</v>
      </c>
      <c r="Q3" s="196" t="s">
        <v>402</v>
      </c>
      <c r="R3" s="111" t="s">
        <v>356</v>
      </c>
      <c r="S3" s="112" t="s">
        <v>399</v>
      </c>
      <c r="T3" s="113" t="s">
        <v>402</v>
      </c>
      <c r="U3" s="114" t="s">
        <v>354</v>
      </c>
      <c r="V3" s="114" t="s">
        <v>355</v>
      </c>
      <c r="W3" s="115" t="s">
        <v>360</v>
      </c>
      <c r="X3" s="114" t="s">
        <v>400</v>
      </c>
      <c r="Y3" s="116">
        <v>500</v>
      </c>
      <c r="Z3" s="116">
        <v>700</v>
      </c>
      <c r="AA3" s="115">
        <v>200</v>
      </c>
      <c r="AB3" s="117" t="s">
        <v>396</v>
      </c>
      <c r="AC3" s="183" t="s">
        <v>403</v>
      </c>
    </row>
    <row r="4" spans="2:29" ht="12" customHeight="1" thickBot="1">
      <c r="B4" s="118" t="s">
        <v>36</v>
      </c>
      <c r="C4" s="119"/>
      <c r="D4" s="46"/>
      <c r="E4" s="46"/>
      <c r="F4" s="119" t="s">
        <v>32</v>
      </c>
      <c r="G4" s="100" t="s">
        <v>37</v>
      </c>
      <c r="H4" s="101" t="s">
        <v>38</v>
      </c>
      <c r="I4" s="196" t="s">
        <v>402</v>
      </c>
      <c r="J4" s="79">
        <f>VLOOKUP(B4,'740-7'!$B$11:$AL$90,37,FALSE)</f>
        <v>1.6500000000000057</v>
      </c>
      <c r="K4" s="198">
        <f>VLOOKUP(B4,'740-7'!$B$11:$AM$90,38,FALSE)</f>
        <v>0</v>
      </c>
      <c r="L4" s="77">
        <f>J4+K4</f>
        <v>1.6500000000000057</v>
      </c>
      <c r="M4" s="196" t="s">
        <v>402</v>
      </c>
      <c r="N4" s="79">
        <f>VLOOKUP(B4,'740-14 '!$B$11:$AM$90,38,FALSE)</f>
        <v>339.75</v>
      </c>
      <c r="O4" s="198">
        <f>VLOOKUP(B4,'740-14 '!$B$11:$AN$90,39,FALSE)</f>
        <v>43.75</v>
      </c>
      <c r="P4" s="77">
        <f>N4+O4</f>
        <v>383.5</v>
      </c>
      <c r="Q4" s="267"/>
      <c r="R4" s="77">
        <f>VLOOKUP(B4,'1200-01'!$B$11:$AL$90,37,FALSE)</f>
        <v>0</v>
      </c>
      <c r="S4" s="78">
        <f t="shared" ref="S4:S30" si="0">SUM(R4:R4)</f>
        <v>0</v>
      </c>
      <c r="T4" s="267"/>
      <c r="U4" s="77">
        <f>J4+N4</f>
        <v>341.4</v>
      </c>
      <c r="V4" s="77">
        <f>K4+O4</f>
        <v>43.75</v>
      </c>
      <c r="W4" s="77">
        <f t="shared" ref="W4:W5" si="1">R4</f>
        <v>0</v>
      </c>
      <c r="X4" s="77">
        <f t="shared" ref="X4:X5" si="2">SUM(U4:W4)</f>
        <v>385.15</v>
      </c>
      <c r="Y4" s="200">
        <f t="shared" ref="Y4:Y5" si="3">$Y$3*U4</f>
        <v>170700</v>
      </c>
      <c r="Z4" s="200">
        <f t="shared" ref="Z4:Z5" si="4">$Z$3*V4</f>
        <v>30625</v>
      </c>
      <c r="AA4" s="200">
        <f t="shared" ref="AA4:AA5" si="5">$AA$3*W4</f>
        <v>0</v>
      </c>
      <c r="AB4" s="200">
        <f>Y4+Z4+AA4</f>
        <v>201325</v>
      </c>
      <c r="AC4" s="200">
        <f>VLOOKUP(B4,'BONO EXTRA'!$A$7:$AO$90,41,FALSE)</f>
        <v>10025</v>
      </c>
    </row>
    <row r="5" spans="2:29" ht="12" customHeight="1" thickBot="1">
      <c r="B5" s="120" t="s">
        <v>41</v>
      </c>
      <c r="C5" s="121"/>
      <c r="D5" s="45"/>
      <c r="E5" s="45"/>
      <c r="F5" s="121" t="s">
        <v>32</v>
      </c>
      <c r="G5" s="101" t="s">
        <v>42</v>
      </c>
      <c r="H5" s="101" t="s">
        <v>38</v>
      </c>
      <c r="I5" s="196" t="s">
        <v>402</v>
      </c>
      <c r="J5" s="30">
        <f>VLOOKUP(B5,'740-7'!$B$11:$AL$90,37,FALSE)</f>
        <v>0</v>
      </c>
      <c r="K5" s="201">
        <f>VLOOKUP(B5,'740-7'!$B$11:$AM$90,38,FALSE)</f>
        <v>0</v>
      </c>
      <c r="L5" s="78">
        <f t="shared" ref="L5:L35" si="6">J5+K5</f>
        <v>0</v>
      </c>
      <c r="M5" s="196" t="s">
        <v>402</v>
      </c>
      <c r="N5" s="30">
        <f>VLOOKUP(B5,'740-14 '!$B$11:$AM$90,38,FALSE)</f>
        <v>0</v>
      </c>
      <c r="O5" s="201">
        <f>VLOOKUP(B5,'740-14 '!$B$11:$AN$90,39,FALSE)</f>
        <v>0</v>
      </c>
      <c r="P5" s="78">
        <f t="shared" ref="P5:P39" si="7">N5+O5</f>
        <v>0</v>
      </c>
      <c r="Q5" s="199"/>
      <c r="R5" s="78">
        <f>VLOOKUP(B5,'1200-01'!$B$11:$AL$90,37,FALSE)</f>
        <v>634</v>
      </c>
      <c r="S5" s="78">
        <f t="shared" si="0"/>
        <v>634</v>
      </c>
      <c r="T5" s="199"/>
      <c r="U5" s="78">
        <f t="shared" ref="U5:U45" si="8">J5+N5</f>
        <v>0</v>
      </c>
      <c r="V5" s="78">
        <f t="shared" ref="V5:V45" si="9">K5+O5</f>
        <v>0</v>
      </c>
      <c r="W5" s="78">
        <f t="shared" si="1"/>
        <v>634</v>
      </c>
      <c r="X5" s="78">
        <f t="shared" si="2"/>
        <v>634</v>
      </c>
      <c r="Y5" s="203">
        <f t="shared" si="3"/>
        <v>0</v>
      </c>
      <c r="Z5" s="203">
        <f t="shared" si="4"/>
        <v>0</v>
      </c>
      <c r="AA5" s="203">
        <f t="shared" si="5"/>
        <v>126800</v>
      </c>
      <c r="AB5" s="203">
        <f>Y5+Z5+AA5</f>
        <v>126800</v>
      </c>
      <c r="AC5" s="203">
        <f>VLOOKUP(B5,'BONO EXTRA'!$A$7:$AO$90,41,FALSE)</f>
        <v>13000</v>
      </c>
    </row>
    <row r="6" spans="2:29" ht="12" customHeight="1" thickBot="1">
      <c r="B6" s="120" t="s">
        <v>44</v>
      </c>
      <c r="C6" s="121"/>
      <c r="D6" s="45"/>
      <c r="E6" s="45"/>
      <c r="F6" s="121" t="s">
        <v>32</v>
      </c>
      <c r="G6" s="101" t="s">
        <v>45</v>
      </c>
      <c r="H6" s="101" t="s">
        <v>38</v>
      </c>
      <c r="I6" s="196" t="s">
        <v>402</v>
      </c>
      <c r="J6" s="30">
        <f>VLOOKUP(B6,'740-7'!$B$11:$AL$90,37,FALSE)</f>
        <v>0</v>
      </c>
      <c r="K6" s="201">
        <f>VLOOKUP(B6,'740-7'!$B$11:$AM$90,38,FALSE)</f>
        <v>0</v>
      </c>
      <c r="L6" s="78">
        <f t="shared" si="6"/>
        <v>0</v>
      </c>
      <c r="M6" s="196" t="s">
        <v>402</v>
      </c>
      <c r="N6" s="30">
        <f>VLOOKUP(B6,'740-14 '!$B$11:$AM$90,38,FALSE)</f>
        <v>276</v>
      </c>
      <c r="O6" s="201">
        <f>VLOOKUP(B6,'740-14 '!$B$11:$AN$90,39,FALSE)</f>
        <v>43.75</v>
      </c>
      <c r="P6" s="78">
        <f t="shared" si="7"/>
        <v>319.75</v>
      </c>
      <c r="Q6" s="199"/>
      <c r="R6" s="78">
        <f>VLOOKUP(B6,'1200-01'!$B$11:$AL$90,37,FALSE)</f>
        <v>0</v>
      </c>
      <c r="S6" s="78">
        <f t="shared" si="0"/>
        <v>0</v>
      </c>
      <c r="T6" s="199"/>
      <c r="U6" s="78">
        <f t="shared" si="8"/>
        <v>276</v>
      </c>
      <c r="V6" s="78">
        <f t="shared" si="9"/>
        <v>43.75</v>
      </c>
      <c r="W6" s="78">
        <f t="shared" ref="W6:W37" si="10">R6</f>
        <v>0</v>
      </c>
      <c r="X6" s="78">
        <f t="shared" ref="X6:X37" si="11">SUM(U6:W6)</f>
        <v>319.75</v>
      </c>
      <c r="Y6" s="203">
        <f t="shared" ref="Y6:Y37" si="12">$Y$3*U6</f>
        <v>138000</v>
      </c>
      <c r="Z6" s="203">
        <f t="shared" ref="Z6:Z37" si="13">$Z$3*V6</f>
        <v>30625</v>
      </c>
      <c r="AA6" s="203">
        <f t="shared" ref="AA6:AA37" si="14">$AA$3*W6</f>
        <v>0</v>
      </c>
      <c r="AB6" s="203">
        <f t="shared" ref="AB6:AB37" si="15">Y6+Z6+AA6</f>
        <v>168625</v>
      </c>
      <c r="AC6" s="203">
        <f>VLOOKUP(B6,'BONO EXTRA'!$A$7:$AO$90,41,FALSE)</f>
        <v>7000</v>
      </c>
    </row>
    <row r="7" spans="2:29" ht="12" customHeight="1" thickBot="1">
      <c r="B7" s="120" t="s">
        <v>47</v>
      </c>
      <c r="C7" s="121"/>
      <c r="D7" s="45"/>
      <c r="E7" s="45"/>
      <c r="F7" s="121" t="s">
        <v>32</v>
      </c>
      <c r="G7" s="101" t="s">
        <v>311</v>
      </c>
      <c r="H7" s="101" t="s">
        <v>38</v>
      </c>
      <c r="I7" s="196" t="s">
        <v>402</v>
      </c>
      <c r="J7" s="30">
        <f>VLOOKUP(B7,'740-7'!$B$11:$AL$90,37,FALSE)</f>
        <v>298.3</v>
      </c>
      <c r="K7" s="201">
        <f>VLOOKUP(B7,'740-7'!$B$11:$AM$90,38,FALSE)</f>
        <v>0</v>
      </c>
      <c r="L7" s="78">
        <f t="shared" si="6"/>
        <v>298.3</v>
      </c>
      <c r="M7" s="196" t="s">
        <v>402</v>
      </c>
      <c r="N7" s="30">
        <f>VLOOKUP(B7,'740-14 '!$B$11:$AM$90,38,FALSE)</f>
        <v>0</v>
      </c>
      <c r="O7" s="201">
        <f>VLOOKUP(B7,'740-14 '!$B$11:$AN$90,39,FALSE)</f>
        <v>0</v>
      </c>
      <c r="P7" s="78">
        <f t="shared" si="7"/>
        <v>0</v>
      </c>
      <c r="Q7" s="199"/>
      <c r="R7" s="78">
        <f>VLOOKUP(B7,'1200-01'!$B$11:$AL$90,37,FALSE)</f>
        <v>0</v>
      </c>
      <c r="S7" s="78">
        <f t="shared" si="0"/>
        <v>0</v>
      </c>
      <c r="T7" s="199"/>
      <c r="U7" s="78">
        <f t="shared" si="8"/>
        <v>298.3</v>
      </c>
      <c r="V7" s="78">
        <f t="shared" si="9"/>
        <v>0</v>
      </c>
      <c r="W7" s="78">
        <f t="shared" si="10"/>
        <v>0</v>
      </c>
      <c r="X7" s="78">
        <f t="shared" si="11"/>
        <v>298.3</v>
      </c>
      <c r="Y7" s="203">
        <f t="shared" si="12"/>
        <v>149150</v>
      </c>
      <c r="Z7" s="203">
        <f t="shared" si="13"/>
        <v>0</v>
      </c>
      <c r="AA7" s="203">
        <f t="shared" si="14"/>
        <v>0</v>
      </c>
      <c r="AB7" s="203">
        <f t="shared" si="15"/>
        <v>149150</v>
      </c>
      <c r="AC7" s="203">
        <f>VLOOKUP(B7,'BONO EXTRA'!$A$7:$AO$90,41,FALSE)</f>
        <v>2712.5000000000005</v>
      </c>
    </row>
    <row r="8" spans="2:29" ht="12" customHeight="1" thickBot="1">
      <c r="B8" s="120" t="s">
        <v>50</v>
      </c>
      <c r="C8" s="121"/>
      <c r="D8" s="45"/>
      <c r="E8" s="45"/>
      <c r="F8" s="121" t="s">
        <v>32</v>
      </c>
      <c r="G8" s="101" t="s">
        <v>51</v>
      </c>
      <c r="H8" s="235" t="s">
        <v>38</v>
      </c>
      <c r="I8" s="196" t="s">
        <v>402</v>
      </c>
      <c r="J8" s="30">
        <f>VLOOKUP(B8,'740-7'!$B$11:$AL$90,37,FALSE)</f>
        <v>0</v>
      </c>
      <c r="K8" s="201">
        <f>VLOOKUP(B8,'740-7'!$B$11:$AM$90,38,FALSE)</f>
        <v>0</v>
      </c>
      <c r="L8" s="78">
        <f t="shared" si="6"/>
        <v>0</v>
      </c>
      <c r="M8" s="196" t="s">
        <v>402</v>
      </c>
      <c r="N8" s="30">
        <f>VLOOKUP(B8,'740-14 '!$B$11:$AM$90,38,FALSE)</f>
        <v>0</v>
      </c>
      <c r="O8" s="201">
        <f>VLOOKUP(B8,'740-14 '!$B$11:$AN$90,39,FALSE)</f>
        <v>0</v>
      </c>
      <c r="P8" s="78">
        <f t="shared" si="7"/>
        <v>0</v>
      </c>
      <c r="Q8" s="199"/>
      <c r="R8" s="78">
        <f>VLOOKUP(B8,'1200-01'!$B$11:$AL$90,37,FALSE)</f>
        <v>634</v>
      </c>
      <c r="S8" s="78">
        <f t="shared" si="0"/>
        <v>634</v>
      </c>
      <c r="T8" s="199"/>
      <c r="U8" s="78">
        <f t="shared" si="8"/>
        <v>0</v>
      </c>
      <c r="V8" s="78">
        <f t="shared" si="9"/>
        <v>0</v>
      </c>
      <c r="W8" s="78">
        <f t="shared" si="10"/>
        <v>634</v>
      </c>
      <c r="X8" s="78">
        <f t="shared" si="11"/>
        <v>634</v>
      </c>
      <c r="Y8" s="203">
        <f t="shared" si="12"/>
        <v>0</v>
      </c>
      <c r="Z8" s="203">
        <f t="shared" si="13"/>
        <v>0</v>
      </c>
      <c r="AA8" s="203">
        <f t="shared" si="14"/>
        <v>126800</v>
      </c>
      <c r="AB8" s="203">
        <f t="shared" si="15"/>
        <v>126800</v>
      </c>
      <c r="AC8" s="203">
        <f>VLOOKUP(B8,'BONO EXTRA'!$A$7:$AO$90,41,FALSE)</f>
        <v>13000</v>
      </c>
    </row>
    <row r="9" spans="2:29" ht="12" customHeight="1" thickBot="1">
      <c r="B9" s="120" t="s">
        <v>53</v>
      </c>
      <c r="C9" s="121"/>
      <c r="D9" s="45"/>
      <c r="E9" s="45"/>
      <c r="F9" s="121" t="s">
        <v>32</v>
      </c>
      <c r="G9" s="101" t="s">
        <v>54</v>
      </c>
      <c r="H9" s="235" t="s">
        <v>38</v>
      </c>
      <c r="I9" s="199"/>
      <c r="J9" s="30">
        <f>VLOOKUP(B9,'740-7'!$B$11:$AL$90,37,FALSE)</f>
        <v>0</v>
      </c>
      <c r="K9" s="201">
        <f>VLOOKUP(B9,'740-7'!$B$11:$AM$90,38,FALSE)</f>
        <v>0</v>
      </c>
      <c r="L9" s="78">
        <f t="shared" si="6"/>
        <v>0</v>
      </c>
      <c r="M9" s="196" t="s">
        <v>402</v>
      </c>
      <c r="N9" s="30">
        <f>VLOOKUP(B9,'740-14 '!$B$11:$AM$90,38,FALSE)</f>
        <v>411.75</v>
      </c>
      <c r="O9" s="201">
        <f>VLOOKUP(B9,'740-14 '!$B$11:$AN$90,39,FALSE)</f>
        <v>0</v>
      </c>
      <c r="P9" s="78">
        <f t="shared" si="7"/>
        <v>411.75</v>
      </c>
      <c r="Q9" s="199"/>
      <c r="R9" s="78">
        <f>VLOOKUP(B9,'1200-01'!$B$11:$AL$90,37,FALSE)</f>
        <v>222</v>
      </c>
      <c r="S9" s="78">
        <f t="shared" si="0"/>
        <v>222</v>
      </c>
      <c r="T9" s="199"/>
      <c r="U9" s="78">
        <f t="shared" si="8"/>
        <v>411.75</v>
      </c>
      <c r="V9" s="78">
        <f t="shared" si="9"/>
        <v>0</v>
      </c>
      <c r="W9" s="78">
        <f t="shared" si="10"/>
        <v>222</v>
      </c>
      <c r="X9" s="78">
        <f t="shared" si="11"/>
        <v>633.75</v>
      </c>
      <c r="Y9" s="203">
        <f t="shared" si="12"/>
        <v>205875</v>
      </c>
      <c r="Z9" s="203">
        <f t="shared" si="13"/>
        <v>0</v>
      </c>
      <c r="AA9" s="203">
        <f t="shared" si="14"/>
        <v>44400</v>
      </c>
      <c r="AB9" s="203">
        <f t="shared" si="15"/>
        <v>250275</v>
      </c>
      <c r="AC9" s="203">
        <f>VLOOKUP(B9,'BONO EXTRA'!$A$7:$AO$90,41,FALSE)</f>
        <v>12025</v>
      </c>
    </row>
    <row r="10" spans="2:29" ht="12" customHeight="1" thickBot="1">
      <c r="B10" s="120" t="s">
        <v>55</v>
      </c>
      <c r="C10" s="121"/>
      <c r="D10" s="45"/>
      <c r="E10" s="45"/>
      <c r="F10" s="121" t="s">
        <v>32</v>
      </c>
      <c r="G10" s="101" t="s">
        <v>56</v>
      </c>
      <c r="H10" s="101" t="s">
        <v>38</v>
      </c>
      <c r="I10" s="199"/>
      <c r="J10" s="30">
        <f>VLOOKUP(B10,'740-7'!$B$11:$AL$90,37,FALSE)</f>
        <v>88</v>
      </c>
      <c r="K10" s="201">
        <f>VLOOKUP(B10,'740-7'!$B$11:$AM$90,38,FALSE)</f>
        <v>0</v>
      </c>
      <c r="L10" s="78">
        <f t="shared" si="6"/>
        <v>88</v>
      </c>
      <c r="M10" s="196" t="s">
        <v>402</v>
      </c>
      <c r="N10" s="30">
        <f>VLOOKUP(B10,'740-14 '!$B$11:$AM$90,38,FALSE)</f>
        <v>0</v>
      </c>
      <c r="O10" s="201">
        <f>VLOOKUP(B10,'740-14 '!$B$11:$AN$90,39,FALSE)</f>
        <v>0</v>
      </c>
      <c r="P10" s="78">
        <f t="shared" si="7"/>
        <v>0</v>
      </c>
      <c r="Q10" s="199"/>
      <c r="R10" s="78">
        <f>VLOOKUP(B10,'1200-01'!$B$11:$AL$90,37,FALSE)</f>
        <v>0</v>
      </c>
      <c r="S10" s="78">
        <f t="shared" si="0"/>
        <v>0</v>
      </c>
      <c r="T10" s="199"/>
      <c r="U10" s="78">
        <f t="shared" si="8"/>
        <v>88</v>
      </c>
      <c r="V10" s="78">
        <f t="shared" si="9"/>
        <v>0</v>
      </c>
      <c r="W10" s="78">
        <f t="shared" si="10"/>
        <v>0</v>
      </c>
      <c r="X10" s="78">
        <f t="shared" si="11"/>
        <v>88</v>
      </c>
      <c r="Y10" s="203">
        <f t="shared" si="12"/>
        <v>44000</v>
      </c>
      <c r="Z10" s="203">
        <f t="shared" si="13"/>
        <v>0</v>
      </c>
      <c r="AA10" s="203">
        <f t="shared" si="14"/>
        <v>0</v>
      </c>
      <c r="AB10" s="203">
        <f t="shared" si="15"/>
        <v>44000</v>
      </c>
      <c r="AC10" s="203">
        <f>VLOOKUP(B10,'BONO EXTRA'!$A$7:$AO$90,41,FALSE)</f>
        <v>0</v>
      </c>
    </row>
    <row r="11" spans="2:29" ht="12" customHeight="1" thickBot="1">
      <c r="B11" s="120" t="s">
        <v>338</v>
      </c>
      <c r="C11" s="121"/>
      <c r="D11" s="45"/>
      <c r="E11" s="45"/>
      <c r="F11" s="121" t="s">
        <v>32</v>
      </c>
      <c r="G11" s="101" t="s">
        <v>339</v>
      </c>
      <c r="H11" s="101" t="s">
        <v>38</v>
      </c>
      <c r="I11" s="199"/>
      <c r="J11" s="30">
        <f>VLOOKUP(B11,'740-7'!$B$11:$AL$90,37,FALSE)</f>
        <v>0</v>
      </c>
      <c r="K11" s="201">
        <f>VLOOKUP(B11,'740-7'!$B$11:$AM$90,38,FALSE)</f>
        <v>0</v>
      </c>
      <c r="L11" s="78">
        <f t="shared" si="6"/>
        <v>0</v>
      </c>
      <c r="M11" s="196" t="s">
        <v>402</v>
      </c>
      <c r="N11" s="30">
        <f>VLOOKUP(B11,'740-14 '!$B$11:$AM$90,38,FALSE)</f>
        <v>0</v>
      </c>
      <c r="O11" s="201">
        <f>VLOOKUP(B11,'740-14 '!$B$11:$AN$90,39,FALSE)</f>
        <v>0</v>
      </c>
      <c r="P11" s="78">
        <f t="shared" si="7"/>
        <v>0</v>
      </c>
      <c r="Q11" s="199"/>
      <c r="R11" s="78">
        <f>VLOOKUP(B11,'1200-01'!$B$11:$AL$90,37,FALSE)</f>
        <v>0</v>
      </c>
      <c r="S11" s="78">
        <f t="shared" si="0"/>
        <v>0</v>
      </c>
      <c r="T11" s="199"/>
      <c r="U11" s="78">
        <f t="shared" si="8"/>
        <v>0</v>
      </c>
      <c r="V11" s="78">
        <f t="shared" si="9"/>
        <v>0</v>
      </c>
      <c r="W11" s="78">
        <f t="shared" si="10"/>
        <v>0</v>
      </c>
      <c r="X11" s="78">
        <f t="shared" si="11"/>
        <v>0</v>
      </c>
      <c r="Y11" s="203">
        <f t="shared" si="12"/>
        <v>0</v>
      </c>
      <c r="Z11" s="203">
        <f t="shared" si="13"/>
        <v>0</v>
      </c>
      <c r="AA11" s="203">
        <f t="shared" si="14"/>
        <v>0</v>
      </c>
      <c r="AB11" s="203">
        <f t="shared" si="15"/>
        <v>0</v>
      </c>
      <c r="AC11" s="203">
        <f>VLOOKUP(B11,'BONO EXTRA'!$A$7:$AO$90,41,FALSE)</f>
        <v>0</v>
      </c>
    </row>
    <row r="12" spans="2:29" ht="12" customHeight="1" thickBot="1">
      <c r="B12" s="120" t="s">
        <v>59</v>
      </c>
      <c r="C12" s="121"/>
      <c r="D12" s="45"/>
      <c r="E12" s="45"/>
      <c r="F12" s="121" t="s">
        <v>32</v>
      </c>
      <c r="G12" s="101" t="s">
        <v>60</v>
      </c>
      <c r="H12" s="101" t="s">
        <v>38</v>
      </c>
      <c r="I12" s="199"/>
      <c r="J12" s="30">
        <f>VLOOKUP(B12,'740-7'!$B$11:$AL$90,37,FALSE)</f>
        <v>0</v>
      </c>
      <c r="K12" s="201">
        <f>VLOOKUP(B12,'740-7'!$B$11:$AM$90,38,FALSE)</f>
        <v>0</v>
      </c>
      <c r="L12" s="78">
        <f t="shared" si="6"/>
        <v>0</v>
      </c>
      <c r="M12" s="196" t="s">
        <v>402</v>
      </c>
      <c r="N12" s="30">
        <f>VLOOKUP(B12,'740-14 '!$B$11:$AM$90,38,FALSE)</f>
        <v>0</v>
      </c>
      <c r="O12" s="201">
        <f>VLOOKUP(B12,'740-14 '!$B$11:$AN$90,39,FALSE)</f>
        <v>0</v>
      </c>
      <c r="P12" s="78">
        <f t="shared" si="7"/>
        <v>0</v>
      </c>
      <c r="Q12" s="199"/>
      <c r="R12" s="78">
        <f>VLOOKUP(B12,'1200-01'!$B$11:$AL$90,37,FALSE)</f>
        <v>856</v>
      </c>
      <c r="S12" s="78">
        <f t="shared" si="0"/>
        <v>856</v>
      </c>
      <c r="T12" s="199"/>
      <c r="U12" s="78">
        <f t="shared" si="8"/>
        <v>0</v>
      </c>
      <c r="V12" s="78">
        <f t="shared" si="9"/>
        <v>0</v>
      </c>
      <c r="W12" s="78">
        <f t="shared" si="10"/>
        <v>856</v>
      </c>
      <c r="X12" s="78">
        <f t="shared" si="11"/>
        <v>856</v>
      </c>
      <c r="Y12" s="203">
        <f t="shared" si="12"/>
        <v>0</v>
      </c>
      <c r="Z12" s="203">
        <f t="shared" si="13"/>
        <v>0</v>
      </c>
      <c r="AA12" s="203">
        <f t="shared" si="14"/>
        <v>171200</v>
      </c>
      <c r="AB12" s="203">
        <f t="shared" si="15"/>
        <v>171200</v>
      </c>
      <c r="AC12" s="203">
        <f>VLOOKUP(B12,'BONO EXTRA'!$A$7:$AO$90,41,FALSE)</f>
        <v>7600</v>
      </c>
    </row>
    <row r="13" spans="2:29" ht="12" customHeight="1" thickBot="1">
      <c r="B13" s="120" t="s">
        <v>61</v>
      </c>
      <c r="C13" s="121"/>
      <c r="D13" s="45"/>
      <c r="E13" s="45"/>
      <c r="F13" s="121" t="s">
        <v>32</v>
      </c>
      <c r="G13" s="101" t="s">
        <v>313</v>
      </c>
      <c r="H13" s="101" t="s">
        <v>38</v>
      </c>
      <c r="I13" s="199"/>
      <c r="J13" s="30">
        <f>VLOOKUP(B13,'740-7'!$B$11:$AL$90,37,FALSE)</f>
        <v>0</v>
      </c>
      <c r="K13" s="201">
        <f>VLOOKUP(B13,'740-7'!$B$11:$AM$90,38,FALSE)</f>
        <v>0</v>
      </c>
      <c r="L13" s="78">
        <f t="shared" si="6"/>
        <v>0</v>
      </c>
      <c r="M13" s="196" t="s">
        <v>402</v>
      </c>
      <c r="N13" s="30">
        <f>VLOOKUP(B13,'740-14 '!$B$11:$AM$90,38,FALSE)</f>
        <v>0</v>
      </c>
      <c r="O13" s="201">
        <f>VLOOKUP(B13,'740-14 '!$B$11:$AN$90,39,FALSE)</f>
        <v>0</v>
      </c>
      <c r="P13" s="78">
        <f t="shared" si="7"/>
        <v>0</v>
      </c>
      <c r="Q13" s="199"/>
      <c r="R13" s="78">
        <f>VLOOKUP(B13,'1200-01'!$B$11:$AL$90,37,FALSE)</f>
        <v>856</v>
      </c>
      <c r="S13" s="78">
        <f t="shared" si="0"/>
        <v>856</v>
      </c>
      <c r="T13" s="199"/>
      <c r="U13" s="78">
        <f t="shared" si="8"/>
        <v>0</v>
      </c>
      <c r="V13" s="78">
        <f t="shared" si="9"/>
        <v>0</v>
      </c>
      <c r="W13" s="78">
        <f t="shared" si="10"/>
        <v>856</v>
      </c>
      <c r="X13" s="78">
        <f t="shared" si="11"/>
        <v>856</v>
      </c>
      <c r="Y13" s="203">
        <f t="shared" si="12"/>
        <v>0</v>
      </c>
      <c r="Z13" s="203">
        <f t="shared" si="13"/>
        <v>0</v>
      </c>
      <c r="AA13" s="203">
        <f t="shared" si="14"/>
        <v>171200</v>
      </c>
      <c r="AB13" s="203">
        <f t="shared" si="15"/>
        <v>171200</v>
      </c>
      <c r="AC13" s="203">
        <f>VLOOKUP(B13,'BONO EXTRA'!$A$7:$AO$90,41,FALSE)</f>
        <v>13000</v>
      </c>
    </row>
    <row r="14" spans="2:29" ht="12" customHeight="1" thickBot="1">
      <c r="B14" s="120" t="s">
        <v>63</v>
      </c>
      <c r="C14" s="121"/>
      <c r="D14" s="45"/>
      <c r="E14" s="45"/>
      <c r="F14" s="121" t="s">
        <v>32</v>
      </c>
      <c r="G14" s="101" t="s">
        <v>64</v>
      </c>
      <c r="H14" s="101" t="s">
        <v>38</v>
      </c>
      <c r="I14" s="199"/>
      <c r="J14" s="30">
        <f>VLOOKUP(B14,'740-7'!$B$11:$AL$90,37,FALSE)</f>
        <v>0</v>
      </c>
      <c r="K14" s="201">
        <f>VLOOKUP(B14,'740-7'!$B$11:$AM$90,38,FALSE)</f>
        <v>0</v>
      </c>
      <c r="L14" s="78">
        <f t="shared" si="6"/>
        <v>0</v>
      </c>
      <c r="M14" s="196" t="s">
        <v>402</v>
      </c>
      <c r="N14" s="30">
        <f>VLOOKUP(B14,'740-14 '!$B$11:$AM$90,38,FALSE)</f>
        <v>0</v>
      </c>
      <c r="O14" s="201">
        <f>VLOOKUP(B14,'740-14 '!$B$11:$AN$90,39,FALSE)</f>
        <v>0</v>
      </c>
      <c r="P14" s="78">
        <f t="shared" si="7"/>
        <v>0</v>
      </c>
      <c r="Q14" s="199"/>
      <c r="R14" s="78">
        <f>VLOOKUP(B14,'1200-01'!$B$11:$AL$90,37,FALSE)</f>
        <v>856</v>
      </c>
      <c r="S14" s="78">
        <f t="shared" si="0"/>
        <v>856</v>
      </c>
      <c r="T14" s="199"/>
      <c r="U14" s="78">
        <f t="shared" si="8"/>
        <v>0</v>
      </c>
      <c r="V14" s="78">
        <f t="shared" si="9"/>
        <v>0</v>
      </c>
      <c r="W14" s="78">
        <f t="shared" si="10"/>
        <v>856</v>
      </c>
      <c r="X14" s="78">
        <f t="shared" si="11"/>
        <v>856</v>
      </c>
      <c r="Y14" s="203">
        <f t="shared" si="12"/>
        <v>0</v>
      </c>
      <c r="Z14" s="203">
        <f t="shared" si="13"/>
        <v>0</v>
      </c>
      <c r="AA14" s="203">
        <f t="shared" si="14"/>
        <v>171200</v>
      </c>
      <c r="AB14" s="203">
        <f t="shared" si="15"/>
        <v>171200</v>
      </c>
      <c r="AC14" s="203">
        <f>VLOOKUP(B14,'BONO EXTRA'!$A$7:$AO$90,41,FALSE)</f>
        <v>7600</v>
      </c>
    </row>
    <row r="15" spans="2:29" ht="12" customHeight="1" thickBot="1">
      <c r="B15" s="120" t="s">
        <v>65</v>
      </c>
      <c r="C15" s="121"/>
      <c r="D15" s="45"/>
      <c r="E15" s="45"/>
      <c r="F15" s="121" t="s">
        <v>32</v>
      </c>
      <c r="G15" s="101" t="s">
        <v>66</v>
      </c>
      <c r="H15" s="235" t="s">
        <v>38</v>
      </c>
      <c r="I15" s="199"/>
      <c r="J15" s="30">
        <f>VLOOKUP(B15,'740-7'!$B$11:$AL$90,37,FALSE)</f>
        <v>0</v>
      </c>
      <c r="K15" s="201">
        <f>VLOOKUP(B15,'740-7'!$B$11:$AM$90,38,FALSE)</f>
        <v>0</v>
      </c>
      <c r="L15" s="78">
        <f t="shared" si="6"/>
        <v>0</v>
      </c>
      <c r="M15" s="196" t="s">
        <v>402</v>
      </c>
      <c r="N15" s="30">
        <f>VLOOKUP(B15,'740-14 '!$B$11:$AM$90,38,FALSE)</f>
        <v>0</v>
      </c>
      <c r="O15" s="201">
        <f>VLOOKUP(B15,'740-14 '!$B$11:$AN$90,39,FALSE)</f>
        <v>0</v>
      </c>
      <c r="P15" s="78">
        <f t="shared" si="7"/>
        <v>0</v>
      </c>
      <c r="Q15" s="199"/>
      <c r="R15" s="78">
        <f>VLOOKUP(B15,'1200-01'!$B$11:$AL$90,37,FALSE)</f>
        <v>856</v>
      </c>
      <c r="S15" s="78">
        <f t="shared" si="0"/>
        <v>856</v>
      </c>
      <c r="T15" s="199"/>
      <c r="U15" s="78">
        <f t="shared" si="8"/>
        <v>0</v>
      </c>
      <c r="V15" s="78">
        <f t="shared" si="9"/>
        <v>0</v>
      </c>
      <c r="W15" s="78">
        <f t="shared" si="10"/>
        <v>856</v>
      </c>
      <c r="X15" s="78">
        <f t="shared" si="11"/>
        <v>856</v>
      </c>
      <c r="Y15" s="203">
        <f t="shared" si="12"/>
        <v>0</v>
      </c>
      <c r="Z15" s="203">
        <f t="shared" si="13"/>
        <v>0</v>
      </c>
      <c r="AA15" s="203">
        <f t="shared" si="14"/>
        <v>171200</v>
      </c>
      <c r="AB15" s="203">
        <f t="shared" si="15"/>
        <v>171200</v>
      </c>
      <c r="AC15" s="203">
        <f>VLOOKUP(B15,'BONO EXTRA'!$A$7:$AO$90,41,FALSE)</f>
        <v>7600</v>
      </c>
    </row>
    <row r="16" spans="2:29" ht="12" customHeight="1" thickBot="1">
      <c r="B16" s="120" t="s">
        <v>67</v>
      </c>
      <c r="C16" s="121"/>
      <c r="D16" s="45"/>
      <c r="E16" s="45"/>
      <c r="F16" s="121" t="s">
        <v>32</v>
      </c>
      <c r="G16" s="101" t="s">
        <v>68</v>
      </c>
      <c r="H16" s="235" t="s">
        <v>38</v>
      </c>
      <c r="I16" s="199"/>
      <c r="J16" s="30">
        <f>VLOOKUP(B16,'740-7'!$B$11:$AL$90,37,FALSE)</f>
        <v>298.3</v>
      </c>
      <c r="K16" s="201">
        <f>VLOOKUP(B16,'740-7'!$B$11:$AM$90,38,FALSE)</f>
        <v>0</v>
      </c>
      <c r="L16" s="78">
        <f t="shared" si="6"/>
        <v>298.3</v>
      </c>
      <c r="M16" s="196" t="s">
        <v>402</v>
      </c>
      <c r="N16" s="30">
        <f>VLOOKUP(B16,'740-14 '!$B$11:$AM$90,38,FALSE)</f>
        <v>0</v>
      </c>
      <c r="O16" s="201">
        <f>VLOOKUP(B16,'740-14 '!$B$11:$AN$90,39,FALSE)</f>
        <v>0</v>
      </c>
      <c r="P16" s="78">
        <f t="shared" si="7"/>
        <v>0</v>
      </c>
      <c r="Q16" s="199"/>
      <c r="R16" s="78">
        <f>VLOOKUP(B16,'1200-01'!$B$11:$AL$90,37,FALSE)</f>
        <v>0</v>
      </c>
      <c r="S16" s="78">
        <f t="shared" si="0"/>
        <v>0</v>
      </c>
      <c r="T16" s="199"/>
      <c r="U16" s="78">
        <f t="shared" si="8"/>
        <v>298.3</v>
      </c>
      <c r="V16" s="78">
        <f t="shared" si="9"/>
        <v>0</v>
      </c>
      <c r="W16" s="78">
        <f t="shared" si="10"/>
        <v>0</v>
      </c>
      <c r="X16" s="78">
        <f t="shared" si="11"/>
        <v>298.3</v>
      </c>
      <c r="Y16" s="203">
        <f t="shared" si="12"/>
        <v>149150</v>
      </c>
      <c r="Z16" s="203">
        <f t="shared" si="13"/>
        <v>0</v>
      </c>
      <c r="AA16" s="203">
        <f t="shared" si="14"/>
        <v>0</v>
      </c>
      <c r="AB16" s="203">
        <f t="shared" si="15"/>
        <v>149150</v>
      </c>
      <c r="AC16" s="203">
        <f>VLOOKUP(B16,'BONO EXTRA'!$A$7:$AO$90,41,FALSE)</f>
        <v>2712.5000000000005</v>
      </c>
    </row>
    <row r="17" spans="2:29" ht="12" customHeight="1" thickBot="1">
      <c r="B17" s="120" t="s">
        <v>69</v>
      </c>
      <c r="C17" s="121"/>
      <c r="D17" s="45"/>
      <c r="E17" s="45"/>
      <c r="F17" s="121" t="s">
        <v>32</v>
      </c>
      <c r="G17" s="101" t="s">
        <v>70</v>
      </c>
      <c r="H17" s="101" t="s">
        <v>38</v>
      </c>
      <c r="I17" s="199"/>
      <c r="J17" s="30">
        <f>VLOOKUP(B17,'740-7'!$B$11:$AL$90,37,FALSE)</f>
        <v>298.3</v>
      </c>
      <c r="K17" s="201">
        <f>VLOOKUP(B17,'740-7'!$B$11:$AM$90,38,FALSE)</f>
        <v>0</v>
      </c>
      <c r="L17" s="78">
        <f t="shared" si="6"/>
        <v>298.3</v>
      </c>
      <c r="M17" s="196" t="s">
        <v>402</v>
      </c>
      <c r="N17" s="30">
        <f>VLOOKUP(B17,'740-14 '!$B$11:$AM$90,38,FALSE)</f>
        <v>0</v>
      </c>
      <c r="O17" s="201">
        <f>VLOOKUP(B17,'740-14 '!$B$11:$AN$90,39,FALSE)</f>
        <v>0</v>
      </c>
      <c r="P17" s="78">
        <f t="shared" si="7"/>
        <v>0</v>
      </c>
      <c r="Q17" s="199"/>
      <c r="R17" s="78">
        <f>VLOOKUP(B17,'1200-01'!$B$11:$AL$90,37,FALSE)</f>
        <v>0</v>
      </c>
      <c r="S17" s="78">
        <f t="shared" si="0"/>
        <v>0</v>
      </c>
      <c r="T17" s="199"/>
      <c r="U17" s="78">
        <f t="shared" si="8"/>
        <v>298.3</v>
      </c>
      <c r="V17" s="78">
        <f t="shared" si="9"/>
        <v>0</v>
      </c>
      <c r="W17" s="78">
        <f t="shared" si="10"/>
        <v>0</v>
      </c>
      <c r="X17" s="78">
        <f t="shared" si="11"/>
        <v>298.3</v>
      </c>
      <c r="Y17" s="203">
        <f t="shared" si="12"/>
        <v>149150</v>
      </c>
      <c r="Z17" s="203">
        <f t="shared" si="13"/>
        <v>0</v>
      </c>
      <c r="AA17" s="203">
        <f t="shared" si="14"/>
        <v>0</v>
      </c>
      <c r="AB17" s="203">
        <f t="shared" si="15"/>
        <v>149150</v>
      </c>
      <c r="AC17" s="203">
        <f>VLOOKUP(B17,'BONO EXTRA'!$A$7:$AO$90,41,FALSE)</f>
        <v>7850.0000000000009</v>
      </c>
    </row>
    <row r="18" spans="2:29" ht="12" customHeight="1" thickBot="1">
      <c r="B18" s="120" t="s">
        <v>71</v>
      </c>
      <c r="C18" s="121"/>
      <c r="D18" s="45"/>
      <c r="E18" s="45"/>
      <c r="F18" s="121" t="s">
        <v>32</v>
      </c>
      <c r="G18" s="101" t="s">
        <v>72</v>
      </c>
      <c r="H18" s="101" t="s">
        <v>38</v>
      </c>
      <c r="I18" s="199"/>
      <c r="J18" s="30">
        <f>VLOOKUP(B18,'740-7'!$B$11:$AL$90,37,FALSE)</f>
        <v>0</v>
      </c>
      <c r="K18" s="201">
        <f>VLOOKUP(B18,'740-7'!$B$11:$AM$90,38,FALSE)</f>
        <v>0</v>
      </c>
      <c r="L18" s="78">
        <f t="shared" si="6"/>
        <v>0</v>
      </c>
      <c r="M18" s="196" t="s">
        <v>402</v>
      </c>
      <c r="N18" s="30">
        <f>VLOOKUP(B18,'740-14 '!$B$11:$AM$90,38,FALSE)</f>
        <v>411.75</v>
      </c>
      <c r="O18" s="201">
        <f>VLOOKUP(B18,'740-14 '!$B$11:$AN$90,39,FALSE)</f>
        <v>43.75</v>
      </c>
      <c r="P18" s="78">
        <f t="shared" si="7"/>
        <v>455.5</v>
      </c>
      <c r="Q18" s="199"/>
      <c r="R18" s="78">
        <f>VLOOKUP(B18,'1200-01'!$B$11:$AL$90,37,FALSE)</f>
        <v>0</v>
      </c>
      <c r="S18" s="78">
        <f t="shared" si="0"/>
        <v>0</v>
      </c>
      <c r="T18" s="199"/>
      <c r="U18" s="78">
        <f t="shared" si="8"/>
        <v>411.75</v>
      </c>
      <c r="V18" s="78">
        <f t="shared" si="9"/>
        <v>43.75</v>
      </c>
      <c r="W18" s="78">
        <f t="shared" si="10"/>
        <v>0</v>
      </c>
      <c r="X18" s="78">
        <f t="shared" si="11"/>
        <v>455.5</v>
      </c>
      <c r="Y18" s="203">
        <f t="shared" si="12"/>
        <v>205875</v>
      </c>
      <c r="Z18" s="203">
        <f t="shared" si="13"/>
        <v>30625</v>
      </c>
      <c r="AA18" s="203">
        <f t="shared" si="14"/>
        <v>0</v>
      </c>
      <c r="AB18" s="203">
        <f t="shared" si="15"/>
        <v>236500</v>
      </c>
      <c r="AC18" s="203">
        <f>VLOOKUP(B18,'BONO EXTRA'!$A$7:$AO$90,41,FALSE)</f>
        <v>12025</v>
      </c>
    </row>
    <row r="19" spans="2:29" ht="12" customHeight="1" thickBot="1">
      <c r="B19" s="120" t="s">
        <v>342</v>
      </c>
      <c r="C19" s="121"/>
      <c r="D19" s="45"/>
      <c r="E19" s="45"/>
      <c r="F19" s="121" t="s">
        <v>32</v>
      </c>
      <c r="G19" s="101" t="s">
        <v>343</v>
      </c>
      <c r="H19" s="101" t="s">
        <v>38</v>
      </c>
      <c r="I19" s="199"/>
      <c r="J19" s="30">
        <f>VLOOKUP(B19,'740-7'!$B$11:$AL$90,37,FALSE)</f>
        <v>0</v>
      </c>
      <c r="K19" s="201">
        <f>VLOOKUP(B19,'740-7'!$B$11:$AM$90,38,FALSE)</f>
        <v>0</v>
      </c>
      <c r="L19" s="78">
        <f t="shared" si="6"/>
        <v>0</v>
      </c>
      <c r="M19" s="196" t="s">
        <v>402</v>
      </c>
      <c r="N19" s="30">
        <f>VLOOKUP(B19,'740-14 '!$B$11:$AM$90,38,FALSE)</f>
        <v>0</v>
      </c>
      <c r="O19" s="201">
        <f>VLOOKUP(B19,'740-14 '!$B$11:$AN$90,39,FALSE)</f>
        <v>0</v>
      </c>
      <c r="P19" s="78">
        <f t="shared" si="7"/>
        <v>0</v>
      </c>
      <c r="Q19" s="199"/>
      <c r="R19" s="78">
        <f>VLOOKUP(B19,'1200-01'!$B$11:$AL$90,37,FALSE)</f>
        <v>0</v>
      </c>
      <c r="S19" s="78">
        <f t="shared" si="0"/>
        <v>0</v>
      </c>
      <c r="T19" s="199"/>
      <c r="U19" s="78">
        <f t="shared" si="8"/>
        <v>0</v>
      </c>
      <c r="V19" s="78">
        <f t="shared" si="9"/>
        <v>0</v>
      </c>
      <c r="W19" s="78">
        <f t="shared" si="10"/>
        <v>0</v>
      </c>
      <c r="X19" s="78">
        <f t="shared" si="11"/>
        <v>0</v>
      </c>
      <c r="Y19" s="203">
        <f t="shared" si="12"/>
        <v>0</v>
      </c>
      <c r="Z19" s="203">
        <f t="shared" si="13"/>
        <v>0</v>
      </c>
      <c r="AA19" s="203">
        <f t="shared" si="14"/>
        <v>0</v>
      </c>
      <c r="AB19" s="203">
        <f t="shared" si="15"/>
        <v>0</v>
      </c>
      <c r="AC19" s="203">
        <f>VLOOKUP(B19,'BONO EXTRA'!$A$7:$AO$90,41,FALSE)</f>
        <v>0</v>
      </c>
    </row>
    <row r="20" spans="2:29" ht="12" customHeight="1" thickBot="1">
      <c r="B20" s="120" t="s">
        <v>73</v>
      </c>
      <c r="C20" s="121"/>
      <c r="D20" s="45"/>
      <c r="E20" s="45"/>
      <c r="F20" s="121" t="s">
        <v>32</v>
      </c>
      <c r="G20" s="101" t="s">
        <v>74</v>
      </c>
      <c r="H20" s="101" t="s">
        <v>38</v>
      </c>
      <c r="I20" s="199"/>
      <c r="J20" s="30">
        <f>VLOOKUP(B20,'740-7'!$B$11:$AL$90,37,FALSE)</f>
        <v>298.3</v>
      </c>
      <c r="K20" s="201">
        <f>VLOOKUP(B20,'740-7'!$B$11:$AM$90,38,FALSE)</f>
        <v>0</v>
      </c>
      <c r="L20" s="78">
        <f t="shared" si="6"/>
        <v>298.3</v>
      </c>
      <c r="M20" s="196" t="s">
        <v>402</v>
      </c>
      <c r="N20" s="30">
        <f>VLOOKUP(B20,'740-14 '!$B$11:$AM$90,38,FALSE)</f>
        <v>0</v>
      </c>
      <c r="O20" s="201">
        <f>VLOOKUP(B20,'740-14 '!$B$11:$AN$90,39,FALSE)</f>
        <v>0</v>
      </c>
      <c r="P20" s="78">
        <f t="shared" si="7"/>
        <v>0</v>
      </c>
      <c r="Q20" s="199"/>
      <c r="R20" s="78">
        <f>VLOOKUP(B20,'1200-01'!$B$11:$AL$90,37,FALSE)</f>
        <v>0</v>
      </c>
      <c r="S20" s="78">
        <f t="shared" si="0"/>
        <v>0</v>
      </c>
      <c r="T20" s="199"/>
      <c r="U20" s="78">
        <f t="shared" si="8"/>
        <v>298.3</v>
      </c>
      <c r="V20" s="78">
        <f t="shared" si="9"/>
        <v>0</v>
      </c>
      <c r="W20" s="78">
        <f t="shared" si="10"/>
        <v>0</v>
      </c>
      <c r="X20" s="78">
        <f t="shared" si="11"/>
        <v>298.3</v>
      </c>
      <c r="Y20" s="203">
        <f t="shared" si="12"/>
        <v>149150</v>
      </c>
      <c r="Z20" s="203">
        <f t="shared" si="13"/>
        <v>0</v>
      </c>
      <c r="AA20" s="203">
        <f t="shared" si="14"/>
        <v>0</v>
      </c>
      <c r="AB20" s="203">
        <f t="shared" si="15"/>
        <v>149150</v>
      </c>
      <c r="AC20" s="203">
        <f>VLOOKUP(B20,'BONO EXTRA'!$A$7:$AO$90,41,FALSE)</f>
        <v>7850.0000000000009</v>
      </c>
    </row>
    <row r="21" spans="2:29" ht="12" customHeight="1" thickBot="1">
      <c r="B21" s="120" t="s">
        <v>75</v>
      </c>
      <c r="C21" s="121"/>
      <c r="D21" s="45"/>
      <c r="E21" s="45"/>
      <c r="F21" s="121" t="s">
        <v>32</v>
      </c>
      <c r="G21" s="101" t="s">
        <v>76</v>
      </c>
      <c r="H21" s="101" t="s">
        <v>38</v>
      </c>
      <c r="I21" s="199"/>
      <c r="J21" s="30">
        <f>VLOOKUP(B21,'740-7'!$B$11:$AL$90,37,FALSE)</f>
        <v>0</v>
      </c>
      <c r="K21" s="201">
        <f>VLOOKUP(B21,'740-7'!$B$11:$AM$90,38,FALSE)</f>
        <v>0</v>
      </c>
      <c r="L21" s="78">
        <f t="shared" si="6"/>
        <v>0</v>
      </c>
      <c r="M21" s="196" t="s">
        <v>402</v>
      </c>
      <c r="N21" s="30">
        <f>VLOOKUP(B21,'740-14 '!$B$11:$AM$90,38,FALSE)</f>
        <v>411.75</v>
      </c>
      <c r="O21" s="201">
        <f>VLOOKUP(B21,'740-14 '!$B$11:$AN$90,39,FALSE)</f>
        <v>43.75</v>
      </c>
      <c r="P21" s="78">
        <f t="shared" si="7"/>
        <v>455.5</v>
      </c>
      <c r="Q21" s="199"/>
      <c r="R21" s="78">
        <f>VLOOKUP(B21,'1200-01'!$B$11:$AL$90,37,FALSE)</f>
        <v>0</v>
      </c>
      <c r="S21" s="78">
        <f t="shared" ref="S21:S23" si="16">SUM(R21:R21)</f>
        <v>0</v>
      </c>
      <c r="T21" s="316"/>
      <c r="U21" s="78">
        <f t="shared" si="8"/>
        <v>411.75</v>
      </c>
      <c r="V21" s="78">
        <f t="shared" si="9"/>
        <v>43.75</v>
      </c>
      <c r="W21" s="78">
        <f t="shared" si="10"/>
        <v>0</v>
      </c>
      <c r="X21" s="78">
        <f t="shared" si="11"/>
        <v>455.5</v>
      </c>
      <c r="Y21" s="203">
        <f t="shared" si="12"/>
        <v>205875</v>
      </c>
      <c r="Z21" s="203">
        <f t="shared" si="13"/>
        <v>30625</v>
      </c>
      <c r="AA21" s="203">
        <f t="shared" si="14"/>
        <v>0</v>
      </c>
      <c r="AB21" s="203">
        <f t="shared" si="15"/>
        <v>236500</v>
      </c>
      <c r="AC21" s="203">
        <f>VLOOKUP(B21,'BONO EXTRA'!$A$7:$AO$90,41,FALSE)</f>
        <v>12000</v>
      </c>
    </row>
    <row r="22" spans="2:29" ht="12" customHeight="1" thickBot="1">
      <c r="B22" s="120" t="s">
        <v>77</v>
      </c>
      <c r="C22" s="121"/>
      <c r="D22" s="45"/>
      <c r="E22" s="45"/>
      <c r="F22" s="121" t="s">
        <v>32</v>
      </c>
      <c r="G22" s="101" t="s">
        <v>78</v>
      </c>
      <c r="H22" s="235" t="s">
        <v>38</v>
      </c>
      <c r="I22" s="199"/>
      <c r="J22" s="30">
        <f>VLOOKUP(B22,'740-7'!$B$11:$AL$90,37,FALSE)</f>
        <v>0</v>
      </c>
      <c r="K22" s="201">
        <f>VLOOKUP(B22,'740-7'!$B$11:$AM$90,38,FALSE)</f>
        <v>0</v>
      </c>
      <c r="L22" s="78">
        <f t="shared" si="6"/>
        <v>0</v>
      </c>
      <c r="M22" s="196" t="s">
        <v>402</v>
      </c>
      <c r="N22" s="30">
        <f>VLOOKUP(B22,'740-14 '!$B$11:$AM$90,38,FALSE)</f>
        <v>0</v>
      </c>
      <c r="O22" s="201">
        <f>VLOOKUP(B22,'740-14 '!$B$11:$AN$90,39,FALSE)</f>
        <v>0</v>
      </c>
      <c r="P22" s="78">
        <f t="shared" si="7"/>
        <v>0</v>
      </c>
      <c r="Q22" s="199"/>
      <c r="R22" s="78">
        <f>VLOOKUP(B22,'1200-01'!$B$11:$AL$90,37,FALSE)</f>
        <v>0</v>
      </c>
      <c r="S22" s="78">
        <f t="shared" si="16"/>
        <v>0</v>
      </c>
      <c r="T22" s="317"/>
      <c r="U22" s="78">
        <f t="shared" si="8"/>
        <v>0</v>
      </c>
      <c r="V22" s="78">
        <f t="shared" si="9"/>
        <v>0</v>
      </c>
      <c r="W22" s="78">
        <f t="shared" si="10"/>
        <v>0</v>
      </c>
      <c r="X22" s="78">
        <f t="shared" si="11"/>
        <v>0</v>
      </c>
      <c r="Y22" s="203">
        <f t="shared" si="12"/>
        <v>0</v>
      </c>
      <c r="Z22" s="203">
        <f t="shared" si="13"/>
        <v>0</v>
      </c>
      <c r="AA22" s="203">
        <f t="shared" si="14"/>
        <v>0</v>
      </c>
      <c r="AB22" s="203">
        <f t="shared" si="15"/>
        <v>0</v>
      </c>
      <c r="AC22" s="203">
        <f>VLOOKUP(B22,'BONO EXTRA'!$A$7:$AO$90,41,FALSE)</f>
        <v>0</v>
      </c>
    </row>
    <row r="23" spans="2:29" ht="12" customHeight="1" thickBot="1">
      <c r="B23" s="120" t="s">
        <v>79</v>
      </c>
      <c r="C23" s="121"/>
      <c r="D23" s="45"/>
      <c r="E23" s="45"/>
      <c r="F23" s="121" t="s">
        <v>32</v>
      </c>
      <c r="G23" s="101" t="s">
        <v>80</v>
      </c>
      <c r="H23" s="235" t="s">
        <v>38</v>
      </c>
      <c r="I23" s="199"/>
      <c r="J23" s="30">
        <f>VLOOKUP(B23,'740-7'!$B$11:$AL$90,37,FALSE)</f>
        <v>0</v>
      </c>
      <c r="K23" s="201">
        <f>VLOOKUP(B23,'740-7'!$B$11:$AM$90,38,FALSE)</f>
        <v>0</v>
      </c>
      <c r="L23" s="78">
        <f t="shared" si="6"/>
        <v>0</v>
      </c>
      <c r="M23" s="196" t="s">
        <v>402</v>
      </c>
      <c r="N23" s="30">
        <f>VLOOKUP(B23,'740-14 '!$B$11:$AM$90,38,FALSE)</f>
        <v>411.75</v>
      </c>
      <c r="O23" s="201">
        <f>VLOOKUP(B23,'740-14 '!$B$11:$AN$90,39,FALSE)</f>
        <v>43.75</v>
      </c>
      <c r="P23" s="78">
        <f t="shared" si="7"/>
        <v>455.5</v>
      </c>
      <c r="Q23" s="199"/>
      <c r="R23" s="78">
        <f>VLOOKUP(B23,'1200-01'!$B$11:$AL$90,37,FALSE)</f>
        <v>0</v>
      </c>
      <c r="S23" s="78">
        <f t="shared" si="16"/>
        <v>0</v>
      </c>
      <c r="T23" s="199"/>
      <c r="U23" s="78">
        <f t="shared" si="8"/>
        <v>411.75</v>
      </c>
      <c r="V23" s="78">
        <f t="shared" si="9"/>
        <v>43.75</v>
      </c>
      <c r="W23" s="78">
        <f t="shared" si="10"/>
        <v>0</v>
      </c>
      <c r="X23" s="78">
        <f t="shared" si="11"/>
        <v>455.5</v>
      </c>
      <c r="Y23" s="203">
        <f t="shared" si="12"/>
        <v>205875</v>
      </c>
      <c r="Z23" s="203">
        <f t="shared" si="13"/>
        <v>30625</v>
      </c>
      <c r="AA23" s="203">
        <f t="shared" si="14"/>
        <v>0</v>
      </c>
      <c r="AB23" s="203">
        <f t="shared" si="15"/>
        <v>236500</v>
      </c>
      <c r="AC23" s="203">
        <f>VLOOKUP(B23,'BONO EXTRA'!$A$7:$AO$90,41,FALSE)</f>
        <v>12000</v>
      </c>
    </row>
    <row r="24" spans="2:29" ht="12" customHeight="1" thickBot="1">
      <c r="B24" s="120" t="s">
        <v>165</v>
      </c>
      <c r="C24" s="121"/>
      <c r="D24" s="45"/>
      <c r="E24" s="45"/>
      <c r="F24" s="121" t="s">
        <v>160</v>
      </c>
      <c r="G24" s="101" t="s">
        <v>166</v>
      </c>
      <c r="H24" s="101" t="s">
        <v>38</v>
      </c>
      <c r="I24" s="199"/>
      <c r="J24" s="30">
        <f>VLOOKUP(B24,'740-7'!$B$11:$AL$90,37,FALSE)</f>
        <v>0</v>
      </c>
      <c r="K24" s="201">
        <f>VLOOKUP(B24,'740-7'!$B$11:$AM$90,38,FALSE)</f>
        <v>0</v>
      </c>
      <c r="L24" s="78">
        <f t="shared" si="6"/>
        <v>0</v>
      </c>
      <c r="M24" s="196" t="s">
        <v>402</v>
      </c>
      <c r="N24" s="30">
        <f>VLOOKUP(B24,'740-14 '!$B$11:$AM$90,38,FALSE)</f>
        <v>0</v>
      </c>
      <c r="O24" s="201">
        <f>VLOOKUP(B24,'740-14 '!$B$11:$AN$90,39,FALSE)</f>
        <v>0</v>
      </c>
      <c r="P24" s="78">
        <f t="shared" si="7"/>
        <v>0</v>
      </c>
      <c r="Q24" s="199"/>
      <c r="R24" s="78">
        <f>VLOOKUP(B24,'1200-01'!$B$11:$AL$90,37,FALSE)</f>
        <v>36</v>
      </c>
      <c r="S24" s="78">
        <f t="shared" si="0"/>
        <v>36</v>
      </c>
      <c r="T24" s="199"/>
      <c r="U24" s="78">
        <f t="shared" si="8"/>
        <v>0</v>
      </c>
      <c r="V24" s="78">
        <f t="shared" si="9"/>
        <v>0</v>
      </c>
      <c r="W24" s="78">
        <f t="shared" si="10"/>
        <v>36</v>
      </c>
      <c r="X24" s="78">
        <f t="shared" si="11"/>
        <v>36</v>
      </c>
      <c r="Y24" s="203">
        <f t="shared" si="12"/>
        <v>0</v>
      </c>
      <c r="Z24" s="203">
        <f t="shared" si="13"/>
        <v>0</v>
      </c>
      <c r="AA24" s="203">
        <f t="shared" si="14"/>
        <v>7200</v>
      </c>
      <c r="AB24" s="203">
        <f t="shared" si="15"/>
        <v>7200</v>
      </c>
      <c r="AC24" s="203">
        <f>VLOOKUP(B24,'BONO EXTRA'!$A$7:$AO$90,41,FALSE)</f>
        <v>0</v>
      </c>
    </row>
    <row r="25" spans="2:29" ht="12" customHeight="1" thickBot="1">
      <c r="B25" s="120" t="s">
        <v>168</v>
      </c>
      <c r="C25" s="121"/>
      <c r="D25" s="45"/>
      <c r="E25" s="45"/>
      <c r="F25" s="121" t="s">
        <v>160</v>
      </c>
      <c r="G25" s="101" t="s">
        <v>169</v>
      </c>
      <c r="H25" s="101" t="s">
        <v>38</v>
      </c>
      <c r="I25" s="199"/>
      <c r="J25" s="30">
        <f>VLOOKUP(B25,'740-7'!$B$11:$AL$90,37,FALSE)</f>
        <v>0</v>
      </c>
      <c r="K25" s="201">
        <f>VLOOKUP(B25,'740-7'!$B$11:$AM$90,38,FALSE)</f>
        <v>0</v>
      </c>
      <c r="L25" s="78">
        <f t="shared" si="6"/>
        <v>0</v>
      </c>
      <c r="M25" s="196" t="s">
        <v>402</v>
      </c>
      <c r="N25" s="30">
        <f>VLOOKUP(B25,'740-14 '!$B$11:$AM$90,38,FALSE)</f>
        <v>237.15</v>
      </c>
      <c r="O25" s="201">
        <f>VLOOKUP(B25,'740-14 '!$B$11:$AN$90,39,FALSE)</f>
        <v>6.25</v>
      </c>
      <c r="P25" s="78">
        <f t="shared" si="7"/>
        <v>243.4</v>
      </c>
      <c r="Q25" s="199"/>
      <c r="R25" s="78">
        <f>VLOOKUP(B25,'1200-01'!$B$11:$AL$90,37,FALSE)</f>
        <v>0</v>
      </c>
      <c r="S25" s="78">
        <f t="shared" si="0"/>
        <v>0</v>
      </c>
      <c r="T25" s="199"/>
      <c r="U25" s="78">
        <f t="shared" si="8"/>
        <v>237.15</v>
      </c>
      <c r="V25" s="78">
        <f t="shared" si="9"/>
        <v>6.25</v>
      </c>
      <c r="W25" s="78">
        <f t="shared" si="10"/>
        <v>0</v>
      </c>
      <c r="X25" s="78">
        <f t="shared" si="11"/>
        <v>243.4</v>
      </c>
      <c r="Y25" s="203">
        <f t="shared" si="12"/>
        <v>118575</v>
      </c>
      <c r="Z25" s="203">
        <f t="shared" si="13"/>
        <v>4375</v>
      </c>
      <c r="AA25" s="203">
        <f t="shared" si="14"/>
        <v>0</v>
      </c>
      <c r="AB25" s="203">
        <f t="shared" si="15"/>
        <v>122950</v>
      </c>
      <c r="AC25" s="203">
        <f>VLOOKUP(B25,'BONO EXTRA'!$A$7:$AO$90,41,FALSE)</f>
        <v>1475</v>
      </c>
    </row>
    <row r="26" spans="2:29" ht="12" customHeight="1" thickBot="1">
      <c r="B26" s="120" t="s">
        <v>170</v>
      </c>
      <c r="C26" s="121"/>
      <c r="D26" s="45"/>
      <c r="E26" s="45"/>
      <c r="F26" s="121" t="s">
        <v>160</v>
      </c>
      <c r="G26" s="101" t="s">
        <v>171</v>
      </c>
      <c r="H26" s="101" t="s">
        <v>38</v>
      </c>
      <c r="I26" s="199"/>
      <c r="J26" s="30">
        <f>VLOOKUP(B26,'740-7'!$B$11:$AL$90,37,FALSE)</f>
        <v>0</v>
      </c>
      <c r="K26" s="201">
        <f>VLOOKUP(B26,'740-7'!$B$11:$AM$90,38,FALSE)</f>
        <v>0</v>
      </c>
      <c r="L26" s="78">
        <f t="shared" si="6"/>
        <v>0</v>
      </c>
      <c r="M26" s="196" t="s">
        <v>402</v>
      </c>
      <c r="N26" s="30">
        <f>VLOOKUP(B26,'740-14 '!$B$11:$AM$90,38,FALSE)</f>
        <v>55.299999999999983</v>
      </c>
      <c r="O26" s="201">
        <f>VLOOKUP(B26,'740-14 '!$B$11:$AN$90,39,FALSE)</f>
        <v>0</v>
      </c>
      <c r="P26" s="78">
        <f t="shared" si="7"/>
        <v>55.299999999999983</v>
      </c>
      <c r="Q26" s="199"/>
      <c r="R26" s="78">
        <f>VLOOKUP(B26,'1200-01'!$B$11:$AL$90,37,FALSE)</f>
        <v>0</v>
      </c>
      <c r="S26" s="78">
        <f t="shared" si="0"/>
        <v>0</v>
      </c>
      <c r="T26" s="199"/>
      <c r="U26" s="78">
        <f t="shared" si="8"/>
        <v>55.299999999999983</v>
      </c>
      <c r="V26" s="78">
        <f t="shared" si="9"/>
        <v>0</v>
      </c>
      <c r="W26" s="78">
        <f t="shared" si="10"/>
        <v>0</v>
      </c>
      <c r="X26" s="78">
        <f t="shared" si="11"/>
        <v>55.299999999999983</v>
      </c>
      <c r="Y26" s="203">
        <f t="shared" si="12"/>
        <v>27649.999999999993</v>
      </c>
      <c r="Z26" s="203">
        <f t="shared" si="13"/>
        <v>0</v>
      </c>
      <c r="AA26" s="203">
        <f t="shared" si="14"/>
        <v>0</v>
      </c>
      <c r="AB26" s="203">
        <f t="shared" si="15"/>
        <v>27649.999999999993</v>
      </c>
      <c r="AC26" s="203">
        <f>VLOOKUP(B26,'BONO EXTRA'!$A$7:$AO$90,41,FALSE)</f>
        <v>0</v>
      </c>
    </row>
    <row r="27" spans="2:29" ht="12" customHeight="1" thickBot="1">
      <c r="B27" s="233" t="s">
        <v>172</v>
      </c>
      <c r="C27" s="121"/>
      <c r="D27" s="122"/>
      <c r="E27" s="122"/>
      <c r="F27" s="234" t="s">
        <v>160</v>
      </c>
      <c r="G27" s="235" t="s">
        <v>173</v>
      </c>
      <c r="H27" s="101" t="s">
        <v>38</v>
      </c>
      <c r="I27" s="199"/>
      <c r="J27" s="30">
        <f>VLOOKUP(B27,'740-7'!$B$11:$AL$90,37,FALSE)</f>
        <v>73.699999999999989</v>
      </c>
      <c r="K27" s="201">
        <f>VLOOKUP(B27,'740-7'!$B$11:$AM$90,38,FALSE)</f>
        <v>0</v>
      </c>
      <c r="L27" s="78">
        <f t="shared" si="6"/>
        <v>73.699999999999989</v>
      </c>
      <c r="M27" s="196" t="s">
        <v>402</v>
      </c>
      <c r="N27" s="30">
        <f>VLOOKUP(B27,'740-14 '!$B$11:$AM$90,38,FALSE)</f>
        <v>55.299999999999983</v>
      </c>
      <c r="O27" s="201">
        <f>VLOOKUP(B27,'740-14 '!$B$11:$AN$90,39,FALSE)</f>
        <v>0</v>
      </c>
      <c r="P27" s="78">
        <f t="shared" si="7"/>
        <v>55.299999999999983</v>
      </c>
      <c r="Q27" s="199"/>
      <c r="R27" s="78">
        <f>VLOOKUP(B27,'1200-01'!$B$11:$AL$90,37,FALSE)</f>
        <v>0</v>
      </c>
      <c r="S27" s="236">
        <f t="shared" si="0"/>
        <v>0</v>
      </c>
      <c r="T27" s="199"/>
      <c r="U27" s="78">
        <f t="shared" si="8"/>
        <v>128.99999999999997</v>
      </c>
      <c r="V27" s="78">
        <f t="shared" si="9"/>
        <v>0</v>
      </c>
      <c r="W27" s="78">
        <f t="shared" si="10"/>
        <v>0</v>
      </c>
      <c r="X27" s="78">
        <f t="shared" si="11"/>
        <v>128.99999999999997</v>
      </c>
      <c r="Y27" s="203">
        <f t="shared" si="12"/>
        <v>64499.999999999985</v>
      </c>
      <c r="Z27" s="203">
        <f t="shared" si="13"/>
        <v>0</v>
      </c>
      <c r="AA27" s="203">
        <f t="shared" si="14"/>
        <v>0</v>
      </c>
      <c r="AB27" s="203">
        <f t="shared" si="15"/>
        <v>64499.999999999985</v>
      </c>
      <c r="AC27" s="203">
        <f>VLOOKUP(B27,'BONO EXTRA'!$A$7:$AO$90,41,FALSE)</f>
        <v>1387.5</v>
      </c>
    </row>
    <row r="28" spans="2:29" ht="12" customHeight="1" thickBot="1">
      <c r="B28" s="202" t="s">
        <v>174</v>
      </c>
      <c r="C28" s="121"/>
      <c r="D28" s="45"/>
      <c r="E28" s="45"/>
      <c r="F28" s="121" t="s">
        <v>160</v>
      </c>
      <c r="G28" s="101" t="s">
        <v>175</v>
      </c>
      <c r="H28" s="101" t="s">
        <v>38</v>
      </c>
      <c r="I28" s="199"/>
      <c r="J28" s="30">
        <f>VLOOKUP(B28,'740-7'!$B$11:$AL$90,37,FALSE)</f>
        <v>94.5</v>
      </c>
      <c r="K28" s="201">
        <f>VLOOKUP(B28,'740-7'!$B$11:$AM$90,38,FALSE)</f>
        <v>0</v>
      </c>
      <c r="L28" s="78">
        <f t="shared" si="6"/>
        <v>94.5</v>
      </c>
      <c r="M28" s="196" t="s">
        <v>402</v>
      </c>
      <c r="N28" s="30">
        <f>VLOOKUP(B28,'740-14 '!$B$11:$AM$90,38,FALSE)</f>
        <v>181.85000000000002</v>
      </c>
      <c r="O28" s="201">
        <f>VLOOKUP(B28,'740-14 '!$B$11:$AN$90,39,FALSE)</f>
        <v>6.25</v>
      </c>
      <c r="P28" s="78">
        <f t="shared" si="7"/>
        <v>188.10000000000002</v>
      </c>
      <c r="Q28" s="199"/>
      <c r="R28" s="78">
        <f>VLOOKUP(B28,'1200-01'!$B$11:$AL$90,37,FALSE)</f>
        <v>264</v>
      </c>
      <c r="S28" s="78">
        <f t="shared" si="0"/>
        <v>264</v>
      </c>
      <c r="T28" s="199"/>
      <c r="U28" s="78">
        <f t="shared" si="8"/>
        <v>276.35000000000002</v>
      </c>
      <c r="V28" s="78">
        <f t="shared" si="9"/>
        <v>6.25</v>
      </c>
      <c r="W28" s="78">
        <f t="shared" si="10"/>
        <v>264</v>
      </c>
      <c r="X28" s="78">
        <f t="shared" si="11"/>
        <v>546.6</v>
      </c>
      <c r="Y28" s="203">
        <f t="shared" si="12"/>
        <v>138175</v>
      </c>
      <c r="Z28" s="203">
        <f t="shared" si="13"/>
        <v>4375</v>
      </c>
      <c r="AA28" s="203">
        <f t="shared" si="14"/>
        <v>52800</v>
      </c>
      <c r="AB28" s="203">
        <f t="shared" si="15"/>
        <v>195350</v>
      </c>
      <c r="AC28" s="203">
        <f>VLOOKUP(B28,'BONO EXTRA'!$A$7:$AO$90,41,FALSE)</f>
        <v>1075</v>
      </c>
    </row>
    <row r="29" spans="2:29" ht="12" customHeight="1" thickBot="1">
      <c r="B29" s="202" t="s">
        <v>176</v>
      </c>
      <c r="C29" s="121"/>
      <c r="D29" s="45"/>
      <c r="E29" s="45"/>
      <c r="F29" s="121" t="s">
        <v>160</v>
      </c>
      <c r="G29" s="101" t="s">
        <v>177</v>
      </c>
      <c r="H29" s="235" t="s">
        <v>38</v>
      </c>
      <c r="I29" s="199"/>
      <c r="J29" s="30">
        <f>VLOOKUP(B29,'740-7'!$B$11:$AL$90,37,FALSE)</f>
        <v>0</v>
      </c>
      <c r="K29" s="201">
        <f>VLOOKUP(B29,'740-7'!$B$11:$AM$90,38,FALSE)</f>
        <v>0</v>
      </c>
      <c r="L29" s="78">
        <f t="shared" si="6"/>
        <v>0</v>
      </c>
      <c r="M29" s="196" t="s">
        <v>402</v>
      </c>
      <c r="N29" s="30">
        <f>VLOOKUP(B29,'740-14 '!$B$11:$AM$90,38,FALSE)</f>
        <v>237.15</v>
      </c>
      <c r="O29" s="201">
        <f>VLOOKUP(B29,'740-14 '!$B$11:$AN$90,39,FALSE)</f>
        <v>6.25</v>
      </c>
      <c r="P29" s="78">
        <f t="shared" si="7"/>
        <v>243.4</v>
      </c>
      <c r="Q29" s="199"/>
      <c r="R29" s="78">
        <f>VLOOKUP(B29,'1200-01'!$B$11:$AL$90,37,FALSE)</f>
        <v>0</v>
      </c>
      <c r="S29" s="78">
        <f t="shared" si="0"/>
        <v>0</v>
      </c>
      <c r="T29" s="199"/>
      <c r="U29" s="78">
        <f t="shared" si="8"/>
        <v>237.15</v>
      </c>
      <c r="V29" s="78">
        <f t="shared" si="9"/>
        <v>6.25</v>
      </c>
      <c r="W29" s="78">
        <f t="shared" si="10"/>
        <v>0</v>
      </c>
      <c r="X29" s="78">
        <f t="shared" si="11"/>
        <v>243.4</v>
      </c>
      <c r="Y29" s="203">
        <f t="shared" si="12"/>
        <v>118575</v>
      </c>
      <c r="Z29" s="203">
        <f t="shared" si="13"/>
        <v>4375</v>
      </c>
      <c r="AA29" s="203">
        <f t="shared" si="14"/>
        <v>0</v>
      </c>
      <c r="AB29" s="203">
        <f t="shared" si="15"/>
        <v>122950</v>
      </c>
      <c r="AC29" s="203">
        <f>VLOOKUP(B29,'BONO EXTRA'!$A$7:$AO$90,41,FALSE)</f>
        <v>325</v>
      </c>
    </row>
    <row r="30" spans="2:29" ht="12" customHeight="1" thickBot="1">
      <c r="B30" s="120" t="s">
        <v>178</v>
      </c>
      <c r="C30" s="121"/>
      <c r="D30" s="45"/>
      <c r="E30" s="45"/>
      <c r="F30" s="121" t="s">
        <v>160</v>
      </c>
      <c r="G30" s="101" t="s">
        <v>179</v>
      </c>
      <c r="H30" s="235" t="s">
        <v>38</v>
      </c>
      <c r="I30" s="199"/>
      <c r="J30" s="30">
        <f>VLOOKUP(B30,'740-7'!$B$11:$AL$90,37,FALSE)</f>
        <v>0</v>
      </c>
      <c r="K30" s="201">
        <f>VLOOKUP(B30,'740-7'!$B$11:$AM$90,38,FALSE)</f>
        <v>0</v>
      </c>
      <c r="L30" s="78">
        <f t="shared" si="6"/>
        <v>0</v>
      </c>
      <c r="M30" s="196" t="s">
        <v>402</v>
      </c>
      <c r="N30" s="30">
        <f>VLOOKUP(B30,'740-14 '!$B$11:$AM$90,38,FALSE)</f>
        <v>0</v>
      </c>
      <c r="O30" s="201">
        <f>VLOOKUP(B30,'740-14 '!$B$11:$AN$90,39,FALSE)</f>
        <v>0</v>
      </c>
      <c r="P30" s="78">
        <f t="shared" si="7"/>
        <v>0</v>
      </c>
      <c r="Q30" s="199"/>
      <c r="R30" s="78">
        <f>VLOOKUP(B30,'1200-01'!$B$11:$AL$90,37,FALSE)</f>
        <v>336</v>
      </c>
      <c r="S30" s="78">
        <f t="shared" si="0"/>
        <v>336</v>
      </c>
      <c r="T30" s="199"/>
      <c r="U30" s="78">
        <f t="shared" si="8"/>
        <v>0</v>
      </c>
      <c r="V30" s="78">
        <f t="shared" si="9"/>
        <v>0</v>
      </c>
      <c r="W30" s="78">
        <f t="shared" si="10"/>
        <v>336</v>
      </c>
      <c r="X30" s="78">
        <f t="shared" si="11"/>
        <v>336</v>
      </c>
      <c r="Y30" s="203">
        <f t="shared" si="12"/>
        <v>0</v>
      </c>
      <c r="Z30" s="203">
        <f t="shared" si="13"/>
        <v>0</v>
      </c>
      <c r="AA30" s="203">
        <f t="shared" si="14"/>
        <v>67200</v>
      </c>
      <c r="AB30" s="203">
        <f t="shared" si="15"/>
        <v>67200</v>
      </c>
      <c r="AC30" s="203">
        <f>VLOOKUP(B30,'BONO EXTRA'!$A$7:$AO$90,41,FALSE)</f>
        <v>0</v>
      </c>
    </row>
    <row r="31" spans="2:29" ht="12" customHeight="1" thickBot="1">
      <c r="B31" s="120" t="s">
        <v>180</v>
      </c>
      <c r="C31" s="121"/>
      <c r="D31" s="45"/>
      <c r="E31" s="45"/>
      <c r="F31" s="121" t="s">
        <v>160</v>
      </c>
      <c r="G31" s="101" t="s">
        <v>181</v>
      </c>
      <c r="H31" s="101" t="s">
        <v>38</v>
      </c>
      <c r="I31" s="199"/>
      <c r="J31" s="30">
        <f>VLOOKUP(B31,'740-7'!$B$11:$AL$90,37,FALSE)</f>
        <v>0</v>
      </c>
      <c r="K31" s="201">
        <f>VLOOKUP(B31,'740-7'!$B$11:$AM$90,38,FALSE)</f>
        <v>0</v>
      </c>
      <c r="L31" s="78">
        <f t="shared" si="6"/>
        <v>0</v>
      </c>
      <c r="M31" s="196" t="s">
        <v>402</v>
      </c>
      <c r="N31" s="30">
        <f>VLOOKUP(B31,'740-14 '!$B$11:$AM$90,38,FALSE)</f>
        <v>0</v>
      </c>
      <c r="O31" s="201">
        <f>VLOOKUP(B31,'740-14 '!$B$11:$AN$90,39,FALSE)</f>
        <v>0</v>
      </c>
      <c r="P31" s="78">
        <f t="shared" si="7"/>
        <v>0</v>
      </c>
      <c r="Q31" s="199"/>
      <c r="R31" s="78">
        <f>VLOOKUP(B31,'1200-01'!$B$11:$AL$90,37,FALSE)</f>
        <v>336</v>
      </c>
      <c r="S31" s="78">
        <f t="shared" ref="S31:S40" si="17">SUM(R31:R31)</f>
        <v>336</v>
      </c>
      <c r="T31" s="199"/>
      <c r="U31" s="78">
        <f t="shared" si="8"/>
        <v>0</v>
      </c>
      <c r="V31" s="78">
        <f t="shared" si="9"/>
        <v>0</v>
      </c>
      <c r="W31" s="78">
        <f t="shared" si="10"/>
        <v>336</v>
      </c>
      <c r="X31" s="78">
        <f t="shared" si="11"/>
        <v>336</v>
      </c>
      <c r="Y31" s="203">
        <f t="shared" si="12"/>
        <v>0</v>
      </c>
      <c r="Z31" s="203">
        <f t="shared" si="13"/>
        <v>0</v>
      </c>
      <c r="AA31" s="203">
        <f t="shared" si="14"/>
        <v>67200</v>
      </c>
      <c r="AB31" s="203">
        <f t="shared" si="15"/>
        <v>67200</v>
      </c>
      <c r="AC31" s="203">
        <f>VLOOKUP(B31,'BONO EXTRA'!$A$7:$AO$90,41,FALSE)</f>
        <v>600</v>
      </c>
    </row>
    <row r="32" spans="2:29" ht="12" customHeight="1" thickBot="1">
      <c r="B32" s="120" t="s">
        <v>182</v>
      </c>
      <c r="C32" s="121"/>
      <c r="D32" s="45"/>
      <c r="E32" s="45"/>
      <c r="F32" s="121" t="s">
        <v>160</v>
      </c>
      <c r="G32" s="101" t="s">
        <v>183</v>
      </c>
      <c r="H32" s="101" t="s">
        <v>38</v>
      </c>
      <c r="I32" s="199"/>
      <c r="J32" s="30">
        <f>VLOOKUP(B32,'740-7'!$B$11:$AL$90,37,FALSE)</f>
        <v>0</v>
      </c>
      <c r="K32" s="201">
        <f>VLOOKUP(B32,'740-7'!$B$11:$AM$90,38,FALSE)</f>
        <v>0</v>
      </c>
      <c r="L32" s="78">
        <f t="shared" si="6"/>
        <v>0</v>
      </c>
      <c r="M32" s="196" t="s">
        <v>402</v>
      </c>
      <c r="N32" s="30">
        <f>VLOOKUP(B32,'740-14 '!$B$11:$AM$90,38,FALSE)</f>
        <v>0</v>
      </c>
      <c r="O32" s="201">
        <f>VLOOKUP(B32,'740-14 '!$B$11:$AN$90,39,FALSE)</f>
        <v>0</v>
      </c>
      <c r="P32" s="78">
        <f t="shared" si="7"/>
        <v>0</v>
      </c>
      <c r="Q32" s="199"/>
      <c r="R32" s="78">
        <f>VLOOKUP(B32,'1200-01'!$B$11:$AL$90,37,FALSE)</f>
        <v>36</v>
      </c>
      <c r="S32" s="78">
        <f t="shared" si="17"/>
        <v>36</v>
      </c>
      <c r="T32" s="199"/>
      <c r="U32" s="78">
        <f t="shared" si="8"/>
        <v>0</v>
      </c>
      <c r="V32" s="78">
        <f t="shared" si="9"/>
        <v>0</v>
      </c>
      <c r="W32" s="78">
        <f t="shared" si="10"/>
        <v>36</v>
      </c>
      <c r="X32" s="78">
        <f t="shared" si="11"/>
        <v>36</v>
      </c>
      <c r="Y32" s="203">
        <f t="shared" si="12"/>
        <v>0</v>
      </c>
      <c r="Z32" s="203">
        <f t="shared" si="13"/>
        <v>0</v>
      </c>
      <c r="AA32" s="203">
        <f t="shared" si="14"/>
        <v>7200</v>
      </c>
      <c r="AB32" s="203">
        <f t="shared" si="15"/>
        <v>7200</v>
      </c>
      <c r="AC32" s="203">
        <f>VLOOKUP(B32,'BONO EXTRA'!$A$7:$AO$90,41,FALSE)</f>
        <v>0</v>
      </c>
    </row>
    <row r="33" spans="2:29" ht="12" customHeight="1" thickBot="1">
      <c r="B33" s="120" t="s">
        <v>185</v>
      </c>
      <c r="C33" s="121"/>
      <c r="D33" s="45"/>
      <c r="E33" s="45"/>
      <c r="F33" s="121" t="s">
        <v>160</v>
      </c>
      <c r="G33" s="101" t="s">
        <v>186</v>
      </c>
      <c r="H33" s="101" t="s">
        <v>38</v>
      </c>
      <c r="I33" s="199"/>
      <c r="J33" s="30">
        <f>VLOOKUP(B33,'740-7'!$B$11:$AL$90,37,FALSE)</f>
        <v>168.2</v>
      </c>
      <c r="K33" s="201">
        <f>VLOOKUP(B33,'740-7'!$B$11:$AM$90,38,FALSE)</f>
        <v>0</v>
      </c>
      <c r="L33" s="78">
        <f t="shared" si="6"/>
        <v>168.2</v>
      </c>
      <c r="M33" s="196" t="s">
        <v>402</v>
      </c>
      <c r="N33" s="30">
        <f>VLOOKUP(B33,'740-14 '!$B$11:$AM$90,38,FALSE)</f>
        <v>0</v>
      </c>
      <c r="O33" s="201">
        <f>VLOOKUP(B33,'740-14 '!$B$11:$AN$90,39,FALSE)</f>
        <v>0</v>
      </c>
      <c r="P33" s="78">
        <f t="shared" si="7"/>
        <v>0</v>
      </c>
      <c r="Q33" s="199"/>
      <c r="R33" s="78">
        <f>VLOOKUP(B33,'1200-01'!$B$11:$AL$90,37,FALSE)</f>
        <v>0</v>
      </c>
      <c r="S33" s="78">
        <f t="shared" si="17"/>
        <v>0</v>
      </c>
      <c r="T33" s="199"/>
      <c r="U33" s="78">
        <f t="shared" si="8"/>
        <v>168.2</v>
      </c>
      <c r="V33" s="78">
        <f t="shared" si="9"/>
        <v>0</v>
      </c>
      <c r="W33" s="78">
        <f t="shared" si="10"/>
        <v>0</v>
      </c>
      <c r="X33" s="78">
        <f t="shared" si="11"/>
        <v>168.2</v>
      </c>
      <c r="Y33" s="203">
        <f t="shared" si="12"/>
        <v>84100</v>
      </c>
      <c r="Z33" s="203">
        <f t="shared" si="13"/>
        <v>0</v>
      </c>
      <c r="AA33" s="203">
        <f t="shared" si="14"/>
        <v>0</v>
      </c>
      <c r="AB33" s="203">
        <f t="shared" si="15"/>
        <v>84100</v>
      </c>
      <c r="AC33" s="203">
        <f>VLOOKUP(B33,'BONO EXTRA'!$A$7:$AO$90,41,FALSE)</f>
        <v>150</v>
      </c>
    </row>
    <row r="34" spans="2:29" ht="12" customHeight="1" thickBot="1">
      <c r="B34" s="202" t="s">
        <v>187</v>
      </c>
      <c r="C34" s="121"/>
      <c r="D34" s="45"/>
      <c r="E34" s="45"/>
      <c r="F34" s="121" t="s">
        <v>160</v>
      </c>
      <c r="G34" s="101" t="s">
        <v>188</v>
      </c>
      <c r="H34" s="101" t="s">
        <v>38</v>
      </c>
      <c r="I34" s="199"/>
      <c r="J34" s="30">
        <f>VLOOKUP(B34,'740-7'!$B$11:$AL$90,37,FALSE)</f>
        <v>168.2</v>
      </c>
      <c r="K34" s="201">
        <f>VLOOKUP(B34,'740-7'!$B$11:$AM$90,38,FALSE)</f>
        <v>0</v>
      </c>
      <c r="L34" s="78">
        <f t="shared" si="6"/>
        <v>168.2</v>
      </c>
      <c r="M34" s="196" t="s">
        <v>402</v>
      </c>
      <c r="N34" s="30">
        <f>VLOOKUP(B34,'740-14 '!$B$11:$AM$90,38,FALSE)</f>
        <v>0</v>
      </c>
      <c r="O34" s="201">
        <f>VLOOKUP(B34,'740-14 '!$B$11:$AN$90,39,FALSE)</f>
        <v>0</v>
      </c>
      <c r="P34" s="78">
        <f t="shared" si="7"/>
        <v>0</v>
      </c>
      <c r="Q34" s="199"/>
      <c r="R34" s="78">
        <f>VLOOKUP(B34,'1200-01'!$B$11:$AL$90,37,FALSE)</f>
        <v>0</v>
      </c>
      <c r="S34" s="78">
        <f t="shared" si="17"/>
        <v>0</v>
      </c>
      <c r="T34" s="199"/>
      <c r="U34" s="78">
        <f t="shared" si="8"/>
        <v>168.2</v>
      </c>
      <c r="V34" s="78">
        <f t="shared" si="9"/>
        <v>0</v>
      </c>
      <c r="W34" s="78">
        <f t="shared" si="10"/>
        <v>0</v>
      </c>
      <c r="X34" s="78">
        <f t="shared" si="11"/>
        <v>168.2</v>
      </c>
      <c r="Y34" s="203">
        <f t="shared" si="12"/>
        <v>84100</v>
      </c>
      <c r="Z34" s="203">
        <f t="shared" si="13"/>
        <v>0</v>
      </c>
      <c r="AA34" s="203">
        <f t="shared" si="14"/>
        <v>0</v>
      </c>
      <c r="AB34" s="203">
        <f t="shared" si="15"/>
        <v>84100</v>
      </c>
      <c r="AC34" s="203">
        <f>VLOOKUP(B34,'BONO EXTRA'!$A$7:$AO$90,41,FALSE)</f>
        <v>225</v>
      </c>
    </row>
    <row r="35" spans="2:29" ht="12" customHeight="1" thickBot="1">
      <c r="B35" s="120" t="s">
        <v>189</v>
      </c>
      <c r="C35" s="121"/>
      <c r="D35" s="45"/>
      <c r="E35" s="45"/>
      <c r="F35" s="121" t="s">
        <v>160</v>
      </c>
      <c r="G35" s="101" t="s">
        <v>190</v>
      </c>
      <c r="H35" s="101" t="s">
        <v>38</v>
      </c>
      <c r="I35" s="199"/>
      <c r="J35" s="30">
        <f>VLOOKUP(B35,'740-7'!$B$11:$AL$90,37,FALSE)</f>
        <v>94.5</v>
      </c>
      <c r="K35" s="201">
        <f>VLOOKUP(B35,'740-7'!$B$11:$AM$90,38,FALSE)</f>
        <v>0</v>
      </c>
      <c r="L35" s="78">
        <f t="shared" si="6"/>
        <v>94.5</v>
      </c>
      <c r="M35" s="196" t="s">
        <v>402</v>
      </c>
      <c r="N35" s="30">
        <f>VLOOKUP(B35,'740-14 '!$B$11:$AM$90,38,FALSE)</f>
        <v>181.85000000000002</v>
      </c>
      <c r="O35" s="201">
        <f>VLOOKUP(B35,'740-14 '!$B$11:$AN$90,39,FALSE)</f>
        <v>6.25</v>
      </c>
      <c r="P35" s="78">
        <f t="shared" si="7"/>
        <v>188.10000000000002</v>
      </c>
      <c r="Q35" s="199"/>
      <c r="R35" s="78">
        <f>VLOOKUP(B35,'1200-01'!$B$11:$AL$90,37,FALSE)</f>
        <v>0</v>
      </c>
      <c r="S35" s="78">
        <f t="shared" si="17"/>
        <v>0</v>
      </c>
      <c r="T35" s="199"/>
      <c r="U35" s="78">
        <f t="shared" si="8"/>
        <v>276.35000000000002</v>
      </c>
      <c r="V35" s="78">
        <f t="shared" si="9"/>
        <v>6.25</v>
      </c>
      <c r="W35" s="78">
        <f t="shared" si="10"/>
        <v>0</v>
      </c>
      <c r="X35" s="78">
        <f t="shared" si="11"/>
        <v>282.60000000000002</v>
      </c>
      <c r="Y35" s="203">
        <f t="shared" si="12"/>
        <v>138175</v>
      </c>
      <c r="Z35" s="203">
        <f t="shared" si="13"/>
        <v>4375</v>
      </c>
      <c r="AA35" s="203">
        <f t="shared" si="14"/>
        <v>0</v>
      </c>
      <c r="AB35" s="203">
        <f t="shared" si="15"/>
        <v>142550</v>
      </c>
      <c r="AC35" s="203">
        <f>VLOOKUP(B35,'BONO EXTRA'!$A$7:$AO$90,41,FALSE)</f>
        <v>2900.0000000000005</v>
      </c>
    </row>
    <row r="36" spans="2:29" ht="12" customHeight="1" thickBot="1">
      <c r="B36" s="120" t="s">
        <v>344</v>
      </c>
      <c r="C36" s="121"/>
      <c r="D36" s="45"/>
      <c r="E36" s="45"/>
      <c r="F36" s="121" t="s">
        <v>160</v>
      </c>
      <c r="G36" s="101" t="s">
        <v>345</v>
      </c>
      <c r="H36" s="235" t="s">
        <v>38</v>
      </c>
      <c r="I36" s="199"/>
      <c r="J36" s="30">
        <f>VLOOKUP(B36,'740-7'!$B$11:$AL$90,37,FALSE)</f>
        <v>0</v>
      </c>
      <c r="K36" s="201">
        <f>VLOOKUP(B36,'740-7'!$B$11:$AM$90,38,FALSE)</f>
        <v>0</v>
      </c>
      <c r="L36" s="78">
        <f t="shared" ref="L36:L40" si="18">J36+K36</f>
        <v>0</v>
      </c>
      <c r="M36" s="196" t="s">
        <v>402</v>
      </c>
      <c r="N36" s="30">
        <f>VLOOKUP(B36,'740-14 '!$B$11:$AM$90,38,FALSE)</f>
        <v>0</v>
      </c>
      <c r="O36" s="201">
        <f>VLOOKUP(B36,'740-14 '!$B$11:$AN$90,39,FALSE)</f>
        <v>0</v>
      </c>
      <c r="P36" s="78">
        <f t="shared" si="7"/>
        <v>0</v>
      </c>
      <c r="Q36" s="199"/>
      <c r="R36" s="78">
        <f>VLOOKUP(B36,'1200-01'!$B$11:$AL$90,37,FALSE)</f>
        <v>0</v>
      </c>
      <c r="S36" s="78">
        <f t="shared" si="17"/>
        <v>0</v>
      </c>
      <c r="T36" s="199"/>
      <c r="U36" s="78">
        <f t="shared" si="8"/>
        <v>0</v>
      </c>
      <c r="V36" s="78">
        <f t="shared" si="9"/>
        <v>0</v>
      </c>
      <c r="W36" s="78">
        <f t="shared" si="10"/>
        <v>0</v>
      </c>
      <c r="X36" s="78">
        <f t="shared" si="11"/>
        <v>0</v>
      </c>
      <c r="Y36" s="203">
        <f t="shared" si="12"/>
        <v>0</v>
      </c>
      <c r="Z36" s="203">
        <f t="shared" si="13"/>
        <v>0</v>
      </c>
      <c r="AA36" s="203">
        <f t="shared" si="14"/>
        <v>0</v>
      </c>
      <c r="AB36" s="203">
        <f t="shared" si="15"/>
        <v>0</v>
      </c>
      <c r="AC36" s="203">
        <f>VLOOKUP(B36,'BONO EXTRA'!$A$7:$AO$90,41,FALSE)</f>
        <v>0</v>
      </c>
    </row>
    <row r="37" spans="2:29" ht="12" customHeight="1" thickBot="1">
      <c r="B37" s="120" t="s">
        <v>191</v>
      </c>
      <c r="C37" s="121"/>
      <c r="D37" s="45"/>
      <c r="E37" s="45"/>
      <c r="F37" s="121" t="s">
        <v>160</v>
      </c>
      <c r="G37" s="101" t="s">
        <v>192</v>
      </c>
      <c r="H37" s="235" t="s">
        <v>38</v>
      </c>
      <c r="I37" s="199"/>
      <c r="J37" s="30">
        <f>VLOOKUP(B37,'740-7'!$B$11:$AL$90,37,FALSE)</f>
        <v>0</v>
      </c>
      <c r="K37" s="201">
        <f>VLOOKUP(B37,'740-7'!$B$11:$AM$90,38,FALSE)</f>
        <v>0</v>
      </c>
      <c r="L37" s="78">
        <f t="shared" si="18"/>
        <v>0</v>
      </c>
      <c r="M37" s="196" t="s">
        <v>402</v>
      </c>
      <c r="N37" s="30">
        <f>VLOOKUP(B37,'740-14 '!$B$11:$AM$90,38,FALSE)</f>
        <v>0</v>
      </c>
      <c r="O37" s="201">
        <f>VLOOKUP(B37,'740-14 '!$B$11:$AN$90,39,FALSE)</f>
        <v>0</v>
      </c>
      <c r="P37" s="78">
        <f t="shared" si="7"/>
        <v>0</v>
      </c>
      <c r="Q37" s="199"/>
      <c r="R37" s="78">
        <f>VLOOKUP(B37,'1200-01'!$B$11:$AL$90,37,FALSE)</f>
        <v>36</v>
      </c>
      <c r="S37" s="78">
        <f t="shared" ref="S37" si="19">SUM(R37:R37)</f>
        <v>36</v>
      </c>
      <c r="T37" s="199"/>
      <c r="U37" s="78">
        <f t="shared" si="8"/>
        <v>0</v>
      </c>
      <c r="V37" s="78">
        <f t="shared" si="9"/>
        <v>0</v>
      </c>
      <c r="W37" s="78">
        <f t="shared" si="10"/>
        <v>36</v>
      </c>
      <c r="X37" s="78">
        <f t="shared" si="11"/>
        <v>36</v>
      </c>
      <c r="Y37" s="203">
        <f t="shared" si="12"/>
        <v>0</v>
      </c>
      <c r="Z37" s="203">
        <f t="shared" si="13"/>
        <v>0</v>
      </c>
      <c r="AA37" s="203">
        <f t="shared" si="14"/>
        <v>7200</v>
      </c>
      <c r="AB37" s="203">
        <f t="shared" si="15"/>
        <v>7200</v>
      </c>
      <c r="AC37" s="203">
        <f>VLOOKUP(B37,'BONO EXTRA'!$A$7:$AO$90,41,FALSE)</f>
        <v>0</v>
      </c>
    </row>
    <row r="38" spans="2:29" ht="12" customHeight="1" thickBot="1">
      <c r="B38" s="120" t="s">
        <v>194</v>
      </c>
      <c r="C38" s="121"/>
      <c r="D38" s="45"/>
      <c r="E38" s="45"/>
      <c r="F38" s="121" t="s">
        <v>160</v>
      </c>
      <c r="G38" s="101" t="s">
        <v>195</v>
      </c>
      <c r="H38" s="101" t="s">
        <v>38</v>
      </c>
      <c r="I38" s="199"/>
      <c r="J38" s="30">
        <f>VLOOKUP(B38,'740-7'!$B$11:$AL$90,37,FALSE)</f>
        <v>94.5</v>
      </c>
      <c r="K38" s="201">
        <f>VLOOKUP(B38,'740-7'!$B$11:$AM$90,38,FALSE)</f>
        <v>0</v>
      </c>
      <c r="L38" s="78">
        <f t="shared" si="18"/>
        <v>94.5</v>
      </c>
      <c r="M38" s="196" t="s">
        <v>402</v>
      </c>
      <c r="N38" s="30">
        <f>VLOOKUP(B38,'740-14 '!$B$11:$AM$90,38,FALSE)</f>
        <v>0</v>
      </c>
      <c r="O38" s="201">
        <f>VLOOKUP(B38,'740-14 '!$B$11:$AN$90,39,FALSE)</f>
        <v>0</v>
      </c>
      <c r="P38" s="78">
        <f t="shared" si="7"/>
        <v>0</v>
      </c>
      <c r="Q38" s="199"/>
      <c r="R38" s="78">
        <f>VLOOKUP(B38,'1200-01'!$B$11:$AL$90,37,FALSE)</f>
        <v>0</v>
      </c>
      <c r="S38" s="78">
        <f t="shared" si="17"/>
        <v>0</v>
      </c>
      <c r="T38" s="199"/>
      <c r="U38" s="78">
        <f t="shared" si="8"/>
        <v>94.5</v>
      </c>
      <c r="V38" s="78">
        <f t="shared" si="9"/>
        <v>0</v>
      </c>
      <c r="W38" s="78">
        <f t="shared" ref="W38:W40" si="20">R38</f>
        <v>0</v>
      </c>
      <c r="X38" s="78">
        <f t="shared" ref="X38:X40" si="21">SUM(U38:W38)</f>
        <v>94.5</v>
      </c>
      <c r="Y38" s="203">
        <f t="shared" ref="Y38:Y40" si="22">$Y$3*U38</f>
        <v>47250</v>
      </c>
      <c r="Z38" s="203">
        <f t="shared" ref="Z38:Z40" si="23">$Z$3*V38</f>
        <v>0</v>
      </c>
      <c r="AA38" s="203">
        <f t="shared" ref="AA38:AA40" si="24">$AA$3*W38</f>
        <v>0</v>
      </c>
      <c r="AB38" s="203">
        <f t="shared" ref="AB38:AB40" si="25">Y38+Z38+AA38</f>
        <v>47250</v>
      </c>
      <c r="AC38" s="203">
        <f>VLOOKUP(B38,'BONO EXTRA'!$A$7:$AO$90,41,FALSE)</f>
        <v>3525</v>
      </c>
    </row>
    <row r="39" spans="2:29" ht="12" customHeight="1" thickBot="1">
      <c r="B39" s="120" t="s">
        <v>197</v>
      </c>
      <c r="C39" s="121"/>
      <c r="D39" s="45"/>
      <c r="E39" s="45"/>
      <c r="F39" s="121" t="s">
        <v>160</v>
      </c>
      <c r="G39" s="101" t="s">
        <v>198</v>
      </c>
      <c r="H39" s="101" t="s">
        <v>38</v>
      </c>
      <c r="I39" s="199"/>
      <c r="J39" s="30">
        <f>VLOOKUP(B39,'740-7'!$B$11:$AL$90,37,FALSE)</f>
        <v>0</v>
      </c>
      <c r="K39" s="201">
        <f>VLOOKUP(B39,'740-7'!$B$11:$AM$90,38,FALSE)</f>
        <v>0</v>
      </c>
      <c r="L39" s="78">
        <f t="shared" si="18"/>
        <v>0</v>
      </c>
      <c r="M39" s="196" t="s">
        <v>402</v>
      </c>
      <c r="N39" s="30">
        <f>VLOOKUP(B39,'740-14 '!$B$11:$AM$90,38,FALSE)</f>
        <v>55.299999999999983</v>
      </c>
      <c r="O39" s="201">
        <f>VLOOKUP(B39,'740-14 '!$B$11:$AN$90,39,FALSE)</f>
        <v>0</v>
      </c>
      <c r="P39" s="78">
        <f t="shared" si="7"/>
        <v>55.299999999999983</v>
      </c>
      <c r="Q39" s="199"/>
      <c r="R39" s="78">
        <f>VLOOKUP(B39,'1200-01'!$B$11:$AL$90,37,FALSE)</f>
        <v>18</v>
      </c>
      <c r="S39" s="78">
        <f t="shared" si="17"/>
        <v>18</v>
      </c>
      <c r="T39" s="199"/>
      <c r="U39" s="78">
        <f t="shared" si="8"/>
        <v>55.299999999999983</v>
      </c>
      <c r="V39" s="78">
        <f t="shared" si="9"/>
        <v>0</v>
      </c>
      <c r="W39" s="78">
        <f t="shared" si="20"/>
        <v>18</v>
      </c>
      <c r="X39" s="78">
        <f t="shared" si="21"/>
        <v>73.299999999999983</v>
      </c>
      <c r="Y39" s="203">
        <f t="shared" si="22"/>
        <v>27649.999999999993</v>
      </c>
      <c r="Z39" s="203">
        <f t="shared" si="23"/>
        <v>0</v>
      </c>
      <c r="AA39" s="203">
        <f t="shared" si="24"/>
        <v>3600</v>
      </c>
      <c r="AB39" s="203">
        <f t="shared" si="25"/>
        <v>31249.999999999993</v>
      </c>
      <c r="AC39" s="203">
        <f>VLOOKUP(B39,'BONO EXTRA'!$A$7:$AO$90,41,FALSE)</f>
        <v>0</v>
      </c>
    </row>
    <row r="40" spans="2:29" ht="12" customHeight="1" thickBot="1">
      <c r="B40" s="120" t="s">
        <v>199</v>
      </c>
      <c r="C40" s="121"/>
      <c r="D40" s="45"/>
      <c r="E40" s="45"/>
      <c r="F40" s="121" t="s">
        <v>160</v>
      </c>
      <c r="G40" s="101" t="s">
        <v>200</v>
      </c>
      <c r="H40" s="101" t="s">
        <v>38</v>
      </c>
      <c r="I40" s="199"/>
      <c r="J40" s="30">
        <f>VLOOKUP(B40,'740-7'!$B$11:$AL$90,37,FALSE)</f>
        <v>0</v>
      </c>
      <c r="K40" s="201">
        <f>VLOOKUP(B40,'740-7'!$B$11:$AM$90,38,FALSE)</f>
        <v>0</v>
      </c>
      <c r="L40" s="78">
        <f t="shared" si="18"/>
        <v>0</v>
      </c>
      <c r="M40" s="196" t="s">
        <v>402</v>
      </c>
      <c r="N40" s="30">
        <f>VLOOKUP(B40,'740-14 '!$B$11:$AM$90,38,FALSE)</f>
        <v>0</v>
      </c>
      <c r="O40" s="201">
        <f>VLOOKUP(B40,'740-14 '!$B$11:$AN$90,39,FALSE)</f>
        <v>0</v>
      </c>
      <c r="P40" s="78">
        <f t="shared" ref="P40" si="26">N40+O40</f>
        <v>0</v>
      </c>
      <c r="Q40" s="199"/>
      <c r="R40" s="78">
        <f>VLOOKUP(B40,'1200-01'!$B$11:$AL$90,37,FALSE)</f>
        <v>54</v>
      </c>
      <c r="S40" s="78">
        <f t="shared" si="17"/>
        <v>54</v>
      </c>
      <c r="T40" s="199"/>
      <c r="U40" s="78">
        <f t="shared" si="8"/>
        <v>0</v>
      </c>
      <c r="V40" s="78">
        <f t="shared" si="9"/>
        <v>0</v>
      </c>
      <c r="W40" s="78">
        <f t="shared" si="20"/>
        <v>54</v>
      </c>
      <c r="X40" s="78">
        <f t="shared" si="21"/>
        <v>54</v>
      </c>
      <c r="Y40" s="203">
        <f t="shared" si="22"/>
        <v>0</v>
      </c>
      <c r="Z40" s="203">
        <f t="shared" si="23"/>
        <v>0</v>
      </c>
      <c r="AA40" s="203">
        <f t="shared" si="24"/>
        <v>10800</v>
      </c>
      <c r="AB40" s="203">
        <f t="shared" si="25"/>
        <v>10800</v>
      </c>
      <c r="AC40" s="203">
        <f>VLOOKUP(B40,'BONO EXTRA'!$A$7:$AO$90,41,FALSE)</f>
        <v>0</v>
      </c>
    </row>
    <row r="41" spans="2:29" ht="12" customHeight="1" thickBot="1">
      <c r="B41" s="202" t="s">
        <v>202</v>
      </c>
      <c r="C41" s="121"/>
      <c r="D41" s="45"/>
      <c r="E41" s="45"/>
      <c r="F41" s="121" t="s">
        <v>160</v>
      </c>
      <c r="G41" s="101" t="s">
        <v>203</v>
      </c>
      <c r="H41" s="101" t="s">
        <v>38</v>
      </c>
      <c r="I41" s="199"/>
      <c r="J41" s="30">
        <f>VLOOKUP(B41,'740-7'!$B$11:$AL$90,37,FALSE)</f>
        <v>94.5</v>
      </c>
      <c r="K41" s="201">
        <f>VLOOKUP(B41,'740-7'!$B$11:$AM$90,38,FALSE)</f>
        <v>0</v>
      </c>
      <c r="L41" s="78">
        <f t="shared" ref="L41:L45" si="27">J41+K41</f>
        <v>94.5</v>
      </c>
      <c r="M41" s="196" t="s">
        <v>402</v>
      </c>
      <c r="N41" s="30">
        <f>VLOOKUP(B41,'740-14 '!$B$11:$AM$90,38,FALSE)</f>
        <v>0</v>
      </c>
      <c r="O41" s="201">
        <f>VLOOKUP(B41,'740-14 '!$B$11:$AN$90,39,FALSE)</f>
        <v>0</v>
      </c>
      <c r="P41" s="78">
        <f t="shared" ref="P41:P45" si="28">N41+O41</f>
        <v>0</v>
      </c>
      <c r="Q41" s="199"/>
      <c r="R41" s="78">
        <f>VLOOKUP(B41,'1200-01'!$B$11:$AL$90,37,FALSE)</f>
        <v>300</v>
      </c>
      <c r="S41" s="78">
        <f t="shared" ref="S41:S45" si="29">SUM(R41:R41)</f>
        <v>300</v>
      </c>
      <c r="T41" s="199"/>
      <c r="U41" s="78">
        <f t="shared" si="8"/>
        <v>94.5</v>
      </c>
      <c r="V41" s="78">
        <f t="shared" si="9"/>
        <v>0</v>
      </c>
      <c r="W41" s="78">
        <f t="shared" ref="W41:W45" si="30">R41</f>
        <v>300</v>
      </c>
      <c r="X41" s="78">
        <f t="shared" ref="X41:X45" si="31">SUM(U41:W41)</f>
        <v>394.5</v>
      </c>
      <c r="Y41" s="203">
        <f t="shared" ref="Y41:Y45" si="32">$Y$3*U41</f>
        <v>47250</v>
      </c>
      <c r="Z41" s="203">
        <f t="shared" ref="Z41:Z45" si="33">$Z$3*V41</f>
        <v>0</v>
      </c>
      <c r="AA41" s="203">
        <f t="shared" ref="AA41:AA45" si="34">$AA$3*W41</f>
        <v>60000</v>
      </c>
      <c r="AB41" s="203">
        <f t="shared" ref="AB41:AB45" si="35">Y41+Z41+AA41</f>
        <v>107250</v>
      </c>
      <c r="AC41" s="203">
        <f>VLOOKUP(B41,'BONO EXTRA'!$A$7:$AO$90,41,FALSE)</f>
        <v>3525</v>
      </c>
    </row>
    <row r="42" spans="2:29" ht="12" customHeight="1" thickBot="1">
      <c r="B42" s="202" t="s">
        <v>204</v>
      </c>
      <c r="C42" s="121"/>
      <c r="D42" s="45"/>
      <c r="E42" s="45"/>
      <c r="F42" s="121" t="s">
        <v>160</v>
      </c>
      <c r="G42" s="101" t="s">
        <v>205</v>
      </c>
      <c r="H42" s="101" t="s">
        <v>38</v>
      </c>
      <c r="I42" s="199"/>
      <c r="J42" s="30">
        <f>VLOOKUP(B42,'740-7'!$B$11:$AL$90,37,FALSE)</f>
        <v>73.699999999999989</v>
      </c>
      <c r="K42" s="201">
        <f>VLOOKUP(B42,'740-7'!$B$11:$AM$90,38,FALSE)</f>
        <v>0</v>
      </c>
      <c r="L42" s="78">
        <f t="shared" si="27"/>
        <v>73.699999999999989</v>
      </c>
      <c r="M42" s="196" t="s">
        <v>402</v>
      </c>
      <c r="N42" s="30">
        <f>VLOOKUP(B42,'740-14 '!$B$11:$AM$90,38,FALSE)</f>
        <v>55.299999999999983</v>
      </c>
      <c r="O42" s="201">
        <f>VLOOKUP(B42,'740-14 '!$B$11:$AN$90,39,FALSE)</f>
        <v>0</v>
      </c>
      <c r="P42" s="78">
        <f t="shared" si="28"/>
        <v>55.299999999999983</v>
      </c>
      <c r="Q42" s="199"/>
      <c r="R42" s="78">
        <f>VLOOKUP(B42,'1200-01'!$B$11:$AL$90,37,FALSE)</f>
        <v>0</v>
      </c>
      <c r="S42" s="78">
        <f t="shared" si="29"/>
        <v>0</v>
      </c>
      <c r="T42" s="199"/>
      <c r="U42" s="78">
        <f t="shared" si="8"/>
        <v>128.99999999999997</v>
      </c>
      <c r="V42" s="78">
        <f t="shared" si="9"/>
        <v>0</v>
      </c>
      <c r="W42" s="78">
        <f t="shared" si="30"/>
        <v>0</v>
      </c>
      <c r="X42" s="78">
        <f t="shared" si="31"/>
        <v>128.99999999999997</v>
      </c>
      <c r="Y42" s="203">
        <f t="shared" si="32"/>
        <v>64499.999999999985</v>
      </c>
      <c r="Z42" s="203">
        <f t="shared" si="33"/>
        <v>0</v>
      </c>
      <c r="AA42" s="203">
        <f t="shared" si="34"/>
        <v>0</v>
      </c>
      <c r="AB42" s="203">
        <f t="shared" si="35"/>
        <v>64499.999999999985</v>
      </c>
      <c r="AC42" s="203">
        <f>VLOOKUP(B42,'BONO EXTRA'!$A$7:$AO$90,41,FALSE)</f>
        <v>925</v>
      </c>
    </row>
    <row r="43" spans="2:29" ht="12" customHeight="1" thickBot="1">
      <c r="B43" s="120" t="s">
        <v>206</v>
      </c>
      <c r="C43" s="121"/>
      <c r="D43" s="45"/>
      <c r="E43" s="45"/>
      <c r="F43" s="121" t="s">
        <v>160</v>
      </c>
      <c r="G43" s="101" t="s">
        <v>207</v>
      </c>
      <c r="H43" s="101" t="s">
        <v>38</v>
      </c>
      <c r="I43" s="199"/>
      <c r="J43" s="30">
        <f>VLOOKUP(B43,'740-7'!$B$11:$AL$90,37,FALSE)</f>
        <v>94.5</v>
      </c>
      <c r="K43" s="201">
        <f>VLOOKUP(B43,'740-7'!$B$11:$AM$90,38,FALSE)</f>
        <v>0</v>
      </c>
      <c r="L43" s="78">
        <f t="shared" si="27"/>
        <v>94.5</v>
      </c>
      <c r="M43" s="196" t="s">
        <v>402</v>
      </c>
      <c r="N43" s="30">
        <f>VLOOKUP(B43,'740-14 '!$B$11:$AM$90,38,FALSE)</f>
        <v>55.299999999999983</v>
      </c>
      <c r="O43" s="201">
        <f>VLOOKUP(B43,'740-14 '!$B$11:$AN$90,39,FALSE)</f>
        <v>0</v>
      </c>
      <c r="P43" s="78">
        <f t="shared" si="28"/>
        <v>55.299999999999983</v>
      </c>
      <c r="Q43" s="199"/>
      <c r="R43" s="78">
        <f>VLOOKUP(B43,'1200-01'!$B$11:$AL$90,37,FALSE)</f>
        <v>0</v>
      </c>
      <c r="S43" s="236">
        <f t="shared" si="29"/>
        <v>0</v>
      </c>
      <c r="T43" s="199"/>
      <c r="U43" s="78">
        <f t="shared" si="8"/>
        <v>149.79999999999998</v>
      </c>
      <c r="V43" s="78">
        <f t="shared" si="9"/>
        <v>0</v>
      </c>
      <c r="W43" s="78">
        <f t="shared" si="30"/>
        <v>0</v>
      </c>
      <c r="X43" s="78">
        <f t="shared" si="31"/>
        <v>149.79999999999998</v>
      </c>
      <c r="Y43" s="203">
        <f t="shared" si="32"/>
        <v>74899.999999999985</v>
      </c>
      <c r="Z43" s="203">
        <f t="shared" si="33"/>
        <v>0</v>
      </c>
      <c r="AA43" s="203">
        <f t="shared" si="34"/>
        <v>0</v>
      </c>
      <c r="AB43" s="203">
        <f t="shared" si="35"/>
        <v>74899.999999999985</v>
      </c>
      <c r="AC43" s="203">
        <f>VLOOKUP(B43,'BONO EXTRA'!$A$7:$AO$90,41,FALSE)</f>
        <v>150</v>
      </c>
    </row>
    <row r="44" spans="2:29" ht="12" customHeight="1" thickBot="1">
      <c r="B44" s="202" t="s">
        <v>208</v>
      </c>
      <c r="C44" s="121"/>
      <c r="D44" s="45"/>
      <c r="E44" s="45"/>
      <c r="F44" s="121" t="s">
        <v>160</v>
      </c>
      <c r="G44" s="101" t="s">
        <v>209</v>
      </c>
      <c r="H44" s="235" t="s">
        <v>38</v>
      </c>
      <c r="I44" s="199"/>
      <c r="J44" s="30">
        <f>VLOOKUP(B44,'740-7'!$B$11:$AL$90,37,FALSE)</f>
        <v>0</v>
      </c>
      <c r="K44" s="201">
        <f>VLOOKUP(B44,'740-7'!$B$11:$AM$90,38,FALSE)</f>
        <v>0</v>
      </c>
      <c r="L44" s="78">
        <f t="shared" si="27"/>
        <v>0</v>
      </c>
      <c r="M44" s="196" t="s">
        <v>402</v>
      </c>
      <c r="N44" s="30">
        <f>VLOOKUP(B44,'740-14 '!$B$11:$AM$90,38,FALSE)</f>
        <v>237.15</v>
      </c>
      <c r="O44" s="201">
        <f>VLOOKUP(B44,'740-14 '!$B$11:$AN$90,39,FALSE)</f>
        <v>6.25</v>
      </c>
      <c r="P44" s="78">
        <f t="shared" si="28"/>
        <v>243.4</v>
      </c>
      <c r="Q44" s="199"/>
      <c r="R44" s="78">
        <f>VLOOKUP(B44,'1200-01'!$B$11:$AL$90,37,FALSE)</f>
        <v>0</v>
      </c>
      <c r="S44" s="236">
        <f t="shared" si="29"/>
        <v>0</v>
      </c>
      <c r="T44" s="199"/>
      <c r="U44" s="78">
        <f t="shared" si="8"/>
        <v>237.15</v>
      </c>
      <c r="V44" s="78">
        <f t="shared" si="9"/>
        <v>6.25</v>
      </c>
      <c r="W44" s="78">
        <f t="shared" si="30"/>
        <v>0</v>
      </c>
      <c r="X44" s="78">
        <f t="shared" si="31"/>
        <v>243.4</v>
      </c>
      <c r="Y44" s="203">
        <f t="shared" si="32"/>
        <v>118575</v>
      </c>
      <c r="Z44" s="203">
        <f t="shared" si="33"/>
        <v>4375</v>
      </c>
      <c r="AA44" s="203">
        <f t="shared" si="34"/>
        <v>0</v>
      </c>
      <c r="AB44" s="203">
        <f t="shared" si="35"/>
        <v>122950</v>
      </c>
      <c r="AC44" s="203">
        <f>VLOOKUP(B44,'BONO EXTRA'!$A$7:$AO$90,41,FALSE)</f>
        <v>325</v>
      </c>
    </row>
    <row r="45" spans="2:29" ht="12" customHeight="1" thickBot="1">
      <c r="B45" s="202" t="s">
        <v>210</v>
      </c>
      <c r="C45" s="121"/>
      <c r="D45" s="45"/>
      <c r="E45" s="45"/>
      <c r="F45" s="121" t="s">
        <v>160</v>
      </c>
      <c r="G45" s="101" t="s">
        <v>211</v>
      </c>
      <c r="H45" s="235" t="s">
        <v>38</v>
      </c>
      <c r="I45" s="199"/>
      <c r="J45" s="30">
        <f>VLOOKUP(B45,'740-7'!$B$11:$AL$90,37,FALSE)</f>
        <v>0</v>
      </c>
      <c r="K45" s="201">
        <f>VLOOKUP(B45,'740-7'!$B$11:$AM$90,38,FALSE)</f>
        <v>0</v>
      </c>
      <c r="L45" s="78">
        <f t="shared" si="27"/>
        <v>0</v>
      </c>
      <c r="M45" s="196" t="s">
        <v>402</v>
      </c>
      <c r="N45" s="30">
        <f>VLOOKUP(B45,'740-14 '!$B$11:$AM$90,38,FALSE)</f>
        <v>237.15</v>
      </c>
      <c r="O45" s="201">
        <f>VLOOKUP(B45,'740-14 '!$B$11:$AN$90,39,FALSE)</f>
        <v>6.25</v>
      </c>
      <c r="P45" s="78">
        <f t="shared" si="28"/>
        <v>243.4</v>
      </c>
      <c r="Q45" s="199"/>
      <c r="R45" s="78">
        <f>VLOOKUP(B45,'1200-01'!$B$11:$AL$90,37,FALSE)</f>
        <v>0</v>
      </c>
      <c r="S45" s="78">
        <f t="shared" si="29"/>
        <v>0</v>
      </c>
      <c r="T45" s="199"/>
      <c r="U45" s="78">
        <f t="shared" si="8"/>
        <v>237.15</v>
      </c>
      <c r="V45" s="78">
        <f t="shared" si="9"/>
        <v>6.25</v>
      </c>
      <c r="W45" s="78">
        <f t="shared" si="30"/>
        <v>0</v>
      </c>
      <c r="X45" s="78">
        <f t="shared" si="31"/>
        <v>243.4</v>
      </c>
      <c r="Y45" s="203">
        <f t="shared" si="32"/>
        <v>118575</v>
      </c>
      <c r="Z45" s="203">
        <f t="shared" si="33"/>
        <v>4375</v>
      </c>
      <c r="AA45" s="203">
        <f t="shared" si="34"/>
        <v>0</v>
      </c>
      <c r="AB45" s="203">
        <f t="shared" si="35"/>
        <v>122950</v>
      </c>
      <c r="AC45" s="203">
        <f>VLOOKUP(B45,'BONO EXTRA'!$A$7:$AO$90,41,FALSE)</f>
        <v>1475</v>
      </c>
    </row>
    <row r="46" spans="2:29" ht="12" customHeight="1" thickBot="1">
      <c r="B46" s="202"/>
      <c r="C46" s="121"/>
      <c r="D46" s="45"/>
      <c r="E46" s="45"/>
      <c r="F46" s="121"/>
      <c r="G46" s="101"/>
      <c r="H46" s="101"/>
      <c r="I46" s="199"/>
      <c r="J46" s="30"/>
      <c r="K46" s="201"/>
      <c r="L46" s="78"/>
      <c r="M46" s="196"/>
      <c r="N46" s="30"/>
      <c r="O46" s="201"/>
      <c r="P46" s="78"/>
      <c r="Q46" s="199"/>
      <c r="R46" s="78"/>
      <c r="S46" s="78"/>
      <c r="T46" s="199"/>
      <c r="U46" s="78"/>
      <c r="V46" s="78"/>
      <c r="W46" s="78"/>
      <c r="X46" s="78"/>
      <c r="Y46" s="203"/>
      <c r="Z46" s="203"/>
      <c r="AA46" s="203"/>
      <c r="AB46" s="203"/>
      <c r="AC46" s="203"/>
    </row>
    <row r="47" spans="2:29" ht="12" customHeight="1" thickBot="1">
      <c r="B47" s="202"/>
      <c r="C47" s="121"/>
      <c r="D47" s="45"/>
      <c r="E47" s="45"/>
      <c r="F47" s="121"/>
      <c r="G47" s="101"/>
      <c r="H47" s="101"/>
      <c r="I47" s="199"/>
      <c r="J47" s="30"/>
      <c r="K47" s="201"/>
      <c r="L47" s="78"/>
      <c r="M47" s="196"/>
      <c r="N47" s="30"/>
      <c r="O47" s="201"/>
      <c r="P47" s="78"/>
      <c r="Q47" s="199"/>
      <c r="R47" s="78"/>
      <c r="S47" s="236"/>
      <c r="T47" s="199"/>
      <c r="U47" s="78"/>
      <c r="V47" s="78"/>
      <c r="W47" s="78"/>
      <c r="X47" s="78"/>
      <c r="Y47" s="203"/>
      <c r="Z47" s="203"/>
      <c r="AA47" s="203"/>
      <c r="AB47" s="203"/>
      <c r="AC47" s="203"/>
    </row>
    <row r="48" spans="2:29" ht="12" customHeight="1" thickBot="1">
      <c r="B48" s="202"/>
      <c r="C48" s="121"/>
      <c r="D48" s="45"/>
      <c r="E48" s="45"/>
      <c r="F48" s="121"/>
      <c r="G48" s="101"/>
      <c r="H48" s="101"/>
      <c r="I48" s="199"/>
      <c r="J48" s="30"/>
      <c r="K48" s="201"/>
      <c r="L48" s="78"/>
      <c r="M48" s="196"/>
      <c r="N48" s="30"/>
      <c r="O48" s="201"/>
      <c r="P48" s="78"/>
      <c r="Q48" s="199"/>
      <c r="R48" s="78"/>
      <c r="S48" s="236"/>
      <c r="T48" s="199"/>
      <c r="U48" s="78"/>
      <c r="V48" s="78"/>
      <c r="W48" s="78"/>
      <c r="X48" s="78"/>
      <c r="Y48" s="203"/>
      <c r="Z48" s="203"/>
      <c r="AA48" s="203"/>
      <c r="AB48" s="203"/>
      <c r="AC48" s="203"/>
    </row>
    <row r="49" spans="2:29" ht="12" customHeight="1" thickBot="1">
      <c r="B49" s="202"/>
      <c r="C49" s="121"/>
      <c r="D49" s="45"/>
      <c r="E49" s="45"/>
      <c r="F49" s="121"/>
      <c r="G49" s="101"/>
      <c r="H49" s="101"/>
      <c r="I49" s="199"/>
      <c r="J49" s="30"/>
      <c r="K49" s="201"/>
      <c r="L49" s="78"/>
      <c r="M49" s="196"/>
      <c r="N49" s="30"/>
      <c r="O49" s="201"/>
      <c r="P49" s="78"/>
      <c r="Q49" s="199"/>
      <c r="R49" s="78"/>
      <c r="S49" s="78"/>
      <c r="T49" s="199"/>
      <c r="U49" s="78"/>
      <c r="V49" s="78"/>
      <c r="W49" s="78"/>
      <c r="X49" s="78"/>
      <c r="Y49" s="203"/>
      <c r="Z49" s="203"/>
      <c r="AA49" s="203"/>
      <c r="AB49" s="203"/>
      <c r="AC49" s="203"/>
    </row>
    <row r="50" spans="2:29" ht="12" customHeight="1" thickBot="1">
      <c r="B50" s="120"/>
      <c r="C50" s="121"/>
      <c r="D50" s="45"/>
      <c r="E50" s="45"/>
      <c r="F50" s="121"/>
      <c r="G50" s="101"/>
      <c r="H50" s="101"/>
      <c r="I50" s="199"/>
      <c r="J50" s="30"/>
      <c r="K50" s="201"/>
      <c r="L50" s="78"/>
      <c r="M50" s="196"/>
      <c r="N50" s="30"/>
      <c r="O50" s="201"/>
      <c r="P50" s="78"/>
      <c r="Q50" s="199"/>
      <c r="R50" s="78"/>
      <c r="S50" s="78"/>
      <c r="T50" s="199"/>
      <c r="U50" s="78"/>
      <c r="V50" s="78"/>
      <c r="W50" s="78"/>
      <c r="X50" s="78"/>
      <c r="Y50" s="203"/>
      <c r="Z50" s="203"/>
      <c r="AA50" s="203"/>
      <c r="AB50" s="203"/>
      <c r="AC50" s="203"/>
    </row>
    <row r="51" spans="2:29" ht="12" customHeight="1" thickBot="1">
      <c r="B51" s="202"/>
      <c r="C51" s="121"/>
      <c r="D51" s="45"/>
      <c r="E51" s="45"/>
      <c r="F51" s="121"/>
      <c r="G51" s="101"/>
      <c r="H51" s="235"/>
      <c r="I51" s="199"/>
      <c r="J51" s="30"/>
      <c r="K51" s="201"/>
      <c r="L51" s="78"/>
      <c r="M51" s="196"/>
      <c r="N51" s="30"/>
      <c r="O51" s="201"/>
      <c r="P51" s="78"/>
      <c r="Q51" s="199"/>
      <c r="R51" s="78"/>
      <c r="S51" s="236"/>
      <c r="T51" s="199"/>
      <c r="U51" s="78"/>
      <c r="V51" s="78"/>
      <c r="W51" s="78"/>
      <c r="X51" s="78"/>
      <c r="Y51" s="203"/>
      <c r="Z51" s="203"/>
      <c r="AA51" s="203"/>
      <c r="AB51" s="203"/>
      <c r="AC51" s="203"/>
    </row>
    <row r="52" spans="2:29" ht="12" customHeight="1" thickBot="1">
      <c r="B52" s="202"/>
      <c r="C52" s="121"/>
      <c r="D52" s="45"/>
      <c r="E52" s="45"/>
      <c r="F52" s="121"/>
      <c r="G52" s="101"/>
      <c r="H52" s="235"/>
      <c r="I52" s="199"/>
      <c r="J52" s="30"/>
      <c r="K52" s="201"/>
      <c r="L52" s="78"/>
      <c r="M52" s="196"/>
      <c r="N52" s="30"/>
      <c r="O52" s="201"/>
      <c r="P52" s="78"/>
      <c r="Q52" s="199"/>
      <c r="R52" s="78"/>
      <c r="S52" s="78"/>
      <c r="T52" s="199"/>
      <c r="U52" s="78"/>
      <c r="V52" s="78"/>
      <c r="W52" s="78"/>
      <c r="X52" s="78"/>
      <c r="Y52" s="203"/>
      <c r="Z52" s="203"/>
      <c r="AA52" s="203"/>
      <c r="AB52" s="203"/>
      <c r="AC52" s="203"/>
    </row>
    <row r="53" spans="2:29" ht="12" customHeight="1" thickBot="1">
      <c r="B53" s="202"/>
      <c r="C53" s="121"/>
      <c r="D53" s="45"/>
      <c r="E53" s="45"/>
      <c r="F53" s="121"/>
      <c r="G53" s="101"/>
      <c r="H53" s="101"/>
      <c r="I53" s="199"/>
      <c r="J53" s="30"/>
      <c r="K53" s="201"/>
      <c r="L53" s="78"/>
      <c r="M53" s="196"/>
      <c r="N53" s="30"/>
      <c r="O53" s="201"/>
      <c r="P53" s="78"/>
      <c r="Q53" s="199"/>
      <c r="R53" s="78"/>
      <c r="S53" s="78"/>
      <c r="T53" s="199"/>
      <c r="U53" s="78"/>
      <c r="V53" s="78"/>
      <c r="W53" s="78"/>
      <c r="X53" s="78"/>
      <c r="Y53" s="203"/>
      <c r="Z53" s="203"/>
      <c r="AA53" s="203"/>
      <c r="AB53" s="203"/>
      <c r="AC53" s="203"/>
    </row>
    <row r="54" spans="2:29" ht="12" customHeight="1" thickBot="1">
      <c r="B54" s="202"/>
      <c r="C54" s="121"/>
      <c r="D54" s="45"/>
      <c r="E54" s="45"/>
      <c r="F54" s="121"/>
      <c r="G54" s="101"/>
      <c r="H54" s="101"/>
      <c r="I54" s="199"/>
      <c r="J54" s="30"/>
      <c r="K54" s="201"/>
      <c r="L54" s="78"/>
      <c r="M54" s="196"/>
      <c r="N54" s="30"/>
      <c r="O54" s="201"/>
      <c r="P54" s="78"/>
      <c r="Q54" s="199"/>
      <c r="R54" s="78"/>
      <c r="S54" s="78"/>
      <c r="T54" s="199"/>
      <c r="U54" s="78"/>
      <c r="V54" s="78"/>
      <c r="W54" s="78"/>
      <c r="X54" s="78"/>
      <c r="Y54" s="203"/>
      <c r="Z54" s="203"/>
      <c r="AA54" s="203"/>
      <c r="AB54" s="203"/>
      <c r="AC54" s="203"/>
    </row>
    <row r="55" spans="2:29" ht="12" customHeight="1" thickBot="1">
      <c r="B55" s="269"/>
      <c r="C55" s="283"/>
      <c r="D55" s="47"/>
      <c r="E55" s="47"/>
      <c r="F55" s="283"/>
      <c r="G55" s="272"/>
      <c r="H55" s="272"/>
      <c r="I55" s="199"/>
      <c r="J55" s="127"/>
      <c r="K55" s="266"/>
      <c r="L55" s="269"/>
      <c r="M55" s="268"/>
      <c r="N55" s="127"/>
      <c r="O55" s="266"/>
      <c r="P55" s="126"/>
      <c r="Q55" s="268"/>
      <c r="R55" s="126"/>
      <c r="S55" s="126"/>
      <c r="T55" s="268"/>
      <c r="U55" s="126"/>
      <c r="V55" s="126"/>
      <c r="W55" s="126"/>
      <c r="X55" s="126"/>
      <c r="Y55" s="270"/>
      <c r="Z55" s="270"/>
      <c r="AA55" s="270"/>
      <c r="AB55" s="270"/>
      <c r="AC55" s="270"/>
    </row>
    <row r="56" spans="2:29">
      <c r="AB56" s="204">
        <f>SUM(AB4:AB55)</f>
        <v>4490725</v>
      </c>
      <c r="AC56" s="204">
        <f>SUM(AC4:AC55)</f>
        <v>166062.5</v>
      </c>
    </row>
    <row r="63" spans="2:29">
      <c r="H63" s="88"/>
      <c r="I63" s="88"/>
    </row>
    <row r="64" spans="2:29">
      <c r="H64" s="88"/>
      <c r="I64" s="88"/>
    </row>
    <row r="65" spans="8:9">
      <c r="H65" s="88"/>
      <c r="I65" s="88"/>
    </row>
    <row r="66" spans="8:9">
      <c r="H66" s="88"/>
      <c r="I66" s="88"/>
    </row>
    <row r="67" spans="8:9">
      <c r="H67" s="88"/>
      <c r="I67" s="88"/>
    </row>
    <row r="68" spans="8:9">
      <c r="H68" s="88"/>
      <c r="I68" s="88"/>
    </row>
  </sheetData>
  <autoFilter ref="B3:AC54" xr:uid="{00000000-0001-0000-0500-000000000000}"/>
  <sortState xmlns:xlrd2="http://schemas.microsoft.com/office/spreadsheetml/2017/richdata2" ref="B4:AC56">
    <sortCondition ref="F4:F56"/>
    <sortCondition ref="G4:G56"/>
  </sortState>
  <mergeCells count="5">
    <mergeCell ref="U2:W2"/>
    <mergeCell ref="Y2:AA2"/>
    <mergeCell ref="R2:S2"/>
    <mergeCell ref="J2:L2"/>
    <mergeCell ref="N2:P2"/>
  </mergeCells>
  <phoneticPr fontId="5" type="noConversion"/>
  <conditionalFormatting sqref="B1:B1048576">
    <cfRule type="duplicateValues" dxfId="187" priority="1"/>
  </conditionalFormatting>
  <conditionalFormatting sqref="B56:B1048576 B1:B3">
    <cfRule type="duplicateValues" dxfId="186" priority="600"/>
  </conditionalFormatting>
  <conditionalFormatting sqref="E3">
    <cfRule type="cellIs" dxfId="185" priority="5" operator="equal">
      <formula>"VIGENTE"</formula>
    </cfRule>
  </conditionalFormatting>
  <conditionalFormatting sqref="G69:G1048576 G56:G62 G1:G3">
    <cfRule type="duplicateValues" dxfId="184" priority="720"/>
  </conditionalFormatting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D5D3-9A16-4C34-8A9C-DF76E8341F4F}">
  <dimension ref="J1:AR38"/>
  <sheetViews>
    <sheetView showGridLines="0" topLeftCell="Q1" workbookViewId="0">
      <selection activeCell="AF10" sqref="AF10"/>
    </sheetView>
  </sheetViews>
  <sheetFormatPr defaultColWidth="11.42578125" defaultRowHeight="14.45"/>
  <sheetData>
    <row r="1" spans="10:44">
      <c r="Y1">
        <v>237.15</v>
      </c>
      <c r="Z1">
        <v>6.25</v>
      </c>
    </row>
    <row r="2" spans="10:44">
      <c r="J2" s="517">
        <v>46206</v>
      </c>
      <c r="K2" s="518" t="s">
        <v>358</v>
      </c>
      <c r="L2" t="s">
        <v>404</v>
      </c>
      <c r="N2" t="s">
        <v>405</v>
      </c>
      <c r="P2">
        <v>9</v>
      </c>
      <c r="Q2">
        <v>10</v>
      </c>
      <c r="R2" s="519">
        <f>+P2+Q2</f>
        <v>19</v>
      </c>
      <c r="V2" s="517">
        <v>46206</v>
      </c>
      <c r="W2" s="518" t="s">
        <v>358</v>
      </c>
      <c r="X2" t="s">
        <v>404</v>
      </c>
      <c r="Z2" t="s">
        <v>405</v>
      </c>
      <c r="AB2">
        <v>9</v>
      </c>
      <c r="AC2">
        <v>10</v>
      </c>
      <c r="AD2" s="519">
        <f>+AB2+AC2</f>
        <v>19</v>
      </c>
      <c r="AH2" s="517">
        <v>46206</v>
      </c>
      <c r="AI2" s="518" t="s">
        <v>358</v>
      </c>
      <c r="AJ2" t="s">
        <v>404</v>
      </c>
      <c r="AL2" t="s">
        <v>405</v>
      </c>
      <c r="AN2">
        <v>9</v>
      </c>
      <c r="AO2">
        <v>10</v>
      </c>
      <c r="AP2" s="519">
        <f>+AN2+AO2</f>
        <v>19</v>
      </c>
    </row>
    <row r="3" spans="10:44" ht="15" thickBot="1">
      <c r="J3" s="517">
        <v>46215</v>
      </c>
      <c r="K3" s="518" t="s">
        <v>359</v>
      </c>
      <c r="L3" t="s">
        <v>406</v>
      </c>
      <c r="N3" t="s">
        <v>407</v>
      </c>
      <c r="P3">
        <v>2</v>
      </c>
      <c r="Q3">
        <v>10</v>
      </c>
      <c r="R3" s="519">
        <f>+P3+Q3</f>
        <v>12</v>
      </c>
      <c r="V3" s="517">
        <v>46215</v>
      </c>
      <c r="W3" s="518" t="s">
        <v>359</v>
      </c>
      <c r="X3" t="s">
        <v>406</v>
      </c>
      <c r="Z3" t="s">
        <v>407</v>
      </c>
      <c r="AB3">
        <v>2</v>
      </c>
      <c r="AC3">
        <v>10</v>
      </c>
      <c r="AD3" s="519">
        <f>+AB3+AC3</f>
        <v>12</v>
      </c>
      <c r="AH3" s="517">
        <v>46215</v>
      </c>
      <c r="AI3" s="518" t="s">
        <v>359</v>
      </c>
      <c r="AJ3" t="s">
        <v>406</v>
      </c>
      <c r="AL3" t="s">
        <v>407</v>
      </c>
      <c r="AN3">
        <v>2</v>
      </c>
      <c r="AO3">
        <v>10</v>
      </c>
      <c r="AP3" s="519">
        <f>+AN3+AO3</f>
        <v>12</v>
      </c>
    </row>
    <row r="4" spans="10:44">
      <c r="J4" s="520">
        <f>+J3-J2</f>
        <v>9</v>
      </c>
      <c r="K4" s="615" t="s">
        <v>408</v>
      </c>
      <c r="L4" s="616"/>
      <c r="M4" s="616"/>
      <c r="N4" s="616"/>
      <c r="O4" s="616"/>
      <c r="P4" s="616"/>
      <c r="Q4" s="616"/>
      <c r="R4" s="616"/>
      <c r="S4" s="616"/>
      <c r="T4" s="617"/>
      <c r="V4" s="520">
        <f>+V3-V2</f>
        <v>9</v>
      </c>
      <c r="W4" s="615" t="s">
        <v>408</v>
      </c>
      <c r="X4" s="616"/>
      <c r="Y4" s="616"/>
      <c r="Z4" s="616"/>
      <c r="AA4" s="616"/>
      <c r="AB4" s="616"/>
      <c r="AC4" s="616"/>
      <c r="AD4" s="616"/>
      <c r="AE4" s="616"/>
      <c r="AF4" s="617"/>
      <c r="AH4" s="520">
        <f>+AH3-AH2</f>
        <v>9</v>
      </c>
      <c r="AI4" s="615" t="s">
        <v>408</v>
      </c>
      <c r="AJ4" s="616"/>
      <c r="AK4" s="616"/>
      <c r="AL4" s="616"/>
      <c r="AM4" s="616"/>
      <c r="AN4" s="616"/>
      <c r="AO4" s="616"/>
      <c r="AP4" s="616"/>
      <c r="AQ4" s="616"/>
      <c r="AR4" s="617"/>
    </row>
    <row r="5" spans="10:44" ht="15" thickBot="1">
      <c r="J5" s="517">
        <v>46226</v>
      </c>
      <c r="K5" s="549" t="s">
        <v>409</v>
      </c>
      <c r="L5" s="550"/>
      <c r="M5" s="550"/>
      <c r="N5" s="550"/>
      <c r="O5" s="550"/>
      <c r="P5" s="550"/>
      <c r="Q5" s="550"/>
      <c r="R5" s="550"/>
      <c r="S5" s="550"/>
      <c r="T5" s="551"/>
      <c r="V5" s="517">
        <v>46226</v>
      </c>
      <c r="W5" s="549" t="s">
        <v>409</v>
      </c>
      <c r="X5" s="550"/>
      <c r="Y5" s="550"/>
      <c r="Z5" s="550"/>
      <c r="AA5" s="550"/>
      <c r="AB5" s="550"/>
      <c r="AC5" s="550"/>
      <c r="AD5" s="550"/>
      <c r="AE5" s="550"/>
      <c r="AF5" s="551"/>
      <c r="AH5" s="517">
        <v>46226</v>
      </c>
      <c r="AI5" s="549" t="s">
        <v>409</v>
      </c>
      <c r="AJ5" s="550"/>
      <c r="AK5" s="550"/>
      <c r="AL5" s="550"/>
      <c r="AM5" s="550"/>
      <c r="AN5" s="550"/>
      <c r="AO5" s="550"/>
      <c r="AP5" s="550"/>
      <c r="AQ5" s="550"/>
      <c r="AR5" s="551"/>
    </row>
    <row r="6" spans="10:44">
      <c r="J6" s="520">
        <v>46234</v>
      </c>
      <c r="K6" s="521" t="str">
        <f>+K4</f>
        <v>1200-2</v>
      </c>
      <c r="L6" t="s">
        <v>410</v>
      </c>
      <c r="M6" s="284" t="s">
        <v>354</v>
      </c>
      <c r="N6" s="284" t="s">
        <v>354</v>
      </c>
      <c r="O6" s="284" t="s">
        <v>411</v>
      </c>
      <c r="P6" s="284" t="s">
        <v>412</v>
      </c>
      <c r="Q6" s="284"/>
      <c r="R6" s="522" t="s">
        <v>413</v>
      </c>
      <c r="S6" s="522" t="s">
        <v>414</v>
      </c>
      <c r="T6" s="523" t="s">
        <v>415</v>
      </c>
      <c r="V6" s="520">
        <v>46234</v>
      </c>
      <c r="W6" s="521" t="s">
        <v>401</v>
      </c>
      <c r="X6" t="s">
        <v>410</v>
      </c>
      <c r="Y6" s="284" t="s">
        <v>354</v>
      </c>
      <c r="Z6" s="284" t="s">
        <v>354</v>
      </c>
      <c r="AA6" s="284" t="s">
        <v>411</v>
      </c>
      <c r="AB6" s="284" t="s">
        <v>412</v>
      </c>
      <c r="AC6" s="284"/>
      <c r="AD6" s="522" t="s">
        <v>413</v>
      </c>
      <c r="AE6" s="522" t="s">
        <v>414</v>
      </c>
      <c r="AF6" s="523" t="s">
        <v>415</v>
      </c>
      <c r="AH6" s="520">
        <v>46234</v>
      </c>
      <c r="AI6" s="521" t="s">
        <v>392</v>
      </c>
      <c r="AJ6" t="s">
        <v>410</v>
      </c>
      <c r="AK6" s="284" t="s">
        <v>354</v>
      </c>
      <c r="AL6" s="284" t="s">
        <v>354</v>
      </c>
      <c r="AM6" s="284" t="s">
        <v>411</v>
      </c>
      <c r="AN6" s="284" t="s">
        <v>412</v>
      </c>
      <c r="AO6" s="284"/>
      <c r="AP6" s="522" t="s">
        <v>413</v>
      </c>
      <c r="AQ6" s="522" t="s">
        <v>414</v>
      </c>
      <c r="AR6" s="523" t="s">
        <v>415</v>
      </c>
    </row>
    <row r="7" spans="10:44">
      <c r="J7" s="520">
        <f>+J6-J5</f>
        <v>8</v>
      </c>
      <c r="K7" s="2" t="s">
        <v>416</v>
      </c>
      <c r="L7" s="518">
        <v>1192</v>
      </c>
      <c r="M7" s="552" t="s">
        <v>417</v>
      </c>
      <c r="N7" s="552"/>
      <c r="O7" s="552"/>
      <c r="P7" s="552"/>
      <c r="T7" s="524"/>
      <c r="V7" s="520">
        <f>+V6-V5</f>
        <v>8</v>
      </c>
      <c r="W7" s="2" t="s">
        <v>416</v>
      </c>
      <c r="X7" s="518">
        <v>686.9</v>
      </c>
      <c r="Y7" s="552" t="s">
        <v>417</v>
      </c>
      <c r="Z7" s="552"/>
      <c r="AA7" s="552"/>
      <c r="AB7" s="552"/>
      <c r="AF7" s="524"/>
      <c r="AH7" s="520">
        <f>+AH6-AH5</f>
        <v>8</v>
      </c>
      <c r="AI7" s="2" t="s">
        <v>416</v>
      </c>
      <c r="AJ7" s="518">
        <v>466.5</v>
      </c>
      <c r="AK7" s="552" t="s">
        <v>417</v>
      </c>
      <c r="AL7" s="552"/>
      <c r="AM7" s="552"/>
      <c r="AN7" s="552"/>
      <c r="AR7" s="524"/>
    </row>
    <row r="8" spans="10:44">
      <c r="J8" s="517">
        <v>46216</v>
      </c>
      <c r="K8" s="2"/>
      <c r="L8" s="525">
        <f>+L7-(M8+P8+N8+O8+S8)</f>
        <v>0</v>
      </c>
      <c r="M8" s="516">
        <v>1192</v>
      </c>
      <c r="N8" s="516">
        <v>0</v>
      </c>
      <c r="O8" s="516"/>
      <c r="P8" s="516"/>
      <c r="S8">
        <v>0</v>
      </c>
      <c r="T8" s="524"/>
      <c r="V8" s="517">
        <v>46216</v>
      </c>
      <c r="W8" s="2"/>
      <c r="X8" s="525">
        <f>+X7-(Y8+AB8+Z8+AA8+AE8)</f>
        <v>0</v>
      </c>
      <c r="Y8" s="516">
        <v>636.9</v>
      </c>
      <c r="Z8" s="516">
        <v>50</v>
      </c>
      <c r="AA8" s="516"/>
      <c r="AB8" s="516"/>
      <c r="AE8">
        <v>0</v>
      </c>
      <c r="AF8" s="524"/>
      <c r="AH8" s="517">
        <v>46216</v>
      </c>
      <c r="AI8" s="2"/>
      <c r="AJ8" s="525">
        <f>+AJ7-(AK8+AN8+AL8+AM8+AQ8)</f>
        <v>0</v>
      </c>
      <c r="AK8" s="516">
        <v>466.5</v>
      </c>
      <c r="AL8" s="516">
        <v>0</v>
      </c>
      <c r="AM8" s="516"/>
      <c r="AN8" s="516"/>
      <c r="AQ8">
        <v>0</v>
      </c>
      <c r="AR8" s="524"/>
    </row>
    <row r="9" spans="10:44">
      <c r="J9" s="517">
        <v>46225</v>
      </c>
      <c r="K9" s="526" t="s">
        <v>418</v>
      </c>
      <c r="M9" s="527">
        <f>+L32</f>
        <v>200</v>
      </c>
      <c r="N9" s="527">
        <f>+O30</f>
        <v>700</v>
      </c>
      <c r="O9" s="527">
        <f>+P30</f>
        <v>900</v>
      </c>
      <c r="P9" s="527">
        <f>+Q30</f>
        <v>1200</v>
      </c>
      <c r="T9" s="524"/>
      <c r="V9" s="517">
        <v>46225</v>
      </c>
      <c r="W9" s="526" t="s">
        <v>418</v>
      </c>
      <c r="Y9" s="527">
        <f>+Z30</f>
        <v>500</v>
      </c>
      <c r="Z9" s="527">
        <f>+AA30</f>
        <v>700</v>
      </c>
      <c r="AA9" s="527">
        <f>+AB30</f>
        <v>900</v>
      </c>
      <c r="AB9" s="527">
        <f>+AC30</f>
        <v>1200</v>
      </c>
      <c r="AF9" s="524"/>
      <c r="AH9" s="517">
        <v>46225</v>
      </c>
      <c r="AI9" s="526" t="s">
        <v>418</v>
      </c>
      <c r="AK9" s="527">
        <f>+AJ32</f>
        <v>200</v>
      </c>
      <c r="AL9" s="527">
        <f>+AM30</f>
        <v>700</v>
      </c>
      <c r="AM9" s="527">
        <f>+AN30</f>
        <v>900</v>
      </c>
      <c r="AN9" s="527">
        <f>+AO30</f>
        <v>1200</v>
      </c>
      <c r="AR9" s="524"/>
    </row>
    <row r="10" spans="10:44">
      <c r="J10" s="520">
        <f>+J9-J8</f>
        <v>9</v>
      </c>
      <c r="K10" s="2" t="s">
        <v>419</v>
      </c>
      <c r="L10" s="518" t="s">
        <v>420</v>
      </c>
      <c r="M10" s="528">
        <f>+M8*M9</f>
        <v>238400</v>
      </c>
      <c r="N10" s="528">
        <f>+N8*N9</f>
        <v>0</v>
      </c>
      <c r="O10" s="528">
        <f>+O8*O9</f>
        <v>0</v>
      </c>
      <c r="P10" s="528">
        <f>+P8*P9</f>
        <v>0</v>
      </c>
      <c r="Q10" s="520">
        <f>+O10+P10+N10+M10</f>
        <v>238400</v>
      </c>
      <c r="R10" s="520"/>
      <c r="S10" s="528">
        <f>+((60+65)*$BM$2)*N9*0</f>
        <v>0</v>
      </c>
      <c r="T10" s="529">
        <f>+S10+Q10</f>
        <v>238400</v>
      </c>
      <c r="V10" s="520">
        <f>+V9-V8</f>
        <v>9</v>
      </c>
      <c r="W10" s="2" t="s">
        <v>419</v>
      </c>
      <c r="X10" s="518" t="s">
        <v>420</v>
      </c>
      <c r="Y10" s="528">
        <f>+Y8*Y9</f>
        <v>318450</v>
      </c>
      <c r="Z10" s="528">
        <f>+Z8*Z9</f>
        <v>35000</v>
      </c>
      <c r="AA10" s="528">
        <f>+AA8*AA9</f>
        <v>0</v>
      </c>
      <c r="AB10" s="528">
        <f>+AB8*AB9</f>
        <v>0</v>
      </c>
      <c r="AC10" s="520">
        <f>+AA10+AB10+Z10+Y10</f>
        <v>353450</v>
      </c>
      <c r="AD10" s="520"/>
      <c r="AE10" s="528">
        <f>+((60+65)*$BM$2)*Z9*0</f>
        <v>0</v>
      </c>
      <c r="AF10" s="529">
        <f>+AE10+AC10</f>
        <v>353450</v>
      </c>
      <c r="AH10" s="520">
        <f>+AH9-AH8</f>
        <v>9</v>
      </c>
      <c r="AI10" s="2" t="s">
        <v>419</v>
      </c>
      <c r="AJ10" s="518" t="s">
        <v>420</v>
      </c>
      <c r="AK10" s="528">
        <f>+AK8*AK9</f>
        <v>93300</v>
      </c>
      <c r="AL10" s="528">
        <f>+AL8*AL9</f>
        <v>0</v>
      </c>
      <c r="AM10" s="528">
        <f>+AM8*AM9</f>
        <v>0</v>
      </c>
      <c r="AN10" s="528">
        <f>+AN8*AN9</f>
        <v>0</v>
      </c>
      <c r="AO10" s="520">
        <f>+AM10+AN10+AL10+AK10</f>
        <v>93300</v>
      </c>
      <c r="AP10" s="520"/>
      <c r="AQ10" s="528">
        <f>+((60+65)*$BM$2)*AL9*0</f>
        <v>0</v>
      </c>
      <c r="AR10" s="529">
        <f>+AQ10+AO10</f>
        <v>93300</v>
      </c>
    </row>
    <row r="11" spans="10:44">
      <c r="K11" s="2" t="s">
        <v>421</v>
      </c>
      <c r="L11" s="530">
        <f>+SUM(M11:P11)+S8</f>
        <v>856</v>
      </c>
      <c r="M11">
        <f>+M8-M12</f>
        <v>856</v>
      </c>
      <c r="N11">
        <f>+N8-N12</f>
        <v>0</v>
      </c>
      <c r="T11" s="529"/>
      <c r="W11" s="2" t="s">
        <v>421</v>
      </c>
      <c r="X11" s="530">
        <f>+SUM(Y11:AB11)+AE8</f>
        <v>445.5</v>
      </c>
      <c r="Y11" s="527">
        <v>401.75</v>
      </c>
      <c r="Z11" s="527">
        <v>43.75</v>
      </c>
      <c r="AF11" s="529"/>
      <c r="AI11" s="2" t="s">
        <v>421</v>
      </c>
      <c r="AJ11" s="530">
        <f>+SUM(AK11:AN11)+AQ8</f>
        <v>298.3</v>
      </c>
      <c r="AK11">
        <v>298.3</v>
      </c>
      <c r="AL11">
        <v>0</v>
      </c>
      <c r="AR11" s="529"/>
    </row>
    <row r="12" spans="10:44">
      <c r="K12" s="2" t="s">
        <v>422</v>
      </c>
      <c r="L12" s="530">
        <f>+SUM(M12:P12)</f>
        <v>336</v>
      </c>
      <c r="M12">
        <v>336</v>
      </c>
      <c r="N12">
        <v>0</v>
      </c>
      <c r="T12" s="529"/>
      <c r="W12" s="2" t="s">
        <v>422</v>
      </c>
      <c r="X12" s="530">
        <f>+SUM(Y12:AB12)</f>
        <v>241.39999999999998</v>
      </c>
      <c r="Y12" s="527">
        <f>+Y8-Y11</f>
        <v>235.14999999999998</v>
      </c>
      <c r="Z12" s="527">
        <f>+Z8-Z11</f>
        <v>6.25</v>
      </c>
      <c r="AF12" s="529"/>
      <c r="AI12" s="2" t="s">
        <v>422</v>
      </c>
      <c r="AJ12" s="530">
        <f>+SUM(AK12:AN12)</f>
        <v>168.2</v>
      </c>
      <c r="AK12">
        <f>+AK8-AK11</f>
        <v>168.2</v>
      </c>
      <c r="AL12">
        <f>+AL8-AL11</f>
        <v>0</v>
      </c>
      <c r="AR12" s="529"/>
    </row>
    <row r="13" spans="10:44">
      <c r="K13" s="2" t="s">
        <v>421</v>
      </c>
      <c r="L13" s="518">
        <f>+L7-L11-L12</f>
        <v>0</v>
      </c>
      <c r="M13" s="520">
        <f>+M11*M9</f>
        <v>171200</v>
      </c>
      <c r="N13" s="520">
        <f>+N11*N9</f>
        <v>0</v>
      </c>
      <c r="O13" s="520">
        <f>+O11*O9</f>
        <v>0</v>
      </c>
      <c r="P13" s="520">
        <f>+P11*P9</f>
        <v>0</v>
      </c>
      <c r="Q13" s="520">
        <f>+O13+P13+N13+M13</f>
        <v>171200</v>
      </c>
      <c r="S13" s="528">
        <f>+((60+65-19)*$BM$2)*N9*0</f>
        <v>0</v>
      </c>
      <c r="T13" s="529">
        <f t="shared" ref="T13:T14" si="0">+S13+Q13</f>
        <v>171200</v>
      </c>
      <c r="W13" s="2" t="s">
        <v>421</v>
      </c>
      <c r="X13" s="518">
        <f>+X7-X11-X12</f>
        <v>0</v>
      </c>
      <c r="Y13" s="520">
        <f>+Y11*Y9</f>
        <v>200875</v>
      </c>
      <c r="Z13" s="520">
        <f>+Z11*Z9</f>
        <v>30625</v>
      </c>
      <c r="AA13" s="520">
        <f>+AA11*AA9</f>
        <v>0</v>
      </c>
      <c r="AB13" s="520">
        <f>+AB11*AB9</f>
        <v>0</v>
      </c>
      <c r="AC13" s="520">
        <f>+AA13+AB13+Z13+Y13</f>
        <v>231500</v>
      </c>
      <c r="AE13" s="528">
        <f>+((60+65-19)*$BM$2)*Z9*0</f>
        <v>0</v>
      </c>
      <c r="AF13" s="529">
        <f t="shared" ref="AF13:AF14" si="1">+AE13+AC13</f>
        <v>231500</v>
      </c>
      <c r="AI13" s="2" t="s">
        <v>421</v>
      </c>
      <c r="AJ13" s="518">
        <f>+AJ7-AJ11-AJ12</f>
        <v>0</v>
      </c>
      <c r="AK13" s="520">
        <f>+AK11*AK9</f>
        <v>59660</v>
      </c>
      <c r="AL13" s="520">
        <f>+AL11*AL9</f>
        <v>0</v>
      </c>
      <c r="AM13" s="520">
        <f>+AM11*AM9</f>
        <v>0</v>
      </c>
      <c r="AN13" s="520">
        <f>+AN11*AN9</f>
        <v>0</v>
      </c>
      <c r="AO13" s="520">
        <f>+AM13+AN13+AL13+AK13</f>
        <v>59660</v>
      </c>
      <c r="AQ13" s="528">
        <f>+((60+65-19)*$BM$2)*AL9*0</f>
        <v>0</v>
      </c>
      <c r="AR13" s="529">
        <f t="shared" ref="AR13:AR14" si="2">+AQ13+AO13</f>
        <v>59660</v>
      </c>
    </row>
    <row r="14" spans="10:44" ht="15" thickBot="1">
      <c r="K14" s="2" t="s">
        <v>422</v>
      </c>
      <c r="M14" s="520">
        <f>+M12*M9</f>
        <v>67200</v>
      </c>
      <c r="N14" s="520">
        <f>+N12*N9</f>
        <v>0</v>
      </c>
      <c r="O14" s="520">
        <f>+O12*O9</f>
        <v>0</v>
      </c>
      <c r="P14" s="520">
        <f>+P12*P9</f>
        <v>0</v>
      </c>
      <c r="Q14" s="520">
        <f>+O14+P14+N14+M14</f>
        <v>67200</v>
      </c>
      <c r="S14" s="528">
        <f>+((19)*$BM$2)*N9*0</f>
        <v>0</v>
      </c>
      <c r="T14" s="529">
        <f t="shared" si="0"/>
        <v>67200</v>
      </c>
      <c r="W14" s="2" t="s">
        <v>422</v>
      </c>
      <c r="Y14" s="520">
        <f>+Y12*Y9</f>
        <v>117574.99999999999</v>
      </c>
      <c r="Z14" s="520">
        <f>+Z12*Z9</f>
        <v>4375</v>
      </c>
      <c r="AA14" s="520">
        <f>+AA12*AA9</f>
        <v>0</v>
      </c>
      <c r="AB14" s="520">
        <f>+AB12*AB9</f>
        <v>0</v>
      </c>
      <c r="AC14" s="520">
        <f>+AA14+AB14+Z14+Y14</f>
        <v>121949.99999999999</v>
      </c>
      <c r="AE14" s="528">
        <f>+((19)*$BM$2)*Z9*0</f>
        <v>0</v>
      </c>
      <c r="AF14" s="529">
        <f t="shared" si="1"/>
        <v>121949.99999999999</v>
      </c>
      <c r="AI14" s="2" t="s">
        <v>422</v>
      </c>
      <c r="AK14" s="520">
        <f>+AK12*AK9</f>
        <v>33640</v>
      </c>
      <c r="AL14" s="520">
        <f>+AL12*AL9</f>
        <v>0</v>
      </c>
      <c r="AM14" s="520">
        <f>+AM12*AM9</f>
        <v>0</v>
      </c>
      <c r="AN14" s="520">
        <f>+AN12*AN9</f>
        <v>0</v>
      </c>
      <c r="AO14" s="520">
        <f>+AM14+AN14+AL14+AK14</f>
        <v>33640</v>
      </c>
      <c r="AQ14" s="528">
        <f>+((19)*$BM$2)*AL9*0</f>
        <v>0</v>
      </c>
      <c r="AR14" s="529">
        <f t="shared" si="2"/>
        <v>33640</v>
      </c>
    </row>
    <row r="15" spans="10:44" ht="15" thickBot="1">
      <c r="K15" s="2"/>
      <c r="L15">
        <v>0</v>
      </c>
      <c r="M15" s="531" t="s">
        <v>423</v>
      </c>
      <c r="N15" s="532"/>
      <c r="O15" s="532"/>
      <c r="P15" s="532"/>
      <c r="Q15" s="533">
        <f>+Q10-(Q13+Q14)</f>
        <v>0</v>
      </c>
      <c r="S15" s="520"/>
      <c r="T15" s="534">
        <f>+T10-(T13+T14)</f>
        <v>0</v>
      </c>
      <c r="W15" s="2"/>
      <c r="X15">
        <v>0</v>
      </c>
      <c r="Y15" s="531" t="s">
        <v>423</v>
      </c>
      <c r="Z15" s="532"/>
      <c r="AA15" s="532"/>
      <c r="AB15" s="532"/>
      <c r="AC15" s="533">
        <f>+AC10-(AC13+AC14)</f>
        <v>0</v>
      </c>
      <c r="AE15" s="520"/>
      <c r="AF15" s="534">
        <f>+AF10-(AF13+AF14)</f>
        <v>0</v>
      </c>
      <c r="AI15" s="2"/>
      <c r="AJ15">
        <v>0</v>
      </c>
      <c r="AK15" s="531" t="s">
        <v>423</v>
      </c>
      <c r="AL15" s="532"/>
      <c r="AM15" s="532"/>
      <c r="AN15" s="532"/>
      <c r="AO15" s="533">
        <f>+AO10-(AO13+AO14)</f>
        <v>0</v>
      </c>
      <c r="AQ15" s="520"/>
      <c r="AR15" s="534">
        <f>+AR10-(AR13+AR14)</f>
        <v>0</v>
      </c>
    </row>
    <row r="16" spans="10:44">
      <c r="K16" s="2"/>
      <c r="T16" s="524"/>
      <c r="W16" s="2"/>
      <c r="AF16" s="524"/>
      <c r="AI16" s="2"/>
      <c r="AR16" s="524"/>
    </row>
    <row r="17" spans="11:44">
      <c r="K17" s="2"/>
      <c r="L17" t="s">
        <v>410</v>
      </c>
      <c r="M17" s="284" t="str">
        <f>+M6</f>
        <v>0-500</v>
      </c>
      <c r="N17" s="284" t="str">
        <f t="shared" ref="N17:P17" si="3">+N6</f>
        <v>0-500</v>
      </c>
      <c r="O17" s="284" t="str">
        <f t="shared" si="3"/>
        <v>1000-1500</v>
      </c>
      <c r="P17" s="284" t="str">
        <f t="shared" si="3"/>
        <v>1500-2000</v>
      </c>
      <c r="T17" s="524"/>
      <c r="W17" s="2"/>
      <c r="X17" t="s">
        <v>410</v>
      </c>
      <c r="Y17" s="284" t="str">
        <f>+Y6</f>
        <v>0-500</v>
      </c>
      <c r="Z17" s="284" t="str">
        <f t="shared" ref="Z17:AB17" si="4">+Z6</f>
        <v>0-500</v>
      </c>
      <c r="AA17" s="284" t="str">
        <f t="shared" si="4"/>
        <v>1000-1500</v>
      </c>
      <c r="AB17" s="284" t="str">
        <f t="shared" si="4"/>
        <v>1500-2000</v>
      </c>
      <c r="AF17" s="524"/>
      <c r="AI17" s="2"/>
      <c r="AJ17" t="s">
        <v>410</v>
      </c>
      <c r="AK17" s="284" t="str">
        <f>+AK6</f>
        <v>0-500</v>
      </c>
      <c r="AL17" s="284" t="str">
        <f t="shared" ref="AL17:AN17" si="5">+AL6</f>
        <v>0-500</v>
      </c>
      <c r="AM17" s="284" t="str">
        <f t="shared" si="5"/>
        <v>1000-1500</v>
      </c>
      <c r="AN17" s="284" t="str">
        <f t="shared" si="5"/>
        <v>1500-2000</v>
      </c>
      <c r="AR17" s="524"/>
    </row>
    <row r="18" spans="11:44">
      <c r="K18" s="521" t="str">
        <f>+K6</f>
        <v>1200-2</v>
      </c>
      <c r="L18">
        <f>+L7</f>
        <v>1192</v>
      </c>
      <c r="M18" s="552" t="s">
        <v>417</v>
      </c>
      <c r="N18" s="552"/>
      <c r="O18" s="552"/>
      <c r="P18" s="552"/>
      <c r="S18" s="522"/>
      <c r="T18" s="524"/>
      <c r="W18" s="521" t="str">
        <f>+W6</f>
        <v>740-14</v>
      </c>
      <c r="X18">
        <f>+X7</f>
        <v>686.9</v>
      </c>
      <c r="Y18" s="552" t="s">
        <v>417</v>
      </c>
      <c r="Z18" s="552"/>
      <c r="AA18" s="552"/>
      <c r="AB18" s="552"/>
      <c r="AE18" s="522"/>
      <c r="AF18" s="524"/>
      <c r="AI18" s="521" t="str">
        <f>+AI6</f>
        <v>740-7</v>
      </c>
      <c r="AJ18">
        <f>+AJ7</f>
        <v>466.5</v>
      </c>
      <c r="AK18" s="552" t="s">
        <v>417</v>
      </c>
      <c r="AL18" s="552"/>
      <c r="AM18" s="552"/>
      <c r="AN18" s="552"/>
      <c r="AQ18" s="522"/>
      <c r="AR18" s="524"/>
    </row>
    <row r="19" spans="11:44">
      <c r="K19" s="2" t="s">
        <v>416</v>
      </c>
      <c r="L19" s="525">
        <f>+L18-(M19+P19+N19+O19+S19)</f>
        <v>0</v>
      </c>
      <c r="M19" s="516">
        <f>+M8</f>
        <v>1192</v>
      </c>
      <c r="N19" s="516">
        <f>+N8</f>
        <v>0</v>
      </c>
      <c r="O19" s="516">
        <f t="shared" ref="O19:P19" si="6">+O8</f>
        <v>0</v>
      </c>
      <c r="P19" s="516">
        <f t="shared" si="6"/>
        <v>0</v>
      </c>
      <c r="S19">
        <f>+S8</f>
        <v>0</v>
      </c>
      <c r="T19" s="529"/>
      <c r="W19" s="2" t="s">
        <v>416</v>
      </c>
      <c r="X19" s="525">
        <f>+X18-(Y19+AB19+Z19+AA19+AE19)</f>
        <v>0</v>
      </c>
      <c r="Y19" s="516">
        <f>+Y8</f>
        <v>636.9</v>
      </c>
      <c r="Z19" s="516">
        <f>+Z8</f>
        <v>50</v>
      </c>
      <c r="AA19" s="516">
        <f t="shared" ref="AA19:AB19" si="7">+AA8</f>
        <v>0</v>
      </c>
      <c r="AB19" s="516">
        <f t="shared" si="7"/>
        <v>0</v>
      </c>
      <c r="AE19">
        <f>+AE8</f>
        <v>0</v>
      </c>
      <c r="AF19" s="529"/>
      <c r="AI19" s="2" t="s">
        <v>416</v>
      </c>
      <c r="AJ19" s="525">
        <f>+AJ18-(AK19+AN19+AL19+AM19+AQ19)</f>
        <v>0</v>
      </c>
      <c r="AK19" s="516">
        <f>+AK8</f>
        <v>466.5</v>
      </c>
      <c r="AL19" s="516">
        <f>+AL8</f>
        <v>0</v>
      </c>
      <c r="AM19" s="516">
        <f t="shared" ref="AM19:AN19" si="8">+AM8</f>
        <v>0</v>
      </c>
      <c r="AN19" s="516">
        <f t="shared" si="8"/>
        <v>0</v>
      </c>
      <c r="AQ19">
        <f>+AQ8</f>
        <v>0</v>
      </c>
      <c r="AR19" s="529"/>
    </row>
    <row r="20" spans="11:44">
      <c r="K20" s="526" t="s">
        <v>424</v>
      </c>
      <c r="M20" s="527">
        <f>+L33</f>
        <v>300</v>
      </c>
      <c r="N20" s="527">
        <v>700</v>
      </c>
      <c r="O20" s="527">
        <f>+P29</f>
        <v>1200</v>
      </c>
      <c r="P20" s="527">
        <f>+Q29</f>
        <v>1600</v>
      </c>
      <c r="T20" s="529"/>
      <c r="W20" s="526" t="s">
        <v>424</v>
      </c>
      <c r="Y20" s="527">
        <f>+Z29</f>
        <v>750</v>
      </c>
      <c r="Z20" s="527">
        <f>+AA29</f>
        <v>900</v>
      </c>
      <c r="AA20" s="527">
        <f>+AB29</f>
        <v>1200</v>
      </c>
      <c r="AB20" s="527">
        <f>+AC29</f>
        <v>1600</v>
      </c>
      <c r="AF20" s="529"/>
      <c r="AI20" s="526" t="s">
        <v>424</v>
      </c>
      <c r="AK20" s="527">
        <f>+AJ33</f>
        <v>300</v>
      </c>
      <c r="AL20" s="527">
        <v>700</v>
      </c>
      <c r="AM20" s="527">
        <f>+AN29</f>
        <v>1200</v>
      </c>
      <c r="AN20" s="527">
        <f>+AO29</f>
        <v>1600</v>
      </c>
      <c r="AR20" s="529"/>
    </row>
    <row r="21" spans="11:44">
      <c r="K21" s="2" t="s">
        <v>425</v>
      </c>
      <c r="M21" s="520">
        <f>+M19*M20</f>
        <v>357600</v>
      </c>
      <c r="N21" s="520">
        <f>+N19*N20</f>
        <v>0</v>
      </c>
      <c r="O21" s="520">
        <f>+O19*O20</f>
        <v>0</v>
      </c>
      <c r="P21" s="520">
        <f>+P19*P20</f>
        <v>0</v>
      </c>
      <c r="Q21" s="520">
        <f>+O21+P21+N21+M21</f>
        <v>357600</v>
      </c>
      <c r="S21" s="528">
        <f>+((60+65)*$BM$2)*N20*0</f>
        <v>0</v>
      </c>
      <c r="T21" s="529">
        <f>+S21+Q21</f>
        <v>357600</v>
      </c>
      <c r="W21" s="2" t="s">
        <v>425</v>
      </c>
      <c r="Y21" s="520">
        <f>+Y19*Y20</f>
        <v>477675</v>
      </c>
      <c r="Z21" s="520">
        <f>+Z19*Z20</f>
        <v>45000</v>
      </c>
      <c r="AA21" s="520">
        <f>+AA19*AA20</f>
        <v>0</v>
      </c>
      <c r="AB21" s="520">
        <f>+AB19*AB20</f>
        <v>0</v>
      </c>
      <c r="AC21" s="520">
        <f>+AA21+AB21+Z21+Y21</f>
        <v>522675</v>
      </c>
      <c r="AE21" s="528">
        <f>+((60+65)*$BM$2)*Z20*0</f>
        <v>0</v>
      </c>
      <c r="AF21" s="529">
        <f>+AE21+AC21</f>
        <v>522675</v>
      </c>
      <c r="AI21" s="2" t="s">
        <v>425</v>
      </c>
      <c r="AK21" s="520">
        <f>+AK19*AK20</f>
        <v>139950</v>
      </c>
      <c r="AL21" s="520">
        <f>+AL19*AL20</f>
        <v>0</v>
      </c>
      <c r="AM21" s="520">
        <f>+AM19*AM20</f>
        <v>0</v>
      </c>
      <c r="AN21" s="520">
        <f>+AN19*AN20</f>
        <v>0</v>
      </c>
      <c r="AO21" s="520">
        <f>+AM21+AN21+AL21+AK21</f>
        <v>139950</v>
      </c>
      <c r="AQ21" s="528">
        <f>+((60+65)*$BM$2)*AL20*0</f>
        <v>0</v>
      </c>
      <c r="AR21" s="529">
        <f>+AQ21+AO21</f>
        <v>139950</v>
      </c>
    </row>
    <row r="22" spans="11:44">
      <c r="K22" s="2" t="s">
        <v>421</v>
      </c>
      <c r="M22">
        <f t="shared" ref="M22:P23" si="9">+M11</f>
        <v>856</v>
      </c>
      <c r="N22">
        <f t="shared" si="9"/>
        <v>0</v>
      </c>
      <c r="O22">
        <f t="shared" si="9"/>
        <v>0</v>
      </c>
      <c r="P22">
        <f t="shared" si="9"/>
        <v>0</v>
      </c>
      <c r="T22" s="529"/>
      <c r="W22" s="2" t="s">
        <v>421</v>
      </c>
      <c r="Y22">
        <f t="shared" ref="Y22:AB22" si="10">+Y11</f>
        <v>401.75</v>
      </c>
      <c r="Z22">
        <f t="shared" si="10"/>
        <v>43.75</v>
      </c>
      <c r="AA22">
        <f t="shared" si="10"/>
        <v>0</v>
      </c>
      <c r="AB22">
        <f t="shared" si="10"/>
        <v>0</v>
      </c>
      <c r="AF22" s="529"/>
      <c r="AI22" s="2" t="s">
        <v>421</v>
      </c>
      <c r="AK22">
        <f t="shared" ref="AK22:AN22" si="11">+AK11</f>
        <v>298.3</v>
      </c>
      <c r="AL22">
        <f t="shared" si="11"/>
        <v>0</v>
      </c>
      <c r="AM22">
        <f t="shared" si="11"/>
        <v>0</v>
      </c>
      <c r="AN22">
        <f t="shared" si="11"/>
        <v>0</v>
      </c>
      <c r="AR22" s="529"/>
    </row>
    <row r="23" spans="11:44">
      <c r="K23" s="2" t="s">
        <v>422</v>
      </c>
      <c r="M23">
        <f t="shared" si="9"/>
        <v>336</v>
      </c>
      <c r="N23">
        <f t="shared" si="9"/>
        <v>0</v>
      </c>
      <c r="O23">
        <f t="shared" si="9"/>
        <v>0</v>
      </c>
      <c r="P23">
        <f t="shared" si="9"/>
        <v>0</v>
      </c>
      <c r="T23" s="529"/>
      <c r="W23" s="2" t="s">
        <v>422</v>
      </c>
      <c r="Y23">
        <f t="shared" ref="Y23:AB23" si="12">+Y12</f>
        <v>235.14999999999998</v>
      </c>
      <c r="Z23">
        <f t="shared" si="12"/>
        <v>6.25</v>
      </c>
      <c r="AA23">
        <f t="shared" si="12"/>
        <v>0</v>
      </c>
      <c r="AB23">
        <f t="shared" si="12"/>
        <v>0</v>
      </c>
      <c r="AF23" s="529"/>
      <c r="AI23" s="2" t="s">
        <v>422</v>
      </c>
      <c r="AK23">
        <f t="shared" ref="AK23:AN23" si="13">+AK12</f>
        <v>168.2</v>
      </c>
      <c r="AL23">
        <f t="shared" si="13"/>
        <v>0</v>
      </c>
      <c r="AM23">
        <f t="shared" si="13"/>
        <v>0</v>
      </c>
      <c r="AN23">
        <f t="shared" si="13"/>
        <v>0</v>
      </c>
      <c r="AR23" s="529"/>
    </row>
    <row r="24" spans="11:44">
      <c r="K24" s="2" t="s">
        <v>421</v>
      </c>
      <c r="M24" s="520">
        <f>+M22*M20</f>
        <v>256800</v>
      </c>
      <c r="N24" s="520">
        <f>+N22*N20</f>
        <v>0</v>
      </c>
      <c r="O24" s="520">
        <f>+O22*O20</f>
        <v>0</v>
      </c>
      <c r="P24" s="520">
        <f>+P22*P20</f>
        <v>0</v>
      </c>
      <c r="Q24" s="520">
        <f>+O24+P24+N24+M24</f>
        <v>256800</v>
      </c>
      <c r="S24" s="528">
        <f>+((60+65-19)*$BM$2)*N20*0</f>
        <v>0</v>
      </c>
      <c r="T24" s="529">
        <f t="shared" ref="T24:T25" si="14">+S24+Q24</f>
        <v>256800</v>
      </c>
      <c r="W24" s="2" t="s">
        <v>421</v>
      </c>
      <c r="Y24" s="520">
        <f>+Y22*Y20</f>
        <v>301312.5</v>
      </c>
      <c r="Z24" s="520">
        <f>+Z22*Z20</f>
        <v>39375</v>
      </c>
      <c r="AA24" s="520">
        <f>+AA22*AA20</f>
        <v>0</v>
      </c>
      <c r="AB24" s="520">
        <f>+AB22*AB20</f>
        <v>0</v>
      </c>
      <c r="AC24" s="520">
        <f>+AA24+AB24+Z24+Y24</f>
        <v>340687.5</v>
      </c>
      <c r="AE24" s="528">
        <f>+((60+65-19)*$BM$2)*Z20*0</f>
        <v>0</v>
      </c>
      <c r="AF24" s="529">
        <f t="shared" ref="AF24:AF25" si="15">+AE24+AC24</f>
        <v>340687.5</v>
      </c>
      <c r="AI24" s="2" t="s">
        <v>421</v>
      </c>
      <c r="AK24" s="520">
        <f>+AK22*AK20</f>
        <v>89490</v>
      </c>
      <c r="AL24" s="520">
        <f>+AL22*AL20</f>
        <v>0</v>
      </c>
      <c r="AM24" s="520">
        <f>+AM22*AM20</f>
        <v>0</v>
      </c>
      <c r="AN24" s="520">
        <f>+AN22*AN20</f>
        <v>0</v>
      </c>
      <c r="AO24" s="520">
        <f>+AM24+AN24+AL24+AK24</f>
        <v>89490</v>
      </c>
      <c r="AQ24" s="528">
        <f>+((60+65-19)*$BM$2)*AL20*0</f>
        <v>0</v>
      </c>
      <c r="AR24" s="529">
        <f t="shared" ref="AR24:AR25" si="16">+AQ24+AO24</f>
        <v>89490</v>
      </c>
    </row>
    <row r="25" spans="11:44" ht="15" thickBot="1">
      <c r="K25" s="2" t="s">
        <v>422</v>
      </c>
      <c r="M25" s="520">
        <f>+M23*M20</f>
        <v>100800</v>
      </c>
      <c r="N25" s="520">
        <f>+N23*N20</f>
        <v>0</v>
      </c>
      <c r="O25" s="520">
        <f>+O23*O20</f>
        <v>0</v>
      </c>
      <c r="P25" s="520">
        <f>+P23*P20</f>
        <v>0</v>
      </c>
      <c r="Q25" s="520">
        <f>+O25+P25+N25+M25</f>
        <v>100800</v>
      </c>
      <c r="S25" s="528">
        <f>+((19)*$BM$2)*N20*0</f>
        <v>0</v>
      </c>
      <c r="T25" s="529">
        <f t="shared" si="14"/>
        <v>100800</v>
      </c>
      <c r="W25" s="2" t="s">
        <v>422</v>
      </c>
      <c r="Y25" s="520">
        <f>+Y23*Y20</f>
        <v>176362.49999999997</v>
      </c>
      <c r="Z25" s="520">
        <f>+Z23*Z20</f>
        <v>5625</v>
      </c>
      <c r="AA25" s="520">
        <f>+AA23*AA20</f>
        <v>0</v>
      </c>
      <c r="AB25" s="520">
        <f>+AB23*AB20</f>
        <v>0</v>
      </c>
      <c r="AC25" s="520">
        <f>+AA25+AB25+Z25+Y25</f>
        <v>181987.49999999997</v>
      </c>
      <c r="AE25" s="528">
        <f>+((19)*$BM$2)*Z20*0</f>
        <v>0</v>
      </c>
      <c r="AF25" s="529">
        <f t="shared" si="15"/>
        <v>181987.49999999997</v>
      </c>
      <c r="AI25" s="2" t="s">
        <v>422</v>
      </c>
      <c r="AK25" s="520">
        <f>+AK23*AK20</f>
        <v>50460</v>
      </c>
      <c r="AL25" s="520">
        <f>+AL23*AL20</f>
        <v>0</v>
      </c>
      <c r="AM25" s="520">
        <f>+AM23*AM20</f>
        <v>0</v>
      </c>
      <c r="AN25" s="520">
        <f>+AN23*AN20</f>
        <v>0</v>
      </c>
      <c r="AO25" s="520">
        <f>+AM25+AN25+AL25+AK25</f>
        <v>50460</v>
      </c>
      <c r="AQ25" s="528">
        <f>+((19)*$BM$2)*AL20*0</f>
        <v>0</v>
      </c>
      <c r="AR25" s="529">
        <f t="shared" si="16"/>
        <v>50460</v>
      </c>
    </row>
    <row r="26" spans="11:44" ht="15" thickBot="1">
      <c r="K26" s="535"/>
      <c r="L26" s="536"/>
      <c r="M26" s="531" t="s">
        <v>423</v>
      </c>
      <c r="N26" s="532"/>
      <c r="O26" s="532"/>
      <c r="P26" s="532"/>
      <c r="Q26" s="533">
        <f>+Q21-(Q24+Q25)</f>
        <v>0</v>
      </c>
      <c r="R26" s="536"/>
      <c r="S26" s="537"/>
      <c r="T26" s="534">
        <f>+T21-(T24+T25)</f>
        <v>0</v>
      </c>
      <c r="W26" s="535"/>
      <c r="X26" s="536"/>
      <c r="Y26" s="531" t="s">
        <v>423</v>
      </c>
      <c r="Z26" s="532"/>
      <c r="AA26" s="532"/>
      <c r="AB26" s="532"/>
      <c r="AC26" s="533">
        <f>+AC21-(AC24+AC25)</f>
        <v>0</v>
      </c>
      <c r="AD26" s="536"/>
      <c r="AE26" s="537"/>
      <c r="AF26" s="534">
        <f>+AF21-(AF24+AF25)</f>
        <v>0</v>
      </c>
      <c r="AI26" s="535"/>
      <c r="AJ26" s="536"/>
      <c r="AK26" s="531" t="s">
        <v>423</v>
      </c>
      <c r="AL26" s="532"/>
      <c r="AM26" s="532"/>
      <c r="AN26" s="532"/>
      <c r="AO26" s="533">
        <f>+AO21-(AO24+AO25)</f>
        <v>0</v>
      </c>
      <c r="AP26" s="536"/>
      <c r="AQ26" s="537"/>
      <c r="AR26" s="534">
        <f>+AR21-(AR24+AR25)</f>
        <v>0</v>
      </c>
    </row>
    <row r="28" spans="11:44" ht="15" thickBot="1"/>
    <row r="29" spans="11:44">
      <c r="K29" s="538" t="s">
        <v>426</v>
      </c>
      <c r="L29" s="539">
        <v>1000</v>
      </c>
      <c r="M29" s="539">
        <v>1400</v>
      </c>
      <c r="N29" s="539">
        <v>750</v>
      </c>
      <c r="O29" s="539">
        <v>900</v>
      </c>
      <c r="P29" s="539">
        <v>1200</v>
      </c>
      <c r="Q29" s="540">
        <v>1600</v>
      </c>
      <c r="R29" s="540">
        <v>1900</v>
      </c>
      <c r="W29" s="538" t="s">
        <v>426</v>
      </c>
      <c r="X29" s="539">
        <v>1000</v>
      </c>
      <c r="Y29" s="539">
        <v>1400</v>
      </c>
      <c r="Z29" s="539">
        <v>750</v>
      </c>
      <c r="AA29" s="539">
        <v>900</v>
      </c>
      <c r="AB29" s="539">
        <v>1200</v>
      </c>
      <c r="AC29" s="540">
        <v>1600</v>
      </c>
      <c r="AD29" s="540">
        <v>1900</v>
      </c>
      <c r="AI29" s="538" t="s">
        <v>426</v>
      </c>
      <c r="AJ29" s="539">
        <v>1000</v>
      </c>
      <c r="AK29" s="539">
        <v>1400</v>
      </c>
      <c r="AL29" s="539">
        <v>750</v>
      </c>
      <c r="AM29" s="539">
        <v>900</v>
      </c>
      <c r="AN29" s="539">
        <v>1200</v>
      </c>
      <c r="AO29" s="540">
        <v>1600</v>
      </c>
      <c r="AP29" s="540">
        <v>1900</v>
      </c>
    </row>
    <row r="30" spans="11:44" ht="15" thickBot="1">
      <c r="K30" s="541" t="s">
        <v>427</v>
      </c>
      <c r="L30" s="542">
        <v>1000</v>
      </c>
      <c r="M30" s="542">
        <v>1000</v>
      </c>
      <c r="N30" s="542">
        <v>500</v>
      </c>
      <c r="O30" s="542">
        <v>700</v>
      </c>
      <c r="P30" s="542">
        <v>900</v>
      </c>
      <c r="Q30" s="543">
        <v>1200</v>
      </c>
      <c r="R30" s="543">
        <v>1500</v>
      </c>
      <c r="W30" s="541" t="s">
        <v>427</v>
      </c>
      <c r="X30" s="542">
        <v>1000</v>
      </c>
      <c r="Y30" s="542">
        <v>1000</v>
      </c>
      <c r="Z30" s="542">
        <v>500</v>
      </c>
      <c r="AA30" s="542">
        <v>700</v>
      </c>
      <c r="AB30" s="542">
        <v>900</v>
      </c>
      <c r="AC30" s="543">
        <v>1200</v>
      </c>
      <c r="AD30" s="543">
        <v>1500</v>
      </c>
      <c r="AI30" s="541" t="s">
        <v>427</v>
      </c>
      <c r="AJ30" s="542">
        <v>1000</v>
      </c>
      <c r="AK30" s="542">
        <v>1000</v>
      </c>
      <c r="AL30" s="542">
        <v>500</v>
      </c>
      <c r="AM30" s="542">
        <v>700</v>
      </c>
      <c r="AN30" s="542">
        <v>900</v>
      </c>
      <c r="AO30" s="543">
        <v>1200</v>
      </c>
      <c r="AP30" s="543">
        <v>1500</v>
      </c>
    </row>
    <row r="31" spans="11:44" ht="28.15" thickBot="1">
      <c r="K31" s="544" t="s">
        <v>428</v>
      </c>
      <c r="L31" s="545" t="s">
        <v>429</v>
      </c>
      <c r="M31" s="545" t="s">
        <v>430</v>
      </c>
      <c r="N31" s="545" t="s">
        <v>431</v>
      </c>
      <c r="O31" s="545" t="s">
        <v>432</v>
      </c>
      <c r="P31" s="545" t="s">
        <v>433</v>
      </c>
      <c r="Q31" s="545" t="s">
        <v>434</v>
      </c>
      <c r="R31" s="545" t="s">
        <v>435</v>
      </c>
      <c r="W31" s="544" t="s">
        <v>428</v>
      </c>
      <c r="X31" s="545" t="s">
        <v>429</v>
      </c>
      <c r="Y31" s="545" t="s">
        <v>430</v>
      </c>
      <c r="Z31" s="545" t="s">
        <v>431</v>
      </c>
      <c r="AA31" s="545" t="s">
        <v>432</v>
      </c>
      <c r="AB31" s="545" t="s">
        <v>433</v>
      </c>
      <c r="AC31" s="545" t="s">
        <v>434</v>
      </c>
      <c r="AD31" s="545" t="s">
        <v>435</v>
      </c>
      <c r="AI31" s="544" t="s">
        <v>428</v>
      </c>
      <c r="AJ31" s="545" t="s">
        <v>429</v>
      </c>
      <c r="AK31" s="545" t="s">
        <v>430</v>
      </c>
      <c r="AL31" s="545" t="s">
        <v>431</v>
      </c>
      <c r="AM31" s="545" t="s">
        <v>432</v>
      </c>
      <c r="AN31" s="545" t="s">
        <v>433</v>
      </c>
      <c r="AO31" s="545" t="s">
        <v>434</v>
      </c>
      <c r="AP31" s="545" t="s">
        <v>435</v>
      </c>
    </row>
    <row r="32" spans="11:44">
      <c r="K32" t="s">
        <v>436</v>
      </c>
      <c r="L32">
        <v>200</v>
      </c>
      <c r="W32" t="s">
        <v>436</v>
      </c>
      <c r="X32">
        <v>200</v>
      </c>
      <c r="AI32" t="s">
        <v>436</v>
      </c>
      <c r="AJ32">
        <v>200</v>
      </c>
    </row>
    <row r="33" spans="11:44">
      <c r="L33">
        <v>300</v>
      </c>
      <c r="X33">
        <v>300</v>
      </c>
      <c r="AJ33">
        <v>300</v>
      </c>
    </row>
    <row r="34" spans="11:44">
      <c r="K34" s="546" t="s">
        <v>437</v>
      </c>
      <c r="W34" s="546" t="s">
        <v>437</v>
      </c>
      <c r="AI34" s="546" t="s">
        <v>437</v>
      </c>
    </row>
    <row r="36" spans="11:44">
      <c r="K36" s="546" t="s">
        <v>438</v>
      </c>
      <c r="L36" s="547" t="s">
        <v>416</v>
      </c>
      <c r="M36" s="547" t="s">
        <v>414</v>
      </c>
      <c r="N36" s="547" t="s">
        <v>439</v>
      </c>
      <c r="P36" s="546" t="s">
        <v>440</v>
      </c>
      <c r="R36" s="547" t="s">
        <v>416</v>
      </c>
      <c r="S36" s="547" t="s">
        <v>414</v>
      </c>
      <c r="T36" s="547" t="s">
        <v>439</v>
      </c>
      <c r="W36" s="546" t="s">
        <v>438</v>
      </c>
      <c r="X36" s="547" t="s">
        <v>416</v>
      </c>
      <c r="Y36" s="547" t="s">
        <v>414</v>
      </c>
      <c r="Z36" s="547" t="s">
        <v>439</v>
      </c>
      <c r="AB36" s="546" t="s">
        <v>440</v>
      </c>
      <c r="AD36" s="547" t="s">
        <v>416</v>
      </c>
      <c r="AE36" s="547" t="s">
        <v>414</v>
      </c>
      <c r="AF36" s="547" t="s">
        <v>439</v>
      </c>
      <c r="AI36" s="546" t="s">
        <v>438</v>
      </c>
      <c r="AJ36" s="547" t="s">
        <v>416</v>
      </c>
      <c r="AK36" s="547" t="s">
        <v>414</v>
      </c>
      <c r="AL36" s="547" t="s">
        <v>439</v>
      </c>
      <c r="AN36" s="546" t="s">
        <v>440</v>
      </c>
      <c r="AP36" s="547" t="s">
        <v>416</v>
      </c>
      <c r="AQ36" s="547" t="s">
        <v>414</v>
      </c>
      <c r="AR36" s="547" t="s">
        <v>439</v>
      </c>
    </row>
    <row r="37" spans="11:44">
      <c r="K37" s="518" t="s">
        <v>441</v>
      </c>
      <c r="L37" s="520">
        <f>+Q13</f>
        <v>171200</v>
      </c>
      <c r="M37" s="520">
        <f>+S13</f>
        <v>0</v>
      </c>
      <c r="N37" s="548">
        <f>+L37+M37</f>
        <v>171200</v>
      </c>
      <c r="P37" s="518" t="s">
        <v>442</v>
      </c>
      <c r="R37" s="520">
        <f>+Q24</f>
        <v>256800</v>
      </c>
      <c r="S37" s="520">
        <f>+S24</f>
        <v>0</v>
      </c>
      <c r="T37" s="548">
        <f>+R37+S37</f>
        <v>256800</v>
      </c>
      <c r="W37" s="518" t="s">
        <v>441</v>
      </c>
      <c r="X37" s="520">
        <f>+AC13</f>
        <v>231500</v>
      </c>
      <c r="Y37" s="520">
        <f>+AE13</f>
        <v>0</v>
      </c>
      <c r="Z37" s="548">
        <f>+X37+Y37</f>
        <v>231500</v>
      </c>
      <c r="AB37" s="518" t="s">
        <v>442</v>
      </c>
      <c r="AD37" s="520">
        <f>+AC24</f>
        <v>340687.5</v>
      </c>
      <c r="AE37" s="520">
        <f>+AE24</f>
        <v>0</v>
      </c>
      <c r="AF37" s="548">
        <f>+AD37+AE37</f>
        <v>340687.5</v>
      </c>
      <c r="AI37" s="518" t="s">
        <v>441</v>
      </c>
      <c r="AJ37" s="520">
        <f>+AO13</f>
        <v>59660</v>
      </c>
      <c r="AK37" s="520">
        <f>+AQ13</f>
        <v>0</v>
      </c>
      <c r="AL37" s="548">
        <f>+AJ37+AK37</f>
        <v>59660</v>
      </c>
      <c r="AN37" s="518" t="s">
        <v>442</v>
      </c>
      <c r="AP37" s="520">
        <f>+AO24</f>
        <v>89490</v>
      </c>
      <c r="AQ37" s="520">
        <f>+AQ24</f>
        <v>0</v>
      </c>
      <c r="AR37" s="548">
        <f>+AP37+AQ37</f>
        <v>89490</v>
      </c>
    </row>
    <row r="38" spans="11:44">
      <c r="K38" s="518" t="s">
        <v>443</v>
      </c>
      <c r="L38" s="520">
        <f>+Q14</f>
        <v>67200</v>
      </c>
      <c r="M38" s="520">
        <f>+S14</f>
        <v>0</v>
      </c>
      <c r="N38" s="548">
        <f>+L38+M38</f>
        <v>67200</v>
      </c>
      <c r="P38" s="518" t="s">
        <v>444</v>
      </c>
      <c r="R38" s="520">
        <f>+Q25</f>
        <v>100800</v>
      </c>
      <c r="S38" s="520">
        <f>+S25</f>
        <v>0</v>
      </c>
      <c r="T38" s="548">
        <f>+R38+S38</f>
        <v>100800</v>
      </c>
      <c r="W38" s="518" t="s">
        <v>443</v>
      </c>
      <c r="X38" s="520">
        <f>+AC14</f>
        <v>121949.99999999999</v>
      </c>
      <c r="Y38" s="520">
        <f>+AE14</f>
        <v>0</v>
      </c>
      <c r="Z38" s="548">
        <f>+X38+Y38</f>
        <v>121949.99999999999</v>
      </c>
      <c r="AB38" s="518" t="s">
        <v>444</v>
      </c>
      <c r="AD38" s="520">
        <f>+AC25</f>
        <v>181987.49999999997</v>
      </c>
      <c r="AE38" s="520">
        <f>+AE25</f>
        <v>0</v>
      </c>
      <c r="AF38" s="548">
        <f>+AD38+AE38</f>
        <v>181987.49999999997</v>
      </c>
      <c r="AI38" s="518" t="s">
        <v>443</v>
      </c>
      <c r="AJ38" s="520">
        <f>+AO14</f>
        <v>33640</v>
      </c>
      <c r="AK38" s="520">
        <f>+AQ14</f>
        <v>0</v>
      </c>
      <c r="AL38" s="548">
        <f>+AJ38+AK38</f>
        <v>33640</v>
      </c>
      <c r="AN38" s="518" t="s">
        <v>444</v>
      </c>
      <c r="AP38" s="520">
        <f>+AO25</f>
        <v>50460</v>
      </c>
      <c r="AQ38" s="520">
        <f>+AQ25</f>
        <v>0</v>
      </c>
      <c r="AR38" s="548">
        <f>+AP38+AQ38</f>
        <v>50460</v>
      </c>
    </row>
  </sheetData>
  <mergeCells count="3">
    <mergeCell ref="AI4:AR4"/>
    <mergeCell ref="K4:T4"/>
    <mergeCell ref="W4:AF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T86"/>
  <sheetViews>
    <sheetView zoomScale="70" zoomScaleNormal="70" workbookViewId="0">
      <pane ySplit="6" topLeftCell="A7" activePane="bottomLeft" state="frozen"/>
      <selection pane="bottomLeft" activeCell="B62" sqref="A62:XFD62"/>
      <selection activeCell="B1" sqref="B1"/>
    </sheetView>
  </sheetViews>
  <sheetFormatPr defaultColWidth="11.42578125" defaultRowHeight="14.45"/>
  <cols>
    <col min="1" max="1" width="14.85546875" style="95" bestFit="1" customWidth="1"/>
    <col min="2" max="2" width="45.7109375" style="95" bestFit="1" customWidth="1"/>
    <col min="3" max="3" width="30.28515625" style="95" bestFit="1" customWidth="1"/>
    <col min="4" max="34" width="7.7109375" style="95" customWidth="1"/>
    <col min="35" max="36" width="13.5703125" style="95" bestFit="1" customWidth="1"/>
    <col min="37" max="37" width="11.42578125" style="95"/>
    <col min="38" max="38" width="12" style="95" bestFit="1" customWidth="1"/>
    <col min="39" max="40" width="11.42578125" style="95"/>
    <col min="41" max="41" width="15.28515625" style="95" bestFit="1" customWidth="1"/>
    <col min="42" max="16384" width="11.42578125" style="95"/>
  </cols>
  <sheetData>
    <row r="1" spans="1:46" ht="42" customHeight="1">
      <c r="F1" s="627" t="s">
        <v>357</v>
      </c>
      <c r="G1" s="628"/>
      <c r="H1" s="286" t="s">
        <v>354</v>
      </c>
      <c r="I1" s="287" t="s">
        <v>355</v>
      </c>
      <c r="J1" s="285"/>
      <c r="K1" s="627" t="s">
        <v>110</v>
      </c>
      <c r="L1" s="628"/>
      <c r="M1" s="286" t="s">
        <v>354</v>
      </c>
      <c r="N1" s="287" t="s">
        <v>355</v>
      </c>
      <c r="P1" s="627" t="s">
        <v>357</v>
      </c>
      <c r="Q1" s="628"/>
      <c r="R1" s="287" t="s">
        <v>356</v>
      </c>
      <c r="S1" s="420"/>
      <c r="T1" s="618" t="s">
        <v>110</v>
      </c>
      <c r="U1" s="619"/>
      <c r="V1" s="287" t="s">
        <v>356</v>
      </c>
      <c r="X1" s="420"/>
      <c r="AR1" s="222"/>
      <c r="AT1" s="284"/>
    </row>
    <row r="2" spans="1:46" ht="42" customHeight="1">
      <c r="F2" s="629" t="s">
        <v>445</v>
      </c>
      <c r="G2" s="630"/>
      <c r="H2" s="288">
        <v>500</v>
      </c>
      <c r="I2" s="289">
        <v>700</v>
      </c>
      <c r="J2" s="285"/>
      <c r="K2" s="629" t="s">
        <v>445</v>
      </c>
      <c r="L2" s="630"/>
      <c r="M2" s="288">
        <v>750</v>
      </c>
      <c r="N2" s="289">
        <v>900</v>
      </c>
      <c r="P2" s="629" t="s">
        <v>445</v>
      </c>
      <c r="Q2" s="630"/>
      <c r="R2" s="289">
        <v>200</v>
      </c>
      <c r="S2" s="285"/>
      <c r="T2" s="620" t="s">
        <v>445</v>
      </c>
      <c r="U2" s="621"/>
      <c r="V2" s="289">
        <v>300</v>
      </c>
      <c r="X2" s="285"/>
      <c r="AR2" s="222"/>
      <c r="AS2" s="284"/>
      <c r="AT2" s="284"/>
    </row>
    <row r="3" spans="1:46" ht="15" thickBot="1">
      <c r="F3" s="631">
        <v>0.5</v>
      </c>
      <c r="G3" s="632"/>
      <c r="H3" s="290">
        <v>250</v>
      </c>
      <c r="I3" s="291">
        <v>350</v>
      </c>
      <c r="J3" s="285"/>
      <c r="K3" s="631">
        <v>0.5</v>
      </c>
      <c r="L3" s="632"/>
      <c r="M3" s="292">
        <v>375</v>
      </c>
      <c r="N3" s="291">
        <v>450</v>
      </c>
      <c r="P3" s="633">
        <v>0.5</v>
      </c>
      <c r="Q3" s="634"/>
      <c r="R3" s="424">
        <v>100</v>
      </c>
      <c r="S3" s="285"/>
      <c r="T3" s="622">
        <v>0.5</v>
      </c>
      <c r="U3" s="623"/>
      <c r="V3" s="421">
        <v>150</v>
      </c>
      <c r="X3" s="285"/>
    </row>
    <row r="4" spans="1:46" ht="26.45" thickBot="1">
      <c r="D4" s="179">
        <v>1</v>
      </c>
      <c r="E4" s="624" t="s">
        <v>354</v>
      </c>
      <c r="F4" s="624"/>
      <c r="G4" s="625"/>
      <c r="H4" s="280">
        <v>1</v>
      </c>
      <c r="I4" s="624" t="s">
        <v>446</v>
      </c>
      <c r="J4" s="624"/>
      <c r="K4" s="625"/>
      <c r="L4" s="215">
        <v>1</v>
      </c>
      <c r="M4" s="624" t="s">
        <v>436</v>
      </c>
      <c r="N4" s="624"/>
      <c r="O4" s="625"/>
      <c r="P4" s="422"/>
      <c r="Q4" s="626"/>
      <c r="R4" s="62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423"/>
    </row>
    <row r="5" spans="1:46" ht="69" customHeight="1" thickBot="1">
      <c r="A5" s="1"/>
      <c r="B5" s="1"/>
      <c r="C5" s="52" t="s">
        <v>285</v>
      </c>
      <c r="D5" s="238">
        <v>46204</v>
      </c>
      <c r="E5" s="3">
        <v>46205</v>
      </c>
      <c r="F5" s="413">
        <v>46206</v>
      </c>
      <c r="G5" s="3">
        <v>46207</v>
      </c>
      <c r="H5" s="3">
        <v>46208</v>
      </c>
      <c r="I5" s="3">
        <v>46209</v>
      </c>
      <c r="J5" s="413">
        <v>46210</v>
      </c>
      <c r="K5" s="3">
        <v>46211</v>
      </c>
      <c r="L5" s="3">
        <v>46212</v>
      </c>
      <c r="M5" s="3">
        <v>46213</v>
      </c>
      <c r="N5" s="413">
        <v>46214</v>
      </c>
      <c r="O5" s="3">
        <v>46215</v>
      </c>
      <c r="P5" s="3">
        <v>46216</v>
      </c>
      <c r="Q5" s="3">
        <v>46217</v>
      </c>
      <c r="R5" s="413">
        <v>46218</v>
      </c>
      <c r="S5" s="3">
        <v>46219</v>
      </c>
      <c r="T5" s="3">
        <v>46220</v>
      </c>
      <c r="U5" s="3">
        <v>46221</v>
      </c>
      <c r="V5" s="413">
        <v>46222</v>
      </c>
      <c r="W5" s="3">
        <v>46223</v>
      </c>
      <c r="X5" s="3">
        <v>46224</v>
      </c>
      <c r="Y5" s="3">
        <v>46225</v>
      </c>
      <c r="Z5" s="413">
        <v>46226</v>
      </c>
      <c r="AA5" s="3">
        <v>46227</v>
      </c>
      <c r="AB5" s="3">
        <v>46228</v>
      </c>
      <c r="AC5" s="3">
        <v>46229</v>
      </c>
      <c r="AD5" s="413">
        <v>46230</v>
      </c>
      <c r="AE5" s="3">
        <v>46231</v>
      </c>
      <c r="AF5" s="3">
        <v>46232</v>
      </c>
      <c r="AG5" s="3">
        <v>46233</v>
      </c>
      <c r="AH5" s="413">
        <v>46234</v>
      </c>
      <c r="AI5" s="96" t="s">
        <v>354</v>
      </c>
      <c r="AJ5" s="96" t="s">
        <v>355</v>
      </c>
      <c r="AK5" s="96" t="s">
        <v>436</v>
      </c>
      <c r="AL5" s="97" t="s">
        <v>447</v>
      </c>
      <c r="AM5" s="97" t="s">
        <v>448</v>
      </c>
      <c r="AN5" s="97" t="s">
        <v>449</v>
      </c>
      <c r="AO5" s="98" t="s">
        <v>302</v>
      </c>
    </row>
    <row r="6" spans="1:46" ht="16.149999999999999" thickBot="1">
      <c r="A6" s="83" t="s">
        <v>1</v>
      </c>
      <c r="B6" s="82" t="s">
        <v>6</v>
      </c>
      <c r="C6" s="82" t="s">
        <v>7</v>
      </c>
      <c r="D6" s="180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205"/>
      <c r="AO6" s="206"/>
      <c r="AQ6" s="1"/>
      <c r="AS6" s="1"/>
      <c r="AT6" s="1"/>
    </row>
    <row r="7" spans="1:46" ht="15.6">
      <c r="A7" s="53" t="s">
        <v>36</v>
      </c>
      <c r="B7" s="42" t="s">
        <v>37</v>
      </c>
      <c r="C7" s="42" t="s">
        <v>38</v>
      </c>
      <c r="D7" s="6">
        <v>0</v>
      </c>
      <c r="E7" s="224">
        <v>0</v>
      </c>
      <c r="F7" s="412">
        <v>0</v>
      </c>
      <c r="G7" s="224">
        <v>0</v>
      </c>
      <c r="H7" s="224">
        <v>0</v>
      </c>
      <c r="I7" s="224">
        <v>10.1</v>
      </c>
      <c r="J7" s="224">
        <v>14</v>
      </c>
      <c r="K7" s="224">
        <v>11</v>
      </c>
      <c r="L7" s="224">
        <v>0</v>
      </c>
      <c r="M7" s="224">
        <v>5</v>
      </c>
      <c r="N7" s="224">
        <v>0</v>
      </c>
      <c r="O7" s="1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Z7" s="412">
        <v>0</v>
      </c>
      <c r="AA7" s="224">
        <v>0</v>
      </c>
      <c r="AB7" s="224">
        <v>0</v>
      </c>
      <c r="AC7" s="224">
        <v>0</v>
      </c>
      <c r="AD7" s="224">
        <v>0</v>
      </c>
      <c r="AE7" s="224">
        <v>0</v>
      </c>
      <c r="AF7" s="224">
        <v>0</v>
      </c>
      <c r="AG7" s="224">
        <v>0</v>
      </c>
      <c r="AH7" s="224">
        <v>0</v>
      </c>
      <c r="AI7" s="318">
        <v>40.1</v>
      </c>
      <c r="AJ7" s="319">
        <v>0</v>
      </c>
      <c r="AK7" s="320">
        <v>0</v>
      </c>
      <c r="AL7" s="425">
        <f>AI7*$H$3</f>
        <v>10025</v>
      </c>
      <c r="AM7" s="207">
        <f>AJ7*$I$3</f>
        <v>0</v>
      </c>
      <c r="AN7" s="207">
        <f>AK7*$R$3</f>
        <v>0</v>
      </c>
      <c r="AO7" s="426">
        <f>AL7+AM7+AN7</f>
        <v>10025</v>
      </c>
      <c r="AQ7" s="1"/>
      <c r="AS7" s="1"/>
      <c r="AT7" s="1"/>
    </row>
    <row r="8" spans="1:46" ht="15.6">
      <c r="A8" s="54" t="s">
        <v>41</v>
      </c>
      <c r="B8" s="43" t="s">
        <v>42</v>
      </c>
      <c r="C8" s="43" t="s">
        <v>38</v>
      </c>
      <c r="D8" s="7">
        <v>0</v>
      </c>
      <c r="E8" s="225">
        <v>0</v>
      </c>
      <c r="F8" s="321">
        <v>0</v>
      </c>
      <c r="G8" s="225">
        <v>0</v>
      </c>
      <c r="H8" s="225">
        <v>0</v>
      </c>
      <c r="I8" s="225">
        <v>0</v>
      </c>
      <c r="J8" s="461">
        <v>52</v>
      </c>
      <c r="K8" s="225">
        <v>0</v>
      </c>
      <c r="L8" s="461">
        <v>78</v>
      </c>
      <c r="M8" s="225">
        <v>0</v>
      </c>
      <c r="N8" s="225">
        <v>0</v>
      </c>
      <c r="O8" s="15">
        <v>0</v>
      </c>
      <c r="P8" s="225">
        <v>0</v>
      </c>
      <c r="Q8" s="225">
        <v>0</v>
      </c>
      <c r="R8" s="225">
        <v>0</v>
      </c>
      <c r="S8" s="225">
        <v>0</v>
      </c>
      <c r="T8" s="225">
        <v>0</v>
      </c>
      <c r="U8" s="225">
        <v>0</v>
      </c>
      <c r="V8" s="225">
        <v>0</v>
      </c>
      <c r="W8" s="225">
        <v>0</v>
      </c>
      <c r="X8" s="225">
        <v>0</v>
      </c>
      <c r="Y8" s="225">
        <v>0</v>
      </c>
      <c r="Z8" s="321">
        <v>0</v>
      </c>
      <c r="AA8" s="225">
        <v>0</v>
      </c>
      <c r="AB8" s="225">
        <v>0</v>
      </c>
      <c r="AC8" s="225">
        <v>0</v>
      </c>
      <c r="AD8" s="225">
        <v>0</v>
      </c>
      <c r="AE8" s="225">
        <v>0</v>
      </c>
      <c r="AF8" s="225">
        <v>0</v>
      </c>
      <c r="AG8" s="225">
        <v>0</v>
      </c>
      <c r="AH8" s="225">
        <v>0</v>
      </c>
      <c r="AI8" s="208">
        <v>0</v>
      </c>
      <c r="AJ8" s="209">
        <v>0</v>
      </c>
      <c r="AK8" s="210">
        <v>130</v>
      </c>
      <c r="AL8" s="211">
        <f>AI8*$H$3</f>
        <v>0</v>
      </c>
      <c r="AM8" s="427">
        <f>AJ8*$I$3</f>
        <v>0</v>
      </c>
      <c r="AN8" s="212">
        <f>AK8*$R$3</f>
        <v>13000</v>
      </c>
      <c r="AO8" s="214">
        <f>AL8+AM8+AN8</f>
        <v>13000</v>
      </c>
    </row>
    <row r="9" spans="1:46" ht="15.6">
      <c r="A9" s="54" t="s">
        <v>321</v>
      </c>
      <c r="B9" s="43" t="s">
        <v>322</v>
      </c>
      <c r="C9" s="43" t="s">
        <v>110</v>
      </c>
      <c r="D9" s="7">
        <v>0</v>
      </c>
      <c r="E9" s="225">
        <v>0</v>
      </c>
      <c r="F9" s="321">
        <v>0</v>
      </c>
      <c r="G9" s="225">
        <v>0</v>
      </c>
      <c r="H9" s="225">
        <v>0</v>
      </c>
      <c r="I9" s="225">
        <v>0</v>
      </c>
      <c r="J9" s="225">
        <v>0</v>
      </c>
      <c r="K9" s="225">
        <v>0</v>
      </c>
      <c r="L9" s="225">
        <v>0</v>
      </c>
      <c r="M9" s="225">
        <v>0</v>
      </c>
      <c r="N9" s="225">
        <v>0</v>
      </c>
      <c r="O9" s="15">
        <v>0</v>
      </c>
      <c r="P9" s="225">
        <v>0</v>
      </c>
      <c r="Q9" s="225">
        <v>0</v>
      </c>
      <c r="R9" s="225">
        <v>0</v>
      </c>
      <c r="S9" s="225">
        <v>0</v>
      </c>
      <c r="T9" s="225">
        <v>0</v>
      </c>
      <c r="U9" s="225">
        <v>0</v>
      </c>
      <c r="V9" s="225">
        <v>0</v>
      </c>
      <c r="W9" s="225">
        <v>0</v>
      </c>
      <c r="X9" s="225">
        <v>0</v>
      </c>
      <c r="Y9" s="225">
        <v>0</v>
      </c>
      <c r="Z9" s="321">
        <v>0</v>
      </c>
      <c r="AA9" s="225">
        <v>0</v>
      </c>
      <c r="AB9" s="225">
        <v>0</v>
      </c>
      <c r="AC9" s="225">
        <v>0</v>
      </c>
      <c r="AD9" s="225">
        <v>0</v>
      </c>
      <c r="AE9" s="225">
        <v>0</v>
      </c>
      <c r="AF9" s="225">
        <v>0</v>
      </c>
      <c r="AG9" s="225">
        <v>0</v>
      </c>
      <c r="AH9" s="225">
        <v>0</v>
      </c>
      <c r="AI9" s="208">
        <v>0</v>
      </c>
      <c r="AJ9" s="209">
        <v>0</v>
      </c>
      <c r="AK9" s="210">
        <v>0</v>
      </c>
      <c r="AL9" s="211">
        <f>AI9*$M$3</f>
        <v>0</v>
      </c>
      <c r="AM9" s="212">
        <f>AJ9*$N$3</f>
        <v>0</v>
      </c>
      <c r="AN9" s="213">
        <f>AK9*$V$3</f>
        <v>0</v>
      </c>
      <c r="AO9" s="214">
        <f t="shared" ref="AO9:AO38" si="0">AL9+AM9+AN9</f>
        <v>0</v>
      </c>
    </row>
    <row r="10" spans="1:46" ht="15.6">
      <c r="A10" s="54" t="s">
        <v>44</v>
      </c>
      <c r="B10" s="43" t="s">
        <v>45</v>
      </c>
      <c r="C10" s="43" t="s">
        <v>38</v>
      </c>
      <c r="D10" s="7">
        <v>0</v>
      </c>
      <c r="E10" s="225">
        <v>0</v>
      </c>
      <c r="F10" s="321">
        <v>0</v>
      </c>
      <c r="G10" s="225">
        <v>0</v>
      </c>
      <c r="H10" s="225">
        <v>0</v>
      </c>
      <c r="I10" s="225">
        <v>0</v>
      </c>
      <c r="J10" s="225">
        <v>20</v>
      </c>
      <c r="K10" s="225">
        <v>8</v>
      </c>
      <c r="L10" s="225">
        <v>0</v>
      </c>
      <c r="M10" s="225">
        <v>0</v>
      </c>
      <c r="N10" s="225">
        <v>0</v>
      </c>
      <c r="O10" s="15">
        <v>0</v>
      </c>
      <c r="P10" s="225">
        <v>0</v>
      </c>
      <c r="Q10" s="225">
        <v>0</v>
      </c>
      <c r="R10" s="225">
        <v>0</v>
      </c>
      <c r="S10" s="225">
        <v>0</v>
      </c>
      <c r="T10" s="225">
        <v>0</v>
      </c>
      <c r="U10" s="225">
        <v>0</v>
      </c>
      <c r="V10" s="225">
        <v>0</v>
      </c>
      <c r="W10" s="225">
        <v>0</v>
      </c>
      <c r="X10" s="225">
        <v>0</v>
      </c>
      <c r="Y10" s="225">
        <v>0</v>
      </c>
      <c r="Z10" s="321">
        <v>0</v>
      </c>
      <c r="AA10" s="225">
        <v>0</v>
      </c>
      <c r="AB10" s="225">
        <v>0</v>
      </c>
      <c r="AC10" s="225">
        <v>0</v>
      </c>
      <c r="AD10" s="225">
        <v>0</v>
      </c>
      <c r="AE10" s="225">
        <v>0</v>
      </c>
      <c r="AF10" s="225">
        <v>0</v>
      </c>
      <c r="AG10" s="225">
        <v>0</v>
      </c>
      <c r="AH10" s="225">
        <v>0</v>
      </c>
      <c r="AI10" s="208">
        <v>28</v>
      </c>
      <c r="AJ10" s="209">
        <v>0</v>
      </c>
      <c r="AK10" s="210">
        <v>0</v>
      </c>
      <c r="AL10" s="211">
        <f>AI10*$H$3</f>
        <v>7000</v>
      </c>
      <c r="AM10" s="212">
        <f>AJ10*$I$3</f>
        <v>0</v>
      </c>
      <c r="AN10" s="213">
        <f>AK10*$R$3</f>
        <v>0</v>
      </c>
      <c r="AO10" s="214">
        <f t="shared" si="0"/>
        <v>7000</v>
      </c>
    </row>
    <row r="11" spans="1:46" ht="15.6">
      <c r="A11" s="54" t="s">
        <v>108</v>
      </c>
      <c r="B11" s="43" t="s">
        <v>109</v>
      </c>
      <c r="C11" s="43" t="s">
        <v>110</v>
      </c>
      <c r="D11" s="7">
        <v>0</v>
      </c>
      <c r="E11" s="225">
        <v>0</v>
      </c>
      <c r="F11" s="321">
        <v>0</v>
      </c>
      <c r="G11" s="225">
        <v>17.8</v>
      </c>
      <c r="H11" s="225">
        <v>5</v>
      </c>
      <c r="I11" s="225">
        <v>0.6</v>
      </c>
      <c r="J11" s="225">
        <v>0</v>
      </c>
      <c r="K11" s="225">
        <v>0</v>
      </c>
      <c r="L11" s="225">
        <v>0</v>
      </c>
      <c r="M11" s="225">
        <v>0</v>
      </c>
      <c r="N11" s="225">
        <v>0</v>
      </c>
      <c r="O11" s="15">
        <v>8</v>
      </c>
      <c r="P11" s="225">
        <v>0</v>
      </c>
      <c r="Q11" s="225">
        <v>0</v>
      </c>
      <c r="R11" s="225">
        <v>0</v>
      </c>
      <c r="S11" s="225">
        <v>0</v>
      </c>
      <c r="T11" s="225">
        <v>0</v>
      </c>
      <c r="U11" s="225">
        <v>0</v>
      </c>
      <c r="V11" s="225">
        <v>0</v>
      </c>
      <c r="W11" s="225">
        <v>0</v>
      </c>
      <c r="X11" s="225">
        <v>0</v>
      </c>
      <c r="Y11" s="225">
        <v>0</v>
      </c>
      <c r="Z11" s="321">
        <v>0</v>
      </c>
      <c r="AA11" s="225">
        <v>0</v>
      </c>
      <c r="AB11" s="225">
        <v>0</v>
      </c>
      <c r="AC11" s="225">
        <v>0</v>
      </c>
      <c r="AD11" s="225">
        <v>0</v>
      </c>
      <c r="AE11" s="225">
        <v>0</v>
      </c>
      <c r="AF11" s="225">
        <v>0</v>
      </c>
      <c r="AG11" s="225">
        <v>0</v>
      </c>
      <c r="AH11" s="225">
        <v>0</v>
      </c>
      <c r="AI11" s="208">
        <v>31.400000000000002</v>
      </c>
      <c r="AJ11" s="209">
        <v>0</v>
      </c>
      <c r="AK11" s="210">
        <v>0</v>
      </c>
      <c r="AL11" s="211">
        <f>AI11*$M$3</f>
        <v>11775</v>
      </c>
      <c r="AM11" s="212">
        <f>AJ11*$N$3</f>
        <v>0</v>
      </c>
      <c r="AN11" s="213">
        <f>AK11*$V$3</f>
        <v>0</v>
      </c>
      <c r="AO11" s="214">
        <f t="shared" si="0"/>
        <v>11775</v>
      </c>
    </row>
    <row r="12" spans="1:46" ht="15.6">
      <c r="A12" s="54" t="s">
        <v>47</v>
      </c>
      <c r="B12" s="43" t="s">
        <v>311</v>
      </c>
      <c r="C12" s="43" t="s">
        <v>38</v>
      </c>
      <c r="D12" s="7">
        <v>0</v>
      </c>
      <c r="E12" s="225">
        <v>0</v>
      </c>
      <c r="F12" s="321">
        <v>0</v>
      </c>
      <c r="G12" s="225">
        <v>6.65</v>
      </c>
      <c r="H12" s="225">
        <v>4.2</v>
      </c>
      <c r="I12" s="225">
        <v>0</v>
      </c>
      <c r="J12" s="225">
        <v>0</v>
      </c>
      <c r="K12" s="225">
        <v>0</v>
      </c>
      <c r="L12" s="225">
        <v>0</v>
      </c>
      <c r="M12" s="225">
        <v>0</v>
      </c>
      <c r="N12" s="225">
        <v>0</v>
      </c>
      <c r="O12" s="15">
        <v>0</v>
      </c>
      <c r="P12" s="225">
        <v>0</v>
      </c>
      <c r="Q12" s="225">
        <v>0</v>
      </c>
      <c r="R12" s="225">
        <v>0</v>
      </c>
      <c r="S12" s="225">
        <v>0</v>
      </c>
      <c r="T12" s="225">
        <v>0</v>
      </c>
      <c r="U12" s="225">
        <v>0</v>
      </c>
      <c r="V12" s="225">
        <v>0</v>
      </c>
      <c r="W12" s="225">
        <v>0</v>
      </c>
      <c r="X12" s="225">
        <v>0</v>
      </c>
      <c r="Y12" s="225">
        <v>0</v>
      </c>
      <c r="Z12" s="321">
        <v>0</v>
      </c>
      <c r="AA12" s="225">
        <v>0</v>
      </c>
      <c r="AB12" s="225">
        <v>0</v>
      </c>
      <c r="AC12" s="225">
        <v>0</v>
      </c>
      <c r="AD12" s="225">
        <v>0</v>
      </c>
      <c r="AE12" s="225">
        <v>0</v>
      </c>
      <c r="AF12" s="225">
        <v>0</v>
      </c>
      <c r="AG12" s="225">
        <v>0</v>
      </c>
      <c r="AH12" s="225">
        <v>0</v>
      </c>
      <c r="AI12" s="208">
        <v>10.850000000000001</v>
      </c>
      <c r="AJ12" s="209">
        <v>0</v>
      </c>
      <c r="AK12" s="210">
        <v>0</v>
      </c>
      <c r="AL12" s="211">
        <f>AI12*$H$3</f>
        <v>2712.5000000000005</v>
      </c>
      <c r="AM12" s="212">
        <f>AJ12*$I$3</f>
        <v>0</v>
      </c>
      <c r="AN12" s="213">
        <f>AK12*$R$3</f>
        <v>0</v>
      </c>
      <c r="AO12" s="214">
        <f t="shared" si="0"/>
        <v>2712.5000000000005</v>
      </c>
    </row>
    <row r="13" spans="1:46" ht="15.6">
      <c r="A13" s="54" t="s">
        <v>331</v>
      </c>
      <c r="B13" s="43" t="s">
        <v>332</v>
      </c>
      <c r="C13" s="43" t="s">
        <v>110</v>
      </c>
      <c r="D13" s="7">
        <v>0</v>
      </c>
      <c r="E13" s="225">
        <v>0</v>
      </c>
      <c r="F13" s="321">
        <v>0</v>
      </c>
      <c r="G13" s="225">
        <v>0</v>
      </c>
      <c r="H13" s="225">
        <v>0</v>
      </c>
      <c r="I13" s="225">
        <v>0</v>
      </c>
      <c r="J13" s="225">
        <v>0</v>
      </c>
      <c r="K13" s="225">
        <v>0</v>
      </c>
      <c r="L13" s="225">
        <v>0</v>
      </c>
      <c r="M13" s="225">
        <v>0</v>
      </c>
      <c r="N13" s="225">
        <v>0</v>
      </c>
      <c r="O13" s="15">
        <v>0</v>
      </c>
      <c r="P13" s="225">
        <v>0</v>
      </c>
      <c r="Q13" s="225">
        <v>0</v>
      </c>
      <c r="R13" s="225">
        <v>0</v>
      </c>
      <c r="S13" s="225">
        <v>0</v>
      </c>
      <c r="T13" s="225">
        <v>0</v>
      </c>
      <c r="U13" s="225">
        <v>0</v>
      </c>
      <c r="V13" s="225">
        <v>0</v>
      </c>
      <c r="W13" s="225">
        <v>0</v>
      </c>
      <c r="X13" s="225">
        <v>0</v>
      </c>
      <c r="Y13" s="225">
        <v>0</v>
      </c>
      <c r="Z13" s="321">
        <v>0</v>
      </c>
      <c r="AA13" s="225">
        <v>0</v>
      </c>
      <c r="AB13" s="225">
        <v>0</v>
      </c>
      <c r="AC13" s="225">
        <v>0</v>
      </c>
      <c r="AD13" s="225">
        <v>0</v>
      </c>
      <c r="AE13" s="225">
        <v>0</v>
      </c>
      <c r="AF13" s="225">
        <v>0</v>
      </c>
      <c r="AG13" s="225">
        <v>0</v>
      </c>
      <c r="AH13" s="225">
        <v>0</v>
      </c>
      <c r="AI13" s="208">
        <v>0</v>
      </c>
      <c r="AJ13" s="209">
        <v>0</v>
      </c>
      <c r="AK13" s="210">
        <v>0</v>
      </c>
      <c r="AL13" s="211">
        <f>AI13*$M$3</f>
        <v>0</v>
      </c>
      <c r="AM13" s="212">
        <f>AJ13*$N$3</f>
        <v>0</v>
      </c>
      <c r="AN13" s="213">
        <f>AK13*$V$3</f>
        <v>0</v>
      </c>
      <c r="AO13" s="214">
        <f t="shared" si="0"/>
        <v>0</v>
      </c>
    </row>
    <row r="14" spans="1:46" ht="15.6">
      <c r="A14" s="54" t="s">
        <v>50</v>
      </c>
      <c r="B14" s="43" t="s">
        <v>51</v>
      </c>
      <c r="C14" s="43" t="s">
        <v>38</v>
      </c>
      <c r="D14" s="7">
        <v>0</v>
      </c>
      <c r="E14" s="225">
        <v>0</v>
      </c>
      <c r="F14" s="321">
        <v>0</v>
      </c>
      <c r="G14" s="225">
        <v>0</v>
      </c>
      <c r="H14" s="225">
        <v>0</v>
      </c>
      <c r="I14" s="225">
        <v>0</v>
      </c>
      <c r="J14" s="461">
        <v>52</v>
      </c>
      <c r="K14" s="225">
        <v>0</v>
      </c>
      <c r="L14" s="461">
        <v>78</v>
      </c>
      <c r="M14" s="225">
        <v>0</v>
      </c>
      <c r="N14" s="225">
        <v>0</v>
      </c>
      <c r="O14" s="15">
        <v>0</v>
      </c>
      <c r="P14" s="225">
        <v>0</v>
      </c>
      <c r="Q14" s="225">
        <v>0</v>
      </c>
      <c r="R14" s="225">
        <v>0</v>
      </c>
      <c r="S14" s="225">
        <v>0</v>
      </c>
      <c r="T14" s="225">
        <v>0</v>
      </c>
      <c r="U14" s="225">
        <v>0</v>
      </c>
      <c r="V14" s="225">
        <v>0</v>
      </c>
      <c r="W14" s="225">
        <v>0</v>
      </c>
      <c r="X14" s="225">
        <v>0</v>
      </c>
      <c r="Y14" s="225">
        <v>0</v>
      </c>
      <c r="Z14" s="321">
        <v>0</v>
      </c>
      <c r="AA14" s="225">
        <v>0</v>
      </c>
      <c r="AB14" s="225">
        <v>0</v>
      </c>
      <c r="AC14" s="225">
        <v>0</v>
      </c>
      <c r="AD14" s="225">
        <v>0</v>
      </c>
      <c r="AE14" s="225">
        <v>0</v>
      </c>
      <c r="AF14" s="225">
        <v>0</v>
      </c>
      <c r="AG14" s="225">
        <v>0</v>
      </c>
      <c r="AH14" s="225">
        <v>0</v>
      </c>
      <c r="AI14" s="208">
        <v>0</v>
      </c>
      <c r="AJ14" s="209">
        <v>0</v>
      </c>
      <c r="AK14" s="210">
        <v>130</v>
      </c>
      <c r="AL14" s="211">
        <f>AI14*$H$3</f>
        <v>0</v>
      </c>
      <c r="AM14" s="212">
        <f>AJ14*$I$3</f>
        <v>0</v>
      </c>
      <c r="AN14" s="213">
        <f>AK14*$R$3</f>
        <v>13000</v>
      </c>
      <c r="AO14" s="214">
        <f t="shared" si="0"/>
        <v>13000</v>
      </c>
    </row>
    <row r="15" spans="1:46" ht="15.6">
      <c r="A15" s="54" t="s">
        <v>336</v>
      </c>
      <c r="B15" s="43" t="s">
        <v>450</v>
      </c>
      <c r="C15" s="43" t="s">
        <v>110</v>
      </c>
      <c r="D15" s="7">
        <v>0</v>
      </c>
      <c r="E15" s="225">
        <v>0</v>
      </c>
      <c r="F15" s="321">
        <v>0</v>
      </c>
      <c r="G15" s="225">
        <v>0</v>
      </c>
      <c r="H15" s="225">
        <v>0</v>
      </c>
      <c r="I15" s="225">
        <v>0</v>
      </c>
      <c r="J15" s="225">
        <v>0</v>
      </c>
      <c r="K15" s="225">
        <v>0</v>
      </c>
      <c r="L15" s="225">
        <v>0</v>
      </c>
      <c r="M15" s="225">
        <v>0</v>
      </c>
      <c r="N15" s="225">
        <v>0</v>
      </c>
      <c r="O15" s="15">
        <v>0</v>
      </c>
      <c r="P15" s="225">
        <v>0</v>
      </c>
      <c r="Q15" s="225">
        <v>0</v>
      </c>
      <c r="R15" s="225">
        <v>0</v>
      </c>
      <c r="S15" s="225">
        <v>0</v>
      </c>
      <c r="T15" s="225">
        <v>0</v>
      </c>
      <c r="U15" s="225">
        <v>0</v>
      </c>
      <c r="V15" s="225">
        <v>0</v>
      </c>
      <c r="W15" s="225">
        <v>0</v>
      </c>
      <c r="X15" s="225">
        <v>0</v>
      </c>
      <c r="Y15" s="225">
        <v>0</v>
      </c>
      <c r="Z15" s="321">
        <v>0</v>
      </c>
      <c r="AA15" s="225">
        <v>0</v>
      </c>
      <c r="AB15" s="225">
        <v>0</v>
      </c>
      <c r="AC15" s="225">
        <v>0</v>
      </c>
      <c r="AD15" s="225">
        <v>0</v>
      </c>
      <c r="AE15" s="225">
        <v>0</v>
      </c>
      <c r="AF15" s="225">
        <v>0</v>
      </c>
      <c r="AG15" s="225">
        <v>0</v>
      </c>
      <c r="AH15" s="225">
        <v>0</v>
      </c>
      <c r="AI15" s="208">
        <v>0</v>
      </c>
      <c r="AJ15" s="209">
        <v>0</v>
      </c>
      <c r="AK15" s="210">
        <v>0</v>
      </c>
      <c r="AL15" s="211">
        <f t="shared" ref="AL15:AL16" si="1">AI15*$M$3</f>
        <v>0</v>
      </c>
      <c r="AM15" s="212">
        <f t="shared" ref="AM15:AM16" si="2">AJ15*$N$3</f>
        <v>0</v>
      </c>
      <c r="AN15" s="213">
        <f t="shared" ref="AN15:AN16" si="3">AK15*$V$3</f>
        <v>0</v>
      </c>
      <c r="AO15" s="214">
        <f t="shared" si="0"/>
        <v>0</v>
      </c>
    </row>
    <row r="16" spans="1:46" ht="15.6">
      <c r="A16" s="54" t="s">
        <v>114</v>
      </c>
      <c r="B16" s="43" t="s">
        <v>115</v>
      </c>
      <c r="C16" s="43" t="s">
        <v>110</v>
      </c>
      <c r="D16" s="7">
        <v>0</v>
      </c>
      <c r="E16" s="225">
        <v>0</v>
      </c>
      <c r="F16" s="321">
        <v>0</v>
      </c>
      <c r="G16" s="225">
        <v>0</v>
      </c>
      <c r="H16" s="225">
        <v>0</v>
      </c>
      <c r="I16" s="225">
        <v>0</v>
      </c>
      <c r="J16" s="225">
        <v>20</v>
      </c>
      <c r="K16" s="225">
        <v>8</v>
      </c>
      <c r="L16" s="225">
        <v>0</v>
      </c>
      <c r="M16" s="225">
        <v>0</v>
      </c>
      <c r="N16" s="225">
        <v>0</v>
      </c>
      <c r="O16" s="15">
        <v>0</v>
      </c>
      <c r="P16" s="225">
        <v>0</v>
      </c>
      <c r="Q16" s="225">
        <v>0</v>
      </c>
      <c r="R16" s="225">
        <v>0</v>
      </c>
      <c r="S16" s="225">
        <v>0</v>
      </c>
      <c r="T16" s="225">
        <v>0</v>
      </c>
      <c r="U16" s="225">
        <v>0</v>
      </c>
      <c r="V16" s="225">
        <v>0</v>
      </c>
      <c r="W16" s="225">
        <v>0</v>
      </c>
      <c r="X16" s="225">
        <v>0</v>
      </c>
      <c r="Y16" s="225">
        <v>0</v>
      </c>
      <c r="Z16" s="321">
        <v>0</v>
      </c>
      <c r="AA16" s="225">
        <v>0</v>
      </c>
      <c r="AB16" s="225">
        <v>0</v>
      </c>
      <c r="AC16" s="225">
        <v>0</v>
      </c>
      <c r="AD16" s="225">
        <v>0</v>
      </c>
      <c r="AE16" s="225">
        <v>0</v>
      </c>
      <c r="AF16" s="225">
        <v>0</v>
      </c>
      <c r="AG16" s="225">
        <v>0</v>
      </c>
      <c r="AH16" s="225">
        <v>0</v>
      </c>
      <c r="AI16" s="208">
        <v>28</v>
      </c>
      <c r="AJ16" s="209">
        <v>0</v>
      </c>
      <c r="AK16" s="210">
        <v>0</v>
      </c>
      <c r="AL16" s="211">
        <f t="shared" si="1"/>
        <v>10500</v>
      </c>
      <c r="AM16" s="212">
        <f t="shared" si="2"/>
        <v>0</v>
      </c>
      <c r="AN16" s="213">
        <f t="shared" si="3"/>
        <v>0</v>
      </c>
      <c r="AO16" s="214">
        <f t="shared" si="0"/>
        <v>10500</v>
      </c>
    </row>
    <row r="17" spans="1:41" ht="15.6">
      <c r="A17" s="54" t="s">
        <v>53</v>
      </c>
      <c r="B17" s="43" t="s">
        <v>54</v>
      </c>
      <c r="C17" s="43" t="s">
        <v>38</v>
      </c>
      <c r="D17" s="7">
        <v>0</v>
      </c>
      <c r="E17" s="225">
        <v>0</v>
      </c>
      <c r="F17" s="321">
        <v>8</v>
      </c>
      <c r="G17" s="225">
        <v>0</v>
      </c>
      <c r="H17" s="225">
        <v>0</v>
      </c>
      <c r="I17" s="225">
        <v>10.1</v>
      </c>
      <c r="J17" s="225">
        <v>14</v>
      </c>
      <c r="K17" s="225">
        <v>11</v>
      </c>
      <c r="L17" s="225">
        <v>0</v>
      </c>
      <c r="M17" s="225">
        <v>5</v>
      </c>
      <c r="N17" s="225">
        <v>0</v>
      </c>
      <c r="O17" s="15">
        <v>0</v>
      </c>
      <c r="P17" s="225">
        <v>0</v>
      </c>
      <c r="Q17" s="225">
        <v>0</v>
      </c>
      <c r="R17" s="225">
        <v>0</v>
      </c>
      <c r="S17" s="225">
        <v>0</v>
      </c>
      <c r="T17" s="225">
        <v>0</v>
      </c>
      <c r="U17" s="225">
        <v>0</v>
      </c>
      <c r="V17" s="225">
        <v>0</v>
      </c>
      <c r="W17" s="225">
        <v>0</v>
      </c>
      <c r="X17" s="225">
        <v>0</v>
      </c>
      <c r="Y17" s="225">
        <v>0</v>
      </c>
      <c r="Z17" s="321">
        <v>0</v>
      </c>
      <c r="AA17" s="225">
        <v>0</v>
      </c>
      <c r="AB17" s="225">
        <v>0</v>
      </c>
      <c r="AC17" s="22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08">
        <v>48.1</v>
      </c>
      <c r="AJ17" s="209">
        <v>0</v>
      </c>
      <c r="AK17" s="210">
        <v>0</v>
      </c>
      <c r="AL17" s="211">
        <f t="shared" ref="AL17:AL18" si="4">AI17*$H$3</f>
        <v>12025</v>
      </c>
      <c r="AM17" s="212">
        <f t="shared" ref="AM17:AM18" si="5">AJ17*$I$3</f>
        <v>0</v>
      </c>
      <c r="AN17" s="213">
        <f t="shared" ref="AN17:AN18" si="6">AK17*$R$3</f>
        <v>0</v>
      </c>
      <c r="AO17" s="214">
        <f t="shared" si="0"/>
        <v>12025</v>
      </c>
    </row>
    <row r="18" spans="1:41" ht="15.6">
      <c r="A18" s="54" t="s">
        <v>55</v>
      </c>
      <c r="B18" s="43" t="s">
        <v>56</v>
      </c>
      <c r="C18" s="43" t="s">
        <v>38</v>
      </c>
      <c r="D18" s="7">
        <v>0</v>
      </c>
      <c r="E18" s="225">
        <v>0</v>
      </c>
      <c r="F18" s="321">
        <v>0</v>
      </c>
      <c r="G18" s="225">
        <v>0</v>
      </c>
      <c r="H18" s="225">
        <v>0</v>
      </c>
      <c r="I18" s="225">
        <v>0</v>
      </c>
      <c r="J18" s="225">
        <v>0</v>
      </c>
      <c r="K18" s="225">
        <v>0</v>
      </c>
      <c r="L18" s="225">
        <v>0</v>
      </c>
      <c r="M18" s="225">
        <v>0</v>
      </c>
      <c r="N18" s="225">
        <v>0</v>
      </c>
      <c r="O18" s="15">
        <v>0</v>
      </c>
      <c r="P18" s="225">
        <v>0</v>
      </c>
      <c r="Q18" s="225">
        <v>0</v>
      </c>
      <c r="R18" s="225">
        <v>0</v>
      </c>
      <c r="S18" s="225">
        <v>0</v>
      </c>
      <c r="T18" s="225">
        <v>0</v>
      </c>
      <c r="U18" s="225">
        <v>0</v>
      </c>
      <c r="V18" s="225">
        <v>0</v>
      </c>
      <c r="W18" s="225">
        <v>0</v>
      </c>
      <c r="X18" s="225">
        <v>0</v>
      </c>
      <c r="Y18" s="225">
        <v>0</v>
      </c>
      <c r="Z18" s="321">
        <v>0</v>
      </c>
      <c r="AA18" s="225">
        <v>0</v>
      </c>
      <c r="AB18" s="225">
        <v>0</v>
      </c>
      <c r="AC18" s="225">
        <v>0</v>
      </c>
      <c r="AD18" s="225">
        <v>0</v>
      </c>
      <c r="AE18" s="225">
        <v>0</v>
      </c>
      <c r="AF18" s="225">
        <v>0</v>
      </c>
      <c r="AG18" s="225">
        <v>0</v>
      </c>
      <c r="AH18" s="225">
        <v>0</v>
      </c>
      <c r="AI18" s="208">
        <v>0</v>
      </c>
      <c r="AJ18" s="209">
        <v>0</v>
      </c>
      <c r="AK18" s="210">
        <v>0</v>
      </c>
      <c r="AL18" s="211">
        <f t="shared" si="4"/>
        <v>0</v>
      </c>
      <c r="AM18" s="212">
        <f t="shared" si="5"/>
        <v>0</v>
      </c>
      <c r="AN18" s="213">
        <f t="shared" si="6"/>
        <v>0</v>
      </c>
      <c r="AO18" s="214">
        <f t="shared" si="0"/>
        <v>0</v>
      </c>
    </row>
    <row r="19" spans="1:41" ht="15.6">
      <c r="A19" s="54" t="s">
        <v>237</v>
      </c>
      <c r="B19" s="43" t="s">
        <v>238</v>
      </c>
      <c r="C19" s="43" t="s">
        <v>110</v>
      </c>
      <c r="D19" s="7">
        <v>0</v>
      </c>
      <c r="E19" s="225">
        <v>0</v>
      </c>
      <c r="F19" s="321">
        <v>0</v>
      </c>
      <c r="G19" s="225">
        <v>0</v>
      </c>
      <c r="H19" s="225">
        <v>0</v>
      </c>
      <c r="I19" s="225">
        <v>0</v>
      </c>
      <c r="J19" s="225">
        <v>0</v>
      </c>
      <c r="K19" s="225">
        <v>0</v>
      </c>
      <c r="L19" s="225">
        <v>0</v>
      </c>
      <c r="M19" s="225">
        <v>0</v>
      </c>
      <c r="N19" s="225">
        <v>0</v>
      </c>
      <c r="O19" s="15">
        <v>0</v>
      </c>
      <c r="P19" s="225">
        <v>0</v>
      </c>
      <c r="Q19" s="225">
        <v>0</v>
      </c>
      <c r="R19" s="225">
        <v>0</v>
      </c>
      <c r="S19" s="225">
        <v>0</v>
      </c>
      <c r="T19" s="225">
        <v>0</v>
      </c>
      <c r="U19" s="225">
        <v>0</v>
      </c>
      <c r="V19" s="225">
        <v>0</v>
      </c>
      <c r="W19" s="225">
        <v>0</v>
      </c>
      <c r="X19" s="225">
        <v>0</v>
      </c>
      <c r="Y19" s="225">
        <v>0</v>
      </c>
      <c r="Z19" s="321">
        <v>0</v>
      </c>
      <c r="AA19" s="225">
        <v>0</v>
      </c>
      <c r="AB19" s="225">
        <v>0</v>
      </c>
      <c r="AC19" s="225">
        <v>0</v>
      </c>
      <c r="AD19" s="225">
        <v>0</v>
      </c>
      <c r="AE19" s="225">
        <v>0</v>
      </c>
      <c r="AF19" s="225">
        <v>0</v>
      </c>
      <c r="AG19" s="225">
        <v>0</v>
      </c>
      <c r="AH19" s="225">
        <v>0</v>
      </c>
      <c r="AI19" s="208">
        <v>0</v>
      </c>
      <c r="AJ19" s="209">
        <v>0</v>
      </c>
      <c r="AK19" s="210">
        <v>0</v>
      </c>
      <c r="AL19" s="211">
        <f>AI19*$M$3</f>
        <v>0</v>
      </c>
      <c r="AM19" s="212">
        <f>AJ19*$N$3</f>
        <v>0</v>
      </c>
      <c r="AN19" s="213">
        <f>AK19*$V$3</f>
        <v>0</v>
      </c>
      <c r="AO19" s="214">
        <f t="shared" si="0"/>
        <v>0</v>
      </c>
    </row>
    <row r="20" spans="1:41" ht="15.6">
      <c r="A20" s="54" t="s">
        <v>59</v>
      </c>
      <c r="B20" s="43" t="s">
        <v>60</v>
      </c>
      <c r="C20" s="43" t="s">
        <v>38</v>
      </c>
      <c r="D20" s="7">
        <v>0</v>
      </c>
      <c r="E20" s="225">
        <v>0</v>
      </c>
      <c r="F20" s="460">
        <v>4</v>
      </c>
      <c r="G20" s="225">
        <v>0</v>
      </c>
      <c r="H20" s="225">
        <v>0</v>
      </c>
      <c r="I20" s="225">
        <v>0</v>
      </c>
      <c r="J20" s="225">
        <v>0</v>
      </c>
      <c r="K20" s="225">
        <v>0</v>
      </c>
      <c r="L20" s="225">
        <v>0</v>
      </c>
      <c r="M20" s="225">
        <v>0</v>
      </c>
      <c r="N20" s="225">
        <v>0</v>
      </c>
      <c r="O20" s="462">
        <v>22</v>
      </c>
      <c r="P20" s="225">
        <v>0</v>
      </c>
      <c r="Q20" s="225">
        <v>0</v>
      </c>
      <c r="R20" s="225">
        <v>0</v>
      </c>
      <c r="S20" s="225">
        <v>0</v>
      </c>
      <c r="T20" s="225">
        <v>0</v>
      </c>
      <c r="U20" s="225">
        <v>0</v>
      </c>
      <c r="V20" s="225">
        <v>0</v>
      </c>
      <c r="W20" s="225">
        <v>0</v>
      </c>
      <c r="X20" s="225">
        <v>0</v>
      </c>
      <c r="Y20" s="225">
        <v>0</v>
      </c>
      <c r="Z20" s="321">
        <v>0</v>
      </c>
      <c r="AA20" s="225">
        <v>0</v>
      </c>
      <c r="AB20" s="225">
        <v>0</v>
      </c>
      <c r="AC20" s="225">
        <v>0</v>
      </c>
      <c r="AD20" s="225">
        <v>0</v>
      </c>
      <c r="AE20" s="225">
        <v>0</v>
      </c>
      <c r="AF20" s="461">
        <v>22</v>
      </c>
      <c r="AG20" s="225">
        <v>0</v>
      </c>
      <c r="AH20" s="461">
        <v>28</v>
      </c>
      <c r="AI20" s="208">
        <v>0</v>
      </c>
      <c r="AJ20" s="209">
        <v>0</v>
      </c>
      <c r="AK20" s="210">
        <v>76</v>
      </c>
      <c r="AL20" s="211">
        <f t="shared" ref="AL20:AL21" si="7">AI20*$H$3</f>
        <v>0</v>
      </c>
      <c r="AM20" s="212">
        <f t="shared" ref="AM20:AM21" si="8">AJ20*$I$3</f>
        <v>0</v>
      </c>
      <c r="AN20" s="213">
        <f t="shared" ref="AN20:AN21" si="9">AK20*$R$3</f>
        <v>7600</v>
      </c>
      <c r="AO20" s="214">
        <f t="shared" si="0"/>
        <v>7600</v>
      </c>
    </row>
    <row r="21" spans="1:41" ht="15.6">
      <c r="A21" s="54" t="s">
        <v>451</v>
      </c>
      <c r="B21" s="43" t="s">
        <v>452</v>
      </c>
      <c r="C21" s="43" t="s">
        <v>38</v>
      </c>
      <c r="D21" s="7">
        <v>0</v>
      </c>
      <c r="E21" s="225">
        <v>0</v>
      </c>
      <c r="F21" s="321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25">
        <v>0</v>
      </c>
      <c r="M21" s="225">
        <v>0</v>
      </c>
      <c r="N21" s="225">
        <v>0</v>
      </c>
      <c r="O21" s="15">
        <v>0</v>
      </c>
      <c r="P21" s="225">
        <v>0</v>
      </c>
      <c r="Q21" s="225">
        <v>0</v>
      </c>
      <c r="R21" s="225">
        <v>0</v>
      </c>
      <c r="S21" s="225">
        <v>0</v>
      </c>
      <c r="T21" s="225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321">
        <v>0</v>
      </c>
      <c r="AA21" s="225">
        <v>0</v>
      </c>
      <c r="AB21" s="225">
        <v>0</v>
      </c>
      <c r="AC21" s="22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08">
        <v>0</v>
      </c>
      <c r="AJ21" s="209">
        <v>0</v>
      </c>
      <c r="AK21" s="210">
        <v>0</v>
      </c>
      <c r="AL21" s="211">
        <f t="shared" si="7"/>
        <v>0</v>
      </c>
      <c r="AM21" s="212">
        <f t="shared" si="8"/>
        <v>0</v>
      </c>
      <c r="AN21" s="213">
        <f t="shared" si="9"/>
        <v>0</v>
      </c>
      <c r="AO21" s="214">
        <f t="shared" si="0"/>
        <v>0</v>
      </c>
    </row>
    <row r="22" spans="1:41" ht="15.6">
      <c r="A22" s="54" t="s">
        <v>116</v>
      </c>
      <c r="B22" s="43" t="s">
        <v>117</v>
      </c>
      <c r="C22" s="43" t="s">
        <v>110</v>
      </c>
      <c r="D22" s="7">
        <v>0</v>
      </c>
      <c r="E22" s="225">
        <v>0</v>
      </c>
      <c r="F22" s="321">
        <v>8</v>
      </c>
      <c r="G22" s="225">
        <v>0</v>
      </c>
      <c r="H22" s="225">
        <v>0</v>
      </c>
      <c r="I22" s="225">
        <v>10.1</v>
      </c>
      <c r="J22" s="225">
        <v>14</v>
      </c>
      <c r="K22" s="225">
        <v>11</v>
      </c>
      <c r="L22" s="225">
        <v>0</v>
      </c>
      <c r="M22" s="225">
        <v>5</v>
      </c>
      <c r="N22" s="225">
        <v>0</v>
      </c>
      <c r="O22" s="15">
        <v>0</v>
      </c>
      <c r="P22" s="225">
        <v>0</v>
      </c>
      <c r="Q22" s="225">
        <v>0</v>
      </c>
      <c r="R22" s="225">
        <v>0</v>
      </c>
      <c r="S22" s="225">
        <v>0</v>
      </c>
      <c r="T22" s="225">
        <v>0</v>
      </c>
      <c r="U22" s="225">
        <v>0</v>
      </c>
      <c r="V22" s="225">
        <v>0</v>
      </c>
      <c r="W22" s="225">
        <v>0</v>
      </c>
      <c r="X22" s="225">
        <v>0</v>
      </c>
      <c r="Y22" s="225">
        <v>0</v>
      </c>
      <c r="Z22" s="321">
        <v>0</v>
      </c>
      <c r="AA22" s="225">
        <v>0</v>
      </c>
      <c r="AB22" s="225">
        <v>0</v>
      </c>
      <c r="AC22" s="225">
        <v>0</v>
      </c>
      <c r="AD22" s="225">
        <v>0</v>
      </c>
      <c r="AE22" s="225">
        <v>0</v>
      </c>
      <c r="AF22" s="225">
        <v>0</v>
      </c>
      <c r="AG22" s="225">
        <v>0</v>
      </c>
      <c r="AH22" s="225">
        <v>0</v>
      </c>
      <c r="AI22" s="208">
        <v>48.1</v>
      </c>
      <c r="AJ22" s="209">
        <v>0</v>
      </c>
      <c r="AK22" s="210">
        <v>0</v>
      </c>
      <c r="AL22" s="211">
        <f t="shared" ref="AL22:AL25" si="10">AI22*$M$3</f>
        <v>18037.5</v>
      </c>
      <c r="AM22" s="212">
        <f t="shared" ref="AM22:AM25" si="11">AJ22*$N$3</f>
        <v>0</v>
      </c>
      <c r="AN22" s="213">
        <f t="shared" ref="AN22:AN25" si="12">AK22*$V$3</f>
        <v>0</v>
      </c>
      <c r="AO22" s="214">
        <f t="shared" si="0"/>
        <v>18037.5</v>
      </c>
    </row>
    <row r="23" spans="1:41" ht="15.6">
      <c r="A23" s="54" t="s">
        <v>118</v>
      </c>
      <c r="B23" s="43" t="s">
        <v>119</v>
      </c>
      <c r="C23" s="43" t="s">
        <v>110</v>
      </c>
      <c r="D23" s="7">
        <v>0</v>
      </c>
      <c r="E23" s="225">
        <v>0</v>
      </c>
      <c r="F23" s="321">
        <v>20</v>
      </c>
      <c r="G23" s="225">
        <v>0</v>
      </c>
      <c r="H23" s="225">
        <v>0</v>
      </c>
      <c r="I23" s="225">
        <v>0</v>
      </c>
      <c r="J23" s="225">
        <v>20</v>
      </c>
      <c r="K23" s="225">
        <v>8</v>
      </c>
      <c r="L23" s="225">
        <v>0</v>
      </c>
      <c r="M23" s="225">
        <v>0</v>
      </c>
      <c r="N23" s="225">
        <v>0</v>
      </c>
      <c r="O23" s="15">
        <v>0</v>
      </c>
      <c r="P23" s="225">
        <v>0</v>
      </c>
      <c r="Q23" s="225">
        <v>0</v>
      </c>
      <c r="R23" s="225">
        <v>0</v>
      </c>
      <c r="S23" s="225">
        <v>0</v>
      </c>
      <c r="T23" s="225">
        <v>0</v>
      </c>
      <c r="U23" s="225">
        <v>0</v>
      </c>
      <c r="V23" s="225">
        <v>0</v>
      </c>
      <c r="W23" s="225">
        <v>0</v>
      </c>
      <c r="X23" s="225">
        <v>0</v>
      </c>
      <c r="Y23" s="225">
        <v>0</v>
      </c>
      <c r="Z23" s="321">
        <v>0</v>
      </c>
      <c r="AA23" s="225">
        <v>0</v>
      </c>
      <c r="AB23" s="225">
        <v>0</v>
      </c>
      <c r="AC23" s="225">
        <v>0</v>
      </c>
      <c r="AD23" s="225">
        <v>0</v>
      </c>
      <c r="AE23" s="225">
        <v>0</v>
      </c>
      <c r="AF23" s="225">
        <v>0</v>
      </c>
      <c r="AG23" s="225">
        <v>0</v>
      </c>
      <c r="AH23" s="225">
        <v>0</v>
      </c>
      <c r="AI23" s="208">
        <v>48</v>
      </c>
      <c r="AJ23" s="209">
        <v>0</v>
      </c>
      <c r="AK23" s="210">
        <v>0</v>
      </c>
      <c r="AL23" s="211">
        <f t="shared" si="10"/>
        <v>18000</v>
      </c>
      <c r="AM23" s="212">
        <f t="shared" si="11"/>
        <v>0</v>
      </c>
      <c r="AN23" s="213">
        <f t="shared" si="12"/>
        <v>0</v>
      </c>
      <c r="AO23" s="214">
        <f t="shared" si="0"/>
        <v>18000</v>
      </c>
    </row>
    <row r="24" spans="1:41" ht="15.6">
      <c r="A24" s="54" t="s">
        <v>120</v>
      </c>
      <c r="B24" s="43" t="s">
        <v>121</v>
      </c>
      <c r="C24" s="43" t="s">
        <v>110</v>
      </c>
      <c r="D24" s="7">
        <v>0</v>
      </c>
      <c r="E24" s="225">
        <v>0</v>
      </c>
      <c r="F24" s="460">
        <v>4</v>
      </c>
      <c r="G24" s="225">
        <v>0</v>
      </c>
      <c r="H24" s="225">
        <v>0</v>
      </c>
      <c r="I24" s="225">
        <v>0</v>
      </c>
      <c r="J24" s="225">
        <v>0</v>
      </c>
      <c r="K24" s="225">
        <v>0</v>
      </c>
      <c r="L24" s="225">
        <v>0</v>
      </c>
      <c r="M24" s="225">
        <v>0</v>
      </c>
      <c r="N24" s="225">
        <v>0</v>
      </c>
      <c r="O24" s="462">
        <v>22</v>
      </c>
      <c r="P24" s="225">
        <v>0</v>
      </c>
      <c r="Q24" s="225">
        <v>0</v>
      </c>
      <c r="R24" s="225">
        <v>0</v>
      </c>
      <c r="S24" s="225">
        <v>0</v>
      </c>
      <c r="T24" s="225">
        <v>0</v>
      </c>
      <c r="U24" s="225">
        <v>0</v>
      </c>
      <c r="V24" s="225">
        <v>0</v>
      </c>
      <c r="W24" s="225">
        <v>0</v>
      </c>
      <c r="X24" s="225">
        <v>0</v>
      </c>
      <c r="Y24" s="225">
        <v>0</v>
      </c>
      <c r="Z24" s="321">
        <v>0</v>
      </c>
      <c r="AA24" s="225">
        <v>0</v>
      </c>
      <c r="AB24" s="225">
        <v>0</v>
      </c>
      <c r="AC24" s="225">
        <v>0</v>
      </c>
      <c r="AD24" s="225">
        <v>0</v>
      </c>
      <c r="AE24" s="225">
        <v>0</v>
      </c>
      <c r="AF24" s="461">
        <v>22</v>
      </c>
      <c r="AG24" s="225">
        <v>0</v>
      </c>
      <c r="AH24" s="461">
        <v>28</v>
      </c>
      <c r="AI24" s="208">
        <v>0</v>
      </c>
      <c r="AJ24" s="209">
        <v>0</v>
      </c>
      <c r="AK24" s="210">
        <v>76</v>
      </c>
      <c r="AL24" s="211">
        <f t="shared" si="10"/>
        <v>0</v>
      </c>
      <c r="AM24" s="212">
        <f t="shared" si="11"/>
        <v>0</v>
      </c>
      <c r="AN24" s="213">
        <f t="shared" si="12"/>
        <v>11400</v>
      </c>
      <c r="AO24" s="214">
        <f t="shared" si="0"/>
        <v>11400</v>
      </c>
    </row>
    <row r="25" spans="1:41" ht="15.6">
      <c r="A25" s="54" t="s">
        <v>453</v>
      </c>
      <c r="B25" s="43" t="s">
        <v>454</v>
      </c>
      <c r="C25" s="43" t="s">
        <v>110</v>
      </c>
      <c r="D25" s="7">
        <v>0</v>
      </c>
      <c r="E25" s="225">
        <v>0</v>
      </c>
      <c r="F25" s="321">
        <v>0</v>
      </c>
      <c r="G25" s="225">
        <v>0</v>
      </c>
      <c r="H25" s="225">
        <v>0</v>
      </c>
      <c r="I25" s="225">
        <v>0</v>
      </c>
      <c r="J25" s="225">
        <v>0</v>
      </c>
      <c r="K25" s="225">
        <v>0</v>
      </c>
      <c r="L25" s="225">
        <v>0</v>
      </c>
      <c r="M25" s="225">
        <v>0</v>
      </c>
      <c r="N25" s="225">
        <v>0</v>
      </c>
      <c r="O25" s="15">
        <v>0</v>
      </c>
      <c r="P25" s="225">
        <v>0</v>
      </c>
      <c r="Q25" s="225">
        <v>0</v>
      </c>
      <c r="R25" s="225">
        <v>0</v>
      </c>
      <c r="S25" s="225">
        <v>0</v>
      </c>
      <c r="T25" s="225">
        <v>0</v>
      </c>
      <c r="U25" s="225">
        <v>0</v>
      </c>
      <c r="V25" s="225">
        <v>0</v>
      </c>
      <c r="W25" s="225">
        <v>0</v>
      </c>
      <c r="X25" s="225">
        <v>0</v>
      </c>
      <c r="Y25" s="225">
        <v>0</v>
      </c>
      <c r="Z25" s="321">
        <v>0</v>
      </c>
      <c r="AA25" s="225">
        <v>0</v>
      </c>
      <c r="AB25" s="225">
        <v>0</v>
      </c>
      <c r="AC25" s="225">
        <v>0</v>
      </c>
      <c r="AD25" s="225">
        <v>0</v>
      </c>
      <c r="AE25" s="225">
        <v>0</v>
      </c>
      <c r="AF25" s="225">
        <v>0</v>
      </c>
      <c r="AG25" s="225">
        <v>0</v>
      </c>
      <c r="AH25" s="225">
        <v>0</v>
      </c>
      <c r="AI25" s="208">
        <v>0</v>
      </c>
      <c r="AJ25" s="209">
        <v>0</v>
      </c>
      <c r="AK25" s="210">
        <v>0</v>
      </c>
      <c r="AL25" s="211">
        <f t="shared" si="10"/>
        <v>0</v>
      </c>
      <c r="AM25" s="212">
        <f t="shared" si="11"/>
        <v>0</v>
      </c>
      <c r="AN25" s="213">
        <f t="shared" si="12"/>
        <v>0</v>
      </c>
      <c r="AO25" s="214">
        <f t="shared" si="0"/>
        <v>0</v>
      </c>
    </row>
    <row r="26" spans="1:41" ht="15.6">
      <c r="A26" s="54" t="s">
        <v>63</v>
      </c>
      <c r="B26" s="43" t="s">
        <v>64</v>
      </c>
      <c r="C26" s="43" t="s">
        <v>38</v>
      </c>
      <c r="D26" s="7">
        <v>0</v>
      </c>
      <c r="E26" s="225">
        <v>0</v>
      </c>
      <c r="F26" s="460">
        <v>4</v>
      </c>
      <c r="G26" s="225">
        <v>0</v>
      </c>
      <c r="H26" s="225">
        <v>0</v>
      </c>
      <c r="I26" s="225">
        <v>0</v>
      </c>
      <c r="J26" s="225">
        <v>0</v>
      </c>
      <c r="K26" s="225">
        <v>0</v>
      </c>
      <c r="L26" s="225">
        <v>0</v>
      </c>
      <c r="M26" s="225">
        <v>0</v>
      </c>
      <c r="N26" s="225">
        <v>0</v>
      </c>
      <c r="O26" s="462">
        <v>22</v>
      </c>
      <c r="P26" s="225">
        <v>0</v>
      </c>
      <c r="Q26" s="225">
        <v>0</v>
      </c>
      <c r="R26" s="225">
        <v>0</v>
      </c>
      <c r="S26" s="225">
        <v>0</v>
      </c>
      <c r="T26" s="225">
        <v>0</v>
      </c>
      <c r="U26" s="225">
        <v>0</v>
      </c>
      <c r="V26" s="225">
        <v>0</v>
      </c>
      <c r="W26" s="225">
        <v>0</v>
      </c>
      <c r="X26" s="225">
        <v>0</v>
      </c>
      <c r="Y26" s="225">
        <v>0</v>
      </c>
      <c r="Z26" s="321">
        <v>0</v>
      </c>
      <c r="AA26" s="225">
        <v>0</v>
      </c>
      <c r="AB26" s="225">
        <v>0</v>
      </c>
      <c r="AC26" s="225">
        <v>0</v>
      </c>
      <c r="AD26" s="225">
        <v>0</v>
      </c>
      <c r="AE26" s="225">
        <v>0</v>
      </c>
      <c r="AF26" s="461">
        <v>22</v>
      </c>
      <c r="AG26" s="225">
        <v>0</v>
      </c>
      <c r="AH26" s="461">
        <v>28</v>
      </c>
      <c r="AI26" s="208">
        <v>0</v>
      </c>
      <c r="AJ26" s="209">
        <v>0</v>
      </c>
      <c r="AK26" s="210">
        <v>76</v>
      </c>
      <c r="AL26" s="211">
        <f>AI26*$H$3</f>
        <v>0</v>
      </c>
      <c r="AM26" s="212">
        <f>AJ26*$I$3</f>
        <v>0</v>
      </c>
      <c r="AN26" s="213">
        <f>AK26*$R$3</f>
        <v>7600</v>
      </c>
      <c r="AO26" s="214">
        <f t="shared" si="0"/>
        <v>7600</v>
      </c>
    </row>
    <row r="27" spans="1:41" ht="15.6">
      <c r="A27" s="54" t="s">
        <v>122</v>
      </c>
      <c r="B27" s="43" t="s">
        <v>123</v>
      </c>
      <c r="C27" s="43" t="s">
        <v>110</v>
      </c>
      <c r="D27" s="7">
        <v>0</v>
      </c>
      <c r="E27" s="225">
        <v>0</v>
      </c>
      <c r="F27" s="321">
        <v>0</v>
      </c>
      <c r="G27" s="225">
        <v>6.65</v>
      </c>
      <c r="H27" s="225">
        <v>4.2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15">
        <v>0</v>
      </c>
      <c r="P27" s="225">
        <v>0</v>
      </c>
      <c r="Q27" s="225">
        <v>0</v>
      </c>
      <c r="R27" s="225">
        <v>0</v>
      </c>
      <c r="S27" s="225">
        <v>0</v>
      </c>
      <c r="T27" s="225">
        <v>0</v>
      </c>
      <c r="U27" s="225">
        <v>0</v>
      </c>
      <c r="V27" s="225">
        <v>0</v>
      </c>
      <c r="W27" s="225">
        <v>0</v>
      </c>
      <c r="X27" s="225">
        <v>0</v>
      </c>
      <c r="Y27" s="225">
        <v>0</v>
      </c>
      <c r="Z27" s="321">
        <v>0</v>
      </c>
      <c r="AA27" s="225">
        <v>0</v>
      </c>
      <c r="AB27" s="225">
        <v>0</v>
      </c>
      <c r="AC27" s="225">
        <v>0</v>
      </c>
      <c r="AD27" s="225">
        <v>0</v>
      </c>
      <c r="AE27" s="225">
        <v>0</v>
      </c>
      <c r="AF27" s="225">
        <v>0</v>
      </c>
      <c r="AG27" s="225">
        <v>0</v>
      </c>
      <c r="AH27" s="225">
        <v>0</v>
      </c>
      <c r="AI27" s="208">
        <v>10.850000000000001</v>
      </c>
      <c r="AJ27" s="209">
        <v>0</v>
      </c>
      <c r="AK27" s="210">
        <v>0</v>
      </c>
      <c r="AL27" s="211">
        <f>AI27*$M$3</f>
        <v>4068.7500000000005</v>
      </c>
      <c r="AM27" s="212">
        <f>AJ27*$N$3</f>
        <v>0</v>
      </c>
      <c r="AN27" s="213">
        <f>AK27*$V$3</f>
        <v>0</v>
      </c>
      <c r="AO27" s="214">
        <f t="shared" si="0"/>
        <v>4068.7500000000005</v>
      </c>
    </row>
    <row r="28" spans="1:41" ht="15.6">
      <c r="A28" s="54" t="s">
        <v>65</v>
      </c>
      <c r="B28" s="43" t="s">
        <v>66</v>
      </c>
      <c r="C28" s="43" t="s">
        <v>38</v>
      </c>
      <c r="D28" s="7">
        <v>0</v>
      </c>
      <c r="E28" s="225">
        <v>0</v>
      </c>
      <c r="F28" s="460">
        <v>4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462">
        <v>22</v>
      </c>
      <c r="P28" s="225">
        <v>0</v>
      </c>
      <c r="Q28" s="225">
        <v>0</v>
      </c>
      <c r="R28" s="225">
        <v>0</v>
      </c>
      <c r="S28" s="225">
        <v>0</v>
      </c>
      <c r="T28" s="225">
        <v>0</v>
      </c>
      <c r="U28" s="225">
        <v>0</v>
      </c>
      <c r="V28" s="225">
        <v>0</v>
      </c>
      <c r="W28" s="225">
        <v>0</v>
      </c>
      <c r="X28" s="225">
        <v>0</v>
      </c>
      <c r="Y28" s="225">
        <v>0</v>
      </c>
      <c r="Z28" s="321">
        <v>0</v>
      </c>
      <c r="AA28" s="225">
        <v>0</v>
      </c>
      <c r="AB28" s="225">
        <v>0</v>
      </c>
      <c r="AC28" s="225">
        <v>0</v>
      </c>
      <c r="AD28" s="225">
        <v>0</v>
      </c>
      <c r="AE28" s="225">
        <v>0</v>
      </c>
      <c r="AF28" s="461">
        <v>22</v>
      </c>
      <c r="AG28" s="225">
        <v>0</v>
      </c>
      <c r="AH28" s="461">
        <v>28</v>
      </c>
      <c r="AI28" s="208">
        <v>0</v>
      </c>
      <c r="AJ28" s="209">
        <v>0</v>
      </c>
      <c r="AK28" s="210">
        <v>76</v>
      </c>
      <c r="AL28" s="211">
        <f t="shared" ref="AL28:AL35" si="13">AI28*$H$3</f>
        <v>0</v>
      </c>
      <c r="AM28" s="212">
        <f t="shared" ref="AM28:AM35" si="14">AJ28*$I$3</f>
        <v>0</v>
      </c>
      <c r="AN28" s="213">
        <f t="shared" ref="AN28:AN35" si="15">AK28*$R$3</f>
        <v>7600</v>
      </c>
      <c r="AO28" s="214">
        <f t="shared" si="0"/>
        <v>7600</v>
      </c>
    </row>
    <row r="29" spans="1:41" ht="15.6">
      <c r="A29" s="54" t="s">
        <v>67</v>
      </c>
      <c r="B29" s="43" t="s">
        <v>68</v>
      </c>
      <c r="C29" s="43" t="s">
        <v>38</v>
      </c>
      <c r="D29" s="7">
        <v>0</v>
      </c>
      <c r="E29" s="225">
        <v>0</v>
      </c>
      <c r="F29" s="321">
        <v>0</v>
      </c>
      <c r="G29" s="225">
        <v>6.65</v>
      </c>
      <c r="H29" s="225">
        <v>4.2</v>
      </c>
      <c r="I29" s="225">
        <v>0</v>
      </c>
      <c r="J29" s="225">
        <v>0</v>
      </c>
      <c r="K29" s="225">
        <v>0</v>
      </c>
      <c r="L29" s="225">
        <v>0</v>
      </c>
      <c r="M29" s="225">
        <v>0</v>
      </c>
      <c r="N29" s="225">
        <v>0</v>
      </c>
      <c r="O29" s="15">
        <v>0</v>
      </c>
      <c r="P29" s="225">
        <v>0</v>
      </c>
      <c r="Q29" s="225">
        <v>0</v>
      </c>
      <c r="R29" s="225">
        <v>0</v>
      </c>
      <c r="S29" s="225">
        <v>0</v>
      </c>
      <c r="T29" s="225">
        <v>0</v>
      </c>
      <c r="U29" s="225">
        <v>0</v>
      </c>
      <c r="V29" s="225">
        <v>0</v>
      </c>
      <c r="W29" s="225">
        <v>0</v>
      </c>
      <c r="X29" s="225">
        <v>0</v>
      </c>
      <c r="Y29" s="225">
        <v>0</v>
      </c>
      <c r="Z29" s="321">
        <v>0</v>
      </c>
      <c r="AA29" s="225">
        <v>0</v>
      </c>
      <c r="AB29" s="225">
        <v>0</v>
      </c>
      <c r="AC29" s="225">
        <v>0</v>
      </c>
      <c r="AD29" s="225">
        <v>0</v>
      </c>
      <c r="AE29" s="225">
        <v>0</v>
      </c>
      <c r="AF29" s="225">
        <v>0</v>
      </c>
      <c r="AG29" s="225">
        <v>0</v>
      </c>
      <c r="AH29" s="225">
        <v>0</v>
      </c>
      <c r="AI29" s="208">
        <v>10.850000000000001</v>
      </c>
      <c r="AJ29" s="209">
        <v>0</v>
      </c>
      <c r="AK29" s="210">
        <v>0</v>
      </c>
      <c r="AL29" s="211">
        <f t="shared" si="13"/>
        <v>2712.5000000000005</v>
      </c>
      <c r="AM29" s="212">
        <f t="shared" si="14"/>
        <v>0</v>
      </c>
      <c r="AN29" s="213">
        <f t="shared" si="15"/>
        <v>0</v>
      </c>
      <c r="AO29" s="214">
        <f t="shared" si="0"/>
        <v>2712.5000000000005</v>
      </c>
    </row>
    <row r="30" spans="1:41" ht="15.6">
      <c r="A30" s="54" t="s">
        <v>455</v>
      </c>
      <c r="B30" s="43" t="s">
        <v>456</v>
      </c>
      <c r="C30" s="43" t="s">
        <v>38</v>
      </c>
      <c r="D30" s="7">
        <v>0</v>
      </c>
      <c r="E30" s="225">
        <v>0</v>
      </c>
      <c r="F30" s="321">
        <v>0</v>
      </c>
      <c r="G30" s="225">
        <v>0</v>
      </c>
      <c r="H30" s="225">
        <v>0</v>
      </c>
      <c r="I30" s="225">
        <v>0</v>
      </c>
      <c r="J30" s="225">
        <v>0</v>
      </c>
      <c r="K30" s="225">
        <v>0</v>
      </c>
      <c r="L30" s="225">
        <v>0</v>
      </c>
      <c r="M30" s="225">
        <v>0</v>
      </c>
      <c r="N30" s="225">
        <v>0</v>
      </c>
      <c r="O30" s="15">
        <v>0</v>
      </c>
      <c r="P30" s="225">
        <v>0</v>
      </c>
      <c r="Q30" s="225">
        <v>0</v>
      </c>
      <c r="R30" s="225">
        <v>0</v>
      </c>
      <c r="S30" s="225">
        <v>0</v>
      </c>
      <c r="T30" s="225">
        <v>0</v>
      </c>
      <c r="U30" s="225">
        <v>0</v>
      </c>
      <c r="V30" s="225">
        <v>0</v>
      </c>
      <c r="W30" s="225">
        <v>0</v>
      </c>
      <c r="X30" s="225">
        <v>0</v>
      </c>
      <c r="Y30" s="225">
        <v>0</v>
      </c>
      <c r="Z30" s="321">
        <v>0</v>
      </c>
      <c r="AA30" s="225">
        <v>0</v>
      </c>
      <c r="AB30" s="225">
        <v>0</v>
      </c>
      <c r="AC30" s="225">
        <v>0</v>
      </c>
      <c r="AD30" s="225">
        <v>0</v>
      </c>
      <c r="AE30" s="225">
        <v>0</v>
      </c>
      <c r="AF30" s="225">
        <v>0</v>
      </c>
      <c r="AG30" s="225">
        <v>0</v>
      </c>
      <c r="AH30" s="225">
        <v>0</v>
      </c>
      <c r="AI30" s="208">
        <v>0</v>
      </c>
      <c r="AJ30" s="209">
        <v>0</v>
      </c>
      <c r="AK30" s="210">
        <v>0</v>
      </c>
      <c r="AL30" s="211">
        <f t="shared" si="13"/>
        <v>0</v>
      </c>
      <c r="AM30" s="212">
        <f t="shared" si="14"/>
        <v>0</v>
      </c>
      <c r="AN30" s="213">
        <f t="shared" si="15"/>
        <v>0</v>
      </c>
      <c r="AO30" s="214">
        <f t="shared" si="0"/>
        <v>0</v>
      </c>
    </row>
    <row r="31" spans="1:41" ht="15.6">
      <c r="A31" s="54" t="s">
        <v>69</v>
      </c>
      <c r="B31" s="43" t="s">
        <v>70</v>
      </c>
      <c r="C31" s="43" t="s">
        <v>38</v>
      </c>
      <c r="D31" s="7">
        <v>0</v>
      </c>
      <c r="E31" s="225">
        <v>0</v>
      </c>
      <c r="F31" s="321">
        <v>0</v>
      </c>
      <c r="G31" s="225">
        <v>17.8</v>
      </c>
      <c r="H31" s="225">
        <v>5</v>
      </c>
      <c r="I31" s="225">
        <v>0.6</v>
      </c>
      <c r="J31" s="225">
        <v>0</v>
      </c>
      <c r="K31" s="225">
        <v>0</v>
      </c>
      <c r="L31" s="225">
        <v>0</v>
      </c>
      <c r="M31" s="225">
        <v>0</v>
      </c>
      <c r="N31" s="225">
        <v>0</v>
      </c>
      <c r="O31" s="15">
        <v>8</v>
      </c>
      <c r="P31" s="225">
        <v>0</v>
      </c>
      <c r="Q31" s="225">
        <v>0</v>
      </c>
      <c r="R31" s="225">
        <v>0</v>
      </c>
      <c r="S31" s="225">
        <v>0</v>
      </c>
      <c r="T31" s="225">
        <v>0</v>
      </c>
      <c r="U31" s="225">
        <v>0</v>
      </c>
      <c r="V31" s="225">
        <v>0</v>
      </c>
      <c r="W31" s="225">
        <v>0</v>
      </c>
      <c r="X31" s="225">
        <v>0</v>
      </c>
      <c r="Y31" s="225">
        <v>0</v>
      </c>
      <c r="Z31" s="321">
        <v>0</v>
      </c>
      <c r="AA31" s="225">
        <v>0</v>
      </c>
      <c r="AB31" s="225">
        <v>0</v>
      </c>
      <c r="AC31" s="22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08">
        <v>31.400000000000002</v>
      </c>
      <c r="AJ31" s="209">
        <v>0</v>
      </c>
      <c r="AK31" s="210">
        <v>0</v>
      </c>
      <c r="AL31" s="211">
        <f t="shared" si="13"/>
        <v>7850.0000000000009</v>
      </c>
      <c r="AM31" s="212">
        <f t="shared" si="14"/>
        <v>0</v>
      </c>
      <c r="AN31" s="213">
        <f t="shared" si="15"/>
        <v>0</v>
      </c>
      <c r="AO31" s="214">
        <f t="shared" si="0"/>
        <v>7850.0000000000009</v>
      </c>
    </row>
    <row r="32" spans="1:41" ht="15.6">
      <c r="A32" s="54" t="s">
        <v>71</v>
      </c>
      <c r="B32" s="43" t="s">
        <v>72</v>
      </c>
      <c r="C32" s="43" t="s">
        <v>38</v>
      </c>
      <c r="D32" s="7">
        <v>0</v>
      </c>
      <c r="E32" s="225">
        <v>0</v>
      </c>
      <c r="F32" s="321">
        <v>8</v>
      </c>
      <c r="G32" s="225">
        <v>0</v>
      </c>
      <c r="H32" s="225">
        <v>0</v>
      </c>
      <c r="I32" s="225">
        <v>10.1</v>
      </c>
      <c r="J32" s="225">
        <v>14</v>
      </c>
      <c r="K32" s="225">
        <v>11</v>
      </c>
      <c r="L32" s="225">
        <v>0</v>
      </c>
      <c r="M32" s="225">
        <v>5</v>
      </c>
      <c r="N32" s="225">
        <v>0</v>
      </c>
      <c r="O32" s="15">
        <v>0</v>
      </c>
      <c r="P32" s="225">
        <v>0</v>
      </c>
      <c r="Q32" s="225">
        <v>0</v>
      </c>
      <c r="R32" s="225">
        <v>0</v>
      </c>
      <c r="S32" s="225">
        <v>0</v>
      </c>
      <c r="T32" s="225">
        <v>0</v>
      </c>
      <c r="U32" s="225">
        <v>0</v>
      </c>
      <c r="V32" s="225">
        <v>0</v>
      </c>
      <c r="W32" s="225">
        <v>0</v>
      </c>
      <c r="X32" s="225">
        <v>0</v>
      </c>
      <c r="Y32" s="225">
        <v>0</v>
      </c>
      <c r="Z32" s="321">
        <v>0</v>
      </c>
      <c r="AA32" s="225">
        <v>0</v>
      </c>
      <c r="AB32" s="225">
        <v>0</v>
      </c>
      <c r="AC32" s="225">
        <v>0</v>
      </c>
      <c r="AD32" s="225">
        <v>0</v>
      </c>
      <c r="AE32" s="225">
        <v>0</v>
      </c>
      <c r="AF32" s="225">
        <v>0</v>
      </c>
      <c r="AG32" s="225">
        <v>0</v>
      </c>
      <c r="AH32" s="225">
        <v>0</v>
      </c>
      <c r="AI32" s="208">
        <v>48.1</v>
      </c>
      <c r="AJ32" s="209">
        <v>0</v>
      </c>
      <c r="AK32" s="210">
        <v>0</v>
      </c>
      <c r="AL32" s="211">
        <f t="shared" si="13"/>
        <v>12025</v>
      </c>
      <c r="AM32" s="212">
        <f t="shared" si="14"/>
        <v>0</v>
      </c>
      <c r="AN32" s="213">
        <f t="shared" si="15"/>
        <v>0</v>
      </c>
      <c r="AO32" s="214">
        <f t="shared" si="0"/>
        <v>12025</v>
      </c>
    </row>
    <row r="33" spans="1:41" ht="15.6">
      <c r="A33" s="54" t="s">
        <v>342</v>
      </c>
      <c r="B33" s="43" t="s">
        <v>343</v>
      </c>
      <c r="C33" s="43" t="s">
        <v>38</v>
      </c>
      <c r="D33" s="7">
        <v>0</v>
      </c>
      <c r="E33" s="225">
        <v>0</v>
      </c>
      <c r="F33" s="321">
        <v>0</v>
      </c>
      <c r="G33" s="225">
        <v>0</v>
      </c>
      <c r="H33" s="225">
        <v>0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  <c r="N33" s="225">
        <v>0</v>
      </c>
      <c r="O33" s="15">
        <v>0</v>
      </c>
      <c r="P33" s="225">
        <v>0</v>
      </c>
      <c r="Q33" s="225">
        <v>0</v>
      </c>
      <c r="R33" s="225">
        <v>0</v>
      </c>
      <c r="S33" s="225">
        <v>0</v>
      </c>
      <c r="T33" s="225">
        <v>0</v>
      </c>
      <c r="U33" s="225">
        <v>0</v>
      </c>
      <c r="V33" s="225">
        <v>0</v>
      </c>
      <c r="W33" s="225">
        <v>0</v>
      </c>
      <c r="X33" s="225">
        <v>0</v>
      </c>
      <c r="Y33" s="225">
        <v>0</v>
      </c>
      <c r="Z33" s="321">
        <v>0</v>
      </c>
      <c r="AA33" s="225">
        <v>0</v>
      </c>
      <c r="AB33" s="225">
        <v>0</v>
      </c>
      <c r="AC33" s="225">
        <v>0</v>
      </c>
      <c r="AD33" s="225">
        <v>0</v>
      </c>
      <c r="AE33" s="225">
        <v>0</v>
      </c>
      <c r="AF33" s="225">
        <v>0</v>
      </c>
      <c r="AG33" s="225">
        <v>0</v>
      </c>
      <c r="AH33" s="225">
        <v>0</v>
      </c>
      <c r="AI33" s="208">
        <v>0</v>
      </c>
      <c r="AJ33" s="209">
        <v>0</v>
      </c>
      <c r="AK33" s="210">
        <v>0</v>
      </c>
      <c r="AL33" s="211">
        <f t="shared" si="13"/>
        <v>0</v>
      </c>
      <c r="AM33" s="212">
        <f t="shared" si="14"/>
        <v>0</v>
      </c>
      <c r="AN33" s="213">
        <f t="shared" si="15"/>
        <v>0</v>
      </c>
      <c r="AO33" s="214">
        <f t="shared" si="0"/>
        <v>0</v>
      </c>
    </row>
    <row r="34" spans="1:41" ht="15.6">
      <c r="A34" s="54" t="s">
        <v>73</v>
      </c>
      <c r="B34" s="43" t="s">
        <v>74</v>
      </c>
      <c r="C34" s="43" t="s">
        <v>38</v>
      </c>
      <c r="D34" s="7">
        <v>0</v>
      </c>
      <c r="E34" s="225">
        <v>0</v>
      </c>
      <c r="F34" s="321">
        <v>0</v>
      </c>
      <c r="G34" s="225">
        <v>17.8</v>
      </c>
      <c r="H34" s="225">
        <v>5</v>
      </c>
      <c r="I34" s="225">
        <v>0.6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15">
        <v>8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X34" s="225">
        <v>0</v>
      </c>
      <c r="Y34" s="225">
        <v>0</v>
      </c>
      <c r="Z34" s="321">
        <v>0</v>
      </c>
      <c r="AA34" s="225">
        <v>0</v>
      </c>
      <c r="AB34" s="225">
        <v>0</v>
      </c>
      <c r="AC34" s="225">
        <v>0</v>
      </c>
      <c r="AD34" s="225">
        <v>0</v>
      </c>
      <c r="AE34" s="225">
        <v>0</v>
      </c>
      <c r="AF34" s="225">
        <v>0</v>
      </c>
      <c r="AG34" s="225">
        <v>0</v>
      </c>
      <c r="AH34" s="225">
        <v>0</v>
      </c>
      <c r="AI34" s="208">
        <v>31.400000000000002</v>
      </c>
      <c r="AJ34" s="209">
        <v>0</v>
      </c>
      <c r="AK34" s="210">
        <v>0</v>
      </c>
      <c r="AL34" s="211">
        <f t="shared" si="13"/>
        <v>7850.0000000000009</v>
      </c>
      <c r="AM34" s="212">
        <f t="shared" si="14"/>
        <v>0</v>
      </c>
      <c r="AN34" s="213">
        <f t="shared" si="15"/>
        <v>0</v>
      </c>
      <c r="AO34" s="214">
        <f t="shared" si="0"/>
        <v>7850.0000000000009</v>
      </c>
    </row>
    <row r="35" spans="1:41" ht="15.6">
      <c r="A35" s="54" t="s">
        <v>75</v>
      </c>
      <c r="B35" s="43" t="s">
        <v>76</v>
      </c>
      <c r="C35" s="43" t="s">
        <v>38</v>
      </c>
      <c r="D35" s="7">
        <v>0</v>
      </c>
      <c r="E35" s="225">
        <v>0</v>
      </c>
      <c r="F35" s="321">
        <v>20</v>
      </c>
      <c r="G35" s="225">
        <v>0</v>
      </c>
      <c r="H35" s="225">
        <v>0</v>
      </c>
      <c r="I35" s="225">
        <v>0</v>
      </c>
      <c r="J35" s="225">
        <v>20</v>
      </c>
      <c r="K35" s="225">
        <v>8</v>
      </c>
      <c r="L35" s="225">
        <v>0</v>
      </c>
      <c r="M35" s="225">
        <v>0</v>
      </c>
      <c r="N35" s="225">
        <v>0</v>
      </c>
      <c r="O35" s="15">
        <v>0</v>
      </c>
      <c r="P35" s="225">
        <v>0</v>
      </c>
      <c r="Q35" s="225">
        <v>0</v>
      </c>
      <c r="R35" s="225">
        <v>0</v>
      </c>
      <c r="S35" s="225">
        <v>0</v>
      </c>
      <c r="T35" s="225">
        <v>0</v>
      </c>
      <c r="U35" s="225">
        <v>0</v>
      </c>
      <c r="V35" s="225">
        <v>0</v>
      </c>
      <c r="W35" s="225">
        <v>0</v>
      </c>
      <c r="X35" s="225">
        <v>0</v>
      </c>
      <c r="Y35" s="225">
        <v>0</v>
      </c>
      <c r="Z35" s="321">
        <v>0</v>
      </c>
      <c r="AA35" s="225">
        <v>0</v>
      </c>
      <c r="AB35" s="225">
        <v>0</v>
      </c>
      <c r="AC35" s="225">
        <v>0</v>
      </c>
      <c r="AD35" s="225">
        <v>0</v>
      </c>
      <c r="AE35" s="225">
        <v>0</v>
      </c>
      <c r="AF35" s="225">
        <v>0</v>
      </c>
      <c r="AG35" s="225">
        <v>0</v>
      </c>
      <c r="AH35" s="225">
        <v>0</v>
      </c>
      <c r="AI35" s="208">
        <v>48</v>
      </c>
      <c r="AJ35" s="209">
        <v>0</v>
      </c>
      <c r="AK35" s="210">
        <v>0</v>
      </c>
      <c r="AL35" s="211">
        <f t="shared" si="13"/>
        <v>12000</v>
      </c>
      <c r="AM35" s="212">
        <f t="shared" si="14"/>
        <v>0</v>
      </c>
      <c r="AN35" s="213">
        <f t="shared" si="15"/>
        <v>0</v>
      </c>
      <c r="AO35" s="214">
        <f t="shared" si="0"/>
        <v>12000</v>
      </c>
    </row>
    <row r="36" spans="1:41" ht="15.6">
      <c r="A36" s="54" t="s">
        <v>457</v>
      </c>
      <c r="B36" s="43" t="s">
        <v>458</v>
      </c>
      <c r="C36" s="43" t="s">
        <v>110</v>
      </c>
      <c r="D36" s="7">
        <v>0</v>
      </c>
      <c r="E36" s="225">
        <v>0</v>
      </c>
      <c r="F36" s="321">
        <v>0</v>
      </c>
      <c r="G36" s="225">
        <v>0</v>
      </c>
      <c r="H36" s="225">
        <v>0</v>
      </c>
      <c r="I36" s="225">
        <v>0</v>
      </c>
      <c r="J36" s="225">
        <v>0</v>
      </c>
      <c r="K36" s="225">
        <v>0</v>
      </c>
      <c r="L36" s="225">
        <v>0</v>
      </c>
      <c r="M36" s="225">
        <v>0</v>
      </c>
      <c r="N36" s="225">
        <v>0</v>
      </c>
      <c r="O36" s="15">
        <v>0</v>
      </c>
      <c r="P36" s="225">
        <v>0</v>
      </c>
      <c r="Q36" s="225">
        <v>0</v>
      </c>
      <c r="R36" s="225">
        <v>0</v>
      </c>
      <c r="S36" s="225">
        <v>0</v>
      </c>
      <c r="T36" s="225">
        <v>0</v>
      </c>
      <c r="U36" s="225">
        <v>0</v>
      </c>
      <c r="V36" s="225">
        <v>0</v>
      </c>
      <c r="W36" s="225">
        <v>0</v>
      </c>
      <c r="X36" s="225">
        <v>0</v>
      </c>
      <c r="Y36" s="225">
        <v>0</v>
      </c>
      <c r="Z36" s="321">
        <v>0</v>
      </c>
      <c r="AA36" s="225">
        <v>0</v>
      </c>
      <c r="AB36" s="225">
        <v>0</v>
      </c>
      <c r="AC36" s="225">
        <v>0</v>
      </c>
      <c r="AD36" s="225">
        <v>0</v>
      </c>
      <c r="AE36" s="225">
        <v>0</v>
      </c>
      <c r="AF36" s="225">
        <v>0</v>
      </c>
      <c r="AG36" s="225">
        <v>0</v>
      </c>
      <c r="AH36" s="225">
        <v>0</v>
      </c>
      <c r="AI36" s="208">
        <v>0</v>
      </c>
      <c r="AJ36" s="209">
        <v>0</v>
      </c>
      <c r="AK36" s="210">
        <v>0</v>
      </c>
      <c r="AL36" s="211">
        <f>AI36*$M$3</f>
        <v>0</v>
      </c>
      <c r="AM36" s="212">
        <f>AJ36*$N$3</f>
        <v>0</v>
      </c>
      <c r="AN36" s="213">
        <f>AK36*$V$3</f>
        <v>0</v>
      </c>
      <c r="AO36" s="214">
        <f t="shared" si="0"/>
        <v>0</v>
      </c>
    </row>
    <row r="37" spans="1:41" ht="15.6">
      <c r="A37" s="54" t="s">
        <v>77</v>
      </c>
      <c r="B37" s="43" t="s">
        <v>78</v>
      </c>
      <c r="C37" s="43" t="s">
        <v>38</v>
      </c>
      <c r="D37" s="7">
        <v>0</v>
      </c>
      <c r="E37" s="225">
        <v>0</v>
      </c>
      <c r="F37" s="321">
        <v>0</v>
      </c>
      <c r="G37" s="225">
        <v>0</v>
      </c>
      <c r="H37" s="225">
        <v>0</v>
      </c>
      <c r="I37" s="225">
        <v>0</v>
      </c>
      <c r="J37" s="225">
        <v>0</v>
      </c>
      <c r="K37" s="225">
        <v>0</v>
      </c>
      <c r="L37" s="225">
        <v>0</v>
      </c>
      <c r="M37" s="225">
        <v>0</v>
      </c>
      <c r="N37" s="225">
        <v>0</v>
      </c>
      <c r="O37" s="15">
        <v>0</v>
      </c>
      <c r="P37" s="225">
        <v>0</v>
      </c>
      <c r="Q37" s="225">
        <v>0</v>
      </c>
      <c r="R37" s="225">
        <v>0</v>
      </c>
      <c r="S37" s="225">
        <v>0</v>
      </c>
      <c r="T37" s="225">
        <v>0</v>
      </c>
      <c r="U37" s="225">
        <v>0</v>
      </c>
      <c r="V37" s="225">
        <v>0</v>
      </c>
      <c r="W37" s="225">
        <v>0</v>
      </c>
      <c r="X37" s="225">
        <v>0</v>
      </c>
      <c r="Y37" s="225">
        <v>0</v>
      </c>
      <c r="Z37" s="321">
        <v>0</v>
      </c>
      <c r="AA37" s="225">
        <v>0</v>
      </c>
      <c r="AB37" s="225">
        <v>0</v>
      </c>
      <c r="AC37" s="225">
        <v>0</v>
      </c>
      <c r="AD37" s="225">
        <v>0</v>
      </c>
      <c r="AE37" s="225">
        <v>0</v>
      </c>
      <c r="AF37" s="225">
        <v>0</v>
      </c>
      <c r="AG37" s="225">
        <v>0</v>
      </c>
      <c r="AH37" s="225">
        <v>0</v>
      </c>
      <c r="AI37" s="208">
        <v>0</v>
      </c>
      <c r="AJ37" s="209">
        <v>0</v>
      </c>
      <c r="AK37" s="210">
        <v>0</v>
      </c>
      <c r="AL37" s="211">
        <f t="shared" ref="AL37:AL41" si="16">AI37*$H$3</f>
        <v>0</v>
      </c>
      <c r="AM37" s="212">
        <f t="shared" ref="AM37:AM41" si="17">AJ37*$I$3</f>
        <v>0</v>
      </c>
      <c r="AN37" s="213">
        <f t="shared" ref="AN37:AN41" si="18">AK37*$R$3</f>
        <v>0</v>
      </c>
      <c r="AO37" s="214">
        <f t="shared" si="0"/>
        <v>0</v>
      </c>
    </row>
    <row r="38" spans="1:41" ht="15.6">
      <c r="A38" s="54" t="s">
        <v>79</v>
      </c>
      <c r="B38" s="43" t="s">
        <v>80</v>
      </c>
      <c r="C38" s="43" t="s">
        <v>38</v>
      </c>
      <c r="D38" s="7">
        <v>0</v>
      </c>
      <c r="E38" s="225">
        <v>0</v>
      </c>
      <c r="F38" s="321">
        <v>20</v>
      </c>
      <c r="G38" s="225">
        <v>0</v>
      </c>
      <c r="H38" s="225">
        <v>0</v>
      </c>
      <c r="I38" s="225">
        <v>0</v>
      </c>
      <c r="J38" s="225">
        <v>20</v>
      </c>
      <c r="K38" s="225">
        <v>8</v>
      </c>
      <c r="L38" s="225">
        <v>0</v>
      </c>
      <c r="M38" s="225">
        <v>0</v>
      </c>
      <c r="N38" s="225">
        <v>0</v>
      </c>
      <c r="O38" s="15">
        <v>0</v>
      </c>
      <c r="P38" s="225">
        <v>0</v>
      </c>
      <c r="Q38" s="225">
        <v>0</v>
      </c>
      <c r="R38" s="225">
        <v>0</v>
      </c>
      <c r="S38" s="225">
        <v>0</v>
      </c>
      <c r="T38" s="225">
        <v>0</v>
      </c>
      <c r="U38" s="225">
        <v>0</v>
      </c>
      <c r="V38" s="225">
        <v>0</v>
      </c>
      <c r="W38" s="225">
        <v>0</v>
      </c>
      <c r="X38" s="225">
        <v>0</v>
      </c>
      <c r="Y38" s="225">
        <v>0</v>
      </c>
      <c r="Z38" s="321">
        <v>0</v>
      </c>
      <c r="AA38" s="225">
        <v>0</v>
      </c>
      <c r="AB38" s="225">
        <v>0</v>
      </c>
      <c r="AC38" s="225">
        <v>0</v>
      </c>
      <c r="AD38" s="225">
        <v>0</v>
      </c>
      <c r="AE38" s="225">
        <v>0</v>
      </c>
      <c r="AF38" s="225">
        <v>0</v>
      </c>
      <c r="AG38" s="225">
        <v>0</v>
      </c>
      <c r="AH38" s="225">
        <v>0</v>
      </c>
      <c r="AI38" s="208">
        <v>48</v>
      </c>
      <c r="AJ38" s="209">
        <v>0</v>
      </c>
      <c r="AK38" s="210">
        <v>0</v>
      </c>
      <c r="AL38" s="211">
        <f t="shared" si="16"/>
        <v>12000</v>
      </c>
      <c r="AM38" s="212">
        <f t="shared" si="17"/>
        <v>0</v>
      </c>
      <c r="AN38" s="213">
        <f t="shared" si="18"/>
        <v>0</v>
      </c>
      <c r="AO38" s="214">
        <f t="shared" si="0"/>
        <v>12000</v>
      </c>
    </row>
    <row r="39" spans="1:41" ht="15.6">
      <c r="A39" s="54" t="s">
        <v>61</v>
      </c>
      <c r="B39" s="43" t="s">
        <v>313</v>
      </c>
      <c r="C39" s="43" t="s">
        <v>38</v>
      </c>
      <c r="D39" s="7">
        <v>0</v>
      </c>
      <c r="E39" s="225">
        <v>0</v>
      </c>
      <c r="F39" s="321">
        <v>0</v>
      </c>
      <c r="G39" s="225">
        <v>0</v>
      </c>
      <c r="H39" s="225">
        <v>0</v>
      </c>
      <c r="I39" s="225">
        <v>0</v>
      </c>
      <c r="J39" s="461">
        <v>52</v>
      </c>
      <c r="K39" s="225">
        <v>0</v>
      </c>
      <c r="L39" s="461">
        <v>78</v>
      </c>
      <c r="M39" s="225">
        <v>0</v>
      </c>
      <c r="N39" s="225">
        <v>0</v>
      </c>
      <c r="O39" s="15">
        <v>0</v>
      </c>
      <c r="P39" s="225">
        <v>0</v>
      </c>
      <c r="Q39" s="225">
        <v>0</v>
      </c>
      <c r="R39" s="225">
        <v>0</v>
      </c>
      <c r="S39" s="225">
        <v>0</v>
      </c>
      <c r="T39" s="225">
        <v>0</v>
      </c>
      <c r="U39" s="225">
        <v>0</v>
      </c>
      <c r="V39" s="225">
        <v>0</v>
      </c>
      <c r="W39" s="225">
        <v>0</v>
      </c>
      <c r="X39" s="225">
        <v>0</v>
      </c>
      <c r="Y39" s="225">
        <v>0</v>
      </c>
      <c r="Z39" s="321">
        <v>0</v>
      </c>
      <c r="AA39" s="225">
        <v>0</v>
      </c>
      <c r="AB39" s="225">
        <v>0</v>
      </c>
      <c r="AC39" s="225">
        <v>0</v>
      </c>
      <c r="AD39" s="225">
        <v>0</v>
      </c>
      <c r="AE39" s="225">
        <v>0</v>
      </c>
      <c r="AF39" s="225">
        <v>0</v>
      </c>
      <c r="AG39" s="225">
        <v>0</v>
      </c>
      <c r="AH39" s="225">
        <v>0</v>
      </c>
      <c r="AI39" s="208">
        <v>0</v>
      </c>
      <c r="AJ39" s="209">
        <v>0</v>
      </c>
      <c r="AK39" s="210">
        <v>130</v>
      </c>
      <c r="AL39" s="211">
        <f t="shared" si="16"/>
        <v>0</v>
      </c>
      <c r="AM39" s="212">
        <f t="shared" si="17"/>
        <v>0</v>
      </c>
      <c r="AN39" s="213">
        <f t="shared" si="18"/>
        <v>13000</v>
      </c>
      <c r="AO39" s="214">
        <f t="shared" ref="AO39:AO71" si="19">AL39+AM39+AN39</f>
        <v>13000</v>
      </c>
    </row>
    <row r="40" spans="1:41" ht="15.6">
      <c r="A40" s="54" t="s">
        <v>459</v>
      </c>
      <c r="B40" s="43" t="s">
        <v>460</v>
      </c>
      <c r="C40" s="43" t="s">
        <v>38</v>
      </c>
      <c r="D40" s="7">
        <v>0</v>
      </c>
      <c r="E40" s="225">
        <v>0</v>
      </c>
      <c r="F40" s="321">
        <v>0</v>
      </c>
      <c r="G40" s="225">
        <v>0</v>
      </c>
      <c r="H40" s="225">
        <v>0</v>
      </c>
      <c r="I40" s="225">
        <v>0</v>
      </c>
      <c r="J40" s="225">
        <v>0</v>
      </c>
      <c r="K40" s="225">
        <v>0</v>
      </c>
      <c r="L40" s="225">
        <v>0</v>
      </c>
      <c r="M40" s="225">
        <v>0</v>
      </c>
      <c r="N40" s="225">
        <v>0</v>
      </c>
      <c r="O40" s="15">
        <v>0</v>
      </c>
      <c r="P40" s="225">
        <v>0</v>
      </c>
      <c r="Q40" s="225">
        <v>0</v>
      </c>
      <c r="R40" s="225">
        <v>0</v>
      </c>
      <c r="S40" s="225">
        <v>0</v>
      </c>
      <c r="T40" s="225">
        <v>0</v>
      </c>
      <c r="U40" s="225">
        <v>0</v>
      </c>
      <c r="V40" s="225">
        <v>0</v>
      </c>
      <c r="W40" s="225">
        <v>0</v>
      </c>
      <c r="X40" s="225">
        <v>0</v>
      </c>
      <c r="Y40" s="225">
        <v>0</v>
      </c>
      <c r="Z40" s="321">
        <v>0</v>
      </c>
      <c r="AA40" s="225">
        <v>0</v>
      </c>
      <c r="AB40" s="225">
        <v>0</v>
      </c>
      <c r="AC40" s="225">
        <v>0</v>
      </c>
      <c r="AD40" s="225">
        <v>0</v>
      </c>
      <c r="AE40" s="225">
        <v>0</v>
      </c>
      <c r="AF40" s="225">
        <v>0</v>
      </c>
      <c r="AG40" s="225">
        <v>0</v>
      </c>
      <c r="AH40" s="225">
        <v>0</v>
      </c>
      <c r="AI40" s="208">
        <v>0</v>
      </c>
      <c r="AJ40" s="209">
        <v>0</v>
      </c>
      <c r="AK40" s="210">
        <v>0</v>
      </c>
      <c r="AL40" s="211">
        <f t="shared" si="16"/>
        <v>0</v>
      </c>
      <c r="AM40" s="212">
        <f t="shared" si="17"/>
        <v>0</v>
      </c>
      <c r="AN40" s="213">
        <f t="shared" si="18"/>
        <v>0</v>
      </c>
      <c r="AO40" s="214">
        <f t="shared" si="19"/>
        <v>0</v>
      </c>
    </row>
    <row r="41" spans="1:41" ht="15.6">
      <c r="A41" s="54" t="s">
        <v>461</v>
      </c>
      <c r="B41" s="43" t="s">
        <v>462</v>
      </c>
      <c r="C41" s="43" t="s">
        <v>38</v>
      </c>
      <c r="D41" s="7">
        <v>0</v>
      </c>
      <c r="E41" s="225">
        <v>0</v>
      </c>
      <c r="F41" s="321">
        <v>0</v>
      </c>
      <c r="G41" s="225">
        <v>0</v>
      </c>
      <c r="H41" s="225">
        <v>0</v>
      </c>
      <c r="I41" s="225">
        <v>0</v>
      </c>
      <c r="J41" s="225">
        <v>0</v>
      </c>
      <c r="K41" s="225">
        <v>0</v>
      </c>
      <c r="L41" s="225">
        <v>0</v>
      </c>
      <c r="M41" s="225">
        <v>0</v>
      </c>
      <c r="N41" s="225">
        <v>0</v>
      </c>
      <c r="O41" s="15">
        <v>0</v>
      </c>
      <c r="P41" s="225">
        <v>0</v>
      </c>
      <c r="Q41" s="225">
        <v>0</v>
      </c>
      <c r="R41" s="225">
        <v>0</v>
      </c>
      <c r="S41" s="225">
        <v>0</v>
      </c>
      <c r="T41" s="225">
        <v>0</v>
      </c>
      <c r="U41" s="225">
        <v>0</v>
      </c>
      <c r="V41" s="225">
        <v>0</v>
      </c>
      <c r="W41" s="225">
        <v>0</v>
      </c>
      <c r="X41" s="225">
        <v>0</v>
      </c>
      <c r="Y41" s="225">
        <v>0</v>
      </c>
      <c r="Z41" s="321">
        <v>0</v>
      </c>
      <c r="AA41" s="225">
        <v>0</v>
      </c>
      <c r="AB41" s="225">
        <v>0</v>
      </c>
      <c r="AC41" s="225">
        <v>0</v>
      </c>
      <c r="AD41" s="225">
        <v>0</v>
      </c>
      <c r="AE41" s="225">
        <v>0</v>
      </c>
      <c r="AF41" s="225">
        <v>0</v>
      </c>
      <c r="AG41" s="225">
        <v>0</v>
      </c>
      <c r="AH41" s="225">
        <v>0</v>
      </c>
      <c r="AI41" s="208">
        <v>0</v>
      </c>
      <c r="AJ41" s="209">
        <v>0</v>
      </c>
      <c r="AK41" s="210">
        <v>0</v>
      </c>
      <c r="AL41" s="211">
        <f t="shared" si="16"/>
        <v>0</v>
      </c>
      <c r="AM41" s="212">
        <f t="shared" si="17"/>
        <v>0</v>
      </c>
      <c r="AN41" s="213">
        <f t="shared" si="18"/>
        <v>0</v>
      </c>
      <c r="AO41" s="214">
        <v>0</v>
      </c>
    </row>
    <row r="42" spans="1:41" ht="15.6">
      <c r="A42" s="334" t="s">
        <v>124</v>
      </c>
      <c r="B42" s="335" t="s">
        <v>125</v>
      </c>
      <c r="C42" s="335" t="s">
        <v>110</v>
      </c>
      <c r="D42" s="7">
        <v>0</v>
      </c>
      <c r="E42" s="225">
        <v>0</v>
      </c>
      <c r="F42" s="321">
        <v>0</v>
      </c>
      <c r="G42" s="225">
        <v>0</v>
      </c>
      <c r="H42" s="225">
        <v>0</v>
      </c>
      <c r="I42" s="225">
        <v>0</v>
      </c>
      <c r="J42" s="461">
        <v>52</v>
      </c>
      <c r="K42" s="225">
        <v>0</v>
      </c>
      <c r="L42" s="461">
        <v>78</v>
      </c>
      <c r="M42" s="225">
        <v>0</v>
      </c>
      <c r="N42" s="225">
        <v>0</v>
      </c>
      <c r="O42" s="15">
        <v>0</v>
      </c>
      <c r="P42" s="225">
        <v>0</v>
      </c>
      <c r="Q42" s="225">
        <v>0</v>
      </c>
      <c r="R42" s="225">
        <v>0</v>
      </c>
      <c r="S42" s="225">
        <v>0</v>
      </c>
      <c r="T42" s="225">
        <v>0</v>
      </c>
      <c r="U42" s="225">
        <v>0</v>
      </c>
      <c r="V42" s="225">
        <v>0</v>
      </c>
      <c r="W42" s="225">
        <v>0</v>
      </c>
      <c r="X42" s="225">
        <v>0</v>
      </c>
      <c r="Y42" s="225">
        <v>0</v>
      </c>
      <c r="Z42" s="321">
        <v>0</v>
      </c>
      <c r="AA42" s="225">
        <v>0</v>
      </c>
      <c r="AB42" s="225">
        <v>0</v>
      </c>
      <c r="AC42" s="225">
        <v>0</v>
      </c>
      <c r="AD42" s="225">
        <v>0</v>
      </c>
      <c r="AE42" s="225">
        <v>0</v>
      </c>
      <c r="AF42" s="225">
        <v>0</v>
      </c>
      <c r="AG42" s="225">
        <v>0</v>
      </c>
      <c r="AH42" s="225">
        <v>0</v>
      </c>
      <c r="AI42" s="208">
        <v>0</v>
      </c>
      <c r="AJ42" s="209">
        <v>0</v>
      </c>
      <c r="AK42" s="210">
        <v>130</v>
      </c>
      <c r="AL42" s="211">
        <f t="shared" ref="AL42:AL45" si="20">AI42*$H$3</f>
        <v>0</v>
      </c>
      <c r="AM42" s="212">
        <f>AJ42*$N$3</f>
        <v>0</v>
      </c>
      <c r="AN42" s="213">
        <f>AK42*$V$3</f>
        <v>19500</v>
      </c>
      <c r="AO42" s="214">
        <f t="shared" si="19"/>
        <v>19500</v>
      </c>
    </row>
    <row r="43" spans="1:41" ht="15.6">
      <c r="A43" s="332"/>
      <c r="B43" s="333"/>
      <c r="C43" s="333"/>
      <c r="D43" s="7">
        <v>0</v>
      </c>
      <c r="E43" s="225">
        <v>0</v>
      </c>
      <c r="F43" s="321">
        <v>0</v>
      </c>
      <c r="G43" s="225">
        <v>0</v>
      </c>
      <c r="H43" s="225">
        <v>0</v>
      </c>
      <c r="I43" s="225">
        <v>0</v>
      </c>
      <c r="J43" s="225">
        <v>0</v>
      </c>
      <c r="K43" s="225">
        <v>0</v>
      </c>
      <c r="L43" s="225">
        <v>0</v>
      </c>
      <c r="M43" s="225">
        <v>0</v>
      </c>
      <c r="N43" s="225">
        <v>0</v>
      </c>
      <c r="O43" s="15">
        <v>0</v>
      </c>
      <c r="P43" s="225">
        <v>0</v>
      </c>
      <c r="Q43" s="225">
        <v>0</v>
      </c>
      <c r="R43" s="225">
        <v>0</v>
      </c>
      <c r="S43" s="225">
        <v>0</v>
      </c>
      <c r="T43" s="225">
        <v>0</v>
      </c>
      <c r="U43" s="225">
        <v>0</v>
      </c>
      <c r="V43" s="225">
        <v>0</v>
      </c>
      <c r="W43" s="225">
        <v>0</v>
      </c>
      <c r="X43" s="225">
        <v>0</v>
      </c>
      <c r="Y43" s="225">
        <v>0</v>
      </c>
      <c r="Z43" s="321">
        <v>0</v>
      </c>
      <c r="AA43" s="225">
        <v>0</v>
      </c>
      <c r="AB43" s="225">
        <v>0</v>
      </c>
      <c r="AC43" s="225">
        <v>0</v>
      </c>
      <c r="AD43" s="225">
        <v>0</v>
      </c>
      <c r="AE43" s="225">
        <v>0</v>
      </c>
      <c r="AF43" s="225">
        <v>0</v>
      </c>
      <c r="AG43" s="225">
        <v>0</v>
      </c>
      <c r="AH43" s="225">
        <v>0</v>
      </c>
      <c r="AI43" s="208">
        <v>0</v>
      </c>
      <c r="AJ43" s="209">
        <v>0</v>
      </c>
      <c r="AK43" s="210">
        <v>0</v>
      </c>
      <c r="AL43" s="211">
        <f t="shared" si="20"/>
        <v>0</v>
      </c>
      <c r="AM43" s="212">
        <f t="shared" ref="AM43:AM45" si="21">AJ43*$I$3</f>
        <v>0</v>
      </c>
      <c r="AN43" s="213">
        <f t="shared" ref="AN43:AN45" si="22">AK43*$AQ$6</f>
        <v>0</v>
      </c>
      <c r="AO43" s="214">
        <f t="shared" si="19"/>
        <v>0</v>
      </c>
    </row>
    <row r="44" spans="1:41" ht="15.6">
      <c r="A44" s="54"/>
      <c r="B44" s="43"/>
      <c r="C44" s="43"/>
      <c r="D44" s="7">
        <v>0</v>
      </c>
      <c r="E44" s="225">
        <v>0</v>
      </c>
      <c r="F44" s="321">
        <v>0</v>
      </c>
      <c r="G44" s="225">
        <v>0</v>
      </c>
      <c r="H44" s="225">
        <v>0</v>
      </c>
      <c r="I44" s="225">
        <v>0</v>
      </c>
      <c r="J44" s="225">
        <v>0</v>
      </c>
      <c r="K44" s="225">
        <v>0</v>
      </c>
      <c r="L44" s="225">
        <v>0</v>
      </c>
      <c r="M44" s="225">
        <v>0</v>
      </c>
      <c r="N44" s="225">
        <v>0</v>
      </c>
      <c r="O44" s="15">
        <v>0</v>
      </c>
      <c r="P44" s="225">
        <v>0</v>
      </c>
      <c r="Q44" s="225">
        <v>0</v>
      </c>
      <c r="R44" s="225">
        <v>0</v>
      </c>
      <c r="S44" s="225">
        <v>0</v>
      </c>
      <c r="T44" s="225">
        <v>0</v>
      </c>
      <c r="U44" s="225">
        <v>0</v>
      </c>
      <c r="V44" s="225">
        <v>0</v>
      </c>
      <c r="W44" s="225">
        <v>0</v>
      </c>
      <c r="X44" s="225">
        <v>0</v>
      </c>
      <c r="Y44" s="225">
        <v>0</v>
      </c>
      <c r="Z44" s="321">
        <v>0</v>
      </c>
      <c r="AA44" s="225">
        <v>0</v>
      </c>
      <c r="AB44" s="225">
        <v>0</v>
      </c>
      <c r="AC44" s="225">
        <v>0</v>
      </c>
      <c r="AD44" s="225">
        <v>0</v>
      </c>
      <c r="AE44" s="225">
        <v>0</v>
      </c>
      <c r="AF44" s="225">
        <v>0</v>
      </c>
      <c r="AG44" s="225">
        <v>0</v>
      </c>
      <c r="AH44" s="225">
        <v>0</v>
      </c>
      <c r="AI44" s="208">
        <v>0</v>
      </c>
      <c r="AJ44" s="209">
        <v>0</v>
      </c>
      <c r="AK44" s="210">
        <v>0</v>
      </c>
      <c r="AL44" s="211">
        <f t="shared" si="20"/>
        <v>0</v>
      </c>
      <c r="AM44" s="212">
        <f t="shared" si="21"/>
        <v>0</v>
      </c>
      <c r="AN44" s="213">
        <f t="shared" si="22"/>
        <v>0</v>
      </c>
      <c r="AO44" s="214">
        <f t="shared" si="19"/>
        <v>0</v>
      </c>
    </row>
    <row r="45" spans="1:41" ht="15.6">
      <c r="A45" s="54"/>
      <c r="B45" s="43"/>
      <c r="C45" s="43"/>
      <c r="D45" s="7">
        <v>0</v>
      </c>
      <c r="E45" s="225">
        <v>0</v>
      </c>
      <c r="F45" s="321">
        <v>0</v>
      </c>
      <c r="G45" s="225">
        <v>0</v>
      </c>
      <c r="H45" s="225">
        <v>0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15">
        <v>0</v>
      </c>
      <c r="P45" s="225">
        <v>0</v>
      </c>
      <c r="Q45" s="225">
        <v>0</v>
      </c>
      <c r="R45" s="225">
        <v>0</v>
      </c>
      <c r="S45" s="225">
        <v>0</v>
      </c>
      <c r="T45" s="225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321">
        <v>0</v>
      </c>
      <c r="AA45" s="225">
        <v>0</v>
      </c>
      <c r="AB45" s="225">
        <v>0</v>
      </c>
      <c r="AC45" s="225">
        <v>0</v>
      </c>
      <c r="AD45" s="225">
        <v>0</v>
      </c>
      <c r="AE45" s="225">
        <v>0</v>
      </c>
      <c r="AF45" s="225">
        <v>0</v>
      </c>
      <c r="AG45" s="225">
        <v>0</v>
      </c>
      <c r="AH45" s="225">
        <v>0</v>
      </c>
      <c r="AI45" s="208">
        <v>0</v>
      </c>
      <c r="AJ45" s="209">
        <v>0</v>
      </c>
      <c r="AK45" s="210">
        <v>0</v>
      </c>
      <c r="AL45" s="211">
        <f t="shared" si="20"/>
        <v>0</v>
      </c>
      <c r="AM45" s="212">
        <f t="shared" si="21"/>
        <v>0</v>
      </c>
      <c r="AN45" s="213">
        <f t="shared" si="22"/>
        <v>0</v>
      </c>
      <c r="AO45" s="214">
        <f t="shared" si="19"/>
        <v>0</v>
      </c>
    </row>
    <row r="46" spans="1:41" ht="15.6">
      <c r="A46" s="54"/>
      <c r="B46" s="43"/>
      <c r="C46" s="43"/>
      <c r="D46" s="7">
        <v>0</v>
      </c>
      <c r="E46" s="225">
        <v>0</v>
      </c>
      <c r="F46" s="321">
        <v>0</v>
      </c>
      <c r="G46" s="225">
        <v>0</v>
      </c>
      <c r="H46" s="225">
        <v>0</v>
      </c>
      <c r="I46" s="225">
        <v>0</v>
      </c>
      <c r="J46" s="225">
        <v>0</v>
      </c>
      <c r="K46" s="225">
        <v>0</v>
      </c>
      <c r="L46" s="225">
        <v>0</v>
      </c>
      <c r="M46" s="225">
        <v>0</v>
      </c>
      <c r="N46" s="225">
        <v>0</v>
      </c>
      <c r="O46" s="15">
        <v>0</v>
      </c>
      <c r="P46" s="225">
        <v>0</v>
      </c>
      <c r="Q46" s="225">
        <v>0</v>
      </c>
      <c r="R46" s="225">
        <v>0</v>
      </c>
      <c r="S46" s="225">
        <v>0</v>
      </c>
      <c r="T46" s="225">
        <v>0</v>
      </c>
      <c r="U46" s="225">
        <v>0</v>
      </c>
      <c r="V46" s="225">
        <v>0</v>
      </c>
      <c r="W46" s="225">
        <v>0</v>
      </c>
      <c r="X46" s="225">
        <v>0</v>
      </c>
      <c r="Y46" s="225">
        <v>0</v>
      </c>
      <c r="Z46" s="321">
        <v>0</v>
      </c>
      <c r="AA46" s="225">
        <v>0</v>
      </c>
      <c r="AB46" s="225">
        <v>0</v>
      </c>
      <c r="AC46" s="225">
        <v>0</v>
      </c>
      <c r="AD46" s="225">
        <v>0</v>
      </c>
      <c r="AE46" s="225">
        <v>0</v>
      </c>
      <c r="AF46" s="225">
        <v>0</v>
      </c>
      <c r="AG46" s="225">
        <v>0</v>
      </c>
      <c r="AH46" s="225">
        <v>0</v>
      </c>
      <c r="AI46" s="208">
        <v>0</v>
      </c>
      <c r="AJ46" s="209">
        <v>0</v>
      </c>
      <c r="AK46" s="210">
        <v>0</v>
      </c>
      <c r="AL46" s="211">
        <f>AI46*$M$3</f>
        <v>0</v>
      </c>
      <c r="AM46" s="212">
        <f>AJ46*$N$3</f>
        <v>0</v>
      </c>
      <c r="AN46" s="213">
        <f>AK46*$AS$6</f>
        <v>0</v>
      </c>
      <c r="AO46" s="214">
        <f t="shared" si="19"/>
        <v>0</v>
      </c>
    </row>
    <row r="47" spans="1:41" ht="15.6">
      <c r="A47" s="54" t="s">
        <v>168</v>
      </c>
      <c r="B47" s="43" t="s">
        <v>169</v>
      </c>
      <c r="C47" s="43" t="s">
        <v>38</v>
      </c>
      <c r="D47" s="7">
        <v>3.7</v>
      </c>
      <c r="E47" s="225">
        <v>0</v>
      </c>
      <c r="F47" s="321">
        <v>0</v>
      </c>
      <c r="G47" s="225">
        <v>0</v>
      </c>
      <c r="H47" s="225">
        <v>0</v>
      </c>
      <c r="I47" s="225">
        <v>0</v>
      </c>
      <c r="J47" s="225">
        <v>0</v>
      </c>
      <c r="K47" s="225">
        <v>0</v>
      </c>
      <c r="L47" s="225">
        <v>0</v>
      </c>
      <c r="M47" s="225">
        <v>0</v>
      </c>
      <c r="N47" s="225">
        <v>0</v>
      </c>
      <c r="O47" s="15">
        <v>0</v>
      </c>
      <c r="P47" s="225">
        <v>0</v>
      </c>
      <c r="Q47" s="225">
        <v>2.2000000000000002</v>
      </c>
      <c r="R47" s="225">
        <v>0</v>
      </c>
      <c r="S47" s="225">
        <v>0</v>
      </c>
      <c r="T47" s="225">
        <v>0</v>
      </c>
      <c r="U47" s="225">
        <v>0</v>
      </c>
      <c r="V47" s="225">
        <v>0</v>
      </c>
      <c r="W47" s="225">
        <v>0</v>
      </c>
      <c r="X47" s="225">
        <v>0</v>
      </c>
      <c r="Y47" s="225">
        <v>0</v>
      </c>
      <c r="Z47" s="321">
        <v>0</v>
      </c>
      <c r="AA47" s="225">
        <v>0</v>
      </c>
      <c r="AB47" s="225">
        <v>0</v>
      </c>
      <c r="AC47" s="225">
        <v>0</v>
      </c>
      <c r="AD47" s="225">
        <v>0</v>
      </c>
      <c r="AE47" s="225">
        <v>0</v>
      </c>
      <c r="AF47" s="225">
        <v>0</v>
      </c>
      <c r="AG47" s="225">
        <v>0</v>
      </c>
      <c r="AH47" s="225">
        <v>0</v>
      </c>
      <c r="AI47" s="208">
        <v>5.9</v>
      </c>
      <c r="AJ47" s="209">
        <v>0</v>
      </c>
      <c r="AK47" s="210">
        <v>0</v>
      </c>
      <c r="AL47" s="211">
        <f>AI47*$H$3</f>
        <v>1475</v>
      </c>
      <c r="AM47" s="212">
        <f>AJ47*$I$3</f>
        <v>0</v>
      </c>
      <c r="AN47" s="213">
        <f t="shared" ref="AN47:AN49" si="23">AK47*$R$3</f>
        <v>0</v>
      </c>
      <c r="AO47" s="214">
        <f t="shared" si="19"/>
        <v>1475</v>
      </c>
    </row>
    <row r="48" spans="1:41" ht="15.6">
      <c r="A48" s="54" t="s">
        <v>170</v>
      </c>
      <c r="B48" s="43" t="s">
        <v>171</v>
      </c>
      <c r="C48" s="43" t="s">
        <v>38</v>
      </c>
      <c r="D48" s="7">
        <v>0</v>
      </c>
      <c r="E48" s="225">
        <v>0</v>
      </c>
      <c r="F48" s="321">
        <v>0</v>
      </c>
      <c r="G48" s="225">
        <v>0</v>
      </c>
      <c r="H48" s="225">
        <v>0</v>
      </c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>
        <v>0</v>
      </c>
      <c r="O48" s="15">
        <v>0</v>
      </c>
      <c r="P48" s="225">
        <v>0</v>
      </c>
      <c r="Q48" s="225">
        <v>0</v>
      </c>
      <c r="R48" s="225">
        <v>0</v>
      </c>
      <c r="S48" s="225">
        <v>0</v>
      </c>
      <c r="T48" s="225">
        <v>0</v>
      </c>
      <c r="U48" s="225">
        <v>0</v>
      </c>
      <c r="V48" s="225">
        <v>0</v>
      </c>
      <c r="W48" s="225">
        <v>0</v>
      </c>
      <c r="X48" s="225">
        <v>0</v>
      </c>
      <c r="Y48" s="225">
        <v>0</v>
      </c>
      <c r="Z48" s="321">
        <v>0</v>
      </c>
      <c r="AA48" s="225">
        <v>0</v>
      </c>
      <c r="AB48" s="225">
        <v>0</v>
      </c>
      <c r="AC48" s="225">
        <v>0</v>
      </c>
      <c r="AD48" s="225">
        <v>0</v>
      </c>
      <c r="AE48" s="225">
        <v>0</v>
      </c>
      <c r="AF48" s="225">
        <v>0</v>
      </c>
      <c r="AG48" s="225">
        <v>0</v>
      </c>
      <c r="AH48" s="225">
        <v>0</v>
      </c>
      <c r="AI48" s="208">
        <v>0</v>
      </c>
      <c r="AJ48" s="209">
        <v>0</v>
      </c>
      <c r="AK48" s="210">
        <v>0</v>
      </c>
      <c r="AL48" s="211">
        <f t="shared" ref="AL48:AL49" si="24">AI48*$M$3</f>
        <v>0</v>
      </c>
      <c r="AM48" s="212">
        <f t="shared" ref="AM48:AM49" si="25">AJ48*$N$3</f>
        <v>0</v>
      </c>
      <c r="AN48" s="213">
        <f t="shared" si="23"/>
        <v>0</v>
      </c>
      <c r="AO48" s="214">
        <f t="shared" si="19"/>
        <v>0</v>
      </c>
    </row>
    <row r="49" spans="1:41" ht="15.6">
      <c r="A49" s="54" t="s">
        <v>172</v>
      </c>
      <c r="B49" s="43" t="s">
        <v>173</v>
      </c>
      <c r="C49" s="43" t="s">
        <v>38</v>
      </c>
      <c r="D49" s="7">
        <v>3.7</v>
      </c>
      <c r="E49" s="225">
        <v>0</v>
      </c>
      <c r="F49" s="321">
        <v>0</v>
      </c>
      <c r="G49" s="225">
        <v>0</v>
      </c>
      <c r="H49" s="225">
        <v>0</v>
      </c>
      <c r="I49" s="225">
        <v>0</v>
      </c>
      <c r="J49" s="225">
        <v>0</v>
      </c>
      <c r="K49" s="225">
        <v>0</v>
      </c>
      <c r="L49" s="225">
        <v>0</v>
      </c>
      <c r="M49" s="225">
        <v>0</v>
      </c>
      <c r="N49" s="225">
        <v>0</v>
      </c>
      <c r="O49" s="15">
        <v>0</v>
      </c>
      <c r="P49" s="225">
        <v>0</v>
      </c>
      <c r="Q49" s="225">
        <v>0</v>
      </c>
      <c r="R49" s="225">
        <v>0</v>
      </c>
      <c r="S49" s="225">
        <v>0</v>
      </c>
      <c r="T49" s="225">
        <v>0</v>
      </c>
      <c r="U49" s="225">
        <v>0</v>
      </c>
      <c r="V49" s="225">
        <v>0</v>
      </c>
      <c r="W49" s="225">
        <v>0</v>
      </c>
      <c r="X49" s="225">
        <v>0</v>
      </c>
      <c r="Y49" s="225">
        <v>0</v>
      </c>
      <c r="Z49" s="321">
        <v>0</v>
      </c>
      <c r="AA49" s="225">
        <v>0</v>
      </c>
      <c r="AB49" s="225">
        <v>0</v>
      </c>
      <c r="AC49" s="225">
        <v>0</v>
      </c>
      <c r="AD49" s="225">
        <v>0</v>
      </c>
      <c r="AE49" s="225">
        <v>0</v>
      </c>
      <c r="AF49" s="225">
        <v>0</v>
      </c>
      <c r="AG49" s="225">
        <v>0</v>
      </c>
      <c r="AH49" s="225">
        <v>0</v>
      </c>
      <c r="AI49" s="208">
        <v>3.7</v>
      </c>
      <c r="AJ49" s="209">
        <v>0</v>
      </c>
      <c r="AK49" s="210">
        <v>0</v>
      </c>
      <c r="AL49" s="211">
        <f t="shared" si="24"/>
        <v>1387.5</v>
      </c>
      <c r="AM49" s="212">
        <f t="shared" si="25"/>
        <v>0</v>
      </c>
      <c r="AN49" s="213">
        <f t="shared" si="23"/>
        <v>0</v>
      </c>
      <c r="AO49" s="214">
        <f t="shared" si="19"/>
        <v>1387.5</v>
      </c>
    </row>
    <row r="50" spans="1:41" ht="15.6">
      <c r="A50" s="54" t="s">
        <v>250</v>
      </c>
      <c r="B50" s="43" t="s">
        <v>251</v>
      </c>
      <c r="C50" s="43" t="s">
        <v>110</v>
      </c>
      <c r="D50" s="7">
        <v>4.4000000000000004</v>
      </c>
      <c r="E50" s="225">
        <v>5</v>
      </c>
      <c r="F50" s="321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15">
        <v>0</v>
      </c>
      <c r="P50" s="225">
        <v>0</v>
      </c>
      <c r="Q50" s="225">
        <v>0</v>
      </c>
      <c r="R50" s="225">
        <v>0</v>
      </c>
      <c r="S50" s="225">
        <v>0</v>
      </c>
      <c r="T50" s="225">
        <v>0</v>
      </c>
      <c r="U50" s="225">
        <v>0</v>
      </c>
      <c r="V50" s="225">
        <v>0</v>
      </c>
      <c r="W50" s="225">
        <v>0</v>
      </c>
      <c r="X50" s="225">
        <v>0</v>
      </c>
      <c r="Y50" s="225">
        <v>0</v>
      </c>
      <c r="Z50" s="321">
        <v>0</v>
      </c>
      <c r="AA50" s="225">
        <v>0</v>
      </c>
      <c r="AB50" s="225">
        <v>0</v>
      </c>
      <c r="AC50" s="225">
        <v>0</v>
      </c>
      <c r="AD50" s="225">
        <v>0</v>
      </c>
      <c r="AE50" s="225">
        <v>0</v>
      </c>
      <c r="AF50" s="225">
        <v>0</v>
      </c>
      <c r="AG50" s="225">
        <v>0</v>
      </c>
      <c r="AH50" s="225">
        <v>0</v>
      </c>
      <c r="AI50" s="208">
        <v>9.4</v>
      </c>
      <c r="AJ50" s="209">
        <v>0</v>
      </c>
      <c r="AK50" s="210">
        <v>0</v>
      </c>
      <c r="AL50" s="211">
        <f t="shared" ref="AL50:AL51" si="26">AI50*$H$3</f>
        <v>2350</v>
      </c>
      <c r="AM50" s="212">
        <f t="shared" ref="AM50:AM51" si="27">AJ50*$I$3</f>
        <v>0</v>
      </c>
      <c r="AN50" s="213">
        <f>AK50*$V$3</f>
        <v>0</v>
      </c>
      <c r="AO50" s="214">
        <f t="shared" si="19"/>
        <v>2350</v>
      </c>
    </row>
    <row r="51" spans="1:41" ht="15.6">
      <c r="A51" s="54" t="s">
        <v>174</v>
      </c>
      <c r="B51" s="43" t="s">
        <v>175</v>
      </c>
      <c r="C51" s="43" t="s">
        <v>38</v>
      </c>
      <c r="D51" s="7">
        <v>0.6</v>
      </c>
      <c r="E51" s="225">
        <v>0</v>
      </c>
      <c r="F51" s="321">
        <v>0</v>
      </c>
      <c r="G51" s="225">
        <v>0</v>
      </c>
      <c r="H51" s="225">
        <v>0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15">
        <v>0</v>
      </c>
      <c r="P51" s="225">
        <v>0</v>
      </c>
      <c r="Q51" s="225">
        <v>0.5</v>
      </c>
      <c r="R51" s="225">
        <v>0.8</v>
      </c>
      <c r="S51" s="225">
        <v>0</v>
      </c>
      <c r="T51" s="225">
        <v>0</v>
      </c>
      <c r="U51" s="225">
        <v>0</v>
      </c>
      <c r="V51" s="225">
        <v>0</v>
      </c>
      <c r="W51" s="225">
        <v>0</v>
      </c>
      <c r="X51" s="225">
        <v>0</v>
      </c>
      <c r="Y51" s="461">
        <v>6</v>
      </c>
      <c r="Z51" s="321">
        <v>0</v>
      </c>
      <c r="AA51" s="225">
        <v>0</v>
      </c>
      <c r="AB51" s="225">
        <v>0</v>
      </c>
      <c r="AC51" s="225">
        <v>0</v>
      </c>
      <c r="AD51" s="225">
        <v>0</v>
      </c>
      <c r="AE51" s="225">
        <v>0</v>
      </c>
      <c r="AF51" s="225">
        <v>0</v>
      </c>
      <c r="AG51" s="225">
        <v>0</v>
      </c>
      <c r="AH51" s="225">
        <v>0</v>
      </c>
      <c r="AI51" s="208">
        <v>1.9000000000000001</v>
      </c>
      <c r="AJ51" s="209">
        <v>0</v>
      </c>
      <c r="AK51" s="210">
        <v>6</v>
      </c>
      <c r="AL51" s="211">
        <f t="shared" si="26"/>
        <v>475.00000000000006</v>
      </c>
      <c r="AM51" s="212">
        <f t="shared" si="27"/>
        <v>0</v>
      </c>
      <c r="AN51" s="213">
        <f>AK51*$R$3</f>
        <v>600</v>
      </c>
      <c r="AO51" s="214">
        <f t="shared" si="19"/>
        <v>1075</v>
      </c>
    </row>
    <row r="52" spans="1:41" ht="15.6">
      <c r="A52" s="54" t="s">
        <v>112</v>
      </c>
      <c r="B52" s="43" t="s">
        <v>113</v>
      </c>
      <c r="C52" s="43" t="s">
        <v>110</v>
      </c>
      <c r="D52" s="7">
        <v>0</v>
      </c>
      <c r="E52" s="225">
        <v>0</v>
      </c>
      <c r="F52" s="321">
        <v>0</v>
      </c>
      <c r="G52" s="225">
        <v>0</v>
      </c>
      <c r="H52" s="225">
        <v>0</v>
      </c>
      <c r="I52" s="225">
        <v>0</v>
      </c>
      <c r="J52" s="225">
        <v>0</v>
      </c>
      <c r="K52" s="225">
        <v>0</v>
      </c>
      <c r="L52" s="225">
        <v>0</v>
      </c>
      <c r="M52" s="225">
        <v>0</v>
      </c>
      <c r="N52" s="225">
        <v>0</v>
      </c>
      <c r="O52" s="15">
        <v>8</v>
      </c>
      <c r="P52" s="225">
        <v>0</v>
      </c>
      <c r="Q52" s="225">
        <v>0</v>
      </c>
      <c r="R52" s="225">
        <v>0</v>
      </c>
      <c r="S52" s="225">
        <v>0</v>
      </c>
      <c r="T52" s="225">
        <v>0</v>
      </c>
      <c r="U52" s="225">
        <v>0</v>
      </c>
      <c r="V52" s="225">
        <v>0</v>
      </c>
      <c r="W52" s="225">
        <v>0</v>
      </c>
      <c r="X52" s="225">
        <v>0</v>
      </c>
      <c r="Y52" s="225">
        <v>0</v>
      </c>
      <c r="Z52" s="321">
        <v>0</v>
      </c>
      <c r="AA52" s="225">
        <v>0</v>
      </c>
      <c r="AB52" s="225">
        <v>0</v>
      </c>
      <c r="AC52" s="225">
        <v>0</v>
      </c>
      <c r="AD52" s="225">
        <v>0</v>
      </c>
      <c r="AE52" s="225">
        <v>0</v>
      </c>
      <c r="AF52" s="225">
        <v>0</v>
      </c>
      <c r="AG52" s="225">
        <v>0</v>
      </c>
      <c r="AH52" s="225">
        <v>0</v>
      </c>
      <c r="AI52" s="208">
        <v>8</v>
      </c>
      <c r="AJ52" s="209">
        <v>0</v>
      </c>
      <c r="AK52" s="210">
        <v>0</v>
      </c>
      <c r="AL52" s="211">
        <f>AI52*$M$3</f>
        <v>3000</v>
      </c>
      <c r="AM52" s="212">
        <f>AJ52*$N$3</f>
        <v>0</v>
      </c>
      <c r="AN52" s="213">
        <f t="shared" ref="AN52:AN53" si="28">AK52*$V$3</f>
        <v>0</v>
      </c>
      <c r="AO52" s="214">
        <f t="shared" si="19"/>
        <v>3000</v>
      </c>
    </row>
    <row r="53" spans="1:41" ht="15.6">
      <c r="A53" s="54" t="s">
        <v>252</v>
      </c>
      <c r="B53" s="43" t="s">
        <v>253</v>
      </c>
      <c r="C53" s="43" t="s">
        <v>110</v>
      </c>
      <c r="D53" s="7">
        <v>0</v>
      </c>
      <c r="E53" s="225">
        <v>0</v>
      </c>
      <c r="F53" s="321">
        <v>0</v>
      </c>
      <c r="G53" s="225">
        <v>0</v>
      </c>
      <c r="H53" s="225">
        <v>0</v>
      </c>
      <c r="I53" s="225">
        <v>0</v>
      </c>
      <c r="J53" s="225">
        <v>0</v>
      </c>
      <c r="K53" s="225">
        <v>0</v>
      </c>
      <c r="L53" s="225">
        <v>0</v>
      </c>
      <c r="M53" s="225">
        <v>0</v>
      </c>
      <c r="N53" s="225">
        <v>0</v>
      </c>
      <c r="O53" s="15">
        <v>0</v>
      </c>
      <c r="P53" s="225">
        <v>0</v>
      </c>
      <c r="Q53" s="225">
        <v>2.2000000000000002</v>
      </c>
      <c r="R53" s="225">
        <v>0</v>
      </c>
      <c r="S53" s="225">
        <v>0</v>
      </c>
      <c r="T53" s="225">
        <v>0</v>
      </c>
      <c r="U53" s="225">
        <v>0</v>
      </c>
      <c r="V53" s="225">
        <v>0</v>
      </c>
      <c r="W53" s="225">
        <v>0</v>
      </c>
      <c r="X53" s="225">
        <v>0</v>
      </c>
      <c r="Y53" s="225">
        <v>0</v>
      </c>
      <c r="Z53" s="321">
        <v>0</v>
      </c>
      <c r="AA53" s="225">
        <v>0</v>
      </c>
      <c r="AB53" s="225">
        <v>0</v>
      </c>
      <c r="AC53" s="225">
        <v>0</v>
      </c>
      <c r="AD53" s="225">
        <v>0</v>
      </c>
      <c r="AE53" s="225">
        <v>0</v>
      </c>
      <c r="AF53" s="225">
        <v>0</v>
      </c>
      <c r="AG53" s="225">
        <v>0</v>
      </c>
      <c r="AH53" s="225">
        <v>0</v>
      </c>
      <c r="AI53" s="208">
        <v>2.2000000000000002</v>
      </c>
      <c r="AJ53" s="209">
        <v>0</v>
      </c>
      <c r="AK53" s="210">
        <v>0</v>
      </c>
      <c r="AL53" s="211">
        <f t="shared" ref="AL53:AL59" si="29">AI53*$H$3</f>
        <v>550</v>
      </c>
      <c r="AM53" s="212">
        <f t="shared" ref="AM53:AM59" si="30">AJ53*$I$3</f>
        <v>0</v>
      </c>
      <c r="AN53" s="213">
        <f t="shared" si="28"/>
        <v>0</v>
      </c>
      <c r="AO53" s="214">
        <f t="shared" si="19"/>
        <v>550</v>
      </c>
    </row>
    <row r="54" spans="1:41" ht="15.6">
      <c r="A54" s="54" t="s">
        <v>176</v>
      </c>
      <c r="B54" s="43" t="s">
        <v>177</v>
      </c>
      <c r="C54" s="43" t="s">
        <v>38</v>
      </c>
      <c r="D54" s="7">
        <v>0</v>
      </c>
      <c r="E54" s="225">
        <v>0</v>
      </c>
      <c r="F54" s="321">
        <v>0</v>
      </c>
      <c r="G54" s="225">
        <v>0</v>
      </c>
      <c r="H54" s="225">
        <v>0</v>
      </c>
      <c r="I54" s="225">
        <v>0</v>
      </c>
      <c r="J54" s="225">
        <v>0</v>
      </c>
      <c r="K54" s="225">
        <v>0</v>
      </c>
      <c r="L54" s="225">
        <v>0</v>
      </c>
      <c r="M54" s="225">
        <v>0</v>
      </c>
      <c r="N54" s="225">
        <v>0</v>
      </c>
      <c r="O54" s="15">
        <v>0</v>
      </c>
      <c r="P54" s="225">
        <v>0</v>
      </c>
      <c r="Q54" s="225">
        <v>0.5</v>
      </c>
      <c r="R54" s="225">
        <v>0.8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X54" s="225">
        <v>0</v>
      </c>
      <c r="Y54" s="225">
        <v>0</v>
      </c>
      <c r="Z54" s="321">
        <v>0</v>
      </c>
      <c r="AA54" s="225">
        <v>0</v>
      </c>
      <c r="AB54" s="225">
        <v>0</v>
      </c>
      <c r="AC54" s="225">
        <v>0</v>
      </c>
      <c r="AD54" s="225">
        <v>0</v>
      </c>
      <c r="AE54" s="225">
        <v>0</v>
      </c>
      <c r="AF54" s="225">
        <v>0</v>
      </c>
      <c r="AG54" s="225">
        <v>0</v>
      </c>
      <c r="AH54" s="225">
        <v>0</v>
      </c>
      <c r="AI54" s="208">
        <v>1.3</v>
      </c>
      <c r="AJ54" s="209">
        <v>0</v>
      </c>
      <c r="AK54" s="210">
        <v>0</v>
      </c>
      <c r="AL54" s="211">
        <f t="shared" si="29"/>
        <v>325</v>
      </c>
      <c r="AM54" s="212">
        <f t="shared" si="30"/>
        <v>0</v>
      </c>
      <c r="AN54" s="213">
        <f t="shared" ref="AN54:AN55" si="31">AK54*$R$3</f>
        <v>0</v>
      </c>
      <c r="AO54" s="214">
        <f t="shared" ref="AO54:AO59" si="32">AL54+AM54+AN54</f>
        <v>325</v>
      </c>
    </row>
    <row r="55" spans="1:41" ht="15.6">
      <c r="A55" s="54" t="s">
        <v>463</v>
      </c>
      <c r="B55" s="43" t="s">
        <v>464</v>
      </c>
      <c r="C55" s="43" t="s">
        <v>38</v>
      </c>
      <c r="D55" s="7">
        <v>0</v>
      </c>
      <c r="E55" s="225">
        <v>0</v>
      </c>
      <c r="F55" s="321">
        <v>0</v>
      </c>
      <c r="G55" s="225">
        <v>0</v>
      </c>
      <c r="H55" s="225">
        <v>0</v>
      </c>
      <c r="I55" s="225">
        <v>0</v>
      </c>
      <c r="J55" s="225">
        <v>0</v>
      </c>
      <c r="K55" s="225">
        <v>0</v>
      </c>
      <c r="L55" s="225">
        <v>0</v>
      </c>
      <c r="M55" s="225">
        <v>0</v>
      </c>
      <c r="N55" s="225">
        <v>0</v>
      </c>
      <c r="O55" s="15">
        <v>0</v>
      </c>
      <c r="P55" s="225">
        <v>0</v>
      </c>
      <c r="Q55" s="225">
        <v>0</v>
      </c>
      <c r="R55" s="225">
        <v>0</v>
      </c>
      <c r="S55" s="225">
        <v>0</v>
      </c>
      <c r="T55" s="225">
        <v>0</v>
      </c>
      <c r="U55" s="225">
        <v>0</v>
      </c>
      <c r="V55" s="225">
        <v>0</v>
      </c>
      <c r="W55" s="225">
        <v>0</v>
      </c>
      <c r="X55" s="225">
        <v>0</v>
      </c>
      <c r="Y55" s="225">
        <v>0</v>
      </c>
      <c r="Z55" s="321">
        <v>0</v>
      </c>
      <c r="AA55" s="225">
        <v>0</v>
      </c>
      <c r="AB55" s="225">
        <v>0</v>
      </c>
      <c r="AC55" s="225">
        <v>0</v>
      </c>
      <c r="AD55" s="225">
        <v>0</v>
      </c>
      <c r="AE55" s="225">
        <v>0</v>
      </c>
      <c r="AF55" s="225">
        <v>0</v>
      </c>
      <c r="AG55" s="225">
        <v>0</v>
      </c>
      <c r="AH55" s="225">
        <v>0</v>
      </c>
      <c r="AI55" s="208">
        <v>0</v>
      </c>
      <c r="AJ55" s="209">
        <v>0</v>
      </c>
      <c r="AK55" s="210">
        <v>0</v>
      </c>
      <c r="AL55" s="211">
        <f t="shared" si="29"/>
        <v>0</v>
      </c>
      <c r="AM55" s="212">
        <f t="shared" si="30"/>
        <v>0</v>
      </c>
      <c r="AN55" s="213">
        <f t="shared" si="31"/>
        <v>0</v>
      </c>
      <c r="AO55" s="214">
        <f t="shared" si="32"/>
        <v>0</v>
      </c>
    </row>
    <row r="56" spans="1:41" ht="15.6">
      <c r="A56" s="54" t="s">
        <v>465</v>
      </c>
      <c r="B56" s="43" t="s">
        <v>466</v>
      </c>
      <c r="C56" s="43" t="s">
        <v>110</v>
      </c>
      <c r="D56" s="7">
        <v>0</v>
      </c>
      <c r="E56" s="225">
        <v>0</v>
      </c>
      <c r="F56" s="321">
        <v>0</v>
      </c>
      <c r="G56" s="225">
        <v>0</v>
      </c>
      <c r="H56" s="225">
        <v>0</v>
      </c>
      <c r="I56" s="225">
        <v>0</v>
      </c>
      <c r="J56" s="225">
        <v>0</v>
      </c>
      <c r="K56" s="225">
        <v>0</v>
      </c>
      <c r="L56" s="225">
        <v>0</v>
      </c>
      <c r="M56" s="225">
        <v>0</v>
      </c>
      <c r="N56" s="225">
        <v>0</v>
      </c>
      <c r="O56" s="15">
        <v>0</v>
      </c>
      <c r="P56" s="225">
        <v>0</v>
      </c>
      <c r="Q56" s="225">
        <v>0</v>
      </c>
      <c r="R56" s="225">
        <v>0</v>
      </c>
      <c r="S56" s="225">
        <v>0</v>
      </c>
      <c r="T56" s="225">
        <v>0</v>
      </c>
      <c r="U56" s="225">
        <v>0</v>
      </c>
      <c r="V56" s="225">
        <v>0</v>
      </c>
      <c r="W56" s="225">
        <v>0</v>
      </c>
      <c r="X56" s="225">
        <v>0</v>
      </c>
      <c r="Y56" s="225">
        <v>0</v>
      </c>
      <c r="Z56" s="321">
        <v>0</v>
      </c>
      <c r="AA56" s="225">
        <v>0</v>
      </c>
      <c r="AB56" s="225">
        <v>0</v>
      </c>
      <c r="AC56" s="225">
        <v>0</v>
      </c>
      <c r="AD56" s="225">
        <v>0</v>
      </c>
      <c r="AE56" s="225">
        <v>0</v>
      </c>
      <c r="AF56" s="225">
        <v>0</v>
      </c>
      <c r="AG56" s="225">
        <v>0</v>
      </c>
      <c r="AH56" s="225">
        <v>0</v>
      </c>
      <c r="AI56" s="208">
        <v>0</v>
      </c>
      <c r="AJ56" s="209">
        <v>0</v>
      </c>
      <c r="AK56" s="210">
        <v>0</v>
      </c>
      <c r="AL56" s="211">
        <f t="shared" si="29"/>
        <v>0</v>
      </c>
      <c r="AM56" s="212">
        <f t="shared" si="30"/>
        <v>0</v>
      </c>
      <c r="AN56" s="213">
        <f>AK56*$V$3</f>
        <v>0</v>
      </c>
      <c r="AO56" s="214">
        <f t="shared" si="32"/>
        <v>0</v>
      </c>
    </row>
    <row r="57" spans="1:41" ht="15.6">
      <c r="A57" s="54" t="s">
        <v>467</v>
      </c>
      <c r="B57" s="43" t="s">
        <v>468</v>
      </c>
      <c r="C57" s="43" t="s">
        <v>38</v>
      </c>
      <c r="D57" s="7">
        <v>0</v>
      </c>
      <c r="E57" s="225">
        <v>0</v>
      </c>
      <c r="F57" s="321">
        <v>0</v>
      </c>
      <c r="G57" s="225">
        <v>0</v>
      </c>
      <c r="H57" s="225">
        <v>0</v>
      </c>
      <c r="I57" s="225">
        <v>0</v>
      </c>
      <c r="J57" s="225">
        <v>0</v>
      </c>
      <c r="K57" s="225">
        <v>0</v>
      </c>
      <c r="L57" s="225">
        <v>0</v>
      </c>
      <c r="M57" s="225">
        <v>0</v>
      </c>
      <c r="N57" s="225">
        <v>0</v>
      </c>
      <c r="O57" s="15">
        <v>0</v>
      </c>
      <c r="P57" s="225">
        <v>0</v>
      </c>
      <c r="Q57" s="225">
        <v>0</v>
      </c>
      <c r="R57" s="225">
        <v>0</v>
      </c>
      <c r="S57" s="225">
        <v>0</v>
      </c>
      <c r="T57" s="225">
        <v>0</v>
      </c>
      <c r="U57" s="225">
        <v>0</v>
      </c>
      <c r="V57" s="225">
        <v>0</v>
      </c>
      <c r="W57" s="225">
        <v>0</v>
      </c>
      <c r="X57" s="225">
        <v>0</v>
      </c>
      <c r="Y57" s="225">
        <v>0</v>
      </c>
      <c r="Z57" s="321">
        <v>0</v>
      </c>
      <c r="AA57" s="225">
        <v>0</v>
      </c>
      <c r="AB57" s="225">
        <v>0</v>
      </c>
      <c r="AC57" s="225">
        <v>0</v>
      </c>
      <c r="AD57" s="225">
        <v>0</v>
      </c>
      <c r="AE57" s="225">
        <v>0</v>
      </c>
      <c r="AF57" s="225">
        <v>0</v>
      </c>
      <c r="AG57" s="225">
        <v>0</v>
      </c>
      <c r="AH57" s="225">
        <v>0</v>
      </c>
      <c r="AI57" s="208">
        <v>0</v>
      </c>
      <c r="AJ57" s="209">
        <v>0</v>
      </c>
      <c r="AK57" s="210">
        <v>0</v>
      </c>
      <c r="AL57" s="211">
        <f t="shared" si="29"/>
        <v>0</v>
      </c>
      <c r="AM57" s="212">
        <f t="shared" si="30"/>
        <v>0</v>
      </c>
      <c r="AN57" s="213">
        <f t="shared" ref="AN57:AN63" si="33">AK57*$R$3</f>
        <v>0</v>
      </c>
      <c r="AO57" s="214">
        <f t="shared" si="32"/>
        <v>0</v>
      </c>
    </row>
    <row r="58" spans="1:41" ht="15.6">
      <c r="A58" s="54" t="s">
        <v>338</v>
      </c>
      <c r="B58" s="43" t="s">
        <v>339</v>
      </c>
      <c r="C58" s="43" t="s">
        <v>38</v>
      </c>
      <c r="D58" s="7">
        <v>0</v>
      </c>
      <c r="E58" s="225">
        <v>0</v>
      </c>
      <c r="F58" s="321">
        <v>0</v>
      </c>
      <c r="G58" s="225">
        <v>0</v>
      </c>
      <c r="H58" s="225">
        <v>0</v>
      </c>
      <c r="I58" s="225">
        <v>0</v>
      </c>
      <c r="J58" s="225">
        <v>0</v>
      </c>
      <c r="K58" s="225">
        <v>0</v>
      </c>
      <c r="L58" s="225">
        <v>0</v>
      </c>
      <c r="M58" s="225">
        <v>0</v>
      </c>
      <c r="N58" s="225">
        <v>0</v>
      </c>
      <c r="O58" s="15">
        <v>0</v>
      </c>
      <c r="P58" s="225">
        <v>0</v>
      </c>
      <c r="Q58" s="225">
        <v>0</v>
      </c>
      <c r="R58" s="225">
        <v>0</v>
      </c>
      <c r="S58" s="225">
        <v>0</v>
      </c>
      <c r="T58" s="225">
        <v>0</v>
      </c>
      <c r="U58" s="225">
        <v>0</v>
      </c>
      <c r="V58" s="225">
        <v>0</v>
      </c>
      <c r="W58" s="225">
        <v>0</v>
      </c>
      <c r="X58" s="225">
        <v>0</v>
      </c>
      <c r="Y58" s="225">
        <v>0</v>
      </c>
      <c r="Z58" s="321">
        <v>0</v>
      </c>
      <c r="AA58" s="225">
        <v>0</v>
      </c>
      <c r="AB58" s="225">
        <v>0</v>
      </c>
      <c r="AC58" s="225">
        <v>0</v>
      </c>
      <c r="AD58" s="225">
        <v>0</v>
      </c>
      <c r="AE58" s="225">
        <v>0</v>
      </c>
      <c r="AF58" s="225">
        <v>0</v>
      </c>
      <c r="AG58" s="225">
        <v>0</v>
      </c>
      <c r="AH58" s="225">
        <v>0</v>
      </c>
      <c r="AI58" s="208">
        <v>0</v>
      </c>
      <c r="AJ58" s="209">
        <v>0</v>
      </c>
      <c r="AK58" s="210">
        <v>0</v>
      </c>
      <c r="AL58" s="211">
        <f t="shared" si="29"/>
        <v>0</v>
      </c>
      <c r="AM58" s="212">
        <f t="shared" si="30"/>
        <v>0</v>
      </c>
      <c r="AN58" s="213">
        <f t="shared" si="33"/>
        <v>0</v>
      </c>
      <c r="AO58" s="214">
        <f t="shared" si="32"/>
        <v>0</v>
      </c>
    </row>
    <row r="59" spans="1:41" ht="15.6">
      <c r="A59" s="54" t="s">
        <v>185</v>
      </c>
      <c r="B59" s="43" t="s">
        <v>186</v>
      </c>
      <c r="C59" s="43" t="s">
        <v>38</v>
      </c>
      <c r="D59" s="7">
        <v>0.6</v>
      </c>
      <c r="E59" s="225">
        <v>0</v>
      </c>
      <c r="F59" s="321">
        <v>0</v>
      </c>
      <c r="G59" s="225">
        <v>0</v>
      </c>
      <c r="H59" s="225">
        <v>0</v>
      </c>
      <c r="I59" s="225">
        <v>0</v>
      </c>
      <c r="J59" s="225">
        <v>0</v>
      </c>
      <c r="K59" s="225">
        <v>0</v>
      </c>
      <c r="L59" s="225">
        <v>0</v>
      </c>
      <c r="M59" s="225">
        <v>0</v>
      </c>
      <c r="N59" s="225">
        <v>0</v>
      </c>
      <c r="O59" s="15">
        <v>0</v>
      </c>
      <c r="P59" s="225">
        <v>0</v>
      </c>
      <c r="Q59" s="225">
        <v>0</v>
      </c>
      <c r="R59" s="225">
        <v>0</v>
      </c>
      <c r="S59" s="225">
        <v>0</v>
      </c>
      <c r="T59" s="225">
        <v>0</v>
      </c>
      <c r="U59" s="225">
        <v>0</v>
      </c>
      <c r="V59" s="225">
        <v>0</v>
      </c>
      <c r="W59" s="225">
        <v>0</v>
      </c>
      <c r="X59" s="225">
        <v>0</v>
      </c>
      <c r="Y59" s="225">
        <v>0</v>
      </c>
      <c r="Z59" s="321">
        <v>0</v>
      </c>
      <c r="AA59" s="225">
        <v>0</v>
      </c>
      <c r="AB59" s="225">
        <v>0</v>
      </c>
      <c r="AC59" s="225">
        <v>0</v>
      </c>
      <c r="AD59" s="225">
        <v>0</v>
      </c>
      <c r="AE59" s="225">
        <v>0</v>
      </c>
      <c r="AF59" s="225">
        <v>0</v>
      </c>
      <c r="AG59" s="225">
        <v>0</v>
      </c>
      <c r="AH59" s="225">
        <v>0</v>
      </c>
      <c r="AI59" s="208">
        <v>0.6</v>
      </c>
      <c r="AJ59" s="209">
        <v>0</v>
      </c>
      <c r="AK59" s="210">
        <v>0</v>
      </c>
      <c r="AL59" s="211">
        <f t="shared" si="29"/>
        <v>150</v>
      </c>
      <c r="AM59" s="212">
        <f t="shared" si="30"/>
        <v>0</v>
      </c>
      <c r="AN59" s="213">
        <f t="shared" si="33"/>
        <v>0</v>
      </c>
      <c r="AO59" s="214">
        <f t="shared" si="32"/>
        <v>150</v>
      </c>
    </row>
    <row r="60" spans="1:41" ht="15.6">
      <c r="A60" s="54" t="s">
        <v>187</v>
      </c>
      <c r="B60" s="43" t="s">
        <v>188</v>
      </c>
      <c r="C60" s="43" t="s">
        <v>38</v>
      </c>
      <c r="D60" s="7">
        <v>0.6</v>
      </c>
      <c r="E60" s="225">
        <v>0</v>
      </c>
      <c r="F60" s="321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15">
        <v>0</v>
      </c>
      <c r="P60" s="225">
        <v>0</v>
      </c>
      <c r="Q60" s="225">
        <v>0</v>
      </c>
      <c r="R60" s="225">
        <v>0</v>
      </c>
      <c r="S60" s="225">
        <v>0</v>
      </c>
      <c r="T60" s="225">
        <v>0</v>
      </c>
      <c r="U60" s="225">
        <v>0</v>
      </c>
      <c r="V60" s="225">
        <v>0</v>
      </c>
      <c r="W60" s="225">
        <v>0</v>
      </c>
      <c r="X60" s="225">
        <v>0</v>
      </c>
      <c r="Y60" s="225">
        <v>0</v>
      </c>
      <c r="Z60" s="321">
        <v>0</v>
      </c>
      <c r="AA60" s="225">
        <v>0</v>
      </c>
      <c r="AB60" s="225">
        <v>0</v>
      </c>
      <c r="AC60" s="225">
        <v>0</v>
      </c>
      <c r="AD60" s="225">
        <v>0</v>
      </c>
      <c r="AE60" s="225">
        <v>0</v>
      </c>
      <c r="AF60" s="225">
        <v>0</v>
      </c>
      <c r="AG60" s="225">
        <v>0</v>
      </c>
      <c r="AH60" s="225">
        <v>0</v>
      </c>
      <c r="AI60" s="208">
        <v>0.6</v>
      </c>
      <c r="AJ60" s="209">
        <v>0</v>
      </c>
      <c r="AK60" s="210">
        <v>0</v>
      </c>
      <c r="AL60" s="211">
        <f>AI60*$M$3</f>
        <v>225</v>
      </c>
      <c r="AM60" s="212">
        <f>AJ60*$N$3</f>
        <v>0</v>
      </c>
      <c r="AN60" s="213">
        <f t="shared" si="33"/>
        <v>0</v>
      </c>
      <c r="AO60" s="214">
        <f t="shared" si="19"/>
        <v>225</v>
      </c>
    </row>
    <row r="61" spans="1:41" ht="15.6">
      <c r="A61" s="54" t="s">
        <v>189</v>
      </c>
      <c r="B61" s="43" t="s">
        <v>190</v>
      </c>
      <c r="C61" s="43" t="s">
        <v>38</v>
      </c>
      <c r="D61" s="7">
        <v>4.4000000000000004</v>
      </c>
      <c r="E61" s="225">
        <v>5</v>
      </c>
      <c r="F61" s="321">
        <v>0</v>
      </c>
      <c r="G61" s="225">
        <v>0</v>
      </c>
      <c r="H61" s="225">
        <v>0</v>
      </c>
      <c r="I61" s="225">
        <v>0</v>
      </c>
      <c r="J61" s="225">
        <v>0</v>
      </c>
      <c r="K61" s="225">
        <v>0</v>
      </c>
      <c r="L61" s="225">
        <v>0</v>
      </c>
      <c r="M61" s="225">
        <v>0</v>
      </c>
      <c r="N61" s="225">
        <v>0</v>
      </c>
      <c r="O61" s="15">
        <v>0</v>
      </c>
      <c r="P61" s="225">
        <v>0</v>
      </c>
      <c r="Q61" s="225">
        <v>2.2000000000000002</v>
      </c>
      <c r="R61" s="225">
        <v>0</v>
      </c>
      <c r="S61" s="225">
        <v>0</v>
      </c>
      <c r="T61" s="225">
        <v>0</v>
      </c>
      <c r="U61" s="225">
        <v>0</v>
      </c>
      <c r="V61" s="225">
        <v>0</v>
      </c>
      <c r="W61" s="225">
        <v>0</v>
      </c>
      <c r="X61" s="225">
        <v>0</v>
      </c>
      <c r="Y61" s="225">
        <v>0</v>
      </c>
      <c r="Z61" s="321">
        <v>0</v>
      </c>
      <c r="AA61" s="225">
        <v>0</v>
      </c>
      <c r="AB61" s="225">
        <v>0</v>
      </c>
      <c r="AC61" s="225">
        <v>0</v>
      </c>
      <c r="AD61" s="225">
        <v>0</v>
      </c>
      <c r="AE61" s="225">
        <v>0</v>
      </c>
      <c r="AF61" s="225">
        <v>0</v>
      </c>
      <c r="AG61" s="225">
        <v>0</v>
      </c>
      <c r="AH61" s="225">
        <v>0</v>
      </c>
      <c r="AI61" s="208">
        <v>11.600000000000001</v>
      </c>
      <c r="AJ61" s="209">
        <v>0</v>
      </c>
      <c r="AK61" s="210">
        <v>0</v>
      </c>
      <c r="AL61" s="211">
        <f t="shared" ref="AL61:AL65" si="34">AI61*$H$3</f>
        <v>2900.0000000000005</v>
      </c>
      <c r="AM61" s="212">
        <f t="shared" ref="AM61:AM65" si="35">AJ61*$I$3</f>
        <v>0</v>
      </c>
      <c r="AN61" s="213">
        <f t="shared" si="33"/>
        <v>0</v>
      </c>
      <c r="AO61" s="214">
        <f t="shared" ref="AO61:AO65" si="36">AL61+AM61+AN61</f>
        <v>2900.0000000000005</v>
      </c>
    </row>
    <row r="62" spans="1:41" ht="15.6">
      <c r="A62" s="54" t="s">
        <v>344</v>
      </c>
      <c r="B62" s="43" t="s">
        <v>345</v>
      </c>
      <c r="C62" s="43" t="s">
        <v>38</v>
      </c>
      <c r="D62" s="7">
        <v>0</v>
      </c>
      <c r="E62" s="225">
        <v>0</v>
      </c>
      <c r="F62" s="321">
        <v>0</v>
      </c>
      <c r="G62" s="225">
        <v>0</v>
      </c>
      <c r="H62" s="225">
        <v>0</v>
      </c>
      <c r="I62" s="225">
        <v>0</v>
      </c>
      <c r="J62" s="225">
        <v>0</v>
      </c>
      <c r="K62" s="225">
        <v>0</v>
      </c>
      <c r="L62" s="225">
        <v>0</v>
      </c>
      <c r="M62" s="225">
        <v>0</v>
      </c>
      <c r="N62" s="225">
        <v>0</v>
      </c>
      <c r="O62" s="15">
        <v>0</v>
      </c>
      <c r="P62" s="225">
        <v>0</v>
      </c>
      <c r="Q62" s="225">
        <v>0</v>
      </c>
      <c r="R62" s="225">
        <v>0</v>
      </c>
      <c r="S62" s="225">
        <v>0</v>
      </c>
      <c r="T62" s="225">
        <v>0</v>
      </c>
      <c r="U62" s="225">
        <v>0</v>
      </c>
      <c r="V62" s="225">
        <v>0</v>
      </c>
      <c r="W62" s="225">
        <v>0</v>
      </c>
      <c r="X62" s="225">
        <v>0</v>
      </c>
      <c r="Y62" s="225">
        <v>0</v>
      </c>
      <c r="Z62" s="321">
        <v>0</v>
      </c>
      <c r="AA62" s="225">
        <v>0</v>
      </c>
      <c r="AB62" s="225">
        <v>0</v>
      </c>
      <c r="AC62" s="225">
        <v>0</v>
      </c>
      <c r="AD62" s="225">
        <v>0</v>
      </c>
      <c r="AE62" s="225">
        <v>0</v>
      </c>
      <c r="AF62" s="225">
        <v>0</v>
      </c>
      <c r="AG62" s="225">
        <v>0</v>
      </c>
      <c r="AH62" s="225">
        <v>0</v>
      </c>
      <c r="AI62" s="208">
        <v>0</v>
      </c>
      <c r="AJ62" s="209">
        <v>0</v>
      </c>
      <c r="AK62" s="210">
        <v>0</v>
      </c>
      <c r="AL62" s="211">
        <f t="shared" si="34"/>
        <v>0</v>
      </c>
      <c r="AM62" s="212">
        <f t="shared" si="35"/>
        <v>0</v>
      </c>
      <c r="AN62" s="213">
        <f t="shared" si="33"/>
        <v>0</v>
      </c>
      <c r="AO62" s="214">
        <f t="shared" si="36"/>
        <v>0</v>
      </c>
    </row>
    <row r="63" spans="1:41" ht="15.6">
      <c r="A63" s="54" t="s">
        <v>191</v>
      </c>
      <c r="B63" s="43" t="s">
        <v>192</v>
      </c>
      <c r="C63" s="43" t="s">
        <v>38</v>
      </c>
      <c r="D63" s="7">
        <v>0</v>
      </c>
      <c r="E63" s="225">
        <v>0</v>
      </c>
      <c r="F63" s="321">
        <v>0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5">
        <v>0</v>
      </c>
      <c r="O63" s="15">
        <v>0</v>
      </c>
      <c r="P63" s="225">
        <v>0</v>
      </c>
      <c r="Q63" s="225">
        <v>0</v>
      </c>
      <c r="R63" s="225">
        <v>0</v>
      </c>
      <c r="S63" s="225">
        <v>0</v>
      </c>
      <c r="T63" s="225">
        <v>0</v>
      </c>
      <c r="U63" s="225">
        <v>0</v>
      </c>
      <c r="V63" s="225">
        <v>0</v>
      </c>
      <c r="W63" s="225">
        <v>0</v>
      </c>
      <c r="X63" s="225">
        <v>0</v>
      </c>
      <c r="Y63" s="225">
        <v>0</v>
      </c>
      <c r="Z63" s="321">
        <v>0</v>
      </c>
      <c r="AA63" s="225">
        <v>0</v>
      </c>
      <c r="AB63" s="225">
        <v>0</v>
      </c>
      <c r="AC63" s="225">
        <v>0</v>
      </c>
      <c r="AD63" s="225">
        <v>0</v>
      </c>
      <c r="AE63" s="225">
        <v>0</v>
      </c>
      <c r="AF63" s="225">
        <v>0</v>
      </c>
      <c r="AG63" s="225">
        <v>0</v>
      </c>
      <c r="AH63" s="225">
        <v>0</v>
      </c>
      <c r="AI63" s="208">
        <v>0</v>
      </c>
      <c r="AJ63" s="209">
        <v>0</v>
      </c>
      <c r="AK63" s="210">
        <v>0</v>
      </c>
      <c r="AL63" s="211">
        <f t="shared" si="34"/>
        <v>0</v>
      </c>
      <c r="AM63" s="212">
        <f t="shared" si="35"/>
        <v>0</v>
      </c>
      <c r="AN63" s="213">
        <f t="shared" si="33"/>
        <v>0</v>
      </c>
      <c r="AO63" s="214">
        <f t="shared" si="36"/>
        <v>0</v>
      </c>
    </row>
    <row r="64" spans="1:41" ht="15.6">
      <c r="A64" s="54" t="s">
        <v>254</v>
      </c>
      <c r="B64" s="43" t="s">
        <v>255</v>
      </c>
      <c r="C64" s="43" t="s">
        <v>110</v>
      </c>
      <c r="D64" s="7">
        <v>0.6</v>
      </c>
      <c r="E64" s="225">
        <v>0</v>
      </c>
      <c r="F64" s="321">
        <v>0</v>
      </c>
      <c r="G64" s="225">
        <v>0</v>
      </c>
      <c r="H64" s="225">
        <v>0</v>
      </c>
      <c r="I64" s="225">
        <v>0</v>
      </c>
      <c r="J64" s="225">
        <v>0</v>
      </c>
      <c r="K64" s="225">
        <v>0</v>
      </c>
      <c r="L64" s="225">
        <v>0</v>
      </c>
      <c r="M64" s="225">
        <v>0</v>
      </c>
      <c r="N64" s="225">
        <v>0</v>
      </c>
      <c r="O64" s="15">
        <v>0</v>
      </c>
      <c r="P64" s="225">
        <v>0</v>
      </c>
      <c r="Q64" s="225">
        <v>0</v>
      </c>
      <c r="R64" s="225">
        <v>0</v>
      </c>
      <c r="S64" s="225">
        <v>0</v>
      </c>
      <c r="T64" s="225">
        <v>0</v>
      </c>
      <c r="U64" s="225">
        <v>0</v>
      </c>
      <c r="V64" s="225">
        <v>0</v>
      </c>
      <c r="W64" s="225">
        <v>0</v>
      </c>
      <c r="X64" s="225">
        <v>0</v>
      </c>
      <c r="Y64" s="225">
        <v>0</v>
      </c>
      <c r="Z64" s="321">
        <v>0</v>
      </c>
      <c r="AA64" s="225">
        <v>0</v>
      </c>
      <c r="AB64" s="225">
        <v>0</v>
      </c>
      <c r="AC64" s="225">
        <v>0</v>
      </c>
      <c r="AD64" s="225">
        <v>0</v>
      </c>
      <c r="AE64" s="225">
        <v>0</v>
      </c>
      <c r="AF64" s="225">
        <v>0</v>
      </c>
      <c r="AG64" s="225">
        <v>0</v>
      </c>
      <c r="AH64" s="225">
        <v>0</v>
      </c>
      <c r="AI64" s="208">
        <v>0.6</v>
      </c>
      <c r="AJ64" s="209">
        <v>0</v>
      </c>
      <c r="AK64" s="210">
        <v>0</v>
      </c>
      <c r="AL64" s="211">
        <f t="shared" si="34"/>
        <v>150</v>
      </c>
      <c r="AM64" s="212">
        <f t="shared" si="35"/>
        <v>0</v>
      </c>
      <c r="AN64" s="213">
        <f>AK64*$V$3</f>
        <v>0</v>
      </c>
      <c r="AO64" s="214">
        <f t="shared" si="36"/>
        <v>150</v>
      </c>
    </row>
    <row r="65" spans="1:41" ht="15.6">
      <c r="A65" s="54" t="s">
        <v>469</v>
      </c>
      <c r="B65" s="43" t="s">
        <v>470</v>
      </c>
      <c r="C65" s="43" t="s">
        <v>38</v>
      </c>
      <c r="D65" s="7">
        <v>0</v>
      </c>
      <c r="E65" s="225">
        <v>0</v>
      </c>
      <c r="F65" s="321">
        <v>0</v>
      </c>
      <c r="G65" s="225">
        <v>0</v>
      </c>
      <c r="H65" s="225">
        <v>0</v>
      </c>
      <c r="I65" s="225">
        <v>0</v>
      </c>
      <c r="J65" s="225">
        <v>0</v>
      </c>
      <c r="K65" s="225">
        <v>0</v>
      </c>
      <c r="L65" s="225">
        <v>0</v>
      </c>
      <c r="M65" s="225">
        <v>0</v>
      </c>
      <c r="N65" s="225">
        <v>0</v>
      </c>
      <c r="O65" s="15">
        <v>0</v>
      </c>
      <c r="P65" s="225">
        <v>0</v>
      </c>
      <c r="Q65" s="225">
        <v>0</v>
      </c>
      <c r="R65" s="225">
        <v>0</v>
      </c>
      <c r="S65" s="225">
        <v>0</v>
      </c>
      <c r="T65" s="225">
        <v>0</v>
      </c>
      <c r="U65" s="225">
        <v>0</v>
      </c>
      <c r="V65" s="225">
        <v>0</v>
      </c>
      <c r="W65" s="225">
        <v>0</v>
      </c>
      <c r="X65" s="225">
        <v>0</v>
      </c>
      <c r="Y65" s="225">
        <v>0</v>
      </c>
      <c r="Z65" s="321">
        <v>0</v>
      </c>
      <c r="AA65" s="225">
        <v>0</v>
      </c>
      <c r="AB65" s="225">
        <v>0</v>
      </c>
      <c r="AC65" s="225">
        <v>0</v>
      </c>
      <c r="AD65" s="225">
        <v>0</v>
      </c>
      <c r="AE65" s="225">
        <v>0</v>
      </c>
      <c r="AF65" s="225">
        <v>0</v>
      </c>
      <c r="AG65" s="225">
        <v>0</v>
      </c>
      <c r="AH65" s="225">
        <v>0</v>
      </c>
      <c r="AI65" s="208">
        <v>0</v>
      </c>
      <c r="AJ65" s="209">
        <v>0</v>
      </c>
      <c r="AK65" s="210">
        <v>0</v>
      </c>
      <c r="AL65" s="211">
        <f t="shared" si="34"/>
        <v>0</v>
      </c>
      <c r="AM65" s="212">
        <f t="shared" si="35"/>
        <v>0</v>
      </c>
      <c r="AN65" s="213">
        <f t="shared" ref="AN65:AN69" si="37">AK65*$R$3</f>
        <v>0</v>
      </c>
      <c r="AO65" s="214">
        <f t="shared" si="36"/>
        <v>0</v>
      </c>
    </row>
    <row r="66" spans="1:41" ht="15.6">
      <c r="A66" s="54" t="s">
        <v>194</v>
      </c>
      <c r="B66" s="43" t="s">
        <v>195</v>
      </c>
      <c r="C66" s="43" t="s">
        <v>38</v>
      </c>
      <c r="D66" s="7">
        <v>4.4000000000000004</v>
      </c>
      <c r="E66" s="225">
        <v>5</v>
      </c>
      <c r="F66" s="321">
        <v>0</v>
      </c>
      <c r="G66" s="225">
        <v>0</v>
      </c>
      <c r="H66" s="225">
        <v>0</v>
      </c>
      <c r="I66" s="225">
        <v>0</v>
      </c>
      <c r="J66" s="225">
        <v>0</v>
      </c>
      <c r="K66" s="225">
        <v>0</v>
      </c>
      <c r="L66" s="225">
        <v>0</v>
      </c>
      <c r="M66" s="225">
        <v>0</v>
      </c>
      <c r="N66" s="225">
        <v>0</v>
      </c>
      <c r="O66" s="15">
        <v>0</v>
      </c>
      <c r="P66" s="225">
        <v>0</v>
      </c>
      <c r="Q66" s="225">
        <v>0</v>
      </c>
      <c r="R66" s="225">
        <v>0</v>
      </c>
      <c r="S66" s="225">
        <v>0</v>
      </c>
      <c r="T66" s="225">
        <v>0</v>
      </c>
      <c r="U66" s="225">
        <v>0</v>
      </c>
      <c r="V66" s="225">
        <v>0</v>
      </c>
      <c r="W66" s="225">
        <v>0</v>
      </c>
      <c r="X66" s="225">
        <v>0</v>
      </c>
      <c r="Y66" s="225">
        <v>0</v>
      </c>
      <c r="Z66" s="321">
        <v>0</v>
      </c>
      <c r="AA66" s="225">
        <v>0</v>
      </c>
      <c r="AB66" s="225">
        <v>0</v>
      </c>
      <c r="AC66" s="225">
        <v>0</v>
      </c>
      <c r="AD66" s="225">
        <v>0</v>
      </c>
      <c r="AE66" s="225">
        <v>0</v>
      </c>
      <c r="AF66" s="225">
        <v>0</v>
      </c>
      <c r="AG66" s="225">
        <v>0</v>
      </c>
      <c r="AH66" s="225">
        <v>0</v>
      </c>
      <c r="AI66" s="208">
        <v>9.4</v>
      </c>
      <c r="AJ66" s="209">
        <v>0</v>
      </c>
      <c r="AK66" s="210">
        <v>0</v>
      </c>
      <c r="AL66" s="211">
        <f t="shared" ref="AL66:AL67" si="38">AI66*$M$3</f>
        <v>3525</v>
      </c>
      <c r="AM66" s="212">
        <f t="shared" ref="AM66:AM67" si="39">AJ66*$N$3</f>
        <v>0</v>
      </c>
      <c r="AN66" s="213">
        <f t="shared" si="37"/>
        <v>0</v>
      </c>
      <c r="AO66" s="214">
        <f t="shared" si="19"/>
        <v>3525</v>
      </c>
    </row>
    <row r="67" spans="1:41" ht="15.6">
      <c r="A67" s="54" t="s">
        <v>197</v>
      </c>
      <c r="B67" s="43" t="s">
        <v>198</v>
      </c>
      <c r="C67" s="43" t="s">
        <v>38</v>
      </c>
      <c r="D67" s="7">
        <v>0</v>
      </c>
      <c r="E67" s="225">
        <v>0</v>
      </c>
      <c r="F67" s="321">
        <v>0</v>
      </c>
      <c r="G67" s="225">
        <v>0</v>
      </c>
      <c r="H67" s="225">
        <v>0</v>
      </c>
      <c r="I67" s="225">
        <v>0</v>
      </c>
      <c r="J67" s="225">
        <v>0</v>
      </c>
      <c r="K67" s="225">
        <v>0</v>
      </c>
      <c r="L67" s="225">
        <v>0</v>
      </c>
      <c r="M67" s="225">
        <v>0</v>
      </c>
      <c r="N67" s="225">
        <v>0</v>
      </c>
      <c r="O67" s="15">
        <v>0</v>
      </c>
      <c r="P67" s="225">
        <v>0</v>
      </c>
      <c r="Q67" s="225">
        <v>0</v>
      </c>
      <c r="R67" s="225">
        <v>0</v>
      </c>
      <c r="S67" s="225">
        <v>0</v>
      </c>
      <c r="T67" s="225">
        <v>0</v>
      </c>
      <c r="U67" s="225">
        <v>0</v>
      </c>
      <c r="V67" s="225">
        <v>0</v>
      </c>
      <c r="W67" s="225">
        <v>0</v>
      </c>
      <c r="X67" s="225">
        <v>0</v>
      </c>
      <c r="Y67" s="225">
        <v>0</v>
      </c>
      <c r="Z67" s="321">
        <v>0</v>
      </c>
      <c r="AA67" s="225">
        <v>0</v>
      </c>
      <c r="AB67" s="225">
        <v>0</v>
      </c>
      <c r="AC67" s="225">
        <v>0</v>
      </c>
      <c r="AD67" s="225">
        <v>0</v>
      </c>
      <c r="AE67" s="225">
        <v>0</v>
      </c>
      <c r="AF67" s="225">
        <v>0</v>
      </c>
      <c r="AG67" s="225">
        <v>0</v>
      </c>
      <c r="AH67" s="225">
        <v>0</v>
      </c>
      <c r="AI67" s="208">
        <v>0</v>
      </c>
      <c r="AJ67" s="209">
        <v>0</v>
      </c>
      <c r="AK67" s="210">
        <v>0</v>
      </c>
      <c r="AL67" s="211">
        <f t="shared" si="38"/>
        <v>0</v>
      </c>
      <c r="AM67" s="212">
        <f t="shared" si="39"/>
        <v>0</v>
      </c>
      <c r="AN67" s="213">
        <f t="shared" si="37"/>
        <v>0</v>
      </c>
      <c r="AO67" s="214">
        <f t="shared" si="19"/>
        <v>0</v>
      </c>
    </row>
    <row r="68" spans="1:41" ht="15.6">
      <c r="A68" s="54" t="s">
        <v>199</v>
      </c>
      <c r="B68" s="43" t="s">
        <v>200</v>
      </c>
      <c r="C68" s="43" t="s">
        <v>38</v>
      </c>
      <c r="D68" s="7">
        <v>0</v>
      </c>
      <c r="E68" s="225">
        <v>0</v>
      </c>
      <c r="F68" s="321">
        <v>0</v>
      </c>
      <c r="G68" s="225">
        <v>0</v>
      </c>
      <c r="H68" s="225">
        <v>0</v>
      </c>
      <c r="I68" s="225">
        <v>0</v>
      </c>
      <c r="J68" s="225">
        <v>0</v>
      </c>
      <c r="K68" s="225">
        <v>0</v>
      </c>
      <c r="L68" s="225">
        <v>0</v>
      </c>
      <c r="M68" s="225">
        <v>0</v>
      </c>
      <c r="N68" s="225">
        <v>0</v>
      </c>
      <c r="O68" s="15">
        <v>0</v>
      </c>
      <c r="P68" s="225">
        <v>0</v>
      </c>
      <c r="Q68" s="225">
        <v>0</v>
      </c>
      <c r="R68" s="225">
        <v>0</v>
      </c>
      <c r="S68" s="225">
        <v>0</v>
      </c>
      <c r="T68" s="225">
        <v>0</v>
      </c>
      <c r="U68" s="225">
        <v>0</v>
      </c>
      <c r="V68" s="225">
        <v>0</v>
      </c>
      <c r="W68" s="225">
        <v>0</v>
      </c>
      <c r="X68" s="225">
        <v>0</v>
      </c>
      <c r="Y68" s="225">
        <v>0</v>
      </c>
      <c r="Z68" s="321">
        <v>0</v>
      </c>
      <c r="AA68" s="225">
        <v>0</v>
      </c>
      <c r="AB68" s="225">
        <v>0</v>
      </c>
      <c r="AC68" s="225">
        <v>0</v>
      </c>
      <c r="AD68" s="225">
        <v>0</v>
      </c>
      <c r="AE68" s="225">
        <v>0</v>
      </c>
      <c r="AF68" s="225">
        <v>0</v>
      </c>
      <c r="AG68" s="225">
        <v>0</v>
      </c>
      <c r="AH68" s="225">
        <v>0</v>
      </c>
      <c r="AI68" s="208">
        <v>0</v>
      </c>
      <c r="AJ68" s="209">
        <v>0</v>
      </c>
      <c r="AK68" s="210">
        <v>0</v>
      </c>
      <c r="AL68" s="211">
        <f>AI68*$H$3</f>
        <v>0</v>
      </c>
      <c r="AM68" s="212">
        <f>AJ68*$I$3</f>
        <v>0</v>
      </c>
      <c r="AN68" s="213">
        <f t="shared" si="37"/>
        <v>0</v>
      </c>
      <c r="AO68" s="214">
        <f t="shared" ref="AO68" si="40">AL68+AM68+AN68</f>
        <v>0</v>
      </c>
    </row>
    <row r="69" spans="1:41" ht="15.6">
      <c r="A69" s="54" t="s">
        <v>202</v>
      </c>
      <c r="B69" s="43" t="s">
        <v>203</v>
      </c>
      <c r="C69" s="43" t="s">
        <v>38</v>
      </c>
      <c r="D69" s="7">
        <v>4.4000000000000004</v>
      </c>
      <c r="E69" s="225">
        <v>5</v>
      </c>
      <c r="F69" s="321">
        <v>0</v>
      </c>
      <c r="G69" s="225">
        <v>0</v>
      </c>
      <c r="H69" s="225">
        <v>0</v>
      </c>
      <c r="I69" s="225">
        <v>0</v>
      </c>
      <c r="J69" s="225">
        <v>0</v>
      </c>
      <c r="K69" s="225">
        <v>0</v>
      </c>
      <c r="L69" s="225">
        <v>0</v>
      </c>
      <c r="M69" s="225">
        <v>0</v>
      </c>
      <c r="N69" s="225">
        <v>0</v>
      </c>
      <c r="O69" s="15">
        <v>0</v>
      </c>
      <c r="P69" s="225">
        <v>0</v>
      </c>
      <c r="Q69" s="225">
        <v>0</v>
      </c>
      <c r="R69" s="225">
        <v>0</v>
      </c>
      <c r="S69" s="225">
        <v>0</v>
      </c>
      <c r="T69" s="225">
        <v>0</v>
      </c>
      <c r="U69" s="225">
        <v>0</v>
      </c>
      <c r="V69" s="225">
        <v>0</v>
      </c>
      <c r="W69" s="225">
        <v>0</v>
      </c>
      <c r="X69" s="225">
        <v>0</v>
      </c>
      <c r="Y69" s="225">
        <v>0</v>
      </c>
      <c r="Z69" s="321">
        <v>0</v>
      </c>
      <c r="AA69" s="225">
        <v>0</v>
      </c>
      <c r="AB69" s="225">
        <v>0</v>
      </c>
      <c r="AC69" s="225">
        <v>0</v>
      </c>
      <c r="AD69" s="225">
        <v>0</v>
      </c>
      <c r="AE69" s="225">
        <v>0</v>
      </c>
      <c r="AF69" s="225">
        <v>0</v>
      </c>
      <c r="AG69" s="225">
        <v>0</v>
      </c>
      <c r="AH69" s="225">
        <v>0</v>
      </c>
      <c r="AI69" s="208">
        <v>9.4</v>
      </c>
      <c r="AJ69" s="209">
        <v>0</v>
      </c>
      <c r="AK69" s="210">
        <v>0</v>
      </c>
      <c r="AL69" s="211">
        <f t="shared" ref="AL69:AL71" si="41">AI69*$M$3</f>
        <v>3525</v>
      </c>
      <c r="AM69" s="212">
        <f t="shared" ref="AM69:AM71" si="42">AJ69*$N$3</f>
        <v>0</v>
      </c>
      <c r="AN69" s="213">
        <f t="shared" si="37"/>
        <v>0</v>
      </c>
      <c r="AO69" s="214">
        <f t="shared" si="19"/>
        <v>3525</v>
      </c>
    </row>
    <row r="70" spans="1:41" ht="15.6">
      <c r="A70" s="54" t="s">
        <v>256</v>
      </c>
      <c r="B70" s="43" t="s">
        <v>257</v>
      </c>
      <c r="C70" s="43" t="s">
        <v>110</v>
      </c>
      <c r="D70" s="7">
        <v>3.7</v>
      </c>
      <c r="E70" s="225">
        <v>0</v>
      </c>
      <c r="F70" s="321">
        <v>0</v>
      </c>
      <c r="G70" s="225">
        <v>0</v>
      </c>
      <c r="H70" s="225">
        <v>0</v>
      </c>
      <c r="I70" s="225">
        <v>0</v>
      </c>
      <c r="J70" s="225">
        <v>0</v>
      </c>
      <c r="K70" s="225">
        <v>0</v>
      </c>
      <c r="L70" s="225">
        <v>0</v>
      </c>
      <c r="M70" s="225">
        <v>0</v>
      </c>
      <c r="N70" s="225">
        <v>0</v>
      </c>
      <c r="O70" s="15">
        <v>0</v>
      </c>
      <c r="P70" s="225">
        <v>0</v>
      </c>
      <c r="Q70" s="225">
        <v>0</v>
      </c>
      <c r="R70" s="225">
        <v>0</v>
      </c>
      <c r="S70" s="225">
        <v>0</v>
      </c>
      <c r="T70" s="225">
        <v>0</v>
      </c>
      <c r="U70" s="225">
        <v>0</v>
      </c>
      <c r="V70" s="225">
        <v>0</v>
      </c>
      <c r="W70" s="225">
        <v>0</v>
      </c>
      <c r="X70" s="225">
        <v>0</v>
      </c>
      <c r="Y70" s="225">
        <v>0</v>
      </c>
      <c r="Z70" s="321">
        <v>0</v>
      </c>
      <c r="AA70" s="225">
        <v>0</v>
      </c>
      <c r="AB70" s="225">
        <v>0</v>
      </c>
      <c r="AC70" s="225">
        <v>0</v>
      </c>
      <c r="AD70" s="225">
        <v>0</v>
      </c>
      <c r="AE70" s="225">
        <v>0</v>
      </c>
      <c r="AF70" s="225">
        <v>0</v>
      </c>
      <c r="AG70" s="225">
        <v>0</v>
      </c>
      <c r="AH70" s="225">
        <v>0</v>
      </c>
      <c r="AI70" s="208">
        <v>3.7</v>
      </c>
      <c r="AJ70" s="209">
        <v>0</v>
      </c>
      <c r="AK70" s="210">
        <v>0</v>
      </c>
      <c r="AL70" s="211">
        <f t="shared" si="41"/>
        <v>1387.5</v>
      </c>
      <c r="AM70" s="212">
        <f t="shared" si="42"/>
        <v>0</v>
      </c>
      <c r="AN70" s="213">
        <f t="shared" ref="AN70:AN71" si="43">AK70*$V$3</f>
        <v>0</v>
      </c>
      <c r="AO70" s="214">
        <f t="shared" si="19"/>
        <v>1387.5</v>
      </c>
    </row>
    <row r="71" spans="1:41" ht="15.6">
      <c r="A71" s="54" t="s">
        <v>258</v>
      </c>
      <c r="B71" s="43" t="s">
        <v>259</v>
      </c>
      <c r="C71" s="43" t="s">
        <v>110</v>
      </c>
      <c r="D71" s="7">
        <v>0</v>
      </c>
      <c r="E71" s="225">
        <v>0</v>
      </c>
      <c r="F71" s="321">
        <v>0</v>
      </c>
      <c r="G71" s="225">
        <v>0</v>
      </c>
      <c r="H71" s="225">
        <v>0</v>
      </c>
      <c r="I71" s="225">
        <v>0</v>
      </c>
      <c r="J71" s="225">
        <v>0</v>
      </c>
      <c r="K71" s="225">
        <v>0</v>
      </c>
      <c r="L71" s="225">
        <v>0</v>
      </c>
      <c r="M71" s="225">
        <v>0</v>
      </c>
      <c r="N71" s="225">
        <v>0</v>
      </c>
      <c r="O71" s="15">
        <v>0</v>
      </c>
      <c r="P71" s="225">
        <v>0</v>
      </c>
      <c r="Q71" s="225">
        <v>0.5</v>
      </c>
      <c r="R71" s="225">
        <v>0.8</v>
      </c>
      <c r="S71" s="225">
        <v>0</v>
      </c>
      <c r="T71" s="225">
        <v>0</v>
      </c>
      <c r="U71" s="225">
        <v>0</v>
      </c>
      <c r="V71" s="225">
        <v>0</v>
      </c>
      <c r="W71" s="225">
        <v>0</v>
      </c>
      <c r="X71" s="225">
        <v>0</v>
      </c>
      <c r="Y71" s="225">
        <v>0</v>
      </c>
      <c r="Z71" s="321">
        <v>0</v>
      </c>
      <c r="AA71" s="225">
        <v>0</v>
      </c>
      <c r="AB71" s="225">
        <v>0</v>
      </c>
      <c r="AC71" s="225">
        <v>0</v>
      </c>
      <c r="AD71" s="225">
        <v>0</v>
      </c>
      <c r="AE71" s="225">
        <v>0</v>
      </c>
      <c r="AF71" s="225">
        <v>0</v>
      </c>
      <c r="AG71" s="225">
        <v>0</v>
      </c>
      <c r="AH71" s="225">
        <v>0</v>
      </c>
      <c r="AI71" s="208">
        <v>1.3</v>
      </c>
      <c r="AJ71" s="209">
        <v>0</v>
      </c>
      <c r="AK71" s="210">
        <v>0</v>
      </c>
      <c r="AL71" s="211">
        <f t="shared" si="41"/>
        <v>487.5</v>
      </c>
      <c r="AM71" s="212">
        <f t="shared" si="42"/>
        <v>0</v>
      </c>
      <c r="AN71" s="213">
        <f t="shared" si="43"/>
        <v>0</v>
      </c>
      <c r="AO71" s="214">
        <f t="shared" si="19"/>
        <v>487.5</v>
      </c>
    </row>
    <row r="72" spans="1:41" ht="15.6">
      <c r="A72" s="54" t="s">
        <v>471</v>
      </c>
      <c r="B72" s="43" t="s">
        <v>472</v>
      </c>
      <c r="C72" s="43" t="s">
        <v>38</v>
      </c>
      <c r="D72" s="7">
        <v>0</v>
      </c>
      <c r="E72" s="225">
        <v>0</v>
      </c>
      <c r="F72" s="321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1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X72" s="225">
        <v>0</v>
      </c>
      <c r="Y72" s="225">
        <v>0</v>
      </c>
      <c r="Z72" s="321">
        <v>0</v>
      </c>
      <c r="AA72" s="225">
        <v>0</v>
      </c>
      <c r="AB72" s="225">
        <v>0</v>
      </c>
      <c r="AC72" s="225">
        <v>0</v>
      </c>
      <c r="AD72" s="225">
        <v>0</v>
      </c>
      <c r="AE72" s="225">
        <v>0</v>
      </c>
      <c r="AF72" s="225">
        <v>0</v>
      </c>
      <c r="AG72" s="225">
        <v>0</v>
      </c>
      <c r="AH72" s="225">
        <v>0</v>
      </c>
      <c r="AI72" s="208">
        <v>0</v>
      </c>
      <c r="AJ72" s="209">
        <v>0</v>
      </c>
      <c r="AK72" s="210">
        <v>0</v>
      </c>
      <c r="AL72" s="211">
        <f t="shared" ref="AL72:AL76" si="44">AI72*$H$3</f>
        <v>0</v>
      </c>
      <c r="AM72" s="212">
        <f t="shared" ref="AM72:AM76" si="45">AJ72*$I$3</f>
        <v>0</v>
      </c>
      <c r="AN72" s="213">
        <f>AK72*$R$3</f>
        <v>0</v>
      </c>
      <c r="AO72" s="214">
        <f t="shared" ref="AO72:AO76" si="46">AL72+AM72+AN72</f>
        <v>0</v>
      </c>
    </row>
    <row r="73" spans="1:41" ht="15.6">
      <c r="A73" s="54" t="s">
        <v>260</v>
      </c>
      <c r="B73" s="43" t="s">
        <v>261</v>
      </c>
      <c r="C73" s="43" t="s">
        <v>110</v>
      </c>
      <c r="D73" s="7">
        <v>0</v>
      </c>
      <c r="E73" s="225">
        <v>0</v>
      </c>
      <c r="F73" s="321">
        <v>0</v>
      </c>
      <c r="G73" s="225">
        <v>0</v>
      </c>
      <c r="H73" s="225">
        <v>0</v>
      </c>
      <c r="I73" s="225">
        <v>0</v>
      </c>
      <c r="J73" s="225">
        <v>0</v>
      </c>
      <c r="K73" s="225">
        <v>0</v>
      </c>
      <c r="L73" s="225">
        <v>0</v>
      </c>
      <c r="M73" s="225">
        <v>0</v>
      </c>
      <c r="N73" s="225">
        <v>0</v>
      </c>
      <c r="O73" s="15">
        <v>0</v>
      </c>
      <c r="P73" s="225">
        <v>0</v>
      </c>
      <c r="Q73" s="225">
        <v>0</v>
      </c>
      <c r="R73" s="225">
        <v>0</v>
      </c>
      <c r="S73" s="225">
        <v>0</v>
      </c>
      <c r="T73" s="225">
        <v>0</v>
      </c>
      <c r="U73" s="225">
        <v>0</v>
      </c>
      <c r="V73" s="225">
        <v>0</v>
      </c>
      <c r="W73" s="225">
        <v>0</v>
      </c>
      <c r="X73" s="225">
        <v>0</v>
      </c>
      <c r="Y73" s="461">
        <v>6</v>
      </c>
      <c r="Z73" s="321">
        <v>0</v>
      </c>
      <c r="AA73" s="225">
        <v>0</v>
      </c>
      <c r="AB73" s="225">
        <v>0</v>
      </c>
      <c r="AC73" s="225">
        <v>0</v>
      </c>
      <c r="AD73" s="225">
        <v>0</v>
      </c>
      <c r="AE73" s="225">
        <v>0</v>
      </c>
      <c r="AF73" s="225">
        <v>0</v>
      </c>
      <c r="AG73" s="225">
        <v>0</v>
      </c>
      <c r="AH73" s="225">
        <v>0</v>
      </c>
      <c r="AI73" s="208">
        <v>0</v>
      </c>
      <c r="AJ73" s="209">
        <v>0</v>
      </c>
      <c r="AK73" s="210">
        <v>6</v>
      </c>
      <c r="AL73" s="211">
        <f t="shared" si="44"/>
        <v>0</v>
      </c>
      <c r="AM73" s="212">
        <f t="shared" si="45"/>
        <v>0</v>
      </c>
      <c r="AN73" s="213">
        <f t="shared" ref="AN73:AN75" si="47">AK73*$V$3</f>
        <v>900</v>
      </c>
      <c r="AO73" s="214">
        <f t="shared" si="46"/>
        <v>900</v>
      </c>
    </row>
    <row r="74" spans="1:41" ht="15.6">
      <c r="A74" s="54" t="s">
        <v>262</v>
      </c>
      <c r="B74" s="43" t="s">
        <v>263</v>
      </c>
      <c r="C74" s="43" t="s">
        <v>110</v>
      </c>
      <c r="D74" s="7">
        <v>0</v>
      </c>
      <c r="E74" s="225">
        <v>0</v>
      </c>
      <c r="F74" s="321">
        <v>0</v>
      </c>
      <c r="G74" s="225">
        <v>0</v>
      </c>
      <c r="H74" s="225">
        <v>0</v>
      </c>
      <c r="I74" s="225">
        <v>0</v>
      </c>
      <c r="J74" s="225">
        <v>0</v>
      </c>
      <c r="K74" s="225">
        <v>0</v>
      </c>
      <c r="L74" s="225">
        <v>0</v>
      </c>
      <c r="M74" s="225">
        <v>0</v>
      </c>
      <c r="N74" s="225">
        <v>0</v>
      </c>
      <c r="O74" s="15">
        <v>0</v>
      </c>
      <c r="P74" s="225">
        <v>0</v>
      </c>
      <c r="Q74" s="225">
        <v>0.5</v>
      </c>
      <c r="R74" s="225">
        <v>0.8</v>
      </c>
      <c r="S74" s="225">
        <v>0</v>
      </c>
      <c r="T74" s="225">
        <v>0</v>
      </c>
      <c r="U74" s="225">
        <v>0</v>
      </c>
      <c r="V74" s="225">
        <v>0</v>
      </c>
      <c r="W74" s="225">
        <v>0</v>
      </c>
      <c r="X74" s="225">
        <v>0</v>
      </c>
      <c r="Y74" s="225">
        <v>0</v>
      </c>
      <c r="Z74" s="321">
        <v>0</v>
      </c>
      <c r="AA74" s="225">
        <v>0</v>
      </c>
      <c r="AB74" s="225">
        <v>0</v>
      </c>
      <c r="AC74" s="225">
        <v>0</v>
      </c>
      <c r="AD74" s="225">
        <v>0</v>
      </c>
      <c r="AE74" s="225">
        <v>0</v>
      </c>
      <c r="AF74" s="225">
        <v>0</v>
      </c>
      <c r="AG74" s="225">
        <v>0</v>
      </c>
      <c r="AH74" s="225">
        <v>0</v>
      </c>
      <c r="AI74" s="208">
        <v>1.3</v>
      </c>
      <c r="AJ74" s="209">
        <v>0</v>
      </c>
      <c r="AK74" s="210">
        <v>0</v>
      </c>
      <c r="AL74" s="211">
        <f t="shared" si="44"/>
        <v>325</v>
      </c>
      <c r="AM74" s="212">
        <f t="shared" si="45"/>
        <v>0</v>
      </c>
      <c r="AN74" s="213">
        <f t="shared" si="47"/>
        <v>0</v>
      </c>
      <c r="AO74" s="214">
        <f t="shared" si="46"/>
        <v>325</v>
      </c>
    </row>
    <row r="75" spans="1:41" ht="15.6">
      <c r="A75" s="54" t="s">
        <v>473</v>
      </c>
      <c r="B75" s="43" t="s">
        <v>474</v>
      </c>
      <c r="C75" s="43" t="s">
        <v>110</v>
      </c>
      <c r="D75" s="7">
        <v>0</v>
      </c>
      <c r="E75" s="225">
        <v>0</v>
      </c>
      <c r="F75" s="321">
        <v>0</v>
      </c>
      <c r="G75" s="225">
        <v>0</v>
      </c>
      <c r="H75" s="225">
        <v>0</v>
      </c>
      <c r="I75" s="225">
        <v>0</v>
      </c>
      <c r="J75" s="225">
        <v>0</v>
      </c>
      <c r="K75" s="225">
        <v>0</v>
      </c>
      <c r="L75" s="225">
        <v>0</v>
      </c>
      <c r="M75" s="225">
        <v>0</v>
      </c>
      <c r="N75" s="225">
        <v>0</v>
      </c>
      <c r="O75" s="15">
        <v>0</v>
      </c>
      <c r="P75" s="225">
        <v>0</v>
      </c>
      <c r="Q75" s="225">
        <v>0</v>
      </c>
      <c r="R75" s="225">
        <v>0</v>
      </c>
      <c r="S75" s="225">
        <v>0</v>
      </c>
      <c r="T75" s="225">
        <v>0</v>
      </c>
      <c r="U75" s="225">
        <v>0</v>
      </c>
      <c r="V75" s="225">
        <v>0</v>
      </c>
      <c r="W75" s="225">
        <v>0</v>
      </c>
      <c r="X75" s="225">
        <v>0</v>
      </c>
      <c r="Y75" s="225">
        <v>0</v>
      </c>
      <c r="Z75" s="321">
        <v>0</v>
      </c>
      <c r="AA75" s="225">
        <v>0</v>
      </c>
      <c r="AB75" s="225">
        <v>0</v>
      </c>
      <c r="AC75" s="225">
        <v>0</v>
      </c>
      <c r="AD75" s="225">
        <v>0</v>
      </c>
      <c r="AE75" s="225">
        <v>0</v>
      </c>
      <c r="AF75" s="225">
        <v>0</v>
      </c>
      <c r="AG75" s="225">
        <v>0</v>
      </c>
      <c r="AH75" s="225">
        <v>0</v>
      </c>
      <c r="AI75" s="208">
        <v>0</v>
      </c>
      <c r="AJ75" s="209">
        <v>0</v>
      </c>
      <c r="AK75" s="210">
        <v>0</v>
      </c>
      <c r="AL75" s="211">
        <f t="shared" si="44"/>
        <v>0</v>
      </c>
      <c r="AM75" s="212">
        <f t="shared" si="45"/>
        <v>0</v>
      </c>
      <c r="AN75" s="213">
        <f t="shared" si="47"/>
        <v>0</v>
      </c>
      <c r="AO75" s="214">
        <f t="shared" si="46"/>
        <v>0</v>
      </c>
    </row>
    <row r="76" spans="1:41" ht="15.6">
      <c r="A76" s="54" t="s">
        <v>204</v>
      </c>
      <c r="B76" s="43" t="s">
        <v>205</v>
      </c>
      <c r="C76" s="43" t="s">
        <v>38</v>
      </c>
      <c r="D76" s="7">
        <v>3.7</v>
      </c>
      <c r="E76" s="225">
        <v>0</v>
      </c>
      <c r="F76" s="321">
        <v>0</v>
      </c>
      <c r="G76" s="225">
        <v>0</v>
      </c>
      <c r="H76" s="225">
        <v>0</v>
      </c>
      <c r="I76" s="225">
        <v>0</v>
      </c>
      <c r="J76" s="225">
        <v>0</v>
      </c>
      <c r="K76" s="225">
        <v>0</v>
      </c>
      <c r="L76" s="225">
        <v>0</v>
      </c>
      <c r="M76" s="225">
        <v>0</v>
      </c>
      <c r="N76" s="225">
        <v>0</v>
      </c>
      <c r="O76" s="15">
        <v>0</v>
      </c>
      <c r="P76" s="225">
        <v>0</v>
      </c>
      <c r="Q76" s="225">
        <v>0</v>
      </c>
      <c r="R76" s="225">
        <v>0</v>
      </c>
      <c r="S76" s="225">
        <v>0</v>
      </c>
      <c r="T76" s="225">
        <v>0</v>
      </c>
      <c r="U76" s="225">
        <v>0</v>
      </c>
      <c r="V76" s="225">
        <v>0</v>
      </c>
      <c r="W76" s="225">
        <v>0</v>
      </c>
      <c r="X76" s="225">
        <v>0</v>
      </c>
      <c r="Y76" s="225">
        <v>0</v>
      </c>
      <c r="Z76" s="321">
        <v>0</v>
      </c>
      <c r="AA76" s="225">
        <v>0</v>
      </c>
      <c r="AB76" s="225">
        <v>0</v>
      </c>
      <c r="AC76" s="225">
        <v>0</v>
      </c>
      <c r="AD76" s="225">
        <v>0</v>
      </c>
      <c r="AE76" s="225">
        <v>0</v>
      </c>
      <c r="AF76" s="225">
        <v>0</v>
      </c>
      <c r="AG76" s="225">
        <v>0</v>
      </c>
      <c r="AH76" s="225">
        <v>0</v>
      </c>
      <c r="AI76" s="208">
        <v>3.7</v>
      </c>
      <c r="AJ76" s="209">
        <v>0</v>
      </c>
      <c r="AK76" s="210">
        <v>0</v>
      </c>
      <c r="AL76" s="211">
        <f t="shared" si="44"/>
        <v>925</v>
      </c>
      <c r="AM76" s="212">
        <f t="shared" si="45"/>
        <v>0</v>
      </c>
      <c r="AN76" s="213">
        <f t="shared" ref="AN76:AN80" si="48">AK76*$R$3</f>
        <v>0</v>
      </c>
      <c r="AO76" s="214">
        <f t="shared" si="46"/>
        <v>925</v>
      </c>
    </row>
    <row r="77" spans="1:41" ht="15.6">
      <c r="A77" s="54" t="s">
        <v>206</v>
      </c>
      <c r="B77" s="43" t="s">
        <v>207</v>
      </c>
      <c r="C77" s="43" t="s">
        <v>38</v>
      </c>
      <c r="D77" s="7">
        <v>0.6</v>
      </c>
      <c r="E77" s="225">
        <v>0</v>
      </c>
      <c r="F77" s="321">
        <v>0</v>
      </c>
      <c r="G77" s="225">
        <v>0</v>
      </c>
      <c r="H77" s="225">
        <v>0</v>
      </c>
      <c r="I77" s="225">
        <v>0</v>
      </c>
      <c r="J77" s="225">
        <v>0</v>
      </c>
      <c r="K77" s="225">
        <v>0</v>
      </c>
      <c r="L77" s="225">
        <v>0</v>
      </c>
      <c r="M77" s="225">
        <v>0</v>
      </c>
      <c r="N77" s="225">
        <v>0</v>
      </c>
      <c r="O77" s="15">
        <v>0</v>
      </c>
      <c r="P77" s="225">
        <v>0</v>
      </c>
      <c r="Q77" s="225">
        <v>0</v>
      </c>
      <c r="R77" s="225">
        <v>0</v>
      </c>
      <c r="S77" s="225">
        <v>0</v>
      </c>
      <c r="T77" s="225">
        <v>0</v>
      </c>
      <c r="U77" s="225">
        <v>0</v>
      </c>
      <c r="V77" s="225">
        <v>0</v>
      </c>
      <c r="W77" s="225">
        <v>0</v>
      </c>
      <c r="X77" s="225">
        <v>0</v>
      </c>
      <c r="Y77" s="225">
        <v>0</v>
      </c>
      <c r="Z77" s="321">
        <v>0</v>
      </c>
      <c r="AA77" s="225">
        <v>0</v>
      </c>
      <c r="AB77" s="225">
        <v>0</v>
      </c>
      <c r="AC77" s="225">
        <v>0</v>
      </c>
      <c r="AD77" s="225">
        <v>0</v>
      </c>
      <c r="AE77" s="225">
        <v>0</v>
      </c>
      <c r="AF77" s="225">
        <v>0</v>
      </c>
      <c r="AG77" s="225">
        <v>0</v>
      </c>
      <c r="AH77" s="225">
        <v>0</v>
      </c>
      <c r="AI77" s="208">
        <v>0.6</v>
      </c>
      <c r="AJ77" s="209">
        <v>0</v>
      </c>
      <c r="AK77" s="210">
        <v>0</v>
      </c>
      <c r="AL77" s="211">
        <f>AI77*$H$3</f>
        <v>150</v>
      </c>
      <c r="AM77" s="212">
        <f>AJ77*$N$3</f>
        <v>0</v>
      </c>
      <c r="AN77" s="213">
        <f t="shared" si="48"/>
        <v>0</v>
      </c>
      <c r="AO77" s="214">
        <f t="shared" ref="AO77:AO80" si="49">AL77+AM77+AN77</f>
        <v>150</v>
      </c>
    </row>
    <row r="78" spans="1:41" ht="15.6">
      <c r="A78" s="54" t="s">
        <v>208</v>
      </c>
      <c r="B78" s="43" t="s">
        <v>209</v>
      </c>
      <c r="C78" s="43" t="s">
        <v>38</v>
      </c>
      <c r="D78" s="7">
        <v>0</v>
      </c>
      <c r="E78" s="225">
        <v>0</v>
      </c>
      <c r="F78" s="321">
        <v>0</v>
      </c>
      <c r="G78" s="225">
        <v>0</v>
      </c>
      <c r="H78" s="225">
        <v>0</v>
      </c>
      <c r="I78" s="225">
        <v>0</v>
      </c>
      <c r="J78" s="225">
        <v>0</v>
      </c>
      <c r="K78" s="225">
        <v>0</v>
      </c>
      <c r="L78" s="225">
        <v>0</v>
      </c>
      <c r="M78" s="225">
        <v>0</v>
      </c>
      <c r="N78" s="225">
        <v>0</v>
      </c>
      <c r="O78" s="15">
        <v>0</v>
      </c>
      <c r="P78" s="225">
        <v>0</v>
      </c>
      <c r="Q78" s="225">
        <v>0.5</v>
      </c>
      <c r="R78" s="225">
        <v>0.8</v>
      </c>
      <c r="S78" s="225">
        <v>0</v>
      </c>
      <c r="T78" s="225">
        <v>0</v>
      </c>
      <c r="U78" s="225">
        <v>0</v>
      </c>
      <c r="V78" s="225">
        <v>0</v>
      </c>
      <c r="W78" s="225">
        <v>0</v>
      </c>
      <c r="X78" s="225">
        <v>0</v>
      </c>
      <c r="Y78" s="225">
        <v>0</v>
      </c>
      <c r="Z78" s="321">
        <v>0</v>
      </c>
      <c r="AA78" s="225">
        <v>0</v>
      </c>
      <c r="AB78" s="225">
        <v>0</v>
      </c>
      <c r="AC78" s="225">
        <v>0</v>
      </c>
      <c r="AD78" s="225">
        <v>0</v>
      </c>
      <c r="AE78" s="225">
        <v>0</v>
      </c>
      <c r="AF78" s="225">
        <v>0</v>
      </c>
      <c r="AG78" s="225">
        <v>0</v>
      </c>
      <c r="AH78" s="225">
        <v>0</v>
      </c>
      <c r="AI78" s="208">
        <v>1.3</v>
      </c>
      <c r="AJ78" s="209">
        <v>0</v>
      </c>
      <c r="AK78" s="210">
        <v>0</v>
      </c>
      <c r="AL78" s="211">
        <f t="shared" ref="AL78:AL85" si="50">AI78*$H$3</f>
        <v>325</v>
      </c>
      <c r="AM78" s="212">
        <f t="shared" ref="AM78:AM80" si="51">AJ78*$I$3</f>
        <v>0</v>
      </c>
      <c r="AN78" s="213">
        <f t="shared" si="48"/>
        <v>0</v>
      </c>
      <c r="AO78" s="214">
        <f t="shared" si="49"/>
        <v>325</v>
      </c>
    </row>
    <row r="79" spans="1:41" ht="15.6">
      <c r="A79" s="54" t="s">
        <v>210</v>
      </c>
      <c r="B79" s="43" t="s">
        <v>211</v>
      </c>
      <c r="C79" s="43" t="s">
        <v>38</v>
      </c>
      <c r="D79" s="7">
        <v>3.7</v>
      </c>
      <c r="E79" s="225">
        <v>0</v>
      </c>
      <c r="F79" s="321">
        <v>0</v>
      </c>
      <c r="G79" s="225">
        <v>0</v>
      </c>
      <c r="H79" s="225">
        <v>0</v>
      </c>
      <c r="I79" s="225">
        <v>0</v>
      </c>
      <c r="J79" s="225">
        <v>0</v>
      </c>
      <c r="K79" s="225">
        <v>0</v>
      </c>
      <c r="L79" s="225">
        <v>0</v>
      </c>
      <c r="M79" s="225">
        <v>0</v>
      </c>
      <c r="N79" s="225">
        <v>0</v>
      </c>
      <c r="O79" s="15">
        <v>0</v>
      </c>
      <c r="P79" s="225">
        <v>0</v>
      </c>
      <c r="Q79" s="225">
        <v>2.2000000000000002</v>
      </c>
      <c r="R79" s="225">
        <v>0</v>
      </c>
      <c r="S79" s="225">
        <v>0</v>
      </c>
      <c r="T79" s="225">
        <v>0</v>
      </c>
      <c r="U79" s="225">
        <v>0</v>
      </c>
      <c r="V79" s="225">
        <v>0</v>
      </c>
      <c r="W79" s="225">
        <v>0</v>
      </c>
      <c r="X79" s="225">
        <v>0</v>
      </c>
      <c r="Y79" s="225">
        <v>0</v>
      </c>
      <c r="Z79" s="321">
        <v>0</v>
      </c>
      <c r="AA79" s="225">
        <v>0</v>
      </c>
      <c r="AB79" s="225">
        <v>0</v>
      </c>
      <c r="AC79" s="225">
        <v>0</v>
      </c>
      <c r="AD79" s="225">
        <v>0</v>
      </c>
      <c r="AE79" s="225">
        <v>0</v>
      </c>
      <c r="AF79" s="225">
        <v>0</v>
      </c>
      <c r="AG79" s="225">
        <v>0</v>
      </c>
      <c r="AH79" s="225">
        <v>0</v>
      </c>
      <c r="AI79" s="208">
        <v>5.9</v>
      </c>
      <c r="AJ79" s="209">
        <v>0</v>
      </c>
      <c r="AK79" s="210">
        <v>0</v>
      </c>
      <c r="AL79" s="211">
        <f t="shared" si="50"/>
        <v>1475</v>
      </c>
      <c r="AM79" s="212">
        <f t="shared" si="51"/>
        <v>0</v>
      </c>
      <c r="AN79" s="213">
        <f t="shared" si="48"/>
        <v>0</v>
      </c>
      <c r="AO79" s="214">
        <f t="shared" si="49"/>
        <v>1475</v>
      </c>
    </row>
    <row r="80" spans="1:41" ht="15.6">
      <c r="A80" s="54" t="s">
        <v>165</v>
      </c>
      <c r="B80" s="43" t="s">
        <v>166</v>
      </c>
      <c r="C80" s="43" t="s">
        <v>38</v>
      </c>
      <c r="D80" s="7">
        <v>0</v>
      </c>
      <c r="E80" s="225">
        <v>0</v>
      </c>
      <c r="F80" s="321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1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321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08">
        <v>0</v>
      </c>
      <c r="AJ80" s="209">
        <v>0</v>
      </c>
      <c r="AK80" s="210">
        <v>0</v>
      </c>
      <c r="AL80" s="211">
        <f t="shared" si="50"/>
        <v>0</v>
      </c>
      <c r="AM80" s="212">
        <f t="shared" si="51"/>
        <v>0</v>
      </c>
      <c r="AN80" s="213">
        <f t="shared" si="48"/>
        <v>0</v>
      </c>
      <c r="AO80" s="214">
        <f t="shared" si="49"/>
        <v>0</v>
      </c>
    </row>
    <row r="81" spans="1:41" ht="15.6">
      <c r="A81" s="54" t="s">
        <v>248</v>
      </c>
      <c r="B81" s="43" t="s">
        <v>249</v>
      </c>
      <c r="C81" s="43" t="s">
        <v>110</v>
      </c>
      <c r="D81" s="7">
        <v>0</v>
      </c>
      <c r="E81" s="225">
        <v>0</v>
      </c>
      <c r="F81" s="321">
        <v>0</v>
      </c>
      <c r="G81" s="225">
        <v>0</v>
      </c>
      <c r="H81" s="225">
        <v>0</v>
      </c>
      <c r="I81" s="225">
        <v>0</v>
      </c>
      <c r="J81" s="225">
        <v>0</v>
      </c>
      <c r="K81" s="225">
        <v>0</v>
      </c>
      <c r="L81" s="225">
        <v>0</v>
      </c>
      <c r="M81" s="225">
        <v>0</v>
      </c>
      <c r="N81" s="225">
        <v>0</v>
      </c>
      <c r="O81" s="15">
        <v>0</v>
      </c>
      <c r="P81" s="225">
        <v>0</v>
      </c>
      <c r="Q81" s="225">
        <v>0</v>
      </c>
      <c r="R81" s="225">
        <v>0</v>
      </c>
      <c r="S81" s="225">
        <v>0</v>
      </c>
      <c r="T81" s="225">
        <v>0</v>
      </c>
      <c r="U81" s="225">
        <v>0</v>
      </c>
      <c r="V81" s="225">
        <v>0</v>
      </c>
      <c r="W81" s="225">
        <v>0</v>
      </c>
      <c r="X81" s="225">
        <v>0</v>
      </c>
      <c r="Y81" s="225">
        <v>0</v>
      </c>
      <c r="Z81" s="321">
        <v>0</v>
      </c>
      <c r="AA81" s="225">
        <v>0</v>
      </c>
      <c r="AB81" s="225">
        <v>0</v>
      </c>
      <c r="AC81" s="225">
        <v>0</v>
      </c>
      <c r="AD81" s="225">
        <v>0</v>
      </c>
      <c r="AE81" s="225">
        <v>0</v>
      </c>
      <c r="AF81" s="225">
        <v>0</v>
      </c>
      <c r="AG81" s="225">
        <v>0</v>
      </c>
      <c r="AH81" s="225">
        <v>0</v>
      </c>
      <c r="AI81" s="208">
        <v>0</v>
      </c>
      <c r="AJ81" s="209">
        <v>0</v>
      </c>
      <c r="AK81" s="210">
        <v>0</v>
      </c>
      <c r="AL81" s="211">
        <f t="shared" si="50"/>
        <v>0</v>
      </c>
      <c r="AM81" s="212">
        <f t="shared" ref="AM81" si="52">AJ81*$N$3</f>
        <v>0</v>
      </c>
      <c r="AN81" s="213">
        <f>AK81*$V$3</f>
        <v>0</v>
      </c>
      <c r="AO81" s="214">
        <f t="shared" ref="AO81:AO85" si="53">AL81+AM81+AN81</f>
        <v>0</v>
      </c>
    </row>
    <row r="82" spans="1:41" ht="15.6">
      <c r="A82" s="54" t="s">
        <v>182</v>
      </c>
      <c r="B82" s="43" t="s">
        <v>183</v>
      </c>
      <c r="C82" s="43" t="s">
        <v>38</v>
      </c>
      <c r="D82" s="7">
        <v>0</v>
      </c>
      <c r="E82" s="225">
        <v>0</v>
      </c>
      <c r="F82" s="321">
        <v>0</v>
      </c>
      <c r="G82" s="225">
        <v>0</v>
      </c>
      <c r="H82" s="225">
        <v>0</v>
      </c>
      <c r="I82" s="225">
        <v>0</v>
      </c>
      <c r="J82" s="225">
        <v>0</v>
      </c>
      <c r="K82" s="225">
        <v>0</v>
      </c>
      <c r="L82" s="225">
        <v>0</v>
      </c>
      <c r="M82" s="225">
        <v>0</v>
      </c>
      <c r="N82" s="225">
        <v>0</v>
      </c>
      <c r="O82" s="15">
        <v>0</v>
      </c>
      <c r="P82" s="225">
        <v>0</v>
      </c>
      <c r="Q82" s="225">
        <v>0</v>
      </c>
      <c r="R82" s="225">
        <v>0</v>
      </c>
      <c r="S82" s="225">
        <v>0</v>
      </c>
      <c r="T82" s="225">
        <v>0</v>
      </c>
      <c r="U82" s="225">
        <v>0</v>
      </c>
      <c r="V82" s="225">
        <v>0</v>
      </c>
      <c r="W82" s="225">
        <v>0</v>
      </c>
      <c r="X82" s="225">
        <v>0</v>
      </c>
      <c r="Y82" s="225">
        <v>0</v>
      </c>
      <c r="Z82" s="321">
        <v>0</v>
      </c>
      <c r="AA82" s="225">
        <v>0</v>
      </c>
      <c r="AB82" s="225">
        <v>0</v>
      </c>
      <c r="AC82" s="225">
        <v>0</v>
      </c>
      <c r="AD82" s="225">
        <v>0</v>
      </c>
      <c r="AE82" s="225">
        <v>0</v>
      </c>
      <c r="AF82" s="225">
        <v>0</v>
      </c>
      <c r="AG82" s="225">
        <v>0</v>
      </c>
      <c r="AH82" s="225">
        <v>0</v>
      </c>
      <c r="AI82" s="208">
        <v>0</v>
      </c>
      <c r="AJ82" s="209">
        <v>0</v>
      </c>
      <c r="AK82" s="210">
        <v>0</v>
      </c>
      <c r="AL82" s="211">
        <f t="shared" si="50"/>
        <v>0</v>
      </c>
      <c r="AM82" s="212">
        <f t="shared" ref="AM82:AM84" si="54">AJ82*$I$3</f>
        <v>0</v>
      </c>
      <c r="AN82" s="213">
        <f t="shared" ref="AN82:AN85" si="55">AK82*$R$3</f>
        <v>0</v>
      </c>
      <c r="AO82" s="214">
        <f t="shared" si="53"/>
        <v>0</v>
      </c>
    </row>
    <row r="83" spans="1:41" ht="15.6">
      <c r="A83" s="54" t="s">
        <v>180</v>
      </c>
      <c r="B83" s="43" t="s">
        <v>181</v>
      </c>
      <c r="C83" s="43" t="s">
        <v>38</v>
      </c>
      <c r="D83" s="7">
        <v>0</v>
      </c>
      <c r="E83" s="225">
        <v>0</v>
      </c>
      <c r="F83" s="321">
        <v>0</v>
      </c>
      <c r="G83" s="225">
        <v>0</v>
      </c>
      <c r="H83" s="225">
        <v>0</v>
      </c>
      <c r="I83" s="225">
        <v>0</v>
      </c>
      <c r="J83" s="225">
        <v>0</v>
      </c>
      <c r="K83" s="225">
        <v>0</v>
      </c>
      <c r="L83" s="225">
        <v>0</v>
      </c>
      <c r="M83" s="225">
        <v>0</v>
      </c>
      <c r="N83" s="225">
        <v>0</v>
      </c>
      <c r="O83" s="15">
        <v>0</v>
      </c>
      <c r="P83" s="225">
        <v>0</v>
      </c>
      <c r="Q83" s="225">
        <v>0</v>
      </c>
      <c r="R83" s="225">
        <v>0</v>
      </c>
      <c r="S83" s="225">
        <v>0</v>
      </c>
      <c r="T83" s="225">
        <v>0</v>
      </c>
      <c r="U83" s="225">
        <v>0</v>
      </c>
      <c r="V83" s="225">
        <v>0</v>
      </c>
      <c r="W83" s="225">
        <v>0</v>
      </c>
      <c r="X83" s="225">
        <v>0</v>
      </c>
      <c r="Y83" s="461">
        <v>6</v>
      </c>
      <c r="Z83" s="321">
        <v>0</v>
      </c>
      <c r="AA83" s="225">
        <v>0</v>
      </c>
      <c r="AB83" s="225">
        <v>0</v>
      </c>
      <c r="AC83" s="225">
        <v>0</v>
      </c>
      <c r="AD83" s="225">
        <v>0</v>
      </c>
      <c r="AE83" s="225">
        <v>0</v>
      </c>
      <c r="AF83" s="225">
        <v>0</v>
      </c>
      <c r="AG83" s="225">
        <v>0</v>
      </c>
      <c r="AH83" s="225">
        <v>0</v>
      </c>
      <c r="AI83" s="208">
        <v>0</v>
      </c>
      <c r="AJ83" s="209">
        <v>0</v>
      </c>
      <c r="AK83" s="210">
        <v>6</v>
      </c>
      <c r="AL83" s="211">
        <f t="shared" si="50"/>
        <v>0</v>
      </c>
      <c r="AM83" s="212">
        <f t="shared" si="54"/>
        <v>0</v>
      </c>
      <c r="AN83" s="213">
        <f t="shared" si="55"/>
        <v>600</v>
      </c>
      <c r="AO83" s="214">
        <f t="shared" si="53"/>
        <v>600</v>
      </c>
    </row>
    <row r="84" spans="1:41" ht="15.6">
      <c r="A84" s="54" t="s">
        <v>475</v>
      </c>
      <c r="B84" s="43" t="s">
        <v>476</v>
      </c>
      <c r="C84" s="43" t="s">
        <v>38</v>
      </c>
      <c r="D84" s="7">
        <v>0</v>
      </c>
      <c r="E84" s="225">
        <v>0</v>
      </c>
      <c r="F84" s="321">
        <v>0</v>
      </c>
      <c r="G84" s="225">
        <v>0</v>
      </c>
      <c r="H84" s="225">
        <v>0</v>
      </c>
      <c r="I84" s="225">
        <v>0</v>
      </c>
      <c r="J84" s="225">
        <v>0</v>
      </c>
      <c r="K84" s="225">
        <v>0</v>
      </c>
      <c r="L84" s="225">
        <v>0</v>
      </c>
      <c r="M84" s="225">
        <v>0</v>
      </c>
      <c r="N84" s="225">
        <v>0</v>
      </c>
      <c r="O84" s="15">
        <v>0</v>
      </c>
      <c r="P84" s="225">
        <v>0</v>
      </c>
      <c r="Q84" s="225">
        <v>0</v>
      </c>
      <c r="R84" s="225">
        <v>0</v>
      </c>
      <c r="S84" s="225">
        <v>0</v>
      </c>
      <c r="T84" s="225">
        <v>0</v>
      </c>
      <c r="U84" s="225">
        <v>0</v>
      </c>
      <c r="V84" s="225">
        <v>0</v>
      </c>
      <c r="W84" s="225">
        <v>0</v>
      </c>
      <c r="X84" s="225">
        <v>0</v>
      </c>
      <c r="Y84" s="225">
        <v>0</v>
      </c>
      <c r="Z84" s="321">
        <v>0</v>
      </c>
      <c r="AA84" s="225">
        <v>0</v>
      </c>
      <c r="AB84" s="225">
        <v>0</v>
      </c>
      <c r="AC84" s="225">
        <v>0</v>
      </c>
      <c r="AD84" s="225">
        <v>0</v>
      </c>
      <c r="AE84" s="225">
        <v>0</v>
      </c>
      <c r="AF84" s="225">
        <v>0</v>
      </c>
      <c r="AG84" s="225">
        <v>0</v>
      </c>
      <c r="AH84" s="225">
        <v>0</v>
      </c>
      <c r="AI84" s="208">
        <v>0</v>
      </c>
      <c r="AJ84" s="209">
        <v>0</v>
      </c>
      <c r="AK84" s="210">
        <v>0</v>
      </c>
      <c r="AL84" s="211">
        <f t="shared" si="50"/>
        <v>0</v>
      </c>
      <c r="AM84" s="212">
        <f t="shared" si="54"/>
        <v>0</v>
      </c>
      <c r="AN84" s="213">
        <f t="shared" si="55"/>
        <v>0</v>
      </c>
      <c r="AO84" s="214">
        <f t="shared" si="53"/>
        <v>0</v>
      </c>
    </row>
    <row r="85" spans="1:41" ht="16.149999999999999" thickBot="1">
      <c r="A85" s="429" t="s">
        <v>178</v>
      </c>
      <c r="B85" s="44" t="s">
        <v>179</v>
      </c>
      <c r="C85" s="44" t="s">
        <v>38</v>
      </c>
      <c r="D85" s="7">
        <v>0</v>
      </c>
      <c r="E85" s="225">
        <v>0</v>
      </c>
      <c r="F85" s="321">
        <v>0</v>
      </c>
      <c r="G85" s="225">
        <v>0</v>
      </c>
      <c r="H85" s="225">
        <v>0</v>
      </c>
      <c r="I85" s="225">
        <v>0</v>
      </c>
      <c r="J85" s="225">
        <v>0</v>
      </c>
      <c r="K85" s="225">
        <v>0</v>
      </c>
      <c r="L85" s="225">
        <v>0</v>
      </c>
      <c r="M85" s="225">
        <v>0</v>
      </c>
      <c r="N85" s="225">
        <v>0</v>
      </c>
      <c r="O85" s="15">
        <v>0</v>
      </c>
      <c r="P85" s="225">
        <v>0</v>
      </c>
      <c r="Q85" s="225">
        <v>0</v>
      </c>
      <c r="R85" s="225">
        <v>0</v>
      </c>
      <c r="S85" s="225">
        <v>0</v>
      </c>
      <c r="T85" s="225">
        <v>0</v>
      </c>
      <c r="U85" s="225">
        <v>0</v>
      </c>
      <c r="V85" s="225">
        <v>0</v>
      </c>
      <c r="W85" s="225">
        <v>0</v>
      </c>
      <c r="X85" s="225">
        <v>0</v>
      </c>
      <c r="Y85" s="225">
        <v>0</v>
      </c>
      <c r="Z85" s="321">
        <v>0</v>
      </c>
      <c r="AA85" s="225">
        <v>0</v>
      </c>
      <c r="AB85" s="225">
        <v>0</v>
      </c>
      <c r="AC85" s="225">
        <v>0</v>
      </c>
      <c r="AD85" s="225">
        <v>0</v>
      </c>
      <c r="AE85" s="225">
        <v>0</v>
      </c>
      <c r="AF85" s="225">
        <v>0</v>
      </c>
      <c r="AG85" s="225">
        <v>0</v>
      </c>
      <c r="AH85" s="225">
        <v>0</v>
      </c>
      <c r="AI85" s="208">
        <v>0</v>
      </c>
      <c r="AJ85" s="209">
        <v>0</v>
      </c>
      <c r="AK85" s="210">
        <v>0</v>
      </c>
      <c r="AL85" s="211">
        <f t="shared" si="50"/>
        <v>0</v>
      </c>
      <c r="AM85" s="212">
        <f t="shared" ref="AM85" si="56">AJ85*$N$3</f>
        <v>0</v>
      </c>
      <c r="AN85" s="213">
        <f t="shared" si="55"/>
        <v>0</v>
      </c>
      <c r="AO85" s="214">
        <f t="shared" si="53"/>
        <v>0</v>
      </c>
    </row>
    <row r="86" spans="1:41" ht="18.600000000000001" thickBot="1">
      <c r="AO86" s="228">
        <f>SUM(AO7:AO85)</f>
        <v>268493.75</v>
      </c>
    </row>
  </sheetData>
  <autoFilter ref="A6:AT86" xr:uid="{00000000-0001-0000-0600-000000000000}"/>
  <mergeCells count="16">
    <mergeCell ref="T1:U1"/>
    <mergeCell ref="T2:U2"/>
    <mergeCell ref="T3:U3"/>
    <mergeCell ref="E4:G4"/>
    <mergeCell ref="I4:K4"/>
    <mergeCell ref="M4:O4"/>
    <mergeCell ref="Q4:R4"/>
    <mergeCell ref="F1:G1"/>
    <mergeCell ref="K1:L1"/>
    <mergeCell ref="K2:L2"/>
    <mergeCell ref="K3:L3"/>
    <mergeCell ref="F2:G2"/>
    <mergeCell ref="F3:G3"/>
    <mergeCell ref="P1:Q1"/>
    <mergeCell ref="P2:Q2"/>
    <mergeCell ref="P3:Q3"/>
  </mergeCells>
  <conditionalFormatting sqref="A5">
    <cfRule type="duplicateValues" dxfId="183" priority="122"/>
  </conditionalFormatting>
  <conditionalFormatting sqref="A6">
    <cfRule type="duplicateValues" dxfId="182" priority="1089"/>
  </conditionalFormatting>
  <conditionalFormatting sqref="A7 A32:A38 A9 A11:A30 A40:A41 A78 A43:A75">
    <cfRule type="duplicateValues" dxfId="181" priority="43"/>
    <cfRule type="duplicateValues" dxfId="180" priority="42"/>
  </conditionalFormatting>
  <conditionalFormatting sqref="A7:A9 A11:A38 A40:A41 A78 A43:A75">
    <cfRule type="duplicateValues" dxfId="179" priority="41"/>
  </conditionalFormatting>
  <conditionalFormatting sqref="A8">
    <cfRule type="duplicateValues" dxfId="178" priority="37"/>
    <cfRule type="duplicateValues" dxfId="177" priority="39"/>
    <cfRule type="duplicateValues" dxfId="176" priority="38"/>
  </conditionalFormatting>
  <conditionalFormatting sqref="A10">
    <cfRule type="duplicateValues" dxfId="175" priority="33"/>
    <cfRule type="duplicateValues" dxfId="174" priority="36"/>
    <cfRule type="duplicateValues" dxfId="173" priority="35"/>
    <cfRule type="duplicateValues" dxfId="172" priority="34"/>
  </conditionalFormatting>
  <conditionalFormatting sqref="A20 A17">
    <cfRule type="duplicateValues" dxfId="171" priority="40"/>
  </conditionalFormatting>
  <conditionalFormatting sqref="A21:A30 A18:A19 A7 A32:A38 A9 A11:A16 A40:A41 A78 A43:A75">
    <cfRule type="duplicateValues" dxfId="170" priority="44"/>
  </conditionalFormatting>
  <conditionalFormatting sqref="A39">
    <cfRule type="duplicateValues" dxfId="169" priority="32"/>
    <cfRule type="duplicateValues" dxfId="168" priority="31"/>
    <cfRule type="duplicateValues" dxfId="167" priority="29"/>
    <cfRule type="duplicateValues" dxfId="166" priority="30"/>
  </conditionalFormatting>
  <conditionalFormatting sqref="A42">
    <cfRule type="duplicateValues" dxfId="165" priority="20"/>
    <cfRule type="duplicateValues" dxfId="164" priority="17"/>
    <cfRule type="duplicateValues" dxfId="163" priority="18"/>
    <cfRule type="duplicateValues" dxfId="162" priority="19"/>
  </conditionalFormatting>
  <conditionalFormatting sqref="A76">
    <cfRule type="duplicateValues" dxfId="161" priority="26"/>
    <cfRule type="duplicateValues" dxfId="160" priority="27"/>
    <cfRule type="duplicateValues" dxfId="159" priority="28"/>
    <cfRule type="duplicateValues" dxfId="158" priority="25"/>
  </conditionalFormatting>
  <conditionalFormatting sqref="A77">
    <cfRule type="duplicateValues" dxfId="157" priority="24"/>
    <cfRule type="duplicateValues" dxfId="156" priority="23"/>
    <cfRule type="duplicateValues" dxfId="155" priority="22"/>
    <cfRule type="duplicateValues" dxfId="154" priority="21"/>
  </conditionalFormatting>
  <conditionalFormatting sqref="A79 A81">
    <cfRule type="duplicateValues" dxfId="153" priority="6"/>
    <cfRule type="duplicateValues" dxfId="152" priority="8"/>
    <cfRule type="duplicateValues" dxfId="151" priority="7"/>
    <cfRule type="duplicateValues" dxfId="150" priority="5"/>
  </conditionalFormatting>
  <conditionalFormatting sqref="A80 A82">
    <cfRule type="duplicateValues" dxfId="149" priority="1"/>
    <cfRule type="duplicateValues" dxfId="148" priority="4"/>
    <cfRule type="duplicateValues" dxfId="147" priority="3"/>
    <cfRule type="duplicateValues" dxfId="146" priority="2"/>
  </conditionalFormatting>
  <conditionalFormatting sqref="A83:A85">
    <cfRule type="duplicateValues" dxfId="145" priority="12"/>
    <cfRule type="duplicateValues" dxfId="144" priority="11"/>
    <cfRule type="duplicateValues" dxfId="143" priority="10"/>
    <cfRule type="duplicateValues" dxfId="142" priority="9"/>
  </conditionalFormatting>
  <conditionalFormatting sqref="D7:AH85">
    <cfRule type="cellIs" dxfId="141" priority="16" operator="equal">
      <formula>0</formula>
    </cfRule>
    <cfRule type="cellIs" dxfId="140" priority="49" operator="greaterThan">
      <formula>0</formula>
    </cfRule>
  </conditionalFormatting>
  <conditionalFormatting sqref="R23">
    <cfRule type="cellIs" dxfId="139" priority="1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75AB-F7F9-4B2E-805D-3BD4205EB47F}">
  <sheetPr codeName="Hoja1">
    <tabColor rgb="FFFFC000"/>
  </sheetPr>
  <dimension ref="B2:D72"/>
  <sheetViews>
    <sheetView workbookViewId="0">
      <selection activeCell="B36" sqref="B36:D72"/>
    </sheetView>
  </sheetViews>
  <sheetFormatPr defaultColWidth="11.42578125" defaultRowHeight="14.45"/>
  <cols>
    <col min="3" max="3" width="35.85546875" bestFit="1" customWidth="1"/>
    <col min="4" max="4" width="21.42578125" bestFit="1" customWidth="1"/>
  </cols>
  <sheetData>
    <row r="2" spans="2:4">
      <c r="B2" s="300" t="s">
        <v>36</v>
      </c>
      <c r="C2" s="301" t="s">
        <v>37</v>
      </c>
      <c r="D2" s="301" t="s">
        <v>38</v>
      </c>
    </row>
    <row r="3" spans="2:4">
      <c r="B3" s="300" t="s">
        <v>41</v>
      </c>
      <c r="C3" s="301" t="s">
        <v>42</v>
      </c>
      <c r="D3" s="301" t="s">
        <v>38</v>
      </c>
    </row>
    <row r="4" spans="2:4">
      <c r="B4" s="300" t="s">
        <v>248</v>
      </c>
      <c r="C4" s="301" t="s">
        <v>249</v>
      </c>
      <c r="D4" s="301" t="s">
        <v>110</v>
      </c>
    </row>
    <row r="5" spans="2:4">
      <c r="B5" s="300" t="s">
        <v>44</v>
      </c>
      <c r="C5" s="301" t="s">
        <v>45</v>
      </c>
      <c r="D5" s="301" t="s">
        <v>38</v>
      </c>
    </row>
    <row r="6" spans="2:4">
      <c r="B6" s="300" t="s">
        <v>108</v>
      </c>
      <c r="C6" s="301" t="s">
        <v>109</v>
      </c>
      <c r="D6" s="301" t="s">
        <v>110</v>
      </c>
    </row>
    <row r="7" spans="2:4">
      <c r="B7" s="300" t="s">
        <v>47</v>
      </c>
      <c r="C7" s="301" t="s">
        <v>48</v>
      </c>
      <c r="D7" s="301" t="s">
        <v>38</v>
      </c>
    </row>
    <row r="8" spans="2:4">
      <c r="B8" s="300" t="s">
        <v>331</v>
      </c>
      <c r="C8" s="301" t="s">
        <v>332</v>
      </c>
      <c r="D8" s="301" t="s">
        <v>110</v>
      </c>
    </row>
    <row r="9" spans="2:4">
      <c r="B9" s="300" t="s">
        <v>50</v>
      </c>
      <c r="C9" s="301" t="s">
        <v>51</v>
      </c>
      <c r="D9" s="301" t="s">
        <v>38</v>
      </c>
    </row>
    <row r="10" spans="2:4">
      <c r="B10" s="303" t="s">
        <v>336</v>
      </c>
      <c r="C10" s="302" t="s">
        <v>450</v>
      </c>
      <c r="D10" s="301" t="s">
        <v>110</v>
      </c>
    </row>
    <row r="11" spans="2:4">
      <c r="B11" s="300" t="s">
        <v>114</v>
      </c>
      <c r="C11" s="301" t="s">
        <v>115</v>
      </c>
      <c r="D11" s="301" t="s">
        <v>110</v>
      </c>
    </row>
    <row r="12" spans="2:4">
      <c r="B12" s="300" t="s">
        <v>53</v>
      </c>
      <c r="C12" s="301" t="s">
        <v>54</v>
      </c>
      <c r="D12" s="301" t="s">
        <v>38</v>
      </c>
    </row>
    <row r="13" spans="2:4">
      <c r="B13" s="300" t="s">
        <v>237</v>
      </c>
      <c r="C13" s="301" t="s">
        <v>238</v>
      </c>
      <c r="D13" s="301" t="s">
        <v>110</v>
      </c>
    </row>
    <row r="14" spans="2:4">
      <c r="B14" s="300" t="s">
        <v>59</v>
      </c>
      <c r="C14" s="302" t="s">
        <v>60</v>
      </c>
      <c r="D14" s="301" t="s">
        <v>38</v>
      </c>
    </row>
    <row r="15" spans="2:4">
      <c r="B15" s="300" t="s">
        <v>451</v>
      </c>
      <c r="C15" s="301" t="s">
        <v>452</v>
      </c>
      <c r="D15" s="301" t="s">
        <v>38</v>
      </c>
    </row>
    <row r="16" spans="2:4">
      <c r="B16" s="300" t="s">
        <v>116</v>
      </c>
      <c r="C16" s="301" t="s">
        <v>117</v>
      </c>
      <c r="D16" s="301" t="s">
        <v>110</v>
      </c>
    </row>
    <row r="17" spans="2:4">
      <c r="B17" s="300" t="s">
        <v>118</v>
      </c>
      <c r="C17" s="302" t="s">
        <v>119</v>
      </c>
      <c r="D17" s="301" t="s">
        <v>110</v>
      </c>
    </row>
    <row r="18" spans="2:4">
      <c r="B18" s="300" t="s">
        <v>120</v>
      </c>
      <c r="C18" s="301" t="s">
        <v>121</v>
      </c>
      <c r="D18" s="301" t="s">
        <v>110</v>
      </c>
    </row>
    <row r="19" spans="2:4">
      <c r="B19" s="300" t="s">
        <v>61</v>
      </c>
      <c r="C19" s="302" t="s">
        <v>313</v>
      </c>
      <c r="D19" s="301" t="s">
        <v>38</v>
      </c>
    </row>
    <row r="20" spans="2:4">
      <c r="B20" s="300" t="s">
        <v>453</v>
      </c>
      <c r="C20" s="301" t="s">
        <v>454</v>
      </c>
      <c r="D20" s="301" t="s">
        <v>110</v>
      </c>
    </row>
    <row r="21" spans="2:4">
      <c r="B21" s="300" t="s">
        <v>63</v>
      </c>
      <c r="C21" s="301" t="s">
        <v>64</v>
      </c>
      <c r="D21" s="301" t="s">
        <v>38</v>
      </c>
    </row>
    <row r="22" spans="2:4">
      <c r="B22" s="300" t="s">
        <v>122</v>
      </c>
      <c r="C22" s="302" t="s">
        <v>123</v>
      </c>
      <c r="D22" s="301" t="s">
        <v>110</v>
      </c>
    </row>
    <row r="23" spans="2:4">
      <c r="B23" s="300" t="s">
        <v>65</v>
      </c>
      <c r="C23" s="301" t="s">
        <v>66</v>
      </c>
      <c r="D23" s="301" t="s">
        <v>38</v>
      </c>
    </row>
    <row r="24" spans="2:4">
      <c r="B24" s="300" t="s">
        <v>477</v>
      </c>
      <c r="C24" s="301" t="s">
        <v>478</v>
      </c>
      <c r="D24" s="301" t="s">
        <v>38</v>
      </c>
    </row>
    <row r="25" spans="2:4">
      <c r="B25" s="300" t="s">
        <v>67</v>
      </c>
      <c r="C25" s="302" t="s">
        <v>68</v>
      </c>
      <c r="D25" s="301" t="s">
        <v>38</v>
      </c>
    </row>
    <row r="26" spans="2:4">
      <c r="B26" s="300" t="s">
        <v>455</v>
      </c>
      <c r="C26" s="302" t="s">
        <v>456</v>
      </c>
      <c r="D26" s="301" t="s">
        <v>38</v>
      </c>
    </row>
    <row r="27" spans="2:4">
      <c r="B27" s="300" t="s">
        <v>69</v>
      </c>
      <c r="C27" s="301" t="s">
        <v>70</v>
      </c>
      <c r="D27" s="301" t="s">
        <v>38</v>
      </c>
    </row>
    <row r="28" spans="2:4">
      <c r="B28" s="300" t="s">
        <v>71</v>
      </c>
      <c r="C28" s="301" t="s">
        <v>72</v>
      </c>
      <c r="D28" s="301" t="s">
        <v>38</v>
      </c>
    </row>
    <row r="29" spans="2:4">
      <c r="B29" s="300" t="s">
        <v>342</v>
      </c>
      <c r="C29" s="301" t="s">
        <v>343</v>
      </c>
      <c r="D29" s="301" t="s">
        <v>38</v>
      </c>
    </row>
    <row r="30" spans="2:4">
      <c r="B30" s="300" t="s">
        <v>479</v>
      </c>
      <c r="C30" s="301" t="s">
        <v>480</v>
      </c>
      <c r="D30" s="301" t="s">
        <v>38</v>
      </c>
    </row>
    <row r="31" spans="2:4">
      <c r="B31" s="300" t="s">
        <v>73</v>
      </c>
      <c r="C31" s="301" t="s">
        <v>74</v>
      </c>
      <c r="D31" s="301" t="s">
        <v>38</v>
      </c>
    </row>
    <row r="32" spans="2:4">
      <c r="B32" s="300" t="s">
        <v>260</v>
      </c>
      <c r="C32" s="301" t="s">
        <v>261</v>
      </c>
      <c r="D32" s="301" t="s">
        <v>110</v>
      </c>
    </row>
    <row r="33" spans="2:4">
      <c r="B33" s="300" t="s">
        <v>75</v>
      </c>
      <c r="C33" s="302" t="s">
        <v>76</v>
      </c>
      <c r="D33" s="301" t="s">
        <v>38</v>
      </c>
    </row>
    <row r="34" spans="2:4">
      <c r="B34" s="300" t="s">
        <v>77</v>
      </c>
      <c r="C34" s="302" t="s">
        <v>78</v>
      </c>
      <c r="D34" s="301" t="s">
        <v>38</v>
      </c>
    </row>
    <row r="35" spans="2:4">
      <c r="B35" s="300" t="s">
        <v>79</v>
      </c>
      <c r="C35" s="301" t="s">
        <v>80</v>
      </c>
      <c r="D35" s="301" t="s">
        <v>38</v>
      </c>
    </row>
    <row r="36" spans="2:4">
      <c r="B36" s="300" t="s">
        <v>165</v>
      </c>
      <c r="C36" s="301" t="s">
        <v>166</v>
      </c>
      <c r="D36" s="301" t="s">
        <v>38</v>
      </c>
    </row>
    <row r="37" spans="2:4">
      <c r="B37" s="300" t="s">
        <v>168</v>
      </c>
      <c r="C37" s="301" t="s">
        <v>169</v>
      </c>
      <c r="D37" s="301" t="s">
        <v>38</v>
      </c>
    </row>
    <row r="38" spans="2:4">
      <c r="B38" s="300" t="s">
        <v>170</v>
      </c>
      <c r="C38" s="301" t="s">
        <v>171</v>
      </c>
      <c r="D38" s="301" t="s">
        <v>38</v>
      </c>
    </row>
    <row r="39" spans="2:4">
      <c r="B39" s="300" t="s">
        <v>172</v>
      </c>
      <c r="C39" s="301" t="s">
        <v>173</v>
      </c>
      <c r="D39" s="301" t="s">
        <v>38</v>
      </c>
    </row>
    <row r="40" spans="2:4">
      <c r="B40" s="300" t="s">
        <v>250</v>
      </c>
      <c r="C40" s="301" t="s">
        <v>251</v>
      </c>
      <c r="D40" s="301" t="s">
        <v>110</v>
      </c>
    </row>
    <row r="41" spans="2:4">
      <c r="B41" s="300" t="s">
        <v>174</v>
      </c>
      <c r="C41" s="301" t="s">
        <v>175</v>
      </c>
      <c r="D41" s="301" t="s">
        <v>38</v>
      </c>
    </row>
    <row r="42" spans="2:4">
      <c r="B42" s="304" t="s">
        <v>112</v>
      </c>
      <c r="C42" s="301" t="s">
        <v>113</v>
      </c>
      <c r="D42" s="301" t="s">
        <v>110</v>
      </c>
    </row>
    <row r="43" spans="2:4">
      <c r="B43" s="300" t="s">
        <v>252</v>
      </c>
      <c r="C43" s="301" t="s">
        <v>253</v>
      </c>
      <c r="D43" s="301" t="s">
        <v>110</v>
      </c>
    </row>
    <row r="44" spans="2:4">
      <c r="B44" s="300" t="s">
        <v>176</v>
      </c>
      <c r="C44" s="301" t="s">
        <v>177</v>
      </c>
      <c r="D44" s="301" t="s">
        <v>38</v>
      </c>
    </row>
    <row r="45" spans="2:4">
      <c r="B45" s="300" t="s">
        <v>463</v>
      </c>
      <c r="C45" s="301" t="s">
        <v>464</v>
      </c>
      <c r="D45" s="301" t="s">
        <v>38</v>
      </c>
    </row>
    <row r="46" spans="2:4">
      <c r="B46" s="300" t="s">
        <v>465</v>
      </c>
      <c r="C46" s="301" t="s">
        <v>466</v>
      </c>
      <c r="D46" s="301" t="s">
        <v>110</v>
      </c>
    </row>
    <row r="47" spans="2:4">
      <c r="B47" s="300" t="s">
        <v>338</v>
      </c>
      <c r="C47" s="301" t="s">
        <v>339</v>
      </c>
      <c r="D47" s="301" t="s">
        <v>38</v>
      </c>
    </row>
    <row r="48" spans="2:4">
      <c r="B48" s="300" t="s">
        <v>185</v>
      </c>
      <c r="C48" s="302" t="s">
        <v>186</v>
      </c>
      <c r="D48" s="301" t="s">
        <v>38</v>
      </c>
    </row>
    <row r="49" spans="2:4">
      <c r="B49" s="300" t="s">
        <v>481</v>
      </c>
      <c r="C49" s="301" t="s">
        <v>482</v>
      </c>
      <c r="D49" s="301" t="s">
        <v>110</v>
      </c>
    </row>
    <row r="50" spans="2:4">
      <c r="B50" s="300" t="s">
        <v>187</v>
      </c>
      <c r="C50" s="301" t="s">
        <v>188</v>
      </c>
      <c r="D50" s="301" t="s">
        <v>38</v>
      </c>
    </row>
    <row r="51" spans="2:4">
      <c r="B51" s="300" t="s">
        <v>189</v>
      </c>
      <c r="C51" s="301" t="s">
        <v>190</v>
      </c>
      <c r="D51" s="301" t="s">
        <v>38</v>
      </c>
    </row>
    <row r="52" spans="2:4">
      <c r="B52" s="300" t="s">
        <v>344</v>
      </c>
      <c r="C52" s="301" t="s">
        <v>345</v>
      </c>
      <c r="D52" s="301" t="s">
        <v>38</v>
      </c>
    </row>
    <row r="53" spans="2:4">
      <c r="B53" s="300" t="s">
        <v>191</v>
      </c>
      <c r="C53" s="301" t="s">
        <v>192</v>
      </c>
      <c r="D53" s="301" t="s">
        <v>38</v>
      </c>
    </row>
    <row r="54" spans="2:4">
      <c r="B54" s="300" t="s">
        <v>254</v>
      </c>
      <c r="C54" s="301" t="s">
        <v>255</v>
      </c>
      <c r="D54" s="301" t="s">
        <v>110</v>
      </c>
    </row>
    <row r="55" spans="2:4">
      <c r="B55" s="300" t="s">
        <v>469</v>
      </c>
      <c r="C55" s="301" t="s">
        <v>470</v>
      </c>
      <c r="D55" s="301" t="s">
        <v>38</v>
      </c>
    </row>
    <row r="56" spans="2:4">
      <c r="B56" s="300" t="s">
        <v>194</v>
      </c>
      <c r="C56" s="301" t="s">
        <v>195</v>
      </c>
      <c r="D56" s="301" t="s">
        <v>38</v>
      </c>
    </row>
    <row r="57" spans="2:4">
      <c r="B57" s="300" t="s">
        <v>199</v>
      </c>
      <c r="C57" s="301" t="s">
        <v>200</v>
      </c>
      <c r="D57" s="301" t="s">
        <v>38</v>
      </c>
    </row>
    <row r="58" spans="2:4">
      <c r="B58" s="300" t="s">
        <v>202</v>
      </c>
      <c r="C58" s="301" t="s">
        <v>203</v>
      </c>
      <c r="D58" s="301" t="s">
        <v>38</v>
      </c>
    </row>
    <row r="59" spans="2:4">
      <c r="B59" s="300" t="s">
        <v>256</v>
      </c>
      <c r="C59" s="301" t="s">
        <v>257</v>
      </c>
      <c r="D59" s="301" t="s">
        <v>110</v>
      </c>
    </row>
    <row r="60" spans="2:4">
      <c r="B60" s="300" t="s">
        <v>258</v>
      </c>
      <c r="C60" s="301" t="s">
        <v>259</v>
      </c>
      <c r="D60" s="301" t="s">
        <v>110</v>
      </c>
    </row>
    <row r="61" spans="2:4">
      <c r="B61" s="300" t="s">
        <v>483</v>
      </c>
      <c r="C61" s="301" t="s">
        <v>484</v>
      </c>
      <c r="D61" s="301" t="s">
        <v>38</v>
      </c>
    </row>
    <row r="62" spans="2:4">
      <c r="B62" s="300" t="s">
        <v>471</v>
      </c>
      <c r="C62" s="301" t="s">
        <v>472</v>
      </c>
      <c r="D62" s="301" t="s">
        <v>38</v>
      </c>
    </row>
    <row r="63" spans="2:4">
      <c r="B63" s="300" t="s">
        <v>485</v>
      </c>
      <c r="C63" s="301" t="s">
        <v>486</v>
      </c>
      <c r="D63" s="301" t="s">
        <v>110</v>
      </c>
    </row>
    <row r="64" spans="2:4">
      <c r="B64" s="300" t="s">
        <v>487</v>
      </c>
      <c r="C64" s="301" t="s">
        <v>488</v>
      </c>
      <c r="D64" s="301" t="s">
        <v>38</v>
      </c>
    </row>
    <row r="65" spans="2:4">
      <c r="B65" s="300" t="s">
        <v>124</v>
      </c>
      <c r="C65" s="302" t="s">
        <v>125</v>
      </c>
      <c r="D65" s="301" t="s">
        <v>110</v>
      </c>
    </row>
    <row r="66" spans="2:4">
      <c r="B66" s="300" t="s">
        <v>262</v>
      </c>
      <c r="C66" s="301" t="s">
        <v>263</v>
      </c>
      <c r="D66" s="301" t="s">
        <v>110</v>
      </c>
    </row>
    <row r="67" spans="2:4">
      <c r="B67" s="300" t="s">
        <v>473</v>
      </c>
      <c r="C67" s="301" t="s">
        <v>474</v>
      </c>
      <c r="D67" s="301" t="s">
        <v>110</v>
      </c>
    </row>
    <row r="68" spans="2:4">
      <c r="B68" s="300" t="s">
        <v>204</v>
      </c>
      <c r="C68" s="301" t="s">
        <v>205</v>
      </c>
      <c r="D68" s="301" t="s">
        <v>38</v>
      </c>
    </row>
    <row r="69" spans="2:4">
      <c r="B69" s="300" t="s">
        <v>206</v>
      </c>
      <c r="C69" s="301" t="s">
        <v>207</v>
      </c>
      <c r="D69" s="301" t="s">
        <v>38</v>
      </c>
    </row>
    <row r="70" spans="2:4">
      <c r="B70" s="300" t="s">
        <v>489</v>
      </c>
      <c r="C70" s="301" t="s">
        <v>490</v>
      </c>
      <c r="D70" s="301" t="s">
        <v>110</v>
      </c>
    </row>
    <row r="71" spans="2:4">
      <c r="B71" s="303" t="s">
        <v>208</v>
      </c>
      <c r="C71" s="301" t="s">
        <v>209</v>
      </c>
      <c r="D71" s="301" t="s">
        <v>38</v>
      </c>
    </row>
    <row r="72" spans="2:4">
      <c r="B72" s="300" t="s">
        <v>210</v>
      </c>
      <c r="C72" s="301" t="s">
        <v>211</v>
      </c>
      <c r="D72" s="301" t="s">
        <v>38</v>
      </c>
    </row>
  </sheetData>
  <conditionalFormatting sqref="B2:B72">
    <cfRule type="duplicateValues" dxfId="138" priority="6"/>
  </conditionalFormatting>
  <conditionalFormatting sqref="B43:B72 B2:B41">
    <cfRule type="duplicateValues" dxfId="137" priority="3"/>
    <cfRule type="duplicateValues" dxfId="136" priority="4"/>
  </conditionalFormatting>
  <conditionalFormatting sqref="B52 B45 B40 B32 B4">
    <cfRule type="duplicateValues" dxfId="135" priority="2"/>
  </conditionalFormatting>
  <conditionalFormatting sqref="B71">
    <cfRule type="duplicateValues" dxfId="134" priority="1"/>
  </conditionalFormatting>
  <conditionalFormatting sqref="B72 B53:B70 B46:B51 B41 B43:B44 B33:B39 B5:B31 B2:B3">
    <cfRule type="duplicateValues" dxfId="133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 filterMode="1">
    <tabColor rgb="FFFFC000"/>
  </sheetPr>
  <dimension ref="A1:AQ91"/>
  <sheetViews>
    <sheetView tabSelected="1" zoomScale="70" zoomScaleNormal="70" workbookViewId="0">
      <pane xSplit="3" ySplit="10" topLeftCell="T56" activePane="bottomRight" state="frozen"/>
      <selection pane="bottomRight" activeCell="AK94" sqref="AK94"/>
      <selection pane="bottomLeft" activeCell="A11" sqref="A11"/>
      <selection pane="topRight" activeCell="D1" sqref="D1"/>
    </sheetView>
  </sheetViews>
  <sheetFormatPr defaultColWidth="11.42578125" defaultRowHeight="14.45"/>
  <cols>
    <col min="1" max="1" width="4.7109375" customWidth="1"/>
    <col min="2" max="2" width="13" bestFit="1" customWidth="1"/>
    <col min="3" max="3" width="45.7109375" bestFit="1" customWidth="1"/>
    <col min="4" max="4" width="30.28515625" bestFit="1" customWidth="1"/>
    <col min="5" max="5" width="9.140625" bestFit="1" customWidth="1"/>
    <col min="6" max="31" width="7.7109375" customWidth="1"/>
    <col min="32" max="32" width="8.28515625" bestFit="1" customWidth="1"/>
    <col min="33" max="35" width="7.7109375" customWidth="1"/>
    <col min="36" max="36" width="2.7109375" customWidth="1"/>
    <col min="37" max="43" width="10.7109375" customWidth="1"/>
  </cols>
  <sheetData>
    <row r="1" spans="1:43" ht="27" customHeight="1" thickBot="1">
      <c r="D1" s="554" t="s">
        <v>491</v>
      </c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278"/>
      <c r="AN1" s="556" t="s">
        <v>492</v>
      </c>
      <c r="AO1" s="557"/>
      <c r="AP1" s="556" t="s">
        <v>493</v>
      </c>
      <c r="AQ1" s="557"/>
    </row>
    <row r="2" spans="1:43" s="1" customFormat="1" ht="69" customHeight="1" thickBot="1">
      <c r="D2" s="52" t="s">
        <v>285</v>
      </c>
      <c r="E2" s="238">
        <v>46204</v>
      </c>
      <c r="F2" s="3">
        <v>46205</v>
      </c>
      <c r="G2" s="413">
        <v>46206</v>
      </c>
      <c r="H2" s="3">
        <v>46207</v>
      </c>
      <c r="I2" s="3">
        <v>46208</v>
      </c>
      <c r="J2" s="3">
        <v>46209</v>
      </c>
      <c r="K2" s="413">
        <v>46210</v>
      </c>
      <c r="L2" s="3">
        <v>46211</v>
      </c>
      <c r="M2" s="3">
        <v>46212</v>
      </c>
      <c r="N2" s="3">
        <v>46213</v>
      </c>
      <c r="O2" s="413">
        <v>46214</v>
      </c>
      <c r="P2" s="3">
        <v>46215</v>
      </c>
      <c r="Q2" s="3">
        <v>46216</v>
      </c>
      <c r="R2" s="3">
        <v>46217</v>
      </c>
      <c r="S2" s="413">
        <v>46218</v>
      </c>
      <c r="T2" s="3">
        <v>46219</v>
      </c>
      <c r="U2" s="3">
        <v>46220</v>
      </c>
      <c r="V2" s="3">
        <v>46221</v>
      </c>
      <c r="W2" s="413">
        <v>46222</v>
      </c>
      <c r="X2" s="3">
        <v>46223</v>
      </c>
      <c r="Y2" s="3">
        <v>46224</v>
      </c>
      <c r="Z2" s="3">
        <v>46225</v>
      </c>
      <c r="AA2" s="413">
        <v>46226</v>
      </c>
      <c r="AB2" s="3">
        <v>46227</v>
      </c>
      <c r="AC2" s="3">
        <v>46228</v>
      </c>
      <c r="AD2" s="3">
        <v>46229</v>
      </c>
      <c r="AE2" s="413">
        <v>46230</v>
      </c>
      <c r="AF2" s="3">
        <v>46231</v>
      </c>
      <c r="AG2" s="3">
        <v>46232</v>
      </c>
      <c r="AH2" s="3">
        <v>46233</v>
      </c>
      <c r="AI2" s="413">
        <v>46234</v>
      </c>
      <c r="AJ2" s="279"/>
      <c r="AK2" s="5" t="s">
        <v>492</v>
      </c>
      <c r="AL2" s="5" t="s">
        <v>493</v>
      </c>
      <c r="AM2" s="87" t="s">
        <v>361</v>
      </c>
      <c r="AN2" s="85" t="s">
        <v>354</v>
      </c>
      <c r="AO2" s="86" t="s">
        <v>446</v>
      </c>
      <c r="AP2" s="85" t="s">
        <v>354</v>
      </c>
      <c r="AQ2" s="84" t="s">
        <v>446</v>
      </c>
    </row>
    <row r="3" spans="1:43" ht="15.75" customHeight="1">
      <c r="C3" s="567" t="s">
        <v>494</v>
      </c>
      <c r="D3" s="102" t="s">
        <v>495</v>
      </c>
      <c r="E3" s="6">
        <v>105.5</v>
      </c>
      <c r="F3" s="224">
        <f>E7</f>
        <v>156.5</v>
      </c>
      <c r="G3" s="412">
        <v>150</v>
      </c>
      <c r="H3" s="224">
        <f>G7</f>
        <v>151.65</v>
      </c>
      <c r="I3" s="224">
        <f t="shared" ref="I3:AH3" si="0">H7</f>
        <v>220.1</v>
      </c>
      <c r="J3" s="224">
        <f t="shared" si="0"/>
        <v>273.3</v>
      </c>
      <c r="K3" s="224">
        <f t="shared" si="0"/>
        <v>313.89999999999998</v>
      </c>
      <c r="L3" s="224">
        <f t="shared" si="0"/>
        <v>313.89999999999998</v>
      </c>
      <c r="M3" s="224">
        <f t="shared" si="0"/>
        <v>313.89999999999998</v>
      </c>
      <c r="N3" s="224">
        <f t="shared" si="0"/>
        <v>313.89999999999998</v>
      </c>
      <c r="O3" s="224">
        <f t="shared" si="0"/>
        <v>313.89999999999998</v>
      </c>
      <c r="P3" s="224">
        <f t="shared" si="0"/>
        <v>318.3</v>
      </c>
      <c r="Q3" s="412">
        <f t="shared" si="0"/>
        <v>360.3</v>
      </c>
      <c r="R3" s="224">
        <f t="shared" si="0"/>
        <v>368.4</v>
      </c>
      <c r="S3" s="224">
        <f t="shared" si="0"/>
        <v>368.4</v>
      </c>
      <c r="T3" s="224">
        <f t="shared" si="0"/>
        <v>368.4</v>
      </c>
      <c r="U3" s="224">
        <f t="shared" si="0"/>
        <v>368.4</v>
      </c>
      <c r="V3" s="224">
        <f t="shared" si="0"/>
        <v>385.3</v>
      </c>
      <c r="W3" s="224">
        <f t="shared" si="0"/>
        <v>420.2</v>
      </c>
      <c r="X3" s="224">
        <f t="shared" si="0"/>
        <v>432.2</v>
      </c>
      <c r="Y3" s="224">
        <f>X7</f>
        <v>434</v>
      </c>
      <c r="Z3" s="224">
        <f t="shared" si="0"/>
        <v>434</v>
      </c>
      <c r="AA3" s="412">
        <f t="shared" si="0"/>
        <v>434</v>
      </c>
      <c r="AB3" s="224">
        <f t="shared" si="0"/>
        <v>434</v>
      </c>
      <c r="AC3" s="224">
        <f t="shared" si="0"/>
        <v>434</v>
      </c>
      <c r="AD3" s="224">
        <f t="shared" si="0"/>
        <v>434</v>
      </c>
      <c r="AE3" s="224">
        <f t="shared" si="0"/>
        <v>460</v>
      </c>
      <c r="AF3" s="224">
        <v>0</v>
      </c>
      <c r="AG3" s="224">
        <f t="shared" si="0"/>
        <v>0</v>
      </c>
      <c r="AH3" s="224">
        <f t="shared" si="0"/>
        <v>17.5</v>
      </c>
      <c r="AI3" s="224">
        <f>AH7</f>
        <v>29.8</v>
      </c>
      <c r="AJ3" s="12"/>
      <c r="AK3" s="564">
        <f>SUM(AA5:AI5,G5:P5)</f>
        <v>136.75000000000003</v>
      </c>
      <c r="AL3" s="564">
        <f>SUM(E5:F5,Q5:Z5)</f>
        <v>98.799999999999983</v>
      </c>
      <c r="AM3" s="564">
        <f>SUM(E5:AI5)</f>
        <v>235.55</v>
      </c>
      <c r="AN3" s="558">
        <f>SUM(G5:P5,AA5:AI5)</f>
        <v>136.75000000000003</v>
      </c>
      <c r="AO3" s="561"/>
      <c r="AP3" s="558">
        <f>SUM(E5:F5,Q5:Z5)</f>
        <v>98.799999999999983</v>
      </c>
      <c r="AQ3" s="561"/>
    </row>
    <row r="4" spans="1:43">
      <c r="C4" s="568"/>
      <c r="D4" s="103" t="s">
        <v>496</v>
      </c>
      <c r="E4" s="7">
        <v>131.9</v>
      </c>
      <c r="F4" s="225">
        <v>183.5</v>
      </c>
      <c r="G4" s="321">
        <v>150</v>
      </c>
      <c r="H4" s="225">
        <v>180.3</v>
      </c>
      <c r="I4" s="225">
        <v>246.3</v>
      </c>
      <c r="J4" s="225">
        <v>291.3</v>
      </c>
      <c r="K4" s="225">
        <v>313.89999999999998</v>
      </c>
      <c r="L4" s="225">
        <v>313.89999999999998</v>
      </c>
      <c r="M4" s="225">
        <v>313.89999999999998</v>
      </c>
      <c r="N4" s="225">
        <v>313.89999999999998</v>
      </c>
      <c r="O4" s="225">
        <v>313.89999999999998</v>
      </c>
      <c r="P4" s="225">
        <v>330.3</v>
      </c>
      <c r="Q4" s="321">
        <v>368.2</v>
      </c>
      <c r="R4" s="225">
        <v>368.4</v>
      </c>
      <c r="S4" s="225">
        <v>368.4</v>
      </c>
      <c r="T4" s="225">
        <v>368.4</v>
      </c>
      <c r="U4" s="225">
        <v>375.2</v>
      </c>
      <c r="V4" s="225">
        <v>402.2</v>
      </c>
      <c r="W4" s="225">
        <v>432.2</v>
      </c>
      <c r="X4" s="225">
        <v>434</v>
      </c>
      <c r="Y4" s="225">
        <v>434</v>
      </c>
      <c r="Z4" s="225">
        <v>434</v>
      </c>
      <c r="AA4" s="225">
        <v>434</v>
      </c>
      <c r="AB4" s="225">
        <v>434</v>
      </c>
      <c r="AC4" s="225">
        <v>434</v>
      </c>
      <c r="AD4" s="225">
        <v>445.6</v>
      </c>
      <c r="AE4" s="225">
        <v>474.2</v>
      </c>
      <c r="AF4" s="225">
        <v>0</v>
      </c>
      <c r="AG4" s="225">
        <v>16.600000000000001</v>
      </c>
      <c r="AH4" s="225">
        <v>27</v>
      </c>
      <c r="AI4" s="225">
        <v>29.8</v>
      </c>
      <c r="AJ4" s="12"/>
      <c r="AK4" s="565"/>
      <c r="AL4" s="565"/>
      <c r="AM4" s="565"/>
      <c r="AN4" s="559"/>
      <c r="AO4" s="562"/>
      <c r="AP4" s="559"/>
      <c r="AQ4" s="562"/>
    </row>
    <row r="5" spans="1:43" ht="15" thickBot="1">
      <c r="C5" s="569"/>
      <c r="D5" s="104" t="s">
        <v>302</v>
      </c>
      <c r="E5" s="8">
        <f t="shared" ref="E5:AI5" si="1">E4-E3</f>
        <v>26.400000000000006</v>
      </c>
      <c r="F5" s="226">
        <f t="shared" si="1"/>
        <v>27</v>
      </c>
      <c r="G5" s="445">
        <f t="shared" si="1"/>
        <v>0</v>
      </c>
      <c r="H5" s="226">
        <f t="shared" si="1"/>
        <v>28.650000000000006</v>
      </c>
      <c r="I5" s="226">
        <f t="shared" si="1"/>
        <v>26.200000000000017</v>
      </c>
      <c r="J5" s="226">
        <f t="shared" si="1"/>
        <v>18</v>
      </c>
      <c r="K5" s="226">
        <f t="shared" si="1"/>
        <v>0</v>
      </c>
      <c r="L5" s="226">
        <f t="shared" si="1"/>
        <v>0</v>
      </c>
      <c r="M5" s="226">
        <f t="shared" si="1"/>
        <v>0</v>
      </c>
      <c r="N5" s="226">
        <f t="shared" si="1"/>
        <v>0</v>
      </c>
      <c r="O5" s="226">
        <f t="shared" si="1"/>
        <v>0</v>
      </c>
      <c r="P5" s="226">
        <f t="shared" si="1"/>
        <v>12</v>
      </c>
      <c r="Q5" s="445">
        <f t="shared" si="1"/>
        <v>7.8999999999999773</v>
      </c>
      <c r="R5" s="226">
        <f t="shared" si="1"/>
        <v>0</v>
      </c>
      <c r="S5" s="226">
        <f t="shared" si="1"/>
        <v>0</v>
      </c>
      <c r="T5" s="226">
        <f t="shared" si="1"/>
        <v>0</v>
      </c>
      <c r="U5" s="226">
        <f t="shared" si="1"/>
        <v>6.8000000000000114</v>
      </c>
      <c r="V5" s="226">
        <f t="shared" si="1"/>
        <v>16.899999999999977</v>
      </c>
      <c r="W5" s="226">
        <f t="shared" si="1"/>
        <v>12</v>
      </c>
      <c r="X5" s="226">
        <f t="shared" si="1"/>
        <v>1.8000000000000114</v>
      </c>
      <c r="Y5" s="226">
        <f t="shared" si="1"/>
        <v>0</v>
      </c>
      <c r="Z5" s="226">
        <f t="shared" si="1"/>
        <v>0</v>
      </c>
      <c r="AA5" s="445">
        <f t="shared" si="1"/>
        <v>0</v>
      </c>
      <c r="AB5" s="226">
        <f t="shared" si="1"/>
        <v>0</v>
      </c>
      <c r="AC5" s="226">
        <f t="shared" si="1"/>
        <v>0</v>
      </c>
      <c r="AD5" s="226">
        <f t="shared" si="1"/>
        <v>11.600000000000023</v>
      </c>
      <c r="AE5" s="226">
        <f t="shared" si="1"/>
        <v>14.199999999999989</v>
      </c>
      <c r="AF5" s="226">
        <f t="shared" si="1"/>
        <v>0</v>
      </c>
      <c r="AG5" s="226">
        <f t="shared" si="1"/>
        <v>16.600000000000001</v>
      </c>
      <c r="AH5" s="226">
        <f t="shared" si="1"/>
        <v>9.5</v>
      </c>
      <c r="AI5" s="226">
        <f t="shared" si="1"/>
        <v>0</v>
      </c>
      <c r="AJ5" s="12"/>
      <c r="AK5" s="566"/>
      <c r="AL5" s="566"/>
      <c r="AM5" s="566"/>
      <c r="AN5" s="560"/>
      <c r="AO5" s="563"/>
      <c r="AP5" s="560"/>
      <c r="AQ5" s="563"/>
    </row>
    <row r="6" spans="1:43">
      <c r="C6" s="567" t="s">
        <v>497</v>
      </c>
      <c r="D6" s="105" t="s">
        <v>495</v>
      </c>
      <c r="E6" s="6">
        <f t="shared" ref="E6:F6" si="2">E4</f>
        <v>131.9</v>
      </c>
      <c r="F6" s="224">
        <f t="shared" si="2"/>
        <v>183.5</v>
      </c>
      <c r="G6" s="412">
        <f>G4</f>
        <v>150</v>
      </c>
      <c r="H6" s="224">
        <f t="shared" ref="H6:I6" si="3">H4</f>
        <v>180.3</v>
      </c>
      <c r="I6" s="224">
        <f t="shared" si="3"/>
        <v>246.3</v>
      </c>
      <c r="J6" s="224">
        <f>J4</f>
        <v>291.3</v>
      </c>
      <c r="K6" s="224">
        <f t="shared" ref="K6:L6" si="4">K4</f>
        <v>313.89999999999998</v>
      </c>
      <c r="L6" s="224">
        <f t="shared" si="4"/>
        <v>313.89999999999998</v>
      </c>
      <c r="M6" s="224">
        <f>M4</f>
        <v>313.89999999999998</v>
      </c>
      <c r="N6" s="224">
        <f t="shared" ref="N6:O6" si="5">N4</f>
        <v>313.89999999999998</v>
      </c>
      <c r="O6" s="224">
        <f t="shared" si="5"/>
        <v>313.89999999999998</v>
      </c>
      <c r="P6" s="224">
        <f>P4</f>
        <v>330.3</v>
      </c>
      <c r="Q6" s="412">
        <f t="shared" ref="Q6:Y6" si="6">Q4</f>
        <v>368.2</v>
      </c>
      <c r="R6" s="224">
        <f t="shared" si="6"/>
        <v>368.4</v>
      </c>
      <c r="S6" s="224">
        <f>S4</f>
        <v>368.4</v>
      </c>
      <c r="T6" s="224">
        <f t="shared" si="6"/>
        <v>368.4</v>
      </c>
      <c r="U6" s="224">
        <f t="shared" si="6"/>
        <v>375.2</v>
      </c>
      <c r="V6" s="224">
        <f t="shared" si="6"/>
        <v>402.2</v>
      </c>
      <c r="W6" s="224">
        <f t="shared" si="6"/>
        <v>432.2</v>
      </c>
      <c r="X6" s="224">
        <f t="shared" si="6"/>
        <v>434</v>
      </c>
      <c r="Y6" s="224">
        <f t="shared" si="6"/>
        <v>434</v>
      </c>
      <c r="Z6" s="224">
        <f t="shared" ref="Z6:AA6" si="7">Z4</f>
        <v>434</v>
      </c>
      <c r="AA6" s="412">
        <f t="shared" si="7"/>
        <v>434</v>
      </c>
      <c r="AB6" s="224">
        <f>AB4</f>
        <v>434</v>
      </c>
      <c r="AC6" s="224">
        <f t="shared" ref="AC6:AI6" si="8">AC4</f>
        <v>434</v>
      </c>
      <c r="AD6" s="224">
        <f t="shared" si="8"/>
        <v>445.6</v>
      </c>
      <c r="AE6" s="224">
        <f t="shared" si="8"/>
        <v>474.2</v>
      </c>
      <c r="AF6" s="224">
        <f t="shared" si="8"/>
        <v>0</v>
      </c>
      <c r="AG6" s="224">
        <f t="shared" si="8"/>
        <v>16.600000000000001</v>
      </c>
      <c r="AH6" s="224">
        <f t="shared" si="8"/>
        <v>27</v>
      </c>
      <c r="AI6" s="224">
        <f t="shared" si="8"/>
        <v>29.8</v>
      </c>
      <c r="AJ6" s="12"/>
      <c r="AK6" s="564">
        <f>SUM(G8:P8,AA8:AI8)</f>
        <v>161.54999999999998</v>
      </c>
      <c r="AL6" s="564">
        <f>SUM(G8:P8,AA8:AH8)</f>
        <v>149.35</v>
      </c>
      <c r="AM6" s="564">
        <f>SUM(E8:AI8)</f>
        <v>230.95</v>
      </c>
      <c r="AN6" s="558">
        <f>SUM(G8:P8,AA8:AI8)</f>
        <v>161.54999999999998</v>
      </c>
      <c r="AO6" s="561"/>
      <c r="AP6" s="558">
        <f>SUM(E8:F8,Q8:Z8)</f>
        <v>69.400000000000006</v>
      </c>
      <c r="AQ6" s="561"/>
    </row>
    <row r="7" spans="1:43">
      <c r="C7" s="568"/>
      <c r="D7" s="103" t="s">
        <v>496</v>
      </c>
      <c r="E7" s="7">
        <v>156.5</v>
      </c>
      <c r="F7" s="12">
        <v>200</v>
      </c>
      <c r="G7" s="321">
        <v>151.65</v>
      </c>
      <c r="H7" s="414">
        <v>220.1</v>
      </c>
      <c r="I7" s="12">
        <v>273.3</v>
      </c>
      <c r="J7" s="225">
        <v>313.89999999999998</v>
      </c>
      <c r="K7" s="414">
        <v>313.89999999999998</v>
      </c>
      <c r="L7" s="12">
        <v>313.89999999999998</v>
      </c>
      <c r="M7" s="225">
        <v>313.89999999999998</v>
      </c>
      <c r="N7" s="414">
        <v>313.89999999999998</v>
      </c>
      <c r="O7" s="12">
        <v>318.3</v>
      </c>
      <c r="P7" s="225">
        <v>360.3</v>
      </c>
      <c r="Q7" s="447">
        <v>368.4</v>
      </c>
      <c r="R7" s="12">
        <v>368.4</v>
      </c>
      <c r="S7" s="225">
        <v>368.4</v>
      </c>
      <c r="T7" s="414">
        <v>368.4</v>
      </c>
      <c r="U7" s="12">
        <v>385.3</v>
      </c>
      <c r="V7" s="225">
        <v>420.2</v>
      </c>
      <c r="W7" s="414">
        <v>432.2</v>
      </c>
      <c r="X7" s="12">
        <v>434</v>
      </c>
      <c r="Y7" s="12">
        <v>434</v>
      </c>
      <c r="Z7" s="12">
        <v>434</v>
      </c>
      <c r="AA7" s="12">
        <v>434</v>
      </c>
      <c r="AB7" s="12">
        <v>434</v>
      </c>
      <c r="AC7" s="12">
        <v>434</v>
      </c>
      <c r="AD7" s="12">
        <v>460</v>
      </c>
      <c r="AE7" s="225">
        <v>480</v>
      </c>
      <c r="AF7" s="414">
        <v>0</v>
      </c>
      <c r="AG7" s="12">
        <v>17.5</v>
      </c>
      <c r="AH7" s="225">
        <v>29.8</v>
      </c>
      <c r="AI7" s="12">
        <v>42</v>
      </c>
      <c r="AJ7" s="12"/>
      <c r="AK7" s="565"/>
      <c r="AL7" s="565"/>
      <c r="AM7" s="565"/>
      <c r="AN7" s="559"/>
      <c r="AO7" s="562"/>
      <c r="AP7" s="559"/>
      <c r="AQ7" s="562"/>
    </row>
    <row r="8" spans="1:43" ht="15" thickBot="1">
      <c r="C8" s="569"/>
      <c r="D8" s="104" t="s">
        <v>302</v>
      </c>
      <c r="E8" s="9">
        <f t="shared" ref="E8:AI8" si="9">E7-E6</f>
        <v>24.599999999999994</v>
      </c>
      <c r="F8" s="10">
        <f t="shared" si="9"/>
        <v>16.5</v>
      </c>
      <c r="G8" s="445">
        <f t="shared" si="9"/>
        <v>1.6500000000000057</v>
      </c>
      <c r="H8" s="10">
        <f t="shared" si="9"/>
        <v>39.799999999999983</v>
      </c>
      <c r="I8" s="10">
        <f t="shared" si="9"/>
        <v>27</v>
      </c>
      <c r="J8" s="226">
        <f t="shared" si="9"/>
        <v>22.599999999999966</v>
      </c>
      <c r="K8" s="10">
        <f t="shared" si="9"/>
        <v>0</v>
      </c>
      <c r="L8" s="10">
        <f t="shared" si="9"/>
        <v>0</v>
      </c>
      <c r="M8" s="226">
        <f t="shared" si="9"/>
        <v>0</v>
      </c>
      <c r="N8" s="10">
        <f t="shared" si="9"/>
        <v>0</v>
      </c>
      <c r="O8" s="10">
        <f t="shared" si="9"/>
        <v>4.4000000000000341</v>
      </c>
      <c r="P8" s="226">
        <f t="shared" si="9"/>
        <v>30</v>
      </c>
      <c r="Q8" s="448">
        <f t="shared" si="9"/>
        <v>0.19999999999998863</v>
      </c>
      <c r="R8" s="10">
        <f t="shared" si="9"/>
        <v>0</v>
      </c>
      <c r="S8" s="226">
        <f t="shared" si="9"/>
        <v>0</v>
      </c>
      <c r="T8" s="10">
        <f t="shared" si="9"/>
        <v>0</v>
      </c>
      <c r="U8" s="10">
        <f t="shared" si="9"/>
        <v>10.100000000000023</v>
      </c>
      <c r="V8" s="226">
        <f t="shared" si="9"/>
        <v>18</v>
      </c>
      <c r="W8" s="10">
        <f t="shared" si="9"/>
        <v>0</v>
      </c>
      <c r="X8" s="10">
        <f t="shared" si="9"/>
        <v>0</v>
      </c>
      <c r="Y8" s="226">
        <f t="shared" si="9"/>
        <v>0</v>
      </c>
      <c r="Z8" s="10">
        <f t="shared" si="9"/>
        <v>0</v>
      </c>
      <c r="AA8" s="448">
        <f t="shared" si="9"/>
        <v>0</v>
      </c>
      <c r="AB8" s="226">
        <f t="shared" si="9"/>
        <v>0</v>
      </c>
      <c r="AC8" s="10">
        <f t="shared" si="9"/>
        <v>0</v>
      </c>
      <c r="AD8" s="10">
        <f t="shared" si="9"/>
        <v>14.399999999999977</v>
      </c>
      <c r="AE8" s="226">
        <f t="shared" si="9"/>
        <v>5.8000000000000114</v>
      </c>
      <c r="AF8" s="10">
        <f t="shared" si="9"/>
        <v>0</v>
      </c>
      <c r="AG8" s="10">
        <f t="shared" si="9"/>
        <v>0.89999999999999858</v>
      </c>
      <c r="AH8" s="226">
        <f t="shared" si="9"/>
        <v>2.8000000000000007</v>
      </c>
      <c r="AI8" s="10">
        <f t="shared" si="9"/>
        <v>12.2</v>
      </c>
      <c r="AJ8" s="12"/>
      <c r="AK8" s="566"/>
      <c r="AL8" s="566"/>
      <c r="AM8" s="566"/>
      <c r="AN8" s="560"/>
      <c r="AO8" s="563"/>
      <c r="AP8" s="560"/>
      <c r="AQ8" s="563"/>
    </row>
    <row r="9" spans="1:43" ht="15" thickBot="1">
      <c r="D9" s="106" t="s">
        <v>498</v>
      </c>
      <c r="E9" s="227">
        <f t="shared" ref="E9:AI9" si="10">E5+E8</f>
        <v>51</v>
      </c>
      <c r="F9" s="11">
        <f t="shared" si="10"/>
        <v>43.5</v>
      </c>
      <c r="G9" s="416">
        <f t="shared" si="10"/>
        <v>1.6500000000000057</v>
      </c>
      <c r="H9" s="11">
        <f t="shared" si="10"/>
        <v>68.449999999999989</v>
      </c>
      <c r="I9" s="11">
        <f t="shared" si="10"/>
        <v>53.200000000000017</v>
      </c>
      <c r="J9" s="11">
        <f t="shared" si="10"/>
        <v>40.599999999999966</v>
      </c>
      <c r="K9" s="11">
        <f t="shared" si="10"/>
        <v>0</v>
      </c>
      <c r="L9" s="11">
        <f t="shared" si="10"/>
        <v>0</v>
      </c>
      <c r="M9" s="11">
        <f t="shared" si="10"/>
        <v>0</v>
      </c>
      <c r="N9" s="11">
        <f t="shared" si="10"/>
        <v>0</v>
      </c>
      <c r="O9" s="11">
        <f t="shared" si="10"/>
        <v>4.4000000000000341</v>
      </c>
      <c r="P9" s="11">
        <f t="shared" si="10"/>
        <v>42</v>
      </c>
      <c r="Q9" s="416">
        <f t="shared" si="10"/>
        <v>8.0999999999999659</v>
      </c>
      <c r="R9" s="11">
        <f t="shared" si="10"/>
        <v>0</v>
      </c>
      <c r="S9" s="11">
        <f t="shared" si="10"/>
        <v>0</v>
      </c>
      <c r="T9" s="11">
        <f t="shared" si="10"/>
        <v>0</v>
      </c>
      <c r="U9" s="11">
        <f t="shared" si="10"/>
        <v>16.900000000000034</v>
      </c>
      <c r="V9" s="11">
        <f t="shared" si="10"/>
        <v>34.899999999999977</v>
      </c>
      <c r="W9" s="11">
        <f t="shared" si="10"/>
        <v>12</v>
      </c>
      <c r="X9" s="11">
        <f t="shared" si="10"/>
        <v>1.8000000000000114</v>
      </c>
      <c r="Y9" s="11">
        <f t="shared" si="10"/>
        <v>0</v>
      </c>
      <c r="Z9" s="11">
        <f t="shared" si="10"/>
        <v>0</v>
      </c>
      <c r="AA9" s="416">
        <f t="shared" si="10"/>
        <v>0</v>
      </c>
      <c r="AB9" s="11">
        <f t="shared" si="10"/>
        <v>0</v>
      </c>
      <c r="AC9" s="11">
        <f t="shared" si="10"/>
        <v>0</v>
      </c>
      <c r="AD9" s="11">
        <f t="shared" si="10"/>
        <v>26</v>
      </c>
      <c r="AE9" s="11">
        <f t="shared" si="10"/>
        <v>20</v>
      </c>
      <c r="AF9" s="11">
        <f t="shared" si="10"/>
        <v>0</v>
      </c>
      <c r="AG9" s="11">
        <f t="shared" si="10"/>
        <v>17.5</v>
      </c>
      <c r="AH9" s="11">
        <f t="shared" si="10"/>
        <v>12.3</v>
      </c>
      <c r="AI9" s="11">
        <f t="shared" si="10"/>
        <v>12.2</v>
      </c>
      <c r="AJ9" s="12"/>
      <c r="AK9" s="17">
        <f>AK3+AK6</f>
        <v>298.3</v>
      </c>
      <c r="AL9" s="56">
        <f>AL3+AL6</f>
        <v>248.14999999999998</v>
      </c>
      <c r="AM9" s="17">
        <f>AM3+AM6</f>
        <v>466.5</v>
      </c>
      <c r="AN9" s="17">
        <f>SUM(AN3:AN8)</f>
        <v>298.3</v>
      </c>
      <c r="AO9" s="17">
        <f>SUM(AO3:AO8)</f>
        <v>0</v>
      </c>
      <c r="AP9" s="17">
        <f>AP3+AP6</f>
        <v>168.2</v>
      </c>
      <c r="AQ9" s="17">
        <f>AQ3+AQ6</f>
        <v>0</v>
      </c>
    </row>
    <row r="10" spans="1:43" ht="16.5" customHeight="1">
      <c r="B10" s="435" t="s">
        <v>1</v>
      </c>
      <c r="C10" s="436" t="s">
        <v>6</v>
      </c>
      <c r="D10" s="436" t="s">
        <v>7</v>
      </c>
      <c r="E10" s="437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9"/>
      <c r="AK10" s="440"/>
      <c r="AL10" s="441" t="s">
        <v>354</v>
      </c>
      <c r="AM10" s="442" t="s">
        <v>355</v>
      </c>
      <c r="AN10" s="441" t="s">
        <v>366</v>
      </c>
      <c r="AO10" s="443"/>
      <c r="AP10" s="444"/>
    </row>
    <row r="11" spans="1:43" ht="15" hidden="1" customHeight="1">
      <c r="A11" t="s">
        <v>32</v>
      </c>
      <c r="B11" s="332" t="s">
        <v>36</v>
      </c>
      <c r="C11" s="333" t="s">
        <v>37</v>
      </c>
      <c r="D11" s="333" t="s">
        <v>38</v>
      </c>
      <c r="E11" s="430">
        <v>0</v>
      </c>
      <c r="F11" s="414">
        <v>0</v>
      </c>
      <c r="G11" s="446">
        <f>G9</f>
        <v>1.6500000000000057</v>
      </c>
      <c r="H11" s="414">
        <v>0</v>
      </c>
      <c r="I11" s="414">
        <v>0</v>
      </c>
      <c r="J11" s="414">
        <v>0</v>
      </c>
      <c r="K11" s="414">
        <v>0</v>
      </c>
      <c r="L11" s="414">
        <v>0</v>
      </c>
      <c r="M11" s="414">
        <v>0</v>
      </c>
      <c r="N11" s="414">
        <v>0</v>
      </c>
      <c r="O11" s="414">
        <v>0</v>
      </c>
      <c r="P11" s="414">
        <v>0</v>
      </c>
      <c r="Q11" s="446">
        <v>0</v>
      </c>
      <c r="R11" s="449">
        <v>0</v>
      </c>
      <c r="S11" s="414">
        <v>0</v>
      </c>
      <c r="T11" s="414">
        <v>0</v>
      </c>
      <c r="U11" s="414">
        <v>0</v>
      </c>
      <c r="V11" s="414">
        <v>0</v>
      </c>
      <c r="W11" s="414">
        <v>0</v>
      </c>
      <c r="X11" s="414">
        <v>0</v>
      </c>
      <c r="Y11" s="414">
        <v>0</v>
      </c>
      <c r="Z11" s="414">
        <v>0</v>
      </c>
      <c r="AA11" s="446">
        <v>0</v>
      </c>
      <c r="AB11" s="449">
        <v>0</v>
      </c>
      <c r="AC11" s="414">
        <v>0</v>
      </c>
      <c r="AD11" s="414">
        <v>0</v>
      </c>
      <c r="AE11" s="414">
        <v>0</v>
      </c>
      <c r="AF11" s="414">
        <v>0</v>
      </c>
      <c r="AG11" s="414">
        <v>0</v>
      </c>
      <c r="AH11" s="414">
        <v>0</v>
      </c>
      <c r="AI11" s="431">
        <v>0</v>
      </c>
      <c r="AJ11" s="12"/>
      <c r="AK11" s="432">
        <f>SUM(E11:AI11)</f>
        <v>1.6500000000000057</v>
      </c>
      <c r="AL11" s="432">
        <f>SUM(E11:AI11)</f>
        <v>1.6500000000000057</v>
      </c>
      <c r="AM11" s="432">
        <v>0</v>
      </c>
      <c r="AN11" s="433"/>
      <c r="AO11" s="432">
        <f>AL11+AM11+AN11</f>
        <v>1.6500000000000057</v>
      </c>
      <c r="AP11" s="434" t="str">
        <f t="shared" ref="AP11:AP75" si="11">IF(AO11=AK11,"V","F")</f>
        <v>V</v>
      </c>
    </row>
    <row r="12" spans="1:43" ht="15" hidden="1" customHeight="1">
      <c r="A12" t="s">
        <v>32</v>
      </c>
      <c r="B12" s="54" t="s">
        <v>41</v>
      </c>
      <c r="C12" s="43" t="s">
        <v>42</v>
      </c>
      <c r="D12" s="43" t="s">
        <v>38</v>
      </c>
      <c r="E12" s="430">
        <v>0</v>
      </c>
      <c r="F12" s="414">
        <v>0</v>
      </c>
      <c r="G12" s="447">
        <v>0</v>
      </c>
      <c r="H12" s="414">
        <v>0</v>
      </c>
      <c r="I12" s="414">
        <v>0</v>
      </c>
      <c r="J12" s="414">
        <v>0</v>
      </c>
      <c r="K12" s="414">
        <v>0</v>
      </c>
      <c r="L12" s="414">
        <v>0</v>
      </c>
      <c r="M12" s="414">
        <v>0</v>
      </c>
      <c r="N12" s="414">
        <v>0</v>
      </c>
      <c r="O12" s="414">
        <v>0</v>
      </c>
      <c r="P12" s="414">
        <v>0</v>
      </c>
      <c r="Q12" s="447">
        <v>0</v>
      </c>
      <c r="R12" s="414">
        <v>0</v>
      </c>
      <c r="S12" s="414">
        <v>0</v>
      </c>
      <c r="T12" s="414">
        <v>0</v>
      </c>
      <c r="U12" s="414">
        <v>0</v>
      </c>
      <c r="V12" s="414">
        <v>0</v>
      </c>
      <c r="W12" s="414">
        <v>0</v>
      </c>
      <c r="X12" s="414">
        <v>0</v>
      </c>
      <c r="Y12" s="414">
        <v>0</v>
      </c>
      <c r="Z12" s="414">
        <v>0</v>
      </c>
      <c r="AA12" s="447">
        <v>0</v>
      </c>
      <c r="AB12" s="414">
        <v>0</v>
      </c>
      <c r="AC12" s="414">
        <v>0</v>
      </c>
      <c r="AD12" s="414">
        <v>0</v>
      </c>
      <c r="AE12" s="414">
        <v>0</v>
      </c>
      <c r="AF12" s="414">
        <v>0</v>
      </c>
      <c r="AG12" s="414">
        <v>0</v>
      </c>
      <c r="AH12" s="414">
        <v>0</v>
      </c>
      <c r="AI12" s="431">
        <v>0</v>
      </c>
      <c r="AJ12" s="12"/>
      <c r="AK12" s="174">
        <f>SUM(E12:AI12)</f>
        <v>0</v>
      </c>
      <c r="AL12" s="174">
        <f>SUM(E12:AI12)</f>
        <v>0</v>
      </c>
      <c r="AM12" s="174">
        <v>0</v>
      </c>
      <c r="AN12" s="175"/>
      <c r="AO12" s="174">
        <f t="shared" ref="AO12:AO76" si="12">AL12+AM12+AN12</f>
        <v>0</v>
      </c>
      <c r="AP12" s="171" t="str">
        <f t="shared" si="11"/>
        <v>V</v>
      </c>
    </row>
    <row r="13" spans="1:43" ht="15" hidden="1" customHeight="1">
      <c r="A13" t="s">
        <v>32</v>
      </c>
      <c r="B13" s="54" t="s">
        <v>321</v>
      </c>
      <c r="C13" s="43" t="s">
        <v>322</v>
      </c>
      <c r="D13" s="43" t="s">
        <v>110</v>
      </c>
      <c r="E13" s="430">
        <v>0</v>
      </c>
      <c r="F13" s="414">
        <v>0</v>
      </c>
      <c r="G13" s="447">
        <v>0</v>
      </c>
      <c r="H13" s="414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0</v>
      </c>
      <c r="N13" s="414">
        <v>0</v>
      </c>
      <c r="O13" s="414">
        <v>0</v>
      </c>
      <c r="P13" s="414">
        <v>0</v>
      </c>
      <c r="Q13" s="447">
        <v>0</v>
      </c>
      <c r="R13" s="414">
        <v>0</v>
      </c>
      <c r="S13" s="414">
        <v>0</v>
      </c>
      <c r="T13" s="414">
        <v>0</v>
      </c>
      <c r="U13" s="414">
        <v>0</v>
      </c>
      <c r="V13" s="414">
        <v>0</v>
      </c>
      <c r="W13" s="414">
        <v>0</v>
      </c>
      <c r="X13" s="414">
        <v>0</v>
      </c>
      <c r="Y13" s="414">
        <v>0</v>
      </c>
      <c r="Z13" s="414">
        <v>0</v>
      </c>
      <c r="AA13" s="447">
        <v>0</v>
      </c>
      <c r="AB13" s="414">
        <v>0</v>
      </c>
      <c r="AC13" s="414">
        <v>0</v>
      </c>
      <c r="AD13" s="414">
        <v>0</v>
      </c>
      <c r="AE13" s="414">
        <v>0</v>
      </c>
      <c r="AF13" s="414">
        <v>0</v>
      </c>
      <c r="AG13" s="414">
        <v>0</v>
      </c>
      <c r="AH13" s="414">
        <v>0</v>
      </c>
      <c r="AI13" s="431">
        <v>0</v>
      </c>
      <c r="AJ13" s="12"/>
      <c r="AK13" s="174">
        <f t="shared" ref="AK13:AK76" si="13">SUM(E13:AI13)</f>
        <v>0</v>
      </c>
      <c r="AL13" s="174">
        <f t="shared" ref="AL13:AL76" si="14">SUM(E13:AI13)</f>
        <v>0</v>
      </c>
      <c r="AM13" s="174">
        <v>0</v>
      </c>
      <c r="AN13" s="175"/>
      <c r="AO13" s="174">
        <f t="shared" si="12"/>
        <v>0</v>
      </c>
      <c r="AP13" s="171" t="str">
        <f t="shared" si="11"/>
        <v>V</v>
      </c>
    </row>
    <row r="14" spans="1:43" ht="15" hidden="1" customHeight="1">
      <c r="A14" t="s">
        <v>32</v>
      </c>
      <c r="B14" s="54" t="s">
        <v>44</v>
      </c>
      <c r="C14" s="43" t="s">
        <v>45</v>
      </c>
      <c r="D14" s="43" t="s">
        <v>38</v>
      </c>
      <c r="E14" s="430">
        <v>0</v>
      </c>
      <c r="F14" s="414">
        <v>0</v>
      </c>
      <c r="G14" s="447">
        <v>0</v>
      </c>
      <c r="H14" s="414">
        <v>0</v>
      </c>
      <c r="I14" s="414">
        <v>0</v>
      </c>
      <c r="J14" s="414">
        <v>0</v>
      </c>
      <c r="K14" s="414">
        <v>0</v>
      </c>
      <c r="L14" s="414">
        <v>0</v>
      </c>
      <c r="M14" s="414">
        <v>0</v>
      </c>
      <c r="N14" s="414">
        <v>0</v>
      </c>
      <c r="O14" s="414">
        <v>0</v>
      </c>
      <c r="P14" s="414">
        <v>0</v>
      </c>
      <c r="Q14" s="447">
        <v>0</v>
      </c>
      <c r="R14" s="414">
        <v>0</v>
      </c>
      <c r="S14" s="414">
        <v>0</v>
      </c>
      <c r="T14" s="414">
        <v>0</v>
      </c>
      <c r="U14" s="414">
        <v>0</v>
      </c>
      <c r="V14" s="414">
        <v>0</v>
      </c>
      <c r="W14" s="414">
        <v>0</v>
      </c>
      <c r="X14" s="414">
        <v>0</v>
      </c>
      <c r="Y14" s="414">
        <v>0</v>
      </c>
      <c r="Z14" s="414">
        <v>0</v>
      </c>
      <c r="AA14" s="447">
        <v>0</v>
      </c>
      <c r="AB14" s="414">
        <v>0</v>
      </c>
      <c r="AC14" s="414">
        <v>0</v>
      </c>
      <c r="AD14" s="414">
        <v>0</v>
      </c>
      <c r="AE14" s="414">
        <v>0</v>
      </c>
      <c r="AF14" s="414">
        <v>0</v>
      </c>
      <c r="AG14" s="414">
        <v>0</v>
      </c>
      <c r="AH14" s="414">
        <v>0</v>
      </c>
      <c r="AI14" s="431">
        <v>0</v>
      </c>
      <c r="AJ14" s="12"/>
      <c r="AK14" s="174">
        <f t="shared" si="13"/>
        <v>0</v>
      </c>
      <c r="AL14" s="174">
        <f t="shared" si="14"/>
        <v>0</v>
      </c>
      <c r="AM14" s="174">
        <v>0</v>
      </c>
      <c r="AN14" s="175"/>
      <c r="AO14" s="174">
        <f t="shared" si="12"/>
        <v>0</v>
      </c>
      <c r="AP14" s="171" t="str">
        <f t="shared" si="11"/>
        <v>V</v>
      </c>
    </row>
    <row r="15" spans="1:43" ht="15" hidden="1" customHeight="1">
      <c r="A15" t="s">
        <v>32</v>
      </c>
      <c r="B15" s="54" t="s">
        <v>108</v>
      </c>
      <c r="C15" s="43" t="s">
        <v>109</v>
      </c>
      <c r="D15" s="43" t="s">
        <v>110</v>
      </c>
      <c r="E15" s="430">
        <v>0</v>
      </c>
      <c r="F15" s="414">
        <v>0</v>
      </c>
      <c r="G15" s="321">
        <f>G9</f>
        <v>1.6500000000000057</v>
      </c>
      <c r="H15" s="225">
        <f t="shared" ref="H15:P15" si="15">H9</f>
        <v>68.449999999999989</v>
      </c>
      <c r="I15" s="225">
        <f t="shared" si="15"/>
        <v>53.200000000000017</v>
      </c>
      <c r="J15" s="225">
        <f t="shared" si="15"/>
        <v>40.599999999999966</v>
      </c>
      <c r="K15" s="225">
        <f t="shared" si="15"/>
        <v>0</v>
      </c>
      <c r="L15" s="225">
        <f t="shared" si="15"/>
        <v>0</v>
      </c>
      <c r="M15" s="225">
        <f t="shared" si="15"/>
        <v>0</v>
      </c>
      <c r="N15" s="225">
        <f t="shared" si="15"/>
        <v>0</v>
      </c>
      <c r="O15" s="225">
        <f t="shared" si="15"/>
        <v>4.4000000000000341</v>
      </c>
      <c r="P15" s="15">
        <f t="shared" si="15"/>
        <v>42</v>
      </c>
      <c r="Q15" s="447">
        <v>0</v>
      </c>
      <c r="R15" s="414">
        <v>0</v>
      </c>
      <c r="S15" s="414">
        <v>0</v>
      </c>
      <c r="T15" s="414">
        <v>0</v>
      </c>
      <c r="U15" s="414">
        <v>0</v>
      </c>
      <c r="V15" s="414">
        <v>0</v>
      </c>
      <c r="W15" s="414">
        <v>0</v>
      </c>
      <c r="X15" s="414">
        <v>0</v>
      </c>
      <c r="Y15" s="414">
        <v>0</v>
      </c>
      <c r="Z15" s="414">
        <v>0</v>
      </c>
      <c r="AA15" s="447">
        <v>0</v>
      </c>
      <c r="AB15" s="414">
        <v>0</v>
      </c>
      <c r="AC15" s="414">
        <v>0</v>
      </c>
      <c r="AD15" s="225">
        <f>AD9</f>
        <v>26</v>
      </c>
      <c r="AE15" s="225">
        <f t="shared" ref="AE15:AI15" si="16">AE9</f>
        <v>20</v>
      </c>
      <c r="AF15" s="225">
        <f t="shared" si="16"/>
        <v>0</v>
      </c>
      <c r="AG15" s="225">
        <f t="shared" si="16"/>
        <v>17.5</v>
      </c>
      <c r="AH15" s="225">
        <f t="shared" si="16"/>
        <v>12.3</v>
      </c>
      <c r="AI15" s="458">
        <f t="shared" si="16"/>
        <v>12.2</v>
      </c>
      <c r="AJ15" s="12"/>
      <c r="AK15" s="174">
        <f t="shared" si="13"/>
        <v>298.3</v>
      </c>
      <c r="AL15" s="174">
        <f t="shared" si="14"/>
        <v>298.3</v>
      </c>
      <c r="AM15" s="174">
        <v>0</v>
      </c>
      <c r="AN15" s="175"/>
      <c r="AO15" s="174">
        <f t="shared" si="12"/>
        <v>298.3</v>
      </c>
      <c r="AP15" s="171" t="str">
        <f t="shared" si="11"/>
        <v>V</v>
      </c>
    </row>
    <row r="16" spans="1:43" ht="15" hidden="1" customHeight="1">
      <c r="A16" t="s">
        <v>32</v>
      </c>
      <c r="B16" s="54" t="s">
        <v>47</v>
      </c>
      <c r="C16" s="43" t="s">
        <v>311</v>
      </c>
      <c r="D16" s="43" t="s">
        <v>38</v>
      </c>
      <c r="E16" s="430">
        <v>0</v>
      </c>
      <c r="F16" s="414">
        <v>0</v>
      </c>
      <c r="G16" s="447">
        <f>G9</f>
        <v>1.6500000000000057</v>
      </c>
      <c r="H16" s="414">
        <f t="shared" ref="H16:P16" si="17">H9</f>
        <v>68.449999999999989</v>
      </c>
      <c r="I16" s="414">
        <f t="shared" si="17"/>
        <v>53.200000000000017</v>
      </c>
      <c r="J16" s="414">
        <f t="shared" si="17"/>
        <v>40.599999999999966</v>
      </c>
      <c r="K16" s="414">
        <f t="shared" si="17"/>
        <v>0</v>
      </c>
      <c r="L16" s="414">
        <f t="shared" si="17"/>
        <v>0</v>
      </c>
      <c r="M16" s="414">
        <f t="shared" si="17"/>
        <v>0</v>
      </c>
      <c r="N16" s="414">
        <f t="shared" si="17"/>
        <v>0</v>
      </c>
      <c r="O16" s="414">
        <f t="shared" si="17"/>
        <v>4.4000000000000341</v>
      </c>
      <c r="P16" s="415">
        <f t="shared" si="17"/>
        <v>42</v>
      </c>
      <c r="Q16" s="447">
        <v>0</v>
      </c>
      <c r="R16" s="414">
        <v>0</v>
      </c>
      <c r="S16" s="414">
        <v>0</v>
      </c>
      <c r="T16" s="414">
        <v>0</v>
      </c>
      <c r="U16" s="414">
        <v>0</v>
      </c>
      <c r="V16" s="414">
        <v>0</v>
      </c>
      <c r="W16" s="414">
        <v>0</v>
      </c>
      <c r="X16" s="414">
        <v>0</v>
      </c>
      <c r="Y16" s="414">
        <v>0</v>
      </c>
      <c r="Z16" s="414">
        <v>0</v>
      </c>
      <c r="AA16" s="447">
        <v>0</v>
      </c>
      <c r="AB16" s="414">
        <v>0</v>
      </c>
      <c r="AC16" s="414">
        <v>0</v>
      </c>
      <c r="AD16" s="414">
        <f>AD9</f>
        <v>26</v>
      </c>
      <c r="AE16" s="414">
        <f t="shared" ref="AE16:AI16" si="18">AE9</f>
        <v>20</v>
      </c>
      <c r="AF16" s="414">
        <f t="shared" si="18"/>
        <v>0</v>
      </c>
      <c r="AG16" s="414">
        <f t="shared" si="18"/>
        <v>17.5</v>
      </c>
      <c r="AH16" s="414">
        <f t="shared" si="18"/>
        <v>12.3</v>
      </c>
      <c r="AI16" s="431">
        <f t="shared" si="18"/>
        <v>12.2</v>
      </c>
      <c r="AJ16" s="12"/>
      <c r="AK16" s="174">
        <f t="shared" si="13"/>
        <v>298.3</v>
      </c>
      <c r="AL16" s="174">
        <f t="shared" si="14"/>
        <v>298.3</v>
      </c>
      <c r="AM16" s="174">
        <v>0</v>
      </c>
      <c r="AN16" s="175"/>
      <c r="AO16" s="174">
        <f t="shared" si="12"/>
        <v>298.3</v>
      </c>
      <c r="AP16" s="171" t="str">
        <f t="shared" si="11"/>
        <v>V</v>
      </c>
    </row>
    <row r="17" spans="1:42" ht="15" hidden="1" customHeight="1">
      <c r="A17" t="s">
        <v>32</v>
      </c>
      <c r="B17" s="54" t="s">
        <v>331</v>
      </c>
      <c r="C17" s="43" t="s">
        <v>332</v>
      </c>
      <c r="D17" s="43" t="s">
        <v>110</v>
      </c>
      <c r="E17" s="430">
        <v>0</v>
      </c>
      <c r="F17" s="414">
        <v>0</v>
      </c>
      <c r="G17" s="447">
        <v>0</v>
      </c>
      <c r="H17" s="414">
        <v>0</v>
      </c>
      <c r="I17" s="414">
        <v>0</v>
      </c>
      <c r="J17" s="414">
        <v>0</v>
      </c>
      <c r="K17" s="414">
        <v>0</v>
      </c>
      <c r="L17" s="414">
        <v>0</v>
      </c>
      <c r="M17" s="414">
        <v>0</v>
      </c>
      <c r="N17" s="414">
        <v>0</v>
      </c>
      <c r="O17" s="414">
        <v>0</v>
      </c>
      <c r="P17" s="415">
        <v>0</v>
      </c>
      <c r="Q17" s="447">
        <v>0</v>
      </c>
      <c r="R17" s="414">
        <v>0</v>
      </c>
      <c r="S17" s="414">
        <v>0</v>
      </c>
      <c r="T17" s="414">
        <v>0</v>
      </c>
      <c r="U17" s="414">
        <v>0</v>
      </c>
      <c r="V17" s="414">
        <v>0</v>
      </c>
      <c r="W17" s="414">
        <v>0</v>
      </c>
      <c r="X17" s="414">
        <v>0</v>
      </c>
      <c r="Y17" s="414">
        <v>0</v>
      </c>
      <c r="Z17" s="414">
        <v>0</v>
      </c>
      <c r="AA17" s="447">
        <v>0</v>
      </c>
      <c r="AB17" s="414">
        <v>0</v>
      </c>
      <c r="AC17" s="414">
        <v>0</v>
      </c>
      <c r="AD17" s="414">
        <v>0</v>
      </c>
      <c r="AE17" s="414">
        <v>0</v>
      </c>
      <c r="AF17" s="414">
        <v>0</v>
      </c>
      <c r="AG17" s="414">
        <v>0</v>
      </c>
      <c r="AH17" s="414">
        <v>0</v>
      </c>
      <c r="AI17" s="431">
        <v>0</v>
      </c>
      <c r="AJ17" s="12"/>
      <c r="AK17" s="174">
        <f t="shared" si="13"/>
        <v>0</v>
      </c>
      <c r="AL17" s="174">
        <f t="shared" si="14"/>
        <v>0</v>
      </c>
      <c r="AM17" s="174">
        <v>0</v>
      </c>
      <c r="AN17" s="175"/>
      <c r="AO17" s="174">
        <f t="shared" si="12"/>
        <v>0</v>
      </c>
      <c r="AP17" s="171" t="str">
        <f t="shared" si="11"/>
        <v>V</v>
      </c>
    </row>
    <row r="18" spans="1:42" ht="15" hidden="1" customHeight="1">
      <c r="A18" t="s">
        <v>32</v>
      </c>
      <c r="B18" s="54" t="s">
        <v>50</v>
      </c>
      <c r="C18" s="43" t="s">
        <v>51</v>
      </c>
      <c r="D18" s="43" t="s">
        <v>38</v>
      </c>
      <c r="E18" s="430">
        <v>0</v>
      </c>
      <c r="F18" s="414">
        <v>0</v>
      </c>
      <c r="G18" s="447">
        <v>0</v>
      </c>
      <c r="H18" s="414">
        <v>0</v>
      </c>
      <c r="I18" s="414">
        <v>0</v>
      </c>
      <c r="J18" s="414">
        <v>0</v>
      </c>
      <c r="K18" s="414">
        <v>0</v>
      </c>
      <c r="L18" s="414">
        <v>0</v>
      </c>
      <c r="M18" s="414">
        <v>0</v>
      </c>
      <c r="N18" s="414">
        <v>0</v>
      </c>
      <c r="O18" s="414">
        <v>0</v>
      </c>
      <c r="P18" s="415">
        <v>0</v>
      </c>
      <c r="Q18" s="447">
        <v>0</v>
      </c>
      <c r="R18" s="414">
        <v>0</v>
      </c>
      <c r="S18" s="414">
        <v>0</v>
      </c>
      <c r="T18" s="414">
        <v>0</v>
      </c>
      <c r="U18" s="414">
        <v>0</v>
      </c>
      <c r="V18" s="414">
        <v>0</v>
      </c>
      <c r="W18" s="414">
        <v>0</v>
      </c>
      <c r="X18" s="414">
        <v>0</v>
      </c>
      <c r="Y18" s="414">
        <v>0</v>
      </c>
      <c r="Z18" s="414">
        <v>0</v>
      </c>
      <c r="AA18" s="447">
        <v>0</v>
      </c>
      <c r="AB18" s="414">
        <v>0</v>
      </c>
      <c r="AC18" s="414">
        <v>0</v>
      </c>
      <c r="AD18" s="414">
        <v>0</v>
      </c>
      <c r="AE18" s="414">
        <v>0</v>
      </c>
      <c r="AF18" s="414">
        <v>0</v>
      </c>
      <c r="AG18" s="414">
        <v>0</v>
      </c>
      <c r="AH18" s="414">
        <v>0</v>
      </c>
      <c r="AI18" s="431">
        <v>0</v>
      </c>
      <c r="AJ18" s="12"/>
      <c r="AK18" s="174">
        <f t="shared" si="13"/>
        <v>0</v>
      </c>
      <c r="AL18" s="174">
        <f t="shared" si="14"/>
        <v>0</v>
      </c>
      <c r="AM18" s="174">
        <v>0</v>
      </c>
      <c r="AN18" s="175"/>
      <c r="AO18" s="174">
        <f t="shared" si="12"/>
        <v>0</v>
      </c>
      <c r="AP18" s="171" t="str">
        <f t="shared" si="11"/>
        <v>V</v>
      </c>
    </row>
    <row r="19" spans="1:42" ht="15" hidden="1" customHeight="1">
      <c r="A19" t="s">
        <v>32</v>
      </c>
      <c r="B19" s="54" t="s">
        <v>336</v>
      </c>
      <c r="C19" s="43" t="s">
        <v>337</v>
      </c>
      <c r="D19" s="43" t="s">
        <v>110</v>
      </c>
      <c r="E19" s="430">
        <v>0</v>
      </c>
      <c r="F19" s="414">
        <v>0</v>
      </c>
      <c r="G19" s="447">
        <v>0</v>
      </c>
      <c r="H19" s="414">
        <v>0</v>
      </c>
      <c r="I19" s="414">
        <v>0</v>
      </c>
      <c r="J19" s="414">
        <v>0</v>
      </c>
      <c r="K19" s="414">
        <v>0</v>
      </c>
      <c r="L19" s="414">
        <v>0</v>
      </c>
      <c r="M19" s="414">
        <v>0</v>
      </c>
      <c r="N19" s="414">
        <v>0</v>
      </c>
      <c r="O19" s="414">
        <v>0</v>
      </c>
      <c r="P19" s="415">
        <v>0</v>
      </c>
      <c r="Q19" s="447">
        <v>0</v>
      </c>
      <c r="R19" s="414">
        <v>0</v>
      </c>
      <c r="S19" s="414">
        <v>0</v>
      </c>
      <c r="T19" s="414">
        <v>0</v>
      </c>
      <c r="U19" s="414">
        <v>0</v>
      </c>
      <c r="V19" s="414">
        <v>0</v>
      </c>
      <c r="W19" s="414">
        <v>0</v>
      </c>
      <c r="X19" s="414">
        <v>0</v>
      </c>
      <c r="Y19" s="414">
        <v>0</v>
      </c>
      <c r="Z19" s="414">
        <v>0</v>
      </c>
      <c r="AA19" s="447">
        <v>0</v>
      </c>
      <c r="AB19" s="414">
        <v>0</v>
      </c>
      <c r="AC19" s="414">
        <v>0</v>
      </c>
      <c r="AD19" s="414">
        <v>0</v>
      </c>
      <c r="AE19" s="414">
        <v>0</v>
      </c>
      <c r="AF19" s="414">
        <v>0</v>
      </c>
      <c r="AG19" s="414">
        <v>0</v>
      </c>
      <c r="AH19" s="414">
        <v>0</v>
      </c>
      <c r="AI19" s="431">
        <v>0</v>
      </c>
      <c r="AJ19" s="12"/>
      <c r="AK19" s="174">
        <f t="shared" si="13"/>
        <v>0</v>
      </c>
      <c r="AL19" s="174">
        <f t="shared" si="14"/>
        <v>0</v>
      </c>
      <c r="AM19" s="174">
        <v>0</v>
      </c>
      <c r="AN19" s="175"/>
      <c r="AO19" s="174">
        <f t="shared" si="12"/>
        <v>0</v>
      </c>
      <c r="AP19" s="171" t="str">
        <f t="shared" si="11"/>
        <v>V</v>
      </c>
    </row>
    <row r="20" spans="1:42" ht="15" hidden="1" customHeight="1">
      <c r="A20" t="s">
        <v>32</v>
      </c>
      <c r="B20" s="54" t="s">
        <v>112</v>
      </c>
      <c r="C20" s="43" t="s">
        <v>113</v>
      </c>
      <c r="D20" s="43" t="s">
        <v>110</v>
      </c>
      <c r="E20" s="430">
        <v>0</v>
      </c>
      <c r="F20" s="414">
        <v>0</v>
      </c>
      <c r="G20" s="447">
        <v>0</v>
      </c>
      <c r="H20" s="414">
        <v>0</v>
      </c>
      <c r="I20" s="414">
        <v>0</v>
      </c>
      <c r="J20" s="414">
        <v>0</v>
      </c>
      <c r="K20" s="414">
        <v>0</v>
      </c>
      <c r="L20" s="414">
        <v>0</v>
      </c>
      <c r="M20" s="414">
        <v>0</v>
      </c>
      <c r="N20" s="414">
        <v>0</v>
      </c>
      <c r="O20" s="414">
        <f>O9</f>
        <v>4.4000000000000341</v>
      </c>
      <c r="P20" s="414">
        <f>P9</f>
        <v>42</v>
      </c>
      <c r="Q20" s="447">
        <v>0</v>
      </c>
      <c r="R20" s="414">
        <v>0</v>
      </c>
      <c r="S20" s="414">
        <v>0</v>
      </c>
      <c r="T20" s="414">
        <v>0</v>
      </c>
      <c r="U20" s="414">
        <v>0</v>
      </c>
      <c r="V20" s="414">
        <v>0</v>
      </c>
      <c r="W20" s="414">
        <v>0</v>
      </c>
      <c r="X20" s="414">
        <v>0</v>
      </c>
      <c r="Y20" s="414">
        <v>0</v>
      </c>
      <c r="Z20" s="414">
        <v>0</v>
      </c>
      <c r="AA20" s="447">
        <v>0</v>
      </c>
      <c r="AB20" s="414">
        <v>0</v>
      </c>
      <c r="AC20" s="414">
        <v>0</v>
      </c>
      <c r="AD20" s="414">
        <f>AD9</f>
        <v>26</v>
      </c>
      <c r="AE20" s="414">
        <f t="shared" ref="AE20:AI20" si="19">AE9</f>
        <v>20</v>
      </c>
      <c r="AF20" s="414">
        <f t="shared" si="19"/>
        <v>0</v>
      </c>
      <c r="AG20" s="414">
        <f t="shared" si="19"/>
        <v>17.5</v>
      </c>
      <c r="AH20" s="414">
        <f t="shared" si="19"/>
        <v>12.3</v>
      </c>
      <c r="AI20" s="431">
        <f t="shared" si="19"/>
        <v>12.2</v>
      </c>
      <c r="AJ20" s="12"/>
      <c r="AK20" s="174">
        <f t="shared" si="13"/>
        <v>134.40000000000003</v>
      </c>
      <c r="AL20" s="174">
        <f t="shared" si="14"/>
        <v>134.40000000000003</v>
      </c>
      <c r="AM20" s="174">
        <v>0</v>
      </c>
      <c r="AN20" s="175"/>
      <c r="AO20" s="174">
        <f t="shared" si="12"/>
        <v>134.40000000000003</v>
      </c>
      <c r="AP20" s="171" t="str">
        <f t="shared" si="11"/>
        <v>V</v>
      </c>
    </row>
    <row r="21" spans="1:42" ht="15" hidden="1" customHeight="1">
      <c r="A21" t="s">
        <v>32</v>
      </c>
      <c r="B21" s="54" t="s">
        <v>114</v>
      </c>
      <c r="C21" s="43" t="s">
        <v>115</v>
      </c>
      <c r="D21" s="43" t="s">
        <v>110</v>
      </c>
      <c r="E21" s="430">
        <v>0</v>
      </c>
      <c r="F21" s="414">
        <v>0</v>
      </c>
      <c r="G21" s="447">
        <f>G9</f>
        <v>1.6500000000000057</v>
      </c>
      <c r="H21" s="414">
        <f t="shared" ref="H21:P21" si="20">H9</f>
        <v>68.449999999999989</v>
      </c>
      <c r="I21" s="414">
        <f t="shared" si="20"/>
        <v>53.200000000000017</v>
      </c>
      <c r="J21" s="414">
        <f t="shared" si="20"/>
        <v>40.599999999999966</v>
      </c>
      <c r="K21" s="414">
        <f t="shared" si="20"/>
        <v>0</v>
      </c>
      <c r="L21" s="414">
        <f t="shared" si="20"/>
        <v>0</v>
      </c>
      <c r="M21" s="414">
        <f t="shared" si="20"/>
        <v>0</v>
      </c>
      <c r="N21" s="414">
        <f t="shared" si="20"/>
        <v>0</v>
      </c>
      <c r="O21" s="414">
        <f t="shared" si="20"/>
        <v>4.4000000000000341</v>
      </c>
      <c r="P21" s="415">
        <f t="shared" si="20"/>
        <v>42</v>
      </c>
      <c r="Q21" s="447">
        <v>0</v>
      </c>
      <c r="R21" s="414">
        <v>0</v>
      </c>
      <c r="S21" s="414">
        <v>0</v>
      </c>
      <c r="T21" s="414">
        <v>0</v>
      </c>
      <c r="U21" s="414">
        <v>0</v>
      </c>
      <c r="V21" s="414">
        <v>0</v>
      </c>
      <c r="W21" s="414">
        <v>0</v>
      </c>
      <c r="X21" s="414">
        <v>0</v>
      </c>
      <c r="Y21" s="414">
        <v>0</v>
      </c>
      <c r="Z21" s="414">
        <v>0</v>
      </c>
      <c r="AA21" s="447">
        <v>0</v>
      </c>
      <c r="AB21" s="414">
        <v>0</v>
      </c>
      <c r="AC21" s="414">
        <v>0</v>
      </c>
      <c r="AD21" s="414">
        <v>0</v>
      </c>
      <c r="AE21" s="414">
        <v>0</v>
      </c>
      <c r="AF21" s="414">
        <v>0</v>
      </c>
      <c r="AG21" s="414">
        <v>0</v>
      </c>
      <c r="AH21" s="414">
        <f>AH9</f>
        <v>12.3</v>
      </c>
      <c r="AI21" s="431">
        <f>AI9</f>
        <v>12.2</v>
      </c>
      <c r="AJ21" s="12"/>
      <c r="AK21" s="174">
        <f t="shared" si="13"/>
        <v>234.8</v>
      </c>
      <c r="AL21" s="174">
        <f t="shared" si="14"/>
        <v>234.8</v>
      </c>
      <c r="AM21" s="174">
        <v>0</v>
      </c>
      <c r="AN21" s="175"/>
      <c r="AO21" s="174">
        <f t="shared" si="12"/>
        <v>234.8</v>
      </c>
      <c r="AP21" s="171" t="str">
        <f t="shared" si="11"/>
        <v>V</v>
      </c>
    </row>
    <row r="22" spans="1:42" ht="15" hidden="1" customHeight="1">
      <c r="A22" t="s">
        <v>32</v>
      </c>
      <c r="B22" s="54" t="s">
        <v>53</v>
      </c>
      <c r="C22" s="43" t="s">
        <v>54</v>
      </c>
      <c r="D22" s="43" t="s">
        <v>38</v>
      </c>
      <c r="E22" s="430">
        <v>0</v>
      </c>
      <c r="F22" s="414">
        <v>0</v>
      </c>
      <c r="G22" s="447">
        <v>0</v>
      </c>
      <c r="H22" s="414">
        <v>0</v>
      </c>
      <c r="I22" s="414">
        <v>0</v>
      </c>
      <c r="J22" s="414">
        <v>0</v>
      </c>
      <c r="K22" s="414">
        <v>0</v>
      </c>
      <c r="L22" s="414">
        <v>0</v>
      </c>
      <c r="M22" s="414">
        <v>0</v>
      </c>
      <c r="N22" s="414">
        <v>0</v>
      </c>
      <c r="O22" s="414">
        <v>0</v>
      </c>
      <c r="P22" s="415">
        <v>0</v>
      </c>
      <c r="Q22" s="447">
        <v>0</v>
      </c>
      <c r="R22" s="414">
        <v>0</v>
      </c>
      <c r="S22" s="414">
        <v>0</v>
      </c>
      <c r="T22" s="414">
        <v>0</v>
      </c>
      <c r="U22" s="414">
        <v>0</v>
      </c>
      <c r="V22" s="414">
        <v>0</v>
      </c>
      <c r="W22" s="414">
        <v>0</v>
      </c>
      <c r="X22" s="414">
        <v>0</v>
      </c>
      <c r="Y22" s="414">
        <v>0</v>
      </c>
      <c r="Z22" s="414">
        <v>0</v>
      </c>
      <c r="AA22" s="447">
        <v>0</v>
      </c>
      <c r="AB22" s="414">
        <v>0</v>
      </c>
      <c r="AC22" s="414">
        <v>0</v>
      </c>
      <c r="AD22" s="414">
        <v>0</v>
      </c>
      <c r="AE22" s="414">
        <v>0</v>
      </c>
      <c r="AF22" s="414">
        <v>0</v>
      </c>
      <c r="AG22" s="414">
        <v>0</v>
      </c>
      <c r="AH22" s="414">
        <v>0</v>
      </c>
      <c r="AI22" s="431">
        <v>0</v>
      </c>
      <c r="AJ22" s="12"/>
      <c r="AK22" s="174">
        <f t="shared" si="13"/>
        <v>0</v>
      </c>
      <c r="AL22" s="174">
        <f t="shared" si="14"/>
        <v>0</v>
      </c>
      <c r="AM22" s="174">
        <v>0</v>
      </c>
      <c r="AN22" s="175"/>
      <c r="AO22" s="174">
        <f t="shared" si="12"/>
        <v>0</v>
      </c>
      <c r="AP22" s="171" t="str">
        <f t="shared" si="11"/>
        <v>V</v>
      </c>
    </row>
    <row r="23" spans="1:42" ht="15" hidden="1" customHeight="1">
      <c r="A23" t="s">
        <v>32</v>
      </c>
      <c r="B23" s="54" t="s">
        <v>55</v>
      </c>
      <c r="C23" s="43" t="s">
        <v>56</v>
      </c>
      <c r="D23" s="43" t="s">
        <v>38</v>
      </c>
      <c r="E23" s="430">
        <v>0</v>
      </c>
      <c r="F23" s="414">
        <v>0</v>
      </c>
      <c r="G23" s="447">
        <v>0</v>
      </c>
      <c r="H23" s="414">
        <v>0</v>
      </c>
      <c r="I23" s="414">
        <v>0</v>
      </c>
      <c r="J23" s="414">
        <v>0</v>
      </c>
      <c r="K23" s="414">
        <v>0</v>
      </c>
      <c r="L23" s="414">
        <v>0</v>
      </c>
      <c r="M23" s="414">
        <v>0</v>
      </c>
      <c r="N23" s="414">
        <v>0</v>
      </c>
      <c r="O23" s="414">
        <v>0</v>
      </c>
      <c r="P23" s="415">
        <v>0</v>
      </c>
      <c r="Q23" s="447">
        <v>0</v>
      </c>
      <c r="R23" s="414">
        <v>0</v>
      </c>
      <c r="S23" s="414">
        <v>0</v>
      </c>
      <c r="T23" s="414">
        <v>0</v>
      </c>
      <c r="U23" s="414">
        <v>0</v>
      </c>
      <c r="V23" s="414">
        <v>0</v>
      </c>
      <c r="W23" s="414">
        <v>0</v>
      </c>
      <c r="X23" s="414">
        <v>0</v>
      </c>
      <c r="Y23" s="414">
        <v>0</v>
      </c>
      <c r="Z23" s="414">
        <v>0</v>
      </c>
      <c r="AA23" s="447">
        <f>AA9</f>
        <v>0</v>
      </c>
      <c r="AB23" s="414">
        <f>AB9</f>
        <v>0</v>
      </c>
      <c r="AC23" s="414">
        <f t="shared" ref="AC23:AH23" si="21">AC9</f>
        <v>0</v>
      </c>
      <c r="AD23" s="414">
        <f t="shared" si="21"/>
        <v>26</v>
      </c>
      <c r="AE23" s="414">
        <f t="shared" si="21"/>
        <v>20</v>
      </c>
      <c r="AF23" s="414">
        <f t="shared" si="21"/>
        <v>0</v>
      </c>
      <c r="AG23" s="414">
        <f t="shared" si="21"/>
        <v>17.5</v>
      </c>
      <c r="AH23" s="414">
        <f t="shared" si="21"/>
        <v>12.3</v>
      </c>
      <c r="AI23" s="431">
        <f>AI9</f>
        <v>12.2</v>
      </c>
      <c r="AJ23" s="12"/>
      <c r="AK23" s="174">
        <f t="shared" si="13"/>
        <v>88</v>
      </c>
      <c r="AL23" s="174">
        <f t="shared" si="14"/>
        <v>88</v>
      </c>
      <c r="AM23" s="174">
        <v>0</v>
      </c>
      <c r="AN23" s="175"/>
      <c r="AO23" s="174">
        <f t="shared" si="12"/>
        <v>88</v>
      </c>
      <c r="AP23" s="171" t="str">
        <f t="shared" si="11"/>
        <v>V</v>
      </c>
    </row>
    <row r="24" spans="1:42" ht="15" hidden="1" customHeight="1">
      <c r="A24" t="s">
        <v>32</v>
      </c>
      <c r="B24" s="54" t="s">
        <v>338</v>
      </c>
      <c r="C24" s="43" t="s">
        <v>339</v>
      </c>
      <c r="D24" s="43" t="s">
        <v>38</v>
      </c>
      <c r="E24" s="430">
        <v>0</v>
      </c>
      <c r="F24" s="414">
        <v>0</v>
      </c>
      <c r="G24" s="447">
        <v>0</v>
      </c>
      <c r="H24" s="414">
        <v>0</v>
      </c>
      <c r="I24" s="414">
        <v>0</v>
      </c>
      <c r="J24" s="414">
        <v>0</v>
      </c>
      <c r="K24" s="414">
        <v>0</v>
      </c>
      <c r="L24" s="414">
        <v>0</v>
      </c>
      <c r="M24" s="414">
        <v>0</v>
      </c>
      <c r="N24" s="414">
        <v>0</v>
      </c>
      <c r="O24" s="414">
        <v>0</v>
      </c>
      <c r="P24" s="415">
        <v>0</v>
      </c>
      <c r="Q24" s="447">
        <v>0</v>
      </c>
      <c r="R24" s="414">
        <v>0</v>
      </c>
      <c r="S24" s="414">
        <v>0</v>
      </c>
      <c r="T24" s="414">
        <v>0</v>
      </c>
      <c r="U24" s="414">
        <v>0</v>
      </c>
      <c r="V24" s="414">
        <v>0</v>
      </c>
      <c r="W24" s="414">
        <v>0</v>
      </c>
      <c r="X24" s="414">
        <v>0</v>
      </c>
      <c r="Y24" s="414">
        <v>0</v>
      </c>
      <c r="Z24" s="414">
        <v>0</v>
      </c>
      <c r="AA24" s="447">
        <v>0</v>
      </c>
      <c r="AB24" s="414">
        <v>0</v>
      </c>
      <c r="AC24" s="414">
        <v>0</v>
      </c>
      <c r="AD24" s="414">
        <v>0</v>
      </c>
      <c r="AE24" s="414">
        <v>0</v>
      </c>
      <c r="AF24" s="414">
        <v>0</v>
      </c>
      <c r="AG24" s="414">
        <v>0</v>
      </c>
      <c r="AH24" s="414">
        <v>0</v>
      </c>
      <c r="AI24" s="431">
        <v>0</v>
      </c>
      <c r="AJ24" s="12"/>
      <c r="AK24" s="174">
        <f t="shared" si="13"/>
        <v>0</v>
      </c>
      <c r="AL24" s="174">
        <f t="shared" si="14"/>
        <v>0</v>
      </c>
      <c r="AM24" s="174">
        <v>0</v>
      </c>
      <c r="AN24" s="175"/>
      <c r="AO24" s="174">
        <f t="shared" si="12"/>
        <v>0</v>
      </c>
      <c r="AP24" s="171" t="str">
        <f t="shared" si="11"/>
        <v>V</v>
      </c>
    </row>
    <row r="25" spans="1:42" ht="15" hidden="1" customHeight="1">
      <c r="A25" t="s">
        <v>32</v>
      </c>
      <c r="B25" s="54" t="s">
        <v>59</v>
      </c>
      <c r="C25" s="43" t="s">
        <v>60</v>
      </c>
      <c r="D25" s="43" t="s">
        <v>38</v>
      </c>
      <c r="E25" s="430">
        <v>0</v>
      </c>
      <c r="F25" s="414">
        <v>0</v>
      </c>
      <c r="G25" s="447">
        <v>0</v>
      </c>
      <c r="H25" s="414">
        <v>0</v>
      </c>
      <c r="I25" s="414">
        <v>0</v>
      </c>
      <c r="J25" s="414">
        <v>0</v>
      </c>
      <c r="K25" s="414">
        <v>0</v>
      </c>
      <c r="L25" s="414">
        <v>0</v>
      </c>
      <c r="M25" s="414">
        <v>0</v>
      </c>
      <c r="N25" s="414">
        <v>0</v>
      </c>
      <c r="O25" s="414">
        <v>0</v>
      </c>
      <c r="P25" s="415">
        <v>0</v>
      </c>
      <c r="Q25" s="447">
        <v>0</v>
      </c>
      <c r="R25" s="414">
        <v>0</v>
      </c>
      <c r="S25" s="414">
        <v>0</v>
      </c>
      <c r="T25" s="414">
        <v>0</v>
      </c>
      <c r="U25" s="414">
        <v>0</v>
      </c>
      <c r="V25" s="414">
        <v>0</v>
      </c>
      <c r="W25" s="414">
        <v>0</v>
      </c>
      <c r="X25" s="414">
        <v>0</v>
      </c>
      <c r="Y25" s="414">
        <v>0</v>
      </c>
      <c r="Z25" s="414">
        <v>0</v>
      </c>
      <c r="AA25" s="447">
        <v>0</v>
      </c>
      <c r="AB25" s="414">
        <v>0</v>
      </c>
      <c r="AC25" s="414">
        <v>0</v>
      </c>
      <c r="AD25" s="414">
        <v>0</v>
      </c>
      <c r="AE25" s="414">
        <v>0</v>
      </c>
      <c r="AF25" s="414">
        <v>0</v>
      </c>
      <c r="AG25" s="414">
        <v>0</v>
      </c>
      <c r="AH25" s="414">
        <v>0</v>
      </c>
      <c r="AI25" s="431">
        <v>0</v>
      </c>
      <c r="AJ25" s="12"/>
      <c r="AK25" s="174">
        <f t="shared" si="13"/>
        <v>0</v>
      </c>
      <c r="AL25" s="174">
        <f t="shared" si="14"/>
        <v>0</v>
      </c>
      <c r="AM25" s="174">
        <v>0</v>
      </c>
      <c r="AN25" s="175"/>
      <c r="AO25" s="174">
        <f t="shared" si="12"/>
        <v>0</v>
      </c>
      <c r="AP25" s="171" t="str">
        <f t="shared" si="11"/>
        <v>V</v>
      </c>
    </row>
    <row r="26" spans="1:42" ht="15" hidden="1" customHeight="1">
      <c r="A26" t="s">
        <v>32</v>
      </c>
      <c r="B26" s="54" t="s">
        <v>116</v>
      </c>
      <c r="C26" s="43" t="s">
        <v>117</v>
      </c>
      <c r="D26" s="43" t="s">
        <v>110</v>
      </c>
      <c r="E26" s="430">
        <v>0</v>
      </c>
      <c r="F26" s="414">
        <v>0</v>
      </c>
      <c r="G26" s="447">
        <v>0</v>
      </c>
      <c r="H26" s="414">
        <v>0</v>
      </c>
      <c r="I26" s="414">
        <v>0</v>
      </c>
      <c r="J26" s="414">
        <v>0</v>
      </c>
      <c r="K26" s="414">
        <v>0</v>
      </c>
      <c r="L26" s="414">
        <v>0</v>
      </c>
      <c r="M26" s="414">
        <v>0</v>
      </c>
      <c r="N26" s="414">
        <v>0</v>
      </c>
      <c r="O26" s="414">
        <v>0</v>
      </c>
      <c r="P26" s="415">
        <v>0</v>
      </c>
      <c r="Q26" s="447">
        <v>0</v>
      </c>
      <c r="R26" s="414">
        <v>0</v>
      </c>
      <c r="S26" s="414">
        <v>0</v>
      </c>
      <c r="T26" s="414">
        <v>0</v>
      </c>
      <c r="U26" s="414">
        <v>0</v>
      </c>
      <c r="V26" s="414">
        <v>0</v>
      </c>
      <c r="W26" s="414">
        <v>0</v>
      </c>
      <c r="X26" s="414">
        <v>0</v>
      </c>
      <c r="Y26" s="414">
        <v>0</v>
      </c>
      <c r="Z26" s="414">
        <v>0</v>
      </c>
      <c r="AA26" s="447">
        <v>0</v>
      </c>
      <c r="AB26" s="414">
        <v>0</v>
      </c>
      <c r="AC26" s="414">
        <v>0</v>
      </c>
      <c r="AD26" s="414">
        <v>0</v>
      </c>
      <c r="AE26" s="414">
        <v>0</v>
      </c>
      <c r="AF26" s="414">
        <v>0</v>
      </c>
      <c r="AG26" s="414">
        <v>0</v>
      </c>
      <c r="AH26" s="414">
        <v>0</v>
      </c>
      <c r="AI26" s="431">
        <v>0</v>
      </c>
      <c r="AJ26" s="12"/>
      <c r="AK26" s="174">
        <f t="shared" si="13"/>
        <v>0</v>
      </c>
      <c r="AL26" s="174">
        <f t="shared" si="14"/>
        <v>0</v>
      </c>
      <c r="AM26" s="174">
        <v>0</v>
      </c>
      <c r="AN26" s="175"/>
      <c r="AO26" s="174">
        <f t="shared" si="12"/>
        <v>0</v>
      </c>
      <c r="AP26" s="171" t="str">
        <f t="shared" si="11"/>
        <v>V</v>
      </c>
    </row>
    <row r="27" spans="1:42" ht="15" hidden="1" customHeight="1">
      <c r="A27" t="s">
        <v>32</v>
      </c>
      <c r="B27" s="54" t="s">
        <v>118</v>
      </c>
      <c r="C27" s="43" t="s">
        <v>119</v>
      </c>
      <c r="D27" s="43" t="s">
        <v>110</v>
      </c>
      <c r="E27" s="430">
        <v>0</v>
      </c>
      <c r="F27" s="414">
        <v>0</v>
      </c>
      <c r="G27" s="447">
        <v>0</v>
      </c>
      <c r="H27" s="414">
        <v>0</v>
      </c>
      <c r="I27" s="414">
        <v>0</v>
      </c>
      <c r="J27" s="414">
        <v>0</v>
      </c>
      <c r="K27" s="414">
        <v>0</v>
      </c>
      <c r="L27" s="414">
        <v>0</v>
      </c>
      <c r="M27" s="414">
        <v>0</v>
      </c>
      <c r="N27" s="414">
        <v>0</v>
      </c>
      <c r="O27" s="414">
        <v>0</v>
      </c>
      <c r="P27" s="415">
        <v>0</v>
      </c>
      <c r="Q27" s="447">
        <v>0</v>
      </c>
      <c r="R27" s="414">
        <v>0</v>
      </c>
      <c r="S27" s="414">
        <v>0</v>
      </c>
      <c r="T27" s="414">
        <v>0</v>
      </c>
      <c r="U27" s="414">
        <v>0</v>
      </c>
      <c r="V27" s="414">
        <v>0</v>
      </c>
      <c r="W27" s="414">
        <v>0</v>
      </c>
      <c r="X27" s="414">
        <v>0</v>
      </c>
      <c r="Y27" s="414">
        <v>0</v>
      </c>
      <c r="Z27" s="414">
        <v>0</v>
      </c>
      <c r="AA27" s="447">
        <v>0</v>
      </c>
      <c r="AB27" s="414">
        <v>0</v>
      </c>
      <c r="AC27" s="414">
        <v>0</v>
      </c>
      <c r="AD27" s="414">
        <v>0</v>
      </c>
      <c r="AE27" s="414">
        <v>0</v>
      </c>
      <c r="AF27" s="414">
        <v>0</v>
      </c>
      <c r="AG27" s="414">
        <v>0</v>
      </c>
      <c r="AH27" s="414">
        <v>0</v>
      </c>
      <c r="AI27" s="431">
        <v>0</v>
      </c>
      <c r="AJ27" s="12"/>
      <c r="AK27" s="174">
        <f t="shared" si="13"/>
        <v>0</v>
      </c>
      <c r="AL27" s="174">
        <f t="shared" si="14"/>
        <v>0</v>
      </c>
      <c r="AM27" s="174">
        <v>0</v>
      </c>
      <c r="AN27" s="175"/>
      <c r="AO27" s="174">
        <f t="shared" si="12"/>
        <v>0</v>
      </c>
      <c r="AP27" s="171" t="str">
        <f t="shared" si="11"/>
        <v>V</v>
      </c>
    </row>
    <row r="28" spans="1:42" ht="15" hidden="1" customHeight="1">
      <c r="A28" t="s">
        <v>32</v>
      </c>
      <c r="B28" s="54" t="s">
        <v>120</v>
      </c>
      <c r="C28" s="43" t="s">
        <v>121</v>
      </c>
      <c r="D28" s="43" t="s">
        <v>110</v>
      </c>
      <c r="E28" s="430">
        <v>0</v>
      </c>
      <c r="F28" s="414">
        <v>0</v>
      </c>
      <c r="G28" s="447">
        <v>0</v>
      </c>
      <c r="H28" s="414">
        <v>0</v>
      </c>
      <c r="I28" s="414">
        <v>0</v>
      </c>
      <c r="J28" s="414">
        <v>0</v>
      </c>
      <c r="K28" s="414">
        <v>0</v>
      </c>
      <c r="L28" s="414">
        <v>0</v>
      </c>
      <c r="M28" s="414">
        <v>0</v>
      </c>
      <c r="N28" s="414">
        <v>0</v>
      </c>
      <c r="O28" s="414">
        <v>0</v>
      </c>
      <c r="P28" s="415">
        <v>0</v>
      </c>
      <c r="Q28" s="447">
        <v>0</v>
      </c>
      <c r="R28" s="414">
        <v>0</v>
      </c>
      <c r="S28" s="414">
        <v>0</v>
      </c>
      <c r="T28" s="414">
        <v>0</v>
      </c>
      <c r="U28" s="414">
        <v>0</v>
      </c>
      <c r="V28" s="414">
        <v>0</v>
      </c>
      <c r="W28" s="414">
        <v>0</v>
      </c>
      <c r="X28" s="414">
        <v>0</v>
      </c>
      <c r="Y28" s="414">
        <v>0</v>
      </c>
      <c r="Z28" s="414">
        <v>0</v>
      </c>
      <c r="AA28" s="447">
        <v>0</v>
      </c>
      <c r="AB28" s="414">
        <v>0</v>
      </c>
      <c r="AC28" s="414">
        <v>0</v>
      </c>
      <c r="AD28" s="414">
        <v>0</v>
      </c>
      <c r="AE28" s="414">
        <v>0</v>
      </c>
      <c r="AF28" s="414">
        <v>0</v>
      </c>
      <c r="AG28" s="414">
        <v>0</v>
      </c>
      <c r="AH28" s="414">
        <v>0</v>
      </c>
      <c r="AI28" s="431">
        <v>0</v>
      </c>
      <c r="AJ28" s="12"/>
      <c r="AK28" s="174">
        <f t="shared" si="13"/>
        <v>0</v>
      </c>
      <c r="AL28" s="174">
        <f t="shared" si="14"/>
        <v>0</v>
      </c>
      <c r="AM28" s="174">
        <v>0</v>
      </c>
      <c r="AN28" s="175"/>
      <c r="AO28" s="174">
        <f t="shared" si="12"/>
        <v>0</v>
      </c>
      <c r="AP28" s="171" t="str">
        <f t="shared" si="11"/>
        <v>V</v>
      </c>
    </row>
    <row r="29" spans="1:42" ht="15" hidden="1" customHeight="1">
      <c r="A29" t="s">
        <v>32</v>
      </c>
      <c r="B29" s="54" t="s">
        <v>61</v>
      </c>
      <c r="C29" s="43" t="s">
        <v>313</v>
      </c>
      <c r="D29" s="43" t="s">
        <v>38</v>
      </c>
      <c r="E29" s="430">
        <v>0</v>
      </c>
      <c r="F29" s="414">
        <v>0</v>
      </c>
      <c r="G29" s="447">
        <v>0</v>
      </c>
      <c r="H29" s="414">
        <v>0</v>
      </c>
      <c r="I29" s="414">
        <v>0</v>
      </c>
      <c r="J29" s="414">
        <v>0</v>
      </c>
      <c r="K29" s="414">
        <v>0</v>
      </c>
      <c r="L29" s="414">
        <v>0</v>
      </c>
      <c r="M29" s="414">
        <v>0</v>
      </c>
      <c r="N29" s="414">
        <v>0</v>
      </c>
      <c r="O29" s="414">
        <v>0</v>
      </c>
      <c r="P29" s="415">
        <v>0</v>
      </c>
      <c r="Q29" s="447">
        <v>0</v>
      </c>
      <c r="R29" s="414">
        <v>0</v>
      </c>
      <c r="S29" s="414">
        <v>0</v>
      </c>
      <c r="T29" s="414">
        <v>0</v>
      </c>
      <c r="U29" s="414">
        <v>0</v>
      </c>
      <c r="V29" s="414">
        <v>0</v>
      </c>
      <c r="W29" s="414">
        <v>0</v>
      </c>
      <c r="X29" s="414">
        <v>0</v>
      </c>
      <c r="Y29" s="414">
        <v>0</v>
      </c>
      <c r="Z29" s="414">
        <v>0</v>
      </c>
      <c r="AA29" s="447">
        <v>0</v>
      </c>
      <c r="AB29" s="414">
        <v>0</v>
      </c>
      <c r="AC29" s="414">
        <v>0</v>
      </c>
      <c r="AD29" s="414">
        <v>0</v>
      </c>
      <c r="AE29" s="414">
        <v>0</v>
      </c>
      <c r="AF29" s="414">
        <v>0</v>
      </c>
      <c r="AG29" s="414">
        <v>0</v>
      </c>
      <c r="AH29" s="414">
        <v>0</v>
      </c>
      <c r="AI29" s="431">
        <v>0</v>
      </c>
      <c r="AJ29" s="12"/>
      <c r="AK29" s="174">
        <f t="shared" si="13"/>
        <v>0</v>
      </c>
      <c r="AL29" s="174">
        <f t="shared" si="14"/>
        <v>0</v>
      </c>
      <c r="AM29" s="174">
        <v>0</v>
      </c>
      <c r="AN29" s="175"/>
      <c r="AO29" s="174">
        <f t="shared" si="12"/>
        <v>0</v>
      </c>
      <c r="AP29" s="171" t="str">
        <f t="shared" si="11"/>
        <v>V</v>
      </c>
    </row>
    <row r="30" spans="1:42" ht="15" hidden="1" customHeight="1">
      <c r="A30" t="s">
        <v>32</v>
      </c>
      <c r="B30" s="54" t="s">
        <v>63</v>
      </c>
      <c r="C30" s="43" t="s">
        <v>64</v>
      </c>
      <c r="D30" s="43" t="s">
        <v>38</v>
      </c>
      <c r="E30" s="430">
        <v>0</v>
      </c>
      <c r="F30" s="414">
        <v>0</v>
      </c>
      <c r="G30" s="447">
        <v>0</v>
      </c>
      <c r="H30" s="414">
        <v>0</v>
      </c>
      <c r="I30" s="414">
        <v>0</v>
      </c>
      <c r="J30" s="414">
        <v>0</v>
      </c>
      <c r="K30" s="414">
        <v>0</v>
      </c>
      <c r="L30" s="414">
        <v>0</v>
      </c>
      <c r="M30" s="414">
        <v>0</v>
      </c>
      <c r="N30" s="414">
        <v>0</v>
      </c>
      <c r="O30" s="414">
        <v>0</v>
      </c>
      <c r="P30" s="415">
        <v>0</v>
      </c>
      <c r="Q30" s="447">
        <v>0</v>
      </c>
      <c r="R30" s="414">
        <v>0</v>
      </c>
      <c r="S30" s="414">
        <v>0</v>
      </c>
      <c r="T30" s="414">
        <v>0</v>
      </c>
      <c r="U30" s="414">
        <v>0</v>
      </c>
      <c r="V30" s="414">
        <v>0</v>
      </c>
      <c r="W30" s="414">
        <v>0</v>
      </c>
      <c r="X30" s="414">
        <v>0</v>
      </c>
      <c r="Y30" s="414">
        <v>0</v>
      </c>
      <c r="Z30" s="414">
        <v>0</v>
      </c>
      <c r="AA30" s="447">
        <v>0</v>
      </c>
      <c r="AB30" s="414">
        <v>0</v>
      </c>
      <c r="AC30" s="414">
        <v>0</v>
      </c>
      <c r="AD30" s="414">
        <v>0</v>
      </c>
      <c r="AE30" s="414">
        <v>0</v>
      </c>
      <c r="AF30" s="414">
        <v>0</v>
      </c>
      <c r="AG30" s="414">
        <v>0</v>
      </c>
      <c r="AH30" s="414">
        <v>0</v>
      </c>
      <c r="AI30" s="431">
        <v>0</v>
      </c>
      <c r="AJ30" s="12"/>
      <c r="AK30" s="174">
        <f t="shared" si="13"/>
        <v>0</v>
      </c>
      <c r="AL30" s="174">
        <f t="shared" si="14"/>
        <v>0</v>
      </c>
      <c r="AM30" s="174">
        <v>0</v>
      </c>
      <c r="AN30" s="175"/>
      <c r="AO30" s="174">
        <f t="shared" si="12"/>
        <v>0</v>
      </c>
      <c r="AP30" s="171" t="str">
        <f t="shared" si="11"/>
        <v>V</v>
      </c>
    </row>
    <row r="31" spans="1:42" ht="15" hidden="1" customHeight="1">
      <c r="A31" t="s">
        <v>32</v>
      </c>
      <c r="B31" s="54" t="s">
        <v>122</v>
      </c>
      <c r="C31" s="43" t="s">
        <v>123</v>
      </c>
      <c r="D31" s="43" t="s">
        <v>110</v>
      </c>
      <c r="E31" s="430">
        <v>0</v>
      </c>
      <c r="F31" s="414">
        <v>0</v>
      </c>
      <c r="G31" s="447">
        <f>G9</f>
        <v>1.6500000000000057</v>
      </c>
      <c r="H31" s="414">
        <f t="shared" ref="H31:P31" si="22">H9</f>
        <v>68.449999999999989</v>
      </c>
      <c r="I31" s="414">
        <f t="shared" si="22"/>
        <v>53.200000000000017</v>
      </c>
      <c r="J31" s="414">
        <f t="shared" si="22"/>
        <v>40.599999999999966</v>
      </c>
      <c r="K31" s="414">
        <f t="shared" si="22"/>
        <v>0</v>
      </c>
      <c r="L31" s="414">
        <f t="shared" si="22"/>
        <v>0</v>
      </c>
      <c r="M31" s="414">
        <f t="shared" si="22"/>
        <v>0</v>
      </c>
      <c r="N31" s="414">
        <f t="shared" si="22"/>
        <v>0</v>
      </c>
      <c r="O31" s="414">
        <f t="shared" si="22"/>
        <v>4.4000000000000341</v>
      </c>
      <c r="P31" s="415">
        <f t="shared" si="22"/>
        <v>42</v>
      </c>
      <c r="Q31" s="447">
        <v>0</v>
      </c>
      <c r="R31" s="414">
        <v>0</v>
      </c>
      <c r="S31" s="414">
        <v>0</v>
      </c>
      <c r="T31" s="414">
        <v>0</v>
      </c>
      <c r="U31" s="414">
        <v>0</v>
      </c>
      <c r="V31" s="414">
        <v>0</v>
      </c>
      <c r="W31" s="414">
        <v>0</v>
      </c>
      <c r="X31" s="414">
        <v>0</v>
      </c>
      <c r="Y31" s="414">
        <v>0</v>
      </c>
      <c r="Z31" s="414">
        <v>0</v>
      </c>
      <c r="AA31" s="447">
        <v>0</v>
      </c>
      <c r="AB31" s="414">
        <v>0</v>
      </c>
      <c r="AC31" s="414">
        <v>0</v>
      </c>
      <c r="AD31" s="414">
        <f>AD9</f>
        <v>26</v>
      </c>
      <c r="AE31" s="414">
        <f t="shared" ref="AE31:AI31" si="23">AE9</f>
        <v>20</v>
      </c>
      <c r="AF31" s="414">
        <f t="shared" si="23"/>
        <v>0</v>
      </c>
      <c r="AG31" s="414">
        <f t="shared" si="23"/>
        <v>17.5</v>
      </c>
      <c r="AH31" s="414">
        <f t="shared" si="23"/>
        <v>12.3</v>
      </c>
      <c r="AI31" s="431">
        <f t="shared" si="23"/>
        <v>12.2</v>
      </c>
      <c r="AJ31" s="12"/>
      <c r="AK31" s="174">
        <f t="shared" si="13"/>
        <v>298.3</v>
      </c>
      <c r="AL31" s="174">
        <f t="shared" si="14"/>
        <v>298.3</v>
      </c>
      <c r="AM31" s="174">
        <v>0</v>
      </c>
      <c r="AN31" s="175"/>
      <c r="AO31" s="174">
        <f t="shared" si="12"/>
        <v>298.3</v>
      </c>
      <c r="AP31" s="171" t="str">
        <f t="shared" si="11"/>
        <v>V</v>
      </c>
    </row>
    <row r="32" spans="1:42" ht="15" hidden="1" customHeight="1">
      <c r="A32" t="s">
        <v>32</v>
      </c>
      <c r="B32" s="54" t="s">
        <v>65</v>
      </c>
      <c r="C32" s="43" t="s">
        <v>66</v>
      </c>
      <c r="D32" s="43" t="s">
        <v>38</v>
      </c>
      <c r="E32" s="430">
        <v>0</v>
      </c>
      <c r="F32" s="414">
        <v>0</v>
      </c>
      <c r="G32" s="447">
        <v>0</v>
      </c>
      <c r="H32" s="414">
        <v>0</v>
      </c>
      <c r="I32" s="414">
        <v>0</v>
      </c>
      <c r="J32" s="414">
        <v>0</v>
      </c>
      <c r="K32" s="414">
        <v>0</v>
      </c>
      <c r="L32" s="414">
        <v>0</v>
      </c>
      <c r="M32" s="414">
        <v>0</v>
      </c>
      <c r="N32" s="414">
        <v>0</v>
      </c>
      <c r="O32" s="414">
        <v>0</v>
      </c>
      <c r="P32" s="415">
        <v>0</v>
      </c>
      <c r="Q32" s="447">
        <v>0</v>
      </c>
      <c r="R32" s="414">
        <v>0</v>
      </c>
      <c r="S32" s="414">
        <v>0</v>
      </c>
      <c r="T32" s="414">
        <v>0</v>
      </c>
      <c r="U32" s="414">
        <v>0</v>
      </c>
      <c r="V32" s="414">
        <v>0</v>
      </c>
      <c r="W32" s="414">
        <v>0</v>
      </c>
      <c r="X32" s="414">
        <v>0</v>
      </c>
      <c r="Y32" s="414">
        <v>0</v>
      </c>
      <c r="Z32" s="414">
        <v>0</v>
      </c>
      <c r="AA32" s="447">
        <v>0</v>
      </c>
      <c r="AB32" s="414">
        <v>0</v>
      </c>
      <c r="AC32" s="414">
        <v>0</v>
      </c>
      <c r="AD32" s="414">
        <v>0</v>
      </c>
      <c r="AE32" s="414">
        <v>0</v>
      </c>
      <c r="AF32" s="414">
        <v>0</v>
      </c>
      <c r="AG32" s="414">
        <v>0</v>
      </c>
      <c r="AH32" s="414">
        <v>0</v>
      </c>
      <c r="AI32" s="431">
        <v>0</v>
      </c>
      <c r="AJ32" s="12"/>
      <c r="AK32" s="174">
        <f t="shared" si="13"/>
        <v>0</v>
      </c>
      <c r="AL32" s="174">
        <f t="shared" si="14"/>
        <v>0</v>
      </c>
      <c r="AM32" s="174">
        <v>0</v>
      </c>
      <c r="AN32" s="175"/>
      <c r="AO32" s="174">
        <f t="shared" si="12"/>
        <v>0</v>
      </c>
      <c r="AP32" s="171" t="str">
        <f t="shared" si="11"/>
        <v>V</v>
      </c>
    </row>
    <row r="33" spans="1:42" ht="15" hidden="1" customHeight="1">
      <c r="A33" t="s">
        <v>32</v>
      </c>
      <c r="B33" s="54" t="s">
        <v>67</v>
      </c>
      <c r="C33" s="43" t="s">
        <v>68</v>
      </c>
      <c r="D33" s="43" t="s">
        <v>38</v>
      </c>
      <c r="E33" s="430">
        <v>0</v>
      </c>
      <c r="F33" s="414">
        <v>0</v>
      </c>
      <c r="G33" s="447">
        <f>G9</f>
        <v>1.6500000000000057</v>
      </c>
      <c r="H33" s="414">
        <f t="shared" ref="H33:P33" si="24">H9</f>
        <v>68.449999999999989</v>
      </c>
      <c r="I33" s="414">
        <f t="shared" si="24"/>
        <v>53.200000000000017</v>
      </c>
      <c r="J33" s="414">
        <f t="shared" si="24"/>
        <v>40.599999999999966</v>
      </c>
      <c r="K33" s="414">
        <f t="shared" si="24"/>
        <v>0</v>
      </c>
      <c r="L33" s="414">
        <f t="shared" si="24"/>
        <v>0</v>
      </c>
      <c r="M33" s="414">
        <f t="shared" si="24"/>
        <v>0</v>
      </c>
      <c r="N33" s="414">
        <f t="shared" si="24"/>
        <v>0</v>
      </c>
      <c r="O33" s="414">
        <f t="shared" si="24"/>
        <v>4.4000000000000341</v>
      </c>
      <c r="P33" s="415">
        <f t="shared" si="24"/>
        <v>42</v>
      </c>
      <c r="Q33" s="447">
        <v>0</v>
      </c>
      <c r="R33" s="414">
        <v>0</v>
      </c>
      <c r="S33" s="414">
        <v>0</v>
      </c>
      <c r="T33" s="414">
        <v>0</v>
      </c>
      <c r="U33" s="414">
        <v>0</v>
      </c>
      <c r="V33" s="414">
        <v>0</v>
      </c>
      <c r="W33" s="414">
        <v>0</v>
      </c>
      <c r="X33" s="414">
        <v>0</v>
      </c>
      <c r="Y33" s="414">
        <v>0</v>
      </c>
      <c r="Z33" s="414">
        <v>0</v>
      </c>
      <c r="AA33" s="447">
        <v>0</v>
      </c>
      <c r="AB33" s="414">
        <v>0</v>
      </c>
      <c r="AC33" s="414">
        <v>0</v>
      </c>
      <c r="AD33" s="414">
        <f>AD9</f>
        <v>26</v>
      </c>
      <c r="AE33" s="414">
        <f t="shared" ref="AE33:AI33" si="25">AE9</f>
        <v>20</v>
      </c>
      <c r="AF33" s="414">
        <f t="shared" si="25"/>
        <v>0</v>
      </c>
      <c r="AG33" s="414">
        <f t="shared" si="25"/>
        <v>17.5</v>
      </c>
      <c r="AH33" s="414">
        <f t="shared" si="25"/>
        <v>12.3</v>
      </c>
      <c r="AI33" s="431">
        <f t="shared" si="25"/>
        <v>12.2</v>
      </c>
      <c r="AJ33" s="12"/>
      <c r="AK33" s="174">
        <f t="shared" si="13"/>
        <v>298.3</v>
      </c>
      <c r="AL33" s="174">
        <f t="shared" si="14"/>
        <v>298.3</v>
      </c>
      <c r="AM33" s="174">
        <v>0</v>
      </c>
      <c r="AN33" s="175"/>
      <c r="AO33" s="174">
        <f t="shared" si="12"/>
        <v>298.3</v>
      </c>
      <c r="AP33" s="171" t="str">
        <f t="shared" si="11"/>
        <v>V</v>
      </c>
    </row>
    <row r="34" spans="1:42" ht="15" hidden="1" customHeight="1">
      <c r="A34" t="s">
        <v>32</v>
      </c>
      <c r="B34" s="54" t="s">
        <v>69</v>
      </c>
      <c r="C34" s="43" t="s">
        <v>70</v>
      </c>
      <c r="D34" s="43" t="s">
        <v>38</v>
      </c>
      <c r="E34" s="430">
        <v>0</v>
      </c>
      <c r="F34" s="414">
        <v>0</v>
      </c>
      <c r="G34" s="447">
        <f>G9</f>
        <v>1.6500000000000057</v>
      </c>
      <c r="H34" s="414">
        <f t="shared" ref="H34:P34" si="26">H9</f>
        <v>68.449999999999989</v>
      </c>
      <c r="I34" s="414">
        <f t="shared" si="26"/>
        <v>53.200000000000017</v>
      </c>
      <c r="J34" s="414">
        <f t="shared" si="26"/>
        <v>40.599999999999966</v>
      </c>
      <c r="K34" s="414">
        <f t="shared" si="26"/>
        <v>0</v>
      </c>
      <c r="L34" s="414">
        <f t="shared" si="26"/>
        <v>0</v>
      </c>
      <c r="M34" s="414">
        <f t="shared" si="26"/>
        <v>0</v>
      </c>
      <c r="N34" s="414">
        <f t="shared" si="26"/>
        <v>0</v>
      </c>
      <c r="O34" s="414">
        <f t="shared" si="26"/>
        <v>4.4000000000000341</v>
      </c>
      <c r="P34" s="415">
        <f t="shared" si="26"/>
        <v>42</v>
      </c>
      <c r="Q34" s="447">
        <v>0</v>
      </c>
      <c r="R34" s="414">
        <v>0</v>
      </c>
      <c r="S34" s="414">
        <v>0</v>
      </c>
      <c r="T34" s="414">
        <v>0</v>
      </c>
      <c r="U34" s="414">
        <v>0</v>
      </c>
      <c r="V34" s="414">
        <v>0</v>
      </c>
      <c r="W34" s="414">
        <v>0</v>
      </c>
      <c r="X34" s="414">
        <v>0</v>
      </c>
      <c r="Y34" s="414">
        <v>0</v>
      </c>
      <c r="Z34" s="414">
        <v>0</v>
      </c>
      <c r="AA34" s="447">
        <v>0</v>
      </c>
      <c r="AB34" s="414">
        <v>0</v>
      </c>
      <c r="AC34" s="414">
        <v>0</v>
      </c>
      <c r="AD34" s="414">
        <f>AD9</f>
        <v>26</v>
      </c>
      <c r="AE34" s="414">
        <f t="shared" ref="AE34:AI34" si="27">AE9</f>
        <v>20</v>
      </c>
      <c r="AF34" s="414">
        <f t="shared" si="27"/>
        <v>0</v>
      </c>
      <c r="AG34" s="414">
        <f t="shared" si="27"/>
        <v>17.5</v>
      </c>
      <c r="AH34" s="414">
        <f t="shared" si="27"/>
        <v>12.3</v>
      </c>
      <c r="AI34" s="431">
        <f t="shared" si="27"/>
        <v>12.2</v>
      </c>
      <c r="AJ34" s="12"/>
      <c r="AK34" s="174">
        <f t="shared" si="13"/>
        <v>298.3</v>
      </c>
      <c r="AL34" s="174">
        <f t="shared" si="14"/>
        <v>298.3</v>
      </c>
      <c r="AM34" s="174">
        <v>0</v>
      </c>
      <c r="AN34" s="175"/>
      <c r="AO34" s="174">
        <f t="shared" si="12"/>
        <v>298.3</v>
      </c>
      <c r="AP34" s="171" t="str">
        <f t="shared" si="11"/>
        <v>V</v>
      </c>
    </row>
    <row r="35" spans="1:42" ht="15" hidden="1" customHeight="1">
      <c r="A35" t="s">
        <v>32</v>
      </c>
      <c r="B35" s="54" t="s">
        <v>71</v>
      </c>
      <c r="C35" s="43" t="s">
        <v>72</v>
      </c>
      <c r="D35" s="43" t="s">
        <v>38</v>
      </c>
      <c r="E35" s="430">
        <v>0</v>
      </c>
      <c r="F35" s="414">
        <v>0</v>
      </c>
      <c r="G35" s="447">
        <v>0</v>
      </c>
      <c r="H35" s="414">
        <v>0</v>
      </c>
      <c r="I35" s="414">
        <v>0</v>
      </c>
      <c r="J35" s="414">
        <v>0</v>
      </c>
      <c r="K35" s="414">
        <v>0</v>
      </c>
      <c r="L35" s="414">
        <v>0</v>
      </c>
      <c r="M35" s="414">
        <v>0</v>
      </c>
      <c r="N35" s="414">
        <v>0</v>
      </c>
      <c r="O35" s="414">
        <v>0</v>
      </c>
      <c r="P35" s="415">
        <v>0</v>
      </c>
      <c r="Q35" s="447">
        <v>0</v>
      </c>
      <c r="R35" s="414">
        <v>0</v>
      </c>
      <c r="S35" s="414">
        <v>0</v>
      </c>
      <c r="T35" s="414">
        <v>0</v>
      </c>
      <c r="U35" s="414">
        <v>0</v>
      </c>
      <c r="V35" s="414">
        <v>0</v>
      </c>
      <c r="W35" s="414">
        <v>0</v>
      </c>
      <c r="X35" s="414">
        <v>0</v>
      </c>
      <c r="Y35" s="414">
        <v>0</v>
      </c>
      <c r="Z35" s="414">
        <v>0</v>
      </c>
      <c r="AA35" s="447">
        <v>0</v>
      </c>
      <c r="AB35" s="414">
        <v>0</v>
      </c>
      <c r="AC35" s="414">
        <v>0</v>
      </c>
      <c r="AD35" s="414">
        <v>0</v>
      </c>
      <c r="AE35" s="414">
        <v>0</v>
      </c>
      <c r="AF35" s="414">
        <v>0</v>
      </c>
      <c r="AG35" s="414">
        <v>0</v>
      </c>
      <c r="AH35" s="414">
        <v>0</v>
      </c>
      <c r="AI35" s="431">
        <v>0</v>
      </c>
      <c r="AJ35" s="12"/>
      <c r="AK35" s="174">
        <f t="shared" si="13"/>
        <v>0</v>
      </c>
      <c r="AL35" s="174">
        <f t="shared" si="14"/>
        <v>0</v>
      </c>
      <c r="AM35" s="174">
        <v>0</v>
      </c>
      <c r="AN35" s="175"/>
      <c r="AO35" s="174">
        <f t="shared" si="12"/>
        <v>0</v>
      </c>
      <c r="AP35" s="171" t="str">
        <f t="shared" si="11"/>
        <v>V</v>
      </c>
    </row>
    <row r="36" spans="1:42" ht="15" hidden="1" customHeight="1">
      <c r="A36" t="s">
        <v>32</v>
      </c>
      <c r="B36" s="54" t="s">
        <v>342</v>
      </c>
      <c r="C36" s="43" t="s">
        <v>343</v>
      </c>
      <c r="D36" s="43" t="s">
        <v>38</v>
      </c>
      <c r="E36" s="430">
        <v>0</v>
      </c>
      <c r="F36" s="414">
        <v>0</v>
      </c>
      <c r="G36" s="447">
        <v>0</v>
      </c>
      <c r="H36" s="414">
        <v>0</v>
      </c>
      <c r="I36" s="414">
        <v>0</v>
      </c>
      <c r="J36" s="414">
        <v>0</v>
      </c>
      <c r="K36" s="414">
        <v>0</v>
      </c>
      <c r="L36" s="414">
        <v>0</v>
      </c>
      <c r="M36" s="414">
        <v>0</v>
      </c>
      <c r="N36" s="414">
        <v>0</v>
      </c>
      <c r="O36" s="414">
        <v>0</v>
      </c>
      <c r="P36" s="415">
        <v>0</v>
      </c>
      <c r="Q36" s="447">
        <v>0</v>
      </c>
      <c r="R36" s="414">
        <v>0</v>
      </c>
      <c r="S36" s="414">
        <v>0</v>
      </c>
      <c r="T36" s="414">
        <v>0</v>
      </c>
      <c r="U36" s="414">
        <v>0</v>
      </c>
      <c r="V36" s="414">
        <v>0</v>
      </c>
      <c r="W36" s="414">
        <v>0</v>
      </c>
      <c r="X36" s="414">
        <v>0</v>
      </c>
      <c r="Y36" s="414">
        <v>0</v>
      </c>
      <c r="Z36" s="414">
        <v>0</v>
      </c>
      <c r="AA36" s="447">
        <v>0</v>
      </c>
      <c r="AB36" s="414">
        <v>0</v>
      </c>
      <c r="AC36" s="414">
        <v>0</v>
      </c>
      <c r="AD36" s="414">
        <v>0</v>
      </c>
      <c r="AE36" s="414">
        <v>0</v>
      </c>
      <c r="AF36" s="414">
        <v>0</v>
      </c>
      <c r="AG36" s="414">
        <v>0</v>
      </c>
      <c r="AH36" s="414">
        <v>0</v>
      </c>
      <c r="AI36" s="431">
        <v>0</v>
      </c>
      <c r="AJ36" s="12"/>
      <c r="AK36" s="174">
        <f t="shared" si="13"/>
        <v>0</v>
      </c>
      <c r="AL36" s="174">
        <f t="shared" si="14"/>
        <v>0</v>
      </c>
      <c r="AM36" s="174">
        <v>0</v>
      </c>
      <c r="AN36" s="175"/>
      <c r="AO36" s="174">
        <f t="shared" si="12"/>
        <v>0</v>
      </c>
      <c r="AP36" s="171" t="str">
        <f t="shared" si="11"/>
        <v>V</v>
      </c>
    </row>
    <row r="37" spans="1:42" ht="15" hidden="1" customHeight="1">
      <c r="A37" t="s">
        <v>32</v>
      </c>
      <c r="B37" s="54" t="s">
        <v>73</v>
      </c>
      <c r="C37" s="43" t="s">
        <v>74</v>
      </c>
      <c r="D37" s="43" t="s">
        <v>38</v>
      </c>
      <c r="E37" s="430">
        <v>0</v>
      </c>
      <c r="F37" s="414">
        <v>0</v>
      </c>
      <c r="G37" s="447">
        <f>G9</f>
        <v>1.6500000000000057</v>
      </c>
      <c r="H37" s="414">
        <f t="shared" ref="H37:P37" si="28">H9</f>
        <v>68.449999999999989</v>
      </c>
      <c r="I37" s="414">
        <f t="shared" si="28"/>
        <v>53.200000000000017</v>
      </c>
      <c r="J37" s="414">
        <f t="shared" si="28"/>
        <v>40.599999999999966</v>
      </c>
      <c r="K37" s="414">
        <f t="shared" si="28"/>
        <v>0</v>
      </c>
      <c r="L37" s="414">
        <f t="shared" si="28"/>
        <v>0</v>
      </c>
      <c r="M37" s="414">
        <f t="shared" si="28"/>
        <v>0</v>
      </c>
      <c r="N37" s="414">
        <f t="shared" si="28"/>
        <v>0</v>
      </c>
      <c r="O37" s="414">
        <f t="shared" si="28"/>
        <v>4.4000000000000341</v>
      </c>
      <c r="P37" s="415">
        <f t="shared" si="28"/>
        <v>42</v>
      </c>
      <c r="Q37" s="447">
        <v>0</v>
      </c>
      <c r="R37" s="414">
        <v>0</v>
      </c>
      <c r="S37" s="414">
        <v>0</v>
      </c>
      <c r="T37" s="414">
        <v>0</v>
      </c>
      <c r="U37" s="414">
        <v>0</v>
      </c>
      <c r="V37" s="414">
        <v>0</v>
      </c>
      <c r="W37" s="414">
        <v>0</v>
      </c>
      <c r="X37" s="414">
        <v>0</v>
      </c>
      <c r="Y37" s="414">
        <v>0</v>
      </c>
      <c r="Z37" s="414">
        <v>0</v>
      </c>
      <c r="AA37" s="447">
        <v>0</v>
      </c>
      <c r="AB37" s="414">
        <v>0</v>
      </c>
      <c r="AC37" s="414">
        <v>0</v>
      </c>
      <c r="AD37" s="414">
        <f>AD9</f>
        <v>26</v>
      </c>
      <c r="AE37" s="414">
        <f t="shared" ref="AE37:AI37" si="29">AE9</f>
        <v>20</v>
      </c>
      <c r="AF37" s="414">
        <f t="shared" si="29"/>
        <v>0</v>
      </c>
      <c r="AG37" s="414">
        <f t="shared" si="29"/>
        <v>17.5</v>
      </c>
      <c r="AH37" s="414">
        <f t="shared" si="29"/>
        <v>12.3</v>
      </c>
      <c r="AI37" s="431">
        <f t="shared" si="29"/>
        <v>12.2</v>
      </c>
      <c r="AJ37" s="12"/>
      <c r="AK37" s="174">
        <f t="shared" si="13"/>
        <v>298.3</v>
      </c>
      <c r="AL37" s="174">
        <f t="shared" si="14"/>
        <v>298.3</v>
      </c>
      <c r="AM37" s="174">
        <v>0</v>
      </c>
      <c r="AN37" s="175"/>
      <c r="AO37" s="174">
        <f t="shared" si="12"/>
        <v>298.3</v>
      </c>
      <c r="AP37" s="171" t="str">
        <f t="shared" si="11"/>
        <v>V</v>
      </c>
    </row>
    <row r="38" spans="1:42" ht="15" hidden="1" customHeight="1">
      <c r="A38" t="s">
        <v>32</v>
      </c>
      <c r="B38" s="54" t="s">
        <v>124</v>
      </c>
      <c r="C38" s="43" t="s">
        <v>125</v>
      </c>
      <c r="D38" s="43" t="s">
        <v>110</v>
      </c>
      <c r="E38" s="430">
        <v>0</v>
      </c>
      <c r="F38" s="414">
        <v>0</v>
      </c>
      <c r="G38" s="447">
        <v>0</v>
      </c>
      <c r="H38" s="414">
        <v>0</v>
      </c>
      <c r="I38" s="414">
        <v>0</v>
      </c>
      <c r="J38" s="414">
        <v>0</v>
      </c>
      <c r="K38" s="414">
        <v>0</v>
      </c>
      <c r="L38" s="414">
        <v>0</v>
      </c>
      <c r="M38" s="414">
        <v>0</v>
      </c>
      <c r="N38" s="414">
        <v>0</v>
      </c>
      <c r="O38" s="414">
        <v>0</v>
      </c>
      <c r="P38" s="414">
        <v>0</v>
      </c>
      <c r="Q38" s="447">
        <v>0</v>
      </c>
      <c r="R38" s="414">
        <v>0</v>
      </c>
      <c r="S38" s="414">
        <v>0</v>
      </c>
      <c r="T38" s="414">
        <v>0</v>
      </c>
      <c r="U38" s="414">
        <v>0</v>
      </c>
      <c r="V38" s="414">
        <v>0</v>
      </c>
      <c r="W38" s="414">
        <v>0</v>
      </c>
      <c r="X38" s="414">
        <v>0</v>
      </c>
      <c r="Y38" s="414">
        <v>0</v>
      </c>
      <c r="Z38" s="414">
        <v>0</v>
      </c>
      <c r="AA38" s="447">
        <v>0</v>
      </c>
      <c r="AB38" s="414">
        <v>0</v>
      </c>
      <c r="AC38" s="414">
        <v>0</v>
      </c>
      <c r="AD38" s="414">
        <v>0</v>
      </c>
      <c r="AE38" s="414">
        <v>0</v>
      </c>
      <c r="AF38" s="414">
        <v>0</v>
      </c>
      <c r="AG38" s="414">
        <v>0</v>
      </c>
      <c r="AH38" s="414">
        <v>0</v>
      </c>
      <c r="AI38" s="431">
        <v>0</v>
      </c>
      <c r="AJ38" s="12"/>
      <c r="AK38" s="174">
        <f t="shared" si="13"/>
        <v>0</v>
      </c>
      <c r="AL38" s="174">
        <f t="shared" si="14"/>
        <v>0</v>
      </c>
      <c r="AM38" s="174">
        <v>0</v>
      </c>
      <c r="AN38" s="175"/>
      <c r="AO38" s="174">
        <f t="shared" si="12"/>
        <v>0</v>
      </c>
      <c r="AP38" s="171" t="str">
        <f t="shared" si="11"/>
        <v>V</v>
      </c>
    </row>
    <row r="39" spans="1:42" ht="15" hidden="1" customHeight="1">
      <c r="A39" t="s">
        <v>32</v>
      </c>
      <c r="B39" s="54" t="s">
        <v>75</v>
      </c>
      <c r="C39" s="43" t="s">
        <v>76</v>
      </c>
      <c r="D39" s="43" t="s">
        <v>38</v>
      </c>
      <c r="E39" s="430">
        <v>0</v>
      </c>
      <c r="F39" s="414">
        <v>0</v>
      </c>
      <c r="G39" s="447">
        <v>0</v>
      </c>
      <c r="H39" s="414">
        <v>0</v>
      </c>
      <c r="I39" s="414">
        <v>0</v>
      </c>
      <c r="J39" s="414">
        <v>0</v>
      </c>
      <c r="K39" s="414">
        <v>0</v>
      </c>
      <c r="L39" s="414">
        <v>0</v>
      </c>
      <c r="M39" s="414">
        <v>0</v>
      </c>
      <c r="N39" s="414">
        <v>0</v>
      </c>
      <c r="O39" s="414">
        <v>0</v>
      </c>
      <c r="P39" s="414">
        <v>0</v>
      </c>
      <c r="Q39" s="447">
        <v>0</v>
      </c>
      <c r="R39" s="414">
        <v>0</v>
      </c>
      <c r="S39" s="414">
        <v>0</v>
      </c>
      <c r="T39" s="414">
        <v>0</v>
      </c>
      <c r="U39" s="414">
        <v>0</v>
      </c>
      <c r="V39" s="414">
        <v>0</v>
      </c>
      <c r="W39" s="414">
        <v>0</v>
      </c>
      <c r="X39" s="414">
        <v>0</v>
      </c>
      <c r="Y39" s="414">
        <v>0</v>
      </c>
      <c r="Z39" s="414">
        <v>0</v>
      </c>
      <c r="AA39" s="447">
        <v>0</v>
      </c>
      <c r="AB39" s="414">
        <v>0</v>
      </c>
      <c r="AC39" s="414">
        <v>0</v>
      </c>
      <c r="AD39" s="414">
        <v>0</v>
      </c>
      <c r="AE39" s="414">
        <v>0</v>
      </c>
      <c r="AF39" s="414">
        <v>0</v>
      </c>
      <c r="AG39" s="414">
        <v>0</v>
      </c>
      <c r="AH39" s="414">
        <v>0</v>
      </c>
      <c r="AI39" s="431">
        <v>0</v>
      </c>
      <c r="AJ39" s="12"/>
      <c r="AK39" s="174">
        <f t="shared" si="13"/>
        <v>0</v>
      </c>
      <c r="AL39" s="174">
        <f t="shared" si="14"/>
        <v>0</v>
      </c>
      <c r="AM39" s="174">
        <v>0</v>
      </c>
      <c r="AN39" s="175"/>
      <c r="AO39" s="174">
        <f t="shared" si="12"/>
        <v>0</v>
      </c>
      <c r="AP39" s="171" t="str">
        <f t="shared" si="11"/>
        <v>V</v>
      </c>
    </row>
    <row r="40" spans="1:42" ht="15" hidden="1" customHeight="1">
      <c r="A40" t="s">
        <v>32</v>
      </c>
      <c r="B40" s="54" t="s">
        <v>77</v>
      </c>
      <c r="C40" s="43" t="s">
        <v>78</v>
      </c>
      <c r="D40" s="43" t="s">
        <v>38</v>
      </c>
      <c r="E40" s="430">
        <v>0</v>
      </c>
      <c r="F40" s="414">
        <v>0</v>
      </c>
      <c r="G40" s="447">
        <v>0</v>
      </c>
      <c r="H40" s="414">
        <v>0</v>
      </c>
      <c r="I40" s="414">
        <v>0</v>
      </c>
      <c r="J40" s="414">
        <v>0</v>
      </c>
      <c r="K40" s="414">
        <v>0</v>
      </c>
      <c r="L40" s="414">
        <v>0</v>
      </c>
      <c r="M40" s="414">
        <v>0</v>
      </c>
      <c r="N40" s="414">
        <v>0</v>
      </c>
      <c r="O40" s="414">
        <v>0</v>
      </c>
      <c r="P40" s="414">
        <v>0</v>
      </c>
      <c r="Q40" s="447">
        <v>0</v>
      </c>
      <c r="R40" s="414">
        <v>0</v>
      </c>
      <c r="S40" s="414">
        <v>0</v>
      </c>
      <c r="T40" s="414">
        <v>0</v>
      </c>
      <c r="U40" s="414">
        <v>0</v>
      </c>
      <c r="V40" s="414">
        <v>0</v>
      </c>
      <c r="W40" s="414">
        <v>0</v>
      </c>
      <c r="X40" s="414">
        <v>0</v>
      </c>
      <c r="Y40" s="414">
        <v>0</v>
      </c>
      <c r="Z40" s="414">
        <v>0</v>
      </c>
      <c r="AA40" s="447">
        <v>0</v>
      </c>
      <c r="AB40" s="414">
        <v>0</v>
      </c>
      <c r="AC40" s="414">
        <v>0</v>
      </c>
      <c r="AD40" s="414">
        <v>0</v>
      </c>
      <c r="AE40" s="414">
        <v>0</v>
      </c>
      <c r="AF40" s="414">
        <v>0</v>
      </c>
      <c r="AG40" s="414">
        <v>0</v>
      </c>
      <c r="AH40" s="414">
        <v>0</v>
      </c>
      <c r="AI40" s="431">
        <v>0</v>
      </c>
      <c r="AJ40" s="12"/>
      <c r="AK40" s="174">
        <f t="shared" si="13"/>
        <v>0</v>
      </c>
      <c r="AL40" s="174">
        <f t="shared" si="14"/>
        <v>0</v>
      </c>
      <c r="AM40" s="174">
        <v>0</v>
      </c>
      <c r="AN40" s="175"/>
      <c r="AO40" s="174">
        <f t="shared" si="12"/>
        <v>0</v>
      </c>
      <c r="AP40" s="171" t="str">
        <f t="shared" si="11"/>
        <v>V</v>
      </c>
    </row>
    <row r="41" spans="1:42" ht="15" hidden="1" customHeight="1">
      <c r="A41" t="s">
        <v>32</v>
      </c>
      <c r="B41" s="54" t="s">
        <v>79</v>
      </c>
      <c r="C41" s="43" t="s">
        <v>80</v>
      </c>
      <c r="D41" s="43" t="s">
        <v>38</v>
      </c>
      <c r="E41" s="430">
        <v>0</v>
      </c>
      <c r="F41" s="414">
        <v>0</v>
      </c>
      <c r="G41" s="447">
        <v>0</v>
      </c>
      <c r="H41" s="414">
        <v>0</v>
      </c>
      <c r="I41" s="414">
        <v>0</v>
      </c>
      <c r="J41" s="414">
        <v>0</v>
      </c>
      <c r="K41" s="414">
        <v>0</v>
      </c>
      <c r="L41" s="414">
        <v>0</v>
      </c>
      <c r="M41" s="414">
        <v>0</v>
      </c>
      <c r="N41" s="414">
        <v>0</v>
      </c>
      <c r="O41" s="414">
        <v>0</v>
      </c>
      <c r="P41" s="414">
        <v>0</v>
      </c>
      <c r="Q41" s="447">
        <v>0</v>
      </c>
      <c r="R41" s="414">
        <v>0</v>
      </c>
      <c r="S41" s="414">
        <v>0</v>
      </c>
      <c r="T41" s="414">
        <v>0</v>
      </c>
      <c r="U41" s="414">
        <v>0</v>
      </c>
      <c r="V41" s="414">
        <v>0</v>
      </c>
      <c r="W41" s="414">
        <v>0</v>
      </c>
      <c r="X41" s="414">
        <v>0</v>
      </c>
      <c r="Y41" s="414">
        <v>0</v>
      </c>
      <c r="Z41" s="414">
        <v>0</v>
      </c>
      <c r="AA41" s="447">
        <v>0</v>
      </c>
      <c r="AB41" s="414">
        <v>0</v>
      </c>
      <c r="AC41" s="414">
        <v>0</v>
      </c>
      <c r="AD41" s="414">
        <v>0</v>
      </c>
      <c r="AE41" s="414">
        <v>0</v>
      </c>
      <c r="AF41" s="414">
        <v>0</v>
      </c>
      <c r="AG41" s="414">
        <v>0</v>
      </c>
      <c r="AH41" s="414">
        <v>0</v>
      </c>
      <c r="AI41" s="431">
        <v>0</v>
      </c>
      <c r="AJ41" s="12"/>
      <c r="AK41" s="174">
        <f t="shared" si="13"/>
        <v>0</v>
      </c>
      <c r="AL41" s="174">
        <f t="shared" si="14"/>
        <v>0</v>
      </c>
      <c r="AM41" s="174">
        <v>0</v>
      </c>
      <c r="AN41" s="175"/>
      <c r="AO41" s="174">
        <f t="shared" si="12"/>
        <v>0</v>
      </c>
      <c r="AP41" s="171" t="str">
        <f t="shared" si="11"/>
        <v>V</v>
      </c>
    </row>
    <row r="42" spans="1:42" ht="15" hidden="1" customHeight="1">
      <c r="A42" t="s">
        <v>32</v>
      </c>
      <c r="B42" s="54" t="s">
        <v>459</v>
      </c>
      <c r="C42" s="43" t="s">
        <v>460</v>
      </c>
      <c r="D42" s="43" t="s">
        <v>38</v>
      </c>
      <c r="E42" s="430">
        <v>0</v>
      </c>
      <c r="F42" s="414">
        <v>0</v>
      </c>
      <c r="G42" s="447">
        <v>0</v>
      </c>
      <c r="H42" s="414">
        <v>0</v>
      </c>
      <c r="I42" s="414">
        <v>0</v>
      </c>
      <c r="J42" s="414">
        <v>0</v>
      </c>
      <c r="K42" s="414">
        <v>0</v>
      </c>
      <c r="L42" s="414">
        <v>0</v>
      </c>
      <c r="M42" s="414">
        <v>0</v>
      </c>
      <c r="N42" s="414">
        <v>0</v>
      </c>
      <c r="O42" s="414">
        <v>0</v>
      </c>
      <c r="P42" s="414">
        <v>0</v>
      </c>
      <c r="Q42" s="447">
        <v>0</v>
      </c>
      <c r="R42" s="414">
        <v>0</v>
      </c>
      <c r="S42" s="414">
        <v>0</v>
      </c>
      <c r="T42" s="414">
        <v>0</v>
      </c>
      <c r="U42" s="414">
        <v>0</v>
      </c>
      <c r="V42" s="414">
        <v>0</v>
      </c>
      <c r="W42" s="414">
        <v>0</v>
      </c>
      <c r="X42" s="414">
        <v>0</v>
      </c>
      <c r="Y42" s="414">
        <v>0</v>
      </c>
      <c r="Z42" s="414">
        <v>0</v>
      </c>
      <c r="AA42" s="447">
        <v>0</v>
      </c>
      <c r="AB42" s="414">
        <v>0</v>
      </c>
      <c r="AC42" s="414">
        <v>0</v>
      </c>
      <c r="AD42" s="414">
        <v>0</v>
      </c>
      <c r="AE42" s="414">
        <v>0</v>
      </c>
      <c r="AF42" s="414">
        <v>0</v>
      </c>
      <c r="AG42" s="414">
        <v>0</v>
      </c>
      <c r="AH42" s="414">
        <v>0</v>
      </c>
      <c r="AI42" s="431">
        <v>0</v>
      </c>
      <c r="AJ42" s="12"/>
      <c r="AK42" s="174">
        <f t="shared" si="13"/>
        <v>0</v>
      </c>
      <c r="AL42" s="174">
        <f t="shared" si="14"/>
        <v>0</v>
      </c>
      <c r="AM42" s="174">
        <v>0</v>
      </c>
      <c r="AN42" s="175"/>
      <c r="AO42" s="174">
        <f t="shared" si="12"/>
        <v>0</v>
      </c>
      <c r="AP42" s="171" t="str">
        <f t="shared" si="11"/>
        <v>V</v>
      </c>
    </row>
    <row r="43" spans="1:42" ht="15" hidden="1" customHeight="1">
      <c r="A43" t="s">
        <v>32</v>
      </c>
      <c r="B43" s="54" t="s">
        <v>461</v>
      </c>
      <c r="C43" s="43" t="s">
        <v>462</v>
      </c>
      <c r="D43" s="43" t="s">
        <v>38</v>
      </c>
      <c r="E43" s="430">
        <v>0</v>
      </c>
      <c r="F43" s="414">
        <v>0</v>
      </c>
      <c r="G43" s="447">
        <v>0</v>
      </c>
      <c r="H43" s="414">
        <v>0</v>
      </c>
      <c r="I43" s="414">
        <v>0</v>
      </c>
      <c r="J43" s="414">
        <v>0</v>
      </c>
      <c r="K43" s="414">
        <v>0</v>
      </c>
      <c r="L43" s="414">
        <v>0</v>
      </c>
      <c r="M43" s="414">
        <v>0</v>
      </c>
      <c r="N43" s="414">
        <v>0</v>
      </c>
      <c r="O43" s="414">
        <v>0</v>
      </c>
      <c r="P43" s="414">
        <v>0</v>
      </c>
      <c r="Q43" s="447">
        <v>0</v>
      </c>
      <c r="R43" s="414">
        <v>0</v>
      </c>
      <c r="S43" s="414">
        <v>0</v>
      </c>
      <c r="T43" s="414">
        <v>0</v>
      </c>
      <c r="U43" s="414">
        <v>0</v>
      </c>
      <c r="V43" s="414">
        <v>0</v>
      </c>
      <c r="W43" s="414">
        <v>0</v>
      </c>
      <c r="X43" s="414">
        <v>0</v>
      </c>
      <c r="Y43" s="414">
        <v>0</v>
      </c>
      <c r="Z43" s="414">
        <v>0</v>
      </c>
      <c r="AA43" s="447">
        <v>0</v>
      </c>
      <c r="AB43" s="414">
        <v>0</v>
      </c>
      <c r="AC43" s="414">
        <v>0</v>
      </c>
      <c r="AD43" s="414">
        <v>0</v>
      </c>
      <c r="AE43" s="414">
        <v>0</v>
      </c>
      <c r="AF43" s="414">
        <v>0</v>
      </c>
      <c r="AG43" s="414">
        <v>0</v>
      </c>
      <c r="AH43" s="414">
        <v>0</v>
      </c>
      <c r="AI43" s="431">
        <v>0</v>
      </c>
      <c r="AJ43" s="12"/>
      <c r="AK43" s="174">
        <f t="shared" si="13"/>
        <v>0</v>
      </c>
      <c r="AL43" s="174">
        <f t="shared" si="14"/>
        <v>0</v>
      </c>
      <c r="AM43" s="174">
        <v>0</v>
      </c>
      <c r="AN43" s="175"/>
      <c r="AO43" s="174">
        <f t="shared" si="12"/>
        <v>0</v>
      </c>
      <c r="AP43" s="171" t="str">
        <f t="shared" si="11"/>
        <v>V</v>
      </c>
    </row>
    <row r="44" spans="1:42" ht="15" hidden="1" customHeight="1">
      <c r="A44" t="s">
        <v>32</v>
      </c>
      <c r="B44" s="54"/>
      <c r="C44" s="43"/>
      <c r="D44" s="43"/>
      <c r="E44" s="430">
        <v>0</v>
      </c>
      <c r="F44" s="414">
        <v>0</v>
      </c>
      <c r="G44" s="447">
        <v>0</v>
      </c>
      <c r="H44" s="414">
        <v>0</v>
      </c>
      <c r="I44" s="414">
        <v>0</v>
      </c>
      <c r="J44" s="414">
        <v>0</v>
      </c>
      <c r="K44" s="414">
        <v>0</v>
      </c>
      <c r="L44" s="414">
        <v>0</v>
      </c>
      <c r="M44" s="414">
        <v>0</v>
      </c>
      <c r="N44" s="414">
        <v>0</v>
      </c>
      <c r="O44" s="414">
        <v>0</v>
      </c>
      <c r="P44" s="414">
        <v>0</v>
      </c>
      <c r="Q44" s="447">
        <v>0</v>
      </c>
      <c r="R44" s="414">
        <v>0</v>
      </c>
      <c r="S44" s="414">
        <v>0</v>
      </c>
      <c r="T44" s="414">
        <v>0</v>
      </c>
      <c r="U44" s="414">
        <v>0</v>
      </c>
      <c r="V44" s="414">
        <v>0</v>
      </c>
      <c r="W44" s="414">
        <v>0</v>
      </c>
      <c r="X44" s="414">
        <v>0</v>
      </c>
      <c r="Y44" s="414">
        <v>0</v>
      </c>
      <c r="Z44" s="414">
        <v>0</v>
      </c>
      <c r="AA44" s="447">
        <v>0</v>
      </c>
      <c r="AB44" s="414">
        <v>0</v>
      </c>
      <c r="AC44" s="414">
        <v>0</v>
      </c>
      <c r="AD44" s="414">
        <v>0</v>
      </c>
      <c r="AE44" s="414">
        <v>0</v>
      </c>
      <c r="AF44" s="414">
        <v>0</v>
      </c>
      <c r="AG44" s="414">
        <v>0</v>
      </c>
      <c r="AH44" s="414">
        <v>0</v>
      </c>
      <c r="AI44" s="431">
        <v>0</v>
      </c>
      <c r="AJ44" s="12"/>
      <c r="AK44" s="174">
        <f t="shared" si="13"/>
        <v>0</v>
      </c>
      <c r="AL44" s="174">
        <f t="shared" si="14"/>
        <v>0</v>
      </c>
      <c r="AM44" s="174">
        <v>0</v>
      </c>
      <c r="AN44" s="175"/>
      <c r="AO44" s="174">
        <f t="shared" si="12"/>
        <v>0</v>
      </c>
      <c r="AP44" s="171" t="str">
        <f t="shared" si="11"/>
        <v>V</v>
      </c>
    </row>
    <row r="45" spans="1:42" ht="15" hidden="1" customHeight="1">
      <c r="A45" t="s">
        <v>32</v>
      </c>
      <c r="B45" s="54"/>
      <c r="C45" s="43"/>
      <c r="D45" s="43"/>
      <c r="E45" s="430">
        <v>0</v>
      </c>
      <c r="F45" s="414">
        <v>0</v>
      </c>
      <c r="G45" s="447">
        <v>0</v>
      </c>
      <c r="H45" s="414">
        <v>0</v>
      </c>
      <c r="I45" s="414">
        <v>0</v>
      </c>
      <c r="J45" s="414">
        <v>0</v>
      </c>
      <c r="K45" s="414">
        <v>0</v>
      </c>
      <c r="L45" s="414">
        <v>0</v>
      </c>
      <c r="M45" s="414">
        <v>0</v>
      </c>
      <c r="N45" s="414">
        <v>0</v>
      </c>
      <c r="O45" s="414">
        <v>0</v>
      </c>
      <c r="P45" s="414">
        <v>0</v>
      </c>
      <c r="Q45" s="447">
        <v>0</v>
      </c>
      <c r="R45" s="414">
        <v>0</v>
      </c>
      <c r="S45" s="414">
        <v>0</v>
      </c>
      <c r="T45" s="414">
        <v>0</v>
      </c>
      <c r="U45" s="414">
        <v>0</v>
      </c>
      <c r="V45" s="414">
        <v>0</v>
      </c>
      <c r="W45" s="414">
        <v>0</v>
      </c>
      <c r="X45" s="414">
        <v>0</v>
      </c>
      <c r="Y45" s="414">
        <v>0</v>
      </c>
      <c r="Z45" s="414">
        <v>0</v>
      </c>
      <c r="AA45" s="447">
        <v>0</v>
      </c>
      <c r="AB45" s="414">
        <v>0</v>
      </c>
      <c r="AC45" s="414">
        <v>0</v>
      </c>
      <c r="AD45" s="414">
        <v>0</v>
      </c>
      <c r="AE45" s="414">
        <v>0</v>
      </c>
      <c r="AF45" s="414">
        <v>0</v>
      </c>
      <c r="AG45" s="414">
        <v>0</v>
      </c>
      <c r="AH45" s="414">
        <v>0</v>
      </c>
      <c r="AI45" s="431">
        <v>0</v>
      </c>
      <c r="AJ45" s="12"/>
      <c r="AK45" s="174">
        <f t="shared" si="13"/>
        <v>0</v>
      </c>
      <c r="AL45" s="174">
        <f t="shared" si="14"/>
        <v>0</v>
      </c>
      <c r="AM45" s="174">
        <v>0</v>
      </c>
      <c r="AN45" s="175"/>
      <c r="AO45" s="174">
        <f t="shared" si="12"/>
        <v>0</v>
      </c>
      <c r="AP45" s="171" t="str">
        <f t="shared" si="11"/>
        <v>V</v>
      </c>
    </row>
    <row r="46" spans="1:42" ht="15" hidden="1" customHeight="1">
      <c r="A46" t="s">
        <v>32</v>
      </c>
      <c r="B46" s="54"/>
      <c r="C46" s="43"/>
      <c r="D46" s="43"/>
      <c r="E46" s="430">
        <v>0</v>
      </c>
      <c r="F46" s="414">
        <v>0</v>
      </c>
      <c r="G46" s="447">
        <v>0</v>
      </c>
      <c r="H46" s="414">
        <v>0</v>
      </c>
      <c r="I46" s="414">
        <v>0</v>
      </c>
      <c r="J46" s="414">
        <v>0</v>
      </c>
      <c r="K46" s="414">
        <v>0</v>
      </c>
      <c r="L46" s="414">
        <v>0</v>
      </c>
      <c r="M46" s="414">
        <v>0</v>
      </c>
      <c r="N46" s="414">
        <v>0</v>
      </c>
      <c r="O46" s="414">
        <v>0</v>
      </c>
      <c r="P46" s="414">
        <v>0</v>
      </c>
      <c r="Q46" s="447">
        <v>0</v>
      </c>
      <c r="R46" s="414">
        <v>0</v>
      </c>
      <c r="S46" s="414">
        <v>0</v>
      </c>
      <c r="T46" s="414">
        <v>0</v>
      </c>
      <c r="U46" s="414">
        <v>0</v>
      </c>
      <c r="V46" s="414">
        <v>0</v>
      </c>
      <c r="W46" s="414">
        <v>0</v>
      </c>
      <c r="X46" s="414">
        <v>0</v>
      </c>
      <c r="Y46" s="414">
        <v>0</v>
      </c>
      <c r="Z46" s="414">
        <v>0</v>
      </c>
      <c r="AA46" s="447">
        <v>0</v>
      </c>
      <c r="AB46" s="414">
        <v>0</v>
      </c>
      <c r="AC46" s="414">
        <v>0</v>
      </c>
      <c r="AD46" s="414">
        <v>0</v>
      </c>
      <c r="AE46" s="414">
        <v>0</v>
      </c>
      <c r="AF46" s="414">
        <v>0</v>
      </c>
      <c r="AG46" s="414">
        <v>0</v>
      </c>
      <c r="AH46" s="414">
        <v>0</v>
      </c>
      <c r="AI46" s="431">
        <v>0</v>
      </c>
      <c r="AJ46" s="12"/>
      <c r="AK46" s="174">
        <f t="shared" si="13"/>
        <v>0</v>
      </c>
      <c r="AL46" s="174">
        <f t="shared" si="14"/>
        <v>0</v>
      </c>
      <c r="AM46" s="174">
        <v>0</v>
      </c>
      <c r="AN46" s="175"/>
      <c r="AO46" s="174">
        <f t="shared" si="12"/>
        <v>0</v>
      </c>
      <c r="AP46" s="171" t="str">
        <f t="shared" si="11"/>
        <v>V</v>
      </c>
    </row>
    <row r="47" spans="1:42" ht="15" hidden="1" customHeight="1">
      <c r="B47" s="54"/>
      <c r="C47" s="43"/>
      <c r="D47" s="43"/>
      <c r="E47" s="430">
        <v>0</v>
      </c>
      <c r="F47" s="414">
        <v>0</v>
      </c>
      <c r="G47" s="447">
        <v>0</v>
      </c>
      <c r="H47" s="414">
        <v>0</v>
      </c>
      <c r="I47" s="414">
        <v>0</v>
      </c>
      <c r="J47" s="414">
        <v>0</v>
      </c>
      <c r="K47" s="414">
        <v>0</v>
      </c>
      <c r="L47" s="414">
        <v>0</v>
      </c>
      <c r="M47" s="414">
        <v>0</v>
      </c>
      <c r="N47" s="414">
        <v>0</v>
      </c>
      <c r="O47" s="414">
        <v>0</v>
      </c>
      <c r="P47" s="414">
        <v>0</v>
      </c>
      <c r="Q47" s="447">
        <v>0</v>
      </c>
      <c r="R47" s="414">
        <v>0</v>
      </c>
      <c r="S47" s="414">
        <v>0</v>
      </c>
      <c r="T47" s="414">
        <v>0</v>
      </c>
      <c r="U47" s="414">
        <v>0</v>
      </c>
      <c r="V47" s="414">
        <v>0</v>
      </c>
      <c r="W47" s="414">
        <v>0</v>
      </c>
      <c r="X47" s="414">
        <v>0</v>
      </c>
      <c r="Y47" s="414">
        <v>0</v>
      </c>
      <c r="Z47" s="414">
        <v>0</v>
      </c>
      <c r="AA47" s="447">
        <v>0</v>
      </c>
      <c r="AB47" s="414">
        <v>0</v>
      </c>
      <c r="AC47" s="414">
        <v>0</v>
      </c>
      <c r="AD47" s="414">
        <v>0</v>
      </c>
      <c r="AE47" s="414">
        <v>0</v>
      </c>
      <c r="AF47" s="414">
        <v>0</v>
      </c>
      <c r="AG47" s="414">
        <v>0</v>
      </c>
      <c r="AH47" s="414">
        <v>0</v>
      </c>
      <c r="AI47" s="431">
        <v>0</v>
      </c>
      <c r="AJ47" s="12"/>
      <c r="AK47" s="174">
        <f t="shared" si="13"/>
        <v>0</v>
      </c>
      <c r="AL47" s="174">
        <f t="shared" si="14"/>
        <v>0</v>
      </c>
      <c r="AM47" s="174">
        <v>0</v>
      </c>
      <c r="AN47" s="175"/>
      <c r="AO47" s="174">
        <f t="shared" si="12"/>
        <v>0</v>
      </c>
      <c r="AP47" s="171" t="str">
        <f t="shared" si="11"/>
        <v>V</v>
      </c>
    </row>
    <row r="48" spans="1:42" ht="15" hidden="1" customHeight="1">
      <c r="B48" s="54"/>
      <c r="C48" s="43"/>
      <c r="D48" s="43"/>
      <c r="E48" s="430">
        <v>0</v>
      </c>
      <c r="F48" s="414">
        <v>0</v>
      </c>
      <c r="G48" s="447">
        <v>0</v>
      </c>
      <c r="H48" s="414">
        <v>0</v>
      </c>
      <c r="I48" s="414">
        <v>0</v>
      </c>
      <c r="J48" s="414">
        <v>0</v>
      </c>
      <c r="K48" s="414">
        <v>0</v>
      </c>
      <c r="L48" s="414">
        <v>0</v>
      </c>
      <c r="M48" s="414">
        <v>0</v>
      </c>
      <c r="N48" s="414">
        <v>0</v>
      </c>
      <c r="O48" s="414">
        <v>0</v>
      </c>
      <c r="P48" s="414">
        <v>0</v>
      </c>
      <c r="Q48" s="447">
        <v>0</v>
      </c>
      <c r="R48" s="414">
        <v>0</v>
      </c>
      <c r="S48" s="414">
        <v>0</v>
      </c>
      <c r="T48" s="414">
        <v>0</v>
      </c>
      <c r="U48" s="414">
        <v>0</v>
      </c>
      <c r="V48" s="414">
        <v>0</v>
      </c>
      <c r="W48" s="414">
        <v>0</v>
      </c>
      <c r="X48" s="414">
        <v>0</v>
      </c>
      <c r="Y48" s="414">
        <v>0</v>
      </c>
      <c r="Z48" s="414">
        <v>0</v>
      </c>
      <c r="AA48" s="447">
        <v>0</v>
      </c>
      <c r="AB48" s="414">
        <v>0</v>
      </c>
      <c r="AC48" s="414">
        <v>0</v>
      </c>
      <c r="AD48" s="414">
        <v>0</v>
      </c>
      <c r="AE48" s="414">
        <v>0</v>
      </c>
      <c r="AF48" s="414">
        <v>0</v>
      </c>
      <c r="AG48" s="414">
        <v>0</v>
      </c>
      <c r="AH48" s="414">
        <v>0</v>
      </c>
      <c r="AI48" s="431">
        <v>0</v>
      </c>
      <c r="AJ48" s="12"/>
      <c r="AK48" s="174">
        <f t="shared" si="13"/>
        <v>0</v>
      </c>
      <c r="AL48" s="174">
        <f t="shared" si="14"/>
        <v>0</v>
      </c>
      <c r="AM48" s="174">
        <v>0</v>
      </c>
      <c r="AN48" s="175"/>
      <c r="AO48" s="174">
        <f t="shared" si="12"/>
        <v>0</v>
      </c>
      <c r="AP48" s="171" t="str">
        <f t="shared" si="11"/>
        <v>V</v>
      </c>
    </row>
    <row r="49" spans="1:42" ht="15" hidden="1" customHeight="1">
      <c r="B49" s="54"/>
      <c r="C49" s="43"/>
      <c r="D49" s="43"/>
      <c r="E49" s="430">
        <v>0</v>
      </c>
      <c r="F49" s="414">
        <v>0</v>
      </c>
      <c r="G49" s="447">
        <v>0</v>
      </c>
      <c r="H49" s="414">
        <v>0</v>
      </c>
      <c r="I49" s="414">
        <v>0</v>
      </c>
      <c r="J49" s="414">
        <v>0</v>
      </c>
      <c r="K49" s="414">
        <v>0</v>
      </c>
      <c r="L49" s="414">
        <v>0</v>
      </c>
      <c r="M49" s="414">
        <v>0</v>
      </c>
      <c r="N49" s="414">
        <v>0</v>
      </c>
      <c r="O49" s="414">
        <v>0</v>
      </c>
      <c r="P49" s="414">
        <v>0</v>
      </c>
      <c r="Q49" s="447">
        <v>0</v>
      </c>
      <c r="R49" s="414">
        <v>0</v>
      </c>
      <c r="S49" s="414">
        <v>0</v>
      </c>
      <c r="T49" s="414">
        <v>0</v>
      </c>
      <c r="U49" s="414">
        <v>0</v>
      </c>
      <c r="V49" s="414">
        <v>0</v>
      </c>
      <c r="W49" s="414">
        <v>0</v>
      </c>
      <c r="X49" s="414">
        <v>0</v>
      </c>
      <c r="Y49" s="414">
        <v>0</v>
      </c>
      <c r="Z49" s="414">
        <v>0</v>
      </c>
      <c r="AA49" s="447">
        <v>0</v>
      </c>
      <c r="AB49" s="414">
        <v>0</v>
      </c>
      <c r="AC49" s="414">
        <v>0</v>
      </c>
      <c r="AD49" s="414">
        <v>0</v>
      </c>
      <c r="AE49" s="414">
        <v>0</v>
      </c>
      <c r="AF49" s="414">
        <v>0</v>
      </c>
      <c r="AG49" s="414">
        <v>0</v>
      </c>
      <c r="AH49" s="414">
        <v>0</v>
      </c>
      <c r="AI49" s="431">
        <v>0</v>
      </c>
      <c r="AJ49" s="12"/>
      <c r="AK49" s="174">
        <f t="shared" si="13"/>
        <v>0</v>
      </c>
      <c r="AL49" s="174">
        <f t="shared" si="14"/>
        <v>0</v>
      </c>
      <c r="AM49" s="174">
        <v>0</v>
      </c>
      <c r="AN49" s="175"/>
      <c r="AO49" s="174">
        <f t="shared" si="12"/>
        <v>0</v>
      </c>
      <c r="AP49" s="171" t="str">
        <f t="shared" si="11"/>
        <v>V</v>
      </c>
    </row>
    <row r="50" spans="1:42" ht="15" hidden="1" customHeight="1">
      <c r="B50" s="54"/>
      <c r="C50" s="43"/>
      <c r="D50" s="43"/>
      <c r="E50" s="430">
        <v>0</v>
      </c>
      <c r="F50" s="414">
        <v>0</v>
      </c>
      <c r="G50" s="447">
        <v>0</v>
      </c>
      <c r="H50" s="414">
        <v>0</v>
      </c>
      <c r="I50" s="414">
        <v>0</v>
      </c>
      <c r="J50" s="414">
        <v>0</v>
      </c>
      <c r="K50" s="414">
        <v>0</v>
      </c>
      <c r="L50" s="414">
        <v>0</v>
      </c>
      <c r="M50" s="414">
        <v>0</v>
      </c>
      <c r="N50" s="414">
        <v>0</v>
      </c>
      <c r="O50" s="414">
        <v>0</v>
      </c>
      <c r="P50" s="414">
        <v>0</v>
      </c>
      <c r="Q50" s="447">
        <v>0</v>
      </c>
      <c r="R50" s="414">
        <v>0</v>
      </c>
      <c r="S50" s="414">
        <v>0</v>
      </c>
      <c r="T50" s="414">
        <v>0</v>
      </c>
      <c r="U50" s="414">
        <v>0</v>
      </c>
      <c r="V50" s="414">
        <v>0</v>
      </c>
      <c r="W50" s="414">
        <v>0</v>
      </c>
      <c r="X50" s="414">
        <v>0</v>
      </c>
      <c r="Y50" s="414">
        <v>0</v>
      </c>
      <c r="Z50" s="414">
        <v>0</v>
      </c>
      <c r="AA50" s="447">
        <v>0</v>
      </c>
      <c r="AB50" s="414">
        <v>0</v>
      </c>
      <c r="AC50" s="414">
        <v>0</v>
      </c>
      <c r="AD50" s="414">
        <v>0</v>
      </c>
      <c r="AE50" s="414">
        <v>0</v>
      </c>
      <c r="AF50" s="414">
        <v>0</v>
      </c>
      <c r="AG50" s="414">
        <v>0</v>
      </c>
      <c r="AH50" s="414">
        <v>0</v>
      </c>
      <c r="AI50" s="431">
        <v>0</v>
      </c>
      <c r="AJ50" s="12"/>
      <c r="AK50" s="174">
        <f t="shared" si="13"/>
        <v>0</v>
      </c>
      <c r="AL50" s="174">
        <f t="shared" si="14"/>
        <v>0</v>
      </c>
      <c r="AM50" s="174">
        <v>0</v>
      </c>
      <c r="AN50" s="175"/>
      <c r="AO50" s="174">
        <f t="shared" si="12"/>
        <v>0</v>
      </c>
      <c r="AP50" s="171" t="str">
        <f t="shared" si="11"/>
        <v>V</v>
      </c>
    </row>
    <row r="51" spans="1:42" ht="15" hidden="1" customHeight="1">
      <c r="A51" t="s">
        <v>160</v>
      </c>
      <c r="B51" s="54" t="s">
        <v>165</v>
      </c>
      <c r="C51" s="43" t="s">
        <v>166</v>
      </c>
      <c r="D51" s="43" t="s">
        <v>38</v>
      </c>
      <c r="E51" s="430">
        <v>0</v>
      </c>
      <c r="F51" s="414">
        <v>0</v>
      </c>
      <c r="G51" s="447">
        <v>0</v>
      </c>
      <c r="H51" s="414">
        <v>0</v>
      </c>
      <c r="I51" s="414">
        <v>0</v>
      </c>
      <c r="J51" s="414">
        <v>0</v>
      </c>
      <c r="K51" s="414">
        <v>0</v>
      </c>
      <c r="L51" s="414">
        <v>0</v>
      </c>
      <c r="M51" s="414">
        <v>0</v>
      </c>
      <c r="N51" s="414">
        <v>0</v>
      </c>
      <c r="O51" s="414">
        <v>0</v>
      </c>
      <c r="P51" s="414">
        <v>0</v>
      </c>
      <c r="Q51" s="447">
        <v>0</v>
      </c>
      <c r="R51" s="414">
        <v>0</v>
      </c>
      <c r="S51" s="414">
        <v>0</v>
      </c>
      <c r="T51" s="414">
        <v>0</v>
      </c>
      <c r="U51" s="414">
        <v>0</v>
      </c>
      <c r="V51" s="414">
        <v>0</v>
      </c>
      <c r="W51" s="414">
        <v>0</v>
      </c>
      <c r="X51" s="414">
        <v>0</v>
      </c>
      <c r="Y51" s="414">
        <v>0</v>
      </c>
      <c r="Z51" s="414">
        <v>0</v>
      </c>
      <c r="AA51" s="447">
        <v>0</v>
      </c>
      <c r="AB51" s="414">
        <v>0</v>
      </c>
      <c r="AC51" s="414">
        <v>0</v>
      </c>
      <c r="AD51" s="414">
        <v>0</v>
      </c>
      <c r="AE51" s="414">
        <v>0</v>
      </c>
      <c r="AF51" s="414">
        <v>0</v>
      </c>
      <c r="AG51" s="414">
        <v>0</v>
      </c>
      <c r="AH51" s="414">
        <v>0</v>
      </c>
      <c r="AI51" s="431">
        <v>0</v>
      </c>
      <c r="AJ51" s="12"/>
      <c r="AK51" s="174">
        <f t="shared" si="13"/>
        <v>0</v>
      </c>
      <c r="AL51" s="174">
        <f t="shared" si="14"/>
        <v>0</v>
      </c>
      <c r="AM51" s="174">
        <v>0</v>
      </c>
      <c r="AN51" s="175"/>
      <c r="AO51" s="174">
        <f t="shared" si="12"/>
        <v>0</v>
      </c>
      <c r="AP51" s="171" t="str">
        <f t="shared" si="11"/>
        <v>V</v>
      </c>
    </row>
    <row r="52" spans="1:42" ht="15" hidden="1" customHeight="1">
      <c r="A52" t="s">
        <v>160</v>
      </c>
      <c r="B52" s="54" t="s">
        <v>168</v>
      </c>
      <c r="C52" s="43" t="s">
        <v>169</v>
      </c>
      <c r="D52" s="43" t="s">
        <v>38</v>
      </c>
      <c r="E52" s="430">
        <v>0</v>
      </c>
      <c r="F52" s="414">
        <v>0</v>
      </c>
      <c r="G52" s="447">
        <v>0</v>
      </c>
      <c r="H52" s="414">
        <v>0</v>
      </c>
      <c r="I52" s="414">
        <v>0</v>
      </c>
      <c r="J52" s="414">
        <v>0</v>
      </c>
      <c r="K52" s="414">
        <v>0</v>
      </c>
      <c r="L52" s="414">
        <v>0</v>
      </c>
      <c r="M52" s="414">
        <v>0</v>
      </c>
      <c r="N52" s="414">
        <v>0</v>
      </c>
      <c r="O52" s="414">
        <v>0</v>
      </c>
      <c r="P52" s="414">
        <v>0</v>
      </c>
      <c r="Q52" s="447">
        <v>0</v>
      </c>
      <c r="R52" s="414">
        <v>0</v>
      </c>
      <c r="S52" s="414">
        <v>0</v>
      </c>
      <c r="T52" s="414">
        <v>0</v>
      </c>
      <c r="U52" s="414">
        <v>0</v>
      </c>
      <c r="V52" s="414">
        <v>0</v>
      </c>
      <c r="W52" s="414">
        <v>0</v>
      </c>
      <c r="X52" s="414">
        <v>0</v>
      </c>
      <c r="Y52" s="414">
        <v>0</v>
      </c>
      <c r="Z52" s="414">
        <v>0</v>
      </c>
      <c r="AA52" s="447">
        <v>0</v>
      </c>
      <c r="AB52" s="414">
        <v>0</v>
      </c>
      <c r="AC52" s="414">
        <v>0</v>
      </c>
      <c r="AD52" s="414">
        <v>0</v>
      </c>
      <c r="AE52" s="414">
        <v>0</v>
      </c>
      <c r="AF52" s="414">
        <v>0</v>
      </c>
      <c r="AG52" s="414">
        <v>0</v>
      </c>
      <c r="AH52" s="414">
        <v>0</v>
      </c>
      <c r="AI52" s="431">
        <v>0</v>
      </c>
      <c r="AJ52" s="12"/>
      <c r="AK52" s="174">
        <f t="shared" si="13"/>
        <v>0</v>
      </c>
      <c r="AL52" s="174">
        <f t="shared" si="14"/>
        <v>0</v>
      </c>
      <c r="AM52" s="174">
        <v>0</v>
      </c>
      <c r="AN52" s="175"/>
      <c r="AO52" s="174">
        <f t="shared" si="12"/>
        <v>0</v>
      </c>
      <c r="AP52" s="171" t="str">
        <f t="shared" si="11"/>
        <v>V</v>
      </c>
    </row>
    <row r="53" spans="1:42" ht="15" hidden="1" customHeight="1">
      <c r="A53" t="s">
        <v>160</v>
      </c>
      <c r="B53" s="54" t="s">
        <v>170</v>
      </c>
      <c r="C53" s="43" t="s">
        <v>171</v>
      </c>
      <c r="D53" s="43" t="s">
        <v>38</v>
      </c>
      <c r="E53" s="430">
        <v>0</v>
      </c>
      <c r="F53" s="414">
        <v>0</v>
      </c>
      <c r="G53" s="447">
        <v>0</v>
      </c>
      <c r="H53" s="414">
        <v>0</v>
      </c>
      <c r="I53" s="414">
        <v>0</v>
      </c>
      <c r="J53" s="414">
        <v>0</v>
      </c>
      <c r="K53" s="414">
        <v>0</v>
      </c>
      <c r="L53" s="414">
        <v>0</v>
      </c>
      <c r="M53" s="414">
        <v>0</v>
      </c>
      <c r="N53" s="414">
        <v>0</v>
      </c>
      <c r="O53" s="414">
        <v>0</v>
      </c>
      <c r="P53" s="414">
        <v>0</v>
      </c>
      <c r="Q53" s="447">
        <v>0</v>
      </c>
      <c r="R53" s="414">
        <v>0</v>
      </c>
      <c r="S53" s="414">
        <v>0</v>
      </c>
      <c r="T53" s="414">
        <v>0</v>
      </c>
      <c r="U53" s="414">
        <v>0</v>
      </c>
      <c r="V53" s="414">
        <v>0</v>
      </c>
      <c r="W53" s="414">
        <v>0</v>
      </c>
      <c r="X53" s="414">
        <v>0</v>
      </c>
      <c r="Y53" s="414">
        <v>0</v>
      </c>
      <c r="Z53" s="414">
        <v>0</v>
      </c>
      <c r="AA53" s="447">
        <v>0</v>
      </c>
      <c r="AB53" s="414">
        <v>0</v>
      </c>
      <c r="AC53" s="414">
        <v>0</v>
      </c>
      <c r="AD53" s="414">
        <v>0</v>
      </c>
      <c r="AE53" s="414">
        <v>0</v>
      </c>
      <c r="AF53" s="414">
        <v>0</v>
      </c>
      <c r="AG53" s="414">
        <v>0</v>
      </c>
      <c r="AH53" s="414">
        <v>0</v>
      </c>
      <c r="AI53" s="431">
        <v>0</v>
      </c>
      <c r="AJ53" s="12"/>
      <c r="AK53" s="174">
        <f t="shared" si="13"/>
        <v>0</v>
      </c>
      <c r="AL53" s="174">
        <f t="shared" si="14"/>
        <v>0</v>
      </c>
      <c r="AM53" s="174">
        <v>0</v>
      </c>
      <c r="AN53" s="175"/>
      <c r="AO53" s="174">
        <f t="shared" si="12"/>
        <v>0</v>
      </c>
      <c r="AP53" s="171" t="str">
        <f t="shared" si="11"/>
        <v>V</v>
      </c>
    </row>
    <row r="54" spans="1:42" ht="15" hidden="1" customHeight="1">
      <c r="A54" t="s">
        <v>160</v>
      </c>
      <c r="B54" s="54" t="s">
        <v>172</v>
      </c>
      <c r="C54" s="43" t="s">
        <v>173</v>
      </c>
      <c r="D54" s="43" t="s">
        <v>38</v>
      </c>
      <c r="E54" s="430">
        <v>0</v>
      </c>
      <c r="F54" s="414">
        <v>0</v>
      </c>
      <c r="G54" s="447">
        <v>0</v>
      </c>
      <c r="H54" s="414">
        <v>0</v>
      </c>
      <c r="I54" s="414">
        <v>0</v>
      </c>
      <c r="J54" s="414">
        <v>0</v>
      </c>
      <c r="K54" s="414">
        <v>0</v>
      </c>
      <c r="L54" s="414">
        <v>0</v>
      </c>
      <c r="M54" s="414">
        <v>0</v>
      </c>
      <c r="N54" s="414">
        <v>0</v>
      </c>
      <c r="O54" s="414">
        <v>0</v>
      </c>
      <c r="P54" s="414">
        <v>0</v>
      </c>
      <c r="Q54" s="321">
        <f>Q9</f>
        <v>8.0999999999999659</v>
      </c>
      <c r="R54" s="225">
        <f t="shared" ref="R54:Z54" si="30">R9</f>
        <v>0</v>
      </c>
      <c r="S54" s="225">
        <f t="shared" si="30"/>
        <v>0</v>
      </c>
      <c r="T54" s="225">
        <f t="shared" si="30"/>
        <v>0</v>
      </c>
      <c r="U54" s="225">
        <f t="shared" si="30"/>
        <v>16.900000000000034</v>
      </c>
      <c r="V54" s="225">
        <f t="shared" si="30"/>
        <v>34.899999999999977</v>
      </c>
      <c r="W54" s="225">
        <f t="shared" si="30"/>
        <v>12</v>
      </c>
      <c r="X54" s="225">
        <f t="shared" si="30"/>
        <v>1.8000000000000114</v>
      </c>
      <c r="Y54" s="225">
        <f t="shared" si="30"/>
        <v>0</v>
      </c>
      <c r="Z54" s="15">
        <f t="shared" si="30"/>
        <v>0</v>
      </c>
      <c r="AA54" s="447">
        <v>0</v>
      </c>
      <c r="AB54" s="414">
        <v>0</v>
      </c>
      <c r="AC54" s="414">
        <v>0</v>
      </c>
      <c r="AD54" s="414">
        <v>0</v>
      </c>
      <c r="AE54" s="414">
        <v>0</v>
      </c>
      <c r="AF54" s="414">
        <v>0</v>
      </c>
      <c r="AG54" s="414">
        <v>0</v>
      </c>
      <c r="AH54" s="414">
        <v>0</v>
      </c>
      <c r="AI54" s="431">
        <v>0</v>
      </c>
      <c r="AJ54" s="12"/>
      <c r="AK54" s="174">
        <f t="shared" si="13"/>
        <v>73.699999999999989</v>
      </c>
      <c r="AL54" s="174">
        <f t="shared" si="14"/>
        <v>73.699999999999989</v>
      </c>
      <c r="AM54" s="174">
        <v>0</v>
      </c>
      <c r="AN54" s="175"/>
      <c r="AO54" s="174">
        <f t="shared" si="12"/>
        <v>73.699999999999989</v>
      </c>
      <c r="AP54" s="171" t="str">
        <f t="shared" si="11"/>
        <v>V</v>
      </c>
    </row>
    <row r="55" spans="1:42" ht="15" hidden="1" customHeight="1">
      <c r="A55" t="s">
        <v>160</v>
      </c>
      <c r="B55" s="54" t="s">
        <v>248</v>
      </c>
      <c r="C55" s="43" t="s">
        <v>249</v>
      </c>
      <c r="D55" s="43" t="s">
        <v>110</v>
      </c>
      <c r="E55" s="430">
        <v>0</v>
      </c>
      <c r="F55" s="414">
        <v>0</v>
      </c>
      <c r="G55" s="447">
        <v>0</v>
      </c>
      <c r="H55" s="414">
        <v>0</v>
      </c>
      <c r="I55" s="414">
        <v>0</v>
      </c>
      <c r="J55" s="414">
        <v>0</v>
      </c>
      <c r="K55" s="414">
        <v>0</v>
      </c>
      <c r="L55" s="414">
        <v>0</v>
      </c>
      <c r="M55" s="414">
        <v>0</v>
      </c>
      <c r="N55" s="414">
        <v>0</v>
      </c>
      <c r="O55" s="414">
        <v>0</v>
      </c>
      <c r="P55" s="414">
        <v>0</v>
      </c>
      <c r="Q55" s="447">
        <v>0</v>
      </c>
      <c r="R55" s="414">
        <v>0</v>
      </c>
      <c r="S55" s="414">
        <v>0</v>
      </c>
      <c r="T55" s="414">
        <v>0</v>
      </c>
      <c r="U55" s="414">
        <v>0</v>
      </c>
      <c r="V55" s="414">
        <v>0</v>
      </c>
      <c r="W55" s="414">
        <v>0</v>
      </c>
      <c r="X55" s="414">
        <v>0</v>
      </c>
      <c r="Y55" s="414">
        <v>0</v>
      </c>
      <c r="Z55" s="415">
        <v>0</v>
      </c>
      <c r="AA55" s="447">
        <v>0</v>
      </c>
      <c r="AB55" s="414">
        <v>0</v>
      </c>
      <c r="AC55" s="414">
        <v>0</v>
      </c>
      <c r="AD55" s="414">
        <v>0</v>
      </c>
      <c r="AE55" s="414">
        <v>0</v>
      </c>
      <c r="AF55" s="414">
        <v>0</v>
      </c>
      <c r="AG55" s="414">
        <v>0</v>
      </c>
      <c r="AH55" s="414">
        <v>0</v>
      </c>
      <c r="AI55" s="431">
        <v>0</v>
      </c>
      <c r="AJ55" s="12"/>
      <c r="AK55" s="174">
        <f t="shared" si="13"/>
        <v>0</v>
      </c>
      <c r="AL55" s="174">
        <f t="shared" si="14"/>
        <v>0</v>
      </c>
      <c r="AM55" s="174">
        <v>0</v>
      </c>
      <c r="AN55" s="175"/>
      <c r="AO55" s="174">
        <f t="shared" si="12"/>
        <v>0</v>
      </c>
      <c r="AP55" s="171" t="str">
        <f t="shared" si="11"/>
        <v>V</v>
      </c>
    </row>
    <row r="56" spans="1:42" ht="15" customHeight="1">
      <c r="A56" t="s">
        <v>160</v>
      </c>
      <c r="B56" s="54" t="s">
        <v>250</v>
      </c>
      <c r="C56" s="43" t="s">
        <v>251</v>
      </c>
      <c r="D56" s="43" t="s">
        <v>110</v>
      </c>
      <c r="E56" s="7">
        <f>E9</f>
        <v>51</v>
      </c>
      <c r="F56" s="15">
        <f>F9</f>
        <v>43.5</v>
      </c>
      <c r="G56" s="447">
        <v>0</v>
      </c>
      <c r="H56" s="414">
        <v>0</v>
      </c>
      <c r="I56" s="414">
        <v>0</v>
      </c>
      <c r="J56" s="414">
        <v>0</v>
      </c>
      <c r="K56" s="414">
        <v>0</v>
      </c>
      <c r="L56" s="414">
        <v>0</v>
      </c>
      <c r="M56" s="414">
        <v>0</v>
      </c>
      <c r="N56" s="414">
        <v>0</v>
      </c>
      <c r="O56" s="414">
        <v>0</v>
      </c>
      <c r="P56" s="414">
        <v>0</v>
      </c>
      <c r="Q56" s="447">
        <f>Q9</f>
        <v>8.0999999999999659</v>
      </c>
      <c r="R56" s="414">
        <f t="shared" ref="R56:Z56" si="31">R9</f>
        <v>0</v>
      </c>
      <c r="S56" s="414">
        <f t="shared" si="31"/>
        <v>0</v>
      </c>
      <c r="T56" s="414">
        <f t="shared" si="31"/>
        <v>0</v>
      </c>
      <c r="U56" s="414">
        <f t="shared" si="31"/>
        <v>16.900000000000034</v>
      </c>
      <c r="V56" s="414">
        <f t="shared" si="31"/>
        <v>34.899999999999977</v>
      </c>
      <c r="W56" s="414">
        <f t="shared" si="31"/>
        <v>12</v>
      </c>
      <c r="X56" s="414">
        <f t="shared" si="31"/>
        <v>1.8000000000000114</v>
      </c>
      <c r="Y56" s="414">
        <f t="shared" si="31"/>
        <v>0</v>
      </c>
      <c r="Z56" s="415">
        <f t="shared" si="31"/>
        <v>0</v>
      </c>
      <c r="AA56" s="447">
        <v>0</v>
      </c>
      <c r="AB56" s="414">
        <v>0</v>
      </c>
      <c r="AC56" s="414">
        <v>0</v>
      </c>
      <c r="AD56" s="414">
        <v>0</v>
      </c>
      <c r="AE56" s="414">
        <v>0</v>
      </c>
      <c r="AF56" s="414">
        <v>0</v>
      </c>
      <c r="AG56" s="414">
        <v>0</v>
      </c>
      <c r="AH56" s="414">
        <v>0</v>
      </c>
      <c r="AI56" s="431">
        <v>0</v>
      </c>
      <c r="AJ56" s="12"/>
      <c r="AK56" s="174">
        <f>SUM(E56:AI56)</f>
        <v>168.2</v>
      </c>
      <c r="AL56" s="174">
        <f t="shared" si="14"/>
        <v>168.2</v>
      </c>
      <c r="AM56" s="174">
        <v>0</v>
      </c>
      <c r="AN56" s="175"/>
      <c r="AO56" s="174">
        <f t="shared" si="12"/>
        <v>168.2</v>
      </c>
      <c r="AP56" s="171" t="str">
        <f t="shared" si="11"/>
        <v>V</v>
      </c>
    </row>
    <row r="57" spans="1:42" ht="15.75" hidden="1" customHeight="1">
      <c r="A57" t="s">
        <v>160</v>
      </c>
      <c r="B57" s="54" t="s">
        <v>174</v>
      </c>
      <c r="C57" s="43" t="s">
        <v>175</v>
      </c>
      <c r="D57" s="43" t="s">
        <v>38</v>
      </c>
      <c r="E57" s="430">
        <f>E9</f>
        <v>51</v>
      </c>
      <c r="F57" s="415">
        <f>F9</f>
        <v>43.5</v>
      </c>
      <c r="G57" s="447">
        <v>0</v>
      </c>
      <c r="H57" s="414">
        <v>0</v>
      </c>
      <c r="I57" s="414">
        <v>0</v>
      </c>
      <c r="J57" s="414">
        <v>0</v>
      </c>
      <c r="K57" s="414">
        <v>0</v>
      </c>
      <c r="L57" s="414">
        <v>0</v>
      </c>
      <c r="M57" s="414">
        <v>0</v>
      </c>
      <c r="N57" s="414">
        <v>0</v>
      </c>
      <c r="O57" s="414">
        <v>0</v>
      </c>
      <c r="P57" s="414">
        <v>0</v>
      </c>
      <c r="Q57" s="447">
        <v>0</v>
      </c>
      <c r="R57" s="414">
        <v>0</v>
      </c>
      <c r="S57" s="414">
        <v>0</v>
      </c>
      <c r="T57" s="414">
        <v>0</v>
      </c>
      <c r="U57" s="414">
        <v>0</v>
      </c>
      <c r="V57" s="414">
        <v>0</v>
      </c>
      <c r="W57" s="414">
        <v>0</v>
      </c>
      <c r="X57" s="414">
        <v>0</v>
      </c>
      <c r="Y57" s="414">
        <v>0</v>
      </c>
      <c r="Z57" s="415">
        <v>0</v>
      </c>
      <c r="AA57" s="447">
        <v>0</v>
      </c>
      <c r="AB57" s="414">
        <v>0</v>
      </c>
      <c r="AC57" s="414">
        <v>0</v>
      </c>
      <c r="AD57" s="414">
        <v>0</v>
      </c>
      <c r="AE57" s="414">
        <v>0</v>
      </c>
      <c r="AF57" s="414">
        <v>0</v>
      </c>
      <c r="AG57" s="414">
        <v>0</v>
      </c>
      <c r="AH57" s="414">
        <v>0</v>
      </c>
      <c r="AI57" s="431">
        <v>0</v>
      </c>
      <c r="AJ57" s="12"/>
      <c r="AK57" s="174">
        <f t="shared" si="13"/>
        <v>94.5</v>
      </c>
      <c r="AL57" s="174">
        <f t="shared" si="14"/>
        <v>94.5</v>
      </c>
      <c r="AM57" s="174">
        <v>0</v>
      </c>
      <c r="AN57" s="175"/>
      <c r="AO57" s="174">
        <f t="shared" si="12"/>
        <v>94.5</v>
      </c>
      <c r="AP57" s="171" t="str">
        <f t="shared" si="11"/>
        <v>V</v>
      </c>
    </row>
    <row r="58" spans="1:42" ht="15" hidden="1" customHeight="1">
      <c r="A58" t="s">
        <v>160</v>
      </c>
      <c r="B58" s="54" t="s">
        <v>252</v>
      </c>
      <c r="C58" s="43" t="s">
        <v>253</v>
      </c>
      <c r="D58" s="43" t="s">
        <v>110</v>
      </c>
      <c r="E58" s="430">
        <v>0</v>
      </c>
      <c r="F58" s="415">
        <v>0</v>
      </c>
      <c r="G58" s="447">
        <v>0</v>
      </c>
      <c r="H58" s="414">
        <v>0</v>
      </c>
      <c r="I58" s="414">
        <v>0</v>
      </c>
      <c r="J58" s="414">
        <v>0</v>
      </c>
      <c r="K58" s="414">
        <v>0</v>
      </c>
      <c r="L58" s="414">
        <v>0</v>
      </c>
      <c r="M58" s="414">
        <v>0</v>
      </c>
      <c r="N58" s="414">
        <v>0</v>
      </c>
      <c r="O58" s="414">
        <v>0</v>
      </c>
      <c r="P58" s="414">
        <v>0</v>
      </c>
      <c r="Q58" s="447">
        <v>0</v>
      </c>
      <c r="R58" s="414">
        <v>0</v>
      </c>
      <c r="S58" s="414">
        <v>0</v>
      </c>
      <c r="T58" s="414">
        <v>0</v>
      </c>
      <c r="U58" s="414">
        <v>0</v>
      </c>
      <c r="V58" s="414">
        <v>0</v>
      </c>
      <c r="W58" s="414">
        <v>0</v>
      </c>
      <c r="X58" s="414">
        <v>0</v>
      </c>
      <c r="Y58" s="414">
        <v>0</v>
      </c>
      <c r="Z58" s="415">
        <v>0</v>
      </c>
      <c r="AA58" s="447">
        <v>0</v>
      </c>
      <c r="AB58" s="414">
        <v>0</v>
      </c>
      <c r="AC58" s="414">
        <v>0</v>
      </c>
      <c r="AD58" s="414">
        <v>0</v>
      </c>
      <c r="AE58" s="414">
        <v>0</v>
      </c>
      <c r="AF58" s="414">
        <v>0</v>
      </c>
      <c r="AG58" s="414">
        <v>0</v>
      </c>
      <c r="AH58" s="414">
        <v>0</v>
      </c>
      <c r="AI58" s="431">
        <v>0</v>
      </c>
      <c r="AJ58" s="12"/>
      <c r="AK58" s="174">
        <f t="shared" si="13"/>
        <v>0</v>
      </c>
      <c r="AL58" s="174">
        <f t="shared" si="14"/>
        <v>0</v>
      </c>
      <c r="AM58" s="174">
        <v>0</v>
      </c>
      <c r="AN58" s="175"/>
      <c r="AO58" s="174">
        <f t="shared" si="12"/>
        <v>0</v>
      </c>
      <c r="AP58" s="171" t="str">
        <f t="shared" si="11"/>
        <v>V</v>
      </c>
    </row>
    <row r="59" spans="1:42" ht="15" hidden="1" customHeight="1">
      <c r="A59" t="s">
        <v>160</v>
      </c>
      <c r="B59" s="54" t="s">
        <v>176</v>
      </c>
      <c r="C59" s="43" t="s">
        <v>177</v>
      </c>
      <c r="D59" s="43" t="s">
        <v>38</v>
      </c>
      <c r="E59" s="430">
        <v>0</v>
      </c>
      <c r="F59" s="415">
        <v>0</v>
      </c>
      <c r="G59" s="447">
        <v>0</v>
      </c>
      <c r="H59" s="414">
        <v>0</v>
      </c>
      <c r="I59" s="414">
        <v>0</v>
      </c>
      <c r="J59" s="414">
        <v>0</v>
      </c>
      <c r="K59" s="414">
        <v>0</v>
      </c>
      <c r="L59" s="414">
        <v>0</v>
      </c>
      <c r="M59" s="414">
        <v>0</v>
      </c>
      <c r="N59" s="414">
        <v>0</v>
      </c>
      <c r="O59" s="414">
        <v>0</v>
      </c>
      <c r="P59" s="414">
        <v>0</v>
      </c>
      <c r="Q59" s="447">
        <v>0</v>
      </c>
      <c r="R59" s="414">
        <v>0</v>
      </c>
      <c r="S59" s="414">
        <v>0</v>
      </c>
      <c r="T59" s="414">
        <v>0</v>
      </c>
      <c r="U59" s="414">
        <v>0</v>
      </c>
      <c r="V59" s="414">
        <v>0</v>
      </c>
      <c r="W59" s="414">
        <v>0</v>
      </c>
      <c r="X59" s="414">
        <v>0</v>
      </c>
      <c r="Y59" s="414">
        <v>0</v>
      </c>
      <c r="Z59" s="415">
        <v>0</v>
      </c>
      <c r="AA59" s="447">
        <v>0</v>
      </c>
      <c r="AB59" s="414">
        <v>0</v>
      </c>
      <c r="AC59" s="414">
        <v>0</v>
      </c>
      <c r="AD59" s="414">
        <v>0</v>
      </c>
      <c r="AE59" s="414">
        <v>0</v>
      </c>
      <c r="AF59" s="414">
        <v>0</v>
      </c>
      <c r="AG59" s="414">
        <v>0</v>
      </c>
      <c r="AH59" s="414">
        <v>0</v>
      </c>
      <c r="AI59" s="431">
        <v>0</v>
      </c>
      <c r="AJ59" s="12"/>
      <c r="AK59" s="174">
        <f t="shared" si="13"/>
        <v>0</v>
      </c>
      <c r="AL59" s="174">
        <f t="shared" si="14"/>
        <v>0</v>
      </c>
      <c r="AM59" s="174">
        <v>0</v>
      </c>
      <c r="AN59" s="175"/>
      <c r="AO59" s="174">
        <f t="shared" si="12"/>
        <v>0</v>
      </c>
      <c r="AP59" s="171" t="str">
        <f t="shared" si="11"/>
        <v>V</v>
      </c>
    </row>
    <row r="60" spans="1:42" ht="15" hidden="1" customHeight="1">
      <c r="A60" t="s">
        <v>160</v>
      </c>
      <c r="B60" s="54" t="s">
        <v>178</v>
      </c>
      <c r="C60" s="43" t="s">
        <v>179</v>
      </c>
      <c r="D60" s="43" t="s">
        <v>38</v>
      </c>
      <c r="E60" s="430">
        <v>0</v>
      </c>
      <c r="F60" s="415">
        <v>0</v>
      </c>
      <c r="G60" s="447">
        <v>0</v>
      </c>
      <c r="H60" s="414">
        <v>0</v>
      </c>
      <c r="I60" s="414">
        <v>0</v>
      </c>
      <c r="J60" s="414">
        <v>0</v>
      </c>
      <c r="K60" s="414">
        <v>0</v>
      </c>
      <c r="L60" s="414">
        <v>0</v>
      </c>
      <c r="M60" s="414">
        <v>0</v>
      </c>
      <c r="N60" s="414">
        <v>0</v>
      </c>
      <c r="O60" s="414">
        <v>0</v>
      </c>
      <c r="P60" s="414">
        <v>0</v>
      </c>
      <c r="Q60" s="447">
        <v>0</v>
      </c>
      <c r="R60" s="414">
        <v>0</v>
      </c>
      <c r="S60" s="414">
        <v>0</v>
      </c>
      <c r="T60" s="414">
        <v>0</v>
      </c>
      <c r="U60" s="414">
        <v>0</v>
      </c>
      <c r="V60" s="414">
        <v>0</v>
      </c>
      <c r="W60" s="414">
        <v>0</v>
      </c>
      <c r="X60" s="414">
        <v>0</v>
      </c>
      <c r="Y60" s="414">
        <v>0</v>
      </c>
      <c r="Z60" s="415">
        <v>0</v>
      </c>
      <c r="AA60" s="447">
        <v>0</v>
      </c>
      <c r="AB60" s="414">
        <v>0</v>
      </c>
      <c r="AC60" s="414">
        <v>0</v>
      </c>
      <c r="AD60" s="414">
        <v>0</v>
      </c>
      <c r="AE60" s="414">
        <v>0</v>
      </c>
      <c r="AF60" s="414">
        <v>0</v>
      </c>
      <c r="AG60" s="414">
        <v>0</v>
      </c>
      <c r="AH60" s="414">
        <v>0</v>
      </c>
      <c r="AI60" s="431">
        <v>0</v>
      </c>
      <c r="AJ60" s="12"/>
      <c r="AK60" s="174">
        <f t="shared" si="13"/>
        <v>0</v>
      </c>
      <c r="AL60" s="174">
        <f t="shared" si="14"/>
        <v>0</v>
      </c>
      <c r="AM60" s="174">
        <v>0</v>
      </c>
      <c r="AN60" s="175"/>
      <c r="AO60" s="174">
        <f t="shared" si="12"/>
        <v>0</v>
      </c>
      <c r="AP60" s="171" t="str">
        <f t="shared" si="11"/>
        <v>V</v>
      </c>
    </row>
    <row r="61" spans="1:42" ht="15" hidden="1" customHeight="1">
      <c r="A61" t="s">
        <v>160</v>
      </c>
      <c r="B61" s="54" t="s">
        <v>180</v>
      </c>
      <c r="C61" s="43" t="s">
        <v>181</v>
      </c>
      <c r="D61" s="43" t="s">
        <v>38</v>
      </c>
      <c r="E61" s="430">
        <v>0</v>
      </c>
      <c r="F61" s="415">
        <v>0</v>
      </c>
      <c r="G61" s="447">
        <v>0</v>
      </c>
      <c r="H61" s="414">
        <v>0</v>
      </c>
      <c r="I61" s="414">
        <v>0</v>
      </c>
      <c r="J61" s="414">
        <v>0</v>
      </c>
      <c r="K61" s="414">
        <v>0</v>
      </c>
      <c r="L61" s="414">
        <v>0</v>
      </c>
      <c r="M61" s="414">
        <v>0</v>
      </c>
      <c r="N61" s="414">
        <v>0</v>
      </c>
      <c r="O61" s="414">
        <v>0</v>
      </c>
      <c r="P61" s="414">
        <v>0</v>
      </c>
      <c r="Q61" s="447">
        <v>0</v>
      </c>
      <c r="R61" s="414">
        <v>0</v>
      </c>
      <c r="S61" s="414">
        <v>0</v>
      </c>
      <c r="T61" s="414">
        <v>0</v>
      </c>
      <c r="U61" s="414">
        <v>0</v>
      </c>
      <c r="V61" s="414">
        <v>0</v>
      </c>
      <c r="W61" s="414">
        <v>0</v>
      </c>
      <c r="X61" s="414">
        <v>0</v>
      </c>
      <c r="Y61" s="414">
        <v>0</v>
      </c>
      <c r="Z61" s="415">
        <v>0</v>
      </c>
      <c r="AA61" s="447">
        <v>0</v>
      </c>
      <c r="AB61" s="414">
        <v>0</v>
      </c>
      <c r="AC61" s="414">
        <v>0</v>
      </c>
      <c r="AD61" s="414">
        <v>0</v>
      </c>
      <c r="AE61" s="414">
        <v>0</v>
      </c>
      <c r="AF61" s="414">
        <v>0</v>
      </c>
      <c r="AG61" s="414">
        <v>0</v>
      </c>
      <c r="AH61" s="414">
        <v>0</v>
      </c>
      <c r="AI61" s="431">
        <v>0</v>
      </c>
      <c r="AJ61" s="12"/>
      <c r="AK61" s="174">
        <f t="shared" si="13"/>
        <v>0</v>
      </c>
      <c r="AL61" s="174">
        <f t="shared" si="14"/>
        <v>0</v>
      </c>
      <c r="AM61" s="174">
        <v>0</v>
      </c>
      <c r="AN61" s="175"/>
      <c r="AO61" s="174">
        <f t="shared" si="12"/>
        <v>0</v>
      </c>
      <c r="AP61" s="171" t="str">
        <f t="shared" si="11"/>
        <v>V</v>
      </c>
    </row>
    <row r="62" spans="1:42" ht="15" hidden="1" customHeight="1">
      <c r="A62" t="s">
        <v>160</v>
      </c>
      <c r="B62" s="54" t="s">
        <v>182</v>
      </c>
      <c r="C62" s="43" t="s">
        <v>183</v>
      </c>
      <c r="D62" s="43" t="s">
        <v>38</v>
      </c>
      <c r="E62" s="430">
        <v>0</v>
      </c>
      <c r="F62" s="415">
        <v>0</v>
      </c>
      <c r="G62" s="447">
        <v>0</v>
      </c>
      <c r="H62" s="414">
        <v>0</v>
      </c>
      <c r="I62" s="414">
        <v>0</v>
      </c>
      <c r="J62" s="414">
        <v>0</v>
      </c>
      <c r="K62" s="414">
        <v>0</v>
      </c>
      <c r="L62" s="414">
        <v>0</v>
      </c>
      <c r="M62" s="414">
        <v>0</v>
      </c>
      <c r="N62" s="414">
        <v>0</v>
      </c>
      <c r="O62" s="414">
        <v>0</v>
      </c>
      <c r="P62" s="414">
        <v>0</v>
      </c>
      <c r="Q62" s="447">
        <v>0</v>
      </c>
      <c r="R62" s="414">
        <v>0</v>
      </c>
      <c r="S62" s="414">
        <v>0</v>
      </c>
      <c r="T62" s="414">
        <v>0</v>
      </c>
      <c r="U62" s="414">
        <v>0</v>
      </c>
      <c r="V62" s="414">
        <v>0</v>
      </c>
      <c r="W62" s="414">
        <v>0</v>
      </c>
      <c r="X62" s="414">
        <v>0</v>
      </c>
      <c r="Y62" s="414">
        <v>0</v>
      </c>
      <c r="Z62" s="415">
        <v>0</v>
      </c>
      <c r="AA62" s="447">
        <v>0</v>
      </c>
      <c r="AB62" s="414">
        <v>0</v>
      </c>
      <c r="AC62" s="414">
        <v>0</v>
      </c>
      <c r="AD62" s="414">
        <v>0</v>
      </c>
      <c r="AE62" s="414">
        <v>0</v>
      </c>
      <c r="AF62" s="414">
        <v>0</v>
      </c>
      <c r="AG62" s="414">
        <v>0</v>
      </c>
      <c r="AH62" s="414">
        <v>0</v>
      </c>
      <c r="AI62" s="431">
        <v>0</v>
      </c>
      <c r="AJ62" s="12"/>
      <c r="AK62" s="174">
        <f t="shared" si="13"/>
        <v>0</v>
      </c>
      <c r="AL62" s="174">
        <f t="shared" si="14"/>
        <v>0</v>
      </c>
      <c r="AM62" s="174">
        <v>0</v>
      </c>
      <c r="AN62" s="175"/>
      <c r="AO62" s="174">
        <f t="shared" si="12"/>
        <v>0</v>
      </c>
      <c r="AP62" s="171" t="str">
        <f t="shared" si="11"/>
        <v>V</v>
      </c>
    </row>
    <row r="63" spans="1:42" ht="15" hidden="1" customHeight="1">
      <c r="A63" t="s">
        <v>160</v>
      </c>
      <c r="B63" s="54" t="s">
        <v>185</v>
      </c>
      <c r="C63" s="43" t="s">
        <v>186</v>
      </c>
      <c r="D63" s="43" t="s">
        <v>38</v>
      </c>
      <c r="E63" s="430">
        <f>E9</f>
        <v>51</v>
      </c>
      <c r="F63" s="415">
        <f>F9</f>
        <v>43.5</v>
      </c>
      <c r="G63" s="447">
        <v>0</v>
      </c>
      <c r="H63" s="414">
        <v>0</v>
      </c>
      <c r="I63" s="414">
        <v>0</v>
      </c>
      <c r="J63" s="414">
        <v>0</v>
      </c>
      <c r="K63" s="414">
        <v>0</v>
      </c>
      <c r="L63" s="414">
        <v>0</v>
      </c>
      <c r="M63" s="414">
        <v>0</v>
      </c>
      <c r="N63" s="414">
        <v>0</v>
      </c>
      <c r="O63" s="414">
        <v>0</v>
      </c>
      <c r="P63" s="414">
        <v>0</v>
      </c>
      <c r="Q63" s="447">
        <f>Q9</f>
        <v>8.0999999999999659</v>
      </c>
      <c r="R63" s="414">
        <f t="shared" ref="R63:Z63" si="32">R9</f>
        <v>0</v>
      </c>
      <c r="S63" s="414">
        <f t="shared" si="32"/>
        <v>0</v>
      </c>
      <c r="T63" s="414">
        <f t="shared" si="32"/>
        <v>0</v>
      </c>
      <c r="U63" s="414">
        <f t="shared" si="32"/>
        <v>16.900000000000034</v>
      </c>
      <c r="V63" s="414">
        <f t="shared" si="32"/>
        <v>34.899999999999977</v>
      </c>
      <c r="W63" s="414">
        <f t="shared" si="32"/>
        <v>12</v>
      </c>
      <c r="X63" s="414">
        <f t="shared" si="32"/>
        <v>1.8000000000000114</v>
      </c>
      <c r="Y63" s="414">
        <f t="shared" si="32"/>
        <v>0</v>
      </c>
      <c r="Z63" s="415">
        <f t="shared" si="32"/>
        <v>0</v>
      </c>
      <c r="AA63" s="447">
        <v>0</v>
      </c>
      <c r="AB63" s="414">
        <v>0</v>
      </c>
      <c r="AC63" s="414">
        <v>0</v>
      </c>
      <c r="AD63" s="414">
        <v>0</v>
      </c>
      <c r="AE63" s="414">
        <v>0</v>
      </c>
      <c r="AF63" s="414">
        <v>0</v>
      </c>
      <c r="AG63" s="414">
        <v>0</v>
      </c>
      <c r="AH63" s="414">
        <v>0</v>
      </c>
      <c r="AI63" s="431">
        <v>0</v>
      </c>
      <c r="AJ63" s="12"/>
      <c r="AK63" s="174">
        <f t="shared" si="13"/>
        <v>168.2</v>
      </c>
      <c r="AL63" s="174">
        <f t="shared" si="14"/>
        <v>168.2</v>
      </c>
      <c r="AM63" s="174">
        <v>0</v>
      </c>
      <c r="AN63" s="171"/>
      <c r="AO63" s="174">
        <f t="shared" si="12"/>
        <v>168.2</v>
      </c>
      <c r="AP63" s="171" t="str">
        <f t="shared" si="11"/>
        <v>V</v>
      </c>
    </row>
    <row r="64" spans="1:42" ht="15" hidden="1" customHeight="1">
      <c r="A64" t="s">
        <v>160</v>
      </c>
      <c r="B64" s="54" t="s">
        <v>187</v>
      </c>
      <c r="C64" s="43" t="s">
        <v>188</v>
      </c>
      <c r="D64" s="43" t="s">
        <v>38</v>
      </c>
      <c r="E64" s="430">
        <f>E9</f>
        <v>51</v>
      </c>
      <c r="F64" s="415">
        <f>F9</f>
        <v>43.5</v>
      </c>
      <c r="G64" s="447">
        <v>0</v>
      </c>
      <c r="H64" s="414">
        <v>0</v>
      </c>
      <c r="I64" s="414">
        <v>0</v>
      </c>
      <c r="J64" s="414">
        <v>0</v>
      </c>
      <c r="K64" s="414">
        <v>0</v>
      </c>
      <c r="L64" s="414">
        <v>0</v>
      </c>
      <c r="M64" s="414">
        <v>0</v>
      </c>
      <c r="N64" s="414">
        <v>0</v>
      </c>
      <c r="O64" s="414">
        <v>0</v>
      </c>
      <c r="P64" s="414">
        <v>0</v>
      </c>
      <c r="Q64" s="447">
        <f>Q9</f>
        <v>8.0999999999999659</v>
      </c>
      <c r="R64" s="414">
        <f t="shared" ref="R64:Z64" si="33">R9</f>
        <v>0</v>
      </c>
      <c r="S64" s="414">
        <f t="shared" si="33"/>
        <v>0</v>
      </c>
      <c r="T64" s="414">
        <f t="shared" si="33"/>
        <v>0</v>
      </c>
      <c r="U64" s="414">
        <f t="shared" si="33"/>
        <v>16.900000000000034</v>
      </c>
      <c r="V64" s="414">
        <f t="shared" si="33"/>
        <v>34.899999999999977</v>
      </c>
      <c r="W64" s="414">
        <f t="shared" si="33"/>
        <v>12</v>
      </c>
      <c r="X64" s="414">
        <f t="shared" si="33"/>
        <v>1.8000000000000114</v>
      </c>
      <c r="Y64" s="414">
        <f t="shared" si="33"/>
        <v>0</v>
      </c>
      <c r="Z64" s="415">
        <f t="shared" si="33"/>
        <v>0</v>
      </c>
      <c r="AA64" s="447">
        <v>0</v>
      </c>
      <c r="AB64" s="414">
        <v>0</v>
      </c>
      <c r="AC64" s="414">
        <v>0</v>
      </c>
      <c r="AD64" s="414">
        <v>0</v>
      </c>
      <c r="AE64" s="414">
        <v>0</v>
      </c>
      <c r="AF64" s="414">
        <v>0</v>
      </c>
      <c r="AG64" s="414">
        <v>0</v>
      </c>
      <c r="AH64" s="414">
        <v>0</v>
      </c>
      <c r="AI64" s="431">
        <v>0</v>
      </c>
      <c r="AJ64" s="12"/>
      <c r="AK64" s="174">
        <f t="shared" si="13"/>
        <v>168.2</v>
      </c>
      <c r="AL64" s="174">
        <f t="shared" si="14"/>
        <v>168.2</v>
      </c>
      <c r="AM64" s="174">
        <v>0</v>
      </c>
      <c r="AN64" s="175"/>
      <c r="AO64" s="174">
        <f t="shared" si="12"/>
        <v>168.2</v>
      </c>
      <c r="AP64" s="171" t="str">
        <f t="shared" si="11"/>
        <v>V</v>
      </c>
    </row>
    <row r="65" spans="1:42" ht="15" hidden="1" customHeight="1">
      <c r="A65" t="s">
        <v>160</v>
      </c>
      <c r="B65" s="54" t="s">
        <v>189</v>
      </c>
      <c r="C65" s="43" t="s">
        <v>190</v>
      </c>
      <c r="D65" s="43" t="s">
        <v>38</v>
      </c>
      <c r="E65" s="430">
        <f>E9</f>
        <v>51</v>
      </c>
      <c r="F65" s="415">
        <f>F9</f>
        <v>43.5</v>
      </c>
      <c r="G65" s="447">
        <v>0</v>
      </c>
      <c r="H65" s="414">
        <v>0</v>
      </c>
      <c r="I65" s="414">
        <v>0</v>
      </c>
      <c r="J65" s="414">
        <v>0</v>
      </c>
      <c r="K65" s="414">
        <v>0</v>
      </c>
      <c r="L65" s="414">
        <v>0</v>
      </c>
      <c r="M65" s="414">
        <v>0</v>
      </c>
      <c r="N65" s="414">
        <v>0</v>
      </c>
      <c r="O65" s="414">
        <v>0</v>
      </c>
      <c r="P65" s="414">
        <v>0</v>
      </c>
      <c r="Q65" s="447">
        <v>0</v>
      </c>
      <c r="R65" s="414">
        <v>0</v>
      </c>
      <c r="S65" s="414">
        <v>0</v>
      </c>
      <c r="T65" s="414">
        <v>0</v>
      </c>
      <c r="U65" s="414">
        <v>0</v>
      </c>
      <c r="V65" s="414">
        <v>0</v>
      </c>
      <c r="W65" s="414">
        <v>0</v>
      </c>
      <c r="X65" s="414">
        <v>0</v>
      </c>
      <c r="Y65" s="414">
        <v>0</v>
      </c>
      <c r="Z65" s="415">
        <v>0</v>
      </c>
      <c r="AA65" s="447">
        <v>0</v>
      </c>
      <c r="AB65" s="414">
        <v>0</v>
      </c>
      <c r="AC65" s="414">
        <v>0</v>
      </c>
      <c r="AD65" s="414">
        <v>0</v>
      </c>
      <c r="AE65" s="414">
        <v>0</v>
      </c>
      <c r="AF65" s="414">
        <v>0</v>
      </c>
      <c r="AG65" s="414">
        <v>0</v>
      </c>
      <c r="AH65" s="414">
        <v>0</v>
      </c>
      <c r="AI65" s="431">
        <v>0</v>
      </c>
      <c r="AJ65" s="12"/>
      <c r="AK65" s="174">
        <f t="shared" si="13"/>
        <v>94.5</v>
      </c>
      <c r="AL65" s="174">
        <f t="shared" si="14"/>
        <v>94.5</v>
      </c>
      <c r="AM65" s="174">
        <v>0</v>
      </c>
      <c r="AN65" s="175"/>
      <c r="AO65" s="174">
        <f t="shared" si="12"/>
        <v>94.5</v>
      </c>
      <c r="AP65" s="171" t="str">
        <f t="shared" si="11"/>
        <v>V</v>
      </c>
    </row>
    <row r="66" spans="1:42" ht="15" hidden="1" customHeight="1">
      <c r="A66" t="s">
        <v>160</v>
      </c>
      <c r="B66" s="54" t="s">
        <v>344</v>
      </c>
      <c r="C66" s="43" t="s">
        <v>345</v>
      </c>
      <c r="D66" s="43" t="s">
        <v>308</v>
      </c>
      <c r="E66" s="430">
        <v>0</v>
      </c>
      <c r="F66" s="415">
        <v>0</v>
      </c>
      <c r="G66" s="447">
        <v>0</v>
      </c>
      <c r="H66" s="414">
        <v>0</v>
      </c>
      <c r="I66" s="414">
        <v>0</v>
      </c>
      <c r="J66" s="414">
        <v>0</v>
      </c>
      <c r="K66" s="414">
        <v>0</v>
      </c>
      <c r="L66" s="414">
        <v>0</v>
      </c>
      <c r="M66" s="414">
        <v>0</v>
      </c>
      <c r="N66" s="414">
        <v>0</v>
      </c>
      <c r="O66" s="414">
        <v>0</v>
      </c>
      <c r="P66" s="414">
        <v>0</v>
      </c>
      <c r="Q66" s="447">
        <v>0</v>
      </c>
      <c r="R66" s="414">
        <v>0</v>
      </c>
      <c r="S66" s="414">
        <v>0</v>
      </c>
      <c r="T66" s="414">
        <v>0</v>
      </c>
      <c r="U66" s="414">
        <v>0</v>
      </c>
      <c r="V66" s="414">
        <v>0</v>
      </c>
      <c r="W66" s="414">
        <v>0</v>
      </c>
      <c r="X66" s="414">
        <v>0</v>
      </c>
      <c r="Y66" s="414">
        <v>0</v>
      </c>
      <c r="Z66" s="415">
        <v>0</v>
      </c>
      <c r="AA66" s="447">
        <v>0</v>
      </c>
      <c r="AB66" s="414">
        <v>0</v>
      </c>
      <c r="AC66" s="414">
        <v>0</v>
      </c>
      <c r="AD66" s="414">
        <v>0</v>
      </c>
      <c r="AE66" s="414">
        <v>0</v>
      </c>
      <c r="AF66" s="414">
        <v>0</v>
      </c>
      <c r="AG66" s="414">
        <v>0</v>
      </c>
      <c r="AH66" s="414">
        <v>0</v>
      </c>
      <c r="AI66" s="431">
        <v>0</v>
      </c>
      <c r="AJ66" s="12"/>
      <c r="AK66" s="174">
        <f t="shared" si="13"/>
        <v>0</v>
      </c>
      <c r="AL66" s="174">
        <f t="shared" si="14"/>
        <v>0</v>
      </c>
      <c r="AM66" s="174">
        <v>0</v>
      </c>
      <c r="AN66" s="175"/>
      <c r="AO66" s="174">
        <f t="shared" si="12"/>
        <v>0</v>
      </c>
      <c r="AP66" s="171" t="str">
        <f t="shared" si="11"/>
        <v>V</v>
      </c>
    </row>
    <row r="67" spans="1:42" ht="15" hidden="1" customHeight="1">
      <c r="A67" t="s">
        <v>160</v>
      </c>
      <c r="B67" s="54" t="s">
        <v>191</v>
      </c>
      <c r="C67" s="43" t="s">
        <v>192</v>
      </c>
      <c r="D67" s="43" t="s">
        <v>38</v>
      </c>
      <c r="E67" s="430">
        <v>0</v>
      </c>
      <c r="F67" s="415">
        <v>0</v>
      </c>
      <c r="G67" s="447">
        <v>0</v>
      </c>
      <c r="H67" s="414">
        <v>0</v>
      </c>
      <c r="I67" s="414">
        <v>0</v>
      </c>
      <c r="J67" s="414">
        <v>0</v>
      </c>
      <c r="K67" s="414">
        <v>0</v>
      </c>
      <c r="L67" s="414">
        <v>0</v>
      </c>
      <c r="M67" s="414">
        <v>0</v>
      </c>
      <c r="N67" s="414">
        <v>0</v>
      </c>
      <c r="O67" s="414">
        <v>0</v>
      </c>
      <c r="P67" s="414">
        <v>0</v>
      </c>
      <c r="Q67" s="447">
        <v>0</v>
      </c>
      <c r="R67" s="414">
        <v>0</v>
      </c>
      <c r="S67" s="414">
        <v>0</v>
      </c>
      <c r="T67" s="414">
        <v>0</v>
      </c>
      <c r="U67" s="414">
        <v>0</v>
      </c>
      <c r="V67" s="414">
        <v>0</v>
      </c>
      <c r="W67" s="414">
        <v>0</v>
      </c>
      <c r="X67" s="414">
        <v>0</v>
      </c>
      <c r="Y67" s="414">
        <v>0</v>
      </c>
      <c r="Z67" s="415">
        <v>0</v>
      </c>
      <c r="AA67" s="447">
        <v>0</v>
      </c>
      <c r="AB67" s="414">
        <v>0</v>
      </c>
      <c r="AC67" s="414">
        <v>0</v>
      </c>
      <c r="AD67" s="414">
        <v>0</v>
      </c>
      <c r="AE67" s="414">
        <v>0</v>
      </c>
      <c r="AF67" s="414">
        <v>0</v>
      </c>
      <c r="AG67" s="414">
        <v>0</v>
      </c>
      <c r="AH67" s="414">
        <v>0</v>
      </c>
      <c r="AI67" s="431">
        <v>0</v>
      </c>
      <c r="AJ67" s="12"/>
      <c r="AK67" s="174">
        <f t="shared" si="13"/>
        <v>0</v>
      </c>
      <c r="AL67" s="174">
        <f t="shared" si="14"/>
        <v>0</v>
      </c>
      <c r="AM67" s="174">
        <v>0</v>
      </c>
      <c r="AN67" s="175"/>
      <c r="AO67" s="174">
        <f t="shared" si="12"/>
        <v>0</v>
      </c>
      <c r="AP67" s="171" t="str">
        <f t="shared" si="11"/>
        <v>V</v>
      </c>
    </row>
    <row r="68" spans="1:42" ht="15" hidden="1" customHeight="1">
      <c r="A68" t="s">
        <v>160</v>
      </c>
      <c r="B68" s="54" t="s">
        <v>254</v>
      </c>
      <c r="C68" s="43" t="s">
        <v>255</v>
      </c>
      <c r="D68" s="43" t="s">
        <v>110</v>
      </c>
      <c r="E68" s="430">
        <f>E9</f>
        <v>51</v>
      </c>
      <c r="F68" s="415">
        <f>F9</f>
        <v>43.5</v>
      </c>
      <c r="G68" s="447">
        <v>0</v>
      </c>
      <c r="H68" s="414">
        <v>0</v>
      </c>
      <c r="I68" s="414">
        <v>0</v>
      </c>
      <c r="J68" s="414">
        <v>0</v>
      </c>
      <c r="K68" s="414">
        <v>0</v>
      </c>
      <c r="L68" s="414">
        <v>0</v>
      </c>
      <c r="M68" s="414">
        <v>0</v>
      </c>
      <c r="N68" s="414">
        <v>0</v>
      </c>
      <c r="O68" s="414">
        <v>0</v>
      </c>
      <c r="P68" s="414">
        <v>0</v>
      </c>
      <c r="Q68" s="447">
        <f>Q9</f>
        <v>8.0999999999999659</v>
      </c>
      <c r="R68" s="414">
        <f t="shared" ref="R68:Z68" si="34">R9</f>
        <v>0</v>
      </c>
      <c r="S68" s="414">
        <f t="shared" si="34"/>
        <v>0</v>
      </c>
      <c r="T68" s="414">
        <f t="shared" si="34"/>
        <v>0</v>
      </c>
      <c r="U68" s="414">
        <f t="shared" si="34"/>
        <v>16.900000000000034</v>
      </c>
      <c r="V68" s="414">
        <f t="shared" si="34"/>
        <v>34.899999999999977</v>
      </c>
      <c r="W68" s="414">
        <f t="shared" si="34"/>
        <v>12</v>
      </c>
      <c r="X68" s="414">
        <f t="shared" si="34"/>
        <v>1.8000000000000114</v>
      </c>
      <c r="Y68" s="414">
        <f t="shared" si="34"/>
        <v>0</v>
      </c>
      <c r="Z68" s="415">
        <f t="shared" si="34"/>
        <v>0</v>
      </c>
      <c r="AA68" s="447">
        <v>0</v>
      </c>
      <c r="AB68" s="414">
        <v>0</v>
      </c>
      <c r="AC68" s="414">
        <v>0</v>
      </c>
      <c r="AD68" s="414">
        <v>0</v>
      </c>
      <c r="AE68" s="414">
        <v>0</v>
      </c>
      <c r="AF68" s="414">
        <v>0</v>
      </c>
      <c r="AG68" s="414">
        <v>0</v>
      </c>
      <c r="AH68" s="414">
        <v>0</v>
      </c>
      <c r="AI68" s="431">
        <v>0</v>
      </c>
      <c r="AJ68" s="12"/>
      <c r="AK68" s="174">
        <f t="shared" si="13"/>
        <v>168.2</v>
      </c>
      <c r="AL68" s="174">
        <f t="shared" si="14"/>
        <v>168.2</v>
      </c>
      <c r="AM68" s="174">
        <v>0</v>
      </c>
      <c r="AN68" s="175"/>
      <c r="AO68" s="174">
        <f t="shared" si="12"/>
        <v>168.2</v>
      </c>
      <c r="AP68" s="171" t="str">
        <f t="shared" si="11"/>
        <v>V</v>
      </c>
    </row>
    <row r="69" spans="1:42" ht="15" hidden="1" customHeight="1">
      <c r="A69" t="s">
        <v>160</v>
      </c>
      <c r="B69" s="54" t="s">
        <v>194</v>
      </c>
      <c r="C69" s="43" t="s">
        <v>195</v>
      </c>
      <c r="D69" s="43" t="s">
        <v>38</v>
      </c>
      <c r="E69" s="430">
        <f>E9</f>
        <v>51</v>
      </c>
      <c r="F69" s="415">
        <f>F9</f>
        <v>43.5</v>
      </c>
      <c r="G69" s="447">
        <v>0</v>
      </c>
      <c r="H69" s="414">
        <v>0</v>
      </c>
      <c r="I69" s="414">
        <v>0</v>
      </c>
      <c r="J69" s="414">
        <v>0</v>
      </c>
      <c r="K69" s="414">
        <v>0</v>
      </c>
      <c r="L69" s="414">
        <v>0</v>
      </c>
      <c r="M69" s="414">
        <v>0</v>
      </c>
      <c r="N69" s="414">
        <v>0</v>
      </c>
      <c r="O69" s="414">
        <v>0</v>
      </c>
      <c r="P69" s="414">
        <v>0</v>
      </c>
      <c r="Q69" s="447">
        <v>0</v>
      </c>
      <c r="R69" s="414">
        <v>0</v>
      </c>
      <c r="S69" s="414">
        <v>0</v>
      </c>
      <c r="T69" s="414">
        <v>0</v>
      </c>
      <c r="U69" s="414">
        <v>0</v>
      </c>
      <c r="V69" s="414">
        <v>0</v>
      </c>
      <c r="W69" s="414">
        <v>0</v>
      </c>
      <c r="X69" s="414">
        <v>0</v>
      </c>
      <c r="Y69" s="414">
        <v>0</v>
      </c>
      <c r="Z69" s="415">
        <v>0</v>
      </c>
      <c r="AA69" s="447">
        <v>0</v>
      </c>
      <c r="AB69" s="414">
        <v>0</v>
      </c>
      <c r="AC69" s="414">
        <v>0</v>
      </c>
      <c r="AD69" s="414">
        <v>0</v>
      </c>
      <c r="AE69" s="414">
        <v>0</v>
      </c>
      <c r="AF69" s="414">
        <v>0</v>
      </c>
      <c r="AG69" s="414">
        <v>0</v>
      </c>
      <c r="AH69" s="414">
        <v>0</v>
      </c>
      <c r="AI69" s="431">
        <v>0</v>
      </c>
      <c r="AJ69" s="12"/>
      <c r="AK69" s="174">
        <f t="shared" si="13"/>
        <v>94.5</v>
      </c>
      <c r="AL69" s="174">
        <f t="shared" si="14"/>
        <v>94.5</v>
      </c>
      <c r="AM69" s="174">
        <v>0</v>
      </c>
      <c r="AN69" s="175"/>
      <c r="AO69" s="174">
        <f t="shared" si="12"/>
        <v>94.5</v>
      </c>
      <c r="AP69" s="171" t="str">
        <f t="shared" si="11"/>
        <v>V</v>
      </c>
    </row>
    <row r="70" spans="1:42" ht="15" hidden="1" customHeight="1">
      <c r="A70" t="s">
        <v>160</v>
      </c>
      <c r="B70" s="54" t="s">
        <v>197</v>
      </c>
      <c r="C70" s="43" t="s">
        <v>198</v>
      </c>
      <c r="D70" s="43" t="s">
        <v>38</v>
      </c>
      <c r="E70" s="430">
        <v>0</v>
      </c>
      <c r="F70" s="415">
        <v>0</v>
      </c>
      <c r="G70" s="447">
        <v>0</v>
      </c>
      <c r="H70" s="414">
        <v>0</v>
      </c>
      <c r="I70" s="414">
        <v>0</v>
      </c>
      <c r="J70" s="414">
        <v>0</v>
      </c>
      <c r="K70" s="414">
        <v>0</v>
      </c>
      <c r="L70" s="414">
        <v>0</v>
      </c>
      <c r="M70" s="414">
        <v>0</v>
      </c>
      <c r="N70" s="414">
        <v>0</v>
      </c>
      <c r="O70" s="414">
        <v>0</v>
      </c>
      <c r="P70" s="414">
        <v>0</v>
      </c>
      <c r="Q70" s="447">
        <v>0</v>
      </c>
      <c r="R70" s="414">
        <v>0</v>
      </c>
      <c r="S70" s="414">
        <v>0</v>
      </c>
      <c r="T70" s="414">
        <v>0</v>
      </c>
      <c r="U70" s="414">
        <v>0</v>
      </c>
      <c r="V70" s="414">
        <v>0</v>
      </c>
      <c r="W70" s="414">
        <v>0</v>
      </c>
      <c r="X70" s="414">
        <v>0</v>
      </c>
      <c r="Y70" s="414">
        <v>0</v>
      </c>
      <c r="Z70" s="415">
        <v>0</v>
      </c>
      <c r="AA70" s="447">
        <v>0</v>
      </c>
      <c r="AB70" s="414">
        <v>0</v>
      </c>
      <c r="AC70" s="414">
        <v>0</v>
      </c>
      <c r="AD70" s="414">
        <v>0</v>
      </c>
      <c r="AE70" s="414">
        <v>0</v>
      </c>
      <c r="AF70" s="414">
        <v>0</v>
      </c>
      <c r="AG70" s="414">
        <v>0</v>
      </c>
      <c r="AH70" s="414">
        <v>0</v>
      </c>
      <c r="AI70" s="431">
        <v>0</v>
      </c>
      <c r="AJ70" s="12"/>
      <c r="AK70" s="174">
        <f t="shared" si="13"/>
        <v>0</v>
      </c>
      <c r="AL70" s="174">
        <f t="shared" si="14"/>
        <v>0</v>
      </c>
      <c r="AM70" s="174">
        <v>0</v>
      </c>
      <c r="AN70" s="175"/>
      <c r="AO70" s="174">
        <f t="shared" si="12"/>
        <v>0</v>
      </c>
      <c r="AP70" s="171" t="str">
        <f t="shared" si="11"/>
        <v>V</v>
      </c>
    </row>
    <row r="71" spans="1:42" ht="15" hidden="1" customHeight="1">
      <c r="A71" t="s">
        <v>160</v>
      </c>
      <c r="B71" s="54" t="s">
        <v>199</v>
      </c>
      <c r="C71" s="43" t="s">
        <v>200</v>
      </c>
      <c r="D71" s="43" t="s">
        <v>38</v>
      </c>
      <c r="E71" s="430">
        <v>0</v>
      </c>
      <c r="F71" s="415">
        <v>0</v>
      </c>
      <c r="G71" s="447">
        <v>0</v>
      </c>
      <c r="H71" s="414">
        <v>0</v>
      </c>
      <c r="I71" s="414">
        <v>0</v>
      </c>
      <c r="J71" s="414">
        <v>0</v>
      </c>
      <c r="K71" s="414">
        <v>0</v>
      </c>
      <c r="L71" s="414">
        <v>0</v>
      </c>
      <c r="M71" s="414">
        <v>0</v>
      </c>
      <c r="N71" s="414">
        <v>0</v>
      </c>
      <c r="O71" s="414">
        <v>0</v>
      </c>
      <c r="P71" s="414">
        <v>0</v>
      </c>
      <c r="Q71" s="447">
        <v>0</v>
      </c>
      <c r="R71" s="414">
        <v>0</v>
      </c>
      <c r="S71" s="414">
        <v>0</v>
      </c>
      <c r="T71" s="414">
        <v>0</v>
      </c>
      <c r="U71" s="414">
        <v>0</v>
      </c>
      <c r="V71" s="414">
        <v>0</v>
      </c>
      <c r="W71" s="414">
        <v>0</v>
      </c>
      <c r="X71" s="414">
        <v>0</v>
      </c>
      <c r="Y71" s="414">
        <v>0</v>
      </c>
      <c r="Z71" s="415">
        <v>0</v>
      </c>
      <c r="AA71" s="447">
        <v>0</v>
      </c>
      <c r="AB71" s="414">
        <v>0</v>
      </c>
      <c r="AC71" s="414">
        <v>0</v>
      </c>
      <c r="AD71" s="414">
        <v>0</v>
      </c>
      <c r="AE71" s="414">
        <v>0</v>
      </c>
      <c r="AF71" s="414">
        <v>0</v>
      </c>
      <c r="AG71" s="414">
        <v>0</v>
      </c>
      <c r="AH71" s="414">
        <v>0</v>
      </c>
      <c r="AI71" s="431">
        <v>0</v>
      </c>
      <c r="AJ71" s="12"/>
      <c r="AK71" s="174">
        <f t="shared" si="13"/>
        <v>0</v>
      </c>
      <c r="AL71" s="174">
        <f t="shared" si="14"/>
        <v>0</v>
      </c>
      <c r="AM71" s="174">
        <v>0</v>
      </c>
      <c r="AN71" s="175"/>
      <c r="AO71" s="174">
        <f t="shared" si="12"/>
        <v>0</v>
      </c>
      <c r="AP71" s="171" t="str">
        <f t="shared" si="11"/>
        <v>V</v>
      </c>
    </row>
    <row r="72" spans="1:42" ht="15" hidden="1" customHeight="1">
      <c r="A72" t="s">
        <v>160</v>
      </c>
      <c r="B72" s="54" t="s">
        <v>202</v>
      </c>
      <c r="C72" s="43" t="s">
        <v>203</v>
      </c>
      <c r="D72" s="43" t="s">
        <v>38</v>
      </c>
      <c r="E72" s="430">
        <f>E9</f>
        <v>51</v>
      </c>
      <c r="F72" s="415">
        <f>F9</f>
        <v>43.5</v>
      </c>
      <c r="G72" s="447">
        <v>0</v>
      </c>
      <c r="H72" s="414">
        <v>0</v>
      </c>
      <c r="I72" s="414">
        <v>0</v>
      </c>
      <c r="J72" s="414">
        <v>0</v>
      </c>
      <c r="K72" s="414">
        <v>0</v>
      </c>
      <c r="L72" s="414">
        <v>0</v>
      </c>
      <c r="M72" s="414">
        <v>0</v>
      </c>
      <c r="N72" s="414">
        <v>0</v>
      </c>
      <c r="O72" s="414">
        <v>0</v>
      </c>
      <c r="P72" s="414">
        <v>0</v>
      </c>
      <c r="Q72" s="447">
        <v>0</v>
      </c>
      <c r="R72" s="414">
        <v>0</v>
      </c>
      <c r="S72" s="414">
        <v>0</v>
      </c>
      <c r="T72" s="414">
        <v>0</v>
      </c>
      <c r="U72" s="414">
        <v>0</v>
      </c>
      <c r="V72" s="414">
        <v>0</v>
      </c>
      <c r="W72" s="414">
        <v>0</v>
      </c>
      <c r="X72" s="414">
        <v>0</v>
      </c>
      <c r="Y72" s="414">
        <v>0</v>
      </c>
      <c r="Z72" s="415">
        <v>0</v>
      </c>
      <c r="AA72" s="447">
        <v>0</v>
      </c>
      <c r="AB72" s="414">
        <v>0</v>
      </c>
      <c r="AC72" s="414">
        <v>0</v>
      </c>
      <c r="AD72" s="414">
        <v>0</v>
      </c>
      <c r="AE72" s="414">
        <v>0</v>
      </c>
      <c r="AF72" s="414">
        <v>0</v>
      </c>
      <c r="AG72" s="414">
        <v>0</v>
      </c>
      <c r="AH72" s="414">
        <v>0</v>
      </c>
      <c r="AI72" s="431">
        <v>0</v>
      </c>
      <c r="AJ72" s="12"/>
      <c r="AK72" s="174">
        <f t="shared" si="13"/>
        <v>94.5</v>
      </c>
      <c r="AL72" s="174">
        <f t="shared" si="14"/>
        <v>94.5</v>
      </c>
      <c r="AM72" s="174">
        <v>0</v>
      </c>
      <c r="AN72" s="175"/>
      <c r="AO72" s="174">
        <f t="shared" si="12"/>
        <v>94.5</v>
      </c>
      <c r="AP72" s="171" t="str">
        <f t="shared" si="11"/>
        <v>V</v>
      </c>
    </row>
    <row r="73" spans="1:42" ht="15" hidden="1" customHeight="1">
      <c r="A73" t="s">
        <v>160</v>
      </c>
      <c r="B73" s="54" t="s">
        <v>256</v>
      </c>
      <c r="C73" s="43" t="s">
        <v>257</v>
      </c>
      <c r="D73" s="43" t="s">
        <v>110</v>
      </c>
      <c r="E73" s="430">
        <v>0</v>
      </c>
      <c r="F73" s="415">
        <v>0</v>
      </c>
      <c r="G73" s="447">
        <v>0</v>
      </c>
      <c r="H73" s="414">
        <v>0</v>
      </c>
      <c r="I73" s="414">
        <v>0</v>
      </c>
      <c r="J73" s="414">
        <v>0</v>
      </c>
      <c r="K73" s="414">
        <v>0</v>
      </c>
      <c r="L73" s="414">
        <v>0</v>
      </c>
      <c r="M73" s="414">
        <v>0</v>
      </c>
      <c r="N73" s="414">
        <v>0</v>
      </c>
      <c r="O73" s="414">
        <v>0</v>
      </c>
      <c r="P73" s="414">
        <v>0</v>
      </c>
      <c r="Q73" s="447">
        <v>0</v>
      </c>
      <c r="R73" s="414">
        <v>0</v>
      </c>
      <c r="S73" s="414">
        <v>0</v>
      </c>
      <c r="T73" s="414">
        <v>0</v>
      </c>
      <c r="U73" s="414">
        <v>0</v>
      </c>
      <c r="V73" s="414">
        <v>0</v>
      </c>
      <c r="W73" s="414">
        <v>0</v>
      </c>
      <c r="X73" s="414">
        <v>0</v>
      </c>
      <c r="Y73" s="414">
        <v>0</v>
      </c>
      <c r="Z73" s="415">
        <v>0</v>
      </c>
      <c r="AA73" s="447">
        <v>0</v>
      </c>
      <c r="AB73" s="414">
        <v>0</v>
      </c>
      <c r="AC73" s="414">
        <v>0</v>
      </c>
      <c r="AD73" s="414">
        <v>0</v>
      </c>
      <c r="AE73" s="414">
        <v>0</v>
      </c>
      <c r="AF73" s="414">
        <v>0</v>
      </c>
      <c r="AG73" s="414">
        <v>0</v>
      </c>
      <c r="AH73" s="414">
        <v>0</v>
      </c>
      <c r="AI73" s="431">
        <v>0</v>
      </c>
      <c r="AJ73" s="12"/>
      <c r="AK73" s="174">
        <f t="shared" si="13"/>
        <v>0</v>
      </c>
      <c r="AL73" s="174">
        <f t="shared" si="14"/>
        <v>0</v>
      </c>
      <c r="AM73" s="174">
        <v>0</v>
      </c>
      <c r="AN73" s="175"/>
      <c r="AO73" s="174">
        <f t="shared" si="12"/>
        <v>0</v>
      </c>
      <c r="AP73" s="171" t="str">
        <f t="shared" si="11"/>
        <v>V</v>
      </c>
    </row>
    <row r="74" spans="1:42" ht="15" hidden="1" customHeight="1">
      <c r="A74" t="s">
        <v>160</v>
      </c>
      <c r="B74" s="54" t="s">
        <v>258</v>
      </c>
      <c r="C74" s="43" t="s">
        <v>259</v>
      </c>
      <c r="D74" s="43" t="s">
        <v>110</v>
      </c>
      <c r="E74" s="430">
        <v>0</v>
      </c>
      <c r="F74" s="415">
        <v>0</v>
      </c>
      <c r="G74" s="447">
        <v>0</v>
      </c>
      <c r="H74" s="414">
        <v>0</v>
      </c>
      <c r="I74" s="414">
        <v>0</v>
      </c>
      <c r="J74" s="414">
        <v>0</v>
      </c>
      <c r="K74" s="414">
        <v>0</v>
      </c>
      <c r="L74" s="414">
        <v>0</v>
      </c>
      <c r="M74" s="414">
        <v>0</v>
      </c>
      <c r="N74" s="414">
        <v>0</v>
      </c>
      <c r="O74" s="414">
        <v>0</v>
      </c>
      <c r="P74" s="414">
        <v>0</v>
      </c>
      <c r="Q74" s="447">
        <f>Q9</f>
        <v>8.0999999999999659</v>
      </c>
      <c r="R74" s="414">
        <f t="shared" ref="R74:T74" si="35">R9</f>
        <v>0</v>
      </c>
      <c r="S74" s="414">
        <f t="shared" si="35"/>
        <v>0</v>
      </c>
      <c r="T74" s="414">
        <f t="shared" si="35"/>
        <v>0</v>
      </c>
      <c r="U74" s="414">
        <v>0</v>
      </c>
      <c r="V74" s="414">
        <v>0</v>
      </c>
      <c r="W74" s="414">
        <v>0</v>
      </c>
      <c r="X74" s="414">
        <v>0</v>
      </c>
      <c r="Y74" s="414">
        <v>0</v>
      </c>
      <c r="Z74" s="415">
        <v>0</v>
      </c>
      <c r="AA74" s="447">
        <v>0</v>
      </c>
      <c r="AB74" s="414">
        <v>0</v>
      </c>
      <c r="AC74" s="414">
        <v>0</v>
      </c>
      <c r="AD74" s="414">
        <v>0</v>
      </c>
      <c r="AE74" s="414">
        <v>0</v>
      </c>
      <c r="AF74" s="414">
        <v>0</v>
      </c>
      <c r="AG74" s="414">
        <v>0</v>
      </c>
      <c r="AH74" s="414">
        <v>0</v>
      </c>
      <c r="AI74" s="431">
        <v>0</v>
      </c>
      <c r="AJ74" s="12"/>
      <c r="AK74" s="174">
        <f t="shared" si="13"/>
        <v>8.0999999999999659</v>
      </c>
      <c r="AL74" s="174">
        <f t="shared" si="14"/>
        <v>8.0999999999999659</v>
      </c>
      <c r="AM74" s="174">
        <v>0</v>
      </c>
      <c r="AN74" s="175"/>
      <c r="AO74" s="174">
        <f t="shared" si="12"/>
        <v>8.0999999999999659</v>
      </c>
      <c r="AP74" s="171" t="str">
        <f t="shared" si="11"/>
        <v>V</v>
      </c>
    </row>
    <row r="75" spans="1:42" ht="15" hidden="1" customHeight="1">
      <c r="A75" t="s">
        <v>160</v>
      </c>
      <c r="B75" s="54" t="s">
        <v>260</v>
      </c>
      <c r="C75" s="43" t="s">
        <v>261</v>
      </c>
      <c r="D75" s="43" t="s">
        <v>110</v>
      </c>
      <c r="E75" s="430">
        <v>0</v>
      </c>
      <c r="F75" s="415">
        <v>0</v>
      </c>
      <c r="G75" s="447">
        <v>0</v>
      </c>
      <c r="H75" s="414">
        <v>0</v>
      </c>
      <c r="I75" s="414">
        <v>0</v>
      </c>
      <c r="J75" s="414">
        <v>0</v>
      </c>
      <c r="K75" s="414">
        <v>0</v>
      </c>
      <c r="L75" s="414">
        <v>0</v>
      </c>
      <c r="M75" s="414">
        <v>0</v>
      </c>
      <c r="N75" s="414">
        <v>0</v>
      </c>
      <c r="O75" s="414">
        <v>0</v>
      </c>
      <c r="P75" s="414">
        <v>0</v>
      </c>
      <c r="Q75" s="447">
        <v>0</v>
      </c>
      <c r="R75" s="414">
        <v>0</v>
      </c>
      <c r="S75" s="414">
        <v>0</v>
      </c>
      <c r="T75" s="414">
        <v>0</v>
      </c>
      <c r="U75" s="414">
        <v>0</v>
      </c>
      <c r="V75" s="414">
        <v>0</v>
      </c>
      <c r="W75" s="414">
        <v>0</v>
      </c>
      <c r="X75" s="414">
        <v>0</v>
      </c>
      <c r="Y75" s="414">
        <v>0</v>
      </c>
      <c r="Z75" s="415">
        <v>0</v>
      </c>
      <c r="AA75" s="447">
        <v>0</v>
      </c>
      <c r="AB75" s="414">
        <v>0</v>
      </c>
      <c r="AC75" s="414">
        <v>0</v>
      </c>
      <c r="AD75" s="414">
        <v>0</v>
      </c>
      <c r="AE75" s="414">
        <v>0</v>
      </c>
      <c r="AF75" s="414">
        <v>0</v>
      </c>
      <c r="AG75" s="414">
        <v>0</v>
      </c>
      <c r="AH75" s="414">
        <v>0</v>
      </c>
      <c r="AI75" s="431">
        <v>0</v>
      </c>
      <c r="AJ75" s="12"/>
      <c r="AK75" s="174">
        <f t="shared" si="13"/>
        <v>0</v>
      </c>
      <c r="AL75" s="174">
        <f t="shared" si="14"/>
        <v>0</v>
      </c>
      <c r="AM75" s="174">
        <v>0</v>
      </c>
      <c r="AN75" s="175"/>
      <c r="AO75" s="174">
        <f t="shared" si="12"/>
        <v>0</v>
      </c>
      <c r="AP75" s="171" t="str">
        <f t="shared" si="11"/>
        <v>V</v>
      </c>
    </row>
    <row r="76" spans="1:42" ht="15" hidden="1" customHeight="1">
      <c r="A76" t="s">
        <v>160</v>
      </c>
      <c r="B76" s="54" t="s">
        <v>262</v>
      </c>
      <c r="C76" s="43" t="s">
        <v>263</v>
      </c>
      <c r="D76" s="43" t="s">
        <v>110</v>
      </c>
      <c r="E76" s="430">
        <v>0</v>
      </c>
      <c r="F76" s="415">
        <v>0</v>
      </c>
      <c r="G76" s="447">
        <v>0</v>
      </c>
      <c r="H76" s="414">
        <v>0</v>
      </c>
      <c r="I76" s="414">
        <v>0</v>
      </c>
      <c r="J76" s="414">
        <v>0</v>
      </c>
      <c r="K76" s="414">
        <v>0</v>
      </c>
      <c r="L76" s="414">
        <v>0</v>
      </c>
      <c r="M76" s="414">
        <v>0</v>
      </c>
      <c r="N76" s="414">
        <v>0</v>
      </c>
      <c r="O76" s="414">
        <v>0</v>
      </c>
      <c r="P76" s="414">
        <v>0</v>
      </c>
      <c r="Q76" s="447">
        <v>0</v>
      </c>
      <c r="R76" s="414">
        <v>0</v>
      </c>
      <c r="S76" s="414">
        <v>0</v>
      </c>
      <c r="T76" s="414">
        <v>0</v>
      </c>
      <c r="U76" s="414">
        <v>0</v>
      </c>
      <c r="V76" s="414">
        <v>0</v>
      </c>
      <c r="W76" s="414">
        <v>0</v>
      </c>
      <c r="X76" s="414">
        <v>0</v>
      </c>
      <c r="Y76" s="414">
        <v>0</v>
      </c>
      <c r="Z76" s="415">
        <v>0</v>
      </c>
      <c r="AA76" s="447">
        <v>0</v>
      </c>
      <c r="AB76" s="414">
        <v>0</v>
      </c>
      <c r="AC76" s="414">
        <v>0</v>
      </c>
      <c r="AD76" s="414">
        <v>0</v>
      </c>
      <c r="AE76" s="414">
        <v>0</v>
      </c>
      <c r="AF76" s="414">
        <v>0</v>
      </c>
      <c r="AG76" s="414">
        <v>0</v>
      </c>
      <c r="AH76" s="414">
        <v>0</v>
      </c>
      <c r="AI76" s="431">
        <v>0</v>
      </c>
      <c r="AJ76" s="12"/>
      <c r="AK76" s="174">
        <f t="shared" si="13"/>
        <v>0</v>
      </c>
      <c r="AL76" s="174">
        <f t="shared" si="14"/>
        <v>0</v>
      </c>
      <c r="AM76" s="174">
        <v>0</v>
      </c>
      <c r="AN76" s="175"/>
      <c r="AO76" s="174">
        <f t="shared" si="12"/>
        <v>0</v>
      </c>
      <c r="AP76" s="171" t="str">
        <f t="shared" ref="AP76:AP90" si="36">IF(AO76=AK76,"V","F")</f>
        <v>V</v>
      </c>
    </row>
    <row r="77" spans="1:42" ht="15" hidden="1" customHeight="1">
      <c r="A77" t="s">
        <v>160</v>
      </c>
      <c r="B77" s="54" t="s">
        <v>204</v>
      </c>
      <c r="C77" s="43" t="s">
        <v>205</v>
      </c>
      <c r="D77" s="43" t="s">
        <v>38</v>
      </c>
      <c r="E77" s="430">
        <v>0</v>
      </c>
      <c r="F77" s="415">
        <v>0</v>
      </c>
      <c r="G77" s="447">
        <v>0</v>
      </c>
      <c r="H77" s="414">
        <v>0</v>
      </c>
      <c r="I77" s="414">
        <v>0</v>
      </c>
      <c r="J77" s="414">
        <v>0</v>
      </c>
      <c r="K77" s="414">
        <v>0</v>
      </c>
      <c r="L77" s="414">
        <v>0</v>
      </c>
      <c r="M77" s="414">
        <v>0</v>
      </c>
      <c r="N77" s="414">
        <v>0</v>
      </c>
      <c r="O77" s="414">
        <v>0</v>
      </c>
      <c r="P77" s="414">
        <v>0</v>
      </c>
      <c r="Q77" s="447">
        <f>Q9</f>
        <v>8.0999999999999659</v>
      </c>
      <c r="R77" s="414">
        <f t="shared" ref="R77:Z77" si="37">R9</f>
        <v>0</v>
      </c>
      <c r="S77" s="414">
        <f t="shared" si="37"/>
        <v>0</v>
      </c>
      <c r="T77" s="414">
        <f t="shared" si="37"/>
        <v>0</v>
      </c>
      <c r="U77" s="414">
        <f t="shared" si="37"/>
        <v>16.900000000000034</v>
      </c>
      <c r="V77" s="414">
        <f t="shared" si="37"/>
        <v>34.899999999999977</v>
      </c>
      <c r="W77" s="414">
        <f t="shared" si="37"/>
        <v>12</v>
      </c>
      <c r="X77" s="414">
        <f t="shared" si="37"/>
        <v>1.8000000000000114</v>
      </c>
      <c r="Y77" s="414">
        <f t="shared" si="37"/>
        <v>0</v>
      </c>
      <c r="Z77" s="415">
        <f t="shared" si="37"/>
        <v>0</v>
      </c>
      <c r="AA77" s="447">
        <v>0</v>
      </c>
      <c r="AB77" s="414">
        <v>0</v>
      </c>
      <c r="AC77" s="414">
        <v>0</v>
      </c>
      <c r="AD77" s="414">
        <v>0</v>
      </c>
      <c r="AE77" s="414">
        <v>0</v>
      </c>
      <c r="AF77" s="414">
        <v>0</v>
      </c>
      <c r="AG77" s="414">
        <v>0</v>
      </c>
      <c r="AH77" s="414">
        <v>0</v>
      </c>
      <c r="AI77" s="431">
        <v>0</v>
      </c>
      <c r="AJ77" s="12"/>
      <c r="AK77" s="174">
        <f t="shared" ref="AK77:AK90" si="38">SUM(E77:AI77)</f>
        <v>73.699999999999989</v>
      </c>
      <c r="AL77" s="174">
        <f t="shared" ref="AL77:AL90" si="39">SUM(E77:AI77)</f>
        <v>73.699999999999989</v>
      </c>
      <c r="AM77" s="174">
        <v>0</v>
      </c>
      <c r="AN77" s="175"/>
      <c r="AO77" s="174">
        <f t="shared" ref="AO77:AO90" si="40">AL77+AM77+AN77</f>
        <v>73.699999999999989</v>
      </c>
      <c r="AP77" s="171" t="str">
        <f t="shared" si="36"/>
        <v>V</v>
      </c>
    </row>
    <row r="78" spans="1:42" ht="15" hidden="1" customHeight="1">
      <c r="A78" t="s">
        <v>160</v>
      </c>
      <c r="B78" s="54" t="s">
        <v>206</v>
      </c>
      <c r="C78" s="43" t="s">
        <v>207</v>
      </c>
      <c r="D78" s="43" t="s">
        <v>38</v>
      </c>
      <c r="E78" s="430">
        <f>E9</f>
        <v>51</v>
      </c>
      <c r="F78" s="415">
        <f>F9</f>
        <v>43.5</v>
      </c>
      <c r="G78" s="447">
        <v>0</v>
      </c>
      <c r="H78" s="414">
        <v>0</v>
      </c>
      <c r="I78" s="414">
        <v>0</v>
      </c>
      <c r="J78" s="414">
        <v>0</v>
      </c>
      <c r="K78" s="414">
        <v>0</v>
      </c>
      <c r="L78" s="414">
        <v>0</v>
      </c>
      <c r="M78" s="414">
        <v>0</v>
      </c>
      <c r="N78" s="414">
        <v>0</v>
      </c>
      <c r="O78" s="414">
        <v>0</v>
      </c>
      <c r="P78" s="414">
        <v>0</v>
      </c>
      <c r="Q78" s="447">
        <v>0</v>
      </c>
      <c r="R78" s="414">
        <v>0</v>
      </c>
      <c r="S78" s="414">
        <v>0</v>
      </c>
      <c r="T78" s="414">
        <v>0</v>
      </c>
      <c r="U78" s="414">
        <v>0</v>
      </c>
      <c r="V78" s="414">
        <v>0</v>
      </c>
      <c r="W78" s="414">
        <v>0</v>
      </c>
      <c r="X78" s="414">
        <v>0</v>
      </c>
      <c r="Y78" s="414">
        <v>0</v>
      </c>
      <c r="Z78" s="414">
        <v>0</v>
      </c>
      <c r="AA78" s="447">
        <v>0</v>
      </c>
      <c r="AB78" s="414">
        <v>0</v>
      </c>
      <c r="AC78" s="414">
        <v>0</v>
      </c>
      <c r="AD78" s="414">
        <v>0</v>
      </c>
      <c r="AE78" s="414">
        <v>0</v>
      </c>
      <c r="AF78" s="414">
        <v>0</v>
      </c>
      <c r="AG78" s="414">
        <v>0</v>
      </c>
      <c r="AH78" s="414">
        <v>0</v>
      </c>
      <c r="AI78" s="431">
        <v>0</v>
      </c>
      <c r="AJ78" s="12"/>
      <c r="AK78" s="174">
        <f t="shared" si="38"/>
        <v>94.5</v>
      </c>
      <c r="AL78" s="174">
        <f t="shared" si="39"/>
        <v>94.5</v>
      </c>
      <c r="AM78" s="174">
        <v>0</v>
      </c>
      <c r="AN78" s="175"/>
      <c r="AO78" s="174">
        <f t="shared" si="40"/>
        <v>94.5</v>
      </c>
      <c r="AP78" s="171" t="str">
        <f t="shared" si="36"/>
        <v>V</v>
      </c>
    </row>
    <row r="79" spans="1:42" ht="15" hidden="1" customHeight="1">
      <c r="A79" t="s">
        <v>160</v>
      </c>
      <c r="B79" s="54">
        <v>120321557</v>
      </c>
      <c r="C79" s="43" t="s">
        <v>320</v>
      </c>
      <c r="D79" s="43" t="s">
        <v>110</v>
      </c>
      <c r="E79" s="430">
        <v>0</v>
      </c>
      <c r="F79" s="414">
        <v>0</v>
      </c>
      <c r="G79" s="447">
        <v>0</v>
      </c>
      <c r="H79" s="414">
        <v>0</v>
      </c>
      <c r="I79" s="414">
        <v>0</v>
      </c>
      <c r="J79" s="414">
        <v>0</v>
      </c>
      <c r="K79" s="414">
        <v>0</v>
      </c>
      <c r="L79" s="414">
        <v>0</v>
      </c>
      <c r="M79" s="414">
        <v>0</v>
      </c>
      <c r="N79" s="414">
        <v>0</v>
      </c>
      <c r="O79" s="414">
        <v>0</v>
      </c>
      <c r="P79" s="414">
        <v>0</v>
      </c>
      <c r="Q79" s="447">
        <v>0</v>
      </c>
      <c r="R79" s="414">
        <v>0</v>
      </c>
      <c r="S79" s="414">
        <v>0</v>
      </c>
      <c r="T79" s="414">
        <v>0</v>
      </c>
      <c r="U79" s="414">
        <v>0</v>
      </c>
      <c r="V79" s="414">
        <v>0</v>
      </c>
      <c r="W79" s="414">
        <v>0</v>
      </c>
      <c r="X79" s="414">
        <v>0</v>
      </c>
      <c r="Y79" s="414">
        <v>0</v>
      </c>
      <c r="Z79" s="414">
        <v>0</v>
      </c>
      <c r="AA79" s="447">
        <v>0</v>
      </c>
      <c r="AB79" s="414">
        <v>0</v>
      </c>
      <c r="AC79" s="414">
        <v>0</v>
      </c>
      <c r="AD79" s="414">
        <v>0</v>
      </c>
      <c r="AE79" s="414">
        <v>0</v>
      </c>
      <c r="AF79" s="414">
        <v>0</v>
      </c>
      <c r="AG79" s="414">
        <v>0</v>
      </c>
      <c r="AH79" s="414">
        <v>0</v>
      </c>
      <c r="AI79" s="431">
        <v>0</v>
      </c>
      <c r="AJ79" s="12"/>
      <c r="AK79" s="174">
        <f t="shared" si="38"/>
        <v>0</v>
      </c>
      <c r="AL79" s="174">
        <f t="shared" si="39"/>
        <v>0</v>
      </c>
      <c r="AM79" s="174">
        <v>0</v>
      </c>
      <c r="AN79" s="175"/>
      <c r="AO79" s="174">
        <f t="shared" si="40"/>
        <v>0</v>
      </c>
      <c r="AP79" s="171" t="str">
        <f t="shared" si="36"/>
        <v>V</v>
      </c>
    </row>
    <row r="80" spans="1:42" ht="15" hidden="1" customHeight="1">
      <c r="A80" t="s">
        <v>160</v>
      </c>
      <c r="B80" s="54" t="s">
        <v>208</v>
      </c>
      <c r="C80" s="43" t="s">
        <v>209</v>
      </c>
      <c r="D80" s="43" t="s">
        <v>38</v>
      </c>
      <c r="E80" s="430">
        <v>0</v>
      </c>
      <c r="F80" s="414">
        <v>0</v>
      </c>
      <c r="G80" s="447">
        <v>0</v>
      </c>
      <c r="H80" s="414">
        <v>0</v>
      </c>
      <c r="I80" s="414">
        <v>0</v>
      </c>
      <c r="J80" s="414">
        <v>0</v>
      </c>
      <c r="K80" s="414">
        <v>0</v>
      </c>
      <c r="L80" s="414">
        <v>0</v>
      </c>
      <c r="M80" s="414">
        <v>0</v>
      </c>
      <c r="N80" s="414">
        <v>0</v>
      </c>
      <c r="O80" s="414">
        <v>0</v>
      </c>
      <c r="P80" s="414">
        <v>0</v>
      </c>
      <c r="Q80" s="447">
        <v>0</v>
      </c>
      <c r="R80" s="414">
        <v>0</v>
      </c>
      <c r="S80" s="414">
        <v>0</v>
      </c>
      <c r="T80" s="414">
        <v>0</v>
      </c>
      <c r="U80" s="414">
        <v>0</v>
      </c>
      <c r="V80" s="414">
        <v>0</v>
      </c>
      <c r="W80" s="414">
        <v>0</v>
      </c>
      <c r="X80" s="414">
        <v>0</v>
      </c>
      <c r="Y80" s="414">
        <v>0</v>
      </c>
      <c r="Z80" s="414">
        <v>0</v>
      </c>
      <c r="AA80" s="447">
        <v>0</v>
      </c>
      <c r="AB80" s="414">
        <v>0</v>
      </c>
      <c r="AC80" s="414">
        <v>0</v>
      </c>
      <c r="AD80" s="414">
        <v>0</v>
      </c>
      <c r="AE80" s="414">
        <v>0</v>
      </c>
      <c r="AF80" s="414">
        <v>0</v>
      </c>
      <c r="AG80" s="414">
        <v>0</v>
      </c>
      <c r="AH80" s="414">
        <v>0</v>
      </c>
      <c r="AI80" s="431">
        <v>0</v>
      </c>
      <c r="AJ80" s="12"/>
      <c r="AK80" s="174">
        <f t="shared" si="38"/>
        <v>0</v>
      </c>
      <c r="AL80" s="174">
        <f t="shared" si="39"/>
        <v>0</v>
      </c>
      <c r="AM80" s="174">
        <v>0</v>
      </c>
      <c r="AN80" s="175"/>
      <c r="AO80" s="174">
        <f t="shared" si="40"/>
        <v>0</v>
      </c>
      <c r="AP80" s="171" t="str">
        <f t="shared" si="36"/>
        <v>V</v>
      </c>
    </row>
    <row r="81" spans="1:42" ht="15" hidden="1" customHeight="1">
      <c r="A81" t="s">
        <v>160</v>
      </c>
      <c r="B81" s="54" t="s">
        <v>210</v>
      </c>
      <c r="C81" s="43" t="s">
        <v>211</v>
      </c>
      <c r="D81" s="43" t="s">
        <v>38</v>
      </c>
      <c r="E81" s="430">
        <v>0</v>
      </c>
      <c r="F81" s="414">
        <v>0</v>
      </c>
      <c r="G81" s="447">
        <v>0</v>
      </c>
      <c r="H81" s="414">
        <v>0</v>
      </c>
      <c r="I81" s="414">
        <v>0</v>
      </c>
      <c r="J81" s="414">
        <v>0</v>
      </c>
      <c r="K81" s="414">
        <v>0</v>
      </c>
      <c r="L81" s="414">
        <v>0</v>
      </c>
      <c r="M81" s="414">
        <v>0</v>
      </c>
      <c r="N81" s="414">
        <v>0</v>
      </c>
      <c r="O81" s="414">
        <v>0</v>
      </c>
      <c r="P81" s="414">
        <v>0</v>
      </c>
      <c r="Q81" s="447">
        <v>0</v>
      </c>
      <c r="R81" s="414">
        <v>0</v>
      </c>
      <c r="S81" s="414">
        <v>0</v>
      </c>
      <c r="T81" s="414">
        <v>0</v>
      </c>
      <c r="U81" s="414">
        <v>0</v>
      </c>
      <c r="V81" s="414">
        <v>0</v>
      </c>
      <c r="W81" s="414">
        <v>0</v>
      </c>
      <c r="X81" s="414">
        <v>0</v>
      </c>
      <c r="Y81" s="414">
        <v>0</v>
      </c>
      <c r="Z81" s="414">
        <v>0</v>
      </c>
      <c r="AA81" s="447">
        <v>0</v>
      </c>
      <c r="AB81" s="414">
        <v>0</v>
      </c>
      <c r="AC81" s="414">
        <v>0</v>
      </c>
      <c r="AD81" s="414">
        <v>0</v>
      </c>
      <c r="AE81" s="414">
        <v>0</v>
      </c>
      <c r="AF81" s="414">
        <v>0</v>
      </c>
      <c r="AG81" s="414">
        <v>0</v>
      </c>
      <c r="AH81" s="414">
        <v>0</v>
      </c>
      <c r="AI81" s="431">
        <v>0</v>
      </c>
      <c r="AJ81" s="12"/>
      <c r="AK81" s="174">
        <f t="shared" si="38"/>
        <v>0</v>
      </c>
      <c r="AL81" s="174">
        <f t="shared" si="39"/>
        <v>0</v>
      </c>
      <c r="AM81" s="174">
        <v>0</v>
      </c>
      <c r="AN81" s="175"/>
      <c r="AO81" s="174">
        <f t="shared" si="40"/>
        <v>0</v>
      </c>
      <c r="AP81" s="171" t="str">
        <f t="shared" si="36"/>
        <v>V</v>
      </c>
    </row>
    <row r="82" spans="1:42" ht="15" hidden="1" customHeight="1">
      <c r="A82" t="s">
        <v>160</v>
      </c>
      <c r="B82" s="54"/>
      <c r="C82" s="43"/>
      <c r="D82" s="43"/>
      <c r="E82" s="430">
        <v>0</v>
      </c>
      <c r="F82" s="414">
        <v>0</v>
      </c>
      <c r="G82" s="447">
        <v>0</v>
      </c>
      <c r="H82" s="414">
        <v>0</v>
      </c>
      <c r="I82" s="414">
        <v>0</v>
      </c>
      <c r="J82" s="414">
        <v>0</v>
      </c>
      <c r="K82" s="414">
        <v>0</v>
      </c>
      <c r="L82" s="414">
        <v>0</v>
      </c>
      <c r="M82" s="414">
        <v>0</v>
      </c>
      <c r="N82" s="414">
        <v>0</v>
      </c>
      <c r="O82" s="414">
        <v>0</v>
      </c>
      <c r="P82" s="414">
        <v>0</v>
      </c>
      <c r="Q82" s="447">
        <v>0</v>
      </c>
      <c r="R82" s="414">
        <v>0</v>
      </c>
      <c r="S82" s="414">
        <v>0</v>
      </c>
      <c r="T82" s="414">
        <v>0</v>
      </c>
      <c r="U82" s="414">
        <v>0</v>
      </c>
      <c r="V82" s="414">
        <v>0</v>
      </c>
      <c r="W82" s="414">
        <v>0</v>
      </c>
      <c r="X82" s="414">
        <v>0</v>
      </c>
      <c r="Y82" s="414">
        <v>0</v>
      </c>
      <c r="Z82" s="414">
        <v>0</v>
      </c>
      <c r="AA82" s="447">
        <v>0</v>
      </c>
      <c r="AB82" s="414">
        <v>0</v>
      </c>
      <c r="AC82" s="414">
        <v>0</v>
      </c>
      <c r="AD82" s="414">
        <v>0</v>
      </c>
      <c r="AE82" s="414">
        <v>0</v>
      </c>
      <c r="AF82" s="414">
        <v>0</v>
      </c>
      <c r="AG82" s="414">
        <v>0</v>
      </c>
      <c r="AH82" s="414">
        <v>0</v>
      </c>
      <c r="AI82" s="431">
        <v>0</v>
      </c>
      <c r="AJ82" s="12"/>
      <c r="AK82" s="174">
        <f t="shared" si="38"/>
        <v>0</v>
      </c>
      <c r="AL82" s="174">
        <f t="shared" si="39"/>
        <v>0</v>
      </c>
      <c r="AM82" s="174">
        <v>0</v>
      </c>
      <c r="AN82" s="175"/>
      <c r="AO82" s="174">
        <f t="shared" si="40"/>
        <v>0</v>
      </c>
      <c r="AP82" s="171" t="str">
        <f t="shared" si="36"/>
        <v>V</v>
      </c>
    </row>
    <row r="83" spans="1:42" ht="15" hidden="1" customHeight="1">
      <c r="A83" t="s">
        <v>160</v>
      </c>
      <c r="B83" s="54"/>
      <c r="C83" s="43"/>
      <c r="D83" s="43"/>
      <c r="E83" s="430">
        <v>0</v>
      </c>
      <c r="F83" s="414">
        <v>0</v>
      </c>
      <c r="G83" s="447">
        <v>0</v>
      </c>
      <c r="H83" s="414">
        <v>0</v>
      </c>
      <c r="I83" s="414">
        <v>0</v>
      </c>
      <c r="J83" s="414">
        <v>0</v>
      </c>
      <c r="K83" s="414">
        <v>0</v>
      </c>
      <c r="L83" s="414">
        <v>0</v>
      </c>
      <c r="M83" s="414">
        <v>0</v>
      </c>
      <c r="N83" s="414">
        <v>0</v>
      </c>
      <c r="O83" s="414">
        <v>0</v>
      </c>
      <c r="P83" s="414">
        <v>0</v>
      </c>
      <c r="Q83" s="447">
        <v>0</v>
      </c>
      <c r="R83" s="414">
        <v>0</v>
      </c>
      <c r="S83" s="414">
        <v>0</v>
      </c>
      <c r="T83" s="414">
        <v>0</v>
      </c>
      <c r="U83" s="414">
        <v>0</v>
      </c>
      <c r="V83" s="414">
        <v>0</v>
      </c>
      <c r="W83" s="414">
        <v>0</v>
      </c>
      <c r="X83" s="414">
        <v>0</v>
      </c>
      <c r="Y83" s="414">
        <v>0</v>
      </c>
      <c r="Z83" s="414">
        <v>0</v>
      </c>
      <c r="AA83" s="447">
        <v>0</v>
      </c>
      <c r="AB83" s="414">
        <v>0</v>
      </c>
      <c r="AC83" s="414">
        <v>0</v>
      </c>
      <c r="AD83" s="414">
        <v>0</v>
      </c>
      <c r="AE83" s="414">
        <v>0</v>
      </c>
      <c r="AF83" s="414">
        <v>0</v>
      </c>
      <c r="AG83" s="414">
        <v>0</v>
      </c>
      <c r="AH83" s="414">
        <v>0</v>
      </c>
      <c r="AI83" s="431">
        <v>0</v>
      </c>
      <c r="AJ83" s="12"/>
      <c r="AK83" s="174">
        <f t="shared" si="38"/>
        <v>0</v>
      </c>
      <c r="AL83" s="174">
        <f t="shared" si="39"/>
        <v>0</v>
      </c>
      <c r="AM83" s="174">
        <v>0</v>
      </c>
      <c r="AN83" s="175"/>
      <c r="AO83" s="174">
        <f t="shared" si="40"/>
        <v>0</v>
      </c>
      <c r="AP83" s="171" t="str">
        <f t="shared" si="36"/>
        <v>V</v>
      </c>
    </row>
    <row r="84" spans="1:42" ht="15" hidden="1" customHeight="1">
      <c r="A84" t="s">
        <v>160</v>
      </c>
      <c r="B84" s="54"/>
      <c r="C84" s="43"/>
      <c r="D84" s="43"/>
      <c r="E84" s="430">
        <v>0</v>
      </c>
      <c r="F84" s="414">
        <v>0</v>
      </c>
      <c r="G84" s="447">
        <v>0</v>
      </c>
      <c r="H84" s="414">
        <v>0</v>
      </c>
      <c r="I84" s="414">
        <v>0</v>
      </c>
      <c r="J84" s="414">
        <v>0</v>
      </c>
      <c r="K84" s="414">
        <v>0</v>
      </c>
      <c r="L84" s="414">
        <v>0</v>
      </c>
      <c r="M84" s="414">
        <v>0</v>
      </c>
      <c r="N84" s="414">
        <v>0</v>
      </c>
      <c r="O84" s="414">
        <v>0</v>
      </c>
      <c r="P84" s="414">
        <v>0</v>
      </c>
      <c r="Q84" s="447">
        <v>0</v>
      </c>
      <c r="R84" s="414">
        <v>0</v>
      </c>
      <c r="S84" s="414">
        <v>0</v>
      </c>
      <c r="T84" s="414">
        <v>0</v>
      </c>
      <c r="U84" s="414">
        <v>0</v>
      </c>
      <c r="V84" s="414">
        <v>0</v>
      </c>
      <c r="W84" s="414">
        <v>0</v>
      </c>
      <c r="X84" s="414">
        <v>0</v>
      </c>
      <c r="Y84" s="414">
        <v>0</v>
      </c>
      <c r="Z84" s="414">
        <v>0</v>
      </c>
      <c r="AA84" s="447">
        <v>0</v>
      </c>
      <c r="AB84" s="414">
        <v>0</v>
      </c>
      <c r="AC84" s="414">
        <v>0</v>
      </c>
      <c r="AD84" s="414">
        <v>0</v>
      </c>
      <c r="AE84" s="414">
        <v>0</v>
      </c>
      <c r="AF84" s="414">
        <v>0</v>
      </c>
      <c r="AG84" s="414">
        <v>0</v>
      </c>
      <c r="AH84" s="414">
        <v>0</v>
      </c>
      <c r="AI84" s="431">
        <v>0</v>
      </c>
      <c r="AJ84" s="12"/>
      <c r="AK84" s="174">
        <f t="shared" si="38"/>
        <v>0</v>
      </c>
      <c r="AL84" s="174">
        <f t="shared" si="39"/>
        <v>0</v>
      </c>
      <c r="AM84" s="174">
        <v>0</v>
      </c>
      <c r="AN84" s="175"/>
      <c r="AO84" s="174">
        <f t="shared" si="40"/>
        <v>0</v>
      </c>
      <c r="AP84" s="171" t="str">
        <f t="shared" si="36"/>
        <v>V</v>
      </c>
    </row>
    <row r="85" spans="1:42" ht="15" hidden="1" customHeight="1">
      <c r="A85" t="s">
        <v>160</v>
      </c>
      <c r="B85" s="54"/>
      <c r="C85" s="43"/>
      <c r="D85" s="43"/>
      <c r="E85" s="430">
        <v>0</v>
      </c>
      <c r="F85" s="414">
        <v>0</v>
      </c>
      <c r="G85" s="447">
        <v>0</v>
      </c>
      <c r="H85" s="414">
        <v>0</v>
      </c>
      <c r="I85" s="414">
        <v>0</v>
      </c>
      <c r="J85" s="414">
        <v>0</v>
      </c>
      <c r="K85" s="414">
        <v>0</v>
      </c>
      <c r="L85" s="414">
        <v>0</v>
      </c>
      <c r="M85" s="414">
        <v>0</v>
      </c>
      <c r="N85" s="414">
        <v>0</v>
      </c>
      <c r="O85" s="414">
        <v>0</v>
      </c>
      <c r="P85" s="414">
        <v>0</v>
      </c>
      <c r="Q85" s="447">
        <v>0</v>
      </c>
      <c r="R85" s="414">
        <v>0</v>
      </c>
      <c r="S85" s="414">
        <v>0</v>
      </c>
      <c r="T85" s="414">
        <v>0</v>
      </c>
      <c r="U85" s="414">
        <v>0</v>
      </c>
      <c r="V85" s="414">
        <v>0</v>
      </c>
      <c r="W85" s="414">
        <v>0</v>
      </c>
      <c r="X85" s="414">
        <v>0</v>
      </c>
      <c r="Y85" s="414">
        <v>0</v>
      </c>
      <c r="Z85" s="414">
        <v>0</v>
      </c>
      <c r="AA85" s="447">
        <v>0</v>
      </c>
      <c r="AB85" s="414">
        <v>0</v>
      </c>
      <c r="AC85" s="414">
        <v>0</v>
      </c>
      <c r="AD85" s="414">
        <v>0</v>
      </c>
      <c r="AE85" s="414">
        <v>0</v>
      </c>
      <c r="AF85" s="414">
        <v>0</v>
      </c>
      <c r="AG85" s="414">
        <v>0</v>
      </c>
      <c r="AH85" s="414">
        <v>0</v>
      </c>
      <c r="AI85" s="431">
        <v>0</v>
      </c>
      <c r="AJ85" s="12"/>
      <c r="AK85" s="174">
        <f t="shared" si="38"/>
        <v>0</v>
      </c>
      <c r="AL85" s="174">
        <f t="shared" si="39"/>
        <v>0</v>
      </c>
      <c r="AM85" s="174">
        <v>0</v>
      </c>
      <c r="AN85" s="175"/>
      <c r="AO85" s="174">
        <f t="shared" si="40"/>
        <v>0</v>
      </c>
      <c r="AP85" s="171" t="str">
        <f t="shared" si="36"/>
        <v>V</v>
      </c>
    </row>
    <row r="86" spans="1:42" ht="15" hidden="1" customHeight="1">
      <c r="A86" t="s">
        <v>160</v>
      </c>
      <c r="B86" s="54"/>
      <c r="C86" s="43"/>
      <c r="D86" s="43"/>
      <c r="E86" s="430">
        <v>0</v>
      </c>
      <c r="F86" s="414">
        <v>0</v>
      </c>
      <c r="G86" s="447">
        <v>0</v>
      </c>
      <c r="H86" s="414">
        <v>0</v>
      </c>
      <c r="I86" s="414">
        <v>0</v>
      </c>
      <c r="J86" s="414">
        <v>0</v>
      </c>
      <c r="K86" s="414">
        <v>0</v>
      </c>
      <c r="L86" s="414">
        <v>0</v>
      </c>
      <c r="M86" s="414">
        <v>0</v>
      </c>
      <c r="N86" s="414">
        <v>0</v>
      </c>
      <c r="O86" s="414">
        <v>0</v>
      </c>
      <c r="P86" s="414">
        <v>0</v>
      </c>
      <c r="Q86" s="447">
        <v>0</v>
      </c>
      <c r="R86" s="414">
        <v>0</v>
      </c>
      <c r="S86" s="414">
        <v>0</v>
      </c>
      <c r="T86" s="414">
        <v>0</v>
      </c>
      <c r="U86" s="414">
        <v>0</v>
      </c>
      <c r="V86" s="414">
        <v>0</v>
      </c>
      <c r="W86" s="414">
        <v>0</v>
      </c>
      <c r="X86" s="414">
        <v>0</v>
      </c>
      <c r="Y86" s="414">
        <v>0</v>
      </c>
      <c r="Z86" s="414">
        <v>0</v>
      </c>
      <c r="AA86" s="447">
        <v>0</v>
      </c>
      <c r="AB86" s="414">
        <v>0</v>
      </c>
      <c r="AC86" s="414">
        <v>0</v>
      </c>
      <c r="AD86" s="414">
        <v>0</v>
      </c>
      <c r="AE86" s="414">
        <v>0</v>
      </c>
      <c r="AF86" s="414">
        <v>0</v>
      </c>
      <c r="AG86" s="414">
        <v>0</v>
      </c>
      <c r="AH86" s="414">
        <v>0</v>
      </c>
      <c r="AI86" s="431">
        <v>0</v>
      </c>
      <c r="AJ86" s="12"/>
      <c r="AK86" s="174">
        <f t="shared" si="38"/>
        <v>0</v>
      </c>
      <c r="AL86" s="174">
        <f t="shared" si="39"/>
        <v>0</v>
      </c>
      <c r="AM86" s="174">
        <v>0</v>
      </c>
      <c r="AN86" s="175"/>
      <c r="AO86" s="174">
        <f t="shared" si="40"/>
        <v>0</v>
      </c>
      <c r="AP86" s="171" t="str">
        <f t="shared" si="36"/>
        <v>V</v>
      </c>
    </row>
    <row r="87" spans="1:42" ht="15" hidden="1" customHeight="1">
      <c r="A87" t="s">
        <v>160</v>
      </c>
      <c r="B87" s="54"/>
      <c r="C87" s="43"/>
      <c r="D87" s="43"/>
      <c r="E87" s="430">
        <v>0</v>
      </c>
      <c r="F87" s="414">
        <v>0</v>
      </c>
      <c r="G87" s="447">
        <v>0</v>
      </c>
      <c r="H87" s="414">
        <v>0</v>
      </c>
      <c r="I87" s="414">
        <v>0</v>
      </c>
      <c r="J87" s="414">
        <v>0</v>
      </c>
      <c r="K87" s="414">
        <v>0</v>
      </c>
      <c r="L87" s="414">
        <v>0</v>
      </c>
      <c r="M87" s="414">
        <v>0</v>
      </c>
      <c r="N87" s="414">
        <v>0</v>
      </c>
      <c r="O87" s="414">
        <v>0</v>
      </c>
      <c r="P87" s="414">
        <v>0</v>
      </c>
      <c r="Q87" s="447">
        <v>0</v>
      </c>
      <c r="R87" s="414">
        <v>0</v>
      </c>
      <c r="S87" s="414">
        <v>0</v>
      </c>
      <c r="T87" s="414">
        <v>0</v>
      </c>
      <c r="U87" s="414">
        <v>0</v>
      </c>
      <c r="V87" s="414">
        <v>0</v>
      </c>
      <c r="W87" s="414">
        <v>0</v>
      </c>
      <c r="X87" s="414">
        <v>0</v>
      </c>
      <c r="Y87" s="414">
        <v>0</v>
      </c>
      <c r="Z87" s="414">
        <v>0</v>
      </c>
      <c r="AA87" s="447">
        <v>0</v>
      </c>
      <c r="AB87" s="414">
        <v>0</v>
      </c>
      <c r="AC87" s="414">
        <v>0</v>
      </c>
      <c r="AD87" s="414">
        <v>0</v>
      </c>
      <c r="AE87" s="414">
        <v>0</v>
      </c>
      <c r="AF87" s="414">
        <v>0</v>
      </c>
      <c r="AG87" s="414">
        <v>0</v>
      </c>
      <c r="AH87" s="414">
        <v>0</v>
      </c>
      <c r="AI87" s="431">
        <v>0</v>
      </c>
      <c r="AJ87" s="12"/>
      <c r="AK87" s="174">
        <f t="shared" si="38"/>
        <v>0</v>
      </c>
      <c r="AL87" s="174">
        <f t="shared" si="39"/>
        <v>0</v>
      </c>
      <c r="AM87" s="174">
        <v>0</v>
      </c>
      <c r="AN87" s="175"/>
      <c r="AO87" s="174">
        <f t="shared" si="40"/>
        <v>0</v>
      </c>
      <c r="AP87" s="171" t="str">
        <f t="shared" si="36"/>
        <v>V</v>
      </c>
    </row>
    <row r="88" spans="1:42" ht="15" hidden="1" customHeight="1">
      <c r="A88" t="s">
        <v>160</v>
      </c>
      <c r="B88" s="54"/>
      <c r="C88" s="43"/>
      <c r="D88" s="43"/>
      <c r="E88" s="430">
        <v>0</v>
      </c>
      <c r="F88" s="414">
        <v>0</v>
      </c>
      <c r="G88" s="447">
        <v>0</v>
      </c>
      <c r="H88" s="414">
        <v>0</v>
      </c>
      <c r="I88" s="414">
        <v>0</v>
      </c>
      <c r="J88" s="414">
        <v>0</v>
      </c>
      <c r="K88" s="414">
        <v>0</v>
      </c>
      <c r="L88" s="414">
        <v>0</v>
      </c>
      <c r="M88" s="414">
        <v>0</v>
      </c>
      <c r="N88" s="414">
        <v>0</v>
      </c>
      <c r="O88" s="414">
        <v>0</v>
      </c>
      <c r="P88" s="414">
        <v>0</v>
      </c>
      <c r="Q88" s="447">
        <v>0</v>
      </c>
      <c r="R88" s="414">
        <v>0</v>
      </c>
      <c r="S88" s="414">
        <v>0</v>
      </c>
      <c r="T88" s="414">
        <v>0</v>
      </c>
      <c r="U88" s="414">
        <v>0</v>
      </c>
      <c r="V88" s="414">
        <v>0</v>
      </c>
      <c r="W88" s="414">
        <v>0</v>
      </c>
      <c r="X88" s="414">
        <v>0</v>
      </c>
      <c r="Y88" s="414">
        <v>0</v>
      </c>
      <c r="Z88" s="414">
        <v>0</v>
      </c>
      <c r="AA88" s="447">
        <v>0</v>
      </c>
      <c r="AB88" s="414">
        <v>0</v>
      </c>
      <c r="AC88" s="414">
        <v>0</v>
      </c>
      <c r="AD88" s="414">
        <v>0</v>
      </c>
      <c r="AE88" s="414">
        <v>0</v>
      </c>
      <c r="AF88" s="414">
        <v>0</v>
      </c>
      <c r="AG88" s="414">
        <v>0</v>
      </c>
      <c r="AH88" s="414">
        <v>0</v>
      </c>
      <c r="AI88" s="431">
        <v>0</v>
      </c>
      <c r="AJ88" s="12"/>
      <c r="AK88" s="174">
        <f t="shared" si="38"/>
        <v>0</v>
      </c>
      <c r="AL88" s="174">
        <f t="shared" si="39"/>
        <v>0</v>
      </c>
      <c r="AM88" s="174">
        <v>0</v>
      </c>
      <c r="AN88" s="175"/>
      <c r="AO88" s="174">
        <f t="shared" si="40"/>
        <v>0</v>
      </c>
      <c r="AP88" s="171" t="str">
        <f t="shared" si="36"/>
        <v>V</v>
      </c>
    </row>
    <row r="89" spans="1:42" ht="15" hidden="1" customHeight="1">
      <c r="A89" t="s">
        <v>160</v>
      </c>
      <c r="B89" s="54"/>
      <c r="C89" s="43"/>
      <c r="D89" s="43"/>
      <c r="E89" s="430">
        <v>0</v>
      </c>
      <c r="F89" s="414">
        <v>0</v>
      </c>
      <c r="G89" s="447">
        <v>0</v>
      </c>
      <c r="H89" s="414">
        <v>0</v>
      </c>
      <c r="I89" s="414">
        <v>0</v>
      </c>
      <c r="J89" s="414">
        <v>0</v>
      </c>
      <c r="K89" s="414">
        <v>0</v>
      </c>
      <c r="L89" s="414">
        <v>0</v>
      </c>
      <c r="M89" s="414">
        <v>0</v>
      </c>
      <c r="N89" s="414">
        <v>0</v>
      </c>
      <c r="O89" s="414">
        <v>0</v>
      </c>
      <c r="P89" s="414">
        <v>0</v>
      </c>
      <c r="Q89" s="447">
        <v>0</v>
      </c>
      <c r="R89" s="414">
        <v>0</v>
      </c>
      <c r="S89" s="414">
        <v>0</v>
      </c>
      <c r="T89" s="414">
        <v>0</v>
      </c>
      <c r="U89" s="414">
        <v>0</v>
      </c>
      <c r="V89" s="414">
        <v>0</v>
      </c>
      <c r="W89" s="414">
        <v>0</v>
      </c>
      <c r="X89" s="414">
        <v>0</v>
      </c>
      <c r="Y89" s="414">
        <v>0</v>
      </c>
      <c r="Z89" s="414">
        <v>0</v>
      </c>
      <c r="AA89" s="447">
        <v>0</v>
      </c>
      <c r="AB89" s="414">
        <v>0</v>
      </c>
      <c r="AC89" s="414">
        <v>0</v>
      </c>
      <c r="AD89" s="414">
        <v>0</v>
      </c>
      <c r="AE89" s="414">
        <v>0</v>
      </c>
      <c r="AF89" s="414">
        <v>0</v>
      </c>
      <c r="AG89" s="414">
        <v>0</v>
      </c>
      <c r="AH89" s="414">
        <v>0</v>
      </c>
      <c r="AI89" s="431">
        <v>0</v>
      </c>
      <c r="AJ89" s="12"/>
      <c r="AK89" s="174">
        <f t="shared" si="38"/>
        <v>0</v>
      </c>
      <c r="AL89" s="174">
        <f t="shared" si="39"/>
        <v>0</v>
      </c>
      <c r="AM89" s="174">
        <v>0</v>
      </c>
      <c r="AN89" s="175"/>
      <c r="AO89" s="174">
        <f t="shared" si="40"/>
        <v>0</v>
      </c>
      <c r="AP89" s="171" t="str">
        <f t="shared" si="36"/>
        <v>V</v>
      </c>
    </row>
    <row r="90" spans="1:42" ht="15" hidden="1" customHeight="1" thickBot="1">
      <c r="A90" t="s">
        <v>160</v>
      </c>
      <c r="B90" s="55"/>
      <c r="C90" s="44"/>
      <c r="D90" s="44"/>
      <c r="E90" s="430">
        <v>0</v>
      </c>
      <c r="F90" s="414">
        <v>0</v>
      </c>
      <c r="G90" s="447">
        <v>0</v>
      </c>
      <c r="H90" s="414">
        <v>0</v>
      </c>
      <c r="I90" s="414">
        <v>0</v>
      </c>
      <c r="J90" s="414">
        <v>0</v>
      </c>
      <c r="K90" s="414">
        <v>0</v>
      </c>
      <c r="L90" s="414">
        <v>0</v>
      </c>
      <c r="M90" s="414">
        <v>0</v>
      </c>
      <c r="N90" s="414">
        <v>0</v>
      </c>
      <c r="O90" s="414">
        <v>0</v>
      </c>
      <c r="P90" s="414">
        <v>0</v>
      </c>
      <c r="Q90" s="447">
        <v>0</v>
      </c>
      <c r="R90" s="414">
        <v>0</v>
      </c>
      <c r="S90" s="414">
        <v>0</v>
      </c>
      <c r="T90" s="414">
        <v>0</v>
      </c>
      <c r="U90" s="414">
        <v>0</v>
      </c>
      <c r="V90" s="414">
        <v>0</v>
      </c>
      <c r="W90" s="414">
        <v>0</v>
      </c>
      <c r="X90" s="414">
        <v>0</v>
      </c>
      <c r="Y90" s="414">
        <v>0</v>
      </c>
      <c r="Z90" s="414">
        <v>0</v>
      </c>
      <c r="AA90" s="447">
        <v>0</v>
      </c>
      <c r="AB90" s="414">
        <v>0</v>
      </c>
      <c r="AC90" s="414">
        <v>0</v>
      </c>
      <c r="AD90" s="414">
        <v>0</v>
      </c>
      <c r="AE90" s="414">
        <v>0</v>
      </c>
      <c r="AF90" s="414">
        <v>0</v>
      </c>
      <c r="AG90" s="414">
        <v>0</v>
      </c>
      <c r="AH90" s="414">
        <v>0</v>
      </c>
      <c r="AI90" s="431">
        <v>0</v>
      </c>
      <c r="AJ90" s="56"/>
      <c r="AK90" s="174">
        <f t="shared" si="38"/>
        <v>0</v>
      </c>
      <c r="AL90" s="174">
        <f t="shared" si="39"/>
        <v>0</v>
      </c>
      <c r="AM90" s="174">
        <v>0</v>
      </c>
      <c r="AN90" s="177"/>
      <c r="AO90" s="176">
        <f t="shared" si="40"/>
        <v>0</v>
      </c>
      <c r="AP90" s="171" t="str">
        <f t="shared" si="36"/>
        <v>V</v>
      </c>
    </row>
    <row r="91" spans="1:42" ht="15.75" customHeight="1"/>
  </sheetData>
  <autoFilter ref="B10:AS90" xr:uid="{00000000-0001-0000-0800-000000000000}">
    <filterColumn colId="1">
      <filters>
        <filter val="BRIONES BRIONES PAUL GIOVANNI"/>
        <filter val="(NonBlanks)"/>
      </filters>
    </filterColumn>
  </autoFilter>
  <mergeCells count="19">
    <mergeCell ref="AP6:AP8"/>
    <mergeCell ref="AQ6:AQ8"/>
    <mergeCell ref="AL3:AL5"/>
    <mergeCell ref="C6:C8"/>
    <mergeCell ref="AO3:AO5"/>
    <mergeCell ref="AM3:AM5"/>
    <mergeCell ref="AM6:AM8"/>
    <mergeCell ref="AN3:AN5"/>
    <mergeCell ref="AN6:AN8"/>
    <mergeCell ref="AL6:AL8"/>
    <mergeCell ref="AO6:AO8"/>
    <mergeCell ref="AK3:AK5"/>
    <mergeCell ref="AK6:AK8"/>
    <mergeCell ref="C3:C5"/>
    <mergeCell ref="D1:AI1"/>
    <mergeCell ref="AN1:AO1"/>
    <mergeCell ref="AP1:AQ1"/>
    <mergeCell ref="AP3:AP5"/>
    <mergeCell ref="AQ3:AQ5"/>
  </mergeCells>
  <conditionalFormatting sqref="B2:B10 B91:B284">
    <cfRule type="duplicateValues" dxfId="132" priority="38"/>
  </conditionalFormatting>
  <conditionalFormatting sqref="B11 B36:B40 B13 B15:B34 B86 B42 B44 B46 B48 B50:B83">
    <cfRule type="duplicateValues" dxfId="131" priority="39"/>
    <cfRule type="duplicateValues" dxfId="130" priority="40"/>
  </conditionalFormatting>
  <conditionalFormatting sqref="B11:B13 B15:B40 B90 B86 B42 B44 B46 B48 B50:B83">
    <cfRule type="duplicateValues" dxfId="129" priority="41"/>
  </conditionalFormatting>
  <conditionalFormatting sqref="B12">
    <cfRule type="duplicateValues" dxfId="128" priority="26"/>
    <cfRule type="duplicateValues" dxfId="127" priority="25"/>
    <cfRule type="duplicateValues" dxfId="126" priority="27"/>
  </conditionalFormatting>
  <conditionalFormatting sqref="B14">
    <cfRule type="duplicateValues" dxfId="125" priority="22"/>
    <cfRule type="duplicateValues" dxfId="124" priority="24"/>
    <cfRule type="duplicateValues" dxfId="123" priority="23"/>
    <cfRule type="duplicateValues" dxfId="122" priority="21"/>
  </conditionalFormatting>
  <conditionalFormatting sqref="B24 B21">
    <cfRule type="duplicateValues" dxfId="121" priority="28"/>
  </conditionalFormatting>
  <conditionalFormatting sqref="B25:B34 B22:B23 B11 B36:B40 B13 B15:B20 B86 B42 B44 B46 B48 B50:B83">
    <cfRule type="duplicateValues" dxfId="120" priority="42"/>
  </conditionalFormatting>
  <conditionalFormatting sqref="B41">
    <cfRule type="duplicateValues" dxfId="119" priority="19"/>
    <cfRule type="duplicateValues" dxfId="118" priority="20"/>
    <cfRule type="duplicateValues" dxfId="117" priority="18"/>
    <cfRule type="duplicateValues" dxfId="116" priority="17"/>
  </conditionalFormatting>
  <conditionalFormatting sqref="B43 B45 B47 B49">
    <cfRule type="duplicateValues" dxfId="115" priority="1"/>
    <cfRule type="duplicateValues" dxfId="114" priority="2"/>
    <cfRule type="duplicateValues" dxfId="113" priority="3"/>
    <cfRule type="duplicateValues" dxfId="112" priority="4"/>
  </conditionalFormatting>
  <conditionalFormatting sqref="B84">
    <cfRule type="duplicateValues" dxfId="111" priority="13"/>
    <cfRule type="duplicateValues" dxfId="110" priority="14"/>
    <cfRule type="duplicateValues" dxfId="109" priority="15"/>
    <cfRule type="duplicateValues" dxfId="108" priority="16"/>
  </conditionalFormatting>
  <conditionalFormatting sqref="B85">
    <cfRule type="duplicateValues" dxfId="107" priority="11"/>
    <cfRule type="duplicateValues" dxfId="106" priority="9"/>
    <cfRule type="duplicateValues" dxfId="105" priority="10"/>
    <cfRule type="duplicateValues" dxfId="104" priority="12"/>
  </conditionalFormatting>
  <conditionalFormatting sqref="B87:B89">
    <cfRule type="duplicateValues" dxfId="103" priority="7"/>
    <cfRule type="duplicateValues" dxfId="102" priority="5"/>
    <cfRule type="duplicateValues" dxfId="101" priority="6"/>
    <cfRule type="duplicateValues" dxfId="100" priority="8"/>
  </conditionalFormatting>
  <conditionalFormatting sqref="B285:B1048576 B1">
    <cfRule type="duplicateValues" dxfId="99" priority="37"/>
  </conditionalFormatting>
  <conditionalFormatting sqref="E3:AI4 E6:AI7">
    <cfRule type="cellIs" dxfId="98" priority="35" operator="greaterThan">
      <formula>501</formula>
    </cfRule>
  </conditionalFormatting>
  <conditionalFormatting sqref="E3:AI9 AK9:AM9">
    <cfRule type="cellIs" dxfId="97" priority="36" operator="greaterThanOrEqual">
      <formula>0</formula>
    </cfRule>
  </conditionalFormatting>
  <conditionalFormatting sqref="E5:AI5 E8:AI8">
    <cfRule type="cellIs" dxfId="96" priority="31" operator="greaterThanOrEqual">
      <formula>22</formula>
    </cfRule>
  </conditionalFormatting>
  <conditionalFormatting sqref="E5:AI5 E8:AI9 AK3:AM3 AK6:AM6 AK9:AM9">
    <cfRule type="cellIs" dxfId="95" priority="34" operator="greaterThanOrEqual">
      <formula>0</formula>
    </cfRule>
  </conditionalFormatting>
  <conditionalFormatting sqref="E11:AK90">
    <cfRule type="cellIs" dxfId="94" priority="33" operator="equal">
      <formula>0</formula>
    </cfRule>
    <cfRule type="cellIs" dxfId="93" priority="32" operator="greaterThan">
      <formula>0</formula>
    </cfRule>
  </conditionalFormatting>
  <conditionalFormatting sqref="AP11:AP90 AQ91">
    <cfRule type="containsText" dxfId="92" priority="30" operator="containsText" text="F">
      <formula>NOT(ISERROR(SEARCH("F",AP11)))</formula>
    </cfRule>
    <cfRule type="containsText" dxfId="91" priority="29" operator="containsText" text="V">
      <formula>NOT(ISERROR(SEARCH("V",AP11)))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 filterMode="1">
    <tabColor rgb="FFFFC000"/>
  </sheetPr>
  <dimension ref="A1:AR91"/>
  <sheetViews>
    <sheetView zoomScale="70" zoomScaleNormal="70" workbookViewId="0">
      <pane xSplit="3" ySplit="10" topLeftCell="D56" activePane="bottomRight" state="frozen"/>
      <selection pane="bottomRight" activeCell="E56" sqref="E56"/>
      <selection pane="bottomLeft" activeCell="A11" sqref="A11"/>
      <selection pane="topRight" activeCell="D1" sqref="D1"/>
    </sheetView>
  </sheetViews>
  <sheetFormatPr defaultColWidth="11.42578125" defaultRowHeight="14.45"/>
  <cols>
    <col min="1" max="1" width="4.7109375" customWidth="1"/>
    <col min="2" max="2" width="13" bestFit="1" customWidth="1"/>
    <col min="3" max="3" width="45.7109375" bestFit="1" customWidth="1"/>
    <col min="4" max="4" width="30.28515625" bestFit="1" customWidth="1"/>
    <col min="5" max="5" width="9.140625" bestFit="1" customWidth="1"/>
    <col min="6" max="32" width="7.7109375" customWidth="1"/>
    <col min="33" max="33" width="8.28515625" bestFit="1" customWidth="1"/>
    <col min="34" max="36" width="7.7109375" customWidth="1"/>
    <col min="37" max="37" width="2.7109375" customWidth="1"/>
    <col min="38" max="44" width="10.7109375" customWidth="1"/>
  </cols>
  <sheetData>
    <row r="1" spans="1:44" ht="27" customHeight="1" thickBot="1">
      <c r="D1" s="554" t="s">
        <v>352</v>
      </c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278"/>
      <c r="AO1" s="556" t="s">
        <v>492</v>
      </c>
      <c r="AP1" s="557"/>
      <c r="AQ1" s="556" t="s">
        <v>493</v>
      </c>
      <c r="AR1" s="557"/>
    </row>
    <row r="2" spans="1:44" s="1" customFormat="1" ht="69" customHeight="1" thickBot="1">
      <c r="D2" s="52" t="s">
        <v>285</v>
      </c>
      <c r="E2" s="238">
        <v>46204</v>
      </c>
      <c r="F2" s="3">
        <v>46205</v>
      </c>
      <c r="G2" s="413">
        <v>46206</v>
      </c>
      <c r="H2" s="3">
        <v>46207</v>
      </c>
      <c r="I2" s="3">
        <v>46208</v>
      </c>
      <c r="J2" s="3">
        <v>46209</v>
      </c>
      <c r="K2" s="413">
        <v>46210</v>
      </c>
      <c r="L2" s="3">
        <v>46211</v>
      </c>
      <c r="M2" s="3">
        <v>46212</v>
      </c>
      <c r="N2" s="3">
        <v>46213</v>
      </c>
      <c r="O2" s="413">
        <v>46214</v>
      </c>
      <c r="P2" s="3">
        <v>46215</v>
      </c>
      <c r="Q2" s="3">
        <v>46216</v>
      </c>
      <c r="R2" s="3">
        <v>46217</v>
      </c>
      <c r="S2" s="413">
        <v>46218</v>
      </c>
      <c r="T2" s="3">
        <v>46219</v>
      </c>
      <c r="U2" s="3">
        <v>46220</v>
      </c>
      <c r="V2" s="644">
        <v>46221</v>
      </c>
      <c r="W2" s="645"/>
      <c r="X2" s="413">
        <v>46222</v>
      </c>
      <c r="Y2" s="3">
        <v>46223</v>
      </c>
      <c r="Z2" s="3">
        <v>46224</v>
      </c>
      <c r="AA2" s="3">
        <v>46225</v>
      </c>
      <c r="AB2" s="413">
        <v>46226</v>
      </c>
      <c r="AC2" s="3">
        <v>46227</v>
      </c>
      <c r="AD2" s="3">
        <v>46228</v>
      </c>
      <c r="AE2" s="3">
        <v>46229</v>
      </c>
      <c r="AF2" s="413">
        <v>46230</v>
      </c>
      <c r="AG2" s="3">
        <v>46231</v>
      </c>
      <c r="AH2" s="3">
        <v>46232</v>
      </c>
      <c r="AI2" s="3">
        <v>46233</v>
      </c>
      <c r="AJ2" s="413">
        <v>46234</v>
      </c>
      <c r="AK2" s="279"/>
      <c r="AL2" s="5" t="s">
        <v>492</v>
      </c>
      <c r="AM2" s="5" t="s">
        <v>493</v>
      </c>
      <c r="AN2" s="87" t="s">
        <v>361</v>
      </c>
      <c r="AO2" s="85" t="s">
        <v>354</v>
      </c>
      <c r="AP2" s="86" t="s">
        <v>446</v>
      </c>
      <c r="AQ2" s="85" t="s">
        <v>354</v>
      </c>
      <c r="AR2" s="84" t="s">
        <v>446</v>
      </c>
    </row>
    <row r="3" spans="1:44" ht="15.75" customHeight="1">
      <c r="C3" s="567" t="s">
        <v>494</v>
      </c>
      <c r="D3" s="102" t="s">
        <v>495</v>
      </c>
      <c r="E3" s="6">
        <v>351.1</v>
      </c>
      <c r="F3" s="224">
        <v>80</v>
      </c>
      <c r="G3" s="412">
        <f t="shared" ref="G3" si="0">F7</f>
        <v>96.4</v>
      </c>
      <c r="H3" s="224">
        <f>G7</f>
        <v>168.4</v>
      </c>
      <c r="I3" s="224">
        <v>0</v>
      </c>
      <c r="J3" s="224">
        <v>0</v>
      </c>
      <c r="K3" s="224">
        <f t="shared" ref="K3" si="1">J7</f>
        <v>42.15</v>
      </c>
      <c r="L3" s="224">
        <f t="shared" ref="L3" si="2">K7</f>
        <v>120.15</v>
      </c>
      <c r="M3" s="224">
        <f t="shared" ref="M3:N3" si="3">L7</f>
        <v>183.15</v>
      </c>
      <c r="N3" s="224">
        <f t="shared" si="3"/>
        <v>195.15</v>
      </c>
      <c r="O3" s="224">
        <f t="shared" ref="O3" si="4">N7</f>
        <v>240.15</v>
      </c>
      <c r="P3" s="224">
        <f t="shared" ref="P3:Q3" si="5">O7</f>
        <v>279.14999999999998</v>
      </c>
      <c r="Q3" s="224">
        <f t="shared" si="5"/>
        <v>318.14999999999998</v>
      </c>
      <c r="R3" s="224">
        <f t="shared" ref="R3" si="6">Q7</f>
        <v>346.15</v>
      </c>
      <c r="S3" s="224">
        <f t="shared" ref="S3:T3" si="7">R7</f>
        <v>381.15</v>
      </c>
      <c r="T3" s="224">
        <f t="shared" si="7"/>
        <v>420.15</v>
      </c>
      <c r="U3" s="224">
        <f t="shared" ref="U3" si="8">T7</f>
        <v>450.15</v>
      </c>
      <c r="V3" s="638">
        <f>U7</f>
        <v>486.15</v>
      </c>
      <c r="W3" s="638"/>
      <c r="X3" s="224">
        <f>V7</f>
        <v>504.45</v>
      </c>
      <c r="Y3" s="224">
        <f t="shared" ref="Y3" si="9">X7</f>
        <v>506.25</v>
      </c>
      <c r="Z3" s="224">
        <f t="shared" ref="Z3:AA3" si="10">Y7</f>
        <v>506.25</v>
      </c>
      <c r="AA3" s="224">
        <f t="shared" si="10"/>
        <v>506.25</v>
      </c>
      <c r="AB3" s="224">
        <f t="shared" ref="AB3" si="11">AA7</f>
        <v>506.25</v>
      </c>
      <c r="AC3" s="224">
        <f t="shared" ref="AC3:AD3" si="12">AB7</f>
        <v>506.25</v>
      </c>
      <c r="AD3" s="224">
        <f t="shared" si="12"/>
        <v>506.25</v>
      </c>
      <c r="AE3" s="224">
        <f t="shared" ref="AE3" si="13">AD7</f>
        <v>506.25</v>
      </c>
      <c r="AF3" s="224">
        <f t="shared" ref="AF3:AG3" si="14">AE7</f>
        <v>506.25</v>
      </c>
      <c r="AG3" s="224">
        <f t="shared" si="14"/>
        <v>506.25</v>
      </c>
      <c r="AH3" s="224">
        <f t="shared" ref="AH3" si="15">AG7</f>
        <v>521</v>
      </c>
      <c r="AI3" s="224">
        <f t="shared" ref="AI3" si="16">AH7</f>
        <v>537.15</v>
      </c>
      <c r="AJ3" s="224">
        <v>200</v>
      </c>
      <c r="AK3" s="12"/>
      <c r="AL3" s="564">
        <f>SUM(AB5:AJ5,G5:P5)</f>
        <v>224.89999999999998</v>
      </c>
      <c r="AM3" s="564">
        <f>SUM(E5:F5,Q5:AA5)</f>
        <v>117.50000000000006</v>
      </c>
      <c r="AN3" s="564">
        <f>SUM(E5:AJ5)</f>
        <v>342.40000000000003</v>
      </c>
      <c r="AO3" s="635">
        <f>SUM(G5:P5,AJ5)</f>
        <v>205.64999999999998</v>
      </c>
      <c r="AP3" s="561">
        <f>SUM(AB5:AI5)</f>
        <v>19.25</v>
      </c>
      <c r="AQ3" s="635">
        <f>SUM(E5:F5,Q5:V5)</f>
        <v>116.65000000000003</v>
      </c>
      <c r="AR3" s="641">
        <f>SUM(W5:AA5)</f>
        <v>0.85000000000002274</v>
      </c>
    </row>
    <row r="4" spans="1:44">
      <c r="C4" s="568"/>
      <c r="D4" s="103" t="s">
        <v>496</v>
      </c>
      <c r="E4" s="7">
        <v>376.8</v>
      </c>
      <c r="F4" s="225">
        <v>80</v>
      </c>
      <c r="G4" s="321">
        <v>138.4</v>
      </c>
      <c r="H4" s="225">
        <v>190</v>
      </c>
      <c r="I4" s="225">
        <v>0</v>
      </c>
      <c r="J4" s="225">
        <v>10.050000000000001</v>
      </c>
      <c r="K4" s="225">
        <v>84.15</v>
      </c>
      <c r="L4" s="225">
        <v>150.15</v>
      </c>
      <c r="M4" s="225">
        <v>189.15</v>
      </c>
      <c r="N4" s="225">
        <v>213.15</v>
      </c>
      <c r="O4" s="225">
        <v>258.14999999999998</v>
      </c>
      <c r="P4" s="225">
        <v>297.14999999999998</v>
      </c>
      <c r="Q4" s="321">
        <v>324.14999999999998</v>
      </c>
      <c r="R4" s="225">
        <v>356.95</v>
      </c>
      <c r="S4" s="225">
        <v>403.65</v>
      </c>
      <c r="T4" s="225">
        <v>442.95</v>
      </c>
      <c r="U4" s="225">
        <v>465.15</v>
      </c>
      <c r="V4" s="639">
        <v>500.85</v>
      </c>
      <c r="W4" s="639"/>
      <c r="X4" s="225">
        <v>504.45</v>
      </c>
      <c r="Y4" s="225">
        <v>506.25</v>
      </c>
      <c r="Z4" s="225">
        <v>506.25</v>
      </c>
      <c r="AA4" s="225">
        <v>506.25</v>
      </c>
      <c r="AB4" s="225">
        <v>506.25</v>
      </c>
      <c r="AC4" s="225">
        <v>506.25</v>
      </c>
      <c r="AD4" s="225">
        <v>506.25</v>
      </c>
      <c r="AE4" s="225">
        <v>506.25</v>
      </c>
      <c r="AF4" s="225">
        <v>506.25</v>
      </c>
      <c r="AG4" s="225">
        <v>509.35</v>
      </c>
      <c r="AH4" s="225">
        <v>525.15</v>
      </c>
      <c r="AI4" s="225">
        <v>549.15</v>
      </c>
      <c r="AJ4" s="225">
        <v>200</v>
      </c>
      <c r="AK4" s="12"/>
      <c r="AL4" s="565"/>
      <c r="AM4" s="565"/>
      <c r="AN4" s="565"/>
      <c r="AO4" s="636"/>
      <c r="AP4" s="562"/>
      <c r="AQ4" s="636"/>
      <c r="AR4" s="642"/>
    </row>
    <row r="5" spans="1:44" ht="15" thickBot="1">
      <c r="C5" s="569"/>
      <c r="D5" s="104" t="s">
        <v>302</v>
      </c>
      <c r="E5" s="8">
        <f t="shared" ref="E5:AJ5" si="17">E4-E3</f>
        <v>25.699999999999989</v>
      </c>
      <c r="F5" s="226">
        <f t="shared" si="17"/>
        <v>0</v>
      </c>
      <c r="G5" s="445">
        <f t="shared" si="17"/>
        <v>42</v>
      </c>
      <c r="H5" s="226">
        <f t="shared" si="17"/>
        <v>21.599999999999994</v>
      </c>
      <c r="I5" s="226">
        <f t="shared" si="17"/>
        <v>0</v>
      </c>
      <c r="J5" s="226">
        <f t="shared" si="17"/>
        <v>10.050000000000001</v>
      </c>
      <c r="K5" s="226">
        <f t="shared" si="17"/>
        <v>42.000000000000007</v>
      </c>
      <c r="L5" s="226">
        <f t="shared" si="17"/>
        <v>30</v>
      </c>
      <c r="M5" s="226">
        <f t="shared" si="17"/>
        <v>6</v>
      </c>
      <c r="N5" s="226">
        <f t="shared" si="17"/>
        <v>18</v>
      </c>
      <c r="O5" s="226">
        <f t="shared" si="17"/>
        <v>17.999999999999972</v>
      </c>
      <c r="P5" s="226">
        <f t="shared" si="17"/>
        <v>18</v>
      </c>
      <c r="Q5" s="445">
        <f t="shared" si="17"/>
        <v>6</v>
      </c>
      <c r="R5" s="226">
        <f t="shared" si="17"/>
        <v>10.800000000000011</v>
      </c>
      <c r="S5" s="226">
        <f t="shared" si="17"/>
        <v>22.5</v>
      </c>
      <c r="T5" s="226">
        <f t="shared" si="17"/>
        <v>22.800000000000011</v>
      </c>
      <c r="U5" s="226">
        <f t="shared" si="17"/>
        <v>15</v>
      </c>
      <c r="V5" s="226">
        <f>500-V3</f>
        <v>13.850000000000023</v>
      </c>
      <c r="W5" s="226">
        <f>V4-500</f>
        <v>0.85000000000002274</v>
      </c>
      <c r="X5" s="226">
        <f t="shared" si="17"/>
        <v>0</v>
      </c>
      <c r="Y5" s="226">
        <f t="shared" si="17"/>
        <v>0</v>
      </c>
      <c r="Z5" s="226">
        <f t="shared" si="17"/>
        <v>0</v>
      </c>
      <c r="AA5" s="226">
        <f t="shared" si="17"/>
        <v>0</v>
      </c>
      <c r="AB5" s="445">
        <f t="shared" si="17"/>
        <v>0</v>
      </c>
      <c r="AC5" s="226">
        <f t="shared" si="17"/>
        <v>0</v>
      </c>
      <c r="AD5" s="226">
        <f t="shared" si="17"/>
        <v>0</v>
      </c>
      <c r="AE5" s="226">
        <f t="shared" si="17"/>
        <v>0</v>
      </c>
      <c r="AF5" s="226">
        <f t="shared" si="17"/>
        <v>0</v>
      </c>
      <c r="AG5" s="226">
        <f t="shared" si="17"/>
        <v>3.1000000000000227</v>
      </c>
      <c r="AH5" s="226">
        <f t="shared" si="17"/>
        <v>4.1499999999999773</v>
      </c>
      <c r="AI5" s="226">
        <f t="shared" si="17"/>
        <v>12</v>
      </c>
      <c r="AJ5" s="226">
        <f t="shared" si="17"/>
        <v>0</v>
      </c>
      <c r="AK5" s="12"/>
      <c r="AL5" s="566"/>
      <c r="AM5" s="566"/>
      <c r="AN5" s="566"/>
      <c r="AO5" s="637"/>
      <c r="AP5" s="563"/>
      <c r="AQ5" s="637"/>
      <c r="AR5" s="643"/>
    </row>
    <row r="6" spans="1:44">
      <c r="C6" s="567" t="s">
        <v>497</v>
      </c>
      <c r="D6" s="105" t="s">
        <v>495</v>
      </c>
      <c r="E6" s="6">
        <f t="shared" ref="E6:AJ6" si="18">E4</f>
        <v>376.8</v>
      </c>
      <c r="F6" s="224">
        <f t="shared" si="18"/>
        <v>80</v>
      </c>
      <c r="G6" s="224">
        <f t="shared" si="18"/>
        <v>138.4</v>
      </c>
      <c r="H6" s="224">
        <f t="shared" si="18"/>
        <v>190</v>
      </c>
      <c r="I6" s="224">
        <f t="shared" si="18"/>
        <v>0</v>
      </c>
      <c r="J6" s="224">
        <f t="shared" si="18"/>
        <v>10.050000000000001</v>
      </c>
      <c r="K6" s="224">
        <f t="shared" si="18"/>
        <v>84.15</v>
      </c>
      <c r="L6" s="224">
        <f t="shared" si="18"/>
        <v>150.15</v>
      </c>
      <c r="M6" s="224">
        <f t="shared" si="18"/>
        <v>189.15</v>
      </c>
      <c r="N6" s="224">
        <f t="shared" si="18"/>
        <v>213.15</v>
      </c>
      <c r="O6" s="224">
        <f t="shared" si="18"/>
        <v>258.14999999999998</v>
      </c>
      <c r="P6" s="224">
        <f t="shared" si="18"/>
        <v>297.14999999999998</v>
      </c>
      <c r="Q6" s="224">
        <f t="shared" si="18"/>
        <v>324.14999999999998</v>
      </c>
      <c r="R6" s="224">
        <f t="shared" si="18"/>
        <v>356.95</v>
      </c>
      <c r="S6" s="224">
        <f t="shared" si="18"/>
        <v>403.65</v>
      </c>
      <c r="T6" s="224">
        <f t="shared" si="18"/>
        <v>442.95</v>
      </c>
      <c r="U6" s="224">
        <f t="shared" si="18"/>
        <v>465.15</v>
      </c>
      <c r="V6" s="638">
        <f>V4</f>
        <v>500.85</v>
      </c>
      <c r="W6" s="638"/>
      <c r="X6" s="224">
        <f t="shared" si="18"/>
        <v>504.45</v>
      </c>
      <c r="Y6" s="224">
        <f t="shared" si="18"/>
        <v>506.25</v>
      </c>
      <c r="Z6" s="224">
        <f t="shared" si="18"/>
        <v>506.25</v>
      </c>
      <c r="AA6" s="224">
        <f t="shared" si="18"/>
        <v>506.25</v>
      </c>
      <c r="AB6" s="224">
        <f t="shared" si="18"/>
        <v>506.25</v>
      </c>
      <c r="AC6" s="224">
        <f t="shared" si="18"/>
        <v>506.25</v>
      </c>
      <c r="AD6" s="224">
        <f t="shared" si="18"/>
        <v>506.25</v>
      </c>
      <c r="AE6" s="224">
        <f t="shared" si="18"/>
        <v>506.25</v>
      </c>
      <c r="AF6" s="224">
        <f t="shared" si="18"/>
        <v>506.25</v>
      </c>
      <c r="AG6" s="224">
        <f t="shared" si="18"/>
        <v>509.35</v>
      </c>
      <c r="AH6" s="224">
        <f t="shared" si="18"/>
        <v>525.15</v>
      </c>
      <c r="AI6" s="224">
        <f t="shared" si="18"/>
        <v>549.15</v>
      </c>
      <c r="AJ6" s="224">
        <f t="shared" si="18"/>
        <v>200</v>
      </c>
      <c r="AK6" s="12"/>
      <c r="AL6" s="564">
        <f>SUM(G8:P8,AB8:AJ8)</f>
        <v>230.6</v>
      </c>
      <c r="AM6" s="564">
        <f>SUM(G8:P8,AB8:AI8)</f>
        <v>230.6</v>
      </c>
      <c r="AN6" s="564">
        <f>SUM(E8:AJ8)</f>
        <v>356.49999999999994</v>
      </c>
      <c r="AO6" s="635">
        <f>SUM(G8:P8,AJ8)</f>
        <v>206.1</v>
      </c>
      <c r="AP6" s="561">
        <f>SUM(AB8:AI8)</f>
        <v>24.5</v>
      </c>
      <c r="AQ6" s="635">
        <f>SUM(E8:F8,Q8:U8)</f>
        <v>120.49999999999997</v>
      </c>
      <c r="AR6" s="641">
        <f>SUM(V8:AA8)</f>
        <v>5.3999999999999773</v>
      </c>
    </row>
    <row r="7" spans="1:44">
      <c r="C7" s="568"/>
      <c r="D7" s="103" t="s">
        <v>496</v>
      </c>
      <c r="E7" s="7">
        <v>390</v>
      </c>
      <c r="F7" s="12">
        <v>96.4</v>
      </c>
      <c r="G7" s="321">
        <v>168.4</v>
      </c>
      <c r="H7" s="414">
        <v>190</v>
      </c>
      <c r="I7" s="12">
        <v>0</v>
      </c>
      <c r="J7" s="225">
        <v>42.15</v>
      </c>
      <c r="K7" s="414">
        <v>120.15</v>
      </c>
      <c r="L7" s="12">
        <v>183.15</v>
      </c>
      <c r="M7" s="225">
        <v>195.15</v>
      </c>
      <c r="N7" s="414">
        <v>240.15</v>
      </c>
      <c r="O7" s="12">
        <v>279.14999999999998</v>
      </c>
      <c r="P7" s="225">
        <v>318.14999999999998</v>
      </c>
      <c r="Q7" s="447">
        <v>346.15</v>
      </c>
      <c r="R7" s="12">
        <v>381.15</v>
      </c>
      <c r="S7" s="225">
        <v>420.15</v>
      </c>
      <c r="T7" s="414">
        <v>450.15</v>
      </c>
      <c r="U7" s="12">
        <v>486.15</v>
      </c>
      <c r="V7" s="639">
        <v>504.45</v>
      </c>
      <c r="W7" s="639"/>
      <c r="X7" s="414">
        <v>506.25</v>
      </c>
      <c r="Y7" s="225">
        <v>506.25</v>
      </c>
      <c r="Z7" s="225">
        <v>506.25</v>
      </c>
      <c r="AA7" s="225">
        <v>506.25</v>
      </c>
      <c r="AB7" s="225">
        <v>506.25</v>
      </c>
      <c r="AC7" s="225">
        <v>506.25</v>
      </c>
      <c r="AD7" s="225">
        <v>506.25</v>
      </c>
      <c r="AE7" s="225">
        <v>506.25</v>
      </c>
      <c r="AF7" s="225">
        <v>506.25</v>
      </c>
      <c r="AG7" s="225">
        <v>521</v>
      </c>
      <c r="AH7" s="12">
        <v>537.15</v>
      </c>
      <c r="AI7" s="225">
        <v>550</v>
      </c>
      <c r="AJ7" s="12">
        <v>200</v>
      </c>
      <c r="AK7" s="12"/>
      <c r="AL7" s="565"/>
      <c r="AM7" s="565"/>
      <c r="AN7" s="565"/>
      <c r="AO7" s="636"/>
      <c r="AP7" s="562"/>
      <c r="AQ7" s="636"/>
      <c r="AR7" s="642"/>
    </row>
    <row r="8" spans="1:44" ht="15" thickBot="1">
      <c r="C8" s="569"/>
      <c r="D8" s="104" t="s">
        <v>302</v>
      </c>
      <c r="E8" s="9">
        <f t="shared" ref="E8:AJ8" si="19">E7-E6</f>
        <v>13.199999999999989</v>
      </c>
      <c r="F8" s="10">
        <f t="shared" si="19"/>
        <v>16.400000000000006</v>
      </c>
      <c r="G8" s="445">
        <f t="shared" si="19"/>
        <v>30</v>
      </c>
      <c r="H8" s="10">
        <f t="shared" si="19"/>
        <v>0</v>
      </c>
      <c r="I8" s="10">
        <f t="shared" si="19"/>
        <v>0</v>
      </c>
      <c r="J8" s="226">
        <f t="shared" si="19"/>
        <v>32.099999999999994</v>
      </c>
      <c r="K8" s="10">
        <f t="shared" si="19"/>
        <v>36</v>
      </c>
      <c r="L8" s="10">
        <f t="shared" si="19"/>
        <v>33</v>
      </c>
      <c r="M8" s="226">
        <f t="shared" si="19"/>
        <v>6</v>
      </c>
      <c r="N8" s="10">
        <f t="shared" si="19"/>
        <v>27</v>
      </c>
      <c r="O8" s="10">
        <f t="shared" si="19"/>
        <v>21</v>
      </c>
      <c r="P8" s="226">
        <f t="shared" si="19"/>
        <v>21</v>
      </c>
      <c r="Q8" s="448">
        <f t="shared" si="19"/>
        <v>22</v>
      </c>
      <c r="R8" s="10">
        <f t="shared" si="19"/>
        <v>24.199999999999989</v>
      </c>
      <c r="S8" s="226">
        <f t="shared" si="19"/>
        <v>16.5</v>
      </c>
      <c r="T8" s="10">
        <f t="shared" si="19"/>
        <v>7.1999999999999886</v>
      </c>
      <c r="U8" s="10">
        <f t="shared" si="19"/>
        <v>21</v>
      </c>
      <c r="V8" s="640">
        <f>V7-V6</f>
        <v>3.5999999999999659</v>
      </c>
      <c r="W8" s="640"/>
      <c r="X8" s="10">
        <f t="shared" si="19"/>
        <v>1.8000000000000114</v>
      </c>
      <c r="Y8" s="10">
        <f t="shared" si="19"/>
        <v>0</v>
      </c>
      <c r="Z8" s="226">
        <f t="shared" si="19"/>
        <v>0</v>
      </c>
      <c r="AA8" s="10">
        <f t="shared" si="19"/>
        <v>0</v>
      </c>
      <c r="AB8" s="448">
        <f t="shared" si="19"/>
        <v>0</v>
      </c>
      <c r="AC8" s="226">
        <f t="shared" si="19"/>
        <v>0</v>
      </c>
      <c r="AD8" s="10">
        <f t="shared" si="19"/>
        <v>0</v>
      </c>
      <c r="AE8" s="10">
        <f t="shared" si="19"/>
        <v>0</v>
      </c>
      <c r="AF8" s="226">
        <f t="shared" si="19"/>
        <v>0</v>
      </c>
      <c r="AG8" s="10">
        <f t="shared" si="19"/>
        <v>11.649999999999977</v>
      </c>
      <c r="AH8" s="10">
        <f t="shared" si="19"/>
        <v>12</v>
      </c>
      <c r="AI8" s="226">
        <f t="shared" si="19"/>
        <v>0.85000000000002274</v>
      </c>
      <c r="AJ8" s="10">
        <f t="shared" si="19"/>
        <v>0</v>
      </c>
      <c r="AK8" s="12"/>
      <c r="AL8" s="566"/>
      <c r="AM8" s="566"/>
      <c r="AN8" s="566"/>
      <c r="AO8" s="637"/>
      <c r="AP8" s="563"/>
      <c r="AQ8" s="637"/>
      <c r="AR8" s="643"/>
    </row>
    <row r="9" spans="1:44" ht="15" thickBot="1">
      <c r="D9" s="106" t="s">
        <v>498</v>
      </c>
      <c r="E9" s="227">
        <f t="shared" ref="E9:AJ9" si="20">E5+E8</f>
        <v>38.899999999999977</v>
      </c>
      <c r="F9" s="11">
        <f t="shared" si="20"/>
        <v>16.400000000000006</v>
      </c>
      <c r="G9" s="416">
        <f t="shared" si="20"/>
        <v>72</v>
      </c>
      <c r="H9" s="11">
        <f t="shared" si="20"/>
        <v>21.599999999999994</v>
      </c>
      <c r="I9" s="11">
        <f t="shared" si="20"/>
        <v>0</v>
      </c>
      <c r="J9" s="11">
        <f t="shared" si="20"/>
        <v>42.149999999999991</v>
      </c>
      <c r="K9" s="11">
        <f t="shared" si="20"/>
        <v>78</v>
      </c>
      <c r="L9" s="11">
        <f t="shared" si="20"/>
        <v>63</v>
      </c>
      <c r="M9" s="11">
        <f t="shared" si="20"/>
        <v>12</v>
      </c>
      <c r="N9" s="11">
        <f t="shared" si="20"/>
        <v>45</v>
      </c>
      <c r="O9" s="11">
        <f t="shared" si="20"/>
        <v>38.999999999999972</v>
      </c>
      <c r="P9" s="11">
        <f t="shared" si="20"/>
        <v>39</v>
      </c>
      <c r="Q9" s="416">
        <f t="shared" si="20"/>
        <v>28</v>
      </c>
      <c r="R9" s="11">
        <f t="shared" si="20"/>
        <v>35</v>
      </c>
      <c r="S9" s="11">
        <f t="shared" si="20"/>
        <v>39</v>
      </c>
      <c r="T9" s="11">
        <f t="shared" si="20"/>
        <v>30</v>
      </c>
      <c r="U9" s="11">
        <f t="shared" si="20"/>
        <v>36</v>
      </c>
      <c r="V9" s="11">
        <f>V5</f>
        <v>13.850000000000023</v>
      </c>
      <c r="W9" s="11">
        <f>W5+V8</f>
        <v>4.4499999999999886</v>
      </c>
      <c r="X9" s="11">
        <f t="shared" si="20"/>
        <v>1.8000000000000114</v>
      </c>
      <c r="Y9" s="11">
        <f t="shared" si="20"/>
        <v>0</v>
      </c>
      <c r="Z9" s="11">
        <f t="shared" si="20"/>
        <v>0</v>
      </c>
      <c r="AA9" s="11">
        <f t="shared" si="20"/>
        <v>0</v>
      </c>
      <c r="AB9" s="416">
        <f t="shared" si="20"/>
        <v>0</v>
      </c>
      <c r="AC9" s="11">
        <f t="shared" si="20"/>
        <v>0</v>
      </c>
      <c r="AD9" s="11">
        <f t="shared" si="20"/>
        <v>0</v>
      </c>
      <c r="AE9" s="11">
        <f t="shared" si="20"/>
        <v>0</v>
      </c>
      <c r="AF9" s="11">
        <f t="shared" si="20"/>
        <v>0</v>
      </c>
      <c r="AG9" s="11">
        <f t="shared" si="20"/>
        <v>14.75</v>
      </c>
      <c r="AH9" s="11">
        <f t="shared" si="20"/>
        <v>16.149999999999977</v>
      </c>
      <c r="AI9" s="11">
        <f t="shared" si="20"/>
        <v>12.850000000000023</v>
      </c>
      <c r="AJ9" s="11">
        <f t="shared" si="20"/>
        <v>0</v>
      </c>
      <c r="AK9" s="12"/>
      <c r="AL9" s="17">
        <f>AL3+AL6</f>
        <v>455.5</v>
      </c>
      <c r="AM9" s="56">
        <f>AM3+AM6</f>
        <v>348.1</v>
      </c>
      <c r="AN9" s="17">
        <f>AN3+AN6</f>
        <v>698.9</v>
      </c>
      <c r="AO9" s="17">
        <f>SUM(AO3:AO8)</f>
        <v>411.75</v>
      </c>
      <c r="AP9" s="17">
        <f>SUM(AP3:AP8)</f>
        <v>43.75</v>
      </c>
      <c r="AQ9" s="17">
        <f>AQ3+AQ6</f>
        <v>237.15</v>
      </c>
      <c r="AR9" s="17">
        <f>AR3+AR6</f>
        <v>6.25</v>
      </c>
    </row>
    <row r="10" spans="1:44" ht="16.5" customHeight="1">
      <c r="B10" s="435" t="s">
        <v>1</v>
      </c>
      <c r="C10" s="436" t="s">
        <v>6</v>
      </c>
      <c r="D10" s="436" t="s">
        <v>7</v>
      </c>
      <c r="E10" s="437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9"/>
      <c r="AL10" s="440"/>
      <c r="AM10" s="441" t="s">
        <v>354</v>
      </c>
      <c r="AN10" s="442" t="s">
        <v>355</v>
      </c>
      <c r="AO10" s="441" t="s">
        <v>366</v>
      </c>
      <c r="AP10" s="443"/>
      <c r="AQ10" s="444"/>
    </row>
    <row r="11" spans="1:44" ht="15" hidden="1" customHeight="1">
      <c r="A11" t="s">
        <v>32</v>
      </c>
      <c r="B11" s="332" t="s">
        <v>36</v>
      </c>
      <c r="C11" s="333" t="s">
        <v>37</v>
      </c>
      <c r="D11" s="333" t="s">
        <v>38</v>
      </c>
      <c r="E11" s="430">
        <v>0</v>
      </c>
      <c r="F11" s="414">
        <v>0</v>
      </c>
      <c r="G11" s="446">
        <v>0</v>
      </c>
      <c r="H11" s="414">
        <f>H9</f>
        <v>21.599999999999994</v>
      </c>
      <c r="I11" s="414">
        <f t="shared" ref="I11:O11" si="21">I9</f>
        <v>0</v>
      </c>
      <c r="J11" s="414">
        <f t="shared" si="21"/>
        <v>42.149999999999991</v>
      </c>
      <c r="K11" s="414">
        <f t="shared" si="21"/>
        <v>78</v>
      </c>
      <c r="L11" s="414">
        <f t="shared" si="21"/>
        <v>63</v>
      </c>
      <c r="M11" s="414">
        <f t="shared" si="21"/>
        <v>12</v>
      </c>
      <c r="N11" s="414">
        <f t="shared" si="21"/>
        <v>45</v>
      </c>
      <c r="O11" s="414">
        <f t="shared" si="21"/>
        <v>38.999999999999972</v>
      </c>
      <c r="P11" s="414">
        <f>P9</f>
        <v>39</v>
      </c>
      <c r="Q11" s="446">
        <v>0</v>
      </c>
      <c r="R11" s="449">
        <v>0</v>
      </c>
      <c r="S11" s="414">
        <v>0</v>
      </c>
      <c r="T11" s="414">
        <v>0</v>
      </c>
      <c r="U11" s="414">
        <v>0</v>
      </c>
      <c r="V11" s="414">
        <v>0</v>
      </c>
      <c r="W11" s="414">
        <v>0</v>
      </c>
      <c r="X11" s="414">
        <v>0</v>
      </c>
      <c r="Y11" s="414">
        <v>0</v>
      </c>
      <c r="Z11" s="414">
        <v>0</v>
      </c>
      <c r="AA11" s="414">
        <v>0</v>
      </c>
      <c r="AB11" s="446">
        <v>0</v>
      </c>
      <c r="AC11" s="449">
        <v>0</v>
      </c>
      <c r="AD11" s="414">
        <v>0</v>
      </c>
      <c r="AE11" s="414">
        <v>0</v>
      </c>
      <c r="AF11" s="414">
        <v>0</v>
      </c>
      <c r="AG11" s="449">
        <f>AG9</f>
        <v>14.75</v>
      </c>
      <c r="AH11" s="449">
        <f t="shared" ref="AH11:AJ11" si="22">AH9</f>
        <v>16.149999999999977</v>
      </c>
      <c r="AI11" s="449">
        <f t="shared" si="22"/>
        <v>12.850000000000023</v>
      </c>
      <c r="AJ11" s="459">
        <f t="shared" si="22"/>
        <v>0</v>
      </c>
      <c r="AK11" s="12"/>
      <c r="AL11" s="432">
        <f>SUM(E11:AJ11)</f>
        <v>383.5</v>
      </c>
      <c r="AM11" s="432">
        <f>SUM(E11:V11,AJ11)</f>
        <v>339.75</v>
      </c>
      <c r="AN11" s="432">
        <f>SUM(W11:AI11)</f>
        <v>43.75</v>
      </c>
      <c r="AO11" s="433"/>
      <c r="AP11" s="432">
        <f>AM11+AN11+AO11</f>
        <v>383.5</v>
      </c>
      <c r="AQ11" s="434" t="str">
        <f t="shared" ref="AQ11:AQ75" si="23">IF(AP11=AL11,"V","F")</f>
        <v>V</v>
      </c>
    </row>
    <row r="12" spans="1:44" ht="15" hidden="1" customHeight="1">
      <c r="A12" t="s">
        <v>32</v>
      </c>
      <c r="B12" s="54" t="s">
        <v>41</v>
      </c>
      <c r="C12" s="43" t="s">
        <v>42</v>
      </c>
      <c r="D12" s="43" t="s">
        <v>38</v>
      </c>
      <c r="E12" s="430">
        <v>0</v>
      </c>
      <c r="F12" s="414">
        <v>0</v>
      </c>
      <c r="G12" s="447">
        <v>0</v>
      </c>
      <c r="H12" s="414">
        <v>0</v>
      </c>
      <c r="I12" s="414">
        <v>0</v>
      </c>
      <c r="J12" s="414">
        <v>0</v>
      </c>
      <c r="K12" s="414">
        <v>0</v>
      </c>
      <c r="L12" s="414">
        <v>0</v>
      </c>
      <c r="M12" s="414">
        <v>0</v>
      </c>
      <c r="N12" s="414">
        <v>0</v>
      </c>
      <c r="O12" s="414">
        <v>0</v>
      </c>
      <c r="P12" s="414">
        <v>0</v>
      </c>
      <c r="Q12" s="447">
        <v>0</v>
      </c>
      <c r="R12" s="414">
        <v>0</v>
      </c>
      <c r="S12" s="414">
        <v>0</v>
      </c>
      <c r="T12" s="414">
        <v>0</v>
      </c>
      <c r="U12" s="414">
        <v>0</v>
      </c>
      <c r="V12" s="414">
        <v>0</v>
      </c>
      <c r="W12" s="414">
        <v>0</v>
      </c>
      <c r="X12" s="414">
        <v>0</v>
      </c>
      <c r="Y12" s="414">
        <v>0</v>
      </c>
      <c r="Z12" s="414">
        <v>0</v>
      </c>
      <c r="AA12" s="414">
        <v>0</v>
      </c>
      <c r="AB12" s="447">
        <v>0</v>
      </c>
      <c r="AC12" s="414">
        <v>0</v>
      </c>
      <c r="AD12" s="414">
        <v>0</v>
      </c>
      <c r="AE12" s="414">
        <v>0</v>
      </c>
      <c r="AF12" s="414">
        <v>0</v>
      </c>
      <c r="AG12" s="414">
        <v>0</v>
      </c>
      <c r="AH12" s="414">
        <v>0</v>
      </c>
      <c r="AI12" s="414">
        <v>0</v>
      </c>
      <c r="AJ12" s="431">
        <v>0</v>
      </c>
      <c r="AK12" s="12"/>
      <c r="AL12" s="174">
        <f>SUM(E12:AJ12)</f>
        <v>0</v>
      </c>
      <c r="AM12" s="432">
        <f t="shared" ref="AM12:AM75" si="24">SUM(E12:V12,AJ12)</f>
        <v>0</v>
      </c>
      <c r="AN12" s="432">
        <f>SUM(W12:AI12)</f>
        <v>0</v>
      </c>
      <c r="AO12" s="175"/>
      <c r="AP12" s="174">
        <f t="shared" ref="AP12:AP76" si="25">AM12+AN12+AO12</f>
        <v>0</v>
      </c>
      <c r="AQ12" s="171" t="str">
        <f t="shared" si="23"/>
        <v>V</v>
      </c>
    </row>
    <row r="13" spans="1:44" ht="15" hidden="1" customHeight="1">
      <c r="A13" t="s">
        <v>32</v>
      </c>
      <c r="B13" s="54" t="s">
        <v>321</v>
      </c>
      <c r="C13" s="43" t="s">
        <v>322</v>
      </c>
      <c r="D13" s="43" t="s">
        <v>110</v>
      </c>
      <c r="E13" s="430">
        <v>0</v>
      </c>
      <c r="F13" s="414">
        <v>0</v>
      </c>
      <c r="G13" s="447">
        <v>0</v>
      </c>
      <c r="H13" s="414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0</v>
      </c>
      <c r="N13" s="414">
        <v>0</v>
      </c>
      <c r="O13" s="414">
        <v>0</v>
      </c>
      <c r="P13" s="414">
        <v>0</v>
      </c>
      <c r="Q13" s="447">
        <v>0</v>
      </c>
      <c r="R13" s="414">
        <v>0</v>
      </c>
      <c r="S13" s="414">
        <v>0</v>
      </c>
      <c r="T13" s="414">
        <v>0</v>
      </c>
      <c r="U13" s="414">
        <v>0</v>
      </c>
      <c r="V13" s="414">
        <v>0</v>
      </c>
      <c r="W13" s="414">
        <v>0</v>
      </c>
      <c r="X13" s="414">
        <v>0</v>
      </c>
      <c r="Y13" s="414">
        <v>0</v>
      </c>
      <c r="Z13" s="414">
        <v>0</v>
      </c>
      <c r="AA13" s="414">
        <v>0</v>
      </c>
      <c r="AB13" s="447">
        <v>0</v>
      </c>
      <c r="AC13" s="414">
        <v>0</v>
      </c>
      <c r="AD13" s="414">
        <v>0</v>
      </c>
      <c r="AE13" s="414">
        <v>0</v>
      </c>
      <c r="AF13" s="414">
        <v>0</v>
      </c>
      <c r="AG13" s="414">
        <v>0</v>
      </c>
      <c r="AH13" s="414">
        <v>0</v>
      </c>
      <c r="AI13" s="414">
        <v>0</v>
      </c>
      <c r="AJ13" s="431">
        <v>0</v>
      </c>
      <c r="AK13" s="12"/>
      <c r="AL13" s="174">
        <f t="shared" ref="AL13:AL76" si="26">SUM(E13:AJ13)</f>
        <v>0</v>
      </c>
      <c r="AM13" s="432">
        <f t="shared" si="24"/>
        <v>0</v>
      </c>
      <c r="AN13" s="432">
        <f>SUM(W13:AI13)</f>
        <v>0</v>
      </c>
      <c r="AO13" s="175"/>
      <c r="AP13" s="174">
        <f t="shared" si="25"/>
        <v>0</v>
      </c>
      <c r="AQ13" s="171" t="str">
        <f t="shared" si="23"/>
        <v>V</v>
      </c>
    </row>
    <row r="14" spans="1:44" ht="15" hidden="1" customHeight="1">
      <c r="A14" t="s">
        <v>32</v>
      </c>
      <c r="B14" s="54" t="s">
        <v>44</v>
      </c>
      <c r="C14" s="43" t="s">
        <v>45</v>
      </c>
      <c r="D14" s="43" t="s">
        <v>38</v>
      </c>
      <c r="E14" s="430">
        <v>0</v>
      </c>
      <c r="F14" s="414">
        <v>0</v>
      </c>
      <c r="G14" s="447">
        <v>0</v>
      </c>
      <c r="H14" s="414">
        <v>0</v>
      </c>
      <c r="I14" s="414">
        <v>0</v>
      </c>
      <c r="J14" s="414">
        <v>0</v>
      </c>
      <c r="K14" s="414">
        <f>K9</f>
        <v>78</v>
      </c>
      <c r="L14" s="414">
        <f t="shared" ref="L14:P14" si="27">L9</f>
        <v>63</v>
      </c>
      <c r="M14" s="414">
        <f t="shared" si="27"/>
        <v>12</v>
      </c>
      <c r="N14" s="414">
        <f t="shared" si="27"/>
        <v>45</v>
      </c>
      <c r="O14" s="414">
        <f t="shared" si="27"/>
        <v>38.999999999999972</v>
      </c>
      <c r="P14" s="414">
        <f t="shared" si="27"/>
        <v>39</v>
      </c>
      <c r="Q14" s="447">
        <v>0</v>
      </c>
      <c r="R14" s="414">
        <v>0</v>
      </c>
      <c r="S14" s="414">
        <v>0</v>
      </c>
      <c r="T14" s="414">
        <v>0</v>
      </c>
      <c r="U14" s="414">
        <v>0</v>
      </c>
      <c r="V14" s="414">
        <v>0</v>
      </c>
      <c r="W14" s="414">
        <v>0</v>
      </c>
      <c r="X14" s="414">
        <v>0</v>
      </c>
      <c r="Y14" s="414">
        <v>0</v>
      </c>
      <c r="Z14" s="414">
        <v>0</v>
      </c>
      <c r="AA14" s="414">
        <v>0</v>
      </c>
      <c r="AB14" s="447">
        <v>0</v>
      </c>
      <c r="AC14" s="414">
        <v>0</v>
      </c>
      <c r="AD14" s="414">
        <v>0</v>
      </c>
      <c r="AE14" s="414">
        <v>0</v>
      </c>
      <c r="AF14" s="414">
        <v>0</v>
      </c>
      <c r="AG14" s="414">
        <f>AG9</f>
        <v>14.75</v>
      </c>
      <c r="AH14" s="414">
        <f t="shared" ref="AH14:AJ14" si="28">AH9</f>
        <v>16.149999999999977</v>
      </c>
      <c r="AI14" s="414">
        <f t="shared" si="28"/>
        <v>12.850000000000023</v>
      </c>
      <c r="AJ14" s="431">
        <f t="shared" si="28"/>
        <v>0</v>
      </c>
      <c r="AK14" s="12"/>
      <c r="AL14" s="174">
        <f t="shared" si="26"/>
        <v>319.75</v>
      </c>
      <c r="AM14" s="432">
        <f t="shared" si="24"/>
        <v>276</v>
      </c>
      <c r="AN14" s="432">
        <f t="shared" ref="AN14:AN75" si="29">SUM(W14:AI14)</f>
        <v>43.75</v>
      </c>
      <c r="AO14" s="175"/>
      <c r="AP14" s="174">
        <f t="shared" si="25"/>
        <v>319.75</v>
      </c>
      <c r="AQ14" s="171" t="str">
        <f t="shared" si="23"/>
        <v>V</v>
      </c>
    </row>
    <row r="15" spans="1:44" ht="15" hidden="1" customHeight="1">
      <c r="A15" t="s">
        <v>32</v>
      </c>
      <c r="B15" s="54" t="s">
        <v>108</v>
      </c>
      <c r="C15" s="43" t="s">
        <v>109</v>
      </c>
      <c r="D15" s="43" t="s">
        <v>110</v>
      </c>
      <c r="E15" s="430">
        <v>0</v>
      </c>
      <c r="F15" s="414">
        <v>0</v>
      </c>
      <c r="G15" s="447">
        <v>0</v>
      </c>
      <c r="H15" s="414">
        <v>0</v>
      </c>
      <c r="I15" s="414">
        <v>0</v>
      </c>
      <c r="J15" s="414">
        <v>0</v>
      </c>
      <c r="K15" s="414">
        <v>0</v>
      </c>
      <c r="L15" s="414">
        <v>0</v>
      </c>
      <c r="M15" s="414">
        <v>0</v>
      </c>
      <c r="N15" s="414">
        <v>0</v>
      </c>
      <c r="O15" s="414">
        <v>0</v>
      </c>
      <c r="P15" s="414">
        <v>0</v>
      </c>
      <c r="Q15" s="447">
        <v>0</v>
      </c>
      <c r="R15" s="414">
        <v>0</v>
      </c>
      <c r="S15" s="414">
        <v>0</v>
      </c>
      <c r="T15" s="414">
        <v>0</v>
      </c>
      <c r="U15" s="414">
        <v>0</v>
      </c>
      <c r="V15" s="414">
        <v>0</v>
      </c>
      <c r="W15" s="414">
        <v>0</v>
      </c>
      <c r="X15" s="414">
        <v>0</v>
      </c>
      <c r="Y15" s="414">
        <v>0</v>
      </c>
      <c r="Z15" s="414">
        <v>0</v>
      </c>
      <c r="AA15" s="414">
        <v>0</v>
      </c>
      <c r="AB15" s="447">
        <v>0</v>
      </c>
      <c r="AC15" s="414">
        <v>0</v>
      </c>
      <c r="AD15" s="414">
        <v>0</v>
      </c>
      <c r="AE15" s="414">
        <v>0</v>
      </c>
      <c r="AF15" s="414">
        <v>0</v>
      </c>
      <c r="AG15" s="414">
        <v>0</v>
      </c>
      <c r="AH15" s="414">
        <v>0</v>
      </c>
      <c r="AI15" s="414">
        <v>0</v>
      </c>
      <c r="AJ15" s="431">
        <v>0</v>
      </c>
      <c r="AK15" s="12"/>
      <c r="AL15" s="174">
        <f t="shared" si="26"/>
        <v>0</v>
      </c>
      <c r="AM15" s="432">
        <f t="shared" si="24"/>
        <v>0</v>
      </c>
      <c r="AN15" s="432">
        <f t="shared" si="29"/>
        <v>0</v>
      </c>
      <c r="AO15" s="175"/>
      <c r="AP15" s="174">
        <f t="shared" si="25"/>
        <v>0</v>
      </c>
      <c r="AQ15" s="171" t="str">
        <f t="shared" si="23"/>
        <v>V</v>
      </c>
    </row>
    <row r="16" spans="1:44" ht="15" hidden="1" customHeight="1">
      <c r="A16" t="s">
        <v>32</v>
      </c>
      <c r="B16" s="54" t="s">
        <v>47</v>
      </c>
      <c r="C16" s="43" t="s">
        <v>311</v>
      </c>
      <c r="D16" s="43" t="s">
        <v>38</v>
      </c>
      <c r="E16" s="430">
        <v>0</v>
      </c>
      <c r="F16" s="414">
        <v>0</v>
      </c>
      <c r="G16" s="447">
        <v>0</v>
      </c>
      <c r="H16" s="414">
        <v>0</v>
      </c>
      <c r="I16" s="414">
        <v>0</v>
      </c>
      <c r="J16" s="414">
        <v>0</v>
      </c>
      <c r="K16" s="414">
        <v>0</v>
      </c>
      <c r="L16" s="414">
        <v>0</v>
      </c>
      <c r="M16" s="414">
        <v>0</v>
      </c>
      <c r="N16" s="414">
        <v>0</v>
      </c>
      <c r="O16" s="414">
        <v>0</v>
      </c>
      <c r="P16" s="414">
        <v>0</v>
      </c>
      <c r="Q16" s="447">
        <v>0</v>
      </c>
      <c r="R16" s="414">
        <v>0</v>
      </c>
      <c r="S16" s="414">
        <v>0</v>
      </c>
      <c r="T16" s="414">
        <v>0</v>
      </c>
      <c r="U16" s="414">
        <v>0</v>
      </c>
      <c r="V16" s="414">
        <v>0</v>
      </c>
      <c r="W16" s="414">
        <v>0</v>
      </c>
      <c r="X16" s="414">
        <v>0</v>
      </c>
      <c r="Y16" s="414">
        <v>0</v>
      </c>
      <c r="Z16" s="414">
        <v>0</v>
      </c>
      <c r="AA16" s="414">
        <v>0</v>
      </c>
      <c r="AB16" s="447">
        <v>0</v>
      </c>
      <c r="AC16" s="414">
        <v>0</v>
      </c>
      <c r="AD16" s="414">
        <v>0</v>
      </c>
      <c r="AE16" s="414">
        <v>0</v>
      </c>
      <c r="AF16" s="414">
        <v>0</v>
      </c>
      <c r="AG16" s="414">
        <v>0</v>
      </c>
      <c r="AH16" s="414">
        <v>0</v>
      </c>
      <c r="AI16" s="414">
        <v>0</v>
      </c>
      <c r="AJ16" s="431">
        <v>0</v>
      </c>
      <c r="AK16" s="12"/>
      <c r="AL16" s="174">
        <f t="shared" si="26"/>
        <v>0</v>
      </c>
      <c r="AM16" s="432">
        <f t="shared" si="24"/>
        <v>0</v>
      </c>
      <c r="AN16" s="432">
        <f t="shared" si="29"/>
        <v>0</v>
      </c>
      <c r="AO16" s="175"/>
      <c r="AP16" s="174">
        <f t="shared" si="25"/>
        <v>0</v>
      </c>
      <c r="AQ16" s="171" t="str">
        <f t="shared" si="23"/>
        <v>V</v>
      </c>
    </row>
    <row r="17" spans="1:43" ht="15" hidden="1" customHeight="1">
      <c r="A17" t="s">
        <v>32</v>
      </c>
      <c r="B17" s="54" t="s">
        <v>331</v>
      </c>
      <c r="C17" s="43" t="s">
        <v>332</v>
      </c>
      <c r="D17" s="43" t="s">
        <v>110</v>
      </c>
      <c r="E17" s="430">
        <v>0</v>
      </c>
      <c r="F17" s="414">
        <v>0</v>
      </c>
      <c r="G17" s="447">
        <v>0</v>
      </c>
      <c r="H17" s="414">
        <v>0</v>
      </c>
      <c r="I17" s="414">
        <v>0</v>
      </c>
      <c r="J17" s="414">
        <v>0</v>
      </c>
      <c r="K17" s="414">
        <v>0</v>
      </c>
      <c r="L17" s="414">
        <v>0</v>
      </c>
      <c r="M17" s="414">
        <v>0</v>
      </c>
      <c r="N17" s="414">
        <v>0</v>
      </c>
      <c r="O17" s="414">
        <v>0</v>
      </c>
      <c r="P17" s="414">
        <v>0</v>
      </c>
      <c r="Q17" s="447">
        <v>0</v>
      </c>
      <c r="R17" s="414">
        <v>0</v>
      </c>
      <c r="S17" s="414">
        <v>0</v>
      </c>
      <c r="T17" s="414">
        <v>0</v>
      </c>
      <c r="U17" s="414">
        <v>0</v>
      </c>
      <c r="V17" s="414">
        <v>0</v>
      </c>
      <c r="W17" s="414">
        <v>0</v>
      </c>
      <c r="X17" s="414">
        <v>0</v>
      </c>
      <c r="Y17" s="414">
        <v>0</v>
      </c>
      <c r="Z17" s="414">
        <v>0</v>
      </c>
      <c r="AA17" s="414">
        <v>0</v>
      </c>
      <c r="AB17" s="447">
        <v>0</v>
      </c>
      <c r="AC17" s="414">
        <v>0</v>
      </c>
      <c r="AD17" s="414">
        <v>0</v>
      </c>
      <c r="AE17" s="414">
        <v>0</v>
      </c>
      <c r="AF17" s="414">
        <v>0</v>
      </c>
      <c r="AG17" s="414">
        <v>0</v>
      </c>
      <c r="AH17" s="414">
        <v>0</v>
      </c>
      <c r="AI17" s="414">
        <v>0</v>
      </c>
      <c r="AJ17" s="431">
        <v>0</v>
      </c>
      <c r="AK17" s="12"/>
      <c r="AL17" s="174">
        <f t="shared" si="26"/>
        <v>0</v>
      </c>
      <c r="AM17" s="432">
        <f t="shared" si="24"/>
        <v>0</v>
      </c>
      <c r="AN17" s="432">
        <f t="shared" si="29"/>
        <v>0</v>
      </c>
      <c r="AO17" s="175"/>
      <c r="AP17" s="174">
        <f t="shared" si="25"/>
        <v>0</v>
      </c>
      <c r="AQ17" s="171" t="str">
        <f t="shared" si="23"/>
        <v>V</v>
      </c>
    </row>
    <row r="18" spans="1:43" ht="15" hidden="1" customHeight="1">
      <c r="A18" t="s">
        <v>32</v>
      </c>
      <c r="B18" s="54" t="s">
        <v>50</v>
      </c>
      <c r="C18" s="43" t="s">
        <v>51</v>
      </c>
      <c r="D18" s="43" t="s">
        <v>38</v>
      </c>
      <c r="E18" s="430">
        <v>0</v>
      </c>
      <c r="F18" s="414">
        <v>0</v>
      </c>
      <c r="G18" s="447">
        <v>0</v>
      </c>
      <c r="H18" s="414">
        <v>0</v>
      </c>
      <c r="I18" s="414">
        <v>0</v>
      </c>
      <c r="J18" s="414">
        <v>0</v>
      </c>
      <c r="K18" s="414">
        <v>0</v>
      </c>
      <c r="L18" s="414">
        <v>0</v>
      </c>
      <c r="M18" s="414">
        <v>0</v>
      </c>
      <c r="N18" s="414">
        <v>0</v>
      </c>
      <c r="O18" s="414">
        <v>0</v>
      </c>
      <c r="P18" s="414">
        <v>0</v>
      </c>
      <c r="Q18" s="447">
        <v>0</v>
      </c>
      <c r="R18" s="414">
        <v>0</v>
      </c>
      <c r="S18" s="414">
        <v>0</v>
      </c>
      <c r="T18" s="414">
        <v>0</v>
      </c>
      <c r="U18" s="414">
        <v>0</v>
      </c>
      <c r="V18" s="414">
        <v>0</v>
      </c>
      <c r="W18" s="414">
        <v>0</v>
      </c>
      <c r="X18" s="414">
        <v>0</v>
      </c>
      <c r="Y18" s="414">
        <v>0</v>
      </c>
      <c r="Z18" s="414">
        <v>0</v>
      </c>
      <c r="AA18" s="414">
        <v>0</v>
      </c>
      <c r="AB18" s="447">
        <v>0</v>
      </c>
      <c r="AC18" s="414">
        <v>0</v>
      </c>
      <c r="AD18" s="414">
        <v>0</v>
      </c>
      <c r="AE18" s="414">
        <v>0</v>
      </c>
      <c r="AF18" s="414">
        <v>0</v>
      </c>
      <c r="AG18" s="414">
        <v>0</v>
      </c>
      <c r="AH18" s="414">
        <v>0</v>
      </c>
      <c r="AI18" s="414">
        <v>0</v>
      </c>
      <c r="AJ18" s="431">
        <v>0</v>
      </c>
      <c r="AK18" s="12"/>
      <c r="AL18" s="174">
        <f t="shared" si="26"/>
        <v>0</v>
      </c>
      <c r="AM18" s="432">
        <f t="shared" si="24"/>
        <v>0</v>
      </c>
      <c r="AN18" s="432">
        <f t="shared" si="29"/>
        <v>0</v>
      </c>
      <c r="AO18" s="175"/>
      <c r="AP18" s="174">
        <f t="shared" si="25"/>
        <v>0</v>
      </c>
      <c r="AQ18" s="171" t="str">
        <f t="shared" si="23"/>
        <v>V</v>
      </c>
    </row>
    <row r="19" spans="1:43" ht="15" hidden="1" customHeight="1">
      <c r="A19" t="s">
        <v>32</v>
      </c>
      <c r="B19" s="54" t="s">
        <v>336</v>
      </c>
      <c r="C19" s="43" t="s">
        <v>337</v>
      </c>
      <c r="D19" s="43" t="s">
        <v>110</v>
      </c>
      <c r="E19" s="430">
        <v>0</v>
      </c>
      <c r="F19" s="414">
        <v>0</v>
      </c>
      <c r="G19" s="447">
        <v>0</v>
      </c>
      <c r="H19" s="414">
        <v>0</v>
      </c>
      <c r="I19" s="414">
        <v>0</v>
      </c>
      <c r="J19" s="414">
        <v>0</v>
      </c>
      <c r="K19" s="414">
        <v>0</v>
      </c>
      <c r="L19" s="414">
        <v>0</v>
      </c>
      <c r="M19" s="414">
        <v>0</v>
      </c>
      <c r="N19" s="414">
        <v>0</v>
      </c>
      <c r="O19" s="414">
        <v>0</v>
      </c>
      <c r="P19" s="414">
        <v>0</v>
      </c>
      <c r="Q19" s="447">
        <v>0</v>
      </c>
      <c r="R19" s="414">
        <v>0</v>
      </c>
      <c r="S19" s="414">
        <v>0</v>
      </c>
      <c r="T19" s="414">
        <v>0</v>
      </c>
      <c r="U19" s="414">
        <v>0</v>
      </c>
      <c r="V19" s="414">
        <v>0</v>
      </c>
      <c r="W19" s="414">
        <v>0</v>
      </c>
      <c r="X19" s="414">
        <v>0</v>
      </c>
      <c r="Y19" s="414">
        <v>0</v>
      </c>
      <c r="Z19" s="414">
        <v>0</v>
      </c>
      <c r="AA19" s="414">
        <v>0</v>
      </c>
      <c r="AB19" s="447">
        <v>0</v>
      </c>
      <c r="AC19" s="414">
        <v>0</v>
      </c>
      <c r="AD19" s="414">
        <v>0</v>
      </c>
      <c r="AE19" s="414">
        <v>0</v>
      </c>
      <c r="AF19" s="414">
        <v>0</v>
      </c>
      <c r="AG19" s="414">
        <v>0</v>
      </c>
      <c r="AH19" s="414">
        <v>0</v>
      </c>
      <c r="AI19" s="414">
        <v>0</v>
      </c>
      <c r="AJ19" s="431">
        <v>0</v>
      </c>
      <c r="AK19" s="12"/>
      <c r="AL19" s="174">
        <f t="shared" si="26"/>
        <v>0</v>
      </c>
      <c r="AM19" s="432">
        <f t="shared" si="24"/>
        <v>0</v>
      </c>
      <c r="AN19" s="432">
        <f t="shared" si="29"/>
        <v>0</v>
      </c>
      <c r="AO19" s="175"/>
      <c r="AP19" s="174">
        <f t="shared" si="25"/>
        <v>0</v>
      </c>
      <c r="AQ19" s="171" t="str">
        <f t="shared" si="23"/>
        <v>V</v>
      </c>
    </row>
    <row r="20" spans="1:43" ht="15" hidden="1" customHeight="1">
      <c r="A20" t="s">
        <v>32</v>
      </c>
      <c r="B20" s="54" t="s">
        <v>112</v>
      </c>
      <c r="C20" s="43" t="s">
        <v>113</v>
      </c>
      <c r="D20" s="43" t="s">
        <v>110</v>
      </c>
      <c r="E20" s="430">
        <v>0</v>
      </c>
      <c r="F20" s="414">
        <v>0</v>
      </c>
      <c r="G20" s="447">
        <v>0</v>
      </c>
      <c r="H20" s="414">
        <v>0</v>
      </c>
      <c r="I20" s="414">
        <v>0</v>
      </c>
      <c r="J20" s="414">
        <v>0</v>
      </c>
      <c r="K20" s="414">
        <v>0</v>
      </c>
      <c r="L20" s="414">
        <v>0</v>
      </c>
      <c r="M20" s="414">
        <v>0</v>
      </c>
      <c r="N20" s="414">
        <v>0</v>
      </c>
      <c r="O20" s="414">
        <v>0</v>
      </c>
      <c r="P20" s="414">
        <v>0</v>
      </c>
      <c r="Q20" s="447">
        <v>0</v>
      </c>
      <c r="R20" s="414">
        <v>0</v>
      </c>
      <c r="S20" s="414">
        <v>0</v>
      </c>
      <c r="T20" s="414">
        <v>0</v>
      </c>
      <c r="U20" s="414">
        <v>0</v>
      </c>
      <c r="V20" s="414">
        <v>0</v>
      </c>
      <c r="W20" s="414">
        <v>0</v>
      </c>
      <c r="X20" s="414">
        <v>0</v>
      </c>
      <c r="Y20" s="414">
        <v>0</v>
      </c>
      <c r="Z20" s="414">
        <v>0</v>
      </c>
      <c r="AA20" s="414">
        <v>0</v>
      </c>
      <c r="AB20" s="447">
        <v>0</v>
      </c>
      <c r="AC20" s="414">
        <v>0</v>
      </c>
      <c r="AD20" s="414">
        <v>0</v>
      </c>
      <c r="AE20" s="414">
        <v>0</v>
      </c>
      <c r="AF20" s="414">
        <v>0</v>
      </c>
      <c r="AG20" s="414">
        <v>0</v>
      </c>
      <c r="AH20" s="414">
        <v>0</v>
      </c>
      <c r="AI20" s="414">
        <v>0</v>
      </c>
      <c r="AJ20" s="431">
        <v>0</v>
      </c>
      <c r="AK20" s="12"/>
      <c r="AL20" s="174">
        <f t="shared" si="26"/>
        <v>0</v>
      </c>
      <c r="AM20" s="432">
        <f t="shared" si="24"/>
        <v>0</v>
      </c>
      <c r="AN20" s="432">
        <f t="shared" si="29"/>
        <v>0</v>
      </c>
      <c r="AO20" s="175"/>
      <c r="AP20" s="174">
        <f t="shared" si="25"/>
        <v>0</v>
      </c>
      <c r="AQ20" s="171" t="str">
        <f t="shared" si="23"/>
        <v>V</v>
      </c>
    </row>
    <row r="21" spans="1:43" ht="15" hidden="1" customHeight="1">
      <c r="A21" t="s">
        <v>32</v>
      </c>
      <c r="B21" s="54" t="s">
        <v>114</v>
      </c>
      <c r="C21" s="43" t="s">
        <v>115</v>
      </c>
      <c r="D21" s="43" t="s">
        <v>110</v>
      </c>
      <c r="E21" s="430">
        <v>0</v>
      </c>
      <c r="F21" s="414">
        <v>0</v>
      </c>
      <c r="G21" s="447">
        <v>0</v>
      </c>
      <c r="H21" s="414">
        <f>H9</f>
        <v>21.599999999999994</v>
      </c>
      <c r="I21" s="414">
        <f t="shared" ref="I21:P21" si="30">I9</f>
        <v>0</v>
      </c>
      <c r="J21" s="414">
        <f t="shared" si="30"/>
        <v>42.149999999999991</v>
      </c>
      <c r="K21" s="414">
        <f t="shared" si="30"/>
        <v>78</v>
      </c>
      <c r="L21" s="414">
        <f t="shared" si="30"/>
        <v>63</v>
      </c>
      <c r="M21" s="414">
        <f t="shared" si="30"/>
        <v>12</v>
      </c>
      <c r="N21" s="414">
        <f t="shared" si="30"/>
        <v>45</v>
      </c>
      <c r="O21" s="414">
        <f t="shared" si="30"/>
        <v>38.999999999999972</v>
      </c>
      <c r="P21" s="414">
        <f t="shared" si="30"/>
        <v>39</v>
      </c>
      <c r="Q21" s="447">
        <v>0</v>
      </c>
      <c r="R21" s="414">
        <v>0</v>
      </c>
      <c r="S21" s="414">
        <v>0</v>
      </c>
      <c r="T21" s="414">
        <v>0</v>
      </c>
      <c r="U21" s="414">
        <v>0</v>
      </c>
      <c r="V21" s="414">
        <v>0</v>
      </c>
      <c r="W21" s="414">
        <v>0</v>
      </c>
      <c r="X21" s="414">
        <v>0</v>
      </c>
      <c r="Y21" s="414">
        <v>0</v>
      </c>
      <c r="Z21" s="414">
        <v>0</v>
      </c>
      <c r="AA21" s="414">
        <v>0</v>
      </c>
      <c r="AB21" s="447">
        <v>0</v>
      </c>
      <c r="AC21" s="414">
        <v>0</v>
      </c>
      <c r="AD21" s="414">
        <v>0</v>
      </c>
      <c r="AE21" s="414">
        <v>0</v>
      </c>
      <c r="AF21" s="414">
        <v>0</v>
      </c>
      <c r="AG21" s="414">
        <v>0</v>
      </c>
      <c r="AH21" s="414">
        <v>0</v>
      </c>
      <c r="AI21" s="414">
        <v>0</v>
      </c>
      <c r="AJ21" s="431">
        <v>0</v>
      </c>
      <c r="AK21" s="12"/>
      <c r="AL21" s="174">
        <f t="shared" si="26"/>
        <v>339.75</v>
      </c>
      <c r="AM21" s="432">
        <f t="shared" si="24"/>
        <v>339.75</v>
      </c>
      <c r="AN21" s="432">
        <f t="shared" si="29"/>
        <v>0</v>
      </c>
      <c r="AO21" s="175"/>
      <c r="AP21" s="174">
        <f t="shared" si="25"/>
        <v>339.75</v>
      </c>
      <c r="AQ21" s="171" t="str">
        <f t="shared" si="23"/>
        <v>V</v>
      </c>
    </row>
    <row r="22" spans="1:43" ht="15" hidden="1" customHeight="1">
      <c r="A22" t="s">
        <v>32</v>
      </c>
      <c r="B22" s="54" t="s">
        <v>53</v>
      </c>
      <c r="C22" s="43" t="s">
        <v>54</v>
      </c>
      <c r="D22" s="43" t="s">
        <v>38</v>
      </c>
      <c r="E22" s="430">
        <v>0</v>
      </c>
      <c r="F22" s="414">
        <v>0</v>
      </c>
      <c r="G22" s="321">
        <f>G9</f>
        <v>72</v>
      </c>
      <c r="H22" s="225">
        <f t="shared" ref="H22:P22" si="31">H9</f>
        <v>21.599999999999994</v>
      </c>
      <c r="I22" s="225">
        <f t="shared" si="31"/>
        <v>0</v>
      </c>
      <c r="J22" s="225">
        <f t="shared" si="31"/>
        <v>42.149999999999991</v>
      </c>
      <c r="K22" s="225">
        <f t="shared" si="31"/>
        <v>78</v>
      </c>
      <c r="L22" s="225">
        <f t="shared" si="31"/>
        <v>63</v>
      </c>
      <c r="M22" s="225">
        <f t="shared" si="31"/>
        <v>12</v>
      </c>
      <c r="N22" s="225">
        <f t="shared" si="31"/>
        <v>45</v>
      </c>
      <c r="O22" s="225">
        <f t="shared" si="31"/>
        <v>38.999999999999972</v>
      </c>
      <c r="P22" s="15">
        <f t="shared" si="31"/>
        <v>39</v>
      </c>
      <c r="Q22" s="447">
        <v>0</v>
      </c>
      <c r="R22" s="414">
        <v>0</v>
      </c>
      <c r="S22" s="414">
        <v>0</v>
      </c>
      <c r="T22" s="414">
        <v>0</v>
      </c>
      <c r="U22" s="414">
        <v>0</v>
      </c>
      <c r="V22" s="414">
        <v>0</v>
      </c>
      <c r="W22" s="414">
        <v>0</v>
      </c>
      <c r="X22" s="414">
        <v>0</v>
      </c>
      <c r="Y22" s="414">
        <v>0</v>
      </c>
      <c r="Z22" s="414">
        <v>0</v>
      </c>
      <c r="AA22" s="414">
        <v>0</v>
      </c>
      <c r="AB22" s="447">
        <v>0</v>
      </c>
      <c r="AC22" s="414">
        <v>0</v>
      </c>
      <c r="AD22" s="414">
        <v>0</v>
      </c>
      <c r="AE22" s="414">
        <v>0</v>
      </c>
      <c r="AF22" s="414">
        <v>0</v>
      </c>
      <c r="AG22" s="414">
        <v>0</v>
      </c>
      <c r="AH22" s="414">
        <v>0</v>
      </c>
      <c r="AI22" s="414">
        <v>0</v>
      </c>
      <c r="AJ22" s="431">
        <v>0</v>
      </c>
      <c r="AK22" s="12"/>
      <c r="AL22" s="174">
        <f t="shared" si="26"/>
        <v>411.75</v>
      </c>
      <c r="AM22" s="432">
        <f t="shared" si="24"/>
        <v>411.75</v>
      </c>
      <c r="AN22" s="432">
        <f t="shared" si="29"/>
        <v>0</v>
      </c>
      <c r="AO22" s="175"/>
      <c r="AP22" s="174">
        <f t="shared" si="25"/>
        <v>411.75</v>
      </c>
      <c r="AQ22" s="171" t="str">
        <f t="shared" si="23"/>
        <v>V</v>
      </c>
    </row>
    <row r="23" spans="1:43" ht="15" hidden="1" customHeight="1">
      <c r="A23" t="s">
        <v>32</v>
      </c>
      <c r="B23" s="54" t="s">
        <v>55</v>
      </c>
      <c r="C23" s="43" t="s">
        <v>56</v>
      </c>
      <c r="D23" s="43" t="s">
        <v>38</v>
      </c>
      <c r="E23" s="430">
        <v>0</v>
      </c>
      <c r="F23" s="414">
        <v>0</v>
      </c>
      <c r="G23" s="447">
        <v>0</v>
      </c>
      <c r="H23" s="414">
        <v>0</v>
      </c>
      <c r="I23" s="414">
        <v>0</v>
      </c>
      <c r="J23" s="414">
        <v>0</v>
      </c>
      <c r="K23" s="414">
        <v>0</v>
      </c>
      <c r="L23" s="414">
        <v>0</v>
      </c>
      <c r="M23" s="414">
        <v>0</v>
      </c>
      <c r="N23" s="414">
        <v>0</v>
      </c>
      <c r="O23" s="414">
        <v>0</v>
      </c>
      <c r="P23" s="415">
        <v>0</v>
      </c>
      <c r="Q23" s="447">
        <v>0</v>
      </c>
      <c r="R23" s="414">
        <v>0</v>
      </c>
      <c r="S23" s="414">
        <v>0</v>
      </c>
      <c r="T23" s="414">
        <v>0</v>
      </c>
      <c r="U23" s="414">
        <v>0</v>
      </c>
      <c r="V23" s="414">
        <v>0</v>
      </c>
      <c r="W23" s="414">
        <v>0</v>
      </c>
      <c r="X23" s="414">
        <v>0</v>
      </c>
      <c r="Y23" s="414">
        <v>0</v>
      </c>
      <c r="Z23" s="414">
        <v>0</v>
      </c>
      <c r="AA23" s="414">
        <v>0</v>
      </c>
      <c r="AB23" s="447">
        <v>0</v>
      </c>
      <c r="AC23" s="414">
        <v>0</v>
      </c>
      <c r="AD23" s="414">
        <v>0</v>
      </c>
      <c r="AE23" s="414">
        <v>0</v>
      </c>
      <c r="AF23" s="414">
        <v>0</v>
      </c>
      <c r="AG23" s="414">
        <v>0</v>
      </c>
      <c r="AH23" s="414">
        <v>0</v>
      </c>
      <c r="AI23" s="414">
        <v>0</v>
      </c>
      <c r="AJ23" s="431">
        <v>0</v>
      </c>
      <c r="AK23" s="12"/>
      <c r="AL23" s="174">
        <f t="shared" si="26"/>
        <v>0</v>
      </c>
      <c r="AM23" s="432">
        <f t="shared" si="24"/>
        <v>0</v>
      </c>
      <c r="AN23" s="432">
        <f t="shared" si="29"/>
        <v>0</v>
      </c>
      <c r="AO23" s="175"/>
      <c r="AP23" s="174">
        <f t="shared" si="25"/>
        <v>0</v>
      </c>
      <c r="AQ23" s="171" t="str">
        <f t="shared" si="23"/>
        <v>V</v>
      </c>
    </row>
    <row r="24" spans="1:43" ht="15" hidden="1" customHeight="1">
      <c r="A24" t="s">
        <v>32</v>
      </c>
      <c r="B24" s="54" t="s">
        <v>338</v>
      </c>
      <c r="C24" s="43" t="s">
        <v>339</v>
      </c>
      <c r="D24" s="43" t="s">
        <v>38</v>
      </c>
      <c r="E24" s="430">
        <v>0</v>
      </c>
      <c r="F24" s="414">
        <v>0</v>
      </c>
      <c r="G24" s="447">
        <v>0</v>
      </c>
      <c r="H24" s="414">
        <v>0</v>
      </c>
      <c r="I24" s="414">
        <v>0</v>
      </c>
      <c r="J24" s="414">
        <v>0</v>
      </c>
      <c r="K24" s="414">
        <v>0</v>
      </c>
      <c r="L24" s="414">
        <v>0</v>
      </c>
      <c r="M24" s="414">
        <v>0</v>
      </c>
      <c r="N24" s="414">
        <v>0</v>
      </c>
      <c r="O24" s="414">
        <v>0</v>
      </c>
      <c r="P24" s="415">
        <v>0</v>
      </c>
      <c r="Q24" s="447">
        <v>0</v>
      </c>
      <c r="R24" s="414">
        <v>0</v>
      </c>
      <c r="S24" s="414">
        <v>0</v>
      </c>
      <c r="T24" s="414">
        <v>0</v>
      </c>
      <c r="U24" s="414">
        <v>0</v>
      </c>
      <c r="V24" s="414">
        <v>0</v>
      </c>
      <c r="W24" s="414">
        <v>0</v>
      </c>
      <c r="X24" s="414">
        <v>0</v>
      </c>
      <c r="Y24" s="414">
        <v>0</v>
      </c>
      <c r="Z24" s="414">
        <v>0</v>
      </c>
      <c r="AA24" s="414">
        <v>0</v>
      </c>
      <c r="AB24" s="447">
        <v>0</v>
      </c>
      <c r="AC24" s="414">
        <v>0</v>
      </c>
      <c r="AD24" s="414">
        <v>0</v>
      </c>
      <c r="AE24" s="414">
        <v>0</v>
      </c>
      <c r="AF24" s="414">
        <v>0</v>
      </c>
      <c r="AG24" s="414">
        <v>0</v>
      </c>
      <c r="AH24" s="414">
        <v>0</v>
      </c>
      <c r="AI24" s="414">
        <v>0</v>
      </c>
      <c r="AJ24" s="431">
        <v>0</v>
      </c>
      <c r="AK24" s="12"/>
      <c r="AL24" s="174">
        <f t="shared" si="26"/>
        <v>0</v>
      </c>
      <c r="AM24" s="432">
        <f t="shared" si="24"/>
        <v>0</v>
      </c>
      <c r="AN24" s="432">
        <f t="shared" si="29"/>
        <v>0</v>
      </c>
      <c r="AO24" s="175"/>
      <c r="AP24" s="174">
        <f t="shared" si="25"/>
        <v>0</v>
      </c>
      <c r="AQ24" s="171" t="str">
        <f t="shared" si="23"/>
        <v>V</v>
      </c>
    </row>
    <row r="25" spans="1:43" ht="15" hidden="1" customHeight="1">
      <c r="A25" t="s">
        <v>32</v>
      </c>
      <c r="B25" s="54" t="s">
        <v>59</v>
      </c>
      <c r="C25" s="43" t="s">
        <v>60</v>
      </c>
      <c r="D25" s="43" t="s">
        <v>38</v>
      </c>
      <c r="E25" s="430">
        <v>0</v>
      </c>
      <c r="F25" s="414">
        <v>0</v>
      </c>
      <c r="G25" s="447">
        <v>0</v>
      </c>
      <c r="H25" s="414">
        <v>0</v>
      </c>
      <c r="I25" s="414">
        <v>0</v>
      </c>
      <c r="J25" s="414">
        <v>0</v>
      </c>
      <c r="K25" s="414">
        <v>0</v>
      </c>
      <c r="L25" s="414">
        <v>0</v>
      </c>
      <c r="M25" s="414">
        <v>0</v>
      </c>
      <c r="N25" s="414">
        <v>0</v>
      </c>
      <c r="O25" s="414">
        <v>0</v>
      </c>
      <c r="P25" s="415">
        <v>0</v>
      </c>
      <c r="Q25" s="447">
        <v>0</v>
      </c>
      <c r="R25" s="414">
        <v>0</v>
      </c>
      <c r="S25" s="414">
        <v>0</v>
      </c>
      <c r="T25" s="414">
        <v>0</v>
      </c>
      <c r="U25" s="414">
        <v>0</v>
      </c>
      <c r="V25" s="414">
        <v>0</v>
      </c>
      <c r="W25" s="414">
        <v>0</v>
      </c>
      <c r="X25" s="414">
        <v>0</v>
      </c>
      <c r="Y25" s="414">
        <v>0</v>
      </c>
      <c r="Z25" s="414">
        <v>0</v>
      </c>
      <c r="AA25" s="414">
        <v>0</v>
      </c>
      <c r="AB25" s="447">
        <v>0</v>
      </c>
      <c r="AC25" s="414">
        <v>0</v>
      </c>
      <c r="AD25" s="414">
        <v>0</v>
      </c>
      <c r="AE25" s="414">
        <v>0</v>
      </c>
      <c r="AF25" s="414">
        <v>0</v>
      </c>
      <c r="AG25" s="414">
        <v>0</v>
      </c>
      <c r="AH25" s="414">
        <v>0</v>
      </c>
      <c r="AI25" s="414">
        <v>0</v>
      </c>
      <c r="AJ25" s="431">
        <v>0</v>
      </c>
      <c r="AK25" s="12"/>
      <c r="AL25" s="174">
        <f t="shared" si="26"/>
        <v>0</v>
      </c>
      <c r="AM25" s="432">
        <f t="shared" si="24"/>
        <v>0</v>
      </c>
      <c r="AN25" s="432">
        <f t="shared" si="29"/>
        <v>0</v>
      </c>
      <c r="AO25" s="175"/>
      <c r="AP25" s="174">
        <f t="shared" si="25"/>
        <v>0</v>
      </c>
      <c r="AQ25" s="171" t="str">
        <f t="shared" si="23"/>
        <v>V</v>
      </c>
    </row>
    <row r="26" spans="1:43" ht="15" hidden="1" customHeight="1">
      <c r="A26" t="s">
        <v>32</v>
      </c>
      <c r="B26" s="54" t="s">
        <v>116</v>
      </c>
      <c r="C26" s="43" t="s">
        <v>117</v>
      </c>
      <c r="D26" s="43" t="s">
        <v>110</v>
      </c>
      <c r="E26" s="430">
        <v>0</v>
      </c>
      <c r="F26" s="414">
        <v>0</v>
      </c>
      <c r="G26" s="447">
        <f>G9</f>
        <v>72</v>
      </c>
      <c r="H26" s="414">
        <f t="shared" ref="H26:P26" si="32">H9</f>
        <v>21.599999999999994</v>
      </c>
      <c r="I26" s="414">
        <f t="shared" si="32"/>
        <v>0</v>
      </c>
      <c r="J26" s="414">
        <f t="shared" si="32"/>
        <v>42.149999999999991</v>
      </c>
      <c r="K26" s="414">
        <f t="shared" si="32"/>
        <v>78</v>
      </c>
      <c r="L26" s="414">
        <f t="shared" si="32"/>
        <v>63</v>
      </c>
      <c r="M26" s="414">
        <f t="shared" si="32"/>
        <v>12</v>
      </c>
      <c r="N26" s="414">
        <f t="shared" si="32"/>
        <v>45</v>
      </c>
      <c r="O26" s="414">
        <f t="shared" si="32"/>
        <v>38.999999999999972</v>
      </c>
      <c r="P26" s="415">
        <f t="shared" si="32"/>
        <v>39</v>
      </c>
      <c r="Q26" s="447">
        <v>0</v>
      </c>
      <c r="R26" s="414">
        <v>0</v>
      </c>
      <c r="S26" s="414">
        <v>0</v>
      </c>
      <c r="T26" s="414">
        <v>0</v>
      </c>
      <c r="U26" s="414">
        <v>0</v>
      </c>
      <c r="V26" s="414">
        <v>0</v>
      </c>
      <c r="W26" s="414">
        <v>0</v>
      </c>
      <c r="X26" s="414">
        <v>0</v>
      </c>
      <c r="Y26" s="414">
        <v>0</v>
      </c>
      <c r="Z26" s="414">
        <v>0</v>
      </c>
      <c r="AA26" s="414">
        <v>0</v>
      </c>
      <c r="AB26" s="447">
        <v>0</v>
      </c>
      <c r="AC26" s="414">
        <v>0</v>
      </c>
      <c r="AD26" s="414">
        <v>0</v>
      </c>
      <c r="AE26" s="414">
        <v>0</v>
      </c>
      <c r="AF26" s="414">
        <v>0</v>
      </c>
      <c r="AG26" s="414">
        <f>AG9</f>
        <v>14.75</v>
      </c>
      <c r="AH26" s="414">
        <f t="shared" ref="AH26:AJ26" si="33">AH9</f>
        <v>16.149999999999977</v>
      </c>
      <c r="AI26" s="414">
        <f t="shared" si="33"/>
        <v>12.850000000000023</v>
      </c>
      <c r="AJ26" s="431">
        <f t="shared" si="33"/>
        <v>0</v>
      </c>
      <c r="AK26" s="12"/>
      <c r="AL26" s="174">
        <f t="shared" si="26"/>
        <v>455.5</v>
      </c>
      <c r="AM26" s="432">
        <f t="shared" si="24"/>
        <v>411.75</v>
      </c>
      <c r="AN26" s="432">
        <f t="shared" si="29"/>
        <v>43.75</v>
      </c>
      <c r="AO26" s="175"/>
      <c r="AP26" s="174">
        <f t="shared" si="25"/>
        <v>455.5</v>
      </c>
      <c r="AQ26" s="171" t="str">
        <f t="shared" si="23"/>
        <v>V</v>
      </c>
    </row>
    <row r="27" spans="1:43" ht="15" hidden="1" customHeight="1">
      <c r="A27" t="s">
        <v>32</v>
      </c>
      <c r="B27" s="54" t="s">
        <v>118</v>
      </c>
      <c r="C27" s="43" t="s">
        <v>119</v>
      </c>
      <c r="D27" s="43" t="s">
        <v>110</v>
      </c>
      <c r="E27" s="430">
        <v>0</v>
      </c>
      <c r="F27" s="414">
        <v>0</v>
      </c>
      <c r="G27" s="447">
        <f>G9</f>
        <v>72</v>
      </c>
      <c r="H27" s="414">
        <f t="shared" ref="H27:P27" si="34">H9</f>
        <v>21.599999999999994</v>
      </c>
      <c r="I27" s="414">
        <f t="shared" si="34"/>
        <v>0</v>
      </c>
      <c r="J27" s="414">
        <f t="shared" si="34"/>
        <v>42.149999999999991</v>
      </c>
      <c r="K27" s="414">
        <f t="shared" si="34"/>
        <v>78</v>
      </c>
      <c r="L27" s="414">
        <f t="shared" si="34"/>
        <v>63</v>
      </c>
      <c r="M27" s="414">
        <f t="shared" si="34"/>
        <v>12</v>
      </c>
      <c r="N27" s="414">
        <f t="shared" si="34"/>
        <v>45</v>
      </c>
      <c r="O27" s="414">
        <f t="shared" si="34"/>
        <v>38.999999999999972</v>
      </c>
      <c r="P27" s="415">
        <f t="shared" si="34"/>
        <v>39</v>
      </c>
      <c r="Q27" s="447">
        <v>0</v>
      </c>
      <c r="R27" s="414">
        <v>0</v>
      </c>
      <c r="S27" s="414">
        <v>0</v>
      </c>
      <c r="T27" s="414">
        <v>0</v>
      </c>
      <c r="U27" s="414">
        <v>0</v>
      </c>
      <c r="V27" s="414">
        <v>0</v>
      </c>
      <c r="W27" s="414">
        <v>0</v>
      </c>
      <c r="X27" s="414">
        <v>0</v>
      </c>
      <c r="Y27" s="414">
        <v>0</v>
      </c>
      <c r="Z27" s="414">
        <v>0</v>
      </c>
      <c r="AA27" s="414">
        <v>0</v>
      </c>
      <c r="AB27" s="447">
        <v>0</v>
      </c>
      <c r="AC27" s="414">
        <v>0</v>
      </c>
      <c r="AD27" s="414">
        <v>0</v>
      </c>
      <c r="AE27" s="414">
        <v>0</v>
      </c>
      <c r="AF27" s="414">
        <v>0</v>
      </c>
      <c r="AG27" s="414">
        <f>AG9</f>
        <v>14.75</v>
      </c>
      <c r="AH27" s="414">
        <f t="shared" ref="AH27:AJ27" si="35">AH9</f>
        <v>16.149999999999977</v>
      </c>
      <c r="AI27" s="414">
        <f t="shared" si="35"/>
        <v>12.850000000000023</v>
      </c>
      <c r="AJ27" s="431">
        <f t="shared" si="35"/>
        <v>0</v>
      </c>
      <c r="AK27" s="12"/>
      <c r="AL27" s="174">
        <f t="shared" si="26"/>
        <v>455.5</v>
      </c>
      <c r="AM27" s="432">
        <f t="shared" si="24"/>
        <v>411.75</v>
      </c>
      <c r="AN27" s="432">
        <f t="shared" si="29"/>
        <v>43.75</v>
      </c>
      <c r="AO27" s="175"/>
      <c r="AP27" s="174">
        <f t="shared" si="25"/>
        <v>455.5</v>
      </c>
      <c r="AQ27" s="171" t="str">
        <f t="shared" si="23"/>
        <v>V</v>
      </c>
    </row>
    <row r="28" spans="1:43" ht="15" hidden="1" customHeight="1">
      <c r="A28" t="s">
        <v>32</v>
      </c>
      <c r="B28" s="54" t="s">
        <v>120</v>
      </c>
      <c r="C28" s="43" t="s">
        <v>121</v>
      </c>
      <c r="D28" s="43" t="s">
        <v>110</v>
      </c>
      <c r="E28" s="430">
        <v>0</v>
      </c>
      <c r="F28" s="414">
        <v>0</v>
      </c>
      <c r="G28" s="447">
        <v>0</v>
      </c>
      <c r="H28" s="414">
        <v>0</v>
      </c>
      <c r="I28" s="414">
        <v>0</v>
      </c>
      <c r="J28" s="414">
        <v>0</v>
      </c>
      <c r="K28" s="414">
        <v>0</v>
      </c>
      <c r="L28" s="414">
        <v>0</v>
      </c>
      <c r="M28" s="414">
        <v>0</v>
      </c>
      <c r="N28" s="414">
        <v>0</v>
      </c>
      <c r="O28" s="414">
        <v>0</v>
      </c>
      <c r="P28" s="415">
        <v>0</v>
      </c>
      <c r="Q28" s="447">
        <v>0</v>
      </c>
      <c r="R28" s="414">
        <v>0</v>
      </c>
      <c r="S28" s="414">
        <v>0</v>
      </c>
      <c r="T28" s="414">
        <v>0</v>
      </c>
      <c r="U28" s="414">
        <v>0</v>
      </c>
      <c r="V28" s="414">
        <v>0</v>
      </c>
      <c r="W28" s="414">
        <v>0</v>
      </c>
      <c r="X28" s="414">
        <v>0</v>
      </c>
      <c r="Y28" s="414">
        <v>0</v>
      </c>
      <c r="Z28" s="414">
        <v>0</v>
      </c>
      <c r="AA28" s="414">
        <v>0</v>
      </c>
      <c r="AB28" s="447">
        <v>0</v>
      </c>
      <c r="AC28" s="414">
        <v>0</v>
      </c>
      <c r="AD28" s="414">
        <v>0</v>
      </c>
      <c r="AE28" s="414">
        <v>0</v>
      </c>
      <c r="AF28" s="414">
        <v>0</v>
      </c>
      <c r="AG28" s="414">
        <v>0</v>
      </c>
      <c r="AH28" s="414">
        <v>0</v>
      </c>
      <c r="AI28" s="414">
        <v>0</v>
      </c>
      <c r="AJ28" s="431">
        <v>0</v>
      </c>
      <c r="AK28" s="12"/>
      <c r="AL28" s="174">
        <f t="shared" si="26"/>
        <v>0</v>
      </c>
      <c r="AM28" s="432">
        <f t="shared" si="24"/>
        <v>0</v>
      </c>
      <c r="AN28" s="432">
        <f t="shared" si="29"/>
        <v>0</v>
      </c>
      <c r="AO28" s="175"/>
      <c r="AP28" s="174">
        <f t="shared" si="25"/>
        <v>0</v>
      </c>
      <c r="AQ28" s="171" t="str">
        <f t="shared" si="23"/>
        <v>V</v>
      </c>
    </row>
    <row r="29" spans="1:43" ht="15" hidden="1" customHeight="1">
      <c r="A29" t="s">
        <v>32</v>
      </c>
      <c r="B29" s="54" t="s">
        <v>61</v>
      </c>
      <c r="C29" s="43" t="s">
        <v>313</v>
      </c>
      <c r="D29" s="43" t="s">
        <v>38</v>
      </c>
      <c r="E29" s="430">
        <v>0</v>
      </c>
      <c r="F29" s="414">
        <v>0</v>
      </c>
      <c r="G29" s="447">
        <v>0</v>
      </c>
      <c r="H29" s="414">
        <v>0</v>
      </c>
      <c r="I29" s="414">
        <v>0</v>
      </c>
      <c r="J29" s="414">
        <v>0</v>
      </c>
      <c r="K29" s="414">
        <v>0</v>
      </c>
      <c r="L29" s="414">
        <v>0</v>
      </c>
      <c r="M29" s="414">
        <v>0</v>
      </c>
      <c r="N29" s="414">
        <v>0</v>
      </c>
      <c r="O29" s="414">
        <v>0</v>
      </c>
      <c r="P29" s="415">
        <v>0</v>
      </c>
      <c r="Q29" s="447">
        <v>0</v>
      </c>
      <c r="R29" s="414">
        <v>0</v>
      </c>
      <c r="S29" s="414">
        <v>0</v>
      </c>
      <c r="T29" s="414">
        <v>0</v>
      </c>
      <c r="U29" s="414">
        <v>0</v>
      </c>
      <c r="V29" s="414">
        <v>0</v>
      </c>
      <c r="W29" s="414">
        <v>0</v>
      </c>
      <c r="X29" s="414">
        <v>0</v>
      </c>
      <c r="Y29" s="414">
        <v>0</v>
      </c>
      <c r="Z29" s="414">
        <v>0</v>
      </c>
      <c r="AA29" s="414">
        <v>0</v>
      </c>
      <c r="AB29" s="447">
        <v>0</v>
      </c>
      <c r="AC29" s="414">
        <v>0</v>
      </c>
      <c r="AD29" s="414">
        <v>0</v>
      </c>
      <c r="AE29" s="414">
        <v>0</v>
      </c>
      <c r="AF29" s="414">
        <v>0</v>
      </c>
      <c r="AG29" s="414">
        <v>0</v>
      </c>
      <c r="AH29" s="414">
        <v>0</v>
      </c>
      <c r="AI29" s="414">
        <v>0</v>
      </c>
      <c r="AJ29" s="431">
        <v>0</v>
      </c>
      <c r="AK29" s="12"/>
      <c r="AL29" s="174">
        <f t="shared" si="26"/>
        <v>0</v>
      </c>
      <c r="AM29" s="432">
        <f t="shared" si="24"/>
        <v>0</v>
      </c>
      <c r="AN29" s="432">
        <f t="shared" si="29"/>
        <v>0</v>
      </c>
      <c r="AO29" s="175"/>
      <c r="AP29" s="174">
        <f t="shared" si="25"/>
        <v>0</v>
      </c>
      <c r="AQ29" s="171" t="str">
        <f t="shared" si="23"/>
        <v>V</v>
      </c>
    </row>
    <row r="30" spans="1:43" ht="15" hidden="1" customHeight="1">
      <c r="A30" t="s">
        <v>32</v>
      </c>
      <c r="B30" s="54" t="s">
        <v>63</v>
      </c>
      <c r="C30" s="43" t="s">
        <v>64</v>
      </c>
      <c r="D30" s="43" t="s">
        <v>38</v>
      </c>
      <c r="E30" s="430">
        <v>0</v>
      </c>
      <c r="F30" s="414">
        <v>0</v>
      </c>
      <c r="G30" s="447">
        <v>0</v>
      </c>
      <c r="H30" s="414">
        <v>0</v>
      </c>
      <c r="I30" s="414">
        <v>0</v>
      </c>
      <c r="J30" s="414">
        <v>0</v>
      </c>
      <c r="K30" s="414">
        <v>0</v>
      </c>
      <c r="L30" s="414">
        <v>0</v>
      </c>
      <c r="M30" s="414">
        <v>0</v>
      </c>
      <c r="N30" s="414">
        <v>0</v>
      </c>
      <c r="O30" s="414">
        <v>0</v>
      </c>
      <c r="P30" s="415">
        <v>0</v>
      </c>
      <c r="Q30" s="447">
        <v>0</v>
      </c>
      <c r="R30" s="414">
        <v>0</v>
      </c>
      <c r="S30" s="414">
        <v>0</v>
      </c>
      <c r="T30" s="414">
        <v>0</v>
      </c>
      <c r="U30" s="414">
        <v>0</v>
      </c>
      <c r="V30" s="414">
        <v>0</v>
      </c>
      <c r="W30" s="414">
        <v>0</v>
      </c>
      <c r="X30" s="414">
        <v>0</v>
      </c>
      <c r="Y30" s="414">
        <v>0</v>
      </c>
      <c r="Z30" s="414">
        <v>0</v>
      </c>
      <c r="AA30" s="414">
        <v>0</v>
      </c>
      <c r="AB30" s="447">
        <v>0</v>
      </c>
      <c r="AC30" s="414">
        <v>0</v>
      </c>
      <c r="AD30" s="414">
        <v>0</v>
      </c>
      <c r="AE30" s="414">
        <v>0</v>
      </c>
      <c r="AF30" s="414">
        <v>0</v>
      </c>
      <c r="AG30" s="414">
        <v>0</v>
      </c>
      <c r="AH30" s="414">
        <v>0</v>
      </c>
      <c r="AI30" s="414">
        <v>0</v>
      </c>
      <c r="AJ30" s="431">
        <v>0</v>
      </c>
      <c r="AK30" s="12"/>
      <c r="AL30" s="174">
        <f t="shared" si="26"/>
        <v>0</v>
      </c>
      <c r="AM30" s="432">
        <f t="shared" si="24"/>
        <v>0</v>
      </c>
      <c r="AN30" s="432">
        <f t="shared" si="29"/>
        <v>0</v>
      </c>
      <c r="AO30" s="175"/>
      <c r="AP30" s="174">
        <f t="shared" si="25"/>
        <v>0</v>
      </c>
      <c r="AQ30" s="171" t="str">
        <f t="shared" si="23"/>
        <v>V</v>
      </c>
    </row>
    <row r="31" spans="1:43" ht="15" hidden="1" customHeight="1">
      <c r="A31" t="s">
        <v>32</v>
      </c>
      <c r="B31" s="54" t="s">
        <v>122</v>
      </c>
      <c r="C31" s="43" t="s">
        <v>123</v>
      </c>
      <c r="D31" s="43" t="s">
        <v>110</v>
      </c>
      <c r="E31" s="430">
        <v>0</v>
      </c>
      <c r="F31" s="414">
        <v>0</v>
      </c>
      <c r="G31" s="447">
        <v>0</v>
      </c>
      <c r="H31" s="414">
        <v>0</v>
      </c>
      <c r="I31" s="414">
        <v>0</v>
      </c>
      <c r="J31" s="414">
        <v>0</v>
      </c>
      <c r="K31" s="414">
        <v>0</v>
      </c>
      <c r="L31" s="414">
        <v>0</v>
      </c>
      <c r="M31" s="414">
        <v>0</v>
      </c>
      <c r="N31" s="414">
        <v>0</v>
      </c>
      <c r="O31" s="414">
        <v>0</v>
      </c>
      <c r="P31" s="415">
        <v>0</v>
      </c>
      <c r="Q31" s="447">
        <v>0</v>
      </c>
      <c r="R31" s="414">
        <v>0</v>
      </c>
      <c r="S31" s="414">
        <v>0</v>
      </c>
      <c r="T31" s="414">
        <v>0</v>
      </c>
      <c r="U31" s="414">
        <v>0</v>
      </c>
      <c r="V31" s="414">
        <v>0</v>
      </c>
      <c r="W31" s="414">
        <v>0</v>
      </c>
      <c r="X31" s="414">
        <v>0</v>
      </c>
      <c r="Y31" s="414">
        <v>0</v>
      </c>
      <c r="Z31" s="414">
        <v>0</v>
      </c>
      <c r="AA31" s="414">
        <v>0</v>
      </c>
      <c r="AB31" s="447">
        <v>0</v>
      </c>
      <c r="AC31" s="414">
        <v>0</v>
      </c>
      <c r="AD31" s="414">
        <v>0</v>
      </c>
      <c r="AE31" s="414">
        <v>0</v>
      </c>
      <c r="AF31" s="414">
        <v>0</v>
      </c>
      <c r="AG31" s="414">
        <v>0</v>
      </c>
      <c r="AH31" s="414">
        <v>0</v>
      </c>
      <c r="AI31" s="414">
        <v>0</v>
      </c>
      <c r="AJ31" s="431">
        <v>0</v>
      </c>
      <c r="AK31" s="12"/>
      <c r="AL31" s="174">
        <f t="shared" si="26"/>
        <v>0</v>
      </c>
      <c r="AM31" s="432">
        <f t="shared" si="24"/>
        <v>0</v>
      </c>
      <c r="AN31" s="432">
        <f t="shared" si="29"/>
        <v>0</v>
      </c>
      <c r="AO31" s="175"/>
      <c r="AP31" s="174">
        <f t="shared" si="25"/>
        <v>0</v>
      </c>
      <c r="AQ31" s="171" t="str">
        <f t="shared" si="23"/>
        <v>V</v>
      </c>
    </row>
    <row r="32" spans="1:43" ht="15" hidden="1" customHeight="1">
      <c r="A32" t="s">
        <v>32</v>
      </c>
      <c r="B32" s="54" t="s">
        <v>65</v>
      </c>
      <c r="C32" s="43" t="s">
        <v>66</v>
      </c>
      <c r="D32" s="43" t="s">
        <v>38</v>
      </c>
      <c r="E32" s="430">
        <v>0</v>
      </c>
      <c r="F32" s="414">
        <v>0</v>
      </c>
      <c r="G32" s="447">
        <v>0</v>
      </c>
      <c r="H32" s="414">
        <v>0</v>
      </c>
      <c r="I32" s="414">
        <v>0</v>
      </c>
      <c r="J32" s="414">
        <v>0</v>
      </c>
      <c r="K32" s="414">
        <v>0</v>
      </c>
      <c r="L32" s="414">
        <v>0</v>
      </c>
      <c r="M32" s="414">
        <v>0</v>
      </c>
      <c r="N32" s="414">
        <v>0</v>
      </c>
      <c r="O32" s="414">
        <v>0</v>
      </c>
      <c r="P32" s="415">
        <v>0</v>
      </c>
      <c r="Q32" s="447">
        <v>0</v>
      </c>
      <c r="R32" s="414">
        <v>0</v>
      </c>
      <c r="S32" s="414">
        <v>0</v>
      </c>
      <c r="T32" s="414">
        <v>0</v>
      </c>
      <c r="U32" s="414">
        <v>0</v>
      </c>
      <c r="V32" s="414">
        <v>0</v>
      </c>
      <c r="W32" s="414">
        <v>0</v>
      </c>
      <c r="X32" s="414">
        <v>0</v>
      </c>
      <c r="Y32" s="414">
        <v>0</v>
      </c>
      <c r="Z32" s="414">
        <v>0</v>
      </c>
      <c r="AA32" s="414">
        <v>0</v>
      </c>
      <c r="AB32" s="447">
        <v>0</v>
      </c>
      <c r="AC32" s="414">
        <v>0</v>
      </c>
      <c r="AD32" s="414">
        <v>0</v>
      </c>
      <c r="AE32" s="414">
        <v>0</v>
      </c>
      <c r="AF32" s="414">
        <v>0</v>
      </c>
      <c r="AG32" s="414">
        <v>0</v>
      </c>
      <c r="AH32" s="414">
        <v>0</v>
      </c>
      <c r="AI32" s="414">
        <v>0</v>
      </c>
      <c r="AJ32" s="431">
        <v>0</v>
      </c>
      <c r="AK32" s="12"/>
      <c r="AL32" s="174">
        <f t="shared" si="26"/>
        <v>0</v>
      </c>
      <c r="AM32" s="432">
        <f t="shared" si="24"/>
        <v>0</v>
      </c>
      <c r="AN32" s="432">
        <f t="shared" si="29"/>
        <v>0</v>
      </c>
      <c r="AO32" s="175"/>
      <c r="AP32" s="174">
        <f t="shared" si="25"/>
        <v>0</v>
      </c>
      <c r="AQ32" s="171" t="str">
        <f t="shared" si="23"/>
        <v>V</v>
      </c>
    </row>
    <row r="33" spans="1:43" ht="15" hidden="1" customHeight="1">
      <c r="A33" t="s">
        <v>32</v>
      </c>
      <c r="B33" s="54" t="s">
        <v>67</v>
      </c>
      <c r="C33" s="43" t="s">
        <v>68</v>
      </c>
      <c r="D33" s="43" t="s">
        <v>38</v>
      </c>
      <c r="E33" s="430">
        <v>0</v>
      </c>
      <c r="F33" s="414">
        <v>0</v>
      </c>
      <c r="G33" s="447">
        <v>0</v>
      </c>
      <c r="H33" s="414">
        <v>0</v>
      </c>
      <c r="I33" s="414">
        <v>0</v>
      </c>
      <c r="J33" s="414">
        <v>0</v>
      </c>
      <c r="K33" s="414">
        <v>0</v>
      </c>
      <c r="L33" s="414">
        <v>0</v>
      </c>
      <c r="M33" s="414">
        <v>0</v>
      </c>
      <c r="N33" s="414">
        <v>0</v>
      </c>
      <c r="O33" s="414">
        <v>0</v>
      </c>
      <c r="P33" s="415">
        <v>0</v>
      </c>
      <c r="Q33" s="447">
        <v>0</v>
      </c>
      <c r="R33" s="414">
        <v>0</v>
      </c>
      <c r="S33" s="414">
        <v>0</v>
      </c>
      <c r="T33" s="414">
        <v>0</v>
      </c>
      <c r="U33" s="414">
        <v>0</v>
      </c>
      <c r="V33" s="414">
        <v>0</v>
      </c>
      <c r="W33" s="414">
        <v>0</v>
      </c>
      <c r="X33" s="414">
        <v>0</v>
      </c>
      <c r="Y33" s="414">
        <v>0</v>
      </c>
      <c r="Z33" s="414">
        <v>0</v>
      </c>
      <c r="AA33" s="414">
        <v>0</v>
      </c>
      <c r="AB33" s="447">
        <v>0</v>
      </c>
      <c r="AC33" s="414">
        <v>0</v>
      </c>
      <c r="AD33" s="414">
        <v>0</v>
      </c>
      <c r="AE33" s="414">
        <v>0</v>
      </c>
      <c r="AF33" s="414">
        <v>0</v>
      </c>
      <c r="AG33" s="414">
        <v>0</v>
      </c>
      <c r="AH33" s="414">
        <v>0</v>
      </c>
      <c r="AI33" s="414">
        <v>0</v>
      </c>
      <c r="AJ33" s="431">
        <v>0</v>
      </c>
      <c r="AK33" s="12"/>
      <c r="AL33" s="174">
        <f t="shared" si="26"/>
        <v>0</v>
      </c>
      <c r="AM33" s="432">
        <f t="shared" si="24"/>
        <v>0</v>
      </c>
      <c r="AN33" s="432">
        <f t="shared" si="29"/>
        <v>0</v>
      </c>
      <c r="AO33" s="175"/>
      <c r="AP33" s="174">
        <f t="shared" si="25"/>
        <v>0</v>
      </c>
      <c r="AQ33" s="171" t="str">
        <f t="shared" si="23"/>
        <v>V</v>
      </c>
    </row>
    <row r="34" spans="1:43" ht="15" hidden="1" customHeight="1">
      <c r="A34" t="s">
        <v>32</v>
      </c>
      <c r="B34" s="54" t="s">
        <v>69</v>
      </c>
      <c r="C34" s="43" t="s">
        <v>70</v>
      </c>
      <c r="D34" s="43" t="s">
        <v>38</v>
      </c>
      <c r="E34" s="430">
        <v>0</v>
      </c>
      <c r="F34" s="414">
        <v>0</v>
      </c>
      <c r="G34" s="447">
        <v>0</v>
      </c>
      <c r="H34" s="414">
        <v>0</v>
      </c>
      <c r="I34" s="414">
        <v>0</v>
      </c>
      <c r="J34" s="414">
        <v>0</v>
      </c>
      <c r="K34" s="414">
        <v>0</v>
      </c>
      <c r="L34" s="414">
        <v>0</v>
      </c>
      <c r="M34" s="414">
        <v>0</v>
      </c>
      <c r="N34" s="414">
        <v>0</v>
      </c>
      <c r="O34" s="414">
        <v>0</v>
      </c>
      <c r="P34" s="415">
        <v>0</v>
      </c>
      <c r="Q34" s="447">
        <v>0</v>
      </c>
      <c r="R34" s="414">
        <v>0</v>
      </c>
      <c r="S34" s="414">
        <v>0</v>
      </c>
      <c r="T34" s="414">
        <v>0</v>
      </c>
      <c r="U34" s="414">
        <v>0</v>
      </c>
      <c r="V34" s="414">
        <v>0</v>
      </c>
      <c r="W34" s="414">
        <v>0</v>
      </c>
      <c r="X34" s="414">
        <v>0</v>
      </c>
      <c r="Y34" s="414">
        <v>0</v>
      </c>
      <c r="Z34" s="414">
        <v>0</v>
      </c>
      <c r="AA34" s="414">
        <v>0</v>
      </c>
      <c r="AB34" s="447">
        <v>0</v>
      </c>
      <c r="AC34" s="414">
        <v>0</v>
      </c>
      <c r="AD34" s="414">
        <v>0</v>
      </c>
      <c r="AE34" s="414">
        <v>0</v>
      </c>
      <c r="AF34" s="414">
        <v>0</v>
      </c>
      <c r="AG34" s="414">
        <v>0</v>
      </c>
      <c r="AH34" s="414">
        <v>0</v>
      </c>
      <c r="AI34" s="414">
        <v>0</v>
      </c>
      <c r="AJ34" s="431">
        <v>0</v>
      </c>
      <c r="AK34" s="12"/>
      <c r="AL34" s="174">
        <f t="shared" si="26"/>
        <v>0</v>
      </c>
      <c r="AM34" s="432">
        <f t="shared" si="24"/>
        <v>0</v>
      </c>
      <c r="AN34" s="432">
        <f t="shared" si="29"/>
        <v>0</v>
      </c>
      <c r="AO34" s="175"/>
      <c r="AP34" s="174">
        <f t="shared" si="25"/>
        <v>0</v>
      </c>
      <c r="AQ34" s="171" t="str">
        <f t="shared" si="23"/>
        <v>V</v>
      </c>
    </row>
    <row r="35" spans="1:43" ht="15" hidden="1" customHeight="1">
      <c r="A35" t="s">
        <v>32</v>
      </c>
      <c r="B35" s="54" t="s">
        <v>71</v>
      </c>
      <c r="C35" s="43" t="s">
        <v>72</v>
      </c>
      <c r="D35" s="43" t="s">
        <v>38</v>
      </c>
      <c r="E35" s="430">
        <v>0</v>
      </c>
      <c r="F35" s="414">
        <v>0</v>
      </c>
      <c r="G35" s="447">
        <f>G9</f>
        <v>72</v>
      </c>
      <c r="H35" s="414">
        <f t="shared" ref="H35:P35" si="36">H9</f>
        <v>21.599999999999994</v>
      </c>
      <c r="I35" s="414">
        <f t="shared" si="36"/>
        <v>0</v>
      </c>
      <c r="J35" s="414">
        <f t="shared" si="36"/>
        <v>42.149999999999991</v>
      </c>
      <c r="K35" s="414">
        <f t="shared" si="36"/>
        <v>78</v>
      </c>
      <c r="L35" s="414">
        <f t="shared" si="36"/>
        <v>63</v>
      </c>
      <c r="M35" s="414">
        <f t="shared" si="36"/>
        <v>12</v>
      </c>
      <c r="N35" s="414">
        <f t="shared" si="36"/>
        <v>45</v>
      </c>
      <c r="O35" s="414">
        <f t="shared" si="36"/>
        <v>38.999999999999972</v>
      </c>
      <c r="P35" s="415">
        <f t="shared" si="36"/>
        <v>39</v>
      </c>
      <c r="Q35" s="447">
        <v>0</v>
      </c>
      <c r="R35" s="414">
        <v>0</v>
      </c>
      <c r="S35" s="414">
        <v>0</v>
      </c>
      <c r="T35" s="414">
        <v>0</v>
      </c>
      <c r="U35" s="414">
        <v>0</v>
      </c>
      <c r="V35" s="414">
        <v>0</v>
      </c>
      <c r="W35" s="414">
        <v>0</v>
      </c>
      <c r="X35" s="414">
        <v>0</v>
      </c>
      <c r="Y35" s="414">
        <v>0</v>
      </c>
      <c r="Z35" s="414">
        <v>0</v>
      </c>
      <c r="AA35" s="414">
        <v>0</v>
      </c>
      <c r="AB35" s="447">
        <v>0</v>
      </c>
      <c r="AC35" s="414">
        <v>0</v>
      </c>
      <c r="AD35" s="414">
        <v>0</v>
      </c>
      <c r="AE35" s="414">
        <v>0</v>
      </c>
      <c r="AF35" s="414">
        <v>0</v>
      </c>
      <c r="AG35" s="414">
        <f>AG9</f>
        <v>14.75</v>
      </c>
      <c r="AH35" s="414">
        <f t="shared" ref="AH35:AJ35" si="37">AH9</f>
        <v>16.149999999999977</v>
      </c>
      <c r="AI35" s="414">
        <f t="shared" si="37"/>
        <v>12.850000000000023</v>
      </c>
      <c r="AJ35" s="431">
        <f t="shared" si="37"/>
        <v>0</v>
      </c>
      <c r="AK35" s="12"/>
      <c r="AL35" s="174">
        <f t="shared" si="26"/>
        <v>455.5</v>
      </c>
      <c r="AM35" s="432">
        <f t="shared" si="24"/>
        <v>411.75</v>
      </c>
      <c r="AN35" s="432">
        <f t="shared" si="29"/>
        <v>43.75</v>
      </c>
      <c r="AO35" s="175"/>
      <c r="AP35" s="174">
        <f t="shared" si="25"/>
        <v>455.5</v>
      </c>
      <c r="AQ35" s="171" t="str">
        <f t="shared" si="23"/>
        <v>V</v>
      </c>
    </row>
    <row r="36" spans="1:43" ht="15" hidden="1" customHeight="1">
      <c r="A36" t="s">
        <v>32</v>
      </c>
      <c r="B36" s="54" t="s">
        <v>342</v>
      </c>
      <c r="C36" s="43" t="s">
        <v>343</v>
      </c>
      <c r="D36" s="43" t="s">
        <v>38</v>
      </c>
      <c r="E36" s="430">
        <v>0</v>
      </c>
      <c r="F36" s="414">
        <v>0</v>
      </c>
      <c r="G36" s="447">
        <v>0</v>
      </c>
      <c r="H36" s="414">
        <v>0</v>
      </c>
      <c r="I36" s="414">
        <v>0</v>
      </c>
      <c r="J36" s="414">
        <v>0</v>
      </c>
      <c r="K36" s="414">
        <v>0</v>
      </c>
      <c r="L36" s="414">
        <v>0</v>
      </c>
      <c r="M36" s="414">
        <v>0</v>
      </c>
      <c r="N36" s="414">
        <v>0</v>
      </c>
      <c r="O36" s="414">
        <v>0</v>
      </c>
      <c r="P36" s="415">
        <v>0</v>
      </c>
      <c r="Q36" s="447">
        <v>0</v>
      </c>
      <c r="R36" s="414">
        <v>0</v>
      </c>
      <c r="S36" s="414">
        <v>0</v>
      </c>
      <c r="T36" s="414">
        <v>0</v>
      </c>
      <c r="U36" s="414">
        <v>0</v>
      </c>
      <c r="V36" s="414">
        <v>0</v>
      </c>
      <c r="W36" s="414">
        <v>0</v>
      </c>
      <c r="X36" s="414">
        <v>0</v>
      </c>
      <c r="Y36" s="414">
        <v>0</v>
      </c>
      <c r="Z36" s="414">
        <v>0</v>
      </c>
      <c r="AA36" s="414">
        <v>0</v>
      </c>
      <c r="AB36" s="447">
        <v>0</v>
      </c>
      <c r="AC36" s="414">
        <v>0</v>
      </c>
      <c r="AD36" s="414">
        <v>0</v>
      </c>
      <c r="AE36" s="414">
        <v>0</v>
      </c>
      <c r="AF36" s="414">
        <v>0</v>
      </c>
      <c r="AG36" s="414">
        <v>0</v>
      </c>
      <c r="AH36" s="414">
        <v>0</v>
      </c>
      <c r="AI36" s="414">
        <v>0</v>
      </c>
      <c r="AJ36" s="431">
        <v>0</v>
      </c>
      <c r="AK36" s="12"/>
      <c r="AL36" s="174">
        <f t="shared" si="26"/>
        <v>0</v>
      </c>
      <c r="AM36" s="432">
        <f t="shared" si="24"/>
        <v>0</v>
      </c>
      <c r="AN36" s="432">
        <f t="shared" si="29"/>
        <v>0</v>
      </c>
      <c r="AO36" s="175"/>
      <c r="AP36" s="174">
        <f t="shared" si="25"/>
        <v>0</v>
      </c>
      <c r="AQ36" s="171" t="str">
        <f t="shared" si="23"/>
        <v>V</v>
      </c>
    </row>
    <row r="37" spans="1:43" ht="15" hidden="1" customHeight="1">
      <c r="A37" t="s">
        <v>32</v>
      </c>
      <c r="B37" s="54" t="s">
        <v>73</v>
      </c>
      <c r="C37" s="43" t="s">
        <v>74</v>
      </c>
      <c r="D37" s="43" t="s">
        <v>38</v>
      </c>
      <c r="E37" s="430">
        <v>0</v>
      </c>
      <c r="F37" s="414">
        <v>0</v>
      </c>
      <c r="G37" s="447">
        <v>0</v>
      </c>
      <c r="H37" s="414">
        <v>0</v>
      </c>
      <c r="I37" s="414">
        <v>0</v>
      </c>
      <c r="J37" s="414">
        <v>0</v>
      </c>
      <c r="K37" s="414">
        <v>0</v>
      </c>
      <c r="L37" s="414">
        <v>0</v>
      </c>
      <c r="M37" s="414">
        <v>0</v>
      </c>
      <c r="N37" s="414">
        <v>0</v>
      </c>
      <c r="O37" s="414">
        <v>0</v>
      </c>
      <c r="P37" s="415">
        <v>0</v>
      </c>
      <c r="Q37" s="447">
        <v>0</v>
      </c>
      <c r="R37" s="414">
        <v>0</v>
      </c>
      <c r="S37" s="414">
        <v>0</v>
      </c>
      <c r="T37" s="414">
        <v>0</v>
      </c>
      <c r="U37" s="414">
        <v>0</v>
      </c>
      <c r="V37" s="414">
        <v>0</v>
      </c>
      <c r="W37" s="414">
        <v>0</v>
      </c>
      <c r="X37" s="414">
        <v>0</v>
      </c>
      <c r="Y37" s="414">
        <v>0</v>
      </c>
      <c r="Z37" s="414">
        <v>0</v>
      </c>
      <c r="AA37" s="414">
        <v>0</v>
      </c>
      <c r="AB37" s="447">
        <v>0</v>
      </c>
      <c r="AC37" s="414">
        <v>0</v>
      </c>
      <c r="AD37" s="414">
        <v>0</v>
      </c>
      <c r="AE37" s="414">
        <v>0</v>
      </c>
      <c r="AF37" s="414">
        <v>0</v>
      </c>
      <c r="AG37" s="414">
        <v>0</v>
      </c>
      <c r="AH37" s="414">
        <v>0</v>
      </c>
      <c r="AI37" s="414">
        <v>0</v>
      </c>
      <c r="AJ37" s="431">
        <v>0</v>
      </c>
      <c r="AK37" s="12"/>
      <c r="AL37" s="174">
        <f t="shared" si="26"/>
        <v>0</v>
      </c>
      <c r="AM37" s="432">
        <f t="shared" si="24"/>
        <v>0</v>
      </c>
      <c r="AN37" s="432">
        <f t="shared" si="29"/>
        <v>0</v>
      </c>
      <c r="AO37" s="175"/>
      <c r="AP37" s="174">
        <f t="shared" si="25"/>
        <v>0</v>
      </c>
      <c r="AQ37" s="171" t="str">
        <f t="shared" si="23"/>
        <v>V</v>
      </c>
    </row>
    <row r="38" spans="1:43" ht="15" hidden="1" customHeight="1">
      <c r="A38" t="s">
        <v>32</v>
      </c>
      <c r="B38" s="54" t="s">
        <v>124</v>
      </c>
      <c r="C38" s="43" t="s">
        <v>125</v>
      </c>
      <c r="D38" s="43" t="s">
        <v>110</v>
      </c>
      <c r="E38" s="430">
        <v>0</v>
      </c>
      <c r="F38" s="414">
        <v>0</v>
      </c>
      <c r="G38" s="447">
        <v>0</v>
      </c>
      <c r="H38" s="414">
        <v>0</v>
      </c>
      <c r="I38" s="414">
        <v>0</v>
      </c>
      <c r="J38" s="414">
        <v>0</v>
      </c>
      <c r="K38" s="414">
        <v>0</v>
      </c>
      <c r="L38" s="414">
        <v>0</v>
      </c>
      <c r="M38" s="414">
        <v>0</v>
      </c>
      <c r="N38" s="414">
        <v>0</v>
      </c>
      <c r="O38" s="414">
        <v>0</v>
      </c>
      <c r="P38" s="415">
        <v>0</v>
      </c>
      <c r="Q38" s="447">
        <v>0</v>
      </c>
      <c r="R38" s="414">
        <v>0</v>
      </c>
      <c r="S38" s="414">
        <v>0</v>
      </c>
      <c r="T38" s="414">
        <v>0</v>
      </c>
      <c r="U38" s="414">
        <v>0</v>
      </c>
      <c r="V38" s="414">
        <v>0</v>
      </c>
      <c r="W38" s="414">
        <v>0</v>
      </c>
      <c r="X38" s="414">
        <v>0</v>
      </c>
      <c r="Y38" s="414">
        <v>0</v>
      </c>
      <c r="Z38" s="414">
        <v>0</v>
      </c>
      <c r="AA38" s="414">
        <v>0</v>
      </c>
      <c r="AB38" s="447">
        <v>0</v>
      </c>
      <c r="AC38" s="414">
        <v>0</v>
      </c>
      <c r="AD38" s="414">
        <v>0</v>
      </c>
      <c r="AE38" s="414">
        <v>0</v>
      </c>
      <c r="AF38" s="414">
        <v>0</v>
      </c>
      <c r="AG38" s="414">
        <v>0</v>
      </c>
      <c r="AH38" s="414">
        <v>0</v>
      </c>
      <c r="AI38" s="414">
        <v>0</v>
      </c>
      <c r="AJ38" s="431">
        <v>0</v>
      </c>
      <c r="AK38" s="12"/>
      <c r="AL38" s="174">
        <f t="shared" si="26"/>
        <v>0</v>
      </c>
      <c r="AM38" s="432">
        <f t="shared" si="24"/>
        <v>0</v>
      </c>
      <c r="AN38" s="432">
        <f t="shared" si="29"/>
        <v>0</v>
      </c>
      <c r="AO38" s="175"/>
      <c r="AP38" s="174">
        <f t="shared" si="25"/>
        <v>0</v>
      </c>
      <c r="AQ38" s="171" t="str">
        <f t="shared" si="23"/>
        <v>V</v>
      </c>
    </row>
    <row r="39" spans="1:43" ht="15" hidden="1" customHeight="1">
      <c r="A39" t="s">
        <v>32</v>
      </c>
      <c r="B39" s="54" t="s">
        <v>75</v>
      </c>
      <c r="C39" s="43" t="s">
        <v>76</v>
      </c>
      <c r="D39" s="43" t="s">
        <v>38</v>
      </c>
      <c r="E39" s="430">
        <v>0</v>
      </c>
      <c r="F39" s="414">
        <v>0</v>
      </c>
      <c r="G39" s="447">
        <f>G9</f>
        <v>72</v>
      </c>
      <c r="H39" s="414">
        <f t="shared" ref="H39:P39" si="38">H9</f>
        <v>21.599999999999994</v>
      </c>
      <c r="I39" s="414">
        <f t="shared" si="38"/>
        <v>0</v>
      </c>
      <c r="J39" s="414">
        <f t="shared" si="38"/>
        <v>42.149999999999991</v>
      </c>
      <c r="K39" s="414">
        <f t="shared" si="38"/>
        <v>78</v>
      </c>
      <c r="L39" s="414">
        <f t="shared" si="38"/>
        <v>63</v>
      </c>
      <c r="M39" s="414">
        <f t="shared" si="38"/>
        <v>12</v>
      </c>
      <c r="N39" s="414">
        <f t="shared" si="38"/>
        <v>45</v>
      </c>
      <c r="O39" s="414">
        <f t="shared" si="38"/>
        <v>38.999999999999972</v>
      </c>
      <c r="P39" s="415">
        <f t="shared" si="38"/>
        <v>39</v>
      </c>
      <c r="Q39" s="447">
        <v>0</v>
      </c>
      <c r="R39" s="414">
        <v>0</v>
      </c>
      <c r="S39" s="414">
        <v>0</v>
      </c>
      <c r="T39" s="414">
        <v>0</v>
      </c>
      <c r="U39" s="414">
        <v>0</v>
      </c>
      <c r="V39" s="414">
        <v>0</v>
      </c>
      <c r="W39" s="414">
        <v>0</v>
      </c>
      <c r="X39" s="414">
        <v>0</v>
      </c>
      <c r="Y39" s="414">
        <v>0</v>
      </c>
      <c r="Z39" s="414">
        <v>0</v>
      </c>
      <c r="AA39" s="414">
        <v>0</v>
      </c>
      <c r="AB39" s="447">
        <v>0</v>
      </c>
      <c r="AC39" s="414">
        <v>0</v>
      </c>
      <c r="AD39" s="414">
        <v>0</v>
      </c>
      <c r="AE39" s="414">
        <v>0</v>
      </c>
      <c r="AF39" s="414">
        <v>0</v>
      </c>
      <c r="AG39" s="414">
        <f>AG9</f>
        <v>14.75</v>
      </c>
      <c r="AH39" s="414">
        <f t="shared" ref="AH39:AJ39" si="39">AH9</f>
        <v>16.149999999999977</v>
      </c>
      <c r="AI39" s="414">
        <f t="shared" si="39"/>
        <v>12.850000000000023</v>
      </c>
      <c r="AJ39" s="431">
        <f t="shared" si="39"/>
        <v>0</v>
      </c>
      <c r="AK39" s="12"/>
      <c r="AL39" s="174">
        <f t="shared" si="26"/>
        <v>455.5</v>
      </c>
      <c r="AM39" s="432">
        <f t="shared" si="24"/>
        <v>411.75</v>
      </c>
      <c r="AN39" s="432">
        <f t="shared" si="29"/>
        <v>43.75</v>
      </c>
      <c r="AO39" s="175"/>
      <c r="AP39" s="174">
        <f t="shared" si="25"/>
        <v>455.5</v>
      </c>
      <c r="AQ39" s="171" t="str">
        <f t="shared" si="23"/>
        <v>V</v>
      </c>
    </row>
    <row r="40" spans="1:43" ht="15" hidden="1" customHeight="1">
      <c r="A40" t="s">
        <v>32</v>
      </c>
      <c r="B40" s="54" t="s">
        <v>77</v>
      </c>
      <c r="C40" s="43" t="s">
        <v>78</v>
      </c>
      <c r="D40" s="43" t="s">
        <v>38</v>
      </c>
      <c r="E40" s="430">
        <v>0</v>
      </c>
      <c r="F40" s="414">
        <v>0</v>
      </c>
      <c r="G40" s="447">
        <v>0</v>
      </c>
      <c r="H40" s="414">
        <v>0</v>
      </c>
      <c r="I40" s="414">
        <v>0</v>
      </c>
      <c r="J40" s="414">
        <v>0</v>
      </c>
      <c r="K40" s="414">
        <v>0</v>
      </c>
      <c r="L40" s="414">
        <v>0</v>
      </c>
      <c r="M40" s="414">
        <v>0</v>
      </c>
      <c r="N40" s="414">
        <v>0</v>
      </c>
      <c r="O40" s="414">
        <v>0</v>
      </c>
      <c r="P40" s="415">
        <v>0</v>
      </c>
      <c r="Q40" s="447">
        <v>0</v>
      </c>
      <c r="R40" s="414">
        <v>0</v>
      </c>
      <c r="S40" s="414">
        <v>0</v>
      </c>
      <c r="T40" s="414">
        <v>0</v>
      </c>
      <c r="U40" s="414">
        <v>0</v>
      </c>
      <c r="V40" s="414">
        <v>0</v>
      </c>
      <c r="W40" s="414">
        <v>0</v>
      </c>
      <c r="X40" s="414">
        <v>0</v>
      </c>
      <c r="Y40" s="414">
        <v>0</v>
      </c>
      <c r="Z40" s="414">
        <v>0</v>
      </c>
      <c r="AA40" s="414">
        <v>0</v>
      </c>
      <c r="AB40" s="447">
        <v>0</v>
      </c>
      <c r="AC40" s="414">
        <v>0</v>
      </c>
      <c r="AD40" s="414">
        <v>0</v>
      </c>
      <c r="AE40" s="414">
        <v>0</v>
      </c>
      <c r="AF40" s="414">
        <v>0</v>
      </c>
      <c r="AG40" s="414">
        <v>0</v>
      </c>
      <c r="AH40" s="414">
        <v>0</v>
      </c>
      <c r="AI40" s="414">
        <v>0</v>
      </c>
      <c r="AJ40" s="431">
        <v>0</v>
      </c>
      <c r="AK40" s="12"/>
      <c r="AL40" s="174">
        <f t="shared" si="26"/>
        <v>0</v>
      </c>
      <c r="AM40" s="432">
        <f t="shared" si="24"/>
        <v>0</v>
      </c>
      <c r="AN40" s="432">
        <f t="shared" si="29"/>
        <v>0</v>
      </c>
      <c r="AO40" s="175"/>
      <c r="AP40" s="174">
        <f t="shared" si="25"/>
        <v>0</v>
      </c>
      <c r="AQ40" s="171" t="str">
        <f t="shared" si="23"/>
        <v>V</v>
      </c>
    </row>
    <row r="41" spans="1:43" ht="15" hidden="1" customHeight="1">
      <c r="A41" t="s">
        <v>32</v>
      </c>
      <c r="B41" s="54" t="s">
        <v>79</v>
      </c>
      <c r="C41" s="43" t="s">
        <v>80</v>
      </c>
      <c r="D41" s="43" t="s">
        <v>38</v>
      </c>
      <c r="E41" s="430">
        <v>0</v>
      </c>
      <c r="F41" s="414">
        <v>0</v>
      </c>
      <c r="G41" s="447">
        <f>G9</f>
        <v>72</v>
      </c>
      <c r="H41" s="414">
        <f t="shared" ref="H41:P41" si="40">H9</f>
        <v>21.599999999999994</v>
      </c>
      <c r="I41" s="414">
        <f t="shared" si="40"/>
        <v>0</v>
      </c>
      <c r="J41" s="414">
        <f t="shared" si="40"/>
        <v>42.149999999999991</v>
      </c>
      <c r="K41" s="414">
        <f t="shared" si="40"/>
        <v>78</v>
      </c>
      <c r="L41" s="414">
        <f t="shared" si="40"/>
        <v>63</v>
      </c>
      <c r="M41" s="414">
        <f t="shared" si="40"/>
        <v>12</v>
      </c>
      <c r="N41" s="414">
        <f t="shared" si="40"/>
        <v>45</v>
      </c>
      <c r="O41" s="414">
        <f t="shared" si="40"/>
        <v>38.999999999999972</v>
      </c>
      <c r="P41" s="415">
        <f t="shared" si="40"/>
        <v>39</v>
      </c>
      <c r="Q41" s="447">
        <v>0</v>
      </c>
      <c r="R41" s="414">
        <v>0</v>
      </c>
      <c r="S41" s="414">
        <v>0</v>
      </c>
      <c r="T41" s="414">
        <v>0</v>
      </c>
      <c r="U41" s="414">
        <v>0</v>
      </c>
      <c r="V41" s="414">
        <v>0</v>
      </c>
      <c r="W41" s="414">
        <v>0</v>
      </c>
      <c r="X41" s="414">
        <v>0</v>
      </c>
      <c r="Y41" s="414">
        <v>0</v>
      </c>
      <c r="Z41" s="414">
        <v>0</v>
      </c>
      <c r="AA41" s="414">
        <v>0</v>
      </c>
      <c r="AB41" s="447">
        <v>0</v>
      </c>
      <c r="AC41" s="414">
        <v>0</v>
      </c>
      <c r="AD41" s="414">
        <v>0</v>
      </c>
      <c r="AE41" s="414">
        <v>0</v>
      </c>
      <c r="AF41" s="414">
        <v>0</v>
      </c>
      <c r="AG41" s="414">
        <f>AG9</f>
        <v>14.75</v>
      </c>
      <c r="AH41" s="414">
        <f t="shared" ref="AH41:AJ41" si="41">AH9</f>
        <v>16.149999999999977</v>
      </c>
      <c r="AI41" s="414">
        <f t="shared" si="41"/>
        <v>12.850000000000023</v>
      </c>
      <c r="AJ41" s="431">
        <f t="shared" si="41"/>
        <v>0</v>
      </c>
      <c r="AK41" s="12"/>
      <c r="AL41" s="174">
        <f t="shared" si="26"/>
        <v>455.5</v>
      </c>
      <c r="AM41" s="432">
        <f t="shared" si="24"/>
        <v>411.75</v>
      </c>
      <c r="AN41" s="432">
        <f t="shared" si="29"/>
        <v>43.75</v>
      </c>
      <c r="AO41" s="175"/>
      <c r="AP41" s="174">
        <f t="shared" si="25"/>
        <v>455.5</v>
      </c>
      <c r="AQ41" s="171" t="str">
        <f t="shared" si="23"/>
        <v>V</v>
      </c>
    </row>
    <row r="42" spans="1:43" ht="15" hidden="1" customHeight="1">
      <c r="A42" t="s">
        <v>32</v>
      </c>
      <c r="B42" s="54" t="s">
        <v>459</v>
      </c>
      <c r="C42" s="43" t="s">
        <v>460</v>
      </c>
      <c r="D42" s="43" t="s">
        <v>38</v>
      </c>
      <c r="E42" s="430">
        <v>0</v>
      </c>
      <c r="F42" s="414">
        <v>0</v>
      </c>
      <c r="G42" s="447">
        <v>0</v>
      </c>
      <c r="H42" s="414">
        <v>0</v>
      </c>
      <c r="I42" s="414">
        <v>0</v>
      </c>
      <c r="J42" s="414">
        <v>0</v>
      </c>
      <c r="K42" s="414">
        <v>0</v>
      </c>
      <c r="L42" s="414">
        <v>0</v>
      </c>
      <c r="M42" s="414">
        <v>0</v>
      </c>
      <c r="N42" s="414">
        <v>0</v>
      </c>
      <c r="O42" s="414">
        <v>0</v>
      </c>
      <c r="P42" s="414">
        <v>0</v>
      </c>
      <c r="Q42" s="447">
        <v>0</v>
      </c>
      <c r="R42" s="414">
        <v>0</v>
      </c>
      <c r="S42" s="414">
        <v>0</v>
      </c>
      <c r="T42" s="414">
        <v>0</v>
      </c>
      <c r="U42" s="414">
        <v>0</v>
      </c>
      <c r="V42" s="414">
        <v>0</v>
      </c>
      <c r="W42" s="414">
        <v>0</v>
      </c>
      <c r="X42" s="414">
        <v>0</v>
      </c>
      <c r="Y42" s="414">
        <v>0</v>
      </c>
      <c r="Z42" s="414">
        <v>0</v>
      </c>
      <c r="AA42" s="414">
        <v>0</v>
      </c>
      <c r="AB42" s="447">
        <v>0</v>
      </c>
      <c r="AC42" s="414">
        <v>0</v>
      </c>
      <c r="AD42" s="414">
        <v>0</v>
      </c>
      <c r="AE42" s="414">
        <v>0</v>
      </c>
      <c r="AF42" s="414">
        <v>0</v>
      </c>
      <c r="AG42" s="414">
        <v>0</v>
      </c>
      <c r="AH42" s="414">
        <v>0</v>
      </c>
      <c r="AI42" s="414">
        <v>0</v>
      </c>
      <c r="AJ42" s="431">
        <v>0</v>
      </c>
      <c r="AK42" s="12"/>
      <c r="AL42" s="174">
        <f t="shared" si="26"/>
        <v>0</v>
      </c>
      <c r="AM42" s="432">
        <f t="shared" si="24"/>
        <v>0</v>
      </c>
      <c r="AN42" s="432">
        <f t="shared" si="29"/>
        <v>0</v>
      </c>
      <c r="AO42" s="175"/>
      <c r="AP42" s="174">
        <f t="shared" si="25"/>
        <v>0</v>
      </c>
      <c r="AQ42" s="171" t="str">
        <f t="shared" si="23"/>
        <v>V</v>
      </c>
    </row>
    <row r="43" spans="1:43" ht="15" hidden="1" customHeight="1">
      <c r="A43" t="s">
        <v>32</v>
      </c>
      <c r="B43" s="54" t="s">
        <v>461</v>
      </c>
      <c r="C43" s="43" t="s">
        <v>462</v>
      </c>
      <c r="D43" s="43" t="s">
        <v>38</v>
      </c>
      <c r="E43" s="430">
        <v>0</v>
      </c>
      <c r="F43" s="414">
        <v>0</v>
      </c>
      <c r="G43" s="447">
        <v>0</v>
      </c>
      <c r="H43" s="414">
        <v>0</v>
      </c>
      <c r="I43" s="414">
        <v>0</v>
      </c>
      <c r="J43" s="414">
        <v>0</v>
      </c>
      <c r="K43" s="414">
        <v>0</v>
      </c>
      <c r="L43" s="414">
        <v>0</v>
      </c>
      <c r="M43" s="414">
        <v>0</v>
      </c>
      <c r="N43" s="414">
        <v>0</v>
      </c>
      <c r="O43" s="414">
        <v>0</v>
      </c>
      <c r="P43" s="414">
        <v>0</v>
      </c>
      <c r="Q43" s="447">
        <v>0</v>
      </c>
      <c r="R43" s="414">
        <v>0</v>
      </c>
      <c r="S43" s="414">
        <v>0</v>
      </c>
      <c r="T43" s="414">
        <v>0</v>
      </c>
      <c r="U43" s="414">
        <v>0</v>
      </c>
      <c r="V43" s="414">
        <v>0</v>
      </c>
      <c r="W43" s="414">
        <v>0</v>
      </c>
      <c r="X43" s="414">
        <v>0</v>
      </c>
      <c r="Y43" s="414">
        <v>0</v>
      </c>
      <c r="Z43" s="414">
        <v>0</v>
      </c>
      <c r="AA43" s="414">
        <v>0</v>
      </c>
      <c r="AB43" s="447">
        <v>0</v>
      </c>
      <c r="AC43" s="414">
        <v>0</v>
      </c>
      <c r="AD43" s="414">
        <v>0</v>
      </c>
      <c r="AE43" s="414">
        <v>0</v>
      </c>
      <c r="AF43" s="414">
        <v>0</v>
      </c>
      <c r="AG43" s="414">
        <v>0</v>
      </c>
      <c r="AH43" s="414">
        <v>0</v>
      </c>
      <c r="AI43" s="414">
        <v>0</v>
      </c>
      <c r="AJ43" s="431">
        <v>0</v>
      </c>
      <c r="AK43" s="12"/>
      <c r="AL43" s="174">
        <f t="shared" si="26"/>
        <v>0</v>
      </c>
      <c r="AM43" s="432">
        <f t="shared" si="24"/>
        <v>0</v>
      </c>
      <c r="AN43" s="432">
        <f t="shared" si="29"/>
        <v>0</v>
      </c>
      <c r="AO43" s="175"/>
      <c r="AP43" s="174">
        <f t="shared" si="25"/>
        <v>0</v>
      </c>
      <c r="AQ43" s="171" t="str">
        <f t="shared" si="23"/>
        <v>V</v>
      </c>
    </row>
    <row r="44" spans="1:43" ht="15" hidden="1" customHeight="1">
      <c r="A44" t="s">
        <v>32</v>
      </c>
      <c r="B44" s="54"/>
      <c r="C44" s="43"/>
      <c r="D44" s="43" t="s">
        <v>110</v>
      </c>
      <c r="E44" s="430">
        <v>0</v>
      </c>
      <c r="F44" s="414">
        <v>0</v>
      </c>
      <c r="G44" s="447">
        <v>0</v>
      </c>
      <c r="H44" s="414">
        <v>0</v>
      </c>
      <c r="I44" s="414">
        <v>0</v>
      </c>
      <c r="J44" s="414">
        <v>0</v>
      </c>
      <c r="K44" s="414">
        <v>0</v>
      </c>
      <c r="L44" s="414">
        <v>0</v>
      </c>
      <c r="M44" s="414">
        <v>0</v>
      </c>
      <c r="N44" s="414">
        <v>0</v>
      </c>
      <c r="O44" s="414">
        <v>0</v>
      </c>
      <c r="P44" s="414">
        <v>0</v>
      </c>
      <c r="Q44" s="447">
        <v>0</v>
      </c>
      <c r="R44" s="414">
        <v>0</v>
      </c>
      <c r="S44" s="414">
        <v>0</v>
      </c>
      <c r="T44" s="414">
        <v>0</v>
      </c>
      <c r="U44" s="414">
        <v>0</v>
      </c>
      <c r="V44" s="414">
        <v>0</v>
      </c>
      <c r="W44" s="414">
        <v>0</v>
      </c>
      <c r="X44" s="414">
        <v>0</v>
      </c>
      <c r="Y44" s="414">
        <v>0</v>
      </c>
      <c r="Z44" s="414">
        <v>0</v>
      </c>
      <c r="AA44" s="414">
        <v>0</v>
      </c>
      <c r="AB44" s="447">
        <v>0</v>
      </c>
      <c r="AC44" s="414">
        <v>0</v>
      </c>
      <c r="AD44" s="414">
        <v>0</v>
      </c>
      <c r="AE44" s="414">
        <v>0</v>
      </c>
      <c r="AF44" s="414">
        <v>0</v>
      </c>
      <c r="AG44" s="414">
        <v>0</v>
      </c>
      <c r="AH44" s="414">
        <v>0</v>
      </c>
      <c r="AI44" s="414">
        <v>0</v>
      </c>
      <c r="AJ44" s="431">
        <v>0</v>
      </c>
      <c r="AK44" s="12"/>
      <c r="AL44" s="174">
        <f t="shared" si="26"/>
        <v>0</v>
      </c>
      <c r="AM44" s="432">
        <f t="shared" si="24"/>
        <v>0</v>
      </c>
      <c r="AN44" s="432">
        <f t="shared" si="29"/>
        <v>0</v>
      </c>
      <c r="AO44" s="175"/>
      <c r="AP44" s="174">
        <f t="shared" si="25"/>
        <v>0</v>
      </c>
      <c r="AQ44" s="171" t="str">
        <f t="shared" si="23"/>
        <v>V</v>
      </c>
    </row>
    <row r="45" spans="1:43" ht="15" hidden="1" customHeight="1">
      <c r="A45" t="s">
        <v>32</v>
      </c>
      <c r="B45" s="54"/>
      <c r="C45" s="43"/>
      <c r="D45" s="43"/>
      <c r="E45" s="430">
        <v>0</v>
      </c>
      <c r="F45" s="414">
        <v>0</v>
      </c>
      <c r="G45" s="447">
        <v>0</v>
      </c>
      <c r="H45" s="414">
        <v>0</v>
      </c>
      <c r="I45" s="414">
        <v>0</v>
      </c>
      <c r="J45" s="414">
        <v>0</v>
      </c>
      <c r="K45" s="414">
        <v>0</v>
      </c>
      <c r="L45" s="414">
        <v>0</v>
      </c>
      <c r="M45" s="414">
        <v>0</v>
      </c>
      <c r="N45" s="414">
        <v>0</v>
      </c>
      <c r="O45" s="414">
        <v>0</v>
      </c>
      <c r="P45" s="414">
        <v>0</v>
      </c>
      <c r="Q45" s="447">
        <v>0</v>
      </c>
      <c r="R45" s="414">
        <v>0</v>
      </c>
      <c r="S45" s="414">
        <v>0</v>
      </c>
      <c r="T45" s="414">
        <v>0</v>
      </c>
      <c r="U45" s="414">
        <v>0</v>
      </c>
      <c r="V45" s="414">
        <v>0</v>
      </c>
      <c r="W45" s="414">
        <v>0</v>
      </c>
      <c r="X45" s="414">
        <v>0</v>
      </c>
      <c r="Y45" s="414">
        <v>0</v>
      </c>
      <c r="Z45" s="414">
        <v>0</v>
      </c>
      <c r="AA45" s="414">
        <v>0</v>
      </c>
      <c r="AB45" s="447">
        <v>0</v>
      </c>
      <c r="AC45" s="414">
        <v>0</v>
      </c>
      <c r="AD45" s="414">
        <v>0</v>
      </c>
      <c r="AE45" s="414">
        <v>0</v>
      </c>
      <c r="AF45" s="414">
        <v>0</v>
      </c>
      <c r="AG45" s="414">
        <v>0</v>
      </c>
      <c r="AH45" s="414">
        <v>0</v>
      </c>
      <c r="AI45" s="414">
        <v>0</v>
      </c>
      <c r="AJ45" s="431">
        <v>0</v>
      </c>
      <c r="AK45" s="12"/>
      <c r="AL45" s="174">
        <f t="shared" si="26"/>
        <v>0</v>
      </c>
      <c r="AM45" s="432">
        <f t="shared" si="24"/>
        <v>0</v>
      </c>
      <c r="AN45" s="432">
        <f t="shared" si="29"/>
        <v>0</v>
      </c>
      <c r="AO45" s="175"/>
      <c r="AP45" s="174">
        <f t="shared" si="25"/>
        <v>0</v>
      </c>
      <c r="AQ45" s="171" t="str">
        <f t="shared" si="23"/>
        <v>V</v>
      </c>
    </row>
    <row r="46" spans="1:43" ht="15" hidden="1" customHeight="1">
      <c r="A46" t="s">
        <v>32</v>
      </c>
      <c r="B46" s="54"/>
      <c r="C46" s="43"/>
      <c r="D46" s="43"/>
      <c r="E46" s="430">
        <v>0</v>
      </c>
      <c r="F46" s="414">
        <v>0</v>
      </c>
      <c r="G46" s="447">
        <v>0</v>
      </c>
      <c r="H46" s="414">
        <v>0</v>
      </c>
      <c r="I46" s="414">
        <v>0</v>
      </c>
      <c r="J46" s="414">
        <v>0</v>
      </c>
      <c r="K46" s="414">
        <v>0</v>
      </c>
      <c r="L46" s="414">
        <v>0</v>
      </c>
      <c r="M46" s="414">
        <v>0</v>
      </c>
      <c r="N46" s="414">
        <v>0</v>
      </c>
      <c r="O46" s="414">
        <v>0</v>
      </c>
      <c r="P46" s="414">
        <v>0</v>
      </c>
      <c r="Q46" s="447">
        <v>0</v>
      </c>
      <c r="R46" s="414">
        <v>0</v>
      </c>
      <c r="S46" s="414">
        <v>0</v>
      </c>
      <c r="T46" s="414">
        <v>0</v>
      </c>
      <c r="U46" s="414">
        <v>0</v>
      </c>
      <c r="V46" s="414">
        <v>0</v>
      </c>
      <c r="W46" s="414">
        <v>0</v>
      </c>
      <c r="X46" s="414">
        <v>0</v>
      </c>
      <c r="Y46" s="414">
        <v>0</v>
      </c>
      <c r="Z46" s="414">
        <v>0</v>
      </c>
      <c r="AA46" s="414">
        <v>0</v>
      </c>
      <c r="AB46" s="447">
        <v>0</v>
      </c>
      <c r="AC46" s="414">
        <v>0</v>
      </c>
      <c r="AD46" s="414">
        <v>0</v>
      </c>
      <c r="AE46" s="414">
        <v>0</v>
      </c>
      <c r="AF46" s="414">
        <v>0</v>
      </c>
      <c r="AG46" s="414">
        <v>0</v>
      </c>
      <c r="AH46" s="414">
        <v>0</v>
      </c>
      <c r="AI46" s="414">
        <v>0</v>
      </c>
      <c r="AJ46" s="431">
        <v>0</v>
      </c>
      <c r="AK46" s="12"/>
      <c r="AL46" s="174">
        <f t="shared" si="26"/>
        <v>0</v>
      </c>
      <c r="AM46" s="432">
        <f t="shared" si="24"/>
        <v>0</v>
      </c>
      <c r="AN46" s="432">
        <f t="shared" si="29"/>
        <v>0</v>
      </c>
      <c r="AO46" s="175"/>
      <c r="AP46" s="174">
        <f t="shared" si="25"/>
        <v>0</v>
      </c>
      <c r="AQ46" s="171" t="str">
        <f t="shared" si="23"/>
        <v>V</v>
      </c>
    </row>
    <row r="47" spans="1:43" ht="15" hidden="1" customHeight="1">
      <c r="B47" s="54"/>
      <c r="C47" s="43"/>
      <c r="D47" s="43"/>
      <c r="E47" s="430">
        <v>0</v>
      </c>
      <c r="F47" s="414">
        <v>0</v>
      </c>
      <c r="G47" s="447">
        <v>0</v>
      </c>
      <c r="H47" s="414">
        <v>0</v>
      </c>
      <c r="I47" s="414">
        <v>0</v>
      </c>
      <c r="J47" s="414">
        <v>0</v>
      </c>
      <c r="K47" s="414">
        <v>0</v>
      </c>
      <c r="L47" s="414">
        <v>0</v>
      </c>
      <c r="M47" s="414">
        <v>0</v>
      </c>
      <c r="N47" s="414">
        <v>0</v>
      </c>
      <c r="O47" s="414">
        <v>0</v>
      </c>
      <c r="P47" s="414">
        <v>0</v>
      </c>
      <c r="Q47" s="447">
        <v>0</v>
      </c>
      <c r="R47" s="414">
        <v>0</v>
      </c>
      <c r="S47" s="414">
        <v>0</v>
      </c>
      <c r="T47" s="414">
        <v>0</v>
      </c>
      <c r="U47" s="414">
        <v>0</v>
      </c>
      <c r="V47" s="414">
        <v>0</v>
      </c>
      <c r="W47" s="414">
        <v>0</v>
      </c>
      <c r="X47" s="414">
        <v>0</v>
      </c>
      <c r="Y47" s="414">
        <v>0</v>
      </c>
      <c r="Z47" s="414">
        <v>0</v>
      </c>
      <c r="AA47" s="414">
        <v>0</v>
      </c>
      <c r="AB47" s="447">
        <v>0</v>
      </c>
      <c r="AC47" s="414">
        <v>0</v>
      </c>
      <c r="AD47" s="414">
        <v>0</v>
      </c>
      <c r="AE47" s="414">
        <v>0</v>
      </c>
      <c r="AF47" s="414">
        <v>0</v>
      </c>
      <c r="AG47" s="414">
        <v>0</v>
      </c>
      <c r="AH47" s="414">
        <v>0</v>
      </c>
      <c r="AI47" s="414">
        <v>0</v>
      </c>
      <c r="AJ47" s="431">
        <v>0</v>
      </c>
      <c r="AK47" s="12"/>
      <c r="AL47" s="174">
        <f t="shared" si="26"/>
        <v>0</v>
      </c>
      <c r="AM47" s="432">
        <f t="shared" si="24"/>
        <v>0</v>
      </c>
      <c r="AN47" s="432">
        <f t="shared" si="29"/>
        <v>0</v>
      </c>
      <c r="AO47" s="175"/>
      <c r="AP47" s="174">
        <f t="shared" si="25"/>
        <v>0</v>
      </c>
      <c r="AQ47" s="171" t="str">
        <f t="shared" si="23"/>
        <v>V</v>
      </c>
    </row>
    <row r="48" spans="1:43" ht="15" hidden="1" customHeight="1">
      <c r="B48" s="54"/>
      <c r="C48" s="43"/>
      <c r="D48" s="43"/>
      <c r="E48" s="430">
        <v>0</v>
      </c>
      <c r="F48" s="414">
        <v>0</v>
      </c>
      <c r="G48" s="447">
        <v>0</v>
      </c>
      <c r="H48" s="414">
        <v>0</v>
      </c>
      <c r="I48" s="414">
        <v>0</v>
      </c>
      <c r="J48" s="414">
        <v>0</v>
      </c>
      <c r="K48" s="414">
        <v>0</v>
      </c>
      <c r="L48" s="414">
        <v>0</v>
      </c>
      <c r="M48" s="414">
        <v>0</v>
      </c>
      <c r="N48" s="414">
        <v>0</v>
      </c>
      <c r="O48" s="414">
        <v>0</v>
      </c>
      <c r="P48" s="414">
        <v>0</v>
      </c>
      <c r="Q48" s="447">
        <v>0</v>
      </c>
      <c r="R48" s="414">
        <v>0</v>
      </c>
      <c r="S48" s="414">
        <v>0</v>
      </c>
      <c r="T48" s="414">
        <v>0</v>
      </c>
      <c r="U48" s="414">
        <v>0</v>
      </c>
      <c r="V48" s="414">
        <v>0</v>
      </c>
      <c r="W48" s="414">
        <v>0</v>
      </c>
      <c r="X48" s="414">
        <v>0</v>
      </c>
      <c r="Y48" s="414">
        <v>0</v>
      </c>
      <c r="Z48" s="414">
        <v>0</v>
      </c>
      <c r="AA48" s="414">
        <v>0</v>
      </c>
      <c r="AB48" s="447">
        <v>0</v>
      </c>
      <c r="AC48" s="414">
        <v>0</v>
      </c>
      <c r="AD48" s="414">
        <v>0</v>
      </c>
      <c r="AE48" s="414">
        <v>0</v>
      </c>
      <c r="AF48" s="414">
        <v>0</v>
      </c>
      <c r="AG48" s="414">
        <v>0</v>
      </c>
      <c r="AH48" s="414">
        <v>0</v>
      </c>
      <c r="AI48" s="414">
        <v>0</v>
      </c>
      <c r="AJ48" s="431">
        <v>0</v>
      </c>
      <c r="AK48" s="12"/>
      <c r="AL48" s="174">
        <f t="shared" si="26"/>
        <v>0</v>
      </c>
      <c r="AM48" s="432">
        <f t="shared" si="24"/>
        <v>0</v>
      </c>
      <c r="AN48" s="432">
        <f t="shared" si="29"/>
        <v>0</v>
      </c>
      <c r="AO48" s="175"/>
      <c r="AP48" s="174">
        <f t="shared" si="25"/>
        <v>0</v>
      </c>
      <c r="AQ48" s="171" t="str">
        <f t="shared" si="23"/>
        <v>V</v>
      </c>
    </row>
    <row r="49" spans="1:43" ht="15" hidden="1" customHeight="1">
      <c r="B49" s="54"/>
      <c r="C49" s="43"/>
      <c r="D49" s="43"/>
      <c r="E49" s="430">
        <v>0</v>
      </c>
      <c r="F49" s="414">
        <v>0</v>
      </c>
      <c r="G49" s="447">
        <v>0</v>
      </c>
      <c r="H49" s="414">
        <v>0</v>
      </c>
      <c r="I49" s="414">
        <v>0</v>
      </c>
      <c r="J49" s="414">
        <v>0</v>
      </c>
      <c r="K49" s="414">
        <v>0</v>
      </c>
      <c r="L49" s="414">
        <v>0</v>
      </c>
      <c r="M49" s="414">
        <v>0</v>
      </c>
      <c r="N49" s="414">
        <v>0</v>
      </c>
      <c r="O49" s="414">
        <v>0</v>
      </c>
      <c r="P49" s="414">
        <v>0</v>
      </c>
      <c r="Q49" s="447">
        <v>0</v>
      </c>
      <c r="R49" s="414">
        <v>0</v>
      </c>
      <c r="S49" s="414">
        <v>0</v>
      </c>
      <c r="T49" s="414">
        <v>0</v>
      </c>
      <c r="U49" s="414">
        <v>0</v>
      </c>
      <c r="V49" s="414">
        <v>0</v>
      </c>
      <c r="W49" s="414">
        <v>0</v>
      </c>
      <c r="X49" s="414">
        <v>0</v>
      </c>
      <c r="Y49" s="414">
        <v>0</v>
      </c>
      <c r="Z49" s="414">
        <v>0</v>
      </c>
      <c r="AA49" s="414">
        <v>0</v>
      </c>
      <c r="AB49" s="447">
        <v>0</v>
      </c>
      <c r="AC49" s="414">
        <v>0</v>
      </c>
      <c r="AD49" s="414">
        <v>0</v>
      </c>
      <c r="AE49" s="414">
        <v>0</v>
      </c>
      <c r="AF49" s="414">
        <v>0</v>
      </c>
      <c r="AG49" s="414">
        <v>0</v>
      </c>
      <c r="AH49" s="414">
        <v>0</v>
      </c>
      <c r="AI49" s="414">
        <v>0</v>
      </c>
      <c r="AJ49" s="431">
        <v>0</v>
      </c>
      <c r="AK49" s="12"/>
      <c r="AL49" s="174">
        <f t="shared" si="26"/>
        <v>0</v>
      </c>
      <c r="AM49" s="432">
        <f t="shared" si="24"/>
        <v>0</v>
      </c>
      <c r="AN49" s="432">
        <f t="shared" si="29"/>
        <v>0</v>
      </c>
      <c r="AO49" s="175"/>
      <c r="AP49" s="174">
        <f t="shared" si="25"/>
        <v>0</v>
      </c>
      <c r="AQ49" s="171" t="str">
        <f t="shared" si="23"/>
        <v>V</v>
      </c>
    </row>
    <row r="50" spans="1:43" ht="15" hidden="1" customHeight="1">
      <c r="B50" s="54"/>
      <c r="C50" s="43"/>
      <c r="D50" s="43"/>
      <c r="E50" s="430">
        <v>0</v>
      </c>
      <c r="F50" s="414">
        <v>0</v>
      </c>
      <c r="G50" s="447">
        <v>0</v>
      </c>
      <c r="H50" s="414">
        <v>0</v>
      </c>
      <c r="I50" s="414">
        <v>0</v>
      </c>
      <c r="J50" s="414">
        <v>0</v>
      </c>
      <c r="K50" s="414">
        <v>0</v>
      </c>
      <c r="L50" s="414">
        <v>0</v>
      </c>
      <c r="M50" s="414">
        <v>0</v>
      </c>
      <c r="N50" s="414">
        <v>0</v>
      </c>
      <c r="O50" s="414">
        <v>0</v>
      </c>
      <c r="P50" s="414">
        <v>0</v>
      </c>
      <c r="Q50" s="447">
        <v>0</v>
      </c>
      <c r="R50" s="414">
        <v>0</v>
      </c>
      <c r="S50" s="414">
        <v>0</v>
      </c>
      <c r="T50" s="414">
        <v>0</v>
      </c>
      <c r="U50" s="414">
        <v>0</v>
      </c>
      <c r="V50" s="414">
        <v>0</v>
      </c>
      <c r="W50" s="414">
        <v>0</v>
      </c>
      <c r="X50" s="414">
        <v>0</v>
      </c>
      <c r="Y50" s="414">
        <v>0</v>
      </c>
      <c r="Z50" s="414">
        <v>0</v>
      </c>
      <c r="AA50" s="414">
        <v>0</v>
      </c>
      <c r="AB50" s="447">
        <v>0</v>
      </c>
      <c r="AC50" s="414">
        <v>0</v>
      </c>
      <c r="AD50" s="414">
        <v>0</v>
      </c>
      <c r="AE50" s="414">
        <v>0</v>
      </c>
      <c r="AF50" s="414">
        <v>0</v>
      </c>
      <c r="AG50" s="414">
        <v>0</v>
      </c>
      <c r="AH50" s="414">
        <v>0</v>
      </c>
      <c r="AI50" s="414">
        <v>0</v>
      </c>
      <c r="AJ50" s="431">
        <v>0</v>
      </c>
      <c r="AK50" s="12"/>
      <c r="AL50" s="174">
        <f t="shared" si="26"/>
        <v>0</v>
      </c>
      <c r="AM50" s="432">
        <f t="shared" si="24"/>
        <v>0</v>
      </c>
      <c r="AN50" s="432">
        <f t="shared" si="29"/>
        <v>0</v>
      </c>
      <c r="AO50" s="175"/>
      <c r="AP50" s="174">
        <f t="shared" si="25"/>
        <v>0</v>
      </c>
      <c r="AQ50" s="171" t="str">
        <f t="shared" si="23"/>
        <v>V</v>
      </c>
    </row>
    <row r="51" spans="1:43" ht="15" hidden="1" customHeight="1">
      <c r="A51" t="s">
        <v>160</v>
      </c>
      <c r="B51" s="54" t="s">
        <v>165</v>
      </c>
      <c r="C51" s="43" t="s">
        <v>166</v>
      </c>
      <c r="D51" s="43" t="s">
        <v>38</v>
      </c>
      <c r="E51" s="430">
        <v>0</v>
      </c>
      <c r="F51" s="414">
        <v>0</v>
      </c>
      <c r="G51" s="447">
        <v>0</v>
      </c>
      <c r="H51" s="414">
        <v>0</v>
      </c>
      <c r="I51" s="414">
        <v>0</v>
      </c>
      <c r="J51" s="414">
        <v>0</v>
      </c>
      <c r="K51" s="414">
        <v>0</v>
      </c>
      <c r="L51" s="414">
        <v>0</v>
      </c>
      <c r="M51" s="414">
        <v>0</v>
      </c>
      <c r="N51" s="414">
        <v>0</v>
      </c>
      <c r="O51" s="414">
        <v>0</v>
      </c>
      <c r="P51" s="414">
        <v>0</v>
      </c>
      <c r="Q51" s="447">
        <v>0</v>
      </c>
      <c r="R51" s="414">
        <v>0</v>
      </c>
      <c r="S51" s="414">
        <v>0</v>
      </c>
      <c r="T51" s="414">
        <v>0</v>
      </c>
      <c r="U51" s="414">
        <v>0</v>
      </c>
      <c r="V51" s="414">
        <v>0</v>
      </c>
      <c r="W51" s="414">
        <v>0</v>
      </c>
      <c r="X51" s="414">
        <v>0</v>
      </c>
      <c r="Y51" s="414">
        <v>0</v>
      </c>
      <c r="Z51" s="414">
        <v>0</v>
      </c>
      <c r="AA51" s="414">
        <v>0</v>
      </c>
      <c r="AB51" s="447">
        <v>0</v>
      </c>
      <c r="AC51" s="414">
        <v>0</v>
      </c>
      <c r="AD51" s="414">
        <v>0</v>
      </c>
      <c r="AE51" s="414">
        <v>0</v>
      </c>
      <c r="AF51" s="414">
        <v>0</v>
      </c>
      <c r="AG51" s="414">
        <v>0</v>
      </c>
      <c r="AH51" s="414">
        <v>0</v>
      </c>
      <c r="AI51" s="414">
        <v>0</v>
      </c>
      <c r="AJ51" s="431">
        <v>0</v>
      </c>
      <c r="AK51" s="12"/>
      <c r="AL51" s="174">
        <f t="shared" si="26"/>
        <v>0</v>
      </c>
      <c r="AM51" s="432">
        <f t="shared" si="24"/>
        <v>0</v>
      </c>
      <c r="AN51" s="432">
        <f t="shared" si="29"/>
        <v>0</v>
      </c>
      <c r="AO51" s="175"/>
      <c r="AP51" s="174">
        <f t="shared" si="25"/>
        <v>0</v>
      </c>
      <c r="AQ51" s="171" t="str">
        <f t="shared" si="23"/>
        <v>V</v>
      </c>
    </row>
    <row r="52" spans="1:43" ht="15" hidden="1" customHeight="1">
      <c r="A52" t="s">
        <v>160</v>
      </c>
      <c r="B52" s="54" t="s">
        <v>168</v>
      </c>
      <c r="C52" s="43" t="s">
        <v>169</v>
      </c>
      <c r="D52" s="43" t="s">
        <v>38</v>
      </c>
      <c r="E52" s="7">
        <f>E9</f>
        <v>38.899999999999977</v>
      </c>
      <c r="F52" s="15">
        <f>F9</f>
        <v>16.400000000000006</v>
      </c>
      <c r="G52" s="447">
        <v>0</v>
      </c>
      <c r="H52" s="414">
        <v>0</v>
      </c>
      <c r="I52" s="414">
        <v>0</v>
      </c>
      <c r="J52" s="414">
        <v>0</v>
      </c>
      <c r="K52" s="414">
        <v>0</v>
      </c>
      <c r="L52" s="414">
        <v>0</v>
      </c>
      <c r="M52" s="414">
        <v>0</v>
      </c>
      <c r="N52" s="414">
        <v>0</v>
      </c>
      <c r="O52" s="414">
        <v>0</v>
      </c>
      <c r="P52" s="414">
        <v>0</v>
      </c>
      <c r="Q52" s="321">
        <f>Q9</f>
        <v>28</v>
      </c>
      <c r="R52" s="225">
        <f t="shared" ref="R52:AA52" si="42">R9</f>
        <v>35</v>
      </c>
      <c r="S52" s="225">
        <f t="shared" si="42"/>
        <v>39</v>
      </c>
      <c r="T52" s="225">
        <f t="shared" si="42"/>
        <v>30</v>
      </c>
      <c r="U52" s="225">
        <f t="shared" si="42"/>
        <v>36</v>
      </c>
      <c r="V52" s="225">
        <f t="shared" ref="V52:W52" si="43">V9</f>
        <v>13.850000000000023</v>
      </c>
      <c r="W52" s="225">
        <f t="shared" si="43"/>
        <v>4.4499999999999886</v>
      </c>
      <c r="X52" s="225">
        <f t="shared" si="42"/>
        <v>1.8000000000000114</v>
      </c>
      <c r="Y52" s="225">
        <f t="shared" si="42"/>
        <v>0</v>
      </c>
      <c r="Z52" s="225">
        <f t="shared" si="42"/>
        <v>0</v>
      </c>
      <c r="AA52" s="15">
        <f t="shared" si="42"/>
        <v>0</v>
      </c>
      <c r="AB52" s="447">
        <v>0</v>
      </c>
      <c r="AC52" s="414">
        <v>0</v>
      </c>
      <c r="AD52" s="414">
        <v>0</v>
      </c>
      <c r="AE52" s="414">
        <v>0</v>
      </c>
      <c r="AF52" s="414">
        <v>0</v>
      </c>
      <c r="AG52" s="414">
        <v>0</v>
      </c>
      <c r="AH52" s="414">
        <v>0</v>
      </c>
      <c r="AI52" s="414">
        <v>0</v>
      </c>
      <c r="AJ52" s="431">
        <v>0</v>
      </c>
      <c r="AK52" s="12"/>
      <c r="AL52" s="174">
        <f t="shared" si="26"/>
        <v>243.4</v>
      </c>
      <c r="AM52" s="432">
        <f t="shared" si="24"/>
        <v>237.15</v>
      </c>
      <c r="AN52" s="432">
        <f t="shared" si="29"/>
        <v>6.25</v>
      </c>
      <c r="AO52" s="175"/>
      <c r="AP52" s="174">
        <f t="shared" si="25"/>
        <v>243.4</v>
      </c>
      <c r="AQ52" s="171" t="str">
        <f t="shared" si="23"/>
        <v>V</v>
      </c>
    </row>
    <row r="53" spans="1:43" ht="15" hidden="1" customHeight="1">
      <c r="A53" t="s">
        <v>160</v>
      </c>
      <c r="B53" s="54" t="s">
        <v>170</v>
      </c>
      <c r="C53" s="43" t="s">
        <v>171</v>
      </c>
      <c r="D53" s="43" t="s">
        <v>38</v>
      </c>
      <c r="E53" s="430">
        <f>E9</f>
        <v>38.899999999999977</v>
      </c>
      <c r="F53" s="415">
        <f>F9</f>
        <v>16.400000000000006</v>
      </c>
      <c r="G53" s="447">
        <v>0</v>
      </c>
      <c r="H53" s="414">
        <v>0</v>
      </c>
      <c r="I53" s="414">
        <v>0</v>
      </c>
      <c r="J53" s="414">
        <v>0</v>
      </c>
      <c r="K53" s="414">
        <v>0</v>
      </c>
      <c r="L53" s="414">
        <v>0</v>
      </c>
      <c r="M53" s="414">
        <v>0</v>
      </c>
      <c r="N53" s="414">
        <v>0</v>
      </c>
      <c r="O53" s="414">
        <v>0</v>
      </c>
      <c r="P53" s="414">
        <v>0</v>
      </c>
      <c r="Q53" s="447">
        <v>0</v>
      </c>
      <c r="R53" s="414">
        <v>0</v>
      </c>
      <c r="S53" s="414">
        <v>0</v>
      </c>
      <c r="T53" s="414">
        <v>0</v>
      </c>
      <c r="U53" s="414">
        <v>0</v>
      </c>
      <c r="V53" s="414">
        <v>0</v>
      </c>
      <c r="W53" s="414">
        <v>0</v>
      </c>
      <c r="X53" s="414">
        <v>0</v>
      </c>
      <c r="Y53" s="414">
        <v>0</v>
      </c>
      <c r="Z53" s="414">
        <v>0</v>
      </c>
      <c r="AA53" s="415">
        <v>0</v>
      </c>
      <c r="AB53" s="447">
        <v>0</v>
      </c>
      <c r="AC53" s="414">
        <v>0</v>
      </c>
      <c r="AD53" s="414">
        <v>0</v>
      </c>
      <c r="AE53" s="414">
        <v>0</v>
      </c>
      <c r="AF53" s="414">
        <v>0</v>
      </c>
      <c r="AG53" s="414">
        <v>0</v>
      </c>
      <c r="AH53" s="414">
        <v>0</v>
      </c>
      <c r="AI53" s="414">
        <v>0</v>
      </c>
      <c r="AJ53" s="431">
        <v>0</v>
      </c>
      <c r="AK53" s="12"/>
      <c r="AL53" s="174">
        <f t="shared" si="26"/>
        <v>55.299999999999983</v>
      </c>
      <c r="AM53" s="432">
        <f t="shared" si="24"/>
        <v>55.299999999999983</v>
      </c>
      <c r="AN53" s="432">
        <f t="shared" si="29"/>
        <v>0</v>
      </c>
      <c r="AO53" s="175"/>
      <c r="AP53" s="174">
        <f t="shared" si="25"/>
        <v>55.299999999999983</v>
      </c>
      <c r="AQ53" s="171" t="str">
        <f t="shared" si="23"/>
        <v>V</v>
      </c>
    </row>
    <row r="54" spans="1:43" ht="15" hidden="1" customHeight="1">
      <c r="A54" t="s">
        <v>160</v>
      </c>
      <c r="B54" s="54" t="s">
        <v>172</v>
      </c>
      <c r="C54" s="43" t="s">
        <v>173</v>
      </c>
      <c r="D54" s="43" t="s">
        <v>38</v>
      </c>
      <c r="E54" s="430">
        <f>E9</f>
        <v>38.899999999999977</v>
      </c>
      <c r="F54" s="415">
        <f>F9</f>
        <v>16.400000000000006</v>
      </c>
      <c r="G54" s="447">
        <v>0</v>
      </c>
      <c r="H54" s="414">
        <v>0</v>
      </c>
      <c r="I54" s="414">
        <v>0</v>
      </c>
      <c r="J54" s="414">
        <v>0</v>
      </c>
      <c r="K54" s="414">
        <v>0</v>
      </c>
      <c r="L54" s="414">
        <v>0</v>
      </c>
      <c r="M54" s="414">
        <v>0</v>
      </c>
      <c r="N54" s="414">
        <v>0</v>
      </c>
      <c r="O54" s="414">
        <v>0</v>
      </c>
      <c r="P54" s="414">
        <v>0</v>
      </c>
      <c r="Q54" s="447">
        <v>0</v>
      </c>
      <c r="R54" s="414">
        <v>0</v>
      </c>
      <c r="S54" s="414">
        <v>0</v>
      </c>
      <c r="T54" s="414">
        <v>0</v>
      </c>
      <c r="U54" s="414">
        <v>0</v>
      </c>
      <c r="V54" s="414">
        <v>0</v>
      </c>
      <c r="W54" s="414">
        <v>0</v>
      </c>
      <c r="X54" s="414">
        <v>0</v>
      </c>
      <c r="Y54" s="414">
        <v>0</v>
      </c>
      <c r="Z54" s="414">
        <v>0</v>
      </c>
      <c r="AA54" s="415">
        <v>0</v>
      </c>
      <c r="AB54" s="447">
        <v>0</v>
      </c>
      <c r="AC54" s="414">
        <v>0</v>
      </c>
      <c r="AD54" s="414">
        <v>0</v>
      </c>
      <c r="AE54" s="414">
        <v>0</v>
      </c>
      <c r="AF54" s="414">
        <v>0</v>
      </c>
      <c r="AG54" s="414">
        <v>0</v>
      </c>
      <c r="AH54" s="414">
        <v>0</v>
      </c>
      <c r="AI54" s="414">
        <v>0</v>
      </c>
      <c r="AJ54" s="431">
        <v>0</v>
      </c>
      <c r="AK54" s="12"/>
      <c r="AL54" s="174">
        <f t="shared" si="26"/>
        <v>55.299999999999983</v>
      </c>
      <c r="AM54" s="432">
        <f t="shared" si="24"/>
        <v>55.299999999999983</v>
      </c>
      <c r="AN54" s="432">
        <f t="shared" si="29"/>
        <v>0</v>
      </c>
      <c r="AO54" s="175"/>
      <c r="AP54" s="174">
        <f t="shared" si="25"/>
        <v>55.299999999999983</v>
      </c>
      <c r="AQ54" s="171" t="str">
        <f t="shared" si="23"/>
        <v>V</v>
      </c>
    </row>
    <row r="55" spans="1:43" ht="15" hidden="1" customHeight="1">
      <c r="A55" t="s">
        <v>160</v>
      </c>
      <c r="B55" s="54" t="s">
        <v>248</v>
      </c>
      <c r="C55" s="43" t="s">
        <v>249</v>
      </c>
      <c r="D55" s="43" t="s">
        <v>110</v>
      </c>
      <c r="E55" s="430">
        <v>0</v>
      </c>
      <c r="F55" s="415">
        <v>0</v>
      </c>
      <c r="G55" s="447">
        <v>0</v>
      </c>
      <c r="H55" s="414">
        <v>0</v>
      </c>
      <c r="I55" s="414">
        <v>0</v>
      </c>
      <c r="J55" s="414">
        <v>0</v>
      </c>
      <c r="K55" s="414">
        <v>0</v>
      </c>
      <c r="L55" s="414">
        <v>0</v>
      </c>
      <c r="M55" s="414">
        <v>0</v>
      </c>
      <c r="N55" s="414">
        <v>0</v>
      </c>
      <c r="O55" s="414">
        <v>0</v>
      </c>
      <c r="P55" s="414">
        <v>0</v>
      </c>
      <c r="Q55" s="447">
        <v>0</v>
      </c>
      <c r="R55" s="414">
        <v>0</v>
      </c>
      <c r="S55" s="414">
        <v>0</v>
      </c>
      <c r="T55" s="414">
        <v>0</v>
      </c>
      <c r="U55" s="414">
        <v>0</v>
      </c>
      <c r="V55" s="414">
        <v>0</v>
      </c>
      <c r="W55" s="414">
        <v>0</v>
      </c>
      <c r="X55" s="414">
        <v>0</v>
      </c>
      <c r="Y55" s="414">
        <v>0</v>
      </c>
      <c r="Z55" s="414">
        <v>0</v>
      </c>
      <c r="AA55" s="415">
        <v>0</v>
      </c>
      <c r="AB55" s="447">
        <v>0</v>
      </c>
      <c r="AC55" s="414">
        <v>0</v>
      </c>
      <c r="AD55" s="414">
        <v>0</v>
      </c>
      <c r="AE55" s="414">
        <v>0</v>
      </c>
      <c r="AF55" s="414">
        <v>0</v>
      </c>
      <c r="AG55" s="414">
        <v>0</v>
      </c>
      <c r="AH55" s="414">
        <v>0</v>
      </c>
      <c r="AI55" s="414">
        <v>0</v>
      </c>
      <c r="AJ55" s="431">
        <v>0</v>
      </c>
      <c r="AK55" s="12"/>
      <c r="AL55" s="174">
        <f t="shared" si="26"/>
        <v>0</v>
      </c>
      <c r="AM55" s="432">
        <f t="shared" si="24"/>
        <v>0</v>
      </c>
      <c r="AN55" s="432">
        <f t="shared" si="29"/>
        <v>0</v>
      </c>
      <c r="AO55" s="175"/>
      <c r="AP55" s="174">
        <f t="shared" si="25"/>
        <v>0</v>
      </c>
      <c r="AQ55" s="171" t="str">
        <f t="shared" si="23"/>
        <v>V</v>
      </c>
    </row>
    <row r="56" spans="1:43" ht="15" customHeight="1">
      <c r="A56" t="s">
        <v>160</v>
      </c>
      <c r="B56" s="54" t="s">
        <v>250</v>
      </c>
      <c r="C56" s="43" t="s">
        <v>251</v>
      </c>
      <c r="D56" s="43" t="s">
        <v>110</v>
      </c>
      <c r="E56" s="430">
        <v>0</v>
      </c>
      <c r="F56" s="415">
        <v>0</v>
      </c>
      <c r="G56" s="447">
        <v>0</v>
      </c>
      <c r="H56" s="414">
        <v>0</v>
      </c>
      <c r="I56" s="414">
        <v>0</v>
      </c>
      <c r="J56" s="414">
        <v>0</v>
      </c>
      <c r="K56" s="414">
        <v>0</v>
      </c>
      <c r="L56" s="414">
        <v>0</v>
      </c>
      <c r="M56" s="414">
        <v>0</v>
      </c>
      <c r="N56" s="414">
        <v>0</v>
      </c>
      <c r="O56" s="414">
        <v>0</v>
      </c>
      <c r="P56" s="414">
        <v>0</v>
      </c>
      <c r="Q56" s="447">
        <v>0</v>
      </c>
      <c r="R56" s="414">
        <v>0</v>
      </c>
      <c r="S56" s="414">
        <v>0</v>
      </c>
      <c r="T56" s="414">
        <v>0</v>
      </c>
      <c r="U56" s="414">
        <v>0</v>
      </c>
      <c r="V56" s="414">
        <v>0</v>
      </c>
      <c r="W56" s="414">
        <v>0</v>
      </c>
      <c r="X56" s="414">
        <v>0</v>
      </c>
      <c r="Y56" s="414">
        <v>0</v>
      </c>
      <c r="Z56" s="414">
        <v>0</v>
      </c>
      <c r="AA56" s="415">
        <v>0</v>
      </c>
      <c r="AB56" s="447">
        <v>0</v>
      </c>
      <c r="AC56" s="414">
        <v>0</v>
      </c>
      <c r="AD56" s="414">
        <v>0</v>
      </c>
      <c r="AE56" s="414">
        <v>0</v>
      </c>
      <c r="AF56" s="414">
        <v>0</v>
      </c>
      <c r="AG56" s="414">
        <v>0</v>
      </c>
      <c r="AH56" s="414">
        <v>0</v>
      </c>
      <c r="AI56" s="414">
        <v>0</v>
      </c>
      <c r="AJ56" s="431">
        <v>0</v>
      </c>
      <c r="AK56" s="12"/>
      <c r="AL56" s="174">
        <f t="shared" si="26"/>
        <v>0</v>
      </c>
      <c r="AM56" s="432">
        <f t="shared" si="24"/>
        <v>0</v>
      </c>
      <c r="AN56" s="432">
        <f t="shared" si="29"/>
        <v>0</v>
      </c>
      <c r="AO56" s="175"/>
      <c r="AP56" s="174">
        <f t="shared" si="25"/>
        <v>0</v>
      </c>
      <c r="AQ56" s="171" t="str">
        <f t="shared" si="23"/>
        <v>V</v>
      </c>
    </row>
    <row r="57" spans="1:43" ht="15.75" hidden="1" customHeight="1">
      <c r="A57" t="s">
        <v>160</v>
      </c>
      <c r="B57" s="54" t="s">
        <v>174</v>
      </c>
      <c r="C57" s="43" t="s">
        <v>175</v>
      </c>
      <c r="D57" s="43" t="s">
        <v>38</v>
      </c>
      <c r="E57" s="430">
        <v>0</v>
      </c>
      <c r="F57" s="415">
        <v>0</v>
      </c>
      <c r="G57" s="447">
        <v>0</v>
      </c>
      <c r="H57" s="414">
        <v>0</v>
      </c>
      <c r="I57" s="414">
        <v>0</v>
      </c>
      <c r="J57" s="414">
        <v>0</v>
      </c>
      <c r="K57" s="414">
        <v>0</v>
      </c>
      <c r="L57" s="414">
        <v>0</v>
      </c>
      <c r="M57" s="414">
        <v>0</v>
      </c>
      <c r="N57" s="414">
        <v>0</v>
      </c>
      <c r="O57" s="414">
        <v>0</v>
      </c>
      <c r="P57" s="414">
        <v>0</v>
      </c>
      <c r="Q57" s="447">
        <f>Q9</f>
        <v>28</v>
      </c>
      <c r="R57" s="414">
        <f t="shared" ref="R57:AA57" si="44">R9</f>
        <v>35</v>
      </c>
      <c r="S57" s="414">
        <f t="shared" si="44"/>
        <v>39</v>
      </c>
      <c r="T57" s="414">
        <f t="shared" si="44"/>
        <v>30</v>
      </c>
      <c r="U57" s="414">
        <f t="shared" si="44"/>
        <v>36</v>
      </c>
      <c r="V57" s="414">
        <f t="shared" ref="V57:W57" si="45">V9</f>
        <v>13.850000000000023</v>
      </c>
      <c r="W57" s="414">
        <f t="shared" si="45"/>
        <v>4.4499999999999886</v>
      </c>
      <c r="X57" s="414">
        <f t="shared" si="44"/>
        <v>1.8000000000000114</v>
      </c>
      <c r="Y57" s="414">
        <f t="shared" si="44"/>
        <v>0</v>
      </c>
      <c r="Z57" s="414">
        <f t="shared" si="44"/>
        <v>0</v>
      </c>
      <c r="AA57" s="415">
        <f t="shared" si="44"/>
        <v>0</v>
      </c>
      <c r="AB57" s="447">
        <v>0</v>
      </c>
      <c r="AC57" s="414">
        <v>0</v>
      </c>
      <c r="AD57" s="414">
        <v>0</v>
      </c>
      <c r="AE57" s="414">
        <v>0</v>
      </c>
      <c r="AF57" s="414">
        <v>0</v>
      </c>
      <c r="AG57" s="414">
        <v>0</v>
      </c>
      <c r="AH57" s="414">
        <v>0</v>
      </c>
      <c r="AI57" s="414">
        <v>0</v>
      </c>
      <c r="AJ57" s="431">
        <v>0</v>
      </c>
      <c r="AK57" s="12"/>
      <c r="AL57" s="174">
        <f t="shared" si="26"/>
        <v>188.10000000000002</v>
      </c>
      <c r="AM57" s="432">
        <f t="shared" si="24"/>
        <v>181.85000000000002</v>
      </c>
      <c r="AN57" s="432">
        <f t="shared" si="29"/>
        <v>6.25</v>
      </c>
      <c r="AO57" s="175"/>
      <c r="AP57" s="174">
        <f t="shared" si="25"/>
        <v>188.10000000000002</v>
      </c>
      <c r="AQ57" s="171" t="str">
        <f t="shared" si="23"/>
        <v>V</v>
      </c>
    </row>
    <row r="58" spans="1:43" ht="15" hidden="1" customHeight="1">
      <c r="A58" t="s">
        <v>160</v>
      </c>
      <c r="B58" s="54" t="s">
        <v>252</v>
      </c>
      <c r="C58" s="43" t="s">
        <v>253</v>
      </c>
      <c r="D58" s="43" t="s">
        <v>110</v>
      </c>
      <c r="E58" s="430">
        <v>0</v>
      </c>
      <c r="F58" s="415">
        <v>0</v>
      </c>
      <c r="G58" s="447">
        <v>0</v>
      </c>
      <c r="H58" s="414">
        <v>0</v>
      </c>
      <c r="I58" s="414">
        <v>0</v>
      </c>
      <c r="J58" s="414">
        <v>0</v>
      </c>
      <c r="K58" s="414">
        <v>0</v>
      </c>
      <c r="L58" s="414">
        <v>0</v>
      </c>
      <c r="M58" s="414">
        <v>0</v>
      </c>
      <c r="N58" s="414">
        <v>0</v>
      </c>
      <c r="O58" s="414">
        <v>0</v>
      </c>
      <c r="P58" s="414">
        <v>0</v>
      </c>
      <c r="Q58" s="447">
        <f>Q9</f>
        <v>28</v>
      </c>
      <c r="R58" s="414">
        <f t="shared" ref="R58:AA58" si="46">R9</f>
        <v>35</v>
      </c>
      <c r="S58" s="414">
        <f t="shared" si="46"/>
        <v>39</v>
      </c>
      <c r="T58" s="414">
        <f t="shared" si="46"/>
        <v>30</v>
      </c>
      <c r="U58" s="414">
        <f t="shared" si="46"/>
        <v>36</v>
      </c>
      <c r="V58" s="414">
        <f t="shared" ref="V58:W58" si="47">V9</f>
        <v>13.850000000000023</v>
      </c>
      <c r="W58" s="414">
        <f t="shared" si="47"/>
        <v>4.4499999999999886</v>
      </c>
      <c r="X58" s="414">
        <f t="shared" si="46"/>
        <v>1.8000000000000114</v>
      </c>
      <c r="Y58" s="414">
        <f t="shared" si="46"/>
        <v>0</v>
      </c>
      <c r="Z58" s="414">
        <f t="shared" si="46"/>
        <v>0</v>
      </c>
      <c r="AA58" s="415">
        <f t="shared" si="46"/>
        <v>0</v>
      </c>
      <c r="AB58" s="447">
        <v>0</v>
      </c>
      <c r="AC58" s="414">
        <v>0</v>
      </c>
      <c r="AD58" s="414">
        <v>0</v>
      </c>
      <c r="AE58" s="414">
        <v>0</v>
      </c>
      <c r="AF58" s="414">
        <v>0</v>
      </c>
      <c r="AG58" s="414">
        <v>0</v>
      </c>
      <c r="AH58" s="414">
        <v>0</v>
      </c>
      <c r="AI58" s="414">
        <v>0</v>
      </c>
      <c r="AJ58" s="431">
        <v>0</v>
      </c>
      <c r="AK58" s="12"/>
      <c r="AL58" s="174">
        <f t="shared" si="26"/>
        <v>188.10000000000002</v>
      </c>
      <c r="AM58" s="432">
        <f t="shared" si="24"/>
        <v>181.85000000000002</v>
      </c>
      <c r="AN58" s="432">
        <f t="shared" si="29"/>
        <v>6.25</v>
      </c>
      <c r="AO58" s="175"/>
      <c r="AP58" s="174">
        <f t="shared" si="25"/>
        <v>188.10000000000002</v>
      </c>
      <c r="AQ58" s="171" t="str">
        <f t="shared" si="23"/>
        <v>V</v>
      </c>
    </row>
    <row r="59" spans="1:43" ht="15" hidden="1" customHeight="1">
      <c r="A59" t="s">
        <v>160</v>
      </c>
      <c r="B59" s="54" t="s">
        <v>176</v>
      </c>
      <c r="C59" s="43" t="s">
        <v>177</v>
      </c>
      <c r="D59" s="43" t="s">
        <v>38</v>
      </c>
      <c r="E59" s="430">
        <f>E9</f>
        <v>38.899999999999977</v>
      </c>
      <c r="F59" s="415">
        <f>F9</f>
        <v>16.400000000000006</v>
      </c>
      <c r="G59" s="447">
        <v>0</v>
      </c>
      <c r="H59" s="414">
        <v>0</v>
      </c>
      <c r="I59" s="414">
        <v>0</v>
      </c>
      <c r="J59" s="414">
        <v>0</v>
      </c>
      <c r="K59" s="414">
        <v>0</v>
      </c>
      <c r="L59" s="414">
        <v>0</v>
      </c>
      <c r="M59" s="414">
        <v>0</v>
      </c>
      <c r="N59" s="414">
        <v>0</v>
      </c>
      <c r="O59" s="414">
        <v>0</v>
      </c>
      <c r="P59" s="414">
        <v>0</v>
      </c>
      <c r="Q59" s="447">
        <f>Q9</f>
        <v>28</v>
      </c>
      <c r="R59" s="414">
        <f t="shared" ref="R59:AA59" si="48">R9</f>
        <v>35</v>
      </c>
      <c r="S59" s="414">
        <f t="shared" si="48"/>
        <v>39</v>
      </c>
      <c r="T59" s="414">
        <f t="shared" si="48"/>
        <v>30</v>
      </c>
      <c r="U59" s="414">
        <f t="shared" si="48"/>
        <v>36</v>
      </c>
      <c r="V59" s="414">
        <f t="shared" ref="V59:W59" si="49">V9</f>
        <v>13.850000000000023</v>
      </c>
      <c r="W59" s="414">
        <f t="shared" si="49"/>
        <v>4.4499999999999886</v>
      </c>
      <c r="X59" s="414">
        <f t="shared" si="48"/>
        <v>1.8000000000000114</v>
      </c>
      <c r="Y59" s="414">
        <f t="shared" si="48"/>
        <v>0</v>
      </c>
      <c r="Z59" s="414">
        <f t="shared" si="48"/>
        <v>0</v>
      </c>
      <c r="AA59" s="415">
        <f t="shared" si="48"/>
        <v>0</v>
      </c>
      <c r="AB59" s="447">
        <v>0</v>
      </c>
      <c r="AC59" s="414">
        <v>0</v>
      </c>
      <c r="AD59" s="414">
        <v>0</v>
      </c>
      <c r="AE59" s="414">
        <v>0</v>
      </c>
      <c r="AF59" s="414">
        <v>0</v>
      </c>
      <c r="AG59" s="414">
        <v>0</v>
      </c>
      <c r="AH59" s="414">
        <v>0</v>
      </c>
      <c r="AI59" s="414">
        <v>0</v>
      </c>
      <c r="AJ59" s="431">
        <v>0</v>
      </c>
      <c r="AK59" s="12"/>
      <c r="AL59" s="174">
        <f t="shared" si="26"/>
        <v>243.4</v>
      </c>
      <c r="AM59" s="432">
        <f t="shared" si="24"/>
        <v>237.15</v>
      </c>
      <c r="AN59" s="432">
        <f t="shared" si="29"/>
        <v>6.25</v>
      </c>
      <c r="AO59" s="175"/>
      <c r="AP59" s="174">
        <f t="shared" si="25"/>
        <v>243.4</v>
      </c>
      <c r="AQ59" s="171" t="str">
        <f t="shared" si="23"/>
        <v>V</v>
      </c>
    </row>
    <row r="60" spans="1:43" ht="15" hidden="1" customHeight="1">
      <c r="A60" t="s">
        <v>160</v>
      </c>
      <c r="B60" s="54" t="s">
        <v>178</v>
      </c>
      <c r="C60" s="43" t="s">
        <v>179</v>
      </c>
      <c r="D60" s="43" t="s">
        <v>38</v>
      </c>
      <c r="E60" s="430">
        <v>0</v>
      </c>
      <c r="F60" s="415">
        <v>0</v>
      </c>
      <c r="G60" s="447">
        <v>0</v>
      </c>
      <c r="H60" s="414">
        <v>0</v>
      </c>
      <c r="I60" s="414">
        <v>0</v>
      </c>
      <c r="J60" s="414">
        <v>0</v>
      </c>
      <c r="K60" s="414">
        <v>0</v>
      </c>
      <c r="L60" s="414">
        <v>0</v>
      </c>
      <c r="M60" s="414">
        <v>0</v>
      </c>
      <c r="N60" s="414">
        <v>0</v>
      </c>
      <c r="O60" s="414">
        <v>0</v>
      </c>
      <c r="P60" s="414">
        <v>0</v>
      </c>
      <c r="Q60" s="447">
        <v>0</v>
      </c>
      <c r="R60" s="414">
        <v>0</v>
      </c>
      <c r="S60" s="414">
        <v>0</v>
      </c>
      <c r="T60" s="414">
        <v>0</v>
      </c>
      <c r="U60" s="414">
        <v>0</v>
      </c>
      <c r="V60" s="414">
        <v>0</v>
      </c>
      <c r="W60" s="414">
        <v>0</v>
      </c>
      <c r="X60" s="414">
        <v>0</v>
      </c>
      <c r="Y60" s="414">
        <v>0</v>
      </c>
      <c r="Z60" s="414">
        <v>0</v>
      </c>
      <c r="AA60" s="415">
        <v>0</v>
      </c>
      <c r="AB60" s="447">
        <v>0</v>
      </c>
      <c r="AC60" s="414">
        <v>0</v>
      </c>
      <c r="AD60" s="414">
        <v>0</v>
      </c>
      <c r="AE60" s="414">
        <v>0</v>
      </c>
      <c r="AF60" s="414">
        <v>0</v>
      </c>
      <c r="AG60" s="414">
        <v>0</v>
      </c>
      <c r="AH60" s="414">
        <v>0</v>
      </c>
      <c r="AI60" s="414">
        <v>0</v>
      </c>
      <c r="AJ60" s="431">
        <v>0</v>
      </c>
      <c r="AK60" s="12"/>
      <c r="AL60" s="174">
        <f t="shared" si="26"/>
        <v>0</v>
      </c>
      <c r="AM60" s="432">
        <f t="shared" si="24"/>
        <v>0</v>
      </c>
      <c r="AN60" s="432">
        <f t="shared" si="29"/>
        <v>0</v>
      </c>
      <c r="AO60" s="175"/>
      <c r="AP60" s="174">
        <f t="shared" si="25"/>
        <v>0</v>
      </c>
      <c r="AQ60" s="171" t="str">
        <f t="shared" si="23"/>
        <v>V</v>
      </c>
    </row>
    <row r="61" spans="1:43" ht="15" hidden="1" customHeight="1">
      <c r="A61" t="s">
        <v>160</v>
      </c>
      <c r="B61" s="54" t="s">
        <v>180</v>
      </c>
      <c r="C61" s="43" t="s">
        <v>181</v>
      </c>
      <c r="D61" s="43" t="s">
        <v>38</v>
      </c>
      <c r="E61" s="430">
        <v>0</v>
      </c>
      <c r="F61" s="415">
        <v>0</v>
      </c>
      <c r="G61" s="447">
        <v>0</v>
      </c>
      <c r="H61" s="414">
        <v>0</v>
      </c>
      <c r="I61" s="414">
        <v>0</v>
      </c>
      <c r="J61" s="414">
        <v>0</v>
      </c>
      <c r="K61" s="414">
        <v>0</v>
      </c>
      <c r="L61" s="414">
        <v>0</v>
      </c>
      <c r="M61" s="414">
        <v>0</v>
      </c>
      <c r="N61" s="414">
        <v>0</v>
      </c>
      <c r="O61" s="414">
        <v>0</v>
      </c>
      <c r="P61" s="414">
        <v>0</v>
      </c>
      <c r="Q61" s="447">
        <v>0</v>
      </c>
      <c r="R61" s="414">
        <v>0</v>
      </c>
      <c r="S61" s="414">
        <v>0</v>
      </c>
      <c r="T61" s="414">
        <v>0</v>
      </c>
      <c r="U61" s="414">
        <v>0</v>
      </c>
      <c r="V61" s="414">
        <v>0</v>
      </c>
      <c r="W61" s="414">
        <v>0</v>
      </c>
      <c r="X61" s="414">
        <v>0</v>
      </c>
      <c r="Y61" s="414">
        <v>0</v>
      </c>
      <c r="Z61" s="414">
        <v>0</v>
      </c>
      <c r="AA61" s="415">
        <v>0</v>
      </c>
      <c r="AB61" s="447">
        <v>0</v>
      </c>
      <c r="AC61" s="414">
        <v>0</v>
      </c>
      <c r="AD61" s="414">
        <v>0</v>
      </c>
      <c r="AE61" s="414">
        <v>0</v>
      </c>
      <c r="AF61" s="414">
        <v>0</v>
      </c>
      <c r="AG61" s="414">
        <v>0</v>
      </c>
      <c r="AH61" s="414">
        <v>0</v>
      </c>
      <c r="AI61" s="414">
        <v>0</v>
      </c>
      <c r="AJ61" s="431">
        <v>0</v>
      </c>
      <c r="AK61" s="12"/>
      <c r="AL61" s="174">
        <f t="shared" si="26"/>
        <v>0</v>
      </c>
      <c r="AM61" s="432">
        <f t="shared" si="24"/>
        <v>0</v>
      </c>
      <c r="AN61" s="432">
        <f t="shared" si="29"/>
        <v>0</v>
      </c>
      <c r="AO61" s="175"/>
      <c r="AP61" s="174">
        <f t="shared" si="25"/>
        <v>0</v>
      </c>
      <c r="AQ61" s="171" t="str">
        <f t="shared" si="23"/>
        <v>V</v>
      </c>
    </row>
    <row r="62" spans="1:43" ht="15" hidden="1" customHeight="1">
      <c r="A62" t="s">
        <v>160</v>
      </c>
      <c r="B62" s="54" t="s">
        <v>182</v>
      </c>
      <c r="C62" s="43" t="s">
        <v>183</v>
      </c>
      <c r="D62" s="43" t="s">
        <v>38</v>
      </c>
      <c r="E62" s="430">
        <v>0</v>
      </c>
      <c r="F62" s="415">
        <v>0</v>
      </c>
      <c r="G62" s="447">
        <v>0</v>
      </c>
      <c r="H62" s="414">
        <v>0</v>
      </c>
      <c r="I62" s="414">
        <v>0</v>
      </c>
      <c r="J62" s="414">
        <v>0</v>
      </c>
      <c r="K62" s="414">
        <v>0</v>
      </c>
      <c r="L62" s="414">
        <v>0</v>
      </c>
      <c r="M62" s="414">
        <v>0</v>
      </c>
      <c r="N62" s="414">
        <v>0</v>
      </c>
      <c r="O62" s="414">
        <v>0</v>
      </c>
      <c r="P62" s="414">
        <v>0</v>
      </c>
      <c r="Q62" s="447">
        <v>0</v>
      </c>
      <c r="R62" s="414">
        <v>0</v>
      </c>
      <c r="S62" s="414">
        <v>0</v>
      </c>
      <c r="T62" s="414">
        <v>0</v>
      </c>
      <c r="U62" s="414">
        <v>0</v>
      </c>
      <c r="V62" s="414">
        <v>0</v>
      </c>
      <c r="W62" s="414">
        <v>0</v>
      </c>
      <c r="X62" s="414">
        <v>0</v>
      </c>
      <c r="Y62" s="414">
        <v>0</v>
      </c>
      <c r="Z62" s="414">
        <v>0</v>
      </c>
      <c r="AA62" s="415">
        <v>0</v>
      </c>
      <c r="AB62" s="447">
        <v>0</v>
      </c>
      <c r="AC62" s="414">
        <v>0</v>
      </c>
      <c r="AD62" s="414">
        <v>0</v>
      </c>
      <c r="AE62" s="414">
        <v>0</v>
      </c>
      <c r="AF62" s="414">
        <v>0</v>
      </c>
      <c r="AG62" s="414">
        <v>0</v>
      </c>
      <c r="AH62" s="414">
        <v>0</v>
      </c>
      <c r="AI62" s="414">
        <v>0</v>
      </c>
      <c r="AJ62" s="431">
        <v>0</v>
      </c>
      <c r="AK62" s="12"/>
      <c r="AL62" s="174">
        <f t="shared" si="26"/>
        <v>0</v>
      </c>
      <c r="AM62" s="432">
        <f t="shared" si="24"/>
        <v>0</v>
      </c>
      <c r="AN62" s="432">
        <f t="shared" si="29"/>
        <v>0</v>
      </c>
      <c r="AO62" s="175"/>
      <c r="AP62" s="174">
        <f t="shared" si="25"/>
        <v>0</v>
      </c>
      <c r="AQ62" s="171" t="str">
        <f t="shared" si="23"/>
        <v>V</v>
      </c>
    </row>
    <row r="63" spans="1:43" ht="15" hidden="1" customHeight="1">
      <c r="A63" t="s">
        <v>160</v>
      </c>
      <c r="B63" s="54" t="s">
        <v>185</v>
      </c>
      <c r="C63" s="43" t="s">
        <v>186</v>
      </c>
      <c r="D63" s="43" t="s">
        <v>38</v>
      </c>
      <c r="E63" s="430">
        <v>0</v>
      </c>
      <c r="F63" s="415">
        <v>0</v>
      </c>
      <c r="G63" s="447">
        <v>0</v>
      </c>
      <c r="H63" s="414">
        <v>0</v>
      </c>
      <c r="I63" s="414">
        <v>0</v>
      </c>
      <c r="J63" s="414">
        <v>0</v>
      </c>
      <c r="K63" s="414">
        <v>0</v>
      </c>
      <c r="L63" s="414">
        <v>0</v>
      </c>
      <c r="M63" s="414">
        <v>0</v>
      </c>
      <c r="N63" s="414">
        <v>0</v>
      </c>
      <c r="O63" s="414">
        <v>0</v>
      </c>
      <c r="P63" s="414">
        <v>0</v>
      </c>
      <c r="Q63" s="447">
        <v>0</v>
      </c>
      <c r="R63" s="414">
        <v>0</v>
      </c>
      <c r="S63" s="414">
        <v>0</v>
      </c>
      <c r="T63" s="414">
        <v>0</v>
      </c>
      <c r="U63" s="414">
        <v>0</v>
      </c>
      <c r="V63" s="414">
        <v>0</v>
      </c>
      <c r="W63" s="414">
        <v>0</v>
      </c>
      <c r="X63" s="414">
        <v>0</v>
      </c>
      <c r="Y63" s="414">
        <v>0</v>
      </c>
      <c r="Z63" s="414">
        <v>0</v>
      </c>
      <c r="AA63" s="415">
        <v>0</v>
      </c>
      <c r="AB63" s="447">
        <v>0</v>
      </c>
      <c r="AC63" s="414">
        <v>0</v>
      </c>
      <c r="AD63" s="414">
        <v>0</v>
      </c>
      <c r="AE63" s="414">
        <v>0</v>
      </c>
      <c r="AF63" s="414">
        <v>0</v>
      </c>
      <c r="AG63" s="414">
        <v>0</v>
      </c>
      <c r="AH63" s="414">
        <v>0</v>
      </c>
      <c r="AI63" s="414">
        <v>0</v>
      </c>
      <c r="AJ63" s="431">
        <v>0</v>
      </c>
      <c r="AK63" s="12"/>
      <c r="AL63" s="174">
        <f t="shared" si="26"/>
        <v>0</v>
      </c>
      <c r="AM63" s="432">
        <f t="shared" si="24"/>
        <v>0</v>
      </c>
      <c r="AN63" s="432">
        <f t="shared" si="29"/>
        <v>0</v>
      </c>
      <c r="AO63" s="171"/>
      <c r="AP63" s="174">
        <f t="shared" si="25"/>
        <v>0</v>
      </c>
      <c r="AQ63" s="171" t="str">
        <f t="shared" si="23"/>
        <v>V</v>
      </c>
    </row>
    <row r="64" spans="1:43" ht="15" hidden="1" customHeight="1">
      <c r="A64" t="s">
        <v>160</v>
      </c>
      <c r="B64" s="54" t="s">
        <v>187</v>
      </c>
      <c r="C64" s="43" t="s">
        <v>188</v>
      </c>
      <c r="D64" s="43" t="s">
        <v>38</v>
      </c>
      <c r="E64" s="430">
        <v>0</v>
      </c>
      <c r="F64" s="415">
        <v>0</v>
      </c>
      <c r="G64" s="447">
        <v>0</v>
      </c>
      <c r="H64" s="414">
        <v>0</v>
      </c>
      <c r="I64" s="414">
        <v>0</v>
      </c>
      <c r="J64" s="414">
        <v>0</v>
      </c>
      <c r="K64" s="414">
        <v>0</v>
      </c>
      <c r="L64" s="414">
        <v>0</v>
      </c>
      <c r="M64" s="414">
        <v>0</v>
      </c>
      <c r="N64" s="414">
        <v>0</v>
      </c>
      <c r="O64" s="414">
        <v>0</v>
      </c>
      <c r="P64" s="414">
        <v>0</v>
      </c>
      <c r="Q64" s="447">
        <v>0</v>
      </c>
      <c r="R64" s="414">
        <v>0</v>
      </c>
      <c r="S64" s="414">
        <v>0</v>
      </c>
      <c r="T64" s="414">
        <v>0</v>
      </c>
      <c r="U64" s="414">
        <v>0</v>
      </c>
      <c r="V64" s="414">
        <v>0</v>
      </c>
      <c r="W64" s="414">
        <v>0</v>
      </c>
      <c r="X64" s="414">
        <v>0</v>
      </c>
      <c r="Y64" s="414">
        <v>0</v>
      </c>
      <c r="Z64" s="414">
        <v>0</v>
      </c>
      <c r="AA64" s="415">
        <v>0</v>
      </c>
      <c r="AB64" s="447">
        <v>0</v>
      </c>
      <c r="AC64" s="414">
        <v>0</v>
      </c>
      <c r="AD64" s="414">
        <v>0</v>
      </c>
      <c r="AE64" s="414">
        <v>0</v>
      </c>
      <c r="AF64" s="414">
        <v>0</v>
      </c>
      <c r="AG64" s="414">
        <v>0</v>
      </c>
      <c r="AH64" s="414">
        <v>0</v>
      </c>
      <c r="AI64" s="414">
        <v>0</v>
      </c>
      <c r="AJ64" s="431">
        <v>0</v>
      </c>
      <c r="AK64" s="12"/>
      <c r="AL64" s="174">
        <f t="shared" si="26"/>
        <v>0</v>
      </c>
      <c r="AM64" s="432">
        <f t="shared" si="24"/>
        <v>0</v>
      </c>
      <c r="AN64" s="432">
        <f t="shared" si="29"/>
        <v>0</v>
      </c>
      <c r="AO64" s="175"/>
      <c r="AP64" s="174">
        <f t="shared" si="25"/>
        <v>0</v>
      </c>
      <c r="AQ64" s="171" t="str">
        <f t="shared" si="23"/>
        <v>V</v>
      </c>
    </row>
    <row r="65" spans="1:43" ht="15" hidden="1" customHeight="1">
      <c r="A65" t="s">
        <v>160</v>
      </c>
      <c r="B65" s="54" t="s">
        <v>189</v>
      </c>
      <c r="C65" s="43" t="s">
        <v>190</v>
      </c>
      <c r="D65" s="43" t="s">
        <v>38</v>
      </c>
      <c r="E65" s="430">
        <v>0</v>
      </c>
      <c r="F65" s="415">
        <v>0</v>
      </c>
      <c r="G65" s="447">
        <v>0</v>
      </c>
      <c r="H65" s="414">
        <v>0</v>
      </c>
      <c r="I65" s="414">
        <v>0</v>
      </c>
      <c r="J65" s="414">
        <v>0</v>
      </c>
      <c r="K65" s="414">
        <v>0</v>
      </c>
      <c r="L65" s="414">
        <v>0</v>
      </c>
      <c r="M65" s="414">
        <v>0</v>
      </c>
      <c r="N65" s="414">
        <v>0</v>
      </c>
      <c r="O65" s="414">
        <v>0</v>
      </c>
      <c r="P65" s="414">
        <v>0</v>
      </c>
      <c r="Q65" s="447">
        <f>Q9</f>
        <v>28</v>
      </c>
      <c r="R65" s="414">
        <f t="shared" ref="R65:AA65" si="50">R9</f>
        <v>35</v>
      </c>
      <c r="S65" s="414">
        <f t="shared" si="50"/>
        <v>39</v>
      </c>
      <c r="T65" s="414">
        <f t="shared" si="50"/>
        <v>30</v>
      </c>
      <c r="U65" s="414">
        <f t="shared" si="50"/>
        <v>36</v>
      </c>
      <c r="V65" s="414">
        <f t="shared" ref="V65:W65" si="51">V9</f>
        <v>13.850000000000023</v>
      </c>
      <c r="W65" s="414">
        <f t="shared" si="51"/>
        <v>4.4499999999999886</v>
      </c>
      <c r="X65" s="414">
        <f t="shared" si="50"/>
        <v>1.8000000000000114</v>
      </c>
      <c r="Y65" s="414">
        <f t="shared" si="50"/>
        <v>0</v>
      </c>
      <c r="Z65" s="414">
        <f t="shared" si="50"/>
        <v>0</v>
      </c>
      <c r="AA65" s="415">
        <f t="shared" si="50"/>
        <v>0</v>
      </c>
      <c r="AB65" s="447">
        <v>0</v>
      </c>
      <c r="AC65" s="414">
        <v>0</v>
      </c>
      <c r="AD65" s="414">
        <v>0</v>
      </c>
      <c r="AE65" s="414">
        <v>0</v>
      </c>
      <c r="AF65" s="414">
        <v>0</v>
      </c>
      <c r="AG65" s="414">
        <v>0</v>
      </c>
      <c r="AH65" s="414">
        <v>0</v>
      </c>
      <c r="AI65" s="414">
        <v>0</v>
      </c>
      <c r="AJ65" s="431">
        <v>0</v>
      </c>
      <c r="AK65" s="12"/>
      <c r="AL65" s="174">
        <f t="shared" si="26"/>
        <v>188.10000000000002</v>
      </c>
      <c r="AM65" s="432">
        <f t="shared" si="24"/>
        <v>181.85000000000002</v>
      </c>
      <c r="AN65" s="432">
        <f t="shared" si="29"/>
        <v>6.25</v>
      </c>
      <c r="AO65" s="175"/>
      <c r="AP65" s="174">
        <f t="shared" si="25"/>
        <v>188.10000000000002</v>
      </c>
      <c r="AQ65" s="171" t="str">
        <f t="shared" si="23"/>
        <v>V</v>
      </c>
    </row>
    <row r="66" spans="1:43" ht="15" hidden="1" customHeight="1">
      <c r="A66" t="s">
        <v>160</v>
      </c>
      <c r="B66" s="54" t="s">
        <v>344</v>
      </c>
      <c r="C66" s="43" t="s">
        <v>345</v>
      </c>
      <c r="D66" s="43" t="s">
        <v>308</v>
      </c>
      <c r="E66" s="430">
        <v>0</v>
      </c>
      <c r="F66" s="415">
        <v>0</v>
      </c>
      <c r="G66" s="447">
        <v>0</v>
      </c>
      <c r="H66" s="414">
        <v>0</v>
      </c>
      <c r="I66" s="414">
        <v>0</v>
      </c>
      <c r="J66" s="414">
        <v>0</v>
      </c>
      <c r="K66" s="414">
        <v>0</v>
      </c>
      <c r="L66" s="414">
        <v>0</v>
      </c>
      <c r="M66" s="414">
        <v>0</v>
      </c>
      <c r="N66" s="414">
        <v>0</v>
      </c>
      <c r="O66" s="414">
        <v>0</v>
      </c>
      <c r="P66" s="414">
        <v>0</v>
      </c>
      <c r="Q66" s="447">
        <v>0</v>
      </c>
      <c r="R66" s="414">
        <v>0</v>
      </c>
      <c r="S66" s="414">
        <v>0</v>
      </c>
      <c r="T66" s="414">
        <v>0</v>
      </c>
      <c r="U66" s="414">
        <v>0</v>
      </c>
      <c r="V66" s="414">
        <v>0</v>
      </c>
      <c r="W66" s="414">
        <v>0</v>
      </c>
      <c r="X66" s="414">
        <v>0</v>
      </c>
      <c r="Y66" s="414">
        <v>0</v>
      </c>
      <c r="Z66" s="414">
        <v>0</v>
      </c>
      <c r="AA66" s="415">
        <v>0</v>
      </c>
      <c r="AB66" s="447">
        <v>0</v>
      </c>
      <c r="AC66" s="414">
        <v>0</v>
      </c>
      <c r="AD66" s="414">
        <v>0</v>
      </c>
      <c r="AE66" s="414">
        <v>0</v>
      </c>
      <c r="AF66" s="414">
        <v>0</v>
      </c>
      <c r="AG66" s="414">
        <v>0</v>
      </c>
      <c r="AH66" s="414">
        <v>0</v>
      </c>
      <c r="AI66" s="414">
        <v>0</v>
      </c>
      <c r="AJ66" s="431">
        <v>0</v>
      </c>
      <c r="AK66" s="12"/>
      <c r="AL66" s="174">
        <f t="shared" si="26"/>
        <v>0</v>
      </c>
      <c r="AM66" s="432">
        <f t="shared" si="24"/>
        <v>0</v>
      </c>
      <c r="AN66" s="432">
        <f t="shared" si="29"/>
        <v>0</v>
      </c>
      <c r="AO66" s="175"/>
      <c r="AP66" s="174">
        <f t="shared" si="25"/>
        <v>0</v>
      </c>
      <c r="AQ66" s="171" t="str">
        <f t="shared" si="23"/>
        <v>V</v>
      </c>
    </row>
    <row r="67" spans="1:43" ht="15" hidden="1" customHeight="1">
      <c r="A67" t="s">
        <v>160</v>
      </c>
      <c r="B67" s="54" t="s">
        <v>191</v>
      </c>
      <c r="C67" s="43" t="s">
        <v>192</v>
      </c>
      <c r="D67" s="43" t="s">
        <v>38</v>
      </c>
      <c r="E67" s="430">
        <v>0</v>
      </c>
      <c r="F67" s="415">
        <v>0</v>
      </c>
      <c r="G67" s="447">
        <v>0</v>
      </c>
      <c r="H67" s="414">
        <v>0</v>
      </c>
      <c r="I67" s="414">
        <v>0</v>
      </c>
      <c r="J67" s="414">
        <v>0</v>
      </c>
      <c r="K67" s="414">
        <v>0</v>
      </c>
      <c r="L67" s="414">
        <v>0</v>
      </c>
      <c r="M67" s="414">
        <v>0</v>
      </c>
      <c r="N67" s="414">
        <v>0</v>
      </c>
      <c r="O67" s="414">
        <v>0</v>
      </c>
      <c r="P67" s="414">
        <v>0</v>
      </c>
      <c r="Q67" s="447">
        <v>0</v>
      </c>
      <c r="R67" s="414">
        <v>0</v>
      </c>
      <c r="S67" s="414">
        <v>0</v>
      </c>
      <c r="T67" s="414">
        <v>0</v>
      </c>
      <c r="U67" s="414">
        <v>0</v>
      </c>
      <c r="V67" s="414">
        <v>0</v>
      </c>
      <c r="W67" s="414">
        <v>0</v>
      </c>
      <c r="X67" s="414">
        <v>0</v>
      </c>
      <c r="Y67" s="414">
        <v>0</v>
      </c>
      <c r="Z67" s="414">
        <v>0</v>
      </c>
      <c r="AA67" s="415">
        <v>0</v>
      </c>
      <c r="AB67" s="447">
        <v>0</v>
      </c>
      <c r="AC67" s="414">
        <v>0</v>
      </c>
      <c r="AD67" s="414">
        <v>0</v>
      </c>
      <c r="AE67" s="414">
        <v>0</v>
      </c>
      <c r="AF67" s="414">
        <v>0</v>
      </c>
      <c r="AG67" s="414">
        <v>0</v>
      </c>
      <c r="AH67" s="414">
        <v>0</v>
      </c>
      <c r="AI67" s="414">
        <v>0</v>
      </c>
      <c r="AJ67" s="431">
        <v>0</v>
      </c>
      <c r="AK67" s="12"/>
      <c r="AL67" s="174">
        <f t="shared" si="26"/>
        <v>0</v>
      </c>
      <c r="AM67" s="432">
        <f t="shared" si="24"/>
        <v>0</v>
      </c>
      <c r="AN67" s="432">
        <f t="shared" si="29"/>
        <v>0</v>
      </c>
      <c r="AO67" s="175"/>
      <c r="AP67" s="174">
        <f t="shared" si="25"/>
        <v>0</v>
      </c>
      <c r="AQ67" s="171" t="str">
        <f t="shared" si="23"/>
        <v>V</v>
      </c>
    </row>
    <row r="68" spans="1:43" ht="15" hidden="1" customHeight="1">
      <c r="A68" t="s">
        <v>160</v>
      </c>
      <c r="B68" s="54" t="s">
        <v>254</v>
      </c>
      <c r="C68" s="43" t="s">
        <v>255</v>
      </c>
      <c r="D68" s="43" t="s">
        <v>110</v>
      </c>
      <c r="E68" s="430">
        <v>0</v>
      </c>
      <c r="F68" s="415">
        <v>0</v>
      </c>
      <c r="G68" s="447">
        <v>0</v>
      </c>
      <c r="H68" s="414">
        <v>0</v>
      </c>
      <c r="I68" s="414">
        <v>0</v>
      </c>
      <c r="J68" s="414">
        <v>0</v>
      </c>
      <c r="K68" s="414">
        <v>0</v>
      </c>
      <c r="L68" s="414">
        <v>0</v>
      </c>
      <c r="M68" s="414">
        <v>0</v>
      </c>
      <c r="N68" s="414">
        <v>0</v>
      </c>
      <c r="O68" s="414">
        <v>0</v>
      </c>
      <c r="P68" s="414">
        <v>0</v>
      </c>
      <c r="Q68" s="447">
        <v>0</v>
      </c>
      <c r="R68" s="414">
        <v>0</v>
      </c>
      <c r="S68" s="414">
        <v>0</v>
      </c>
      <c r="T68" s="414">
        <v>0</v>
      </c>
      <c r="U68" s="414">
        <v>0</v>
      </c>
      <c r="V68" s="414">
        <v>0</v>
      </c>
      <c r="W68" s="414">
        <v>0</v>
      </c>
      <c r="X68" s="414">
        <v>0</v>
      </c>
      <c r="Y68" s="414">
        <v>0</v>
      </c>
      <c r="Z68" s="414">
        <v>0</v>
      </c>
      <c r="AA68" s="415">
        <v>0</v>
      </c>
      <c r="AB68" s="447">
        <v>0</v>
      </c>
      <c r="AC68" s="414">
        <v>0</v>
      </c>
      <c r="AD68" s="414">
        <v>0</v>
      </c>
      <c r="AE68" s="414">
        <v>0</v>
      </c>
      <c r="AF68" s="414">
        <v>0</v>
      </c>
      <c r="AG68" s="414">
        <v>0</v>
      </c>
      <c r="AH68" s="414">
        <v>0</v>
      </c>
      <c r="AI68" s="414">
        <v>0</v>
      </c>
      <c r="AJ68" s="431">
        <v>0</v>
      </c>
      <c r="AK68" s="12"/>
      <c r="AL68" s="174">
        <f t="shared" si="26"/>
        <v>0</v>
      </c>
      <c r="AM68" s="432">
        <f t="shared" si="24"/>
        <v>0</v>
      </c>
      <c r="AN68" s="432">
        <f t="shared" si="29"/>
        <v>0</v>
      </c>
      <c r="AO68" s="175"/>
      <c r="AP68" s="174">
        <f t="shared" si="25"/>
        <v>0</v>
      </c>
      <c r="AQ68" s="171" t="str">
        <f t="shared" si="23"/>
        <v>V</v>
      </c>
    </row>
    <row r="69" spans="1:43" ht="15" hidden="1" customHeight="1">
      <c r="A69" t="s">
        <v>160</v>
      </c>
      <c r="B69" s="54" t="s">
        <v>194</v>
      </c>
      <c r="C69" s="43" t="s">
        <v>195</v>
      </c>
      <c r="D69" s="43" t="s">
        <v>38</v>
      </c>
      <c r="E69" s="430">
        <v>0</v>
      </c>
      <c r="F69" s="415">
        <v>0</v>
      </c>
      <c r="G69" s="447">
        <v>0</v>
      </c>
      <c r="H69" s="414">
        <v>0</v>
      </c>
      <c r="I69" s="414">
        <v>0</v>
      </c>
      <c r="J69" s="414">
        <v>0</v>
      </c>
      <c r="K69" s="414">
        <v>0</v>
      </c>
      <c r="L69" s="414">
        <v>0</v>
      </c>
      <c r="M69" s="414">
        <v>0</v>
      </c>
      <c r="N69" s="414">
        <v>0</v>
      </c>
      <c r="O69" s="414">
        <v>0</v>
      </c>
      <c r="P69" s="414">
        <v>0</v>
      </c>
      <c r="Q69" s="447">
        <v>0</v>
      </c>
      <c r="R69" s="414">
        <v>0</v>
      </c>
      <c r="S69" s="414">
        <v>0</v>
      </c>
      <c r="T69" s="414">
        <v>0</v>
      </c>
      <c r="U69" s="414">
        <v>0</v>
      </c>
      <c r="V69" s="414">
        <v>0</v>
      </c>
      <c r="W69" s="414">
        <v>0</v>
      </c>
      <c r="X69" s="414">
        <v>0</v>
      </c>
      <c r="Y69" s="414">
        <v>0</v>
      </c>
      <c r="Z69" s="414">
        <v>0</v>
      </c>
      <c r="AA69" s="415">
        <v>0</v>
      </c>
      <c r="AB69" s="447">
        <v>0</v>
      </c>
      <c r="AC69" s="414">
        <v>0</v>
      </c>
      <c r="AD69" s="414">
        <v>0</v>
      </c>
      <c r="AE69" s="414">
        <v>0</v>
      </c>
      <c r="AF69" s="414">
        <v>0</v>
      </c>
      <c r="AG69" s="414">
        <v>0</v>
      </c>
      <c r="AH69" s="414">
        <v>0</v>
      </c>
      <c r="AI69" s="414">
        <v>0</v>
      </c>
      <c r="AJ69" s="431">
        <v>0</v>
      </c>
      <c r="AK69" s="12"/>
      <c r="AL69" s="174">
        <f t="shared" si="26"/>
        <v>0</v>
      </c>
      <c r="AM69" s="432">
        <f t="shared" si="24"/>
        <v>0</v>
      </c>
      <c r="AN69" s="432">
        <f t="shared" si="29"/>
        <v>0</v>
      </c>
      <c r="AO69" s="175"/>
      <c r="AP69" s="174">
        <f t="shared" si="25"/>
        <v>0</v>
      </c>
      <c r="AQ69" s="171" t="str">
        <f t="shared" si="23"/>
        <v>V</v>
      </c>
    </row>
    <row r="70" spans="1:43" ht="15" hidden="1" customHeight="1">
      <c r="A70" t="s">
        <v>160</v>
      </c>
      <c r="B70" s="54" t="s">
        <v>197</v>
      </c>
      <c r="C70" s="43" t="s">
        <v>198</v>
      </c>
      <c r="D70" s="43" t="s">
        <v>38</v>
      </c>
      <c r="E70" s="430">
        <f>E9</f>
        <v>38.899999999999977</v>
      </c>
      <c r="F70" s="415">
        <f>F9</f>
        <v>16.400000000000006</v>
      </c>
      <c r="G70" s="447">
        <v>0</v>
      </c>
      <c r="H70" s="414">
        <v>0</v>
      </c>
      <c r="I70" s="414">
        <v>0</v>
      </c>
      <c r="J70" s="414">
        <v>0</v>
      </c>
      <c r="K70" s="414">
        <v>0</v>
      </c>
      <c r="L70" s="414">
        <v>0</v>
      </c>
      <c r="M70" s="414">
        <v>0</v>
      </c>
      <c r="N70" s="414">
        <v>0</v>
      </c>
      <c r="O70" s="414">
        <v>0</v>
      </c>
      <c r="P70" s="414">
        <v>0</v>
      </c>
      <c r="Q70" s="447">
        <v>0</v>
      </c>
      <c r="R70" s="414">
        <v>0</v>
      </c>
      <c r="S70" s="414">
        <v>0</v>
      </c>
      <c r="T70" s="414">
        <v>0</v>
      </c>
      <c r="U70" s="414">
        <v>0</v>
      </c>
      <c r="V70" s="414">
        <v>0</v>
      </c>
      <c r="W70" s="414">
        <v>0</v>
      </c>
      <c r="X70" s="414">
        <v>0</v>
      </c>
      <c r="Y70" s="414">
        <v>0</v>
      </c>
      <c r="Z70" s="414">
        <v>0</v>
      </c>
      <c r="AA70" s="415">
        <v>0</v>
      </c>
      <c r="AB70" s="447">
        <v>0</v>
      </c>
      <c r="AC70" s="414">
        <v>0</v>
      </c>
      <c r="AD70" s="414">
        <v>0</v>
      </c>
      <c r="AE70" s="414">
        <v>0</v>
      </c>
      <c r="AF70" s="414">
        <v>0</v>
      </c>
      <c r="AG70" s="414">
        <v>0</v>
      </c>
      <c r="AH70" s="414">
        <v>0</v>
      </c>
      <c r="AI70" s="414">
        <v>0</v>
      </c>
      <c r="AJ70" s="431">
        <v>0</v>
      </c>
      <c r="AK70" s="12"/>
      <c r="AL70" s="174">
        <f t="shared" si="26"/>
        <v>55.299999999999983</v>
      </c>
      <c r="AM70" s="432">
        <f t="shared" si="24"/>
        <v>55.299999999999983</v>
      </c>
      <c r="AN70" s="432">
        <f t="shared" si="29"/>
        <v>0</v>
      </c>
      <c r="AO70" s="175"/>
      <c r="AP70" s="174">
        <f t="shared" si="25"/>
        <v>55.299999999999983</v>
      </c>
      <c r="AQ70" s="171" t="str">
        <f t="shared" si="23"/>
        <v>V</v>
      </c>
    </row>
    <row r="71" spans="1:43" ht="15" hidden="1" customHeight="1">
      <c r="A71" t="s">
        <v>160</v>
      </c>
      <c r="B71" s="54" t="s">
        <v>199</v>
      </c>
      <c r="C71" s="43" t="s">
        <v>200</v>
      </c>
      <c r="D71" s="43" t="s">
        <v>38</v>
      </c>
      <c r="E71" s="430">
        <v>0</v>
      </c>
      <c r="F71" s="415">
        <v>0</v>
      </c>
      <c r="G71" s="447">
        <v>0</v>
      </c>
      <c r="H71" s="414">
        <v>0</v>
      </c>
      <c r="I71" s="414">
        <v>0</v>
      </c>
      <c r="J71" s="414">
        <v>0</v>
      </c>
      <c r="K71" s="414">
        <v>0</v>
      </c>
      <c r="L71" s="414">
        <v>0</v>
      </c>
      <c r="M71" s="414">
        <v>0</v>
      </c>
      <c r="N71" s="414">
        <v>0</v>
      </c>
      <c r="O71" s="414">
        <v>0</v>
      </c>
      <c r="P71" s="414">
        <v>0</v>
      </c>
      <c r="Q71" s="447">
        <v>0</v>
      </c>
      <c r="R71" s="414">
        <v>0</v>
      </c>
      <c r="S71" s="414">
        <v>0</v>
      </c>
      <c r="T71" s="414">
        <v>0</v>
      </c>
      <c r="U71" s="414">
        <v>0</v>
      </c>
      <c r="V71" s="414">
        <v>0</v>
      </c>
      <c r="W71" s="414">
        <v>0</v>
      </c>
      <c r="X71" s="414">
        <v>0</v>
      </c>
      <c r="Y71" s="414">
        <v>0</v>
      </c>
      <c r="Z71" s="414">
        <v>0</v>
      </c>
      <c r="AA71" s="415">
        <v>0</v>
      </c>
      <c r="AB71" s="447">
        <v>0</v>
      </c>
      <c r="AC71" s="414">
        <v>0</v>
      </c>
      <c r="AD71" s="414">
        <v>0</v>
      </c>
      <c r="AE71" s="414">
        <v>0</v>
      </c>
      <c r="AF71" s="414">
        <v>0</v>
      </c>
      <c r="AG71" s="414">
        <v>0</v>
      </c>
      <c r="AH71" s="414">
        <v>0</v>
      </c>
      <c r="AI71" s="414">
        <v>0</v>
      </c>
      <c r="AJ71" s="431">
        <v>0</v>
      </c>
      <c r="AK71" s="12"/>
      <c r="AL71" s="174">
        <f t="shared" si="26"/>
        <v>0</v>
      </c>
      <c r="AM71" s="432">
        <f t="shared" si="24"/>
        <v>0</v>
      </c>
      <c r="AN71" s="432">
        <f t="shared" si="29"/>
        <v>0</v>
      </c>
      <c r="AO71" s="175"/>
      <c r="AP71" s="174">
        <f t="shared" si="25"/>
        <v>0</v>
      </c>
      <c r="AQ71" s="171" t="str">
        <f t="shared" si="23"/>
        <v>V</v>
      </c>
    </row>
    <row r="72" spans="1:43" ht="15" hidden="1" customHeight="1">
      <c r="A72" t="s">
        <v>160</v>
      </c>
      <c r="B72" s="54" t="s">
        <v>202</v>
      </c>
      <c r="C72" s="43" t="s">
        <v>203</v>
      </c>
      <c r="D72" s="43" t="s">
        <v>38</v>
      </c>
      <c r="E72" s="430">
        <v>0</v>
      </c>
      <c r="F72" s="415">
        <v>0</v>
      </c>
      <c r="G72" s="447">
        <v>0</v>
      </c>
      <c r="H72" s="414">
        <v>0</v>
      </c>
      <c r="I72" s="414">
        <v>0</v>
      </c>
      <c r="J72" s="414">
        <v>0</v>
      </c>
      <c r="K72" s="414">
        <v>0</v>
      </c>
      <c r="L72" s="414">
        <v>0</v>
      </c>
      <c r="M72" s="414">
        <v>0</v>
      </c>
      <c r="N72" s="414">
        <v>0</v>
      </c>
      <c r="O72" s="414">
        <v>0</v>
      </c>
      <c r="P72" s="414">
        <v>0</v>
      </c>
      <c r="Q72" s="447">
        <v>0</v>
      </c>
      <c r="R72" s="414">
        <v>0</v>
      </c>
      <c r="S72" s="414">
        <v>0</v>
      </c>
      <c r="T72" s="414">
        <v>0</v>
      </c>
      <c r="U72" s="414">
        <v>0</v>
      </c>
      <c r="V72" s="414">
        <v>0</v>
      </c>
      <c r="W72" s="414">
        <v>0</v>
      </c>
      <c r="X72" s="414">
        <v>0</v>
      </c>
      <c r="Y72" s="414">
        <v>0</v>
      </c>
      <c r="Z72" s="414">
        <v>0</v>
      </c>
      <c r="AA72" s="415">
        <v>0</v>
      </c>
      <c r="AB72" s="447">
        <v>0</v>
      </c>
      <c r="AC72" s="414">
        <v>0</v>
      </c>
      <c r="AD72" s="414">
        <v>0</v>
      </c>
      <c r="AE72" s="414">
        <v>0</v>
      </c>
      <c r="AF72" s="414">
        <v>0</v>
      </c>
      <c r="AG72" s="414">
        <v>0</v>
      </c>
      <c r="AH72" s="414">
        <v>0</v>
      </c>
      <c r="AI72" s="414">
        <v>0</v>
      </c>
      <c r="AJ72" s="431">
        <v>0</v>
      </c>
      <c r="AK72" s="12"/>
      <c r="AL72" s="174">
        <f t="shared" si="26"/>
        <v>0</v>
      </c>
      <c r="AM72" s="432">
        <f t="shared" si="24"/>
        <v>0</v>
      </c>
      <c r="AN72" s="432">
        <f t="shared" si="29"/>
        <v>0</v>
      </c>
      <c r="AO72" s="175"/>
      <c r="AP72" s="174">
        <f t="shared" si="25"/>
        <v>0</v>
      </c>
      <c r="AQ72" s="171" t="str">
        <f t="shared" si="23"/>
        <v>V</v>
      </c>
    </row>
    <row r="73" spans="1:43" ht="15" hidden="1" customHeight="1">
      <c r="A73" t="s">
        <v>160</v>
      </c>
      <c r="B73" s="54" t="s">
        <v>256</v>
      </c>
      <c r="C73" s="43" t="s">
        <v>257</v>
      </c>
      <c r="D73" s="43" t="s">
        <v>110</v>
      </c>
      <c r="E73" s="430">
        <f>E9</f>
        <v>38.899999999999977</v>
      </c>
      <c r="F73" s="415">
        <f>F9</f>
        <v>16.400000000000006</v>
      </c>
      <c r="G73" s="447">
        <v>0</v>
      </c>
      <c r="H73" s="414">
        <v>0</v>
      </c>
      <c r="I73" s="414">
        <v>0</v>
      </c>
      <c r="J73" s="414">
        <v>0</v>
      </c>
      <c r="K73" s="414">
        <v>0</v>
      </c>
      <c r="L73" s="414">
        <v>0</v>
      </c>
      <c r="M73" s="414">
        <v>0</v>
      </c>
      <c r="N73" s="414">
        <v>0</v>
      </c>
      <c r="O73" s="414">
        <v>0</v>
      </c>
      <c r="P73" s="414">
        <v>0</v>
      </c>
      <c r="Q73" s="447">
        <v>0</v>
      </c>
      <c r="R73" s="414">
        <v>0</v>
      </c>
      <c r="S73" s="414">
        <v>0</v>
      </c>
      <c r="T73" s="414">
        <v>0</v>
      </c>
      <c r="U73" s="414">
        <v>0</v>
      </c>
      <c r="V73" s="414">
        <v>0</v>
      </c>
      <c r="W73" s="414">
        <v>0</v>
      </c>
      <c r="X73" s="414">
        <v>0</v>
      </c>
      <c r="Y73" s="414">
        <v>0</v>
      </c>
      <c r="Z73" s="414">
        <v>0</v>
      </c>
      <c r="AA73" s="415">
        <v>0</v>
      </c>
      <c r="AB73" s="447">
        <v>0</v>
      </c>
      <c r="AC73" s="414">
        <v>0</v>
      </c>
      <c r="AD73" s="414">
        <v>0</v>
      </c>
      <c r="AE73" s="414">
        <v>0</v>
      </c>
      <c r="AF73" s="414">
        <v>0</v>
      </c>
      <c r="AG73" s="414">
        <v>0</v>
      </c>
      <c r="AH73" s="414">
        <v>0</v>
      </c>
      <c r="AI73" s="414">
        <v>0</v>
      </c>
      <c r="AJ73" s="431">
        <v>0</v>
      </c>
      <c r="AK73" s="12"/>
      <c r="AL73" s="174">
        <f t="shared" si="26"/>
        <v>55.299999999999983</v>
      </c>
      <c r="AM73" s="432">
        <f t="shared" si="24"/>
        <v>55.299999999999983</v>
      </c>
      <c r="AN73" s="432">
        <f t="shared" si="29"/>
        <v>0</v>
      </c>
      <c r="AO73" s="175"/>
      <c r="AP73" s="174">
        <f t="shared" si="25"/>
        <v>55.299999999999983</v>
      </c>
      <c r="AQ73" s="171" t="str">
        <f t="shared" si="23"/>
        <v>V</v>
      </c>
    </row>
    <row r="74" spans="1:43" ht="15" hidden="1" customHeight="1">
      <c r="A74" t="s">
        <v>160</v>
      </c>
      <c r="B74" s="54" t="s">
        <v>258</v>
      </c>
      <c r="C74" s="43" t="s">
        <v>259</v>
      </c>
      <c r="D74" s="43" t="s">
        <v>110</v>
      </c>
      <c r="E74" s="430">
        <v>0</v>
      </c>
      <c r="F74" s="415">
        <v>0</v>
      </c>
      <c r="G74" s="447">
        <v>0</v>
      </c>
      <c r="H74" s="414">
        <v>0</v>
      </c>
      <c r="I74" s="414">
        <v>0</v>
      </c>
      <c r="J74" s="414">
        <v>0</v>
      </c>
      <c r="K74" s="414">
        <v>0</v>
      </c>
      <c r="L74" s="414">
        <v>0</v>
      </c>
      <c r="M74" s="414">
        <v>0</v>
      </c>
      <c r="N74" s="414">
        <v>0</v>
      </c>
      <c r="O74" s="414">
        <v>0</v>
      </c>
      <c r="P74" s="414">
        <v>0</v>
      </c>
      <c r="Q74" s="321">
        <f>Q9</f>
        <v>28</v>
      </c>
      <c r="R74" s="225">
        <f t="shared" ref="R74:AA74" si="52">R9</f>
        <v>35</v>
      </c>
      <c r="S74" s="225">
        <f t="shared" si="52"/>
        <v>39</v>
      </c>
      <c r="T74" s="225">
        <f t="shared" si="52"/>
        <v>30</v>
      </c>
      <c r="U74" s="225">
        <f t="shared" si="52"/>
        <v>36</v>
      </c>
      <c r="V74" s="225">
        <f t="shared" ref="V74:W74" si="53">V9</f>
        <v>13.850000000000023</v>
      </c>
      <c r="W74" s="225">
        <f t="shared" si="53"/>
        <v>4.4499999999999886</v>
      </c>
      <c r="X74" s="225">
        <f t="shared" si="52"/>
        <v>1.8000000000000114</v>
      </c>
      <c r="Y74" s="225">
        <f t="shared" si="52"/>
        <v>0</v>
      </c>
      <c r="Z74" s="225">
        <f t="shared" si="52"/>
        <v>0</v>
      </c>
      <c r="AA74" s="15">
        <f t="shared" si="52"/>
        <v>0</v>
      </c>
      <c r="AB74" s="447">
        <v>0</v>
      </c>
      <c r="AC74" s="414">
        <v>0</v>
      </c>
      <c r="AD74" s="414">
        <v>0</v>
      </c>
      <c r="AE74" s="414">
        <v>0</v>
      </c>
      <c r="AF74" s="414">
        <v>0</v>
      </c>
      <c r="AG74" s="414">
        <v>0</v>
      </c>
      <c r="AH74" s="414">
        <v>0</v>
      </c>
      <c r="AI74" s="414">
        <v>0</v>
      </c>
      <c r="AJ74" s="431">
        <v>0</v>
      </c>
      <c r="AK74" s="12"/>
      <c r="AL74" s="174">
        <f t="shared" si="26"/>
        <v>188.10000000000002</v>
      </c>
      <c r="AM74" s="432">
        <f t="shared" si="24"/>
        <v>181.85000000000002</v>
      </c>
      <c r="AN74" s="432">
        <f t="shared" si="29"/>
        <v>6.25</v>
      </c>
      <c r="AO74" s="175"/>
      <c r="AP74" s="174">
        <f t="shared" si="25"/>
        <v>188.10000000000002</v>
      </c>
      <c r="AQ74" s="171" t="str">
        <f t="shared" si="23"/>
        <v>V</v>
      </c>
    </row>
    <row r="75" spans="1:43" ht="15" hidden="1" customHeight="1">
      <c r="A75" t="s">
        <v>160</v>
      </c>
      <c r="B75" s="54" t="s">
        <v>260</v>
      </c>
      <c r="C75" s="43" t="s">
        <v>261</v>
      </c>
      <c r="D75" s="43" t="s">
        <v>110</v>
      </c>
      <c r="E75" s="430">
        <v>0</v>
      </c>
      <c r="F75" s="415">
        <v>0</v>
      </c>
      <c r="G75" s="447">
        <v>0</v>
      </c>
      <c r="H75" s="414">
        <v>0</v>
      </c>
      <c r="I75" s="414">
        <v>0</v>
      </c>
      <c r="J75" s="414">
        <v>0</v>
      </c>
      <c r="K75" s="414">
        <v>0</v>
      </c>
      <c r="L75" s="414">
        <v>0</v>
      </c>
      <c r="M75" s="414">
        <v>0</v>
      </c>
      <c r="N75" s="414">
        <v>0</v>
      </c>
      <c r="O75" s="414">
        <v>0</v>
      </c>
      <c r="P75" s="414">
        <v>0</v>
      </c>
      <c r="Q75" s="447">
        <v>0</v>
      </c>
      <c r="R75" s="414">
        <v>0</v>
      </c>
      <c r="S75" s="414">
        <v>0</v>
      </c>
      <c r="T75" s="414">
        <v>0</v>
      </c>
      <c r="U75" s="414">
        <v>0</v>
      </c>
      <c r="V75" s="414">
        <v>0</v>
      </c>
      <c r="W75" s="414">
        <v>0</v>
      </c>
      <c r="X75" s="414">
        <v>0</v>
      </c>
      <c r="Y75" s="414">
        <v>0</v>
      </c>
      <c r="Z75" s="414">
        <v>0</v>
      </c>
      <c r="AA75" s="415">
        <v>0</v>
      </c>
      <c r="AB75" s="447">
        <v>0</v>
      </c>
      <c r="AC75" s="414">
        <v>0</v>
      </c>
      <c r="AD75" s="414">
        <v>0</v>
      </c>
      <c r="AE75" s="414">
        <v>0</v>
      </c>
      <c r="AF75" s="414">
        <v>0</v>
      </c>
      <c r="AG75" s="414">
        <v>0</v>
      </c>
      <c r="AH75" s="414">
        <v>0</v>
      </c>
      <c r="AI75" s="414">
        <v>0</v>
      </c>
      <c r="AJ75" s="431">
        <v>0</v>
      </c>
      <c r="AK75" s="12"/>
      <c r="AL75" s="174">
        <f t="shared" si="26"/>
        <v>0</v>
      </c>
      <c r="AM75" s="432">
        <f t="shared" si="24"/>
        <v>0</v>
      </c>
      <c r="AN75" s="432">
        <f t="shared" si="29"/>
        <v>0</v>
      </c>
      <c r="AO75" s="175"/>
      <c r="AP75" s="174">
        <f t="shared" si="25"/>
        <v>0</v>
      </c>
      <c r="AQ75" s="171" t="str">
        <f t="shared" si="23"/>
        <v>V</v>
      </c>
    </row>
    <row r="76" spans="1:43" ht="15" hidden="1" customHeight="1">
      <c r="A76" t="s">
        <v>160</v>
      </c>
      <c r="B76" s="54" t="s">
        <v>262</v>
      </c>
      <c r="C76" s="43" t="s">
        <v>263</v>
      </c>
      <c r="D76" s="43" t="s">
        <v>110</v>
      </c>
      <c r="E76" s="430">
        <f>E9</f>
        <v>38.899999999999977</v>
      </c>
      <c r="F76" s="415">
        <f>F9</f>
        <v>16.400000000000006</v>
      </c>
      <c r="G76" s="447">
        <v>0</v>
      </c>
      <c r="H76" s="414">
        <v>0</v>
      </c>
      <c r="I76" s="414">
        <v>0</v>
      </c>
      <c r="J76" s="414">
        <v>0</v>
      </c>
      <c r="K76" s="414">
        <v>0</v>
      </c>
      <c r="L76" s="414">
        <v>0</v>
      </c>
      <c r="M76" s="414">
        <v>0</v>
      </c>
      <c r="N76" s="414">
        <v>0</v>
      </c>
      <c r="O76" s="414">
        <v>0</v>
      </c>
      <c r="P76" s="414">
        <v>0</v>
      </c>
      <c r="Q76" s="447">
        <f>Q9</f>
        <v>28</v>
      </c>
      <c r="R76" s="414">
        <f t="shared" ref="R76:AA76" si="54">R9</f>
        <v>35</v>
      </c>
      <c r="S76" s="414">
        <f t="shared" si="54"/>
        <v>39</v>
      </c>
      <c r="T76" s="414">
        <f t="shared" si="54"/>
        <v>30</v>
      </c>
      <c r="U76" s="414">
        <f t="shared" si="54"/>
        <v>36</v>
      </c>
      <c r="V76" s="414">
        <f t="shared" ref="V76:W76" si="55">V9</f>
        <v>13.850000000000023</v>
      </c>
      <c r="W76" s="414">
        <f t="shared" si="55"/>
        <v>4.4499999999999886</v>
      </c>
      <c r="X76" s="414">
        <f t="shared" si="54"/>
        <v>1.8000000000000114</v>
      </c>
      <c r="Y76" s="414">
        <f t="shared" si="54"/>
        <v>0</v>
      </c>
      <c r="Z76" s="414">
        <f t="shared" si="54"/>
        <v>0</v>
      </c>
      <c r="AA76" s="415">
        <f t="shared" si="54"/>
        <v>0</v>
      </c>
      <c r="AB76" s="447">
        <v>0</v>
      </c>
      <c r="AC76" s="414">
        <v>0</v>
      </c>
      <c r="AD76" s="414">
        <v>0</v>
      </c>
      <c r="AE76" s="414">
        <v>0</v>
      </c>
      <c r="AF76" s="414">
        <v>0</v>
      </c>
      <c r="AG76" s="414">
        <v>0</v>
      </c>
      <c r="AH76" s="414">
        <v>0</v>
      </c>
      <c r="AI76" s="414">
        <v>0</v>
      </c>
      <c r="AJ76" s="431">
        <v>0</v>
      </c>
      <c r="AK76" s="12"/>
      <c r="AL76" s="174">
        <f t="shared" si="26"/>
        <v>243.4</v>
      </c>
      <c r="AM76" s="432">
        <f t="shared" ref="AM76:AM90" si="56">SUM(E76:V76,AJ76)</f>
        <v>237.15</v>
      </c>
      <c r="AN76" s="432">
        <f t="shared" ref="AN76:AN90" si="57">SUM(W76:AI76)</f>
        <v>6.25</v>
      </c>
      <c r="AO76" s="175"/>
      <c r="AP76" s="174">
        <f t="shared" si="25"/>
        <v>243.4</v>
      </c>
      <c r="AQ76" s="171" t="str">
        <f t="shared" ref="AQ76:AQ90" si="58">IF(AP76=AL76,"V","F")</f>
        <v>V</v>
      </c>
    </row>
    <row r="77" spans="1:43" ht="15" hidden="1" customHeight="1">
      <c r="A77" t="s">
        <v>160</v>
      </c>
      <c r="B77" s="54" t="s">
        <v>204</v>
      </c>
      <c r="C77" s="43" t="s">
        <v>205</v>
      </c>
      <c r="D77" s="43" t="s">
        <v>38</v>
      </c>
      <c r="E77" s="430">
        <f>E9</f>
        <v>38.899999999999977</v>
      </c>
      <c r="F77" s="415">
        <f>F9</f>
        <v>16.400000000000006</v>
      </c>
      <c r="G77" s="447">
        <v>0</v>
      </c>
      <c r="H77" s="414">
        <v>0</v>
      </c>
      <c r="I77" s="414">
        <v>0</v>
      </c>
      <c r="J77" s="414">
        <v>0</v>
      </c>
      <c r="K77" s="414">
        <v>0</v>
      </c>
      <c r="L77" s="414">
        <v>0</v>
      </c>
      <c r="M77" s="414">
        <v>0</v>
      </c>
      <c r="N77" s="414">
        <v>0</v>
      </c>
      <c r="O77" s="414">
        <v>0</v>
      </c>
      <c r="P77" s="414">
        <v>0</v>
      </c>
      <c r="Q77" s="447">
        <v>0</v>
      </c>
      <c r="R77" s="414">
        <v>0</v>
      </c>
      <c r="S77" s="414">
        <v>0</v>
      </c>
      <c r="T77" s="414">
        <v>0</v>
      </c>
      <c r="U77" s="414">
        <v>0</v>
      </c>
      <c r="V77" s="414">
        <v>0</v>
      </c>
      <c r="W77" s="414">
        <v>0</v>
      </c>
      <c r="X77" s="414">
        <v>0</v>
      </c>
      <c r="Y77" s="414">
        <v>0</v>
      </c>
      <c r="Z77" s="414">
        <v>0</v>
      </c>
      <c r="AA77" s="415">
        <v>0</v>
      </c>
      <c r="AB77" s="447">
        <v>0</v>
      </c>
      <c r="AC77" s="414">
        <v>0</v>
      </c>
      <c r="AD77" s="414">
        <v>0</v>
      </c>
      <c r="AE77" s="414">
        <v>0</v>
      </c>
      <c r="AF77" s="414">
        <v>0</v>
      </c>
      <c r="AG77" s="414">
        <v>0</v>
      </c>
      <c r="AH77" s="414">
        <v>0</v>
      </c>
      <c r="AI77" s="414">
        <v>0</v>
      </c>
      <c r="AJ77" s="431">
        <v>0</v>
      </c>
      <c r="AK77" s="12"/>
      <c r="AL77" s="174">
        <f t="shared" ref="AL77:AL90" si="59">SUM(E77:AJ77)</f>
        <v>55.299999999999983</v>
      </c>
      <c r="AM77" s="432">
        <f t="shared" si="56"/>
        <v>55.299999999999983</v>
      </c>
      <c r="AN77" s="432">
        <f t="shared" si="57"/>
        <v>0</v>
      </c>
      <c r="AO77" s="175"/>
      <c r="AP77" s="174">
        <f t="shared" ref="AP77:AP90" si="60">AM77+AN77+AO77</f>
        <v>55.299999999999983</v>
      </c>
      <c r="AQ77" s="171" t="str">
        <f t="shared" si="58"/>
        <v>V</v>
      </c>
    </row>
    <row r="78" spans="1:43" ht="15" hidden="1" customHeight="1">
      <c r="A78" t="s">
        <v>160</v>
      </c>
      <c r="B78" s="54" t="s">
        <v>206</v>
      </c>
      <c r="C78" s="43" t="s">
        <v>207</v>
      </c>
      <c r="D78" s="43" t="s">
        <v>38</v>
      </c>
      <c r="E78" s="430">
        <f>E9</f>
        <v>38.899999999999977</v>
      </c>
      <c r="F78" s="415">
        <f>F9</f>
        <v>16.400000000000006</v>
      </c>
      <c r="G78" s="447">
        <v>0</v>
      </c>
      <c r="H78" s="414">
        <v>0</v>
      </c>
      <c r="I78" s="414">
        <v>0</v>
      </c>
      <c r="J78" s="414">
        <v>0</v>
      </c>
      <c r="K78" s="414">
        <v>0</v>
      </c>
      <c r="L78" s="414">
        <v>0</v>
      </c>
      <c r="M78" s="414">
        <v>0</v>
      </c>
      <c r="N78" s="414">
        <v>0</v>
      </c>
      <c r="O78" s="414">
        <v>0</v>
      </c>
      <c r="P78" s="414">
        <v>0</v>
      </c>
      <c r="Q78" s="447">
        <v>0</v>
      </c>
      <c r="R78" s="414">
        <v>0</v>
      </c>
      <c r="S78" s="414">
        <v>0</v>
      </c>
      <c r="T78" s="414">
        <v>0</v>
      </c>
      <c r="U78" s="414">
        <v>0</v>
      </c>
      <c r="V78" s="414">
        <v>0</v>
      </c>
      <c r="W78" s="414">
        <v>0</v>
      </c>
      <c r="X78" s="414">
        <v>0</v>
      </c>
      <c r="Y78" s="414">
        <v>0</v>
      </c>
      <c r="Z78" s="414">
        <v>0</v>
      </c>
      <c r="AA78" s="415">
        <v>0</v>
      </c>
      <c r="AB78" s="447">
        <v>0</v>
      </c>
      <c r="AC78" s="414">
        <v>0</v>
      </c>
      <c r="AD78" s="414">
        <v>0</v>
      </c>
      <c r="AE78" s="414">
        <v>0</v>
      </c>
      <c r="AF78" s="414">
        <v>0</v>
      </c>
      <c r="AG78" s="414">
        <v>0</v>
      </c>
      <c r="AH78" s="414">
        <v>0</v>
      </c>
      <c r="AI78" s="414">
        <v>0</v>
      </c>
      <c r="AJ78" s="431">
        <v>0</v>
      </c>
      <c r="AK78" s="12"/>
      <c r="AL78" s="174">
        <f t="shared" si="59"/>
        <v>55.299999999999983</v>
      </c>
      <c r="AM78" s="432">
        <f t="shared" si="56"/>
        <v>55.299999999999983</v>
      </c>
      <c r="AN78" s="432">
        <f t="shared" si="57"/>
        <v>0</v>
      </c>
      <c r="AO78" s="175"/>
      <c r="AP78" s="174">
        <f t="shared" si="60"/>
        <v>55.299999999999983</v>
      </c>
      <c r="AQ78" s="171" t="str">
        <f t="shared" si="58"/>
        <v>V</v>
      </c>
    </row>
    <row r="79" spans="1:43" ht="15" hidden="1" customHeight="1">
      <c r="A79" t="s">
        <v>160</v>
      </c>
      <c r="B79" s="54">
        <v>120321557</v>
      </c>
      <c r="C79" s="43" t="s">
        <v>320</v>
      </c>
      <c r="D79" s="43" t="s">
        <v>110</v>
      </c>
      <c r="E79" s="430">
        <v>0</v>
      </c>
      <c r="F79" s="415">
        <v>0</v>
      </c>
      <c r="G79" s="447">
        <v>0</v>
      </c>
      <c r="H79" s="414">
        <v>0</v>
      </c>
      <c r="I79" s="414">
        <v>0</v>
      </c>
      <c r="J79" s="414">
        <v>0</v>
      </c>
      <c r="K79" s="414">
        <v>0</v>
      </c>
      <c r="L79" s="414">
        <v>0</v>
      </c>
      <c r="M79" s="414">
        <v>0</v>
      </c>
      <c r="N79" s="414">
        <v>0</v>
      </c>
      <c r="O79" s="414">
        <v>0</v>
      </c>
      <c r="P79" s="414">
        <v>0</v>
      </c>
      <c r="Q79" s="447">
        <v>0</v>
      </c>
      <c r="R79" s="414">
        <v>0</v>
      </c>
      <c r="S79" s="414">
        <v>0</v>
      </c>
      <c r="T79" s="414">
        <v>0</v>
      </c>
      <c r="U79" s="414">
        <v>0</v>
      </c>
      <c r="V79" s="414">
        <v>0</v>
      </c>
      <c r="W79" s="414">
        <v>0</v>
      </c>
      <c r="X79" s="414">
        <v>0</v>
      </c>
      <c r="Y79" s="414">
        <v>0</v>
      </c>
      <c r="Z79" s="414">
        <v>0</v>
      </c>
      <c r="AA79" s="415">
        <v>0</v>
      </c>
      <c r="AB79" s="447">
        <v>0</v>
      </c>
      <c r="AC79" s="414">
        <v>0</v>
      </c>
      <c r="AD79" s="414">
        <v>0</v>
      </c>
      <c r="AE79" s="414">
        <v>0</v>
      </c>
      <c r="AF79" s="414">
        <v>0</v>
      </c>
      <c r="AG79" s="414">
        <v>0</v>
      </c>
      <c r="AH79" s="414">
        <v>0</v>
      </c>
      <c r="AI79" s="414">
        <v>0</v>
      </c>
      <c r="AJ79" s="431">
        <v>0</v>
      </c>
      <c r="AK79" s="12"/>
      <c r="AL79" s="174">
        <f t="shared" si="59"/>
        <v>0</v>
      </c>
      <c r="AM79" s="432">
        <f t="shared" si="56"/>
        <v>0</v>
      </c>
      <c r="AN79" s="432">
        <f t="shared" si="57"/>
        <v>0</v>
      </c>
      <c r="AO79" s="175"/>
      <c r="AP79" s="174">
        <f t="shared" si="60"/>
        <v>0</v>
      </c>
      <c r="AQ79" s="171" t="str">
        <f t="shared" si="58"/>
        <v>V</v>
      </c>
    </row>
    <row r="80" spans="1:43" ht="15" hidden="1" customHeight="1">
      <c r="A80" t="s">
        <v>160</v>
      </c>
      <c r="B80" s="54" t="s">
        <v>208</v>
      </c>
      <c r="C80" s="43" t="s">
        <v>209</v>
      </c>
      <c r="D80" s="43" t="s">
        <v>38</v>
      </c>
      <c r="E80" s="430">
        <f>E9</f>
        <v>38.899999999999977</v>
      </c>
      <c r="F80" s="415">
        <f>F9</f>
        <v>16.400000000000006</v>
      </c>
      <c r="G80" s="447">
        <v>0</v>
      </c>
      <c r="H80" s="414">
        <v>0</v>
      </c>
      <c r="I80" s="414">
        <v>0</v>
      </c>
      <c r="J80" s="414">
        <v>0</v>
      </c>
      <c r="K80" s="414">
        <v>0</v>
      </c>
      <c r="L80" s="414">
        <v>0</v>
      </c>
      <c r="M80" s="414">
        <v>0</v>
      </c>
      <c r="N80" s="414">
        <v>0</v>
      </c>
      <c r="O80" s="414">
        <v>0</v>
      </c>
      <c r="P80" s="414">
        <v>0</v>
      </c>
      <c r="Q80" s="447">
        <f>Q9</f>
        <v>28</v>
      </c>
      <c r="R80" s="414">
        <f t="shared" ref="R80:AA80" si="61">R9</f>
        <v>35</v>
      </c>
      <c r="S80" s="414">
        <f t="shared" si="61"/>
        <v>39</v>
      </c>
      <c r="T80" s="414">
        <f t="shared" si="61"/>
        <v>30</v>
      </c>
      <c r="U80" s="414">
        <f t="shared" si="61"/>
        <v>36</v>
      </c>
      <c r="V80" s="414">
        <f t="shared" ref="V80:W80" si="62">V9</f>
        <v>13.850000000000023</v>
      </c>
      <c r="W80" s="414">
        <f t="shared" si="62"/>
        <v>4.4499999999999886</v>
      </c>
      <c r="X80" s="414">
        <f t="shared" si="61"/>
        <v>1.8000000000000114</v>
      </c>
      <c r="Y80" s="414">
        <f t="shared" si="61"/>
        <v>0</v>
      </c>
      <c r="Z80" s="414">
        <f t="shared" si="61"/>
        <v>0</v>
      </c>
      <c r="AA80" s="415">
        <f t="shared" si="61"/>
        <v>0</v>
      </c>
      <c r="AB80" s="447">
        <v>0</v>
      </c>
      <c r="AC80" s="414">
        <v>0</v>
      </c>
      <c r="AD80" s="414">
        <v>0</v>
      </c>
      <c r="AE80" s="414">
        <v>0</v>
      </c>
      <c r="AF80" s="414">
        <v>0</v>
      </c>
      <c r="AG80" s="414">
        <v>0</v>
      </c>
      <c r="AH80" s="414">
        <v>0</v>
      </c>
      <c r="AI80" s="414">
        <v>0</v>
      </c>
      <c r="AJ80" s="431">
        <v>0</v>
      </c>
      <c r="AK80" s="12"/>
      <c r="AL80" s="174">
        <f t="shared" si="59"/>
        <v>243.4</v>
      </c>
      <c r="AM80" s="432">
        <f t="shared" si="56"/>
        <v>237.15</v>
      </c>
      <c r="AN80" s="432">
        <f t="shared" si="57"/>
        <v>6.25</v>
      </c>
      <c r="AO80" s="175"/>
      <c r="AP80" s="174">
        <f t="shared" si="60"/>
        <v>243.4</v>
      </c>
      <c r="AQ80" s="171" t="str">
        <f t="shared" si="58"/>
        <v>V</v>
      </c>
    </row>
    <row r="81" spans="1:43" ht="15" hidden="1" customHeight="1">
      <c r="A81" t="s">
        <v>160</v>
      </c>
      <c r="B81" s="54" t="s">
        <v>210</v>
      </c>
      <c r="C81" s="43" t="s">
        <v>211</v>
      </c>
      <c r="D81" s="43" t="s">
        <v>38</v>
      </c>
      <c r="E81" s="430">
        <f>E9</f>
        <v>38.899999999999977</v>
      </c>
      <c r="F81" s="415">
        <f>F9</f>
        <v>16.400000000000006</v>
      </c>
      <c r="G81" s="447">
        <v>0</v>
      </c>
      <c r="H81" s="414">
        <v>0</v>
      </c>
      <c r="I81" s="414">
        <v>0</v>
      </c>
      <c r="J81" s="414">
        <v>0</v>
      </c>
      <c r="K81" s="414">
        <v>0</v>
      </c>
      <c r="L81" s="414">
        <v>0</v>
      </c>
      <c r="M81" s="414">
        <v>0</v>
      </c>
      <c r="N81" s="414">
        <v>0</v>
      </c>
      <c r="O81" s="414">
        <v>0</v>
      </c>
      <c r="P81" s="414">
        <v>0</v>
      </c>
      <c r="Q81" s="447">
        <f>Q9</f>
        <v>28</v>
      </c>
      <c r="R81" s="414">
        <f t="shared" ref="R81:AA81" si="63">R9</f>
        <v>35</v>
      </c>
      <c r="S81" s="414">
        <f t="shared" si="63"/>
        <v>39</v>
      </c>
      <c r="T81" s="414">
        <f t="shared" si="63"/>
        <v>30</v>
      </c>
      <c r="U81" s="414">
        <f t="shared" si="63"/>
        <v>36</v>
      </c>
      <c r="V81" s="414">
        <f t="shared" ref="V81:W81" si="64">V9</f>
        <v>13.850000000000023</v>
      </c>
      <c r="W81" s="414">
        <f t="shared" si="64"/>
        <v>4.4499999999999886</v>
      </c>
      <c r="X81" s="414">
        <f t="shared" si="63"/>
        <v>1.8000000000000114</v>
      </c>
      <c r="Y81" s="414">
        <f t="shared" si="63"/>
        <v>0</v>
      </c>
      <c r="Z81" s="414">
        <f t="shared" si="63"/>
        <v>0</v>
      </c>
      <c r="AA81" s="415">
        <f t="shared" si="63"/>
        <v>0</v>
      </c>
      <c r="AB81" s="447">
        <v>0</v>
      </c>
      <c r="AC81" s="414">
        <v>0</v>
      </c>
      <c r="AD81" s="414">
        <v>0</v>
      </c>
      <c r="AE81" s="414">
        <v>0</v>
      </c>
      <c r="AF81" s="414">
        <v>0</v>
      </c>
      <c r="AG81" s="414">
        <v>0</v>
      </c>
      <c r="AH81" s="414">
        <v>0</v>
      </c>
      <c r="AI81" s="414">
        <v>0</v>
      </c>
      <c r="AJ81" s="431">
        <v>0</v>
      </c>
      <c r="AK81" s="12"/>
      <c r="AL81" s="174">
        <f t="shared" si="59"/>
        <v>243.4</v>
      </c>
      <c r="AM81" s="432">
        <f t="shared" si="56"/>
        <v>237.15</v>
      </c>
      <c r="AN81" s="432">
        <f t="shared" si="57"/>
        <v>6.25</v>
      </c>
      <c r="AO81" s="175"/>
      <c r="AP81" s="174">
        <f t="shared" si="60"/>
        <v>243.4</v>
      </c>
      <c r="AQ81" s="171" t="str">
        <f t="shared" si="58"/>
        <v>V</v>
      </c>
    </row>
    <row r="82" spans="1:43" ht="15" hidden="1" customHeight="1">
      <c r="A82" t="s">
        <v>160</v>
      </c>
      <c r="B82" s="54"/>
      <c r="C82" s="43"/>
      <c r="D82" s="43"/>
      <c r="E82" s="430">
        <v>0</v>
      </c>
      <c r="F82" s="414">
        <v>0</v>
      </c>
      <c r="G82" s="447">
        <v>0</v>
      </c>
      <c r="H82" s="414">
        <v>0</v>
      </c>
      <c r="I82" s="414">
        <v>0</v>
      </c>
      <c r="J82" s="414">
        <v>0</v>
      </c>
      <c r="K82" s="414">
        <v>0</v>
      </c>
      <c r="L82" s="414">
        <v>0</v>
      </c>
      <c r="M82" s="414">
        <v>0</v>
      </c>
      <c r="N82" s="414">
        <v>0</v>
      </c>
      <c r="O82" s="414">
        <v>0</v>
      </c>
      <c r="P82" s="414">
        <v>0</v>
      </c>
      <c r="Q82" s="447">
        <v>0</v>
      </c>
      <c r="R82" s="414">
        <v>0</v>
      </c>
      <c r="S82" s="414">
        <v>0</v>
      </c>
      <c r="T82" s="414">
        <v>0</v>
      </c>
      <c r="U82" s="414">
        <v>0</v>
      </c>
      <c r="V82" s="414">
        <v>0</v>
      </c>
      <c r="W82" s="414">
        <v>0</v>
      </c>
      <c r="X82" s="414">
        <v>0</v>
      </c>
      <c r="Y82" s="414">
        <v>0</v>
      </c>
      <c r="Z82" s="414">
        <v>0</v>
      </c>
      <c r="AA82" s="414">
        <v>0</v>
      </c>
      <c r="AB82" s="447">
        <v>0</v>
      </c>
      <c r="AC82" s="414">
        <v>0</v>
      </c>
      <c r="AD82" s="414">
        <v>0</v>
      </c>
      <c r="AE82" s="414">
        <v>0</v>
      </c>
      <c r="AF82" s="414">
        <v>0</v>
      </c>
      <c r="AG82" s="414">
        <v>0</v>
      </c>
      <c r="AH82" s="414">
        <v>0</v>
      </c>
      <c r="AI82" s="414">
        <v>0</v>
      </c>
      <c r="AJ82" s="431">
        <v>0</v>
      </c>
      <c r="AK82" s="12"/>
      <c r="AL82" s="174">
        <f t="shared" si="59"/>
        <v>0</v>
      </c>
      <c r="AM82" s="432">
        <f t="shared" si="56"/>
        <v>0</v>
      </c>
      <c r="AN82" s="432">
        <f t="shared" si="57"/>
        <v>0</v>
      </c>
      <c r="AO82" s="175"/>
      <c r="AP82" s="174">
        <f t="shared" si="60"/>
        <v>0</v>
      </c>
      <c r="AQ82" s="171" t="str">
        <f t="shared" si="58"/>
        <v>V</v>
      </c>
    </row>
    <row r="83" spans="1:43" ht="15" hidden="1" customHeight="1">
      <c r="A83" t="s">
        <v>160</v>
      </c>
      <c r="B83" s="54"/>
      <c r="C83" s="43"/>
      <c r="D83" s="43"/>
      <c r="E83" s="430">
        <v>0</v>
      </c>
      <c r="F83" s="414">
        <v>0</v>
      </c>
      <c r="G83" s="447">
        <v>0</v>
      </c>
      <c r="H83" s="414">
        <v>0</v>
      </c>
      <c r="I83" s="414">
        <v>0</v>
      </c>
      <c r="J83" s="414">
        <v>0</v>
      </c>
      <c r="K83" s="414">
        <v>0</v>
      </c>
      <c r="L83" s="414">
        <v>0</v>
      </c>
      <c r="M83" s="414">
        <v>0</v>
      </c>
      <c r="N83" s="414">
        <v>0</v>
      </c>
      <c r="O83" s="414">
        <v>0</v>
      </c>
      <c r="P83" s="414">
        <v>0</v>
      </c>
      <c r="Q83" s="447">
        <v>0</v>
      </c>
      <c r="R83" s="414">
        <v>0</v>
      </c>
      <c r="S83" s="414">
        <v>0</v>
      </c>
      <c r="T83" s="414">
        <v>0</v>
      </c>
      <c r="U83" s="414">
        <v>0</v>
      </c>
      <c r="V83" s="414">
        <v>0</v>
      </c>
      <c r="W83" s="414">
        <v>0</v>
      </c>
      <c r="X83" s="414">
        <v>0</v>
      </c>
      <c r="Y83" s="414">
        <v>0</v>
      </c>
      <c r="Z83" s="414">
        <v>0</v>
      </c>
      <c r="AA83" s="414">
        <v>0</v>
      </c>
      <c r="AB83" s="447">
        <v>0</v>
      </c>
      <c r="AC83" s="414">
        <v>0</v>
      </c>
      <c r="AD83" s="414">
        <v>0</v>
      </c>
      <c r="AE83" s="414">
        <v>0</v>
      </c>
      <c r="AF83" s="414">
        <v>0</v>
      </c>
      <c r="AG83" s="414">
        <v>0</v>
      </c>
      <c r="AH83" s="414">
        <v>0</v>
      </c>
      <c r="AI83" s="414">
        <v>0</v>
      </c>
      <c r="AJ83" s="431">
        <v>0</v>
      </c>
      <c r="AK83" s="12"/>
      <c r="AL83" s="174">
        <f t="shared" si="59"/>
        <v>0</v>
      </c>
      <c r="AM83" s="432">
        <f t="shared" si="56"/>
        <v>0</v>
      </c>
      <c r="AN83" s="432">
        <f t="shared" si="57"/>
        <v>0</v>
      </c>
      <c r="AO83" s="175"/>
      <c r="AP83" s="174">
        <f t="shared" si="60"/>
        <v>0</v>
      </c>
      <c r="AQ83" s="171" t="str">
        <f t="shared" si="58"/>
        <v>V</v>
      </c>
    </row>
    <row r="84" spans="1:43" ht="15" hidden="1" customHeight="1">
      <c r="A84" t="s">
        <v>160</v>
      </c>
      <c r="B84" s="54"/>
      <c r="C84" s="43"/>
      <c r="D84" s="43"/>
      <c r="E84" s="430">
        <v>0</v>
      </c>
      <c r="F84" s="414">
        <v>0</v>
      </c>
      <c r="G84" s="447">
        <v>0</v>
      </c>
      <c r="H84" s="414">
        <v>0</v>
      </c>
      <c r="I84" s="414">
        <v>0</v>
      </c>
      <c r="J84" s="414">
        <v>0</v>
      </c>
      <c r="K84" s="414">
        <v>0</v>
      </c>
      <c r="L84" s="414">
        <v>0</v>
      </c>
      <c r="M84" s="414">
        <v>0</v>
      </c>
      <c r="N84" s="414">
        <v>0</v>
      </c>
      <c r="O84" s="414">
        <v>0</v>
      </c>
      <c r="P84" s="414">
        <v>0</v>
      </c>
      <c r="Q84" s="447">
        <v>0</v>
      </c>
      <c r="R84" s="414">
        <v>0</v>
      </c>
      <c r="S84" s="414">
        <v>0</v>
      </c>
      <c r="T84" s="414">
        <v>0</v>
      </c>
      <c r="U84" s="414">
        <v>0</v>
      </c>
      <c r="V84" s="414">
        <v>0</v>
      </c>
      <c r="W84" s="414">
        <v>0</v>
      </c>
      <c r="X84" s="414">
        <v>0</v>
      </c>
      <c r="Y84" s="414">
        <v>0</v>
      </c>
      <c r="Z84" s="414">
        <v>0</v>
      </c>
      <c r="AA84" s="414">
        <v>0</v>
      </c>
      <c r="AB84" s="447">
        <v>0</v>
      </c>
      <c r="AC84" s="414">
        <v>0</v>
      </c>
      <c r="AD84" s="414">
        <v>0</v>
      </c>
      <c r="AE84" s="414">
        <v>0</v>
      </c>
      <c r="AF84" s="414">
        <v>0</v>
      </c>
      <c r="AG84" s="414">
        <v>0</v>
      </c>
      <c r="AH84" s="414">
        <v>0</v>
      </c>
      <c r="AI84" s="414">
        <v>0</v>
      </c>
      <c r="AJ84" s="431">
        <v>0</v>
      </c>
      <c r="AK84" s="12"/>
      <c r="AL84" s="174">
        <f t="shared" si="59"/>
        <v>0</v>
      </c>
      <c r="AM84" s="432">
        <f t="shared" si="56"/>
        <v>0</v>
      </c>
      <c r="AN84" s="432">
        <f t="shared" si="57"/>
        <v>0</v>
      </c>
      <c r="AO84" s="175"/>
      <c r="AP84" s="174">
        <f t="shared" si="60"/>
        <v>0</v>
      </c>
      <c r="AQ84" s="171" t="str">
        <f t="shared" si="58"/>
        <v>V</v>
      </c>
    </row>
    <row r="85" spans="1:43" ht="15" hidden="1" customHeight="1">
      <c r="A85" t="s">
        <v>160</v>
      </c>
      <c r="B85" s="54"/>
      <c r="C85" s="43"/>
      <c r="D85" s="43"/>
      <c r="E85" s="430">
        <v>0</v>
      </c>
      <c r="F85" s="414">
        <v>0</v>
      </c>
      <c r="G85" s="447">
        <v>0</v>
      </c>
      <c r="H85" s="414">
        <v>0</v>
      </c>
      <c r="I85" s="414">
        <v>0</v>
      </c>
      <c r="J85" s="414">
        <v>0</v>
      </c>
      <c r="K85" s="414">
        <v>0</v>
      </c>
      <c r="L85" s="414">
        <v>0</v>
      </c>
      <c r="M85" s="414">
        <v>0</v>
      </c>
      <c r="N85" s="414">
        <v>0</v>
      </c>
      <c r="O85" s="414">
        <v>0</v>
      </c>
      <c r="P85" s="414">
        <v>0</v>
      </c>
      <c r="Q85" s="447">
        <v>0</v>
      </c>
      <c r="R85" s="414">
        <v>0</v>
      </c>
      <c r="S85" s="414">
        <v>0</v>
      </c>
      <c r="T85" s="414">
        <v>0</v>
      </c>
      <c r="U85" s="414">
        <v>0</v>
      </c>
      <c r="V85" s="414">
        <v>0</v>
      </c>
      <c r="W85" s="414">
        <v>0</v>
      </c>
      <c r="X85" s="414">
        <v>0</v>
      </c>
      <c r="Y85" s="414">
        <v>0</v>
      </c>
      <c r="Z85" s="414">
        <v>0</v>
      </c>
      <c r="AA85" s="414">
        <v>0</v>
      </c>
      <c r="AB85" s="447">
        <v>0</v>
      </c>
      <c r="AC85" s="414">
        <v>0</v>
      </c>
      <c r="AD85" s="414">
        <v>0</v>
      </c>
      <c r="AE85" s="414">
        <v>0</v>
      </c>
      <c r="AF85" s="414">
        <v>0</v>
      </c>
      <c r="AG85" s="414">
        <v>0</v>
      </c>
      <c r="AH85" s="414">
        <v>0</v>
      </c>
      <c r="AI85" s="414">
        <v>0</v>
      </c>
      <c r="AJ85" s="431">
        <v>0</v>
      </c>
      <c r="AK85" s="12"/>
      <c r="AL85" s="174">
        <f t="shared" si="59"/>
        <v>0</v>
      </c>
      <c r="AM85" s="432">
        <f t="shared" si="56"/>
        <v>0</v>
      </c>
      <c r="AN85" s="432">
        <f t="shared" si="57"/>
        <v>0</v>
      </c>
      <c r="AO85" s="175"/>
      <c r="AP85" s="174">
        <f t="shared" si="60"/>
        <v>0</v>
      </c>
      <c r="AQ85" s="171" t="str">
        <f t="shared" si="58"/>
        <v>V</v>
      </c>
    </row>
    <row r="86" spans="1:43" ht="15" hidden="1" customHeight="1">
      <c r="A86" t="s">
        <v>160</v>
      </c>
      <c r="B86" s="54"/>
      <c r="C86" s="43"/>
      <c r="D86" s="43"/>
      <c r="E86" s="430">
        <v>0</v>
      </c>
      <c r="F86" s="414">
        <v>0</v>
      </c>
      <c r="G86" s="447">
        <v>0</v>
      </c>
      <c r="H86" s="414">
        <v>0</v>
      </c>
      <c r="I86" s="414">
        <v>0</v>
      </c>
      <c r="J86" s="414">
        <v>0</v>
      </c>
      <c r="K86" s="414">
        <v>0</v>
      </c>
      <c r="L86" s="414">
        <v>0</v>
      </c>
      <c r="M86" s="414">
        <v>0</v>
      </c>
      <c r="N86" s="414">
        <v>0</v>
      </c>
      <c r="O86" s="414">
        <v>0</v>
      </c>
      <c r="P86" s="414">
        <v>0</v>
      </c>
      <c r="Q86" s="447">
        <v>0</v>
      </c>
      <c r="R86" s="414">
        <v>0</v>
      </c>
      <c r="S86" s="414">
        <v>0</v>
      </c>
      <c r="T86" s="414">
        <v>0</v>
      </c>
      <c r="U86" s="414">
        <v>0</v>
      </c>
      <c r="V86" s="414">
        <v>0</v>
      </c>
      <c r="W86" s="414">
        <v>0</v>
      </c>
      <c r="X86" s="414">
        <v>0</v>
      </c>
      <c r="Y86" s="414">
        <v>0</v>
      </c>
      <c r="Z86" s="414">
        <v>0</v>
      </c>
      <c r="AA86" s="414">
        <v>0</v>
      </c>
      <c r="AB86" s="447">
        <v>0</v>
      </c>
      <c r="AC86" s="414">
        <v>0</v>
      </c>
      <c r="AD86" s="414">
        <v>0</v>
      </c>
      <c r="AE86" s="414">
        <v>0</v>
      </c>
      <c r="AF86" s="414">
        <v>0</v>
      </c>
      <c r="AG86" s="414">
        <v>0</v>
      </c>
      <c r="AH86" s="414">
        <v>0</v>
      </c>
      <c r="AI86" s="414">
        <v>0</v>
      </c>
      <c r="AJ86" s="431">
        <v>0</v>
      </c>
      <c r="AK86" s="12"/>
      <c r="AL86" s="174">
        <f t="shared" si="59"/>
        <v>0</v>
      </c>
      <c r="AM86" s="432">
        <f t="shared" si="56"/>
        <v>0</v>
      </c>
      <c r="AN86" s="432">
        <f t="shared" si="57"/>
        <v>0</v>
      </c>
      <c r="AO86" s="175"/>
      <c r="AP86" s="174">
        <f t="shared" si="60"/>
        <v>0</v>
      </c>
      <c r="AQ86" s="171" t="str">
        <f t="shared" si="58"/>
        <v>V</v>
      </c>
    </row>
    <row r="87" spans="1:43" ht="15" hidden="1" customHeight="1">
      <c r="A87" t="s">
        <v>160</v>
      </c>
      <c r="B87" s="54"/>
      <c r="C87" s="43"/>
      <c r="D87" s="43"/>
      <c r="E87" s="430">
        <v>0</v>
      </c>
      <c r="F87" s="414">
        <v>0</v>
      </c>
      <c r="G87" s="447">
        <v>0</v>
      </c>
      <c r="H87" s="414">
        <v>0</v>
      </c>
      <c r="I87" s="414">
        <v>0</v>
      </c>
      <c r="J87" s="414">
        <v>0</v>
      </c>
      <c r="K87" s="414">
        <v>0</v>
      </c>
      <c r="L87" s="414">
        <v>0</v>
      </c>
      <c r="M87" s="414">
        <v>0</v>
      </c>
      <c r="N87" s="414">
        <v>0</v>
      </c>
      <c r="O87" s="414">
        <v>0</v>
      </c>
      <c r="P87" s="414">
        <v>0</v>
      </c>
      <c r="Q87" s="447">
        <v>0</v>
      </c>
      <c r="R87" s="414">
        <v>0</v>
      </c>
      <c r="S87" s="414">
        <v>0</v>
      </c>
      <c r="T87" s="414">
        <v>0</v>
      </c>
      <c r="U87" s="414">
        <v>0</v>
      </c>
      <c r="V87" s="414">
        <v>0</v>
      </c>
      <c r="W87" s="414">
        <v>0</v>
      </c>
      <c r="X87" s="414">
        <v>0</v>
      </c>
      <c r="Y87" s="414">
        <v>0</v>
      </c>
      <c r="Z87" s="414">
        <v>0</v>
      </c>
      <c r="AA87" s="414">
        <v>0</v>
      </c>
      <c r="AB87" s="447">
        <v>0</v>
      </c>
      <c r="AC87" s="414">
        <v>0</v>
      </c>
      <c r="AD87" s="414">
        <v>0</v>
      </c>
      <c r="AE87" s="414">
        <v>0</v>
      </c>
      <c r="AF87" s="414">
        <v>0</v>
      </c>
      <c r="AG87" s="414">
        <v>0</v>
      </c>
      <c r="AH87" s="414">
        <v>0</v>
      </c>
      <c r="AI87" s="414">
        <v>0</v>
      </c>
      <c r="AJ87" s="431">
        <v>0</v>
      </c>
      <c r="AK87" s="12"/>
      <c r="AL87" s="174">
        <f t="shared" si="59"/>
        <v>0</v>
      </c>
      <c r="AM87" s="432">
        <f t="shared" si="56"/>
        <v>0</v>
      </c>
      <c r="AN87" s="432">
        <f t="shared" si="57"/>
        <v>0</v>
      </c>
      <c r="AO87" s="175"/>
      <c r="AP87" s="174">
        <f t="shared" si="60"/>
        <v>0</v>
      </c>
      <c r="AQ87" s="171" t="str">
        <f t="shared" si="58"/>
        <v>V</v>
      </c>
    </row>
    <row r="88" spans="1:43" ht="15" hidden="1" customHeight="1">
      <c r="A88" t="s">
        <v>160</v>
      </c>
      <c r="B88" s="54"/>
      <c r="C88" s="43"/>
      <c r="D88" s="43"/>
      <c r="E88" s="430">
        <v>0</v>
      </c>
      <c r="F88" s="414">
        <v>0</v>
      </c>
      <c r="G88" s="447">
        <v>0</v>
      </c>
      <c r="H88" s="414">
        <v>0</v>
      </c>
      <c r="I88" s="414">
        <v>0</v>
      </c>
      <c r="J88" s="414">
        <v>0</v>
      </c>
      <c r="K88" s="414">
        <v>0</v>
      </c>
      <c r="L88" s="414">
        <v>0</v>
      </c>
      <c r="M88" s="414">
        <v>0</v>
      </c>
      <c r="N88" s="414">
        <v>0</v>
      </c>
      <c r="O88" s="414">
        <v>0</v>
      </c>
      <c r="P88" s="414">
        <v>0</v>
      </c>
      <c r="Q88" s="447">
        <v>0</v>
      </c>
      <c r="R88" s="414">
        <v>0</v>
      </c>
      <c r="S88" s="414">
        <v>0</v>
      </c>
      <c r="T88" s="414">
        <v>0</v>
      </c>
      <c r="U88" s="414">
        <v>0</v>
      </c>
      <c r="V88" s="414">
        <v>0</v>
      </c>
      <c r="W88" s="414">
        <v>0</v>
      </c>
      <c r="X88" s="414">
        <v>0</v>
      </c>
      <c r="Y88" s="414">
        <v>0</v>
      </c>
      <c r="Z88" s="414">
        <v>0</v>
      </c>
      <c r="AA88" s="414">
        <v>0</v>
      </c>
      <c r="AB88" s="447">
        <v>0</v>
      </c>
      <c r="AC88" s="414">
        <v>0</v>
      </c>
      <c r="AD88" s="414">
        <v>0</v>
      </c>
      <c r="AE88" s="414">
        <v>0</v>
      </c>
      <c r="AF88" s="414">
        <v>0</v>
      </c>
      <c r="AG88" s="414">
        <v>0</v>
      </c>
      <c r="AH88" s="414">
        <v>0</v>
      </c>
      <c r="AI88" s="414">
        <v>0</v>
      </c>
      <c r="AJ88" s="431">
        <v>0</v>
      </c>
      <c r="AK88" s="12"/>
      <c r="AL88" s="174">
        <f t="shared" si="59"/>
        <v>0</v>
      </c>
      <c r="AM88" s="432">
        <f t="shared" si="56"/>
        <v>0</v>
      </c>
      <c r="AN88" s="432">
        <f t="shared" si="57"/>
        <v>0</v>
      </c>
      <c r="AO88" s="175"/>
      <c r="AP88" s="174">
        <f t="shared" si="60"/>
        <v>0</v>
      </c>
      <c r="AQ88" s="171" t="str">
        <f t="shared" si="58"/>
        <v>V</v>
      </c>
    </row>
    <row r="89" spans="1:43" ht="15" hidden="1" customHeight="1">
      <c r="A89" t="s">
        <v>160</v>
      </c>
      <c r="B89" s="54"/>
      <c r="C89" s="43"/>
      <c r="D89" s="43"/>
      <c r="E89" s="430">
        <v>0</v>
      </c>
      <c r="F89" s="414">
        <v>0</v>
      </c>
      <c r="G89" s="447">
        <v>0</v>
      </c>
      <c r="H89" s="414">
        <v>0</v>
      </c>
      <c r="I89" s="414">
        <v>0</v>
      </c>
      <c r="J89" s="414">
        <v>0</v>
      </c>
      <c r="K89" s="414">
        <v>0</v>
      </c>
      <c r="L89" s="414">
        <v>0</v>
      </c>
      <c r="M89" s="414">
        <v>0</v>
      </c>
      <c r="N89" s="414">
        <v>0</v>
      </c>
      <c r="O89" s="414">
        <v>0</v>
      </c>
      <c r="P89" s="414">
        <v>0</v>
      </c>
      <c r="Q89" s="447">
        <v>0</v>
      </c>
      <c r="R89" s="414">
        <v>0</v>
      </c>
      <c r="S89" s="414">
        <v>0</v>
      </c>
      <c r="T89" s="414">
        <v>0</v>
      </c>
      <c r="U89" s="414">
        <v>0</v>
      </c>
      <c r="V89" s="414">
        <v>0</v>
      </c>
      <c r="W89" s="414">
        <v>0</v>
      </c>
      <c r="X89" s="414">
        <v>0</v>
      </c>
      <c r="Y89" s="414">
        <v>0</v>
      </c>
      <c r="Z89" s="414">
        <v>0</v>
      </c>
      <c r="AA89" s="414">
        <v>0</v>
      </c>
      <c r="AB89" s="447">
        <v>0</v>
      </c>
      <c r="AC89" s="414">
        <v>0</v>
      </c>
      <c r="AD89" s="414">
        <v>0</v>
      </c>
      <c r="AE89" s="414">
        <v>0</v>
      </c>
      <c r="AF89" s="414">
        <v>0</v>
      </c>
      <c r="AG89" s="414">
        <v>0</v>
      </c>
      <c r="AH89" s="414">
        <v>0</v>
      </c>
      <c r="AI89" s="414">
        <v>0</v>
      </c>
      <c r="AJ89" s="431">
        <v>0</v>
      </c>
      <c r="AK89" s="12"/>
      <c r="AL89" s="174">
        <f t="shared" si="59"/>
        <v>0</v>
      </c>
      <c r="AM89" s="432">
        <f t="shared" si="56"/>
        <v>0</v>
      </c>
      <c r="AN89" s="432">
        <f t="shared" si="57"/>
        <v>0</v>
      </c>
      <c r="AO89" s="175"/>
      <c r="AP89" s="174">
        <f t="shared" si="60"/>
        <v>0</v>
      </c>
      <c r="AQ89" s="171" t="str">
        <f t="shared" si="58"/>
        <v>V</v>
      </c>
    </row>
    <row r="90" spans="1:43" ht="15" hidden="1" customHeight="1" thickBot="1">
      <c r="A90" t="s">
        <v>160</v>
      </c>
      <c r="B90" s="55"/>
      <c r="C90" s="44"/>
      <c r="D90" s="44"/>
      <c r="E90" s="430">
        <v>0</v>
      </c>
      <c r="F90" s="414">
        <v>0</v>
      </c>
      <c r="G90" s="447">
        <v>0</v>
      </c>
      <c r="H90" s="414">
        <v>0</v>
      </c>
      <c r="I90" s="414">
        <v>0</v>
      </c>
      <c r="J90" s="414">
        <v>0</v>
      </c>
      <c r="K90" s="414">
        <v>0</v>
      </c>
      <c r="L90" s="414">
        <v>0</v>
      </c>
      <c r="M90" s="414">
        <v>0</v>
      </c>
      <c r="N90" s="414">
        <v>0</v>
      </c>
      <c r="O90" s="414">
        <v>0</v>
      </c>
      <c r="P90" s="414">
        <v>0</v>
      </c>
      <c r="Q90" s="447">
        <v>0</v>
      </c>
      <c r="R90" s="414">
        <v>0</v>
      </c>
      <c r="S90" s="414">
        <v>0</v>
      </c>
      <c r="T90" s="414">
        <v>0</v>
      </c>
      <c r="U90" s="414">
        <v>0</v>
      </c>
      <c r="V90" s="414">
        <v>0</v>
      </c>
      <c r="W90" s="414">
        <v>0</v>
      </c>
      <c r="X90" s="414">
        <v>0</v>
      </c>
      <c r="Y90" s="414">
        <v>0</v>
      </c>
      <c r="Z90" s="414">
        <v>0</v>
      </c>
      <c r="AA90" s="414">
        <v>0</v>
      </c>
      <c r="AB90" s="447">
        <v>0</v>
      </c>
      <c r="AC90" s="414">
        <v>0</v>
      </c>
      <c r="AD90" s="414">
        <v>0</v>
      </c>
      <c r="AE90" s="414">
        <v>0</v>
      </c>
      <c r="AF90" s="414">
        <v>0</v>
      </c>
      <c r="AG90" s="414">
        <v>0</v>
      </c>
      <c r="AH90" s="414">
        <v>0</v>
      </c>
      <c r="AI90" s="414">
        <v>0</v>
      </c>
      <c r="AJ90" s="431">
        <v>0</v>
      </c>
      <c r="AK90" s="56"/>
      <c r="AL90" s="174">
        <f t="shared" si="59"/>
        <v>0</v>
      </c>
      <c r="AM90" s="432">
        <f t="shared" si="56"/>
        <v>0</v>
      </c>
      <c r="AN90" s="432">
        <f t="shared" si="57"/>
        <v>0</v>
      </c>
      <c r="AO90" s="177"/>
      <c r="AP90" s="176">
        <f t="shared" si="60"/>
        <v>0</v>
      </c>
      <c r="AQ90" s="171" t="str">
        <f t="shared" si="58"/>
        <v>V</v>
      </c>
    </row>
    <row r="91" spans="1:43" ht="15.75" customHeight="1"/>
  </sheetData>
  <autoFilter ref="A10:AS90" xr:uid="{00000000-0001-0000-0A00-000000000000}">
    <filterColumn colId="2">
      <filters>
        <filter val="BRIONES BRIONES PAUL GIOVANNI"/>
        <filter val="(NonBlanks)"/>
      </filters>
    </filterColumn>
  </autoFilter>
  <mergeCells count="25">
    <mergeCell ref="AM6:AM8"/>
    <mergeCell ref="AR3:AR5"/>
    <mergeCell ref="AR6:AR8"/>
    <mergeCell ref="D1:AJ1"/>
    <mergeCell ref="AO1:AP1"/>
    <mergeCell ref="AQ1:AR1"/>
    <mergeCell ref="AL3:AL5"/>
    <mergeCell ref="AL6:AL8"/>
    <mergeCell ref="V2:W2"/>
    <mergeCell ref="C6:C8"/>
    <mergeCell ref="C3:C5"/>
    <mergeCell ref="AQ6:AQ8"/>
    <mergeCell ref="AQ3:AQ5"/>
    <mergeCell ref="AP3:AP5"/>
    <mergeCell ref="AP6:AP8"/>
    <mergeCell ref="AN3:AN5"/>
    <mergeCell ref="AN6:AN8"/>
    <mergeCell ref="AO3:AO5"/>
    <mergeCell ref="AO6:AO8"/>
    <mergeCell ref="V3:W3"/>
    <mergeCell ref="V4:W4"/>
    <mergeCell ref="V6:W6"/>
    <mergeCell ref="V7:W7"/>
    <mergeCell ref="V8:W8"/>
    <mergeCell ref="AM3:AM5"/>
  </mergeCells>
  <conditionalFormatting sqref="B2:B10 B91:B284">
    <cfRule type="duplicateValues" dxfId="90" priority="38"/>
  </conditionalFormatting>
  <conditionalFormatting sqref="B11 B36:B40 B13 B15:B34 B86 B42 B44 B46 B48 B50:B83">
    <cfRule type="duplicateValues" dxfId="89" priority="39"/>
    <cfRule type="duplicateValues" dxfId="88" priority="40"/>
  </conditionalFormatting>
  <conditionalFormatting sqref="B11:B13 B15:B40 B90 B86 B42 B44 B46 B48 B50:B83">
    <cfRule type="duplicateValues" dxfId="87" priority="41"/>
  </conditionalFormatting>
  <conditionalFormatting sqref="B12">
    <cfRule type="duplicateValues" dxfId="86" priority="26"/>
    <cfRule type="duplicateValues" dxfId="85" priority="25"/>
    <cfRule type="duplicateValues" dxfId="84" priority="27"/>
  </conditionalFormatting>
  <conditionalFormatting sqref="B14">
    <cfRule type="duplicateValues" dxfId="83" priority="22"/>
    <cfRule type="duplicateValues" dxfId="82" priority="24"/>
    <cfRule type="duplicateValues" dxfId="81" priority="23"/>
    <cfRule type="duplicateValues" dxfId="80" priority="21"/>
  </conditionalFormatting>
  <conditionalFormatting sqref="B24 B21">
    <cfRule type="duplicateValues" dxfId="79" priority="28"/>
  </conditionalFormatting>
  <conditionalFormatting sqref="B25:B34 B22:B23 B11 B36:B40 B13 B15:B20 B86 B42 B44 B46 B48 B50:B83">
    <cfRule type="duplicateValues" dxfId="78" priority="42"/>
  </conditionalFormatting>
  <conditionalFormatting sqref="B41">
    <cfRule type="duplicateValues" dxfId="77" priority="19"/>
    <cfRule type="duplicateValues" dxfId="76" priority="20"/>
    <cfRule type="duplicateValues" dxfId="75" priority="18"/>
    <cfRule type="duplicateValues" dxfId="74" priority="17"/>
  </conditionalFormatting>
  <conditionalFormatting sqref="B43 B45 B47 B49">
    <cfRule type="duplicateValues" dxfId="73" priority="1"/>
    <cfRule type="duplicateValues" dxfId="72" priority="2"/>
    <cfRule type="duplicateValues" dxfId="71" priority="3"/>
    <cfRule type="duplicateValues" dxfId="70" priority="4"/>
  </conditionalFormatting>
  <conditionalFormatting sqref="B84">
    <cfRule type="duplicateValues" dxfId="69" priority="13"/>
    <cfRule type="duplicateValues" dxfId="68" priority="14"/>
    <cfRule type="duplicateValues" dxfId="67" priority="15"/>
    <cfRule type="duplicateValues" dxfId="66" priority="16"/>
  </conditionalFormatting>
  <conditionalFormatting sqref="B85">
    <cfRule type="duplicateValues" dxfId="65" priority="11"/>
    <cfRule type="duplicateValues" dxfId="64" priority="9"/>
    <cfRule type="duplicateValues" dxfId="63" priority="10"/>
    <cfRule type="duplicateValues" dxfId="62" priority="12"/>
  </conditionalFormatting>
  <conditionalFormatting sqref="B87:B89">
    <cfRule type="duplicateValues" dxfId="61" priority="7"/>
    <cfRule type="duplicateValues" dxfId="60" priority="5"/>
    <cfRule type="duplicateValues" dxfId="59" priority="6"/>
    <cfRule type="duplicateValues" dxfId="58" priority="8"/>
  </conditionalFormatting>
  <conditionalFormatting sqref="B285:B1048576 B1">
    <cfRule type="duplicateValues" dxfId="57" priority="37"/>
  </conditionalFormatting>
  <conditionalFormatting sqref="E3:V4 X3:AJ4 E6:V7 X6:AJ7">
    <cfRule type="cellIs" dxfId="56" priority="35" operator="greaterThan">
      <formula>501</formula>
    </cfRule>
  </conditionalFormatting>
  <conditionalFormatting sqref="E3:V4 X3:AJ4 E6:V8 X6:AJ8 E5:AJ5 E9:AJ9 AL9:AN9">
    <cfRule type="cellIs" dxfId="55" priority="36" operator="greaterThanOrEqual">
      <formula>0</formula>
    </cfRule>
  </conditionalFormatting>
  <conditionalFormatting sqref="E5:AJ5 E8:V8 X8:AJ8 AL3:AN3 AL6:AN6 E9:AJ9 AL9:AN9">
    <cfRule type="cellIs" dxfId="54" priority="34" operator="greaterThanOrEqual">
      <formula>0</formula>
    </cfRule>
  </conditionalFormatting>
  <conditionalFormatting sqref="E5:AJ5 E8:V8 X8:AJ8">
    <cfRule type="cellIs" dxfId="53" priority="31" operator="greaterThanOrEqual">
      <formula>22</formula>
    </cfRule>
  </conditionalFormatting>
  <conditionalFormatting sqref="E11:AL90">
    <cfRule type="cellIs" dxfId="52" priority="33" operator="equal">
      <formula>0</formula>
    </cfRule>
    <cfRule type="cellIs" dxfId="51" priority="32" operator="greaterThan">
      <formula>0</formula>
    </cfRule>
  </conditionalFormatting>
  <conditionalFormatting sqref="AQ11:AQ90 AR91">
    <cfRule type="containsText" dxfId="50" priority="30" operator="containsText" text="F">
      <formula>NOT(ISERROR(SEARCH("F",AQ11)))</formula>
    </cfRule>
    <cfRule type="containsText" dxfId="49" priority="29" operator="containsText" text="V">
      <formula>NOT(ISERROR(SEARCH("V",AQ11)))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3DEE-434E-4448-8055-9F8F5027FB4B}">
  <sheetPr codeName="Hoja13">
    <tabColor rgb="FFFFC000"/>
  </sheetPr>
  <dimension ref="A1:AQ90"/>
  <sheetViews>
    <sheetView zoomScale="70" zoomScaleNormal="70" workbookViewId="0">
      <pane xSplit="3" ySplit="10" topLeftCell="D11" activePane="bottomRight" state="frozen"/>
      <selection pane="bottomRight" activeCell="C28" sqref="C28"/>
      <selection pane="bottomLeft" activeCell="A11" sqref="A11"/>
      <selection pane="topRight" activeCell="D1" sqref="D1"/>
    </sheetView>
  </sheetViews>
  <sheetFormatPr defaultColWidth="11.42578125" defaultRowHeight="14.45"/>
  <cols>
    <col min="1" max="1" width="4.7109375" customWidth="1"/>
    <col min="2" max="2" width="13" bestFit="1" customWidth="1"/>
    <col min="3" max="3" width="45.7109375" bestFit="1" customWidth="1"/>
    <col min="4" max="4" width="30.28515625" bestFit="1" customWidth="1"/>
    <col min="5" max="35" width="7.7109375" customWidth="1"/>
    <col min="36" max="36" width="2.7109375" customWidth="1"/>
    <col min="37" max="43" width="10.7109375" customWidth="1"/>
  </cols>
  <sheetData>
    <row r="1" spans="1:43" ht="27" customHeight="1" thickBot="1">
      <c r="D1" s="554" t="s">
        <v>353</v>
      </c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278"/>
      <c r="AN1" s="418" t="s">
        <v>492</v>
      </c>
      <c r="AO1" s="419" t="s">
        <v>493</v>
      </c>
      <c r="AQ1" s="95"/>
    </row>
    <row r="2" spans="1:43" s="1" customFormat="1" ht="69" customHeight="1" thickBot="1">
      <c r="D2" s="52" t="s">
        <v>285</v>
      </c>
      <c r="E2" s="238">
        <v>46204</v>
      </c>
      <c r="F2" s="3">
        <v>46205</v>
      </c>
      <c r="G2" s="413">
        <v>46206</v>
      </c>
      <c r="H2" s="3">
        <v>46207</v>
      </c>
      <c r="I2" s="3">
        <v>46208</v>
      </c>
      <c r="J2" s="3">
        <v>46209</v>
      </c>
      <c r="K2" s="413">
        <v>46210</v>
      </c>
      <c r="L2" s="3">
        <v>46211</v>
      </c>
      <c r="M2" s="3">
        <v>46212</v>
      </c>
      <c r="N2" s="3">
        <v>46213</v>
      </c>
      <c r="O2" s="413">
        <v>46214</v>
      </c>
      <c r="P2" s="3">
        <v>46215</v>
      </c>
      <c r="Q2" s="3">
        <v>46216</v>
      </c>
      <c r="R2" s="3">
        <v>46217</v>
      </c>
      <c r="S2" s="413">
        <v>46218</v>
      </c>
      <c r="T2" s="3">
        <v>46219</v>
      </c>
      <c r="U2" s="3">
        <v>46220</v>
      </c>
      <c r="V2" s="3">
        <v>46221</v>
      </c>
      <c r="W2" s="413">
        <v>46222</v>
      </c>
      <c r="X2" s="3">
        <v>46223</v>
      </c>
      <c r="Y2" s="3">
        <v>46224</v>
      </c>
      <c r="Z2" s="3">
        <v>46225</v>
      </c>
      <c r="AA2" s="413">
        <v>46226</v>
      </c>
      <c r="AB2" s="3">
        <v>46227</v>
      </c>
      <c r="AC2" s="3">
        <v>46228</v>
      </c>
      <c r="AD2" s="3">
        <v>46229</v>
      </c>
      <c r="AE2" s="413">
        <v>46230</v>
      </c>
      <c r="AF2" s="3">
        <v>46231</v>
      </c>
      <c r="AG2" s="3">
        <v>46232</v>
      </c>
      <c r="AH2" s="3">
        <v>46233</v>
      </c>
      <c r="AI2" s="413">
        <v>46234</v>
      </c>
      <c r="AJ2" s="279"/>
      <c r="AK2" s="5" t="s">
        <v>492</v>
      </c>
      <c r="AL2" s="5" t="s">
        <v>493</v>
      </c>
      <c r="AM2" s="87" t="s">
        <v>361</v>
      </c>
      <c r="AN2" s="85" t="s">
        <v>356</v>
      </c>
      <c r="AO2" s="419" t="s">
        <v>356</v>
      </c>
    </row>
    <row r="3" spans="1:43" ht="15.75" customHeight="1">
      <c r="C3" s="567" t="s">
        <v>494</v>
      </c>
      <c r="D3" s="102" t="s">
        <v>495</v>
      </c>
      <c r="E3" s="6">
        <v>0</v>
      </c>
      <c r="F3" s="224">
        <f>E7</f>
        <v>0</v>
      </c>
      <c r="G3" s="412">
        <f t="shared" ref="G3" si="0">F7</f>
        <v>36</v>
      </c>
      <c r="H3" s="224">
        <f>G7</f>
        <v>136</v>
      </c>
      <c r="I3" s="224">
        <f t="shared" ref="I3:AH3" si="1">H7</f>
        <v>168</v>
      </c>
      <c r="J3" s="224">
        <v>0</v>
      </c>
      <c r="K3" s="224">
        <f t="shared" si="1"/>
        <v>6</v>
      </c>
      <c r="L3" s="224">
        <f t="shared" si="1"/>
        <v>144</v>
      </c>
      <c r="M3" s="224">
        <f t="shared" si="1"/>
        <v>0</v>
      </c>
      <c r="N3" s="224">
        <f t="shared" si="1"/>
        <v>140</v>
      </c>
      <c r="O3" s="224">
        <f t="shared" si="1"/>
        <v>0</v>
      </c>
      <c r="P3" s="224">
        <f t="shared" si="1"/>
        <v>42</v>
      </c>
      <c r="Q3" s="412">
        <f t="shared" si="1"/>
        <v>150</v>
      </c>
      <c r="R3" s="224">
        <f t="shared" si="1"/>
        <v>168</v>
      </c>
      <c r="S3" s="224">
        <v>0</v>
      </c>
      <c r="T3" s="224">
        <f t="shared" si="1"/>
        <v>6</v>
      </c>
      <c r="U3" s="224">
        <v>0</v>
      </c>
      <c r="V3" s="224">
        <f t="shared" si="1"/>
        <v>48</v>
      </c>
      <c r="W3" s="224">
        <f t="shared" si="1"/>
        <v>24</v>
      </c>
      <c r="X3" s="224">
        <f t="shared" si="1"/>
        <v>0</v>
      </c>
      <c r="Y3" s="224">
        <f t="shared" si="1"/>
        <v>0</v>
      </c>
      <c r="Z3" s="224">
        <f t="shared" si="1"/>
        <v>0</v>
      </c>
      <c r="AA3" s="412">
        <f t="shared" si="1"/>
        <v>0</v>
      </c>
      <c r="AB3" s="224">
        <f t="shared" si="1"/>
        <v>0</v>
      </c>
      <c r="AC3" s="224">
        <f t="shared" si="1"/>
        <v>0</v>
      </c>
      <c r="AD3" s="224">
        <f t="shared" si="1"/>
        <v>0</v>
      </c>
      <c r="AE3" s="224">
        <f t="shared" si="1"/>
        <v>0</v>
      </c>
      <c r="AF3" s="224">
        <f t="shared" si="1"/>
        <v>0</v>
      </c>
      <c r="AG3" s="224">
        <f t="shared" si="1"/>
        <v>0</v>
      </c>
      <c r="AH3" s="224">
        <f t="shared" si="1"/>
        <v>78</v>
      </c>
      <c r="AI3" s="224">
        <f>AH7</f>
        <v>94</v>
      </c>
      <c r="AJ3" s="12"/>
      <c r="AK3" s="564">
        <f>SUM(AA5:AI5,G5:P5)</f>
        <v>310</v>
      </c>
      <c r="AL3" s="564">
        <f>SUM(E5:F5,Q5:Z5)</f>
        <v>164</v>
      </c>
      <c r="AM3" s="564">
        <f>SUM(E5:AI5)</f>
        <v>474</v>
      </c>
      <c r="AN3" s="558">
        <f>SUM(AA5:AI5,G5:P5)</f>
        <v>310</v>
      </c>
      <c r="AO3" s="564">
        <f>SUM(E5:F5,Q5:Z5)</f>
        <v>164</v>
      </c>
      <c r="AQ3" s="417"/>
    </row>
    <row r="4" spans="1:43">
      <c r="C4" s="568"/>
      <c r="D4" s="103" t="s">
        <v>496</v>
      </c>
      <c r="E4" s="7">
        <v>0</v>
      </c>
      <c r="F4" s="225">
        <v>6</v>
      </c>
      <c r="G4" s="321">
        <v>90</v>
      </c>
      <c r="H4" s="225">
        <v>136</v>
      </c>
      <c r="I4" s="225">
        <v>200</v>
      </c>
      <c r="J4" s="225">
        <v>0</v>
      </c>
      <c r="K4" s="225">
        <v>42</v>
      </c>
      <c r="L4" s="225">
        <v>170</v>
      </c>
      <c r="M4" s="225">
        <v>12</v>
      </c>
      <c r="N4" s="225">
        <v>150</v>
      </c>
      <c r="O4" s="225">
        <v>0</v>
      </c>
      <c r="P4" s="225">
        <v>114</v>
      </c>
      <c r="Q4" s="321">
        <v>150</v>
      </c>
      <c r="R4" s="225">
        <v>178</v>
      </c>
      <c r="S4" s="225">
        <v>0</v>
      </c>
      <c r="T4" s="225">
        <v>50</v>
      </c>
      <c r="U4" s="225">
        <v>6</v>
      </c>
      <c r="V4" s="225">
        <v>90</v>
      </c>
      <c r="W4" s="225">
        <v>80</v>
      </c>
      <c r="X4" s="225">
        <v>0</v>
      </c>
      <c r="Y4" s="225">
        <v>0</v>
      </c>
      <c r="Z4" s="225">
        <v>0</v>
      </c>
      <c r="AA4" s="321">
        <v>0</v>
      </c>
      <c r="AB4" s="225">
        <v>0</v>
      </c>
      <c r="AC4" s="225">
        <v>0</v>
      </c>
      <c r="AD4" s="225">
        <v>0</v>
      </c>
      <c r="AE4" s="225">
        <v>0</v>
      </c>
      <c r="AF4" s="225">
        <v>0</v>
      </c>
      <c r="AG4" s="225">
        <v>18</v>
      </c>
      <c r="AH4" s="225">
        <v>90</v>
      </c>
      <c r="AI4" s="225">
        <v>132</v>
      </c>
      <c r="AJ4" s="12"/>
      <c r="AK4" s="565"/>
      <c r="AL4" s="565"/>
      <c r="AM4" s="565"/>
      <c r="AN4" s="559"/>
      <c r="AO4" s="565"/>
      <c r="AQ4" s="417"/>
    </row>
    <row r="5" spans="1:43" ht="15" thickBot="1">
      <c r="C5" s="569"/>
      <c r="D5" s="104" t="s">
        <v>302</v>
      </c>
      <c r="E5" s="226">
        <f t="shared" ref="E5:AI5" si="2">E4-E3</f>
        <v>0</v>
      </c>
      <c r="F5" s="226">
        <f t="shared" si="2"/>
        <v>6</v>
      </c>
      <c r="G5" s="226">
        <f t="shared" si="2"/>
        <v>54</v>
      </c>
      <c r="H5" s="226">
        <f t="shared" si="2"/>
        <v>0</v>
      </c>
      <c r="I5" s="226">
        <f t="shared" si="2"/>
        <v>32</v>
      </c>
      <c r="J5" s="226">
        <f t="shared" si="2"/>
        <v>0</v>
      </c>
      <c r="K5" s="226">
        <f t="shared" si="2"/>
        <v>36</v>
      </c>
      <c r="L5" s="226">
        <f t="shared" si="2"/>
        <v>26</v>
      </c>
      <c r="M5" s="226">
        <f t="shared" si="2"/>
        <v>12</v>
      </c>
      <c r="N5" s="226">
        <f t="shared" si="2"/>
        <v>10</v>
      </c>
      <c r="O5" s="226">
        <f t="shared" si="2"/>
        <v>0</v>
      </c>
      <c r="P5" s="226">
        <f t="shared" si="2"/>
        <v>72</v>
      </c>
      <c r="Q5" s="226">
        <f t="shared" si="2"/>
        <v>0</v>
      </c>
      <c r="R5" s="226">
        <f t="shared" si="2"/>
        <v>10</v>
      </c>
      <c r="S5" s="226">
        <f t="shared" si="2"/>
        <v>0</v>
      </c>
      <c r="T5" s="226">
        <f t="shared" si="2"/>
        <v>44</v>
      </c>
      <c r="U5" s="226">
        <f t="shared" si="2"/>
        <v>6</v>
      </c>
      <c r="V5" s="226">
        <f t="shared" si="2"/>
        <v>42</v>
      </c>
      <c r="W5" s="226">
        <f t="shared" si="2"/>
        <v>56</v>
      </c>
      <c r="X5" s="226">
        <f t="shared" si="2"/>
        <v>0</v>
      </c>
      <c r="Y5" s="226">
        <f t="shared" si="2"/>
        <v>0</v>
      </c>
      <c r="Z5" s="226">
        <f t="shared" si="2"/>
        <v>0</v>
      </c>
      <c r="AA5" s="226">
        <f t="shared" si="2"/>
        <v>0</v>
      </c>
      <c r="AB5" s="226">
        <f t="shared" si="2"/>
        <v>0</v>
      </c>
      <c r="AC5" s="226">
        <f t="shared" si="2"/>
        <v>0</v>
      </c>
      <c r="AD5" s="226">
        <f t="shared" si="2"/>
        <v>0</v>
      </c>
      <c r="AE5" s="226">
        <f t="shared" si="2"/>
        <v>0</v>
      </c>
      <c r="AF5" s="226">
        <f t="shared" si="2"/>
        <v>0</v>
      </c>
      <c r="AG5" s="226">
        <f t="shared" si="2"/>
        <v>18</v>
      </c>
      <c r="AH5" s="226">
        <f t="shared" si="2"/>
        <v>12</v>
      </c>
      <c r="AI5" s="226">
        <f t="shared" si="2"/>
        <v>38</v>
      </c>
      <c r="AJ5" s="12"/>
      <c r="AK5" s="566"/>
      <c r="AL5" s="566"/>
      <c r="AM5" s="566"/>
      <c r="AN5" s="560"/>
      <c r="AO5" s="566"/>
      <c r="AQ5" s="417"/>
    </row>
    <row r="6" spans="1:43">
      <c r="C6" s="567" t="s">
        <v>497</v>
      </c>
      <c r="D6" s="105" t="s">
        <v>495</v>
      </c>
      <c r="E6" s="6">
        <f t="shared" ref="E6:F6" si="3">E4</f>
        <v>0</v>
      </c>
      <c r="F6" s="224">
        <f t="shared" si="3"/>
        <v>6</v>
      </c>
      <c r="G6" s="412">
        <f>G4</f>
        <v>90</v>
      </c>
      <c r="H6" s="224">
        <f t="shared" ref="H6:I6" si="4">H4</f>
        <v>136</v>
      </c>
      <c r="I6" s="224">
        <f t="shared" si="4"/>
        <v>200</v>
      </c>
      <c r="J6" s="224">
        <v>0</v>
      </c>
      <c r="K6" s="224">
        <f t="shared" ref="K6" si="5">K4</f>
        <v>42</v>
      </c>
      <c r="L6" s="224">
        <v>0</v>
      </c>
      <c r="M6" s="224">
        <f>M4</f>
        <v>12</v>
      </c>
      <c r="N6" s="224">
        <v>0</v>
      </c>
      <c r="O6" s="224">
        <f t="shared" ref="O6" si="6">O4</f>
        <v>0</v>
      </c>
      <c r="P6" s="224">
        <f>P4</f>
        <v>114</v>
      </c>
      <c r="Q6" s="412">
        <f t="shared" ref="Q6:R6" si="7">Q4</f>
        <v>150</v>
      </c>
      <c r="R6" s="224">
        <f t="shared" si="7"/>
        <v>178</v>
      </c>
      <c r="S6" s="224">
        <v>0</v>
      </c>
      <c r="T6" s="224">
        <f t="shared" ref="T6:U6" si="8">T4</f>
        <v>50</v>
      </c>
      <c r="U6" s="224">
        <f t="shared" si="8"/>
        <v>6</v>
      </c>
      <c r="V6" s="224">
        <v>0</v>
      </c>
      <c r="W6" s="224">
        <v>0</v>
      </c>
      <c r="X6" s="224">
        <f t="shared" ref="X6" si="9">X4</f>
        <v>0</v>
      </c>
      <c r="Y6" s="224">
        <v>0</v>
      </c>
      <c r="Z6" s="224">
        <f t="shared" ref="Z6:AA6" si="10">Z4</f>
        <v>0</v>
      </c>
      <c r="AA6" s="412">
        <f t="shared" si="10"/>
        <v>0</v>
      </c>
      <c r="AB6" s="224">
        <v>0</v>
      </c>
      <c r="AC6" s="224">
        <f t="shared" ref="AC6:AD6" si="11">AC4</f>
        <v>0</v>
      </c>
      <c r="AD6" s="224">
        <f t="shared" si="11"/>
        <v>0</v>
      </c>
      <c r="AE6" s="224">
        <v>0</v>
      </c>
      <c r="AF6" s="224">
        <f t="shared" ref="AF6" si="12">AF4</f>
        <v>0</v>
      </c>
      <c r="AG6" s="224">
        <v>6</v>
      </c>
      <c r="AH6" s="224">
        <f>AH4</f>
        <v>90</v>
      </c>
      <c r="AI6" s="224">
        <f t="shared" ref="AI6" si="13">AI4</f>
        <v>132</v>
      </c>
      <c r="AJ6" s="12"/>
      <c r="AK6" s="564">
        <f>SUM(G8:P8,AA8:AI8)</f>
        <v>546</v>
      </c>
      <c r="AL6" s="564">
        <f>SUM(E8:F8,Q8:Z8)</f>
        <v>172</v>
      </c>
      <c r="AM6" s="564">
        <f>SUM(E8:AI8)</f>
        <v>718</v>
      </c>
      <c r="AN6" s="558">
        <f>SUM(G8:P8,AA8:AI8)</f>
        <v>546</v>
      </c>
      <c r="AO6" s="564">
        <f>SUM(E8:F8,Q8:Z8)</f>
        <v>172</v>
      </c>
      <c r="AQ6" s="417"/>
    </row>
    <row r="7" spans="1:43">
      <c r="C7" s="568"/>
      <c r="D7" s="103" t="s">
        <v>496</v>
      </c>
      <c r="E7" s="7">
        <v>0</v>
      </c>
      <c r="F7" s="12">
        <v>36</v>
      </c>
      <c r="G7" s="321">
        <v>136</v>
      </c>
      <c r="H7" s="414">
        <v>168</v>
      </c>
      <c r="I7" s="12">
        <v>200</v>
      </c>
      <c r="J7" s="225">
        <v>6</v>
      </c>
      <c r="K7" s="414">
        <v>144</v>
      </c>
      <c r="L7" s="12">
        <v>0</v>
      </c>
      <c r="M7" s="225">
        <v>140</v>
      </c>
      <c r="N7" s="414">
        <v>0</v>
      </c>
      <c r="O7" s="12">
        <v>42</v>
      </c>
      <c r="P7" s="225">
        <v>150</v>
      </c>
      <c r="Q7" s="447">
        <v>168</v>
      </c>
      <c r="R7" s="12">
        <v>180</v>
      </c>
      <c r="S7" s="225">
        <v>6</v>
      </c>
      <c r="T7" s="414">
        <v>100</v>
      </c>
      <c r="U7" s="12">
        <v>48</v>
      </c>
      <c r="V7" s="225">
        <v>24</v>
      </c>
      <c r="W7" s="414">
        <v>0</v>
      </c>
      <c r="X7" s="12">
        <v>0</v>
      </c>
      <c r="Y7" s="225">
        <v>0</v>
      </c>
      <c r="Z7" s="414">
        <v>0</v>
      </c>
      <c r="AA7" s="450">
        <v>0</v>
      </c>
      <c r="AB7" s="225">
        <v>0</v>
      </c>
      <c r="AC7" s="414">
        <v>0</v>
      </c>
      <c r="AD7" s="12">
        <v>0</v>
      </c>
      <c r="AE7" s="225">
        <v>0</v>
      </c>
      <c r="AF7" s="414">
        <v>0</v>
      </c>
      <c r="AG7" s="12">
        <v>78</v>
      </c>
      <c r="AH7" s="225">
        <v>94</v>
      </c>
      <c r="AI7" s="12">
        <v>210</v>
      </c>
      <c r="AJ7" s="12"/>
      <c r="AK7" s="565"/>
      <c r="AL7" s="565"/>
      <c r="AM7" s="565"/>
      <c r="AN7" s="559"/>
      <c r="AO7" s="565"/>
      <c r="AQ7" s="417"/>
    </row>
    <row r="8" spans="1:43" ht="15" thickBot="1">
      <c r="C8" s="569"/>
      <c r="D8" s="104" t="s">
        <v>302</v>
      </c>
      <c r="E8" s="9">
        <f>E7-E6</f>
        <v>0</v>
      </c>
      <c r="F8" s="226">
        <f>F7-F6</f>
        <v>30</v>
      </c>
      <c r="G8" s="10">
        <f>G7-G6</f>
        <v>46</v>
      </c>
      <c r="H8" s="10">
        <f>H7-H6</f>
        <v>32</v>
      </c>
      <c r="I8" s="10">
        <f t="shared" ref="I8:AI8" si="14">I7-I6</f>
        <v>0</v>
      </c>
      <c r="J8" s="10">
        <f>J7-J6</f>
        <v>6</v>
      </c>
      <c r="K8" s="10">
        <f t="shared" si="14"/>
        <v>102</v>
      </c>
      <c r="L8" s="10">
        <f t="shared" si="14"/>
        <v>0</v>
      </c>
      <c r="M8" s="10">
        <f t="shared" si="14"/>
        <v>128</v>
      </c>
      <c r="N8" s="10">
        <f t="shared" si="14"/>
        <v>0</v>
      </c>
      <c r="O8" s="10">
        <f t="shared" si="14"/>
        <v>42</v>
      </c>
      <c r="P8" s="10">
        <f t="shared" si="14"/>
        <v>36</v>
      </c>
      <c r="Q8" s="10">
        <f t="shared" si="14"/>
        <v>18</v>
      </c>
      <c r="R8" s="10">
        <f t="shared" si="14"/>
        <v>2</v>
      </c>
      <c r="S8" s="10">
        <f t="shared" si="14"/>
        <v>6</v>
      </c>
      <c r="T8" s="10">
        <f t="shared" si="14"/>
        <v>50</v>
      </c>
      <c r="U8" s="10">
        <f t="shared" si="14"/>
        <v>42</v>
      </c>
      <c r="V8" s="10">
        <f t="shared" si="14"/>
        <v>24</v>
      </c>
      <c r="W8" s="10">
        <f t="shared" si="14"/>
        <v>0</v>
      </c>
      <c r="X8" s="10">
        <f t="shared" si="14"/>
        <v>0</v>
      </c>
      <c r="Y8" s="10">
        <f t="shared" si="14"/>
        <v>0</v>
      </c>
      <c r="Z8" s="10">
        <f t="shared" si="14"/>
        <v>0</v>
      </c>
      <c r="AA8" s="10">
        <f t="shared" si="14"/>
        <v>0</v>
      </c>
      <c r="AB8" s="10">
        <f t="shared" si="14"/>
        <v>0</v>
      </c>
      <c r="AC8" s="10">
        <f t="shared" si="14"/>
        <v>0</v>
      </c>
      <c r="AD8" s="10">
        <f t="shared" si="14"/>
        <v>0</v>
      </c>
      <c r="AE8" s="10">
        <f t="shared" si="14"/>
        <v>0</v>
      </c>
      <c r="AF8" s="10">
        <f t="shared" si="14"/>
        <v>0</v>
      </c>
      <c r="AG8" s="10">
        <f t="shared" si="14"/>
        <v>72</v>
      </c>
      <c r="AH8" s="10">
        <f t="shared" si="14"/>
        <v>4</v>
      </c>
      <c r="AI8" s="10">
        <f t="shared" si="14"/>
        <v>78</v>
      </c>
      <c r="AJ8" s="12"/>
      <c r="AK8" s="566"/>
      <c r="AL8" s="566"/>
      <c r="AM8" s="566"/>
      <c r="AN8" s="560"/>
      <c r="AO8" s="566"/>
      <c r="AQ8" s="417"/>
    </row>
    <row r="9" spans="1:43" ht="15" thickBot="1">
      <c r="D9" s="106" t="s">
        <v>498</v>
      </c>
      <c r="E9" s="227">
        <f t="shared" ref="E9:AI9" si="15">E5+E8</f>
        <v>0</v>
      </c>
      <c r="F9" s="11">
        <f t="shared" si="15"/>
        <v>36</v>
      </c>
      <c r="G9" s="416">
        <f t="shared" si="15"/>
        <v>100</v>
      </c>
      <c r="H9" s="11">
        <f t="shared" si="15"/>
        <v>32</v>
      </c>
      <c r="I9" s="11">
        <f t="shared" si="15"/>
        <v>32</v>
      </c>
      <c r="J9" s="11">
        <f t="shared" si="15"/>
        <v>6</v>
      </c>
      <c r="K9" s="11">
        <f t="shared" si="15"/>
        <v>138</v>
      </c>
      <c r="L9" s="11">
        <f t="shared" si="15"/>
        <v>26</v>
      </c>
      <c r="M9" s="11">
        <f t="shared" si="15"/>
        <v>140</v>
      </c>
      <c r="N9" s="11">
        <f t="shared" si="15"/>
        <v>10</v>
      </c>
      <c r="O9" s="11">
        <f t="shared" si="15"/>
        <v>42</v>
      </c>
      <c r="P9" s="16">
        <f t="shared" si="15"/>
        <v>108</v>
      </c>
      <c r="Q9" s="11">
        <f t="shared" si="15"/>
        <v>18</v>
      </c>
      <c r="R9" s="11">
        <f t="shared" si="15"/>
        <v>12</v>
      </c>
      <c r="S9" s="11">
        <f t="shared" si="15"/>
        <v>6</v>
      </c>
      <c r="T9" s="11">
        <f t="shared" si="15"/>
        <v>94</v>
      </c>
      <c r="U9" s="11">
        <f t="shared" si="15"/>
        <v>48</v>
      </c>
      <c r="V9" s="11">
        <f t="shared" si="15"/>
        <v>66</v>
      </c>
      <c r="W9" s="11">
        <f t="shared" si="15"/>
        <v>56</v>
      </c>
      <c r="X9" s="11">
        <f t="shared" si="15"/>
        <v>0</v>
      </c>
      <c r="Y9" s="11">
        <f t="shared" si="15"/>
        <v>0</v>
      </c>
      <c r="Z9" s="16">
        <f t="shared" si="15"/>
        <v>0</v>
      </c>
      <c r="AA9" s="11">
        <f t="shared" si="15"/>
        <v>0</v>
      </c>
      <c r="AB9" s="11">
        <f t="shared" si="15"/>
        <v>0</v>
      </c>
      <c r="AC9" s="11">
        <f t="shared" si="15"/>
        <v>0</v>
      </c>
      <c r="AD9" s="11">
        <f t="shared" si="15"/>
        <v>0</v>
      </c>
      <c r="AE9" s="11">
        <f t="shared" si="15"/>
        <v>0</v>
      </c>
      <c r="AF9" s="11">
        <f t="shared" si="15"/>
        <v>0</v>
      </c>
      <c r="AG9" s="11">
        <f t="shared" si="15"/>
        <v>90</v>
      </c>
      <c r="AH9" s="11">
        <f t="shared" si="15"/>
        <v>16</v>
      </c>
      <c r="AI9" s="11">
        <f t="shared" si="15"/>
        <v>116</v>
      </c>
      <c r="AJ9" s="12"/>
      <c r="AK9" s="17">
        <f>AK3+AK6</f>
        <v>856</v>
      </c>
      <c r="AL9" s="56">
        <f>AL3+AL6</f>
        <v>336</v>
      </c>
      <c r="AM9" s="17">
        <f>AM3+AM6</f>
        <v>1192</v>
      </c>
      <c r="AN9" s="17">
        <f>AN3+AN6</f>
        <v>856</v>
      </c>
      <c r="AO9" s="17">
        <f>AO3+AO6</f>
        <v>336</v>
      </c>
      <c r="AQ9" s="12"/>
    </row>
    <row r="10" spans="1:43" ht="16.5" customHeight="1" thickBot="1">
      <c r="B10" s="83" t="s">
        <v>1</v>
      </c>
      <c r="C10" s="82" t="s">
        <v>6</v>
      </c>
      <c r="D10" s="82" t="s">
        <v>7</v>
      </c>
      <c r="E10" s="180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92"/>
      <c r="AK10" s="4"/>
      <c r="AL10" s="169" t="s">
        <v>356</v>
      </c>
      <c r="AM10" s="13"/>
      <c r="AN10" s="169"/>
      <c r="AO10" s="2"/>
    </row>
    <row r="11" spans="1:43" ht="15" customHeight="1">
      <c r="A11" t="s">
        <v>32</v>
      </c>
      <c r="B11" s="53" t="s">
        <v>36</v>
      </c>
      <c r="C11" s="42" t="s">
        <v>37</v>
      </c>
      <c r="D11" s="42" t="s">
        <v>38</v>
      </c>
      <c r="E11" s="430">
        <v>0</v>
      </c>
      <c r="F11" s="414">
        <v>0</v>
      </c>
      <c r="G11" s="446">
        <v>0</v>
      </c>
      <c r="H11" s="414">
        <v>0</v>
      </c>
      <c r="I11" s="414">
        <v>0</v>
      </c>
      <c r="J11" s="414">
        <v>0</v>
      </c>
      <c r="K11" s="414">
        <v>0</v>
      </c>
      <c r="L11" s="414">
        <v>0</v>
      </c>
      <c r="M11" s="414">
        <v>0</v>
      </c>
      <c r="N11" s="414">
        <v>0</v>
      </c>
      <c r="O11" s="414">
        <v>0</v>
      </c>
      <c r="P11" s="414">
        <v>0</v>
      </c>
      <c r="Q11" s="446">
        <v>0</v>
      </c>
      <c r="R11" s="449">
        <v>0</v>
      </c>
      <c r="S11" s="414">
        <v>0</v>
      </c>
      <c r="T11" s="414">
        <v>0</v>
      </c>
      <c r="U11" s="414">
        <v>0</v>
      </c>
      <c r="V11" s="414">
        <v>0</v>
      </c>
      <c r="W11" s="414">
        <v>0</v>
      </c>
      <c r="X11" s="414">
        <v>0</v>
      </c>
      <c r="Y11" s="414">
        <v>0</v>
      </c>
      <c r="Z11" s="414">
        <v>0</v>
      </c>
      <c r="AA11" s="446">
        <v>0</v>
      </c>
      <c r="AB11" s="449">
        <v>0</v>
      </c>
      <c r="AC11" s="414">
        <v>0</v>
      </c>
      <c r="AD11" s="414">
        <v>0</v>
      </c>
      <c r="AE11" s="414">
        <v>0</v>
      </c>
      <c r="AF11" s="414">
        <v>0</v>
      </c>
      <c r="AG11" s="414">
        <v>0</v>
      </c>
      <c r="AH11" s="414">
        <v>0</v>
      </c>
      <c r="AI11" s="431">
        <v>0</v>
      </c>
      <c r="AJ11" s="12"/>
      <c r="AK11" s="172">
        <f>SUM(E11:AI11)</f>
        <v>0</v>
      </c>
      <c r="AL11" s="172">
        <f>SUM(E11:AI11)</f>
        <v>0</v>
      </c>
      <c r="AM11" s="172"/>
      <c r="AN11" s="173"/>
      <c r="AO11" s="172">
        <f t="shared" ref="AO11:AO42" si="16">AL11+AM11+AN11</f>
        <v>0</v>
      </c>
      <c r="AP11" s="170" t="str">
        <f t="shared" ref="AP11:AP42" si="17">IF(AO11=AK11,"V","F")</f>
        <v>V</v>
      </c>
    </row>
    <row r="12" spans="1:43" ht="15" customHeight="1">
      <c r="A12" t="s">
        <v>32</v>
      </c>
      <c r="B12" s="54" t="s">
        <v>41</v>
      </c>
      <c r="C12" s="43" t="s">
        <v>42</v>
      </c>
      <c r="D12" s="43" t="s">
        <v>38</v>
      </c>
      <c r="E12" s="430">
        <v>0</v>
      </c>
      <c r="F12" s="414">
        <v>0</v>
      </c>
      <c r="G12" s="321">
        <f>G9</f>
        <v>100</v>
      </c>
      <c r="H12" s="225">
        <f t="shared" ref="H12:P12" si="18">H9</f>
        <v>32</v>
      </c>
      <c r="I12" s="225">
        <f t="shared" si="18"/>
        <v>32</v>
      </c>
      <c r="J12" s="225">
        <f t="shared" si="18"/>
        <v>6</v>
      </c>
      <c r="K12" s="225">
        <f t="shared" si="18"/>
        <v>138</v>
      </c>
      <c r="L12" s="225">
        <f t="shared" si="18"/>
        <v>26</v>
      </c>
      <c r="M12" s="225">
        <f t="shared" si="18"/>
        <v>140</v>
      </c>
      <c r="N12" s="225">
        <f t="shared" si="18"/>
        <v>10</v>
      </c>
      <c r="O12" s="225">
        <f t="shared" si="18"/>
        <v>42</v>
      </c>
      <c r="P12" s="15">
        <f t="shared" si="18"/>
        <v>108</v>
      </c>
      <c r="Q12" s="447">
        <v>0</v>
      </c>
      <c r="R12" s="414">
        <v>0</v>
      </c>
      <c r="S12" s="414">
        <v>0</v>
      </c>
      <c r="T12" s="414">
        <v>0</v>
      </c>
      <c r="U12" s="414">
        <v>0</v>
      </c>
      <c r="V12" s="414">
        <v>0</v>
      </c>
      <c r="W12" s="414">
        <v>0</v>
      </c>
      <c r="X12" s="414">
        <v>0</v>
      </c>
      <c r="Y12" s="414">
        <v>0</v>
      </c>
      <c r="Z12" s="414">
        <v>0</v>
      </c>
      <c r="AA12" s="447">
        <v>0</v>
      </c>
      <c r="AB12" s="414">
        <v>0</v>
      </c>
      <c r="AC12" s="414">
        <v>0</v>
      </c>
      <c r="AD12" s="414">
        <v>0</v>
      </c>
      <c r="AE12" s="414">
        <v>0</v>
      </c>
      <c r="AF12" s="414">
        <v>0</v>
      </c>
      <c r="AG12" s="414">
        <v>0</v>
      </c>
      <c r="AH12" s="414">
        <v>0</v>
      </c>
      <c r="AI12" s="431">
        <v>0</v>
      </c>
      <c r="AJ12" s="12"/>
      <c r="AK12" s="174">
        <f>SUM(E12:AI12)</f>
        <v>634</v>
      </c>
      <c r="AL12" s="174">
        <f>SUM(E12:AI12)</f>
        <v>634</v>
      </c>
      <c r="AM12" s="174"/>
      <c r="AN12" s="175"/>
      <c r="AO12" s="174">
        <f t="shared" si="16"/>
        <v>634</v>
      </c>
      <c r="AP12" s="171" t="str">
        <f t="shared" si="17"/>
        <v>V</v>
      </c>
    </row>
    <row r="13" spans="1:43" ht="15" customHeight="1">
      <c r="A13" t="s">
        <v>32</v>
      </c>
      <c r="B13" s="54" t="s">
        <v>321</v>
      </c>
      <c r="C13" s="43" t="s">
        <v>322</v>
      </c>
      <c r="D13" s="43" t="s">
        <v>110</v>
      </c>
      <c r="E13" s="430">
        <v>0</v>
      </c>
      <c r="F13" s="414">
        <v>0</v>
      </c>
      <c r="G13" s="447">
        <v>0</v>
      </c>
      <c r="H13" s="414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0</v>
      </c>
      <c r="N13" s="414">
        <v>0</v>
      </c>
      <c r="O13" s="414">
        <v>0</v>
      </c>
      <c r="P13" s="415">
        <v>0</v>
      </c>
      <c r="Q13" s="447">
        <v>0</v>
      </c>
      <c r="R13" s="414">
        <v>0</v>
      </c>
      <c r="S13" s="414">
        <v>0</v>
      </c>
      <c r="T13" s="414">
        <v>0</v>
      </c>
      <c r="U13" s="414">
        <v>0</v>
      </c>
      <c r="V13" s="414">
        <v>0</v>
      </c>
      <c r="W13" s="414">
        <v>0</v>
      </c>
      <c r="X13" s="414">
        <v>0</v>
      </c>
      <c r="Y13" s="414">
        <v>0</v>
      </c>
      <c r="Z13" s="414">
        <v>0</v>
      </c>
      <c r="AA13" s="447">
        <v>0</v>
      </c>
      <c r="AB13" s="414">
        <v>0</v>
      </c>
      <c r="AC13" s="414">
        <v>0</v>
      </c>
      <c r="AD13" s="414">
        <v>0</v>
      </c>
      <c r="AE13" s="414">
        <v>0</v>
      </c>
      <c r="AF13" s="414">
        <v>0</v>
      </c>
      <c r="AG13" s="414">
        <v>0</v>
      </c>
      <c r="AH13" s="414">
        <v>0</v>
      </c>
      <c r="AI13" s="431">
        <v>0</v>
      </c>
      <c r="AJ13" s="12"/>
      <c r="AK13" s="174">
        <f t="shared" ref="AK13:AK71" si="19">SUM(E13:AI13)</f>
        <v>0</v>
      </c>
      <c r="AL13" s="174">
        <f t="shared" ref="AL13:AL71" si="20">SUM(E13:AI13)</f>
        <v>0</v>
      </c>
      <c r="AM13" s="174"/>
      <c r="AN13" s="175"/>
      <c r="AO13" s="174">
        <f t="shared" si="16"/>
        <v>0</v>
      </c>
      <c r="AP13" s="171" t="str">
        <f t="shared" si="17"/>
        <v>V</v>
      </c>
    </row>
    <row r="14" spans="1:43" ht="15" customHeight="1">
      <c r="A14" t="s">
        <v>32</v>
      </c>
      <c r="B14" s="54" t="s">
        <v>44</v>
      </c>
      <c r="C14" s="43" t="s">
        <v>45</v>
      </c>
      <c r="D14" s="43" t="s">
        <v>38</v>
      </c>
      <c r="E14" s="430">
        <v>0</v>
      </c>
      <c r="F14" s="414">
        <v>0</v>
      </c>
      <c r="G14" s="447">
        <v>0</v>
      </c>
      <c r="H14" s="414">
        <v>0</v>
      </c>
      <c r="I14" s="414">
        <v>0</v>
      </c>
      <c r="J14" s="414">
        <v>0</v>
      </c>
      <c r="K14" s="414">
        <v>0</v>
      </c>
      <c r="L14" s="414">
        <v>0</v>
      </c>
      <c r="M14" s="414">
        <v>0</v>
      </c>
      <c r="N14" s="414">
        <v>0</v>
      </c>
      <c r="O14" s="414">
        <v>0</v>
      </c>
      <c r="P14" s="415">
        <v>0</v>
      </c>
      <c r="Q14" s="447">
        <v>0</v>
      </c>
      <c r="R14" s="414">
        <v>0</v>
      </c>
      <c r="S14" s="414">
        <v>0</v>
      </c>
      <c r="T14" s="414">
        <v>0</v>
      </c>
      <c r="U14" s="414">
        <v>0</v>
      </c>
      <c r="V14" s="414">
        <v>0</v>
      </c>
      <c r="W14" s="414">
        <v>0</v>
      </c>
      <c r="X14" s="414">
        <v>0</v>
      </c>
      <c r="Y14" s="414">
        <v>0</v>
      </c>
      <c r="Z14" s="414">
        <v>0</v>
      </c>
      <c r="AA14" s="447">
        <v>0</v>
      </c>
      <c r="AB14" s="414">
        <v>0</v>
      </c>
      <c r="AC14" s="414">
        <v>0</v>
      </c>
      <c r="AD14" s="414">
        <v>0</v>
      </c>
      <c r="AE14" s="414">
        <v>0</v>
      </c>
      <c r="AF14" s="414">
        <v>0</v>
      </c>
      <c r="AG14" s="414">
        <v>0</v>
      </c>
      <c r="AH14" s="414">
        <v>0</v>
      </c>
      <c r="AI14" s="431">
        <v>0</v>
      </c>
      <c r="AJ14" s="12"/>
      <c r="AK14" s="174">
        <f t="shared" si="19"/>
        <v>0</v>
      </c>
      <c r="AL14" s="174">
        <f t="shared" si="20"/>
        <v>0</v>
      </c>
      <c r="AM14" s="174"/>
      <c r="AN14" s="175"/>
      <c r="AO14" s="174">
        <f t="shared" si="16"/>
        <v>0</v>
      </c>
      <c r="AP14" s="171" t="str">
        <f t="shared" si="17"/>
        <v>V</v>
      </c>
    </row>
    <row r="15" spans="1:43" ht="15" customHeight="1">
      <c r="A15" t="s">
        <v>32</v>
      </c>
      <c r="B15" s="54" t="s">
        <v>108</v>
      </c>
      <c r="C15" s="43" t="s">
        <v>109</v>
      </c>
      <c r="D15" s="43" t="s">
        <v>110</v>
      </c>
      <c r="E15" s="430">
        <v>0</v>
      </c>
      <c r="F15" s="414">
        <v>0</v>
      </c>
      <c r="G15" s="447">
        <v>0</v>
      </c>
      <c r="H15" s="414">
        <v>0</v>
      </c>
      <c r="I15" s="414">
        <v>0</v>
      </c>
      <c r="J15" s="414">
        <v>0</v>
      </c>
      <c r="K15" s="414">
        <v>0</v>
      </c>
      <c r="L15" s="414">
        <v>0</v>
      </c>
      <c r="M15" s="414">
        <v>0</v>
      </c>
      <c r="N15" s="414">
        <v>0</v>
      </c>
      <c r="O15" s="414">
        <v>0</v>
      </c>
      <c r="P15" s="415">
        <v>0</v>
      </c>
      <c r="Q15" s="447">
        <v>0</v>
      </c>
      <c r="R15" s="414">
        <v>0</v>
      </c>
      <c r="S15" s="414">
        <v>0</v>
      </c>
      <c r="T15" s="414">
        <v>0</v>
      </c>
      <c r="U15" s="414">
        <v>0</v>
      </c>
      <c r="V15" s="414">
        <v>0</v>
      </c>
      <c r="W15" s="414">
        <v>0</v>
      </c>
      <c r="X15" s="414">
        <v>0</v>
      </c>
      <c r="Y15" s="414">
        <v>0</v>
      </c>
      <c r="Z15" s="414">
        <v>0</v>
      </c>
      <c r="AA15" s="447">
        <v>0</v>
      </c>
      <c r="AB15" s="414">
        <v>0</v>
      </c>
      <c r="AC15" s="414">
        <v>0</v>
      </c>
      <c r="AD15" s="414">
        <v>0</v>
      </c>
      <c r="AE15" s="414">
        <v>0</v>
      </c>
      <c r="AF15" s="414">
        <v>0</v>
      </c>
      <c r="AG15" s="414">
        <v>0</v>
      </c>
      <c r="AH15" s="414">
        <v>0</v>
      </c>
      <c r="AI15" s="431">
        <v>0</v>
      </c>
      <c r="AJ15" s="12"/>
      <c r="AK15" s="174">
        <f t="shared" si="19"/>
        <v>0</v>
      </c>
      <c r="AL15" s="174">
        <f t="shared" si="20"/>
        <v>0</v>
      </c>
      <c r="AM15" s="174"/>
      <c r="AN15" s="175"/>
      <c r="AO15" s="174">
        <f t="shared" si="16"/>
        <v>0</v>
      </c>
      <c r="AP15" s="171" t="str">
        <f t="shared" si="17"/>
        <v>V</v>
      </c>
    </row>
    <row r="16" spans="1:43" ht="15" customHeight="1">
      <c r="A16" t="s">
        <v>32</v>
      </c>
      <c r="B16" s="54" t="s">
        <v>47</v>
      </c>
      <c r="C16" s="43" t="s">
        <v>311</v>
      </c>
      <c r="D16" s="43" t="s">
        <v>38</v>
      </c>
      <c r="E16" s="430">
        <v>0</v>
      </c>
      <c r="F16" s="414">
        <v>0</v>
      </c>
      <c r="G16" s="447">
        <v>0</v>
      </c>
      <c r="H16" s="414">
        <v>0</v>
      </c>
      <c r="I16" s="414">
        <v>0</v>
      </c>
      <c r="J16" s="414">
        <v>0</v>
      </c>
      <c r="K16" s="414">
        <v>0</v>
      </c>
      <c r="L16" s="414">
        <v>0</v>
      </c>
      <c r="M16" s="414">
        <v>0</v>
      </c>
      <c r="N16" s="414">
        <v>0</v>
      </c>
      <c r="O16" s="414">
        <v>0</v>
      </c>
      <c r="P16" s="415">
        <v>0</v>
      </c>
      <c r="Q16" s="447">
        <v>0</v>
      </c>
      <c r="R16" s="414">
        <v>0</v>
      </c>
      <c r="S16" s="414">
        <v>0</v>
      </c>
      <c r="T16" s="414">
        <v>0</v>
      </c>
      <c r="U16" s="414">
        <v>0</v>
      </c>
      <c r="V16" s="414">
        <v>0</v>
      </c>
      <c r="W16" s="414">
        <v>0</v>
      </c>
      <c r="X16" s="414">
        <v>0</v>
      </c>
      <c r="Y16" s="414">
        <v>0</v>
      </c>
      <c r="Z16" s="414">
        <v>0</v>
      </c>
      <c r="AA16" s="447">
        <v>0</v>
      </c>
      <c r="AB16" s="414">
        <v>0</v>
      </c>
      <c r="AC16" s="414">
        <v>0</v>
      </c>
      <c r="AD16" s="414">
        <v>0</v>
      </c>
      <c r="AE16" s="414">
        <v>0</v>
      </c>
      <c r="AF16" s="414">
        <v>0</v>
      </c>
      <c r="AG16" s="414">
        <v>0</v>
      </c>
      <c r="AH16" s="414">
        <v>0</v>
      </c>
      <c r="AI16" s="431">
        <v>0</v>
      </c>
      <c r="AJ16" s="12"/>
      <c r="AK16" s="174">
        <f t="shared" si="19"/>
        <v>0</v>
      </c>
      <c r="AL16" s="174">
        <f t="shared" si="20"/>
        <v>0</v>
      </c>
      <c r="AM16" s="174"/>
      <c r="AN16" s="175"/>
      <c r="AO16" s="174">
        <f t="shared" si="16"/>
        <v>0</v>
      </c>
      <c r="AP16" s="171" t="str">
        <f t="shared" si="17"/>
        <v>V</v>
      </c>
    </row>
    <row r="17" spans="1:42" ht="15" customHeight="1">
      <c r="A17" t="s">
        <v>32</v>
      </c>
      <c r="B17" s="54" t="s">
        <v>331</v>
      </c>
      <c r="C17" s="43" t="s">
        <v>332</v>
      </c>
      <c r="D17" s="43" t="s">
        <v>110</v>
      </c>
      <c r="E17" s="430">
        <v>0</v>
      </c>
      <c r="F17" s="414">
        <v>0</v>
      </c>
      <c r="G17" s="447">
        <v>0</v>
      </c>
      <c r="H17" s="414">
        <v>0</v>
      </c>
      <c r="I17" s="414">
        <v>0</v>
      </c>
      <c r="J17" s="414">
        <v>0</v>
      </c>
      <c r="K17" s="414">
        <v>0</v>
      </c>
      <c r="L17" s="414">
        <v>0</v>
      </c>
      <c r="M17" s="414">
        <v>0</v>
      </c>
      <c r="N17" s="414">
        <v>0</v>
      </c>
      <c r="O17" s="414">
        <v>0</v>
      </c>
      <c r="P17" s="415">
        <v>0</v>
      </c>
      <c r="Q17" s="447">
        <v>0</v>
      </c>
      <c r="R17" s="414">
        <v>0</v>
      </c>
      <c r="S17" s="414">
        <v>0</v>
      </c>
      <c r="T17" s="414">
        <v>0</v>
      </c>
      <c r="U17" s="414">
        <v>0</v>
      </c>
      <c r="V17" s="414">
        <v>0</v>
      </c>
      <c r="W17" s="414">
        <v>0</v>
      </c>
      <c r="X17" s="414">
        <v>0</v>
      </c>
      <c r="Y17" s="414">
        <v>0</v>
      </c>
      <c r="Z17" s="414">
        <v>0</v>
      </c>
      <c r="AA17" s="447">
        <v>0</v>
      </c>
      <c r="AB17" s="414">
        <v>0</v>
      </c>
      <c r="AC17" s="414">
        <v>0</v>
      </c>
      <c r="AD17" s="414">
        <v>0</v>
      </c>
      <c r="AE17" s="414">
        <v>0</v>
      </c>
      <c r="AF17" s="414">
        <v>0</v>
      </c>
      <c r="AG17" s="414">
        <v>0</v>
      </c>
      <c r="AH17" s="414">
        <v>0</v>
      </c>
      <c r="AI17" s="431">
        <v>0</v>
      </c>
      <c r="AJ17" s="12"/>
      <c r="AK17" s="174">
        <f t="shared" si="19"/>
        <v>0</v>
      </c>
      <c r="AL17" s="174">
        <f t="shared" si="20"/>
        <v>0</v>
      </c>
      <c r="AM17" s="174"/>
      <c r="AN17" s="175"/>
      <c r="AO17" s="174">
        <f t="shared" si="16"/>
        <v>0</v>
      </c>
      <c r="AP17" s="171" t="str">
        <f t="shared" si="17"/>
        <v>V</v>
      </c>
    </row>
    <row r="18" spans="1:42" ht="15" customHeight="1">
      <c r="A18" t="s">
        <v>32</v>
      </c>
      <c r="B18" s="54" t="s">
        <v>50</v>
      </c>
      <c r="C18" s="43" t="s">
        <v>51</v>
      </c>
      <c r="D18" s="43" t="s">
        <v>38</v>
      </c>
      <c r="E18" s="430">
        <v>0</v>
      </c>
      <c r="F18" s="414">
        <v>0</v>
      </c>
      <c r="G18" s="447">
        <f>G9</f>
        <v>100</v>
      </c>
      <c r="H18" s="414">
        <f t="shared" ref="H18:P18" si="21">H9</f>
        <v>32</v>
      </c>
      <c r="I18" s="414">
        <f t="shared" si="21"/>
        <v>32</v>
      </c>
      <c r="J18" s="414">
        <f t="shared" si="21"/>
        <v>6</v>
      </c>
      <c r="K18" s="414">
        <f t="shared" si="21"/>
        <v>138</v>
      </c>
      <c r="L18" s="414">
        <f t="shared" si="21"/>
        <v>26</v>
      </c>
      <c r="M18" s="414">
        <f t="shared" si="21"/>
        <v>140</v>
      </c>
      <c r="N18" s="414">
        <f t="shared" si="21"/>
        <v>10</v>
      </c>
      <c r="O18" s="414">
        <f t="shared" si="21"/>
        <v>42</v>
      </c>
      <c r="P18" s="415">
        <f t="shared" si="21"/>
        <v>108</v>
      </c>
      <c r="Q18" s="447">
        <v>0</v>
      </c>
      <c r="R18" s="414">
        <v>0</v>
      </c>
      <c r="S18" s="414">
        <v>0</v>
      </c>
      <c r="T18" s="414">
        <v>0</v>
      </c>
      <c r="U18" s="414">
        <v>0</v>
      </c>
      <c r="V18" s="414">
        <v>0</v>
      </c>
      <c r="W18" s="414">
        <v>0</v>
      </c>
      <c r="X18" s="414">
        <v>0</v>
      </c>
      <c r="Y18" s="414">
        <v>0</v>
      </c>
      <c r="Z18" s="414">
        <v>0</v>
      </c>
      <c r="AA18" s="447">
        <v>0</v>
      </c>
      <c r="AB18" s="414">
        <v>0</v>
      </c>
      <c r="AC18" s="414">
        <v>0</v>
      </c>
      <c r="AD18" s="414">
        <v>0</v>
      </c>
      <c r="AE18" s="414">
        <v>0</v>
      </c>
      <c r="AF18" s="414">
        <v>0</v>
      </c>
      <c r="AG18" s="414">
        <v>0</v>
      </c>
      <c r="AH18" s="414">
        <v>0</v>
      </c>
      <c r="AI18" s="431">
        <v>0</v>
      </c>
      <c r="AJ18" s="12"/>
      <c r="AK18" s="174">
        <f t="shared" si="19"/>
        <v>634</v>
      </c>
      <c r="AL18" s="174">
        <f t="shared" si="20"/>
        <v>634</v>
      </c>
      <c r="AM18" s="174"/>
      <c r="AN18" s="175"/>
      <c r="AO18" s="174">
        <f t="shared" si="16"/>
        <v>634</v>
      </c>
      <c r="AP18" s="171" t="str">
        <f t="shared" si="17"/>
        <v>V</v>
      </c>
    </row>
    <row r="19" spans="1:42" ht="15" customHeight="1">
      <c r="A19" t="s">
        <v>32</v>
      </c>
      <c r="B19" s="54" t="s">
        <v>336</v>
      </c>
      <c r="C19" s="43" t="s">
        <v>450</v>
      </c>
      <c r="D19" s="43" t="s">
        <v>110</v>
      </c>
      <c r="E19" s="430">
        <v>0</v>
      </c>
      <c r="F19" s="414">
        <v>0</v>
      </c>
      <c r="G19" s="447">
        <v>0</v>
      </c>
      <c r="H19" s="414">
        <v>0</v>
      </c>
      <c r="I19" s="414">
        <v>0</v>
      </c>
      <c r="J19" s="414">
        <v>0</v>
      </c>
      <c r="K19" s="414">
        <v>0</v>
      </c>
      <c r="L19" s="414">
        <v>0</v>
      </c>
      <c r="M19" s="414">
        <v>0</v>
      </c>
      <c r="N19" s="414">
        <v>0</v>
      </c>
      <c r="O19" s="414">
        <v>0</v>
      </c>
      <c r="P19" s="415">
        <v>0</v>
      </c>
      <c r="Q19" s="447">
        <v>0</v>
      </c>
      <c r="R19" s="414">
        <v>0</v>
      </c>
      <c r="S19" s="414">
        <v>0</v>
      </c>
      <c r="T19" s="414">
        <v>0</v>
      </c>
      <c r="U19" s="414">
        <v>0</v>
      </c>
      <c r="V19" s="414">
        <v>0</v>
      </c>
      <c r="W19" s="414">
        <v>0</v>
      </c>
      <c r="X19" s="414">
        <v>0</v>
      </c>
      <c r="Y19" s="414">
        <v>0</v>
      </c>
      <c r="Z19" s="414">
        <v>0</v>
      </c>
      <c r="AA19" s="447">
        <v>0</v>
      </c>
      <c r="AB19" s="414">
        <v>0</v>
      </c>
      <c r="AC19" s="414">
        <v>0</v>
      </c>
      <c r="AD19" s="414">
        <v>0</v>
      </c>
      <c r="AE19" s="414">
        <v>0</v>
      </c>
      <c r="AF19" s="414">
        <v>0</v>
      </c>
      <c r="AG19" s="414">
        <v>0</v>
      </c>
      <c r="AH19" s="414">
        <v>0</v>
      </c>
      <c r="AI19" s="431">
        <v>0</v>
      </c>
      <c r="AJ19" s="12"/>
      <c r="AK19" s="174">
        <f t="shared" si="19"/>
        <v>0</v>
      </c>
      <c r="AL19" s="174">
        <f t="shared" si="20"/>
        <v>0</v>
      </c>
      <c r="AM19" s="174"/>
      <c r="AN19" s="175"/>
      <c r="AO19" s="174">
        <f t="shared" si="16"/>
        <v>0</v>
      </c>
      <c r="AP19" s="171" t="str">
        <f t="shared" si="17"/>
        <v>V</v>
      </c>
    </row>
    <row r="20" spans="1:42" ht="15" customHeight="1">
      <c r="A20" t="s">
        <v>32</v>
      </c>
      <c r="B20" s="54" t="s">
        <v>114</v>
      </c>
      <c r="C20" s="43" t="s">
        <v>115</v>
      </c>
      <c r="D20" s="43" t="s">
        <v>110</v>
      </c>
      <c r="E20" s="430">
        <v>0</v>
      </c>
      <c r="F20" s="414">
        <v>0</v>
      </c>
      <c r="G20" s="447">
        <v>0</v>
      </c>
      <c r="H20" s="414">
        <v>0</v>
      </c>
      <c r="I20" s="414">
        <v>0</v>
      </c>
      <c r="J20" s="414">
        <v>0</v>
      </c>
      <c r="K20" s="414">
        <v>0</v>
      </c>
      <c r="L20" s="414">
        <v>0</v>
      </c>
      <c r="M20" s="414">
        <v>0</v>
      </c>
      <c r="N20" s="414">
        <v>0</v>
      </c>
      <c r="O20" s="414">
        <v>0</v>
      </c>
      <c r="P20" s="415">
        <v>0</v>
      </c>
      <c r="Q20" s="447">
        <v>0</v>
      </c>
      <c r="R20" s="414">
        <v>0</v>
      </c>
      <c r="S20" s="414">
        <v>0</v>
      </c>
      <c r="T20" s="414">
        <v>0</v>
      </c>
      <c r="U20" s="414">
        <v>0</v>
      </c>
      <c r="V20" s="414">
        <v>0</v>
      </c>
      <c r="W20" s="414">
        <v>0</v>
      </c>
      <c r="X20" s="414">
        <v>0</v>
      </c>
      <c r="Y20" s="414">
        <v>0</v>
      </c>
      <c r="Z20" s="414">
        <v>0</v>
      </c>
      <c r="AA20" s="447">
        <v>0</v>
      </c>
      <c r="AB20" s="414">
        <v>0</v>
      </c>
      <c r="AC20" s="414">
        <v>0</v>
      </c>
      <c r="AD20" s="414">
        <v>0</v>
      </c>
      <c r="AE20" s="414">
        <v>0</v>
      </c>
      <c r="AF20" s="414">
        <v>0</v>
      </c>
      <c r="AG20" s="414">
        <v>0</v>
      </c>
      <c r="AH20" s="414">
        <v>0</v>
      </c>
      <c r="AI20" s="431">
        <v>0</v>
      </c>
      <c r="AJ20" s="12"/>
      <c r="AK20" s="174">
        <f t="shared" si="19"/>
        <v>0</v>
      </c>
      <c r="AL20" s="174">
        <f t="shared" si="20"/>
        <v>0</v>
      </c>
      <c r="AM20" s="174"/>
      <c r="AN20" s="175"/>
      <c r="AO20" s="174">
        <f t="shared" si="16"/>
        <v>0</v>
      </c>
      <c r="AP20" s="171" t="str">
        <f t="shared" si="17"/>
        <v>V</v>
      </c>
    </row>
    <row r="21" spans="1:42" ht="15" customHeight="1">
      <c r="A21" t="s">
        <v>32</v>
      </c>
      <c r="B21" s="54" t="s">
        <v>53</v>
      </c>
      <c r="C21" s="43" t="s">
        <v>54</v>
      </c>
      <c r="D21" s="43" t="s">
        <v>38</v>
      </c>
      <c r="E21" s="430">
        <v>0</v>
      </c>
      <c r="F21" s="414">
        <v>0</v>
      </c>
      <c r="G21" s="447">
        <v>0</v>
      </c>
      <c r="H21" s="414">
        <v>0</v>
      </c>
      <c r="I21" s="414">
        <v>0</v>
      </c>
      <c r="J21" s="414">
        <v>0</v>
      </c>
      <c r="K21" s="414">
        <v>0</v>
      </c>
      <c r="L21" s="414">
        <v>0</v>
      </c>
      <c r="M21" s="414">
        <v>0</v>
      </c>
      <c r="N21" s="414">
        <v>0</v>
      </c>
      <c r="O21" s="414">
        <v>0</v>
      </c>
      <c r="P21" s="415">
        <v>0</v>
      </c>
      <c r="Q21" s="447">
        <v>0</v>
      </c>
      <c r="R21" s="414">
        <v>0</v>
      </c>
      <c r="S21" s="414">
        <v>0</v>
      </c>
      <c r="T21" s="414">
        <v>0</v>
      </c>
      <c r="U21" s="414">
        <v>0</v>
      </c>
      <c r="V21" s="414">
        <v>0</v>
      </c>
      <c r="W21" s="414">
        <v>0</v>
      </c>
      <c r="X21" s="414">
        <v>0</v>
      </c>
      <c r="Y21" s="414">
        <v>0</v>
      </c>
      <c r="Z21" s="414">
        <v>0</v>
      </c>
      <c r="AA21" s="447">
        <v>0</v>
      </c>
      <c r="AB21" s="414">
        <v>0</v>
      </c>
      <c r="AC21" s="414">
        <v>0</v>
      </c>
      <c r="AD21" s="414">
        <v>0</v>
      </c>
      <c r="AE21" s="414">
        <v>0</v>
      </c>
      <c r="AF21" s="414">
        <v>0</v>
      </c>
      <c r="AG21" s="414">
        <f>AG9</f>
        <v>90</v>
      </c>
      <c r="AH21" s="414">
        <f t="shared" ref="AH21:AI21" si="22">AH9</f>
        <v>16</v>
      </c>
      <c r="AI21" s="414">
        <f t="shared" si="22"/>
        <v>116</v>
      </c>
      <c r="AJ21" s="12"/>
      <c r="AK21" s="174">
        <f t="shared" si="19"/>
        <v>222</v>
      </c>
      <c r="AL21" s="174">
        <f t="shared" si="20"/>
        <v>222</v>
      </c>
      <c r="AM21" s="174"/>
      <c r="AN21" s="175"/>
      <c r="AO21" s="174">
        <f t="shared" si="16"/>
        <v>222</v>
      </c>
      <c r="AP21" s="171" t="str">
        <f t="shared" si="17"/>
        <v>V</v>
      </c>
    </row>
    <row r="22" spans="1:42" ht="15" customHeight="1">
      <c r="A22" t="s">
        <v>32</v>
      </c>
      <c r="B22" s="54" t="s">
        <v>55</v>
      </c>
      <c r="C22" s="43" t="s">
        <v>56</v>
      </c>
      <c r="D22" s="43" t="s">
        <v>38</v>
      </c>
      <c r="E22" s="430">
        <v>0</v>
      </c>
      <c r="F22" s="414">
        <v>0</v>
      </c>
      <c r="G22" s="447">
        <v>0</v>
      </c>
      <c r="H22" s="414">
        <v>0</v>
      </c>
      <c r="I22" s="414">
        <v>0</v>
      </c>
      <c r="J22" s="414">
        <v>0</v>
      </c>
      <c r="K22" s="414">
        <v>0</v>
      </c>
      <c r="L22" s="414">
        <v>0</v>
      </c>
      <c r="M22" s="414">
        <v>0</v>
      </c>
      <c r="N22" s="414">
        <v>0</v>
      </c>
      <c r="O22" s="414">
        <v>0</v>
      </c>
      <c r="P22" s="415">
        <v>0</v>
      </c>
      <c r="Q22" s="447">
        <v>0</v>
      </c>
      <c r="R22" s="414">
        <v>0</v>
      </c>
      <c r="S22" s="414">
        <v>0</v>
      </c>
      <c r="T22" s="414">
        <v>0</v>
      </c>
      <c r="U22" s="414">
        <v>0</v>
      </c>
      <c r="V22" s="414">
        <v>0</v>
      </c>
      <c r="W22" s="414">
        <v>0</v>
      </c>
      <c r="X22" s="414">
        <v>0</v>
      </c>
      <c r="Y22" s="414">
        <v>0</v>
      </c>
      <c r="Z22" s="414">
        <v>0</v>
      </c>
      <c r="AA22" s="447">
        <v>0</v>
      </c>
      <c r="AB22" s="414">
        <v>0</v>
      </c>
      <c r="AC22" s="414">
        <v>0</v>
      </c>
      <c r="AD22" s="414">
        <v>0</v>
      </c>
      <c r="AE22" s="414">
        <v>0</v>
      </c>
      <c r="AF22" s="414">
        <v>0</v>
      </c>
      <c r="AG22" s="414">
        <v>0</v>
      </c>
      <c r="AH22" s="414">
        <v>0</v>
      </c>
      <c r="AI22" s="414">
        <v>0</v>
      </c>
      <c r="AJ22" s="12"/>
      <c r="AK22" s="174">
        <f t="shared" si="19"/>
        <v>0</v>
      </c>
      <c r="AL22" s="174">
        <f t="shared" si="20"/>
        <v>0</v>
      </c>
      <c r="AM22" s="174"/>
      <c r="AN22" s="175"/>
      <c r="AO22" s="174">
        <f t="shared" si="16"/>
        <v>0</v>
      </c>
      <c r="AP22" s="171" t="str">
        <f t="shared" si="17"/>
        <v>V</v>
      </c>
    </row>
    <row r="23" spans="1:42" ht="15" customHeight="1">
      <c r="A23" t="s">
        <v>32</v>
      </c>
      <c r="B23" s="54" t="s">
        <v>237</v>
      </c>
      <c r="C23" s="43" t="s">
        <v>238</v>
      </c>
      <c r="D23" s="43" t="s">
        <v>110</v>
      </c>
      <c r="E23" s="430">
        <v>0</v>
      </c>
      <c r="F23" s="414">
        <v>0</v>
      </c>
      <c r="G23" s="447">
        <v>0</v>
      </c>
      <c r="H23" s="414">
        <v>0</v>
      </c>
      <c r="I23" s="414">
        <v>0</v>
      </c>
      <c r="J23" s="414">
        <v>0</v>
      </c>
      <c r="K23" s="414">
        <v>0</v>
      </c>
      <c r="L23" s="414">
        <v>0</v>
      </c>
      <c r="M23" s="414">
        <v>0</v>
      </c>
      <c r="N23" s="414">
        <v>0</v>
      </c>
      <c r="O23" s="414">
        <v>0</v>
      </c>
      <c r="P23" s="415">
        <v>0</v>
      </c>
      <c r="Q23" s="447">
        <v>0</v>
      </c>
      <c r="R23" s="414">
        <v>0</v>
      </c>
      <c r="S23" s="414">
        <v>0</v>
      </c>
      <c r="T23" s="414">
        <v>0</v>
      </c>
      <c r="U23" s="414">
        <v>0</v>
      </c>
      <c r="V23" s="414">
        <v>0</v>
      </c>
      <c r="W23" s="414">
        <v>0</v>
      </c>
      <c r="X23" s="414">
        <v>0</v>
      </c>
      <c r="Y23" s="414">
        <v>0</v>
      </c>
      <c r="Z23" s="414">
        <v>0</v>
      </c>
      <c r="AA23" s="447">
        <v>0</v>
      </c>
      <c r="AB23" s="414">
        <v>0</v>
      </c>
      <c r="AC23" s="414">
        <v>0</v>
      </c>
      <c r="AD23" s="414">
        <v>0</v>
      </c>
      <c r="AE23" s="414">
        <v>0</v>
      </c>
      <c r="AF23" s="414">
        <v>0</v>
      </c>
      <c r="AG23" s="414">
        <v>0</v>
      </c>
      <c r="AH23" s="414">
        <v>0</v>
      </c>
      <c r="AI23" s="414">
        <v>0</v>
      </c>
      <c r="AJ23" s="12"/>
      <c r="AK23" s="174">
        <f t="shared" si="19"/>
        <v>0</v>
      </c>
      <c r="AL23" s="174">
        <f t="shared" si="20"/>
        <v>0</v>
      </c>
      <c r="AM23" s="174"/>
      <c r="AN23" s="175"/>
      <c r="AO23" s="174">
        <f t="shared" si="16"/>
        <v>0</v>
      </c>
      <c r="AP23" s="171" t="str">
        <f t="shared" si="17"/>
        <v>V</v>
      </c>
    </row>
    <row r="24" spans="1:42" ht="15" customHeight="1">
      <c r="A24" t="s">
        <v>32</v>
      </c>
      <c r="B24" s="54" t="s">
        <v>59</v>
      </c>
      <c r="C24" s="43" t="s">
        <v>60</v>
      </c>
      <c r="D24" s="43" t="s">
        <v>38</v>
      </c>
      <c r="E24" s="430">
        <v>0</v>
      </c>
      <c r="F24" s="414">
        <v>0</v>
      </c>
      <c r="G24" s="447">
        <f>G9</f>
        <v>100</v>
      </c>
      <c r="H24" s="414">
        <f t="shared" ref="H24:P24" si="23">H9</f>
        <v>32</v>
      </c>
      <c r="I24" s="414">
        <f t="shared" si="23"/>
        <v>32</v>
      </c>
      <c r="J24" s="414">
        <f t="shared" si="23"/>
        <v>6</v>
      </c>
      <c r="K24" s="414">
        <f t="shared" si="23"/>
        <v>138</v>
      </c>
      <c r="L24" s="414">
        <f t="shared" si="23"/>
        <v>26</v>
      </c>
      <c r="M24" s="414">
        <f t="shared" si="23"/>
        <v>140</v>
      </c>
      <c r="N24" s="414">
        <f t="shared" si="23"/>
        <v>10</v>
      </c>
      <c r="O24" s="414">
        <f t="shared" si="23"/>
        <v>42</v>
      </c>
      <c r="P24" s="415">
        <f t="shared" si="23"/>
        <v>108</v>
      </c>
      <c r="Q24" s="447">
        <v>0</v>
      </c>
      <c r="R24" s="414">
        <v>0</v>
      </c>
      <c r="S24" s="414">
        <v>0</v>
      </c>
      <c r="T24" s="414">
        <v>0</v>
      </c>
      <c r="U24" s="414">
        <v>0</v>
      </c>
      <c r="V24" s="414">
        <v>0</v>
      </c>
      <c r="W24" s="414">
        <v>0</v>
      </c>
      <c r="X24" s="414">
        <v>0</v>
      </c>
      <c r="Y24" s="414">
        <v>0</v>
      </c>
      <c r="Z24" s="414">
        <v>0</v>
      </c>
      <c r="AA24" s="447">
        <v>0</v>
      </c>
      <c r="AB24" s="414">
        <v>0</v>
      </c>
      <c r="AC24" s="414">
        <v>0</v>
      </c>
      <c r="AD24" s="414">
        <v>0</v>
      </c>
      <c r="AE24" s="414">
        <v>0</v>
      </c>
      <c r="AF24" s="414">
        <v>0</v>
      </c>
      <c r="AG24" s="414">
        <f>AG9</f>
        <v>90</v>
      </c>
      <c r="AH24" s="414">
        <f t="shared" ref="AH24:AI24" si="24">AH9</f>
        <v>16</v>
      </c>
      <c r="AI24" s="414">
        <f t="shared" si="24"/>
        <v>116</v>
      </c>
      <c r="AJ24" s="12"/>
      <c r="AK24" s="174">
        <f t="shared" si="19"/>
        <v>856</v>
      </c>
      <c r="AL24" s="174">
        <f t="shared" si="20"/>
        <v>856</v>
      </c>
      <c r="AM24" s="174"/>
      <c r="AN24" s="175"/>
      <c r="AO24" s="174">
        <f t="shared" si="16"/>
        <v>856</v>
      </c>
      <c r="AP24" s="171" t="str">
        <f t="shared" si="17"/>
        <v>V</v>
      </c>
    </row>
    <row r="25" spans="1:42" ht="15" customHeight="1">
      <c r="A25" t="s">
        <v>32</v>
      </c>
      <c r="B25" s="54" t="s">
        <v>451</v>
      </c>
      <c r="C25" s="43" t="s">
        <v>452</v>
      </c>
      <c r="D25" s="43" t="s">
        <v>38</v>
      </c>
      <c r="E25" s="430">
        <v>0</v>
      </c>
      <c r="F25" s="414">
        <v>0</v>
      </c>
      <c r="G25" s="447">
        <v>0</v>
      </c>
      <c r="H25" s="414">
        <v>0</v>
      </c>
      <c r="I25" s="414">
        <v>0</v>
      </c>
      <c r="J25" s="414">
        <v>0</v>
      </c>
      <c r="K25" s="414">
        <v>0</v>
      </c>
      <c r="L25" s="414">
        <v>0</v>
      </c>
      <c r="M25" s="414">
        <v>0</v>
      </c>
      <c r="N25" s="414">
        <v>0</v>
      </c>
      <c r="O25" s="414">
        <v>0</v>
      </c>
      <c r="P25" s="415">
        <v>0</v>
      </c>
      <c r="Q25" s="447">
        <v>0</v>
      </c>
      <c r="R25" s="414">
        <v>0</v>
      </c>
      <c r="S25" s="414">
        <v>0</v>
      </c>
      <c r="T25" s="414">
        <v>0</v>
      </c>
      <c r="U25" s="414">
        <v>0</v>
      </c>
      <c r="V25" s="414">
        <v>0</v>
      </c>
      <c r="W25" s="414">
        <v>0</v>
      </c>
      <c r="X25" s="414">
        <v>0</v>
      </c>
      <c r="Y25" s="414">
        <v>0</v>
      </c>
      <c r="Z25" s="414">
        <v>0</v>
      </c>
      <c r="AA25" s="447">
        <v>0</v>
      </c>
      <c r="AB25" s="414">
        <v>0</v>
      </c>
      <c r="AC25" s="414">
        <v>0</v>
      </c>
      <c r="AD25" s="414">
        <v>0</v>
      </c>
      <c r="AE25" s="414">
        <v>0</v>
      </c>
      <c r="AF25" s="414">
        <v>0</v>
      </c>
      <c r="AG25" s="414">
        <v>0</v>
      </c>
      <c r="AH25" s="414">
        <v>0</v>
      </c>
      <c r="AI25" s="414">
        <v>0</v>
      </c>
      <c r="AJ25" s="12"/>
      <c r="AK25" s="174">
        <f t="shared" si="19"/>
        <v>0</v>
      </c>
      <c r="AL25" s="174">
        <f t="shared" si="20"/>
        <v>0</v>
      </c>
      <c r="AM25" s="174"/>
      <c r="AN25" s="175"/>
      <c r="AO25" s="174">
        <f t="shared" si="16"/>
        <v>0</v>
      </c>
      <c r="AP25" s="171" t="str">
        <f t="shared" si="17"/>
        <v>V</v>
      </c>
    </row>
    <row r="26" spans="1:42" ht="15" customHeight="1">
      <c r="A26" t="s">
        <v>32</v>
      </c>
      <c r="B26" s="54" t="s">
        <v>116</v>
      </c>
      <c r="C26" s="43" t="s">
        <v>117</v>
      </c>
      <c r="D26" s="43" t="s">
        <v>110</v>
      </c>
      <c r="E26" s="430">
        <v>0</v>
      </c>
      <c r="F26" s="414">
        <v>0</v>
      </c>
      <c r="G26" s="447">
        <v>0</v>
      </c>
      <c r="H26" s="414">
        <v>0</v>
      </c>
      <c r="I26" s="414">
        <v>0</v>
      </c>
      <c r="J26" s="414">
        <v>0</v>
      </c>
      <c r="K26" s="414">
        <v>0</v>
      </c>
      <c r="L26" s="414">
        <v>0</v>
      </c>
      <c r="M26" s="414">
        <v>0</v>
      </c>
      <c r="N26" s="414">
        <v>0</v>
      </c>
      <c r="O26" s="414">
        <v>0</v>
      </c>
      <c r="P26" s="415">
        <v>0</v>
      </c>
      <c r="Q26" s="447">
        <v>0</v>
      </c>
      <c r="R26" s="414">
        <v>0</v>
      </c>
      <c r="S26" s="414">
        <v>0</v>
      </c>
      <c r="T26" s="414">
        <v>0</v>
      </c>
      <c r="U26" s="414">
        <v>0</v>
      </c>
      <c r="V26" s="414">
        <v>0</v>
      </c>
      <c r="W26" s="414">
        <v>0</v>
      </c>
      <c r="X26" s="414">
        <v>0</v>
      </c>
      <c r="Y26" s="414">
        <v>0</v>
      </c>
      <c r="Z26" s="414">
        <v>0</v>
      </c>
      <c r="AA26" s="447">
        <v>0</v>
      </c>
      <c r="AB26" s="414">
        <v>0</v>
      </c>
      <c r="AC26" s="414">
        <v>0</v>
      </c>
      <c r="AD26" s="414">
        <v>0</v>
      </c>
      <c r="AE26" s="414">
        <v>0</v>
      </c>
      <c r="AF26" s="414">
        <v>0</v>
      </c>
      <c r="AG26" s="414">
        <v>0</v>
      </c>
      <c r="AH26" s="414">
        <v>0</v>
      </c>
      <c r="AI26" s="414">
        <v>0</v>
      </c>
      <c r="AJ26" s="12"/>
      <c r="AK26" s="174">
        <f t="shared" si="19"/>
        <v>0</v>
      </c>
      <c r="AL26" s="174">
        <f t="shared" si="20"/>
        <v>0</v>
      </c>
      <c r="AM26" s="174"/>
      <c r="AN26" s="175"/>
      <c r="AO26" s="174">
        <f t="shared" si="16"/>
        <v>0</v>
      </c>
      <c r="AP26" s="171" t="str">
        <f t="shared" si="17"/>
        <v>V</v>
      </c>
    </row>
    <row r="27" spans="1:42" ht="15" customHeight="1">
      <c r="A27" t="s">
        <v>32</v>
      </c>
      <c r="B27" s="54" t="s">
        <v>118</v>
      </c>
      <c r="C27" s="43" t="s">
        <v>119</v>
      </c>
      <c r="D27" s="43" t="s">
        <v>110</v>
      </c>
      <c r="E27" s="430">
        <v>0</v>
      </c>
      <c r="F27" s="414">
        <v>0</v>
      </c>
      <c r="G27" s="447">
        <v>0</v>
      </c>
      <c r="H27" s="414">
        <v>0</v>
      </c>
      <c r="I27" s="414">
        <v>0</v>
      </c>
      <c r="J27" s="414">
        <v>0</v>
      </c>
      <c r="K27" s="414">
        <v>0</v>
      </c>
      <c r="L27" s="414">
        <v>0</v>
      </c>
      <c r="M27" s="414">
        <v>0</v>
      </c>
      <c r="N27" s="414">
        <v>0</v>
      </c>
      <c r="O27" s="414">
        <v>0</v>
      </c>
      <c r="P27" s="415">
        <v>0</v>
      </c>
      <c r="Q27" s="447">
        <v>0</v>
      </c>
      <c r="R27" s="414">
        <v>0</v>
      </c>
      <c r="S27" s="414">
        <v>0</v>
      </c>
      <c r="T27" s="414">
        <v>0</v>
      </c>
      <c r="U27" s="414">
        <v>0</v>
      </c>
      <c r="V27" s="414">
        <v>0</v>
      </c>
      <c r="W27" s="414">
        <v>0</v>
      </c>
      <c r="X27" s="414">
        <v>0</v>
      </c>
      <c r="Y27" s="414">
        <v>0</v>
      </c>
      <c r="Z27" s="414">
        <v>0</v>
      </c>
      <c r="AA27" s="447">
        <v>0</v>
      </c>
      <c r="AB27" s="414">
        <v>0</v>
      </c>
      <c r="AC27" s="414">
        <v>0</v>
      </c>
      <c r="AD27" s="414">
        <v>0</v>
      </c>
      <c r="AE27" s="414">
        <v>0</v>
      </c>
      <c r="AF27" s="414">
        <v>0</v>
      </c>
      <c r="AG27" s="414">
        <v>0</v>
      </c>
      <c r="AH27" s="414">
        <v>0</v>
      </c>
      <c r="AI27" s="414">
        <v>0</v>
      </c>
      <c r="AJ27" s="12"/>
      <c r="AK27" s="174">
        <f t="shared" si="19"/>
        <v>0</v>
      </c>
      <c r="AL27" s="174">
        <f t="shared" si="20"/>
        <v>0</v>
      </c>
      <c r="AM27" s="174"/>
      <c r="AN27" s="175"/>
      <c r="AO27" s="174">
        <f t="shared" si="16"/>
        <v>0</v>
      </c>
      <c r="AP27" s="171" t="str">
        <f t="shared" si="17"/>
        <v>V</v>
      </c>
    </row>
    <row r="28" spans="1:42" ht="15" customHeight="1">
      <c r="A28" t="s">
        <v>32</v>
      </c>
      <c r="B28" s="54" t="s">
        <v>120</v>
      </c>
      <c r="C28" s="43" t="s">
        <v>121</v>
      </c>
      <c r="D28" s="43" t="s">
        <v>110</v>
      </c>
      <c r="E28" s="430">
        <v>0</v>
      </c>
      <c r="F28" s="414">
        <v>0</v>
      </c>
      <c r="G28" s="447">
        <f>G9</f>
        <v>100</v>
      </c>
      <c r="H28" s="414">
        <f t="shared" ref="H28:P28" si="25">H9</f>
        <v>32</v>
      </c>
      <c r="I28" s="414">
        <f t="shared" si="25"/>
        <v>32</v>
      </c>
      <c r="J28" s="414">
        <f t="shared" si="25"/>
        <v>6</v>
      </c>
      <c r="K28" s="414">
        <f t="shared" si="25"/>
        <v>138</v>
      </c>
      <c r="L28" s="414">
        <f t="shared" si="25"/>
        <v>26</v>
      </c>
      <c r="M28" s="414">
        <f t="shared" si="25"/>
        <v>140</v>
      </c>
      <c r="N28" s="414">
        <f t="shared" si="25"/>
        <v>10</v>
      </c>
      <c r="O28" s="414">
        <f t="shared" si="25"/>
        <v>42</v>
      </c>
      <c r="P28" s="415">
        <f t="shared" si="25"/>
        <v>108</v>
      </c>
      <c r="Q28" s="447">
        <v>0</v>
      </c>
      <c r="R28" s="414">
        <v>0</v>
      </c>
      <c r="S28" s="414">
        <v>0</v>
      </c>
      <c r="T28" s="414">
        <v>0</v>
      </c>
      <c r="U28" s="414">
        <v>0</v>
      </c>
      <c r="V28" s="414">
        <v>0</v>
      </c>
      <c r="W28" s="414">
        <v>0</v>
      </c>
      <c r="X28" s="414">
        <v>0</v>
      </c>
      <c r="Y28" s="414">
        <v>0</v>
      </c>
      <c r="Z28" s="414">
        <v>0</v>
      </c>
      <c r="AA28" s="447">
        <v>0</v>
      </c>
      <c r="AB28" s="414">
        <v>0</v>
      </c>
      <c r="AC28" s="414">
        <v>0</v>
      </c>
      <c r="AD28" s="414">
        <v>0</v>
      </c>
      <c r="AE28" s="414">
        <v>0</v>
      </c>
      <c r="AF28" s="414">
        <v>0</v>
      </c>
      <c r="AG28" s="414">
        <f>AG9</f>
        <v>90</v>
      </c>
      <c r="AH28" s="414">
        <f t="shared" ref="AH28:AI28" si="26">AH9</f>
        <v>16</v>
      </c>
      <c r="AI28" s="414">
        <f t="shared" si="26"/>
        <v>116</v>
      </c>
      <c r="AJ28" s="12"/>
      <c r="AK28" s="174">
        <f t="shared" si="19"/>
        <v>856</v>
      </c>
      <c r="AL28" s="174">
        <f t="shared" si="20"/>
        <v>856</v>
      </c>
      <c r="AM28" s="174"/>
      <c r="AN28" s="175"/>
      <c r="AO28" s="174">
        <f t="shared" si="16"/>
        <v>856</v>
      </c>
      <c r="AP28" s="171" t="str">
        <f t="shared" si="17"/>
        <v>V</v>
      </c>
    </row>
    <row r="29" spans="1:42" ht="15" customHeight="1">
      <c r="A29" t="s">
        <v>32</v>
      </c>
      <c r="B29" s="54" t="s">
        <v>453</v>
      </c>
      <c r="C29" s="43" t="s">
        <v>454</v>
      </c>
      <c r="D29" s="43" t="s">
        <v>110</v>
      </c>
      <c r="E29" s="430">
        <v>0</v>
      </c>
      <c r="F29" s="414">
        <v>0</v>
      </c>
      <c r="G29" s="447">
        <v>0</v>
      </c>
      <c r="H29" s="414">
        <v>0</v>
      </c>
      <c r="I29" s="414">
        <v>0</v>
      </c>
      <c r="J29" s="414">
        <v>0</v>
      </c>
      <c r="K29" s="414">
        <v>0</v>
      </c>
      <c r="L29" s="414">
        <v>0</v>
      </c>
      <c r="M29" s="414">
        <v>0</v>
      </c>
      <c r="N29" s="414">
        <v>0</v>
      </c>
      <c r="O29" s="414">
        <v>0</v>
      </c>
      <c r="P29" s="415">
        <v>0</v>
      </c>
      <c r="Q29" s="447">
        <v>0</v>
      </c>
      <c r="R29" s="414">
        <v>0</v>
      </c>
      <c r="S29" s="414">
        <v>0</v>
      </c>
      <c r="T29" s="414">
        <v>0</v>
      </c>
      <c r="U29" s="414">
        <v>0</v>
      </c>
      <c r="V29" s="414">
        <v>0</v>
      </c>
      <c r="W29" s="414">
        <v>0</v>
      </c>
      <c r="X29" s="414">
        <v>0</v>
      </c>
      <c r="Y29" s="414">
        <v>0</v>
      </c>
      <c r="Z29" s="414">
        <v>0</v>
      </c>
      <c r="AA29" s="447">
        <v>0</v>
      </c>
      <c r="AB29" s="414">
        <v>0</v>
      </c>
      <c r="AC29" s="414">
        <v>0</v>
      </c>
      <c r="AD29" s="414">
        <v>0</v>
      </c>
      <c r="AE29" s="414">
        <v>0</v>
      </c>
      <c r="AF29" s="414">
        <v>0</v>
      </c>
      <c r="AG29" s="414">
        <v>0</v>
      </c>
      <c r="AH29" s="414">
        <v>0</v>
      </c>
      <c r="AI29" s="414">
        <v>0</v>
      </c>
      <c r="AJ29" s="12"/>
      <c r="AK29" s="174">
        <f t="shared" si="19"/>
        <v>0</v>
      </c>
      <c r="AL29" s="174">
        <f t="shared" si="20"/>
        <v>0</v>
      </c>
      <c r="AM29" s="174"/>
      <c r="AN29" s="175"/>
      <c r="AO29" s="174">
        <f t="shared" si="16"/>
        <v>0</v>
      </c>
      <c r="AP29" s="171" t="str">
        <f t="shared" si="17"/>
        <v>V</v>
      </c>
    </row>
    <row r="30" spans="1:42" ht="15" customHeight="1">
      <c r="A30" t="s">
        <v>32</v>
      </c>
      <c r="B30" s="54" t="s">
        <v>63</v>
      </c>
      <c r="C30" s="43" t="s">
        <v>64</v>
      </c>
      <c r="D30" s="43" t="s">
        <v>38</v>
      </c>
      <c r="E30" s="430">
        <v>0</v>
      </c>
      <c r="F30" s="414">
        <v>0</v>
      </c>
      <c r="G30" s="447">
        <f>G9</f>
        <v>100</v>
      </c>
      <c r="H30" s="414">
        <f t="shared" ref="H30:P30" si="27">H9</f>
        <v>32</v>
      </c>
      <c r="I30" s="414">
        <f t="shared" si="27"/>
        <v>32</v>
      </c>
      <c r="J30" s="414">
        <f t="shared" si="27"/>
        <v>6</v>
      </c>
      <c r="K30" s="414">
        <f t="shared" si="27"/>
        <v>138</v>
      </c>
      <c r="L30" s="414">
        <f t="shared" si="27"/>
        <v>26</v>
      </c>
      <c r="M30" s="414">
        <f t="shared" si="27"/>
        <v>140</v>
      </c>
      <c r="N30" s="414">
        <f t="shared" si="27"/>
        <v>10</v>
      </c>
      <c r="O30" s="414">
        <f t="shared" si="27"/>
        <v>42</v>
      </c>
      <c r="P30" s="415">
        <f t="shared" si="27"/>
        <v>108</v>
      </c>
      <c r="Q30" s="447">
        <v>0</v>
      </c>
      <c r="R30" s="414">
        <v>0</v>
      </c>
      <c r="S30" s="414">
        <v>0</v>
      </c>
      <c r="T30" s="414">
        <v>0</v>
      </c>
      <c r="U30" s="414">
        <v>0</v>
      </c>
      <c r="V30" s="414">
        <v>0</v>
      </c>
      <c r="W30" s="414">
        <v>0</v>
      </c>
      <c r="X30" s="414">
        <v>0</v>
      </c>
      <c r="Y30" s="414">
        <v>0</v>
      </c>
      <c r="Z30" s="414">
        <v>0</v>
      </c>
      <c r="AA30" s="447">
        <v>0</v>
      </c>
      <c r="AB30" s="414">
        <v>0</v>
      </c>
      <c r="AC30" s="414">
        <v>0</v>
      </c>
      <c r="AD30" s="414">
        <v>0</v>
      </c>
      <c r="AE30" s="414">
        <v>0</v>
      </c>
      <c r="AF30" s="414">
        <v>0</v>
      </c>
      <c r="AG30" s="414">
        <f>AG9</f>
        <v>90</v>
      </c>
      <c r="AH30" s="414">
        <f t="shared" ref="AH30:AI30" si="28">AH9</f>
        <v>16</v>
      </c>
      <c r="AI30" s="414">
        <f t="shared" si="28"/>
        <v>116</v>
      </c>
      <c r="AJ30" s="12"/>
      <c r="AK30" s="174">
        <f t="shared" si="19"/>
        <v>856</v>
      </c>
      <c r="AL30" s="174">
        <f t="shared" si="20"/>
        <v>856</v>
      </c>
      <c r="AM30" s="174"/>
      <c r="AN30" s="175"/>
      <c r="AO30" s="174">
        <f t="shared" si="16"/>
        <v>856</v>
      </c>
      <c r="AP30" s="171" t="str">
        <f t="shared" si="17"/>
        <v>V</v>
      </c>
    </row>
    <row r="31" spans="1:42" ht="15" customHeight="1">
      <c r="A31" t="s">
        <v>32</v>
      </c>
      <c r="B31" s="54" t="s">
        <v>122</v>
      </c>
      <c r="C31" s="43" t="s">
        <v>123</v>
      </c>
      <c r="D31" s="43" t="s">
        <v>110</v>
      </c>
      <c r="E31" s="430">
        <v>0</v>
      </c>
      <c r="F31" s="414">
        <v>0</v>
      </c>
      <c r="G31" s="447">
        <v>0</v>
      </c>
      <c r="H31" s="414">
        <v>0</v>
      </c>
      <c r="I31" s="414">
        <v>0</v>
      </c>
      <c r="J31" s="414">
        <v>0</v>
      </c>
      <c r="K31" s="414">
        <v>0</v>
      </c>
      <c r="L31" s="414">
        <v>0</v>
      </c>
      <c r="M31" s="414">
        <v>0</v>
      </c>
      <c r="N31" s="414">
        <v>0</v>
      </c>
      <c r="O31" s="414">
        <v>0</v>
      </c>
      <c r="P31" s="415">
        <v>0</v>
      </c>
      <c r="Q31" s="447">
        <v>0</v>
      </c>
      <c r="R31" s="414">
        <v>0</v>
      </c>
      <c r="S31" s="414">
        <v>0</v>
      </c>
      <c r="T31" s="414">
        <v>0</v>
      </c>
      <c r="U31" s="414">
        <v>0</v>
      </c>
      <c r="V31" s="414">
        <v>0</v>
      </c>
      <c r="W31" s="414">
        <v>0</v>
      </c>
      <c r="X31" s="414">
        <v>0</v>
      </c>
      <c r="Y31" s="414">
        <v>0</v>
      </c>
      <c r="Z31" s="414">
        <v>0</v>
      </c>
      <c r="AA31" s="447">
        <v>0</v>
      </c>
      <c r="AB31" s="414">
        <v>0</v>
      </c>
      <c r="AC31" s="414">
        <v>0</v>
      </c>
      <c r="AD31" s="414">
        <v>0</v>
      </c>
      <c r="AE31" s="414">
        <v>0</v>
      </c>
      <c r="AF31" s="414">
        <v>0</v>
      </c>
      <c r="AG31" s="414">
        <v>0</v>
      </c>
      <c r="AH31" s="414">
        <v>0</v>
      </c>
      <c r="AI31" s="414">
        <v>0</v>
      </c>
      <c r="AJ31" s="12"/>
      <c r="AK31" s="174">
        <f t="shared" si="19"/>
        <v>0</v>
      </c>
      <c r="AL31" s="174">
        <f t="shared" si="20"/>
        <v>0</v>
      </c>
      <c r="AM31" s="174"/>
      <c r="AN31" s="175"/>
      <c r="AO31" s="174">
        <f t="shared" si="16"/>
        <v>0</v>
      </c>
      <c r="AP31" s="171" t="str">
        <f t="shared" si="17"/>
        <v>V</v>
      </c>
    </row>
    <row r="32" spans="1:42" ht="15" customHeight="1">
      <c r="A32" t="s">
        <v>32</v>
      </c>
      <c r="B32" s="54" t="s">
        <v>65</v>
      </c>
      <c r="C32" s="43" t="s">
        <v>66</v>
      </c>
      <c r="D32" s="43" t="s">
        <v>38</v>
      </c>
      <c r="E32" s="430">
        <v>0</v>
      </c>
      <c r="F32" s="414">
        <v>0</v>
      </c>
      <c r="G32" s="447">
        <f>G9</f>
        <v>100</v>
      </c>
      <c r="H32" s="414">
        <f t="shared" ref="H32:P32" si="29">H9</f>
        <v>32</v>
      </c>
      <c r="I32" s="414">
        <f t="shared" si="29"/>
        <v>32</v>
      </c>
      <c r="J32" s="414">
        <f t="shared" si="29"/>
        <v>6</v>
      </c>
      <c r="K32" s="414">
        <f t="shared" si="29"/>
        <v>138</v>
      </c>
      <c r="L32" s="414">
        <f t="shared" si="29"/>
        <v>26</v>
      </c>
      <c r="M32" s="414">
        <f t="shared" si="29"/>
        <v>140</v>
      </c>
      <c r="N32" s="414">
        <f t="shared" si="29"/>
        <v>10</v>
      </c>
      <c r="O32" s="414">
        <f t="shared" si="29"/>
        <v>42</v>
      </c>
      <c r="P32" s="415">
        <f t="shared" si="29"/>
        <v>108</v>
      </c>
      <c r="Q32" s="447">
        <v>0</v>
      </c>
      <c r="R32" s="414">
        <v>0</v>
      </c>
      <c r="S32" s="414">
        <v>0</v>
      </c>
      <c r="T32" s="414">
        <v>0</v>
      </c>
      <c r="U32" s="414">
        <v>0</v>
      </c>
      <c r="V32" s="414">
        <v>0</v>
      </c>
      <c r="W32" s="414">
        <v>0</v>
      </c>
      <c r="X32" s="414">
        <v>0</v>
      </c>
      <c r="Y32" s="414">
        <v>0</v>
      </c>
      <c r="Z32" s="414">
        <v>0</v>
      </c>
      <c r="AA32" s="447">
        <v>0</v>
      </c>
      <c r="AB32" s="414">
        <v>0</v>
      </c>
      <c r="AC32" s="414">
        <v>0</v>
      </c>
      <c r="AD32" s="414">
        <v>0</v>
      </c>
      <c r="AE32" s="414">
        <v>0</v>
      </c>
      <c r="AF32" s="414">
        <v>0</v>
      </c>
      <c r="AG32" s="414">
        <f>AG9</f>
        <v>90</v>
      </c>
      <c r="AH32" s="414">
        <f t="shared" ref="AH32:AI32" si="30">AH9</f>
        <v>16</v>
      </c>
      <c r="AI32" s="414">
        <f t="shared" si="30"/>
        <v>116</v>
      </c>
      <c r="AJ32" s="12"/>
      <c r="AK32" s="174">
        <f t="shared" si="19"/>
        <v>856</v>
      </c>
      <c r="AL32" s="174">
        <f t="shared" si="20"/>
        <v>856</v>
      </c>
      <c r="AM32" s="174"/>
      <c r="AN32" s="175"/>
      <c r="AO32" s="174">
        <f t="shared" si="16"/>
        <v>856</v>
      </c>
      <c r="AP32" s="171" t="str">
        <f t="shared" si="17"/>
        <v>V</v>
      </c>
    </row>
    <row r="33" spans="1:42" ht="15" customHeight="1">
      <c r="A33" t="s">
        <v>32</v>
      </c>
      <c r="B33" s="54" t="s">
        <v>67</v>
      </c>
      <c r="C33" s="43" t="s">
        <v>68</v>
      </c>
      <c r="D33" s="43" t="s">
        <v>38</v>
      </c>
      <c r="E33" s="430">
        <v>0</v>
      </c>
      <c r="F33" s="414">
        <v>0</v>
      </c>
      <c r="G33" s="447">
        <v>0</v>
      </c>
      <c r="H33" s="414">
        <v>0</v>
      </c>
      <c r="I33" s="414">
        <v>0</v>
      </c>
      <c r="J33" s="414">
        <v>0</v>
      </c>
      <c r="K33" s="414">
        <v>0</v>
      </c>
      <c r="L33" s="414">
        <v>0</v>
      </c>
      <c r="M33" s="414">
        <v>0</v>
      </c>
      <c r="N33" s="414">
        <v>0</v>
      </c>
      <c r="O33" s="414">
        <v>0</v>
      </c>
      <c r="P33" s="415">
        <v>0</v>
      </c>
      <c r="Q33" s="447">
        <v>0</v>
      </c>
      <c r="R33" s="414">
        <v>0</v>
      </c>
      <c r="S33" s="414">
        <v>0</v>
      </c>
      <c r="T33" s="414">
        <v>0</v>
      </c>
      <c r="U33" s="414">
        <v>0</v>
      </c>
      <c r="V33" s="414">
        <v>0</v>
      </c>
      <c r="W33" s="414">
        <v>0</v>
      </c>
      <c r="X33" s="414">
        <v>0</v>
      </c>
      <c r="Y33" s="414">
        <v>0</v>
      </c>
      <c r="Z33" s="414">
        <v>0</v>
      </c>
      <c r="AA33" s="447">
        <v>0</v>
      </c>
      <c r="AB33" s="414">
        <v>0</v>
      </c>
      <c r="AC33" s="414">
        <v>0</v>
      </c>
      <c r="AD33" s="414">
        <v>0</v>
      </c>
      <c r="AE33" s="414">
        <v>0</v>
      </c>
      <c r="AF33" s="414">
        <v>0</v>
      </c>
      <c r="AG33" s="414">
        <v>0</v>
      </c>
      <c r="AH33" s="414">
        <v>0</v>
      </c>
      <c r="AI33" s="414">
        <v>0</v>
      </c>
      <c r="AJ33" s="12"/>
      <c r="AK33" s="174">
        <f t="shared" si="19"/>
        <v>0</v>
      </c>
      <c r="AL33" s="174">
        <f t="shared" si="20"/>
        <v>0</v>
      </c>
      <c r="AM33" s="174"/>
      <c r="AN33" s="175"/>
      <c r="AO33" s="174">
        <f t="shared" si="16"/>
        <v>0</v>
      </c>
      <c r="AP33" s="171" t="str">
        <f t="shared" si="17"/>
        <v>V</v>
      </c>
    </row>
    <row r="34" spans="1:42" ht="15" customHeight="1">
      <c r="A34" t="s">
        <v>32</v>
      </c>
      <c r="B34" s="54" t="s">
        <v>455</v>
      </c>
      <c r="C34" s="43" t="s">
        <v>456</v>
      </c>
      <c r="D34" s="43" t="s">
        <v>38</v>
      </c>
      <c r="E34" s="430">
        <v>0</v>
      </c>
      <c r="F34" s="414">
        <v>0</v>
      </c>
      <c r="G34" s="447">
        <v>0</v>
      </c>
      <c r="H34" s="414">
        <v>0</v>
      </c>
      <c r="I34" s="414">
        <v>0</v>
      </c>
      <c r="J34" s="414">
        <v>0</v>
      </c>
      <c r="K34" s="414">
        <v>0</v>
      </c>
      <c r="L34" s="414">
        <v>0</v>
      </c>
      <c r="M34" s="414">
        <v>0</v>
      </c>
      <c r="N34" s="414">
        <v>0</v>
      </c>
      <c r="O34" s="414">
        <v>0</v>
      </c>
      <c r="P34" s="415">
        <v>0</v>
      </c>
      <c r="Q34" s="447">
        <v>0</v>
      </c>
      <c r="R34" s="414">
        <v>0</v>
      </c>
      <c r="S34" s="414">
        <v>0</v>
      </c>
      <c r="T34" s="414">
        <v>0</v>
      </c>
      <c r="U34" s="414">
        <v>0</v>
      </c>
      <c r="V34" s="414">
        <v>0</v>
      </c>
      <c r="W34" s="414">
        <v>0</v>
      </c>
      <c r="X34" s="414">
        <v>0</v>
      </c>
      <c r="Y34" s="414">
        <v>0</v>
      </c>
      <c r="Z34" s="414">
        <v>0</v>
      </c>
      <c r="AA34" s="447">
        <v>0</v>
      </c>
      <c r="AB34" s="414">
        <v>0</v>
      </c>
      <c r="AC34" s="414">
        <v>0</v>
      </c>
      <c r="AD34" s="414">
        <v>0</v>
      </c>
      <c r="AE34" s="414">
        <v>0</v>
      </c>
      <c r="AF34" s="414">
        <v>0</v>
      </c>
      <c r="AG34" s="414">
        <v>0</v>
      </c>
      <c r="AH34" s="414">
        <v>0</v>
      </c>
      <c r="AI34" s="414">
        <v>0</v>
      </c>
      <c r="AJ34" s="12"/>
      <c r="AK34" s="174">
        <f t="shared" si="19"/>
        <v>0</v>
      </c>
      <c r="AL34" s="174">
        <f t="shared" si="20"/>
        <v>0</v>
      </c>
      <c r="AM34" s="174"/>
      <c r="AN34" s="175"/>
      <c r="AO34" s="174">
        <f t="shared" si="16"/>
        <v>0</v>
      </c>
      <c r="AP34" s="171" t="str">
        <f t="shared" si="17"/>
        <v>V</v>
      </c>
    </row>
    <row r="35" spans="1:42" ht="15" customHeight="1">
      <c r="A35" t="s">
        <v>32</v>
      </c>
      <c r="B35" s="54" t="s">
        <v>69</v>
      </c>
      <c r="C35" s="43" t="s">
        <v>70</v>
      </c>
      <c r="D35" s="43" t="s">
        <v>38</v>
      </c>
      <c r="E35" s="430">
        <v>0</v>
      </c>
      <c r="F35" s="414">
        <v>0</v>
      </c>
      <c r="G35" s="447">
        <v>0</v>
      </c>
      <c r="H35" s="414">
        <v>0</v>
      </c>
      <c r="I35" s="414">
        <v>0</v>
      </c>
      <c r="J35" s="414">
        <v>0</v>
      </c>
      <c r="K35" s="414">
        <v>0</v>
      </c>
      <c r="L35" s="414">
        <v>0</v>
      </c>
      <c r="M35" s="414">
        <v>0</v>
      </c>
      <c r="N35" s="414">
        <v>0</v>
      </c>
      <c r="O35" s="414">
        <v>0</v>
      </c>
      <c r="P35" s="415">
        <v>0</v>
      </c>
      <c r="Q35" s="447">
        <v>0</v>
      </c>
      <c r="R35" s="414">
        <v>0</v>
      </c>
      <c r="S35" s="414">
        <v>0</v>
      </c>
      <c r="T35" s="414">
        <v>0</v>
      </c>
      <c r="U35" s="414">
        <v>0</v>
      </c>
      <c r="V35" s="414">
        <v>0</v>
      </c>
      <c r="W35" s="414">
        <v>0</v>
      </c>
      <c r="X35" s="414">
        <v>0</v>
      </c>
      <c r="Y35" s="414">
        <v>0</v>
      </c>
      <c r="Z35" s="414">
        <v>0</v>
      </c>
      <c r="AA35" s="447">
        <v>0</v>
      </c>
      <c r="AB35" s="414">
        <v>0</v>
      </c>
      <c r="AC35" s="414">
        <v>0</v>
      </c>
      <c r="AD35" s="414">
        <v>0</v>
      </c>
      <c r="AE35" s="414">
        <v>0</v>
      </c>
      <c r="AF35" s="414">
        <v>0</v>
      </c>
      <c r="AG35" s="414">
        <v>0</v>
      </c>
      <c r="AH35" s="414">
        <v>0</v>
      </c>
      <c r="AI35" s="414">
        <v>0</v>
      </c>
      <c r="AJ35" s="12"/>
      <c r="AK35" s="174">
        <f t="shared" si="19"/>
        <v>0</v>
      </c>
      <c r="AL35" s="174">
        <f t="shared" si="20"/>
        <v>0</v>
      </c>
      <c r="AM35" s="174"/>
      <c r="AN35" s="175"/>
      <c r="AO35" s="174">
        <f t="shared" si="16"/>
        <v>0</v>
      </c>
      <c r="AP35" s="171" t="str">
        <f t="shared" si="17"/>
        <v>V</v>
      </c>
    </row>
    <row r="36" spans="1:42" ht="15" customHeight="1">
      <c r="A36" t="s">
        <v>32</v>
      </c>
      <c r="B36" s="54" t="s">
        <v>71</v>
      </c>
      <c r="C36" s="43" t="s">
        <v>72</v>
      </c>
      <c r="D36" s="43" t="s">
        <v>38</v>
      </c>
      <c r="E36" s="430">
        <v>0</v>
      </c>
      <c r="F36" s="414">
        <v>0</v>
      </c>
      <c r="G36" s="447">
        <v>0</v>
      </c>
      <c r="H36" s="414">
        <v>0</v>
      </c>
      <c r="I36" s="414">
        <v>0</v>
      </c>
      <c r="J36" s="414">
        <v>0</v>
      </c>
      <c r="K36" s="414">
        <v>0</v>
      </c>
      <c r="L36" s="414">
        <v>0</v>
      </c>
      <c r="M36" s="414">
        <v>0</v>
      </c>
      <c r="N36" s="414">
        <v>0</v>
      </c>
      <c r="O36" s="414">
        <v>0</v>
      </c>
      <c r="P36" s="415">
        <v>0</v>
      </c>
      <c r="Q36" s="447">
        <v>0</v>
      </c>
      <c r="R36" s="414">
        <v>0</v>
      </c>
      <c r="S36" s="414">
        <v>0</v>
      </c>
      <c r="T36" s="414">
        <v>0</v>
      </c>
      <c r="U36" s="414">
        <v>0</v>
      </c>
      <c r="V36" s="414">
        <v>0</v>
      </c>
      <c r="W36" s="414">
        <v>0</v>
      </c>
      <c r="X36" s="414">
        <v>0</v>
      </c>
      <c r="Y36" s="414">
        <v>0</v>
      </c>
      <c r="Z36" s="414">
        <v>0</v>
      </c>
      <c r="AA36" s="447">
        <v>0</v>
      </c>
      <c r="AB36" s="414">
        <v>0</v>
      </c>
      <c r="AC36" s="414">
        <v>0</v>
      </c>
      <c r="AD36" s="414">
        <v>0</v>
      </c>
      <c r="AE36" s="414">
        <v>0</v>
      </c>
      <c r="AF36" s="414">
        <v>0</v>
      </c>
      <c r="AG36" s="414">
        <v>0</v>
      </c>
      <c r="AH36" s="414">
        <v>0</v>
      </c>
      <c r="AI36" s="414">
        <v>0</v>
      </c>
      <c r="AJ36" s="12"/>
      <c r="AK36" s="174">
        <f t="shared" si="19"/>
        <v>0</v>
      </c>
      <c r="AL36" s="174">
        <f t="shared" si="20"/>
        <v>0</v>
      </c>
      <c r="AM36" s="174"/>
      <c r="AN36" s="175"/>
      <c r="AO36" s="174">
        <f t="shared" si="16"/>
        <v>0</v>
      </c>
      <c r="AP36" s="171" t="str">
        <f t="shared" si="17"/>
        <v>V</v>
      </c>
    </row>
    <row r="37" spans="1:42" ht="15" customHeight="1">
      <c r="A37" t="s">
        <v>32</v>
      </c>
      <c r="B37" s="54" t="s">
        <v>342</v>
      </c>
      <c r="C37" s="43" t="s">
        <v>343</v>
      </c>
      <c r="D37" s="43" t="s">
        <v>38</v>
      </c>
      <c r="E37" s="430">
        <v>0</v>
      </c>
      <c r="F37" s="414">
        <v>0</v>
      </c>
      <c r="G37" s="447">
        <v>0</v>
      </c>
      <c r="H37" s="414">
        <v>0</v>
      </c>
      <c r="I37" s="414">
        <v>0</v>
      </c>
      <c r="J37" s="414">
        <v>0</v>
      </c>
      <c r="K37" s="414">
        <v>0</v>
      </c>
      <c r="L37" s="414">
        <v>0</v>
      </c>
      <c r="M37" s="414">
        <v>0</v>
      </c>
      <c r="N37" s="414">
        <v>0</v>
      </c>
      <c r="O37" s="414">
        <v>0</v>
      </c>
      <c r="P37" s="415">
        <v>0</v>
      </c>
      <c r="Q37" s="447">
        <v>0</v>
      </c>
      <c r="R37" s="414">
        <v>0</v>
      </c>
      <c r="S37" s="414">
        <v>0</v>
      </c>
      <c r="T37" s="414">
        <v>0</v>
      </c>
      <c r="U37" s="414">
        <v>0</v>
      </c>
      <c r="V37" s="414">
        <v>0</v>
      </c>
      <c r="W37" s="414">
        <v>0</v>
      </c>
      <c r="X37" s="414">
        <v>0</v>
      </c>
      <c r="Y37" s="414">
        <v>0</v>
      </c>
      <c r="Z37" s="414">
        <v>0</v>
      </c>
      <c r="AA37" s="447">
        <v>0</v>
      </c>
      <c r="AB37" s="414">
        <v>0</v>
      </c>
      <c r="AC37" s="414">
        <v>0</v>
      </c>
      <c r="AD37" s="414">
        <v>0</v>
      </c>
      <c r="AE37" s="414">
        <v>0</v>
      </c>
      <c r="AF37" s="414">
        <v>0</v>
      </c>
      <c r="AG37" s="414">
        <v>0</v>
      </c>
      <c r="AH37" s="414">
        <v>0</v>
      </c>
      <c r="AI37" s="414">
        <v>0</v>
      </c>
      <c r="AJ37" s="12"/>
      <c r="AK37" s="174">
        <f t="shared" si="19"/>
        <v>0</v>
      </c>
      <c r="AL37" s="174">
        <f t="shared" si="20"/>
        <v>0</v>
      </c>
      <c r="AM37" s="174"/>
      <c r="AN37" s="175"/>
      <c r="AO37" s="174">
        <f t="shared" si="16"/>
        <v>0</v>
      </c>
      <c r="AP37" s="171" t="str">
        <f t="shared" si="17"/>
        <v>V</v>
      </c>
    </row>
    <row r="38" spans="1:42" ht="15" customHeight="1">
      <c r="A38" t="s">
        <v>32</v>
      </c>
      <c r="B38" s="54" t="s">
        <v>73</v>
      </c>
      <c r="C38" s="43" t="s">
        <v>74</v>
      </c>
      <c r="D38" s="43" t="s">
        <v>38</v>
      </c>
      <c r="E38" s="430">
        <v>0</v>
      </c>
      <c r="F38" s="414">
        <v>0</v>
      </c>
      <c r="G38" s="447">
        <v>0</v>
      </c>
      <c r="H38" s="414">
        <v>0</v>
      </c>
      <c r="I38" s="414">
        <v>0</v>
      </c>
      <c r="J38" s="414">
        <v>0</v>
      </c>
      <c r="K38" s="414">
        <v>0</v>
      </c>
      <c r="L38" s="414">
        <v>0</v>
      </c>
      <c r="M38" s="414">
        <v>0</v>
      </c>
      <c r="N38" s="414">
        <v>0</v>
      </c>
      <c r="O38" s="414">
        <v>0</v>
      </c>
      <c r="P38" s="415">
        <v>0</v>
      </c>
      <c r="Q38" s="447">
        <v>0</v>
      </c>
      <c r="R38" s="414">
        <v>0</v>
      </c>
      <c r="S38" s="414">
        <v>0</v>
      </c>
      <c r="T38" s="414">
        <v>0</v>
      </c>
      <c r="U38" s="414">
        <v>0</v>
      </c>
      <c r="V38" s="414">
        <v>0</v>
      </c>
      <c r="W38" s="414">
        <v>0</v>
      </c>
      <c r="X38" s="414">
        <v>0</v>
      </c>
      <c r="Y38" s="414">
        <v>0</v>
      </c>
      <c r="Z38" s="414">
        <v>0</v>
      </c>
      <c r="AA38" s="447">
        <v>0</v>
      </c>
      <c r="AB38" s="414">
        <v>0</v>
      </c>
      <c r="AC38" s="414">
        <v>0</v>
      </c>
      <c r="AD38" s="414">
        <v>0</v>
      </c>
      <c r="AE38" s="414">
        <v>0</v>
      </c>
      <c r="AF38" s="414">
        <v>0</v>
      </c>
      <c r="AG38" s="414">
        <v>0</v>
      </c>
      <c r="AH38" s="414">
        <v>0</v>
      </c>
      <c r="AI38" s="414">
        <v>0</v>
      </c>
      <c r="AJ38" s="12"/>
      <c r="AK38" s="174">
        <f t="shared" si="19"/>
        <v>0</v>
      </c>
      <c r="AL38" s="174">
        <f t="shared" si="20"/>
        <v>0</v>
      </c>
      <c r="AM38" s="174"/>
      <c r="AN38" s="175"/>
      <c r="AO38" s="174">
        <f t="shared" si="16"/>
        <v>0</v>
      </c>
      <c r="AP38" s="171" t="str">
        <f t="shared" si="17"/>
        <v>V</v>
      </c>
    </row>
    <row r="39" spans="1:42" ht="15" customHeight="1">
      <c r="A39" t="s">
        <v>32</v>
      </c>
      <c r="B39" s="54" t="s">
        <v>75</v>
      </c>
      <c r="C39" s="43" t="s">
        <v>76</v>
      </c>
      <c r="D39" s="43" t="s">
        <v>38</v>
      </c>
      <c r="E39" s="430">
        <v>0</v>
      </c>
      <c r="F39" s="414">
        <v>0</v>
      </c>
      <c r="G39" s="447">
        <v>0</v>
      </c>
      <c r="H39" s="414">
        <v>0</v>
      </c>
      <c r="I39" s="414">
        <v>0</v>
      </c>
      <c r="J39" s="414">
        <v>0</v>
      </c>
      <c r="K39" s="414">
        <v>0</v>
      </c>
      <c r="L39" s="414">
        <v>0</v>
      </c>
      <c r="M39" s="414">
        <v>0</v>
      </c>
      <c r="N39" s="414">
        <v>0</v>
      </c>
      <c r="O39" s="414">
        <v>0</v>
      </c>
      <c r="P39" s="415">
        <v>0</v>
      </c>
      <c r="Q39" s="447">
        <v>0</v>
      </c>
      <c r="R39" s="414">
        <v>0</v>
      </c>
      <c r="S39" s="414">
        <v>0</v>
      </c>
      <c r="T39" s="414">
        <v>0</v>
      </c>
      <c r="U39" s="414">
        <v>0</v>
      </c>
      <c r="V39" s="414">
        <v>0</v>
      </c>
      <c r="W39" s="414">
        <v>0</v>
      </c>
      <c r="X39" s="414">
        <v>0</v>
      </c>
      <c r="Y39" s="414">
        <v>0</v>
      </c>
      <c r="Z39" s="414">
        <v>0</v>
      </c>
      <c r="AA39" s="447">
        <v>0</v>
      </c>
      <c r="AB39" s="414">
        <v>0</v>
      </c>
      <c r="AC39" s="414">
        <v>0</v>
      </c>
      <c r="AD39" s="414">
        <v>0</v>
      </c>
      <c r="AE39" s="414">
        <v>0</v>
      </c>
      <c r="AF39" s="414">
        <v>0</v>
      </c>
      <c r="AG39" s="414">
        <v>0</v>
      </c>
      <c r="AH39" s="414">
        <v>0</v>
      </c>
      <c r="AI39" s="414">
        <v>0</v>
      </c>
      <c r="AJ39" s="12"/>
      <c r="AK39" s="174">
        <f t="shared" si="19"/>
        <v>0</v>
      </c>
      <c r="AL39" s="174">
        <f t="shared" si="20"/>
        <v>0</v>
      </c>
      <c r="AM39" s="174"/>
      <c r="AN39" s="175"/>
      <c r="AO39" s="174">
        <f t="shared" si="16"/>
        <v>0</v>
      </c>
      <c r="AP39" s="171" t="str">
        <f t="shared" si="17"/>
        <v>V</v>
      </c>
    </row>
    <row r="40" spans="1:42" ht="15" customHeight="1">
      <c r="A40" t="s">
        <v>32</v>
      </c>
      <c r="B40" s="54" t="s">
        <v>457</v>
      </c>
      <c r="C40" s="43" t="s">
        <v>458</v>
      </c>
      <c r="D40" s="43" t="s">
        <v>110</v>
      </c>
      <c r="E40" s="430">
        <v>0</v>
      </c>
      <c r="F40" s="414">
        <v>0</v>
      </c>
      <c r="G40" s="447">
        <v>0</v>
      </c>
      <c r="H40" s="414">
        <v>0</v>
      </c>
      <c r="I40" s="414">
        <v>0</v>
      </c>
      <c r="J40" s="414">
        <v>0</v>
      </c>
      <c r="K40" s="414">
        <v>0</v>
      </c>
      <c r="L40" s="414">
        <v>0</v>
      </c>
      <c r="M40" s="414">
        <v>0</v>
      </c>
      <c r="N40" s="414">
        <v>0</v>
      </c>
      <c r="O40" s="414">
        <v>0</v>
      </c>
      <c r="P40" s="415">
        <v>0</v>
      </c>
      <c r="Q40" s="447">
        <v>0</v>
      </c>
      <c r="R40" s="414">
        <v>0</v>
      </c>
      <c r="S40" s="414">
        <v>0</v>
      </c>
      <c r="T40" s="414">
        <v>0</v>
      </c>
      <c r="U40" s="414">
        <v>0</v>
      </c>
      <c r="V40" s="414">
        <v>0</v>
      </c>
      <c r="W40" s="414">
        <v>0</v>
      </c>
      <c r="X40" s="414">
        <v>0</v>
      </c>
      <c r="Y40" s="414">
        <v>0</v>
      </c>
      <c r="Z40" s="414">
        <v>0</v>
      </c>
      <c r="AA40" s="447">
        <v>0</v>
      </c>
      <c r="AB40" s="414">
        <v>0</v>
      </c>
      <c r="AC40" s="414">
        <v>0</v>
      </c>
      <c r="AD40" s="414">
        <v>0</v>
      </c>
      <c r="AE40" s="414">
        <v>0</v>
      </c>
      <c r="AF40" s="414">
        <v>0</v>
      </c>
      <c r="AG40" s="414">
        <v>0</v>
      </c>
      <c r="AH40" s="414">
        <v>0</v>
      </c>
      <c r="AI40" s="414">
        <v>0</v>
      </c>
      <c r="AJ40" s="12"/>
      <c r="AK40" s="174">
        <f t="shared" si="19"/>
        <v>0</v>
      </c>
      <c r="AL40" s="174">
        <f t="shared" si="20"/>
        <v>0</v>
      </c>
      <c r="AM40" s="174"/>
      <c r="AN40" s="175"/>
      <c r="AO40" s="174">
        <f t="shared" si="16"/>
        <v>0</v>
      </c>
      <c r="AP40" s="171" t="str">
        <f t="shared" si="17"/>
        <v>V</v>
      </c>
    </row>
    <row r="41" spans="1:42" ht="15" customHeight="1">
      <c r="A41" t="s">
        <v>32</v>
      </c>
      <c r="B41" s="54" t="s">
        <v>77</v>
      </c>
      <c r="C41" s="43" t="s">
        <v>78</v>
      </c>
      <c r="D41" s="43" t="s">
        <v>38</v>
      </c>
      <c r="E41" s="430">
        <v>0</v>
      </c>
      <c r="F41" s="414">
        <v>0</v>
      </c>
      <c r="G41" s="447">
        <v>0</v>
      </c>
      <c r="H41" s="414">
        <v>0</v>
      </c>
      <c r="I41" s="414">
        <v>0</v>
      </c>
      <c r="J41" s="414">
        <v>0</v>
      </c>
      <c r="K41" s="414">
        <v>0</v>
      </c>
      <c r="L41" s="414">
        <v>0</v>
      </c>
      <c r="M41" s="414">
        <v>0</v>
      </c>
      <c r="N41" s="414">
        <v>0</v>
      </c>
      <c r="O41" s="414">
        <v>0</v>
      </c>
      <c r="P41" s="415">
        <v>0</v>
      </c>
      <c r="Q41" s="447">
        <v>0</v>
      </c>
      <c r="R41" s="414">
        <v>0</v>
      </c>
      <c r="S41" s="414">
        <v>0</v>
      </c>
      <c r="T41" s="414">
        <v>0</v>
      </c>
      <c r="U41" s="414">
        <v>0</v>
      </c>
      <c r="V41" s="414">
        <v>0</v>
      </c>
      <c r="W41" s="414">
        <v>0</v>
      </c>
      <c r="X41" s="414">
        <v>0</v>
      </c>
      <c r="Y41" s="414">
        <v>0</v>
      </c>
      <c r="Z41" s="414">
        <v>0</v>
      </c>
      <c r="AA41" s="447">
        <v>0</v>
      </c>
      <c r="AB41" s="414">
        <v>0</v>
      </c>
      <c r="AC41" s="414">
        <v>0</v>
      </c>
      <c r="AD41" s="414">
        <v>0</v>
      </c>
      <c r="AE41" s="414">
        <v>0</v>
      </c>
      <c r="AF41" s="414">
        <v>0</v>
      </c>
      <c r="AG41" s="414">
        <v>0</v>
      </c>
      <c r="AH41" s="414">
        <v>0</v>
      </c>
      <c r="AI41" s="414">
        <v>0</v>
      </c>
      <c r="AJ41" s="12"/>
      <c r="AK41" s="174">
        <f t="shared" si="19"/>
        <v>0</v>
      </c>
      <c r="AL41" s="174">
        <f t="shared" si="20"/>
        <v>0</v>
      </c>
      <c r="AM41" s="174"/>
      <c r="AN41" s="175"/>
      <c r="AO41" s="174">
        <f t="shared" si="16"/>
        <v>0</v>
      </c>
      <c r="AP41" s="171" t="str">
        <f t="shared" si="17"/>
        <v>V</v>
      </c>
    </row>
    <row r="42" spans="1:42" ht="15" customHeight="1">
      <c r="A42" t="s">
        <v>32</v>
      </c>
      <c r="B42" s="54" t="s">
        <v>79</v>
      </c>
      <c r="C42" s="43" t="s">
        <v>80</v>
      </c>
      <c r="D42" s="43" t="s">
        <v>38</v>
      </c>
      <c r="E42" s="430">
        <v>0</v>
      </c>
      <c r="F42" s="414">
        <v>0</v>
      </c>
      <c r="G42" s="447">
        <v>0</v>
      </c>
      <c r="H42" s="414">
        <v>0</v>
      </c>
      <c r="I42" s="414">
        <v>0</v>
      </c>
      <c r="J42" s="414">
        <v>0</v>
      </c>
      <c r="K42" s="414">
        <v>0</v>
      </c>
      <c r="L42" s="414">
        <v>0</v>
      </c>
      <c r="M42" s="414">
        <v>0</v>
      </c>
      <c r="N42" s="414">
        <v>0</v>
      </c>
      <c r="O42" s="414">
        <v>0</v>
      </c>
      <c r="P42" s="415">
        <v>0</v>
      </c>
      <c r="Q42" s="447">
        <v>0</v>
      </c>
      <c r="R42" s="414">
        <v>0</v>
      </c>
      <c r="S42" s="414">
        <v>0</v>
      </c>
      <c r="T42" s="414">
        <v>0</v>
      </c>
      <c r="U42" s="414">
        <v>0</v>
      </c>
      <c r="V42" s="414">
        <v>0</v>
      </c>
      <c r="W42" s="414">
        <v>0</v>
      </c>
      <c r="X42" s="414">
        <v>0</v>
      </c>
      <c r="Y42" s="414">
        <v>0</v>
      </c>
      <c r="Z42" s="414">
        <v>0</v>
      </c>
      <c r="AA42" s="447">
        <v>0</v>
      </c>
      <c r="AB42" s="414">
        <v>0</v>
      </c>
      <c r="AC42" s="414">
        <v>0</v>
      </c>
      <c r="AD42" s="414">
        <v>0</v>
      </c>
      <c r="AE42" s="414">
        <v>0</v>
      </c>
      <c r="AF42" s="414">
        <v>0</v>
      </c>
      <c r="AG42" s="414">
        <v>0</v>
      </c>
      <c r="AH42" s="414">
        <v>0</v>
      </c>
      <c r="AI42" s="414">
        <v>0</v>
      </c>
      <c r="AJ42" s="12"/>
      <c r="AK42" s="174">
        <f t="shared" si="19"/>
        <v>0</v>
      </c>
      <c r="AL42" s="174">
        <f t="shared" si="20"/>
        <v>0</v>
      </c>
      <c r="AM42" s="174"/>
      <c r="AN42" s="175"/>
      <c r="AO42" s="174">
        <f t="shared" si="16"/>
        <v>0</v>
      </c>
      <c r="AP42" s="171" t="str">
        <f t="shared" si="17"/>
        <v>V</v>
      </c>
    </row>
    <row r="43" spans="1:42" ht="15" customHeight="1">
      <c r="A43" t="s">
        <v>32</v>
      </c>
      <c r="B43" s="54" t="s">
        <v>61</v>
      </c>
      <c r="C43" s="43" t="s">
        <v>313</v>
      </c>
      <c r="D43" s="43" t="s">
        <v>38</v>
      </c>
      <c r="E43" s="430">
        <v>0</v>
      </c>
      <c r="F43" s="414">
        <v>0</v>
      </c>
      <c r="G43" s="447">
        <f>G9</f>
        <v>100</v>
      </c>
      <c r="H43" s="414">
        <f t="shared" ref="H43:P43" si="31">H9</f>
        <v>32</v>
      </c>
      <c r="I43" s="414">
        <f t="shared" si="31"/>
        <v>32</v>
      </c>
      <c r="J43" s="414">
        <f t="shared" si="31"/>
        <v>6</v>
      </c>
      <c r="K43" s="414">
        <f t="shared" si="31"/>
        <v>138</v>
      </c>
      <c r="L43" s="414">
        <f t="shared" si="31"/>
        <v>26</v>
      </c>
      <c r="M43" s="414">
        <f t="shared" si="31"/>
        <v>140</v>
      </c>
      <c r="N43" s="414">
        <f t="shared" si="31"/>
        <v>10</v>
      </c>
      <c r="O43" s="414">
        <f t="shared" si="31"/>
        <v>42</v>
      </c>
      <c r="P43" s="415">
        <f t="shared" si="31"/>
        <v>108</v>
      </c>
      <c r="Q43" s="447">
        <v>0</v>
      </c>
      <c r="R43" s="414">
        <v>0</v>
      </c>
      <c r="S43" s="414">
        <v>0</v>
      </c>
      <c r="T43" s="414">
        <v>0</v>
      </c>
      <c r="U43" s="414">
        <v>0</v>
      </c>
      <c r="V43" s="414">
        <v>0</v>
      </c>
      <c r="W43" s="414">
        <v>0</v>
      </c>
      <c r="X43" s="414">
        <v>0</v>
      </c>
      <c r="Y43" s="414">
        <v>0</v>
      </c>
      <c r="Z43" s="414">
        <v>0</v>
      </c>
      <c r="AA43" s="447">
        <v>0</v>
      </c>
      <c r="AB43" s="414">
        <v>0</v>
      </c>
      <c r="AC43" s="414">
        <v>0</v>
      </c>
      <c r="AD43" s="414">
        <v>0</v>
      </c>
      <c r="AE43" s="414">
        <v>0</v>
      </c>
      <c r="AF43" s="414">
        <v>0</v>
      </c>
      <c r="AG43" s="414">
        <f>AG9</f>
        <v>90</v>
      </c>
      <c r="AH43" s="414">
        <f t="shared" ref="AH43:AI43" si="32">AH9</f>
        <v>16</v>
      </c>
      <c r="AI43" s="414">
        <f t="shared" si="32"/>
        <v>116</v>
      </c>
      <c r="AJ43" s="12"/>
      <c r="AK43" s="174">
        <f t="shared" si="19"/>
        <v>856</v>
      </c>
      <c r="AL43" s="174">
        <f t="shared" si="20"/>
        <v>856</v>
      </c>
      <c r="AM43" s="174"/>
      <c r="AN43" s="175"/>
      <c r="AO43" s="174">
        <f t="shared" ref="AO43:AO71" si="33">AL43+AM43+AN43</f>
        <v>856</v>
      </c>
      <c r="AP43" s="171" t="str">
        <f t="shared" ref="AP43:AP71" si="34">IF(AO43=AK43,"V","F")</f>
        <v>V</v>
      </c>
    </row>
    <row r="44" spans="1:42" ht="15" customHeight="1">
      <c r="A44" t="s">
        <v>32</v>
      </c>
      <c r="B44" s="54" t="s">
        <v>459</v>
      </c>
      <c r="C44" s="43" t="s">
        <v>460</v>
      </c>
      <c r="D44" s="43" t="s">
        <v>38</v>
      </c>
      <c r="E44" s="430">
        <v>0</v>
      </c>
      <c r="F44" s="414">
        <v>0</v>
      </c>
      <c r="G44" s="447">
        <v>0</v>
      </c>
      <c r="H44" s="414">
        <v>0</v>
      </c>
      <c r="I44" s="414">
        <v>0</v>
      </c>
      <c r="J44" s="414">
        <v>0</v>
      </c>
      <c r="K44" s="414">
        <v>0</v>
      </c>
      <c r="L44" s="414">
        <v>0</v>
      </c>
      <c r="M44" s="414">
        <v>0</v>
      </c>
      <c r="N44" s="414">
        <v>0</v>
      </c>
      <c r="O44" s="414">
        <v>0</v>
      </c>
      <c r="P44" s="415">
        <v>0</v>
      </c>
      <c r="Q44" s="447">
        <v>0</v>
      </c>
      <c r="R44" s="414">
        <v>0</v>
      </c>
      <c r="S44" s="414">
        <v>0</v>
      </c>
      <c r="T44" s="414">
        <v>0</v>
      </c>
      <c r="U44" s="414">
        <v>0</v>
      </c>
      <c r="V44" s="414">
        <v>0</v>
      </c>
      <c r="W44" s="414">
        <v>0</v>
      </c>
      <c r="X44" s="414">
        <v>0</v>
      </c>
      <c r="Y44" s="414">
        <v>0</v>
      </c>
      <c r="Z44" s="414">
        <v>0</v>
      </c>
      <c r="AA44" s="447">
        <v>0</v>
      </c>
      <c r="AB44" s="414">
        <v>0</v>
      </c>
      <c r="AC44" s="414">
        <v>0</v>
      </c>
      <c r="AD44" s="414">
        <v>0</v>
      </c>
      <c r="AE44" s="414">
        <v>0</v>
      </c>
      <c r="AF44" s="414">
        <v>0</v>
      </c>
      <c r="AG44" s="414">
        <v>0</v>
      </c>
      <c r="AH44" s="414">
        <v>0</v>
      </c>
      <c r="AI44" s="414">
        <v>0</v>
      </c>
      <c r="AJ44" s="12"/>
      <c r="AK44" s="174">
        <f t="shared" si="19"/>
        <v>0</v>
      </c>
      <c r="AL44" s="174">
        <f t="shared" si="20"/>
        <v>0</v>
      </c>
      <c r="AM44" s="174"/>
      <c r="AN44" s="175"/>
      <c r="AO44" s="174">
        <f t="shared" si="33"/>
        <v>0</v>
      </c>
      <c r="AP44" s="171" t="str">
        <f t="shared" si="34"/>
        <v>V</v>
      </c>
    </row>
    <row r="45" spans="1:42" ht="15" customHeight="1">
      <c r="A45" t="s">
        <v>32</v>
      </c>
      <c r="B45" s="54" t="s">
        <v>461</v>
      </c>
      <c r="C45" s="43" t="s">
        <v>462</v>
      </c>
      <c r="D45" s="43" t="s">
        <v>38</v>
      </c>
      <c r="E45" s="430">
        <v>0</v>
      </c>
      <c r="F45" s="414">
        <v>0</v>
      </c>
      <c r="G45" s="447">
        <v>0</v>
      </c>
      <c r="H45" s="414">
        <v>0</v>
      </c>
      <c r="I45" s="414">
        <v>0</v>
      </c>
      <c r="J45" s="414">
        <v>0</v>
      </c>
      <c r="K45" s="414">
        <v>0</v>
      </c>
      <c r="L45" s="414">
        <v>0</v>
      </c>
      <c r="M45" s="414">
        <v>0</v>
      </c>
      <c r="N45" s="414">
        <v>0</v>
      </c>
      <c r="O45" s="414">
        <v>0</v>
      </c>
      <c r="P45" s="415">
        <v>0</v>
      </c>
      <c r="Q45" s="447">
        <v>0</v>
      </c>
      <c r="R45" s="414">
        <v>0</v>
      </c>
      <c r="S45" s="414">
        <v>0</v>
      </c>
      <c r="T45" s="414">
        <v>0</v>
      </c>
      <c r="U45" s="414">
        <v>0</v>
      </c>
      <c r="V45" s="414">
        <v>0</v>
      </c>
      <c r="W45" s="414">
        <v>0</v>
      </c>
      <c r="X45" s="414">
        <v>0</v>
      </c>
      <c r="Y45" s="414">
        <v>0</v>
      </c>
      <c r="Z45" s="414">
        <v>0</v>
      </c>
      <c r="AA45" s="447">
        <v>0</v>
      </c>
      <c r="AB45" s="414">
        <v>0</v>
      </c>
      <c r="AC45" s="414">
        <v>0</v>
      </c>
      <c r="AD45" s="414">
        <v>0</v>
      </c>
      <c r="AE45" s="414">
        <v>0</v>
      </c>
      <c r="AF45" s="414">
        <v>0</v>
      </c>
      <c r="AG45" s="414">
        <v>0</v>
      </c>
      <c r="AH45" s="414">
        <v>0</v>
      </c>
      <c r="AI45" s="414">
        <v>0</v>
      </c>
      <c r="AJ45" s="12"/>
      <c r="AK45" s="174">
        <f t="shared" si="19"/>
        <v>0</v>
      </c>
      <c r="AL45" s="174">
        <f t="shared" si="20"/>
        <v>0</v>
      </c>
      <c r="AM45" s="174"/>
      <c r="AN45" s="175"/>
      <c r="AO45" s="174">
        <f t="shared" si="33"/>
        <v>0</v>
      </c>
      <c r="AP45" s="171" t="str">
        <f t="shared" si="34"/>
        <v>V</v>
      </c>
    </row>
    <row r="46" spans="1:42" ht="15" customHeight="1">
      <c r="A46" t="s">
        <v>32</v>
      </c>
      <c r="B46" s="54" t="s">
        <v>124</v>
      </c>
      <c r="C46" s="43" t="s">
        <v>125</v>
      </c>
      <c r="D46" s="43" t="s">
        <v>110</v>
      </c>
      <c r="E46" s="430">
        <v>0</v>
      </c>
      <c r="F46" s="414">
        <v>0</v>
      </c>
      <c r="G46" s="447">
        <f>G9</f>
        <v>100</v>
      </c>
      <c r="H46" s="414">
        <f t="shared" ref="H46:P46" si="35">H9</f>
        <v>32</v>
      </c>
      <c r="I46" s="414">
        <f t="shared" si="35"/>
        <v>32</v>
      </c>
      <c r="J46" s="414">
        <f t="shared" si="35"/>
        <v>6</v>
      </c>
      <c r="K46" s="414">
        <f t="shared" si="35"/>
        <v>138</v>
      </c>
      <c r="L46" s="414">
        <f t="shared" si="35"/>
        <v>26</v>
      </c>
      <c r="M46" s="414">
        <f t="shared" si="35"/>
        <v>140</v>
      </c>
      <c r="N46" s="414">
        <f t="shared" si="35"/>
        <v>10</v>
      </c>
      <c r="O46" s="414">
        <f t="shared" si="35"/>
        <v>42</v>
      </c>
      <c r="P46" s="415">
        <f t="shared" si="35"/>
        <v>108</v>
      </c>
      <c r="Q46" s="447">
        <v>0</v>
      </c>
      <c r="R46" s="414">
        <v>0</v>
      </c>
      <c r="S46" s="414">
        <v>0</v>
      </c>
      <c r="T46" s="414">
        <v>0</v>
      </c>
      <c r="U46" s="414">
        <v>0</v>
      </c>
      <c r="V46" s="414">
        <v>0</v>
      </c>
      <c r="W46" s="414">
        <v>0</v>
      </c>
      <c r="X46" s="414">
        <v>0</v>
      </c>
      <c r="Y46" s="414">
        <v>0</v>
      </c>
      <c r="Z46" s="414">
        <v>0</v>
      </c>
      <c r="AA46" s="447">
        <v>0</v>
      </c>
      <c r="AB46" s="414">
        <v>0</v>
      </c>
      <c r="AC46" s="414">
        <v>0</v>
      </c>
      <c r="AD46" s="414">
        <v>0</v>
      </c>
      <c r="AE46" s="414">
        <v>0</v>
      </c>
      <c r="AF46" s="414">
        <v>0</v>
      </c>
      <c r="AG46" s="414">
        <f>AG9</f>
        <v>90</v>
      </c>
      <c r="AH46" s="414">
        <f t="shared" ref="AH46:AI46" si="36">AH9</f>
        <v>16</v>
      </c>
      <c r="AI46" s="414">
        <f t="shared" si="36"/>
        <v>116</v>
      </c>
      <c r="AJ46" s="12"/>
      <c r="AK46" s="174">
        <f t="shared" si="19"/>
        <v>856</v>
      </c>
      <c r="AL46" s="174">
        <f t="shared" si="20"/>
        <v>856</v>
      </c>
      <c r="AM46" s="174"/>
      <c r="AN46" s="175"/>
      <c r="AO46" s="174">
        <f t="shared" si="33"/>
        <v>856</v>
      </c>
      <c r="AP46" s="171" t="str">
        <f t="shared" si="34"/>
        <v>V</v>
      </c>
    </row>
    <row r="47" spans="1:42" ht="15" customHeight="1">
      <c r="B47" s="54"/>
      <c r="C47" s="43"/>
      <c r="D47" s="43"/>
      <c r="E47" s="430">
        <v>0</v>
      </c>
      <c r="F47" s="414">
        <v>0</v>
      </c>
      <c r="G47" s="447">
        <v>0</v>
      </c>
      <c r="H47" s="414">
        <v>0</v>
      </c>
      <c r="I47" s="414">
        <v>0</v>
      </c>
      <c r="J47" s="414">
        <v>0</v>
      </c>
      <c r="K47" s="414">
        <v>0</v>
      </c>
      <c r="L47" s="414">
        <v>0</v>
      </c>
      <c r="M47" s="414">
        <v>0</v>
      </c>
      <c r="N47" s="414">
        <v>0</v>
      </c>
      <c r="O47" s="414">
        <v>0</v>
      </c>
      <c r="P47" s="414">
        <v>0</v>
      </c>
      <c r="Q47" s="447">
        <v>0</v>
      </c>
      <c r="R47" s="414">
        <v>0</v>
      </c>
      <c r="S47" s="414">
        <v>0</v>
      </c>
      <c r="T47" s="414">
        <v>0</v>
      </c>
      <c r="U47" s="414">
        <v>0</v>
      </c>
      <c r="V47" s="414">
        <v>0</v>
      </c>
      <c r="W47" s="414">
        <v>0</v>
      </c>
      <c r="X47" s="414">
        <v>0</v>
      </c>
      <c r="Y47" s="414">
        <v>0</v>
      </c>
      <c r="Z47" s="414">
        <v>0</v>
      </c>
      <c r="AA47" s="447">
        <v>0</v>
      </c>
      <c r="AB47" s="414">
        <v>0</v>
      </c>
      <c r="AC47" s="414">
        <v>0</v>
      </c>
      <c r="AD47" s="414">
        <v>0</v>
      </c>
      <c r="AE47" s="414">
        <v>0</v>
      </c>
      <c r="AF47" s="414">
        <v>0</v>
      </c>
      <c r="AG47" s="414">
        <v>0</v>
      </c>
      <c r="AH47" s="414">
        <v>0</v>
      </c>
      <c r="AI47" s="431">
        <v>0</v>
      </c>
      <c r="AJ47" s="12"/>
      <c r="AK47" s="174">
        <f t="shared" si="19"/>
        <v>0</v>
      </c>
      <c r="AL47" s="174">
        <f t="shared" si="20"/>
        <v>0</v>
      </c>
      <c r="AM47" s="174"/>
      <c r="AN47" s="175"/>
      <c r="AO47" s="174">
        <f t="shared" si="33"/>
        <v>0</v>
      </c>
      <c r="AP47" s="171" t="str">
        <f t="shared" si="34"/>
        <v>V</v>
      </c>
    </row>
    <row r="48" spans="1:42" ht="15" customHeight="1">
      <c r="B48" s="54"/>
      <c r="C48" s="43"/>
      <c r="D48" s="43"/>
      <c r="E48" s="430">
        <v>0</v>
      </c>
      <c r="F48" s="414">
        <v>0</v>
      </c>
      <c r="G48" s="447">
        <v>0</v>
      </c>
      <c r="H48" s="414">
        <v>0</v>
      </c>
      <c r="I48" s="414">
        <v>0</v>
      </c>
      <c r="J48" s="414">
        <v>0</v>
      </c>
      <c r="K48" s="414">
        <v>0</v>
      </c>
      <c r="L48" s="414">
        <v>0</v>
      </c>
      <c r="M48" s="414">
        <v>0</v>
      </c>
      <c r="N48" s="414">
        <v>0</v>
      </c>
      <c r="O48" s="414">
        <v>0</v>
      </c>
      <c r="P48" s="414">
        <v>0</v>
      </c>
      <c r="Q48" s="447">
        <v>0</v>
      </c>
      <c r="R48" s="414">
        <v>0</v>
      </c>
      <c r="S48" s="414">
        <v>0</v>
      </c>
      <c r="T48" s="414">
        <v>0</v>
      </c>
      <c r="U48" s="414">
        <v>0</v>
      </c>
      <c r="V48" s="414">
        <v>0</v>
      </c>
      <c r="W48" s="414">
        <v>0</v>
      </c>
      <c r="X48" s="414">
        <v>0</v>
      </c>
      <c r="Y48" s="414">
        <v>0</v>
      </c>
      <c r="Z48" s="414">
        <v>0</v>
      </c>
      <c r="AA48" s="447">
        <v>0</v>
      </c>
      <c r="AB48" s="414">
        <v>0</v>
      </c>
      <c r="AC48" s="414">
        <v>0</v>
      </c>
      <c r="AD48" s="414">
        <v>0</v>
      </c>
      <c r="AE48" s="414">
        <v>0</v>
      </c>
      <c r="AF48" s="414">
        <v>0</v>
      </c>
      <c r="AG48" s="414">
        <v>0</v>
      </c>
      <c r="AH48" s="414">
        <v>0</v>
      </c>
      <c r="AI48" s="431">
        <v>0</v>
      </c>
      <c r="AJ48" s="12"/>
      <c r="AK48" s="174">
        <f t="shared" si="19"/>
        <v>0</v>
      </c>
      <c r="AL48" s="174">
        <f t="shared" si="20"/>
        <v>0</v>
      </c>
      <c r="AM48" s="174"/>
      <c r="AN48" s="175"/>
      <c r="AO48" s="174">
        <f t="shared" si="33"/>
        <v>0</v>
      </c>
      <c r="AP48" s="171" t="str">
        <f t="shared" si="34"/>
        <v>V</v>
      </c>
    </row>
    <row r="49" spans="1:42" ht="15" customHeight="1">
      <c r="B49" s="54"/>
      <c r="C49" s="43"/>
      <c r="D49" s="43"/>
      <c r="E49" s="430">
        <v>0</v>
      </c>
      <c r="F49" s="414">
        <v>0</v>
      </c>
      <c r="G49" s="447">
        <v>0</v>
      </c>
      <c r="H49" s="414">
        <v>0</v>
      </c>
      <c r="I49" s="414">
        <v>0</v>
      </c>
      <c r="J49" s="414">
        <v>0</v>
      </c>
      <c r="K49" s="414">
        <v>0</v>
      </c>
      <c r="L49" s="414">
        <v>0</v>
      </c>
      <c r="M49" s="414">
        <v>0</v>
      </c>
      <c r="N49" s="414">
        <v>0</v>
      </c>
      <c r="O49" s="414">
        <v>0</v>
      </c>
      <c r="P49" s="414">
        <v>0</v>
      </c>
      <c r="Q49" s="447">
        <v>0</v>
      </c>
      <c r="R49" s="414">
        <v>0</v>
      </c>
      <c r="S49" s="414">
        <v>0</v>
      </c>
      <c r="T49" s="414">
        <v>0</v>
      </c>
      <c r="U49" s="414">
        <v>0</v>
      </c>
      <c r="V49" s="414">
        <v>0</v>
      </c>
      <c r="W49" s="414">
        <v>0</v>
      </c>
      <c r="X49" s="414">
        <v>0</v>
      </c>
      <c r="Y49" s="414">
        <v>0</v>
      </c>
      <c r="Z49" s="414">
        <v>0</v>
      </c>
      <c r="AA49" s="447">
        <v>0</v>
      </c>
      <c r="AB49" s="414">
        <v>0</v>
      </c>
      <c r="AC49" s="414">
        <v>0</v>
      </c>
      <c r="AD49" s="414">
        <v>0</v>
      </c>
      <c r="AE49" s="414">
        <v>0</v>
      </c>
      <c r="AF49" s="414">
        <v>0</v>
      </c>
      <c r="AG49" s="414">
        <v>0</v>
      </c>
      <c r="AH49" s="414">
        <v>0</v>
      </c>
      <c r="AI49" s="431">
        <v>0</v>
      </c>
      <c r="AJ49" s="12"/>
      <c r="AK49" s="174">
        <f t="shared" si="19"/>
        <v>0</v>
      </c>
      <c r="AL49" s="174">
        <f t="shared" si="20"/>
        <v>0</v>
      </c>
      <c r="AM49" s="174"/>
      <c r="AN49" s="175"/>
      <c r="AO49" s="174">
        <f t="shared" si="33"/>
        <v>0</v>
      </c>
      <c r="AP49" s="171" t="str">
        <f t="shared" si="34"/>
        <v>V</v>
      </c>
    </row>
    <row r="50" spans="1:42" ht="15" customHeight="1">
      <c r="B50" s="54"/>
      <c r="C50" s="43"/>
      <c r="D50" s="43"/>
      <c r="E50" s="430">
        <v>0</v>
      </c>
      <c r="F50" s="414">
        <v>0</v>
      </c>
      <c r="G50" s="447">
        <v>0</v>
      </c>
      <c r="H50" s="414">
        <v>0</v>
      </c>
      <c r="I50" s="414">
        <v>0</v>
      </c>
      <c r="J50" s="414">
        <v>0</v>
      </c>
      <c r="K50" s="414">
        <v>0</v>
      </c>
      <c r="L50" s="414">
        <v>0</v>
      </c>
      <c r="M50" s="414">
        <v>0</v>
      </c>
      <c r="N50" s="414">
        <v>0</v>
      </c>
      <c r="O50" s="414">
        <v>0</v>
      </c>
      <c r="P50" s="414">
        <v>0</v>
      </c>
      <c r="Q50" s="447">
        <v>0</v>
      </c>
      <c r="R50" s="414">
        <v>0</v>
      </c>
      <c r="S50" s="414">
        <v>0</v>
      </c>
      <c r="T50" s="414">
        <v>0</v>
      </c>
      <c r="U50" s="414">
        <v>0</v>
      </c>
      <c r="V50" s="414">
        <v>0</v>
      </c>
      <c r="W50" s="414">
        <v>0</v>
      </c>
      <c r="X50" s="414">
        <v>0</v>
      </c>
      <c r="Y50" s="414">
        <v>0</v>
      </c>
      <c r="Z50" s="414">
        <v>0</v>
      </c>
      <c r="AA50" s="447">
        <v>0</v>
      </c>
      <c r="AB50" s="414">
        <v>0</v>
      </c>
      <c r="AC50" s="414">
        <v>0</v>
      </c>
      <c r="AD50" s="414">
        <v>0</v>
      </c>
      <c r="AE50" s="414">
        <v>0</v>
      </c>
      <c r="AF50" s="414">
        <v>0</v>
      </c>
      <c r="AG50" s="414">
        <v>0</v>
      </c>
      <c r="AH50" s="414">
        <v>0</v>
      </c>
      <c r="AI50" s="431">
        <v>0</v>
      </c>
      <c r="AJ50" s="12"/>
      <c r="AK50" s="174">
        <f t="shared" si="19"/>
        <v>0</v>
      </c>
      <c r="AL50" s="174">
        <f t="shared" si="20"/>
        <v>0</v>
      </c>
      <c r="AM50" s="174"/>
      <c r="AN50" s="175"/>
      <c r="AO50" s="174">
        <f t="shared" si="33"/>
        <v>0</v>
      </c>
      <c r="AP50" s="171" t="str">
        <f t="shared" si="34"/>
        <v>V</v>
      </c>
    </row>
    <row r="51" spans="1:42" ht="15" customHeight="1">
      <c r="A51" t="s">
        <v>160</v>
      </c>
      <c r="B51" s="54" t="s">
        <v>168</v>
      </c>
      <c r="C51" s="43" t="s">
        <v>169</v>
      </c>
      <c r="D51" s="43" t="s">
        <v>38</v>
      </c>
      <c r="E51" s="430">
        <v>0</v>
      </c>
      <c r="F51" s="414">
        <v>0</v>
      </c>
      <c r="G51" s="447">
        <v>0</v>
      </c>
      <c r="H51" s="414">
        <v>0</v>
      </c>
      <c r="I51" s="414">
        <v>0</v>
      </c>
      <c r="J51" s="414">
        <v>0</v>
      </c>
      <c r="K51" s="414">
        <v>0</v>
      </c>
      <c r="L51" s="414">
        <v>0</v>
      </c>
      <c r="M51" s="414">
        <v>0</v>
      </c>
      <c r="N51" s="414">
        <v>0</v>
      </c>
      <c r="O51" s="414">
        <v>0</v>
      </c>
      <c r="P51" s="414">
        <v>0</v>
      </c>
      <c r="Q51" s="447">
        <v>0</v>
      </c>
      <c r="R51" s="414">
        <v>0</v>
      </c>
      <c r="S51" s="414">
        <v>0</v>
      </c>
      <c r="T51" s="414">
        <v>0</v>
      </c>
      <c r="U51" s="414">
        <v>0</v>
      </c>
      <c r="V51" s="414">
        <v>0</v>
      </c>
      <c r="W51" s="414">
        <v>0</v>
      </c>
      <c r="X51" s="414">
        <v>0</v>
      </c>
      <c r="Y51" s="414">
        <v>0</v>
      </c>
      <c r="Z51" s="414">
        <v>0</v>
      </c>
      <c r="AA51" s="447">
        <v>0</v>
      </c>
      <c r="AB51" s="414">
        <v>0</v>
      </c>
      <c r="AC51" s="414">
        <v>0</v>
      </c>
      <c r="AD51" s="414">
        <v>0</v>
      </c>
      <c r="AE51" s="414">
        <v>0</v>
      </c>
      <c r="AF51" s="414">
        <v>0</v>
      </c>
      <c r="AG51" s="414">
        <v>0</v>
      </c>
      <c r="AH51" s="414">
        <v>0</v>
      </c>
      <c r="AI51" s="431">
        <v>0</v>
      </c>
      <c r="AJ51" s="12"/>
      <c r="AK51" s="174">
        <f t="shared" si="19"/>
        <v>0</v>
      </c>
      <c r="AL51" s="174">
        <f t="shared" si="20"/>
        <v>0</v>
      </c>
      <c r="AM51" s="174"/>
      <c r="AN51" s="175"/>
      <c r="AO51" s="174">
        <f t="shared" si="33"/>
        <v>0</v>
      </c>
      <c r="AP51" s="171" t="str">
        <f t="shared" si="34"/>
        <v>V</v>
      </c>
    </row>
    <row r="52" spans="1:42" ht="15" customHeight="1">
      <c r="A52" t="s">
        <v>160</v>
      </c>
      <c r="B52" s="54" t="s">
        <v>170</v>
      </c>
      <c r="C52" s="43" t="s">
        <v>171</v>
      </c>
      <c r="D52" s="43" t="s">
        <v>38</v>
      </c>
      <c r="E52" s="430">
        <v>0</v>
      </c>
      <c r="F52" s="414">
        <v>0</v>
      </c>
      <c r="G52" s="447">
        <v>0</v>
      </c>
      <c r="H52" s="414">
        <v>0</v>
      </c>
      <c r="I52" s="414">
        <v>0</v>
      </c>
      <c r="J52" s="414">
        <v>0</v>
      </c>
      <c r="K52" s="414">
        <v>0</v>
      </c>
      <c r="L52" s="414">
        <v>0</v>
      </c>
      <c r="M52" s="414">
        <v>0</v>
      </c>
      <c r="N52" s="414">
        <v>0</v>
      </c>
      <c r="O52" s="414">
        <v>0</v>
      </c>
      <c r="P52" s="414">
        <v>0</v>
      </c>
      <c r="Q52" s="447">
        <v>0</v>
      </c>
      <c r="R52" s="414">
        <v>0</v>
      </c>
      <c r="S52" s="414">
        <v>0</v>
      </c>
      <c r="T52" s="414">
        <v>0</v>
      </c>
      <c r="U52" s="414">
        <v>0</v>
      </c>
      <c r="V52" s="414">
        <v>0</v>
      </c>
      <c r="W52" s="414">
        <v>0</v>
      </c>
      <c r="X52" s="414">
        <v>0</v>
      </c>
      <c r="Y52" s="414">
        <v>0</v>
      </c>
      <c r="Z52" s="414">
        <v>0</v>
      </c>
      <c r="AA52" s="447">
        <v>0</v>
      </c>
      <c r="AB52" s="414">
        <v>0</v>
      </c>
      <c r="AC52" s="414">
        <v>0</v>
      </c>
      <c r="AD52" s="414">
        <v>0</v>
      </c>
      <c r="AE52" s="414">
        <v>0</v>
      </c>
      <c r="AF52" s="414">
        <v>0</v>
      </c>
      <c r="AG52" s="414">
        <v>0</v>
      </c>
      <c r="AH52" s="414">
        <v>0</v>
      </c>
      <c r="AI52" s="431">
        <v>0</v>
      </c>
      <c r="AJ52" s="12"/>
      <c r="AK52" s="174">
        <f t="shared" si="19"/>
        <v>0</v>
      </c>
      <c r="AL52" s="174">
        <f t="shared" si="20"/>
        <v>0</v>
      </c>
      <c r="AM52" s="174"/>
      <c r="AN52" s="175"/>
      <c r="AO52" s="174">
        <f t="shared" si="33"/>
        <v>0</v>
      </c>
      <c r="AP52" s="171" t="str">
        <f t="shared" si="34"/>
        <v>V</v>
      </c>
    </row>
    <row r="53" spans="1:42" ht="15.75" customHeight="1">
      <c r="A53" t="s">
        <v>160</v>
      </c>
      <c r="B53" s="54" t="s">
        <v>172</v>
      </c>
      <c r="C53" s="43" t="s">
        <v>173</v>
      </c>
      <c r="D53" s="43" t="s">
        <v>38</v>
      </c>
      <c r="E53" s="430">
        <v>0</v>
      </c>
      <c r="F53" s="414">
        <v>0</v>
      </c>
      <c r="G53" s="447">
        <v>0</v>
      </c>
      <c r="H53" s="414">
        <v>0</v>
      </c>
      <c r="I53" s="414">
        <v>0</v>
      </c>
      <c r="J53" s="414">
        <v>0</v>
      </c>
      <c r="K53" s="414">
        <v>0</v>
      </c>
      <c r="L53" s="414">
        <v>0</v>
      </c>
      <c r="M53" s="414">
        <v>0</v>
      </c>
      <c r="N53" s="414">
        <v>0</v>
      </c>
      <c r="O53" s="414">
        <v>0</v>
      </c>
      <c r="P53" s="414">
        <v>0</v>
      </c>
      <c r="Q53" s="447">
        <v>0</v>
      </c>
      <c r="R53" s="414">
        <v>0</v>
      </c>
      <c r="S53" s="414">
        <v>0</v>
      </c>
      <c r="T53" s="414">
        <v>0</v>
      </c>
      <c r="U53" s="414">
        <v>0</v>
      </c>
      <c r="V53" s="414">
        <v>0</v>
      </c>
      <c r="W53" s="414">
        <v>0</v>
      </c>
      <c r="X53" s="414">
        <v>0</v>
      </c>
      <c r="Y53" s="414">
        <v>0</v>
      </c>
      <c r="Z53" s="414">
        <v>0</v>
      </c>
      <c r="AA53" s="447">
        <v>0</v>
      </c>
      <c r="AB53" s="414">
        <v>0</v>
      </c>
      <c r="AC53" s="414">
        <v>0</v>
      </c>
      <c r="AD53" s="414">
        <v>0</v>
      </c>
      <c r="AE53" s="414">
        <v>0</v>
      </c>
      <c r="AF53" s="414">
        <v>0</v>
      </c>
      <c r="AG53" s="414">
        <v>0</v>
      </c>
      <c r="AH53" s="414">
        <v>0</v>
      </c>
      <c r="AI53" s="431">
        <v>0</v>
      </c>
      <c r="AJ53" s="12"/>
      <c r="AK53" s="174">
        <f t="shared" si="19"/>
        <v>0</v>
      </c>
      <c r="AL53" s="174">
        <f t="shared" si="20"/>
        <v>0</v>
      </c>
      <c r="AM53" s="174"/>
      <c r="AN53" s="175"/>
      <c r="AO53" s="174">
        <f t="shared" si="33"/>
        <v>0</v>
      </c>
      <c r="AP53" s="171" t="str">
        <f t="shared" si="34"/>
        <v>V</v>
      </c>
    </row>
    <row r="54" spans="1:42" ht="15" customHeight="1">
      <c r="A54" t="s">
        <v>160</v>
      </c>
      <c r="B54" s="54" t="s">
        <v>250</v>
      </c>
      <c r="C54" s="43" t="s">
        <v>251</v>
      </c>
      <c r="D54" s="43" t="s">
        <v>110</v>
      </c>
      <c r="E54" s="430">
        <v>0</v>
      </c>
      <c r="F54" s="414">
        <v>0</v>
      </c>
      <c r="G54" s="447">
        <v>0</v>
      </c>
      <c r="H54" s="414">
        <v>0</v>
      </c>
      <c r="I54" s="414">
        <v>0</v>
      </c>
      <c r="J54" s="414">
        <v>0</v>
      </c>
      <c r="K54" s="414">
        <v>0</v>
      </c>
      <c r="L54" s="414">
        <v>0</v>
      </c>
      <c r="M54" s="414">
        <v>0</v>
      </c>
      <c r="N54" s="414">
        <v>0</v>
      </c>
      <c r="O54" s="414">
        <v>0</v>
      </c>
      <c r="P54" s="414">
        <v>0</v>
      </c>
      <c r="Q54" s="447">
        <v>0</v>
      </c>
      <c r="R54" s="414">
        <v>0</v>
      </c>
      <c r="S54" s="414">
        <v>0</v>
      </c>
      <c r="T54" s="414">
        <v>0</v>
      </c>
      <c r="U54" s="414">
        <v>0</v>
      </c>
      <c r="V54" s="414">
        <v>0</v>
      </c>
      <c r="W54" s="414">
        <v>0</v>
      </c>
      <c r="X54" s="414">
        <v>0</v>
      </c>
      <c r="Y54" s="414">
        <v>0</v>
      </c>
      <c r="Z54" s="414">
        <v>0</v>
      </c>
      <c r="AA54" s="447">
        <v>0</v>
      </c>
      <c r="AB54" s="414">
        <v>0</v>
      </c>
      <c r="AC54" s="414">
        <v>0</v>
      </c>
      <c r="AD54" s="414">
        <v>0</v>
      </c>
      <c r="AE54" s="414">
        <v>0</v>
      </c>
      <c r="AF54" s="414">
        <v>0</v>
      </c>
      <c r="AG54" s="414">
        <v>0</v>
      </c>
      <c r="AH54" s="414">
        <v>0</v>
      </c>
      <c r="AI54" s="431">
        <v>0</v>
      </c>
      <c r="AJ54" s="12"/>
      <c r="AK54" s="174">
        <f t="shared" si="19"/>
        <v>0</v>
      </c>
      <c r="AL54" s="174">
        <f t="shared" si="20"/>
        <v>0</v>
      </c>
      <c r="AM54" s="174"/>
      <c r="AN54" s="175"/>
      <c r="AO54" s="174">
        <f t="shared" si="33"/>
        <v>0</v>
      </c>
      <c r="AP54" s="171" t="str">
        <f t="shared" si="34"/>
        <v>V</v>
      </c>
    </row>
    <row r="55" spans="1:42" ht="15" customHeight="1">
      <c r="A55" t="s">
        <v>160</v>
      </c>
      <c r="B55" s="54" t="s">
        <v>174</v>
      </c>
      <c r="C55" s="43" t="s">
        <v>175</v>
      </c>
      <c r="D55" s="43" t="s">
        <v>38</v>
      </c>
      <c r="E55" s="430">
        <v>0</v>
      </c>
      <c r="F55" s="414">
        <v>0</v>
      </c>
      <c r="G55" s="447">
        <v>0</v>
      </c>
      <c r="H55" s="414">
        <v>0</v>
      </c>
      <c r="I55" s="414">
        <v>0</v>
      </c>
      <c r="J55" s="414">
        <v>0</v>
      </c>
      <c r="K55" s="414">
        <v>0</v>
      </c>
      <c r="L55" s="414">
        <v>0</v>
      </c>
      <c r="M55" s="414">
        <v>0</v>
      </c>
      <c r="N55" s="414">
        <v>0</v>
      </c>
      <c r="O55" s="414">
        <v>0</v>
      </c>
      <c r="P55" s="414">
        <v>0</v>
      </c>
      <c r="Q55" s="447">
        <v>0</v>
      </c>
      <c r="R55" s="414">
        <v>0</v>
      </c>
      <c r="S55" s="414">
        <v>0</v>
      </c>
      <c r="T55" s="414">
        <f>T9</f>
        <v>94</v>
      </c>
      <c r="U55" s="414">
        <f t="shared" ref="U55:Z55" si="37">U9</f>
        <v>48</v>
      </c>
      <c r="V55" s="414">
        <f t="shared" si="37"/>
        <v>66</v>
      </c>
      <c r="W55" s="414">
        <f t="shared" si="37"/>
        <v>56</v>
      </c>
      <c r="X55" s="414">
        <f t="shared" si="37"/>
        <v>0</v>
      </c>
      <c r="Y55" s="414">
        <f t="shared" si="37"/>
        <v>0</v>
      </c>
      <c r="Z55" s="414">
        <f t="shared" si="37"/>
        <v>0</v>
      </c>
      <c r="AA55" s="447">
        <v>0</v>
      </c>
      <c r="AB55" s="414">
        <v>0</v>
      </c>
      <c r="AC55" s="414">
        <v>0</v>
      </c>
      <c r="AD55" s="414">
        <v>0</v>
      </c>
      <c r="AE55" s="414">
        <v>0</v>
      </c>
      <c r="AF55" s="414">
        <v>0</v>
      </c>
      <c r="AG55" s="414">
        <v>0</v>
      </c>
      <c r="AH55" s="414">
        <v>0</v>
      </c>
      <c r="AI55" s="431">
        <v>0</v>
      </c>
      <c r="AJ55" s="12"/>
      <c r="AK55" s="174">
        <f t="shared" si="19"/>
        <v>264</v>
      </c>
      <c r="AL55" s="174">
        <f t="shared" si="20"/>
        <v>264</v>
      </c>
      <c r="AM55" s="174"/>
      <c r="AN55" s="175"/>
      <c r="AO55" s="174">
        <f t="shared" si="33"/>
        <v>264</v>
      </c>
      <c r="AP55" s="171" t="str">
        <f t="shared" si="34"/>
        <v>V</v>
      </c>
    </row>
    <row r="56" spans="1:42" ht="15" customHeight="1">
      <c r="A56" t="s">
        <v>160</v>
      </c>
      <c r="B56" s="54" t="s">
        <v>112</v>
      </c>
      <c r="C56" s="43" t="s">
        <v>113</v>
      </c>
      <c r="D56" s="43" t="s">
        <v>110</v>
      </c>
      <c r="E56" s="430">
        <v>0</v>
      </c>
      <c r="F56" s="414">
        <v>0</v>
      </c>
      <c r="G56" s="447">
        <v>0</v>
      </c>
      <c r="H56" s="414">
        <v>0</v>
      </c>
      <c r="I56" s="414">
        <v>0</v>
      </c>
      <c r="J56" s="414">
        <v>0</v>
      </c>
      <c r="K56" s="414">
        <v>0</v>
      </c>
      <c r="L56" s="414">
        <v>0</v>
      </c>
      <c r="M56" s="414">
        <v>0</v>
      </c>
      <c r="N56" s="414">
        <v>0</v>
      </c>
      <c r="O56" s="414">
        <v>0</v>
      </c>
      <c r="P56" s="414">
        <v>0</v>
      </c>
      <c r="Q56" s="447">
        <v>0</v>
      </c>
      <c r="R56" s="414">
        <v>0</v>
      </c>
      <c r="S56" s="414">
        <v>0</v>
      </c>
      <c r="T56" s="414">
        <v>0</v>
      </c>
      <c r="U56" s="414">
        <v>0</v>
      </c>
      <c r="V56" s="414">
        <v>0</v>
      </c>
      <c r="W56" s="414">
        <v>0</v>
      </c>
      <c r="X56" s="414">
        <v>0</v>
      </c>
      <c r="Y56" s="414">
        <v>0</v>
      </c>
      <c r="Z56" s="414">
        <v>0</v>
      </c>
      <c r="AA56" s="447">
        <v>0</v>
      </c>
      <c r="AB56" s="414">
        <v>0</v>
      </c>
      <c r="AC56" s="414">
        <v>0</v>
      </c>
      <c r="AD56" s="414">
        <v>0</v>
      </c>
      <c r="AE56" s="414">
        <v>0</v>
      </c>
      <c r="AF56" s="414">
        <v>0</v>
      </c>
      <c r="AG56" s="414">
        <v>0</v>
      </c>
      <c r="AH56" s="414">
        <v>0</v>
      </c>
      <c r="AI56" s="431">
        <v>0</v>
      </c>
      <c r="AJ56" s="12"/>
      <c r="AK56" s="174">
        <f t="shared" si="19"/>
        <v>0</v>
      </c>
      <c r="AL56" s="174">
        <f t="shared" si="20"/>
        <v>0</v>
      </c>
      <c r="AM56" s="174"/>
      <c r="AN56" s="175"/>
      <c r="AO56" s="174">
        <f t="shared" si="33"/>
        <v>0</v>
      </c>
      <c r="AP56" s="171" t="str">
        <f t="shared" si="34"/>
        <v>V</v>
      </c>
    </row>
    <row r="57" spans="1:42" ht="15" customHeight="1">
      <c r="A57" t="s">
        <v>160</v>
      </c>
      <c r="B57" s="54" t="s">
        <v>252</v>
      </c>
      <c r="C57" s="43" t="s">
        <v>253</v>
      </c>
      <c r="D57" s="43" t="s">
        <v>110</v>
      </c>
      <c r="E57" s="430">
        <v>0</v>
      </c>
      <c r="F57" s="414">
        <v>0</v>
      </c>
      <c r="G57" s="447">
        <v>0</v>
      </c>
      <c r="H57" s="414">
        <v>0</v>
      </c>
      <c r="I57" s="414">
        <v>0</v>
      </c>
      <c r="J57" s="414">
        <v>0</v>
      </c>
      <c r="K57" s="414">
        <v>0</v>
      </c>
      <c r="L57" s="414">
        <v>0</v>
      </c>
      <c r="M57" s="414">
        <v>0</v>
      </c>
      <c r="N57" s="414">
        <v>0</v>
      </c>
      <c r="O57" s="414">
        <v>0</v>
      </c>
      <c r="P57" s="414">
        <v>0</v>
      </c>
      <c r="Q57" s="447">
        <v>0</v>
      </c>
      <c r="R57" s="414">
        <v>0</v>
      </c>
      <c r="S57" s="414">
        <v>0</v>
      </c>
      <c r="T57" s="414">
        <v>0</v>
      </c>
      <c r="U57" s="414">
        <v>0</v>
      </c>
      <c r="V57" s="414">
        <v>0</v>
      </c>
      <c r="W57" s="414">
        <v>0</v>
      </c>
      <c r="X57" s="414">
        <v>0</v>
      </c>
      <c r="Y57" s="414">
        <v>0</v>
      </c>
      <c r="Z57" s="414">
        <v>0</v>
      </c>
      <c r="AA57" s="447">
        <v>0</v>
      </c>
      <c r="AB57" s="414">
        <v>0</v>
      </c>
      <c r="AC57" s="414">
        <v>0</v>
      </c>
      <c r="AD57" s="414">
        <v>0</v>
      </c>
      <c r="AE57" s="414">
        <v>0</v>
      </c>
      <c r="AF57" s="414">
        <v>0</v>
      </c>
      <c r="AG57" s="414">
        <v>0</v>
      </c>
      <c r="AH57" s="414">
        <v>0</v>
      </c>
      <c r="AI57" s="431">
        <v>0</v>
      </c>
      <c r="AJ57" s="12"/>
      <c r="AK57" s="174">
        <f t="shared" si="19"/>
        <v>0</v>
      </c>
      <c r="AL57" s="174">
        <f t="shared" si="20"/>
        <v>0</v>
      </c>
      <c r="AM57" s="174"/>
      <c r="AN57" s="175"/>
      <c r="AO57" s="174">
        <f t="shared" si="33"/>
        <v>0</v>
      </c>
      <c r="AP57" s="171" t="str">
        <f t="shared" si="34"/>
        <v>V</v>
      </c>
    </row>
    <row r="58" spans="1:42" ht="15" customHeight="1">
      <c r="A58" t="s">
        <v>160</v>
      </c>
      <c r="B58" s="54" t="s">
        <v>176</v>
      </c>
      <c r="C58" s="43" t="s">
        <v>177</v>
      </c>
      <c r="D58" s="43" t="s">
        <v>38</v>
      </c>
      <c r="E58" s="430">
        <v>0</v>
      </c>
      <c r="F58" s="414">
        <v>0</v>
      </c>
      <c r="G58" s="447">
        <v>0</v>
      </c>
      <c r="H58" s="414">
        <v>0</v>
      </c>
      <c r="I58" s="414">
        <v>0</v>
      </c>
      <c r="J58" s="414">
        <v>0</v>
      </c>
      <c r="K58" s="414">
        <v>0</v>
      </c>
      <c r="L58" s="414">
        <v>0</v>
      </c>
      <c r="M58" s="414">
        <v>0</v>
      </c>
      <c r="N58" s="414">
        <v>0</v>
      </c>
      <c r="O58" s="414">
        <v>0</v>
      </c>
      <c r="P58" s="414">
        <v>0</v>
      </c>
      <c r="Q58" s="447">
        <v>0</v>
      </c>
      <c r="R58" s="414">
        <v>0</v>
      </c>
      <c r="S58" s="414">
        <v>0</v>
      </c>
      <c r="T58" s="414">
        <v>0</v>
      </c>
      <c r="U58" s="414">
        <v>0</v>
      </c>
      <c r="V58" s="414">
        <v>0</v>
      </c>
      <c r="W58" s="414">
        <v>0</v>
      </c>
      <c r="X58" s="414">
        <v>0</v>
      </c>
      <c r="Y58" s="414">
        <v>0</v>
      </c>
      <c r="Z58" s="414">
        <v>0</v>
      </c>
      <c r="AA58" s="447">
        <v>0</v>
      </c>
      <c r="AB58" s="414">
        <v>0</v>
      </c>
      <c r="AC58" s="414">
        <v>0</v>
      </c>
      <c r="AD58" s="414">
        <v>0</v>
      </c>
      <c r="AE58" s="414">
        <v>0</v>
      </c>
      <c r="AF58" s="414">
        <v>0</v>
      </c>
      <c r="AG58" s="414">
        <v>0</v>
      </c>
      <c r="AH58" s="414">
        <v>0</v>
      </c>
      <c r="AI58" s="431">
        <v>0</v>
      </c>
      <c r="AJ58" s="12"/>
      <c r="AK58" s="174">
        <f t="shared" si="19"/>
        <v>0</v>
      </c>
      <c r="AL58" s="174">
        <f t="shared" si="20"/>
        <v>0</v>
      </c>
      <c r="AM58" s="174"/>
      <c r="AN58" s="175"/>
      <c r="AO58" s="174">
        <f t="shared" si="33"/>
        <v>0</v>
      </c>
      <c r="AP58" s="171" t="str">
        <f t="shared" si="34"/>
        <v>V</v>
      </c>
    </row>
    <row r="59" spans="1:42" ht="15" customHeight="1">
      <c r="A59" t="s">
        <v>160</v>
      </c>
      <c r="B59" s="54" t="s">
        <v>463</v>
      </c>
      <c r="C59" s="43" t="s">
        <v>464</v>
      </c>
      <c r="D59" s="43" t="s">
        <v>38</v>
      </c>
      <c r="E59" s="430">
        <v>0</v>
      </c>
      <c r="F59" s="414">
        <v>0</v>
      </c>
      <c r="G59" s="447">
        <v>0</v>
      </c>
      <c r="H59" s="414">
        <v>0</v>
      </c>
      <c r="I59" s="414">
        <v>0</v>
      </c>
      <c r="J59" s="414">
        <v>0</v>
      </c>
      <c r="K59" s="414">
        <v>0</v>
      </c>
      <c r="L59" s="414">
        <v>0</v>
      </c>
      <c r="M59" s="414">
        <v>0</v>
      </c>
      <c r="N59" s="414">
        <v>0</v>
      </c>
      <c r="O59" s="414">
        <v>0</v>
      </c>
      <c r="P59" s="414">
        <v>0</v>
      </c>
      <c r="Q59" s="447">
        <v>0</v>
      </c>
      <c r="R59" s="414">
        <v>0</v>
      </c>
      <c r="S59" s="414">
        <v>0</v>
      </c>
      <c r="T59" s="414">
        <v>0</v>
      </c>
      <c r="U59" s="414">
        <v>0</v>
      </c>
      <c r="V59" s="414">
        <v>0</v>
      </c>
      <c r="W59" s="414">
        <v>0</v>
      </c>
      <c r="X59" s="414">
        <v>0</v>
      </c>
      <c r="Y59" s="414">
        <v>0</v>
      </c>
      <c r="Z59" s="414">
        <v>0</v>
      </c>
      <c r="AA59" s="447">
        <v>0</v>
      </c>
      <c r="AB59" s="414">
        <v>0</v>
      </c>
      <c r="AC59" s="414">
        <v>0</v>
      </c>
      <c r="AD59" s="414">
        <v>0</v>
      </c>
      <c r="AE59" s="414">
        <v>0</v>
      </c>
      <c r="AF59" s="414">
        <v>0</v>
      </c>
      <c r="AG59" s="414">
        <v>0</v>
      </c>
      <c r="AH59" s="414">
        <v>0</v>
      </c>
      <c r="AI59" s="431">
        <v>0</v>
      </c>
      <c r="AJ59" s="12"/>
      <c r="AK59" s="174">
        <f t="shared" si="19"/>
        <v>0</v>
      </c>
      <c r="AL59" s="174">
        <f t="shared" si="20"/>
        <v>0</v>
      </c>
      <c r="AM59" s="174"/>
      <c r="AN59" s="171"/>
      <c r="AO59" s="174">
        <f t="shared" si="33"/>
        <v>0</v>
      </c>
      <c r="AP59" s="171" t="str">
        <f t="shared" si="34"/>
        <v>V</v>
      </c>
    </row>
    <row r="60" spans="1:42" ht="15" customHeight="1">
      <c r="A60" t="s">
        <v>160</v>
      </c>
      <c r="B60" s="54" t="s">
        <v>465</v>
      </c>
      <c r="C60" s="43" t="s">
        <v>466</v>
      </c>
      <c r="D60" s="43" t="s">
        <v>110</v>
      </c>
      <c r="E60" s="430">
        <v>0</v>
      </c>
      <c r="F60" s="414">
        <v>0</v>
      </c>
      <c r="G60" s="447">
        <v>0</v>
      </c>
      <c r="H60" s="414">
        <v>0</v>
      </c>
      <c r="I60" s="414">
        <v>0</v>
      </c>
      <c r="J60" s="414">
        <v>0</v>
      </c>
      <c r="K60" s="414">
        <v>0</v>
      </c>
      <c r="L60" s="414">
        <v>0</v>
      </c>
      <c r="M60" s="414">
        <v>0</v>
      </c>
      <c r="N60" s="414">
        <v>0</v>
      </c>
      <c r="O60" s="414">
        <v>0</v>
      </c>
      <c r="P60" s="414">
        <v>0</v>
      </c>
      <c r="Q60" s="447">
        <v>0</v>
      </c>
      <c r="R60" s="414">
        <v>0</v>
      </c>
      <c r="S60" s="414">
        <v>0</v>
      </c>
      <c r="T60" s="414">
        <v>0</v>
      </c>
      <c r="U60" s="414">
        <v>0</v>
      </c>
      <c r="V60" s="414">
        <v>0</v>
      </c>
      <c r="W60" s="414">
        <v>0</v>
      </c>
      <c r="X60" s="414">
        <v>0</v>
      </c>
      <c r="Y60" s="414">
        <v>0</v>
      </c>
      <c r="Z60" s="414">
        <v>0</v>
      </c>
      <c r="AA60" s="447">
        <v>0</v>
      </c>
      <c r="AB60" s="414">
        <v>0</v>
      </c>
      <c r="AC60" s="414">
        <v>0</v>
      </c>
      <c r="AD60" s="414">
        <v>0</v>
      </c>
      <c r="AE60" s="414">
        <v>0</v>
      </c>
      <c r="AF60" s="414">
        <v>0</v>
      </c>
      <c r="AG60" s="414">
        <v>0</v>
      </c>
      <c r="AH60" s="414">
        <v>0</v>
      </c>
      <c r="AI60" s="431">
        <v>0</v>
      </c>
      <c r="AJ60" s="12"/>
      <c r="AK60" s="174">
        <f t="shared" si="19"/>
        <v>0</v>
      </c>
      <c r="AL60" s="174">
        <f t="shared" si="20"/>
        <v>0</v>
      </c>
      <c r="AM60" s="174"/>
      <c r="AN60" s="175"/>
      <c r="AO60" s="174">
        <f t="shared" si="33"/>
        <v>0</v>
      </c>
      <c r="AP60" s="171" t="str">
        <f t="shared" si="34"/>
        <v>V</v>
      </c>
    </row>
    <row r="61" spans="1:42" ht="15" customHeight="1">
      <c r="A61" t="s">
        <v>160</v>
      </c>
      <c r="B61" s="54" t="s">
        <v>467</v>
      </c>
      <c r="C61" s="43" t="s">
        <v>468</v>
      </c>
      <c r="D61" s="43" t="s">
        <v>38</v>
      </c>
      <c r="E61" s="430">
        <v>0</v>
      </c>
      <c r="F61" s="414">
        <v>0</v>
      </c>
      <c r="G61" s="447">
        <v>0</v>
      </c>
      <c r="H61" s="414">
        <v>0</v>
      </c>
      <c r="I61" s="414">
        <v>0</v>
      </c>
      <c r="J61" s="414">
        <v>0</v>
      </c>
      <c r="K61" s="414">
        <v>0</v>
      </c>
      <c r="L61" s="414">
        <v>0</v>
      </c>
      <c r="M61" s="414">
        <v>0</v>
      </c>
      <c r="N61" s="414">
        <v>0</v>
      </c>
      <c r="O61" s="414">
        <v>0</v>
      </c>
      <c r="P61" s="414">
        <v>0</v>
      </c>
      <c r="Q61" s="447">
        <v>0</v>
      </c>
      <c r="R61" s="414">
        <v>0</v>
      </c>
      <c r="S61" s="414">
        <v>0</v>
      </c>
      <c r="T61" s="414">
        <v>0</v>
      </c>
      <c r="U61" s="414">
        <v>0</v>
      </c>
      <c r="V61" s="414">
        <v>0</v>
      </c>
      <c r="W61" s="414">
        <v>0</v>
      </c>
      <c r="X61" s="414">
        <v>0</v>
      </c>
      <c r="Y61" s="414">
        <v>0</v>
      </c>
      <c r="Z61" s="414">
        <v>0</v>
      </c>
      <c r="AA61" s="447">
        <v>0</v>
      </c>
      <c r="AB61" s="414">
        <v>0</v>
      </c>
      <c r="AC61" s="414">
        <v>0</v>
      </c>
      <c r="AD61" s="414">
        <v>0</v>
      </c>
      <c r="AE61" s="414">
        <v>0</v>
      </c>
      <c r="AF61" s="414">
        <v>0</v>
      </c>
      <c r="AG61" s="414">
        <v>0</v>
      </c>
      <c r="AH61" s="414">
        <v>0</v>
      </c>
      <c r="AI61" s="431">
        <v>0</v>
      </c>
      <c r="AJ61" s="12"/>
      <c r="AK61" s="174">
        <f t="shared" si="19"/>
        <v>0</v>
      </c>
      <c r="AL61" s="174">
        <f t="shared" si="20"/>
        <v>0</v>
      </c>
      <c r="AM61" s="174"/>
      <c r="AN61" s="175"/>
      <c r="AO61" s="174">
        <f t="shared" si="33"/>
        <v>0</v>
      </c>
      <c r="AP61" s="171" t="str">
        <f t="shared" si="34"/>
        <v>V</v>
      </c>
    </row>
    <row r="62" spans="1:42" ht="15" customHeight="1">
      <c r="A62" t="s">
        <v>160</v>
      </c>
      <c r="B62" s="54" t="s">
        <v>338</v>
      </c>
      <c r="C62" s="43" t="s">
        <v>339</v>
      </c>
      <c r="D62" s="43" t="s">
        <v>38</v>
      </c>
      <c r="E62" s="430">
        <v>0</v>
      </c>
      <c r="F62" s="414">
        <v>0</v>
      </c>
      <c r="G62" s="447">
        <v>0</v>
      </c>
      <c r="H62" s="414">
        <v>0</v>
      </c>
      <c r="I62" s="414">
        <v>0</v>
      </c>
      <c r="J62" s="414">
        <v>0</v>
      </c>
      <c r="K62" s="414">
        <v>0</v>
      </c>
      <c r="L62" s="414">
        <v>0</v>
      </c>
      <c r="M62" s="414">
        <v>0</v>
      </c>
      <c r="N62" s="414">
        <v>0</v>
      </c>
      <c r="O62" s="414">
        <v>0</v>
      </c>
      <c r="P62" s="414">
        <v>0</v>
      </c>
      <c r="Q62" s="447">
        <v>0</v>
      </c>
      <c r="R62" s="414">
        <v>0</v>
      </c>
      <c r="S62" s="414">
        <v>0</v>
      </c>
      <c r="T62" s="414">
        <v>0</v>
      </c>
      <c r="U62" s="414">
        <v>0</v>
      </c>
      <c r="V62" s="414">
        <v>0</v>
      </c>
      <c r="W62" s="414">
        <v>0</v>
      </c>
      <c r="X62" s="414">
        <v>0</v>
      </c>
      <c r="Y62" s="414">
        <v>0</v>
      </c>
      <c r="Z62" s="414">
        <v>0</v>
      </c>
      <c r="AA62" s="447">
        <v>0</v>
      </c>
      <c r="AB62" s="414">
        <v>0</v>
      </c>
      <c r="AC62" s="414">
        <v>0</v>
      </c>
      <c r="AD62" s="414">
        <v>0</v>
      </c>
      <c r="AE62" s="414">
        <v>0</v>
      </c>
      <c r="AF62" s="414">
        <v>0</v>
      </c>
      <c r="AG62" s="414">
        <v>0</v>
      </c>
      <c r="AH62" s="414">
        <v>0</v>
      </c>
      <c r="AI62" s="431">
        <v>0</v>
      </c>
      <c r="AJ62" s="12"/>
      <c r="AK62" s="174">
        <f t="shared" si="19"/>
        <v>0</v>
      </c>
      <c r="AL62" s="174">
        <f t="shared" si="20"/>
        <v>0</v>
      </c>
      <c r="AM62" s="174"/>
      <c r="AN62" s="175"/>
      <c r="AO62" s="174">
        <f t="shared" si="33"/>
        <v>0</v>
      </c>
      <c r="AP62" s="171" t="str">
        <f t="shared" si="34"/>
        <v>V</v>
      </c>
    </row>
    <row r="63" spans="1:42" ht="15" customHeight="1">
      <c r="A63" t="s">
        <v>160</v>
      </c>
      <c r="B63" s="54" t="s">
        <v>185</v>
      </c>
      <c r="C63" s="43" t="s">
        <v>186</v>
      </c>
      <c r="D63" s="43" t="s">
        <v>38</v>
      </c>
      <c r="E63" s="430">
        <v>0</v>
      </c>
      <c r="F63" s="414">
        <v>0</v>
      </c>
      <c r="G63" s="447">
        <v>0</v>
      </c>
      <c r="H63" s="414">
        <v>0</v>
      </c>
      <c r="I63" s="414">
        <v>0</v>
      </c>
      <c r="J63" s="414">
        <v>0</v>
      </c>
      <c r="K63" s="414">
        <v>0</v>
      </c>
      <c r="L63" s="414">
        <v>0</v>
      </c>
      <c r="M63" s="414">
        <v>0</v>
      </c>
      <c r="N63" s="414">
        <v>0</v>
      </c>
      <c r="O63" s="414">
        <v>0</v>
      </c>
      <c r="P63" s="414">
        <v>0</v>
      </c>
      <c r="Q63" s="447">
        <v>0</v>
      </c>
      <c r="R63" s="414">
        <v>0</v>
      </c>
      <c r="S63" s="414">
        <v>0</v>
      </c>
      <c r="T63" s="414">
        <v>0</v>
      </c>
      <c r="U63" s="414">
        <v>0</v>
      </c>
      <c r="V63" s="414">
        <v>0</v>
      </c>
      <c r="W63" s="414">
        <v>0</v>
      </c>
      <c r="X63" s="414">
        <v>0</v>
      </c>
      <c r="Y63" s="414">
        <v>0</v>
      </c>
      <c r="Z63" s="414">
        <v>0</v>
      </c>
      <c r="AA63" s="447">
        <v>0</v>
      </c>
      <c r="AB63" s="414">
        <v>0</v>
      </c>
      <c r="AC63" s="414">
        <v>0</v>
      </c>
      <c r="AD63" s="414">
        <v>0</v>
      </c>
      <c r="AE63" s="414">
        <v>0</v>
      </c>
      <c r="AF63" s="414">
        <v>0</v>
      </c>
      <c r="AG63" s="414">
        <v>0</v>
      </c>
      <c r="AH63" s="414">
        <v>0</v>
      </c>
      <c r="AI63" s="431">
        <v>0</v>
      </c>
      <c r="AJ63" s="12"/>
      <c r="AK63" s="174">
        <f t="shared" si="19"/>
        <v>0</v>
      </c>
      <c r="AL63" s="174">
        <f t="shared" si="20"/>
        <v>0</v>
      </c>
      <c r="AM63" s="174"/>
      <c r="AN63" s="175"/>
      <c r="AO63" s="174">
        <f t="shared" si="33"/>
        <v>0</v>
      </c>
      <c r="AP63" s="171" t="str">
        <f t="shared" si="34"/>
        <v>V</v>
      </c>
    </row>
    <row r="64" spans="1:42" ht="15" customHeight="1">
      <c r="A64" t="s">
        <v>160</v>
      </c>
      <c r="B64" s="54" t="s">
        <v>187</v>
      </c>
      <c r="C64" s="43" t="s">
        <v>188</v>
      </c>
      <c r="D64" s="43" t="s">
        <v>38</v>
      </c>
      <c r="E64" s="430">
        <v>0</v>
      </c>
      <c r="F64" s="414">
        <v>0</v>
      </c>
      <c r="G64" s="447">
        <v>0</v>
      </c>
      <c r="H64" s="414">
        <v>0</v>
      </c>
      <c r="I64" s="414">
        <v>0</v>
      </c>
      <c r="J64" s="414">
        <v>0</v>
      </c>
      <c r="K64" s="414">
        <v>0</v>
      </c>
      <c r="L64" s="414">
        <v>0</v>
      </c>
      <c r="M64" s="414">
        <v>0</v>
      </c>
      <c r="N64" s="414">
        <v>0</v>
      </c>
      <c r="O64" s="414">
        <v>0</v>
      </c>
      <c r="P64" s="414">
        <v>0</v>
      </c>
      <c r="Q64" s="447">
        <v>0</v>
      </c>
      <c r="R64" s="414">
        <v>0</v>
      </c>
      <c r="S64" s="414">
        <v>0</v>
      </c>
      <c r="T64" s="414">
        <v>0</v>
      </c>
      <c r="U64" s="414">
        <v>0</v>
      </c>
      <c r="V64" s="414">
        <v>0</v>
      </c>
      <c r="W64" s="414">
        <v>0</v>
      </c>
      <c r="X64" s="414">
        <v>0</v>
      </c>
      <c r="Y64" s="414">
        <v>0</v>
      </c>
      <c r="Z64" s="414">
        <v>0</v>
      </c>
      <c r="AA64" s="447">
        <v>0</v>
      </c>
      <c r="AB64" s="414">
        <v>0</v>
      </c>
      <c r="AC64" s="414">
        <v>0</v>
      </c>
      <c r="AD64" s="414">
        <v>0</v>
      </c>
      <c r="AE64" s="414">
        <v>0</v>
      </c>
      <c r="AF64" s="414">
        <v>0</v>
      </c>
      <c r="AG64" s="414">
        <v>0</v>
      </c>
      <c r="AH64" s="414">
        <v>0</v>
      </c>
      <c r="AI64" s="431">
        <v>0</v>
      </c>
      <c r="AJ64" s="12"/>
      <c r="AK64" s="174">
        <f t="shared" si="19"/>
        <v>0</v>
      </c>
      <c r="AL64" s="174">
        <f t="shared" si="20"/>
        <v>0</v>
      </c>
      <c r="AM64" s="174"/>
      <c r="AN64" s="175"/>
      <c r="AO64" s="174">
        <f t="shared" si="33"/>
        <v>0</v>
      </c>
      <c r="AP64" s="171" t="str">
        <f t="shared" si="34"/>
        <v>V</v>
      </c>
    </row>
    <row r="65" spans="1:42" ht="15" customHeight="1">
      <c r="A65" t="s">
        <v>160</v>
      </c>
      <c r="B65" s="54" t="s">
        <v>189</v>
      </c>
      <c r="C65" s="43" t="s">
        <v>190</v>
      </c>
      <c r="D65" s="43" t="s">
        <v>38</v>
      </c>
      <c r="E65" s="430">
        <v>0</v>
      </c>
      <c r="F65" s="414">
        <v>0</v>
      </c>
      <c r="G65" s="447">
        <v>0</v>
      </c>
      <c r="H65" s="414">
        <v>0</v>
      </c>
      <c r="I65" s="414">
        <v>0</v>
      </c>
      <c r="J65" s="414">
        <v>0</v>
      </c>
      <c r="K65" s="414">
        <v>0</v>
      </c>
      <c r="L65" s="414">
        <v>0</v>
      </c>
      <c r="M65" s="414">
        <v>0</v>
      </c>
      <c r="N65" s="414">
        <v>0</v>
      </c>
      <c r="O65" s="414">
        <v>0</v>
      </c>
      <c r="P65" s="414">
        <v>0</v>
      </c>
      <c r="Q65" s="447">
        <v>0</v>
      </c>
      <c r="R65" s="414">
        <v>0</v>
      </c>
      <c r="S65" s="414">
        <v>0</v>
      </c>
      <c r="T65" s="414">
        <v>0</v>
      </c>
      <c r="U65" s="414">
        <v>0</v>
      </c>
      <c r="V65" s="414">
        <v>0</v>
      </c>
      <c r="W65" s="414">
        <v>0</v>
      </c>
      <c r="X65" s="414">
        <v>0</v>
      </c>
      <c r="Y65" s="414">
        <v>0</v>
      </c>
      <c r="Z65" s="414">
        <v>0</v>
      </c>
      <c r="AA65" s="447">
        <v>0</v>
      </c>
      <c r="AB65" s="414">
        <v>0</v>
      </c>
      <c r="AC65" s="414">
        <v>0</v>
      </c>
      <c r="AD65" s="414">
        <v>0</v>
      </c>
      <c r="AE65" s="414">
        <v>0</v>
      </c>
      <c r="AF65" s="414">
        <v>0</v>
      </c>
      <c r="AG65" s="414">
        <v>0</v>
      </c>
      <c r="AH65" s="414">
        <v>0</v>
      </c>
      <c r="AI65" s="431">
        <v>0</v>
      </c>
      <c r="AJ65" s="12"/>
      <c r="AK65" s="174">
        <f t="shared" si="19"/>
        <v>0</v>
      </c>
      <c r="AL65" s="174">
        <f t="shared" si="20"/>
        <v>0</v>
      </c>
      <c r="AM65" s="174"/>
      <c r="AN65" s="175"/>
      <c r="AO65" s="174">
        <f t="shared" si="33"/>
        <v>0</v>
      </c>
      <c r="AP65" s="171" t="str">
        <f t="shared" si="34"/>
        <v>V</v>
      </c>
    </row>
    <row r="66" spans="1:42" ht="15" customHeight="1">
      <c r="A66" t="s">
        <v>160</v>
      </c>
      <c r="B66" s="54" t="s">
        <v>344</v>
      </c>
      <c r="C66" s="43" t="s">
        <v>345</v>
      </c>
      <c r="D66" s="43" t="s">
        <v>38</v>
      </c>
      <c r="E66" s="430">
        <v>0</v>
      </c>
      <c r="F66" s="414">
        <v>0</v>
      </c>
      <c r="G66" s="447">
        <v>0</v>
      </c>
      <c r="H66" s="414">
        <v>0</v>
      </c>
      <c r="I66" s="414">
        <v>0</v>
      </c>
      <c r="J66" s="414">
        <v>0</v>
      </c>
      <c r="K66" s="414">
        <v>0</v>
      </c>
      <c r="L66" s="414">
        <v>0</v>
      </c>
      <c r="M66" s="414">
        <v>0</v>
      </c>
      <c r="N66" s="414">
        <v>0</v>
      </c>
      <c r="O66" s="414">
        <v>0</v>
      </c>
      <c r="P66" s="414">
        <v>0</v>
      </c>
      <c r="Q66" s="447">
        <v>0</v>
      </c>
      <c r="R66" s="414">
        <v>0</v>
      </c>
      <c r="S66" s="414">
        <v>0</v>
      </c>
      <c r="T66" s="414">
        <v>0</v>
      </c>
      <c r="U66" s="414">
        <v>0</v>
      </c>
      <c r="V66" s="414">
        <v>0</v>
      </c>
      <c r="W66" s="414">
        <v>0</v>
      </c>
      <c r="X66" s="414">
        <v>0</v>
      </c>
      <c r="Y66" s="414">
        <v>0</v>
      </c>
      <c r="Z66" s="414">
        <v>0</v>
      </c>
      <c r="AA66" s="447">
        <v>0</v>
      </c>
      <c r="AB66" s="414">
        <v>0</v>
      </c>
      <c r="AC66" s="414">
        <v>0</v>
      </c>
      <c r="AD66" s="414">
        <v>0</v>
      </c>
      <c r="AE66" s="414">
        <v>0</v>
      </c>
      <c r="AF66" s="414">
        <v>0</v>
      </c>
      <c r="AG66" s="414">
        <v>0</v>
      </c>
      <c r="AH66" s="414">
        <v>0</v>
      </c>
      <c r="AI66" s="431">
        <v>0</v>
      </c>
      <c r="AJ66" s="12"/>
      <c r="AK66" s="174">
        <f t="shared" si="19"/>
        <v>0</v>
      </c>
      <c r="AL66" s="174">
        <f t="shared" si="20"/>
        <v>0</v>
      </c>
      <c r="AM66" s="174"/>
      <c r="AN66" s="175"/>
      <c r="AO66" s="174">
        <f t="shared" si="33"/>
        <v>0</v>
      </c>
      <c r="AP66" s="171" t="str">
        <f t="shared" si="34"/>
        <v>V</v>
      </c>
    </row>
    <row r="67" spans="1:42" ht="15" customHeight="1">
      <c r="A67" t="s">
        <v>160</v>
      </c>
      <c r="B67" s="54" t="s">
        <v>191</v>
      </c>
      <c r="C67" s="43" t="s">
        <v>192</v>
      </c>
      <c r="D67" s="43" t="s">
        <v>38</v>
      </c>
      <c r="E67" s="430">
        <v>0</v>
      </c>
      <c r="F67" s="414">
        <f>F9</f>
        <v>36</v>
      </c>
      <c r="G67" s="447">
        <v>0</v>
      </c>
      <c r="H67" s="414">
        <v>0</v>
      </c>
      <c r="I67" s="414">
        <v>0</v>
      </c>
      <c r="J67" s="414">
        <v>0</v>
      </c>
      <c r="K67" s="414">
        <v>0</v>
      </c>
      <c r="L67" s="414">
        <v>0</v>
      </c>
      <c r="M67" s="414">
        <v>0</v>
      </c>
      <c r="N67" s="414">
        <v>0</v>
      </c>
      <c r="O67" s="414">
        <v>0</v>
      </c>
      <c r="P67" s="414">
        <v>0</v>
      </c>
      <c r="Q67" s="447">
        <v>0</v>
      </c>
      <c r="R67" s="414">
        <v>0</v>
      </c>
      <c r="S67" s="414">
        <v>0</v>
      </c>
      <c r="T67" s="414">
        <v>0</v>
      </c>
      <c r="U67" s="414">
        <v>0</v>
      </c>
      <c r="V67" s="414">
        <v>0</v>
      </c>
      <c r="W67" s="414">
        <v>0</v>
      </c>
      <c r="X67" s="414">
        <v>0</v>
      </c>
      <c r="Y67" s="414">
        <v>0</v>
      </c>
      <c r="Z67" s="414">
        <v>0</v>
      </c>
      <c r="AA67" s="447">
        <v>0</v>
      </c>
      <c r="AB67" s="414">
        <v>0</v>
      </c>
      <c r="AC67" s="414">
        <v>0</v>
      </c>
      <c r="AD67" s="414">
        <v>0</v>
      </c>
      <c r="AE67" s="414">
        <v>0</v>
      </c>
      <c r="AF67" s="414">
        <v>0</v>
      </c>
      <c r="AG67" s="414">
        <v>0</v>
      </c>
      <c r="AH67" s="414">
        <v>0</v>
      </c>
      <c r="AI67" s="431">
        <v>0</v>
      </c>
      <c r="AJ67" s="12"/>
      <c r="AK67" s="174">
        <f t="shared" si="19"/>
        <v>36</v>
      </c>
      <c r="AL67" s="174">
        <f t="shared" si="20"/>
        <v>36</v>
      </c>
      <c r="AM67" s="174"/>
      <c r="AN67" s="175"/>
      <c r="AO67" s="174">
        <f t="shared" si="33"/>
        <v>36</v>
      </c>
      <c r="AP67" s="171" t="str">
        <f t="shared" si="34"/>
        <v>V</v>
      </c>
    </row>
    <row r="68" spans="1:42" ht="15" customHeight="1">
      <c r="A68" t="s">
        <v>160</v>
      </c>
      <c r="B68" s="54" t="s">
        <v>254</v>
      </c>
      <c r="C68" s="43" t="s">
        <v>255</v>
      </c>
      <c r="D68" s="43" t="s">
        <v>110</v>
      </c>
      <c r="E68" s="430">
        <v>0</v>
      </c>
      <c r="F68" s="414">
        <v>0</v>
      </c>
      <c r="G68" s="447">
        <v>0</v>
      </c>
      <c r="H68" s="414">
        <v>0</v>
      </c>
      <c r="I68" s="414">
        <v>0</v>
      </c>
      <c r="J68" s="414">
        <v>0</v>
      </c>
      <c r="K68" s="414">
        <v>0</v>
      </c>
      <c r="L68" s="414">
        <v>0</v>
      </c>
      <c r="M68" s="414">
        <v>0</v>
      </c>
      <c r="N68" s="414">
        <v>0</v>
      </c>
      <c r="O68" s="414">
        <v>0</v>
      </c>
      <c r="P68" s="414">
        <v>0</v>
      </c>
      <c r="Q68" s="447">
        <v>0</v>
      </c>
      <c r="R68" s="414">
        <v>0</v>
      </c>
      <c r="S68" s="414">
        <v>0</v>
      </c>
      <c r="T68" s="414">
        <v>0</v>
      </c>
      <c r="U68" s="414">
        <v>0</v>
      </c>
      <c r="V68" s="414">
        <v>0</v>
      </c>
      <c r="W68" s="414">
        <v>0</v>
      </c>
      <c r="X68" s="414">
        <v>0</v>
      </c>
      <c r="Y68" s="414">
        <v>0</v>
      </c>
      <c r="Z68" s="414">
        <v>0</v>
      </c>
      <c r="AA68" s="447">
        <v>0</v>
      </c>
      <c r="AB68" s="414">
        <v>0</v>
      </c>
      <c r="AC68" s="414">
        <v>0</v>
      </c>
      <c r="AD68" s="414">
        <v>0</v>
      </c>
      <c r="AE68" s="414">
        <v>0</v>
      </c>
      <c r="AF68" s="414">
        <v>0</v>
      </c>
      <c r="AG68" s="414">
        <v>0</v>
      </c>
      <c r="AH68" s="414">
        <v>0</v>
      </c>
      <c r="AI68" s="431">
        <v>0</v>
      </c>
      <c r="AJ68" s="12"/>
      <c r="AK68" s="174">
        <f t="shared" si="19"/>
        <v>0</v>
      </c>
      <c r="AL68" s="174">
        <f t="shared" si="20"/>
        <v>0</v>
      </c>
      <c r="AM68" s="174"/>
      <c r="AN68" s="175"/>
      <c r="AO68" s="174">
        <f t="shared" si="33"/>
        <v>0</v>
      </c>
      <c r="AP68" s="171" t="str">
        <f t="shared" si="34"/>
        <v>V</v>
      </c>
    </row>
    <row r="69" spans="1:42" ht="15" customHeight="1">
      <c r="A69" t="s">
        <v>160</v>
      </c>
      <c r="B69" s="54" t="s">
        <v>469</v>
      </c>
      <c r="C69" s="43" t="s">
        <v>470</v>
      </c>
      <c r="D69" s="43" t="s">
        <v>38</v>
      </c>
      <c r="E69" s="430">
        <v>0</v>
      </c>
      <c r="F69" s="414">
        <v>0</v>
      </c>
      <c r="G69" s="447">
        <v>0</v>
      </c>
      <c r="H69" s="414">
        <v>0</v>
      </c>
      <c r="I69" s="414">
        <v>0</v>
      </c>
      <c r="J69" s="414">
        <v>0</v>
      </c>
      <c r="K69" s="414">
        <v>0</v>
      </c>
      <c r="L69" s="414">
        <v>0</v>
      </c>
      <c r="M69" s="414">
        <v>0</v>
      </c>
      <c r="N69" s="414">
        <v>0</v>
      </c>
      <c r="O69" s="414">
        <v>0</v>
      </c>
      <c r="P69" s="414">
        <v>0</v>
      </c>
      <c r="Q69" s="447">
        <v>0</v>
      </c>
      <c r="R69" s="414">
        <v>0</v>
      </c>
      <c r="S69" s="414">
        <v>0</v>
      </c>
      <c r="T69" s="414">
        <v>0</v>
      </c>
      <c r="U69" s="414">
        <v>0</v>
      </c>
      <c r="V69" s="414">
        <v>0</v>
      </c>
      <c r="W69" s="414">
        <v>0</v>
      </c>
      <c r="X69" s="414">
        <v>0</v>
      </c>
      <c r="Y69" s="414">
        <v>0</v>
      </c>
      <c r="Z69" s="414">
        <v>0</v>
      </c>
      <c r="AA69" s="447">
        <v>0</v>
      </c>
      <c r="AB69" s="414">
        <v>0</v>
      </c>
      <c r="AC69" s="414">
        <v>0</v>
      </c>
      <c r="AD69" s="414">
        <v>0</v>
      </c>
      <c r="AE69" s="414">
        <v>0</v>
      </c>
      <c r="AF69" s="414">
        <v>0</v>
      </c>
      <c r="AG69" s="414">
        <v>0</v>
      </c>
      <c r="AH69" s="414">
        <v>0</v>
      </c>
      <c r="AI69" s="431">
        <v>0</v>
      </c>
      <c r="AJ69" s="12"/>
      <c r="AK69" s="174">
        <f t="shared" si="19"/>
        <v>0</v>
      </c>
      <c r="AL69" s="174">
        <f t="shared" si="20"/>
        <v>0</v>
      </c>
      <c r="AM69" s="174"/>
      <c r="AN69" s="175"/>
      <c r="AO69" s="174">
        <f t="shared" si="33"/>
        <v>0</v>
      </c>
      <c r="AP69" s="171" t="str">
        <f t="shared" si="34"/>
        <v>V</v>
      </c>
    </row>
    <row r="70" spans="1:42" ht="15" customHeight="1">
      <c r="A70" t="s">
        <v>160</v>
      </c>
      <c r="B70" s="54" t="s">
        <v>194</v>
      </c>
      <c r="C70" s="43" t="s">
        <v>195</v>
      </c>
      <c r="D70" s="43" t="s">
        <v>38</v>
      </c>
      <c r="E70" s="430">
        <v>0</v>
      </c>
      <c r="F70" s="414">
        <v>0</v>
      </c>
      <c r="G70" s="447">
        <v>0</v>
      </c>
      <c r="H70" s="414">
        <v>0</v>
      </c>
      <c r="I70" s="414">
        <v>0</v>
      </c>
      <c r="J70" s="414">
        <v>0</v>
      </c>
      <c r="K70" s="414">
        <v>0</v>
      </c>
      <c r="L70" s="414">
        <v>0</v>
      </c>
      <c r="M70" s="414">
        <v>0</v>
      </c>
      <c r="N70" s="414">
        <v>0</v>
      </c>
      <c r="O70" s="414">
        <v>0</v>
      </c>
      <c r="P70" s="414">
        <v>0</v>
      </c>
      <c r="Q70" s="447">
        <v>0</v>
      </c>
      <c r="R70" s="414">
        <v>0</v>
      </c>
      <c r="S70" s="414">
        <v>0</v>
      </c>
      <c r="T70" s="414">
        <v>0</v>
      </c>
      <c r="U70" s="414">
        <v>0</v>
      </c>
      <c r="V70" s="414">
        <v>0</v>
      </c>
      <c r="W70" s="414">
        <v>0</v>
      </c>
      <c r="X70" s="414">
        <v>0</v>
      </c>
      <c r="Y70" s="414">
        <v>0</v>
      </c>
      <c r="Z70" s="414">
        <v>0</v>
      </c>
      <c r="AA70" s="447">
        <v>0</v>
      </c>
      <c r="AB70" s="414">
        <v>0</v>
      </c>
      <c r="AC70" s="414">
        <v>0</v>
      </c>
      <c r="AD70" s="414">
        <v>0</v>
      </c>
      <c r="AE70" s="414">
        <v>0</v>
      </c>
      <c r="AF70" s="414">
        <v>0</v>
      </c>
      <c r="AG70" s="414">
        <v>0</v>
      </c>
      <c r="AH70" s="414">
        <v>0</v>
      </c>
      <c r="AI70" s="431">
        <v>0</v>
      </c>
      <c r="AJ70" s="12"/>
      <c r="AK70" s="174">
        <f t="shared" si="19"/>
        <v>0</v>
      </c>
      <c r="AL70" s="174">
        <f t="shared" si="20"/>
        <v>0</v>
      </c>
      <c r="AM70" s="174"/>
      <c r="AN70" s="175"/>
      <c r="AO70" s="174">
        <f t="shared" si="33"/>
        <v>0</v>
      </c>
      <c r="AP70" s="171" t="str">
        <f t="shared" si="34"/>
        <v>V</v>
      </c>
    </row>
    <row r="71" spans="1:42" ht="15" customHeight="1">
      <c r="A71" t="s">
        <v>160</v>
      </c>
      <c r="B71" s="54" t="s">
        <v>197</v>
      </c>
      <c r="C71" s="43" t="s">
        <v>198</v>
      </c>
      <c r="D71" s="43" t="s">
        <v>38</v>
      </c>
      <c r="E71" s="430">
        <v>0</v>
      </c>
      <c r="F71" s="414">
        <v>0</v>
      </c>
      <c r="G71" s="447">
        <v>0</v>
      </c>
      <c r="H71" s="414">
        <v>0</v>
      </c>
      <c r="I71" s="414">
        <v>0</v>
      </c>
      <c r="J71" s="414">
        <v>0</v>
      </c>
      <c r="K71" s="414">
        <v>0</v>
      </c>
      <c r="L71" s="414">
        <v>0</v>
      </c>
      <c r="M71" s="414">
        <v>0</v>
      </c>
      <c r="N71" s="414">
        <v>0</v>
      </c>
      <c r="O71" s="414">
        <v>0</v>
      </c>
      <c r="P71" s="414">
        <v>0</v>
      </c>
      <c r="Q71" s="447">
        <v>0</v>
      </c>
      <c r="R71" s="414">
        <f>R9</f>
        <v>12</v>
      </c>
      <c r="S71" s="414">
        <f>S9</f>
        <v>6</v>
      </c>
      <c r="T71" s="414">
        <v>0</v>
      </c>
      <c r="U71" s="414">
        <v>0</v>
      </c>
      <c r="V71" s="414">
        <v>0</v>
      </c>
      <c r="W71" s="414">
        <v>0</v>
      </c>
      <c r="X71" s="414">
        <v>0</v>
      </c>
      <c r="Y71" s="414">
        <v>0</v>
      </c>
      <c r="Z71" s="414">
        <v>0</v>
      </c>
      <c r="AA71" s="447">
        <v>0</v>
      </c>
      <c r="AB71" s="414">
        <v>0</v>
      </c>
      <c r="AC71" s="414">
        <v>0</v>
      </c>
      <c r="AD71" s="414">
        <v>0</v>
      </c>
      <c r="AE71" s="414">
        <v>0</v>
      </c>
      <c r="AF71" s="414">
        <v>0</v>
      </c>
      <c r="AG71" s="414">
        <v>0</v>
      </c>
      <c r="AH71" s="414">
        <v>0</v>
      </c>
      <c r="AI71" s="431">
        <v>0</v>
      </c>
      <c r="AJ71" s="12"/>
      <c r="AK71" s="174">
        <f t="shared" si="19"/>
        <v>18</v>
      </c>
      <c r="AL71" s="174">
        <f t="shared" si="20"/>
        <v>18</v>
      </c>
      <c r="AM71" s="174"/>
      <c r="AN71" s="175"/>
      <c r="AO71" s="174">
        <f t="shared" si="33"/>
        <v>18</v>
      </c>
      <c r="AP71" s="171" t="str">
        <f t="shared" si="34"/>
        <v>V</v>
      </c>
    </row>
    <row r="72" spans="1:42" ht="15" customHeight="1">
      <c r="A72" t="s">
        <v>160</v>
      </c>
      <c r="B72" s="54" t="s">
        <v>199</v>
      </c>
      <c r="C72" s="43" t="s">
        <v>200</v>
      </c>
      <c r="D72" s="43" t="s">
        <v>38</v>
      </c>
      <c r="E72" s="430">
        <v>0</v>
      </c>
      <c r="F72" s="414">
        <f>F9</f>
        <v>36</v>
      </c>
      <c r="G72" s="447">
        <v>0</v>
      </c>
      <c r="H72" s="414">
        <v>0</v>
      </c>
      <c r="I72" s="414">
        <v>0</v>
      </c>
      <c r="J72" s="414">
        <v>0</v>
      </c>
      <c r="K72" s="414">
        <v>0</v>
      </c>
      <c r="L72" s="414">
        <v>0</v>
      </c>
      <c r="M72" s="414">
        <v>0</v>
      </c>
      <c r="N72" s="414">
        <v>0</v>
      </c>
      <c r="O72" s="414">
        <v>0</v>
      </c>
      <c r="P72" s="414">
        <v>0</v>
      </c>
      <c r="Q72" s="447">
        <f>Q9</f>
        <v>18</v>
      </c>
      <c r="R72" s="414">
        <v>0</v>
      </c>
      <c r="S72" s="414">
        <v>0</v>
      </c>
      <c r="T72" s="414">
        <v>0</v>
      </c>
      <c r="U72" s="414">
        <v>0</v>
      </c>
      <c r="V72" s="414">
        <v>0</v>
      </c>
      <c r="W72" s="414">
        <v>0</v>
      </c>
      <c r="X72" s="414">
        <v>0</v>
      </c>
      <c r="Y72" s="414">
        <v>0</v>
      </c>
      <c r="Z72" s="414">
        <v>0</v>
      </c>
      <c r="AA72" s="447">
        <v>0</v>
      </c>
      <c r="AB72" s="414">
        <v>0</v>
      </c>
      <c r="AC72" s="414">
        <v>0</v>
      </c>
      <c r="AD72" s="414">
        <v>0</v>
      </c>
      <c r="AE72" s="414">
        <v>0</v>
      </c>
      <c r="AF72" s="414">
        <v>0</v>
      </c>
      <c r="AG72" s="414">
        <v>0</v>
      </c>
      <c r="AH72" s="414">
        <v>0</v>
      </c>
      <c r="AI72" s="431">
        <v>0</v>
      </c>
      <c r="AJ72" s="12"/>
      <c r="AK72" s="174">
        <f t="shared" ref="AK72:AK90" si="38">SUM(E72:AI72)</f>
        <v>54</v>
      </c>
      <c r="AL72" s="174">
        <f t="shared" ref="AL72:AL90" si="39">SUM(E72:AI72)</f>
        <v>54</v>
      </c>
      <c r="AM72" s="174"/>
      <c r="AN72" s="175"/>
      <c r="AO72" s="174">
        <f t="shared" ref="AO72:AO90" si="40">AL72+AM72+AN72</f>
        <v>54</v>
      </c>
      <c r="AP72" s="171" t="str">
        <f t="shared" ref="AP72:AP90" si="41">IF(AO72=AK72,"V","F")</f>
        <v>V</v>
      </c>
    </row>
    <row r="73" spans="1:42" ht="15" customHeight="1">
      <c r="A73" t="s">
        <v>160</v>
      </c>
      <c r="B73" s="54" t="s">
        <v>202</v>
      </c>
      <c r="C73" s="43" t="s">
        <v>203</v>
      </c>
      <c r="D73" s="43" t="s">
        <v>38</v>
      </c>
      <c r="E73" s="430">
        <v>0</v>
      </c>
      <c r="F73" s="414">
        <v>0</v>
      </c>
      <c r="G73" s="447">
        <v>0</v>
      </c>
      <c r="H73" s="414">
        <v>0</v>
      </c>
      <c r="I73" s="414">
        <v>0</v>
      </c>
      <c r="J73" s="414">
        <v>0</v>
      </c>
      <c r="K73" s="414">
        <v>0</v>
      </c>
      <c r="L73" s="414">
        <v>0</v>
      </c>
      <c r="M73" s="414">
        <v>0</v>
      </c>
      <c r="N73" s="414">
        <v>0</v>
      </c>
      <c r="O73" s="414">
        <v>0</v>
      </c>
      <c r="P73" s="414">
        <v>0</v>
      </c>
      <c r="Q73" s="321">
        <f>Q9</f>
        <v>18</v>
      </c>
      <c r="R73" s="225">
        <f t="shared" ref="R73:Z73" si="42">R9</f>
        <v>12</v>
      </c>
      <c r="S73" s="225">
        <f t="shared" si="42"/>
        <v>6</v>
      </c>
      <c r="T73" s="225">
        <f t="shared" si="42"/>
        <v>94</v>
      </c>
      <c r="U73" s="225">
        <f t="shared" si="42"/>
        <v>48</v>
      </c>
      <c r="V73" s="225">
        <f t="shared" si="42"/>
        <v>66</v>
      </c>
      <c r="W73" s="225">
        <f t="shared" si="42"/>
        <v>56</v>
      </c>
      <c r="X73" s="225">
        <f t="shared" si="42"/>
        <v>0</v>
      </c>
      <c r="Y73" s="225">
        <f t="shared" si="42"/>
        <v>0</v>
      </c>
      <c r="Z73" s="15">
        <f t="shared" si="42"/>
        <v>0</v>
      </c>
      <c r="AA73" s="447">
        <v>0</v>
      </c>
      <c r="AB73" s="414">
        <v>0</v>
      </c>
      <c r="AC73" s="414">
        <v>0</v>
      </c>
      <c r="AD73" s="414">
        <v>0</v>
      </c>
      <c r="AE73" s="414">
        <v>0</v>
      </c>
      <c r="AF73" s="414">
        <v>0</v>
      </c>
      <c r="AG73" s="414">
        <v>0</v>
      </c>
      <c r="AH73" s="414">
        <v>0</v>
      </c>
      <c r="AI73" s="431">
        <v>0</v>
      </c>
      <c r="AJ73" s="12"/>
      <c r="AK73" s="174">
        <f t="shared" si="38"/>
        <v>300</v>
      </c>
      <c r="AL73" s="174">
        <f t="shared" si="39"/>
        <v>300</v>
      </c>
      <c r="AM73" s="174"/>
      <c r="AN73" s="175"/>
      <c r="AO73" s="174">
        <f t="shared" si="40"/>
        <v>300</v>
      </c>
      <c r="AP73" s="171" t="str">
        <f t="shared" si="41"/>
        <v>V</v>
      </c>
    </row>
    <row r="74" spans="1:42" ht="15" customHeight="1">
      <c r="A74" t="s">
        <v>160</v>
      </c>
      <c r="B74" s="54" t="s">
        <v>256</v>
      </c>
      <c r="C74" s="43" t="s">
        <v>257</v>
      </c>
      <c r="D74" s="43" t="s">
        <v>110</v>
      </c>
      <c r="E74" s="430">
        <v>0</v>
      </c>
      <c r="F74" s="414">
        <v>0</v>
      </c>
      <c r="G74" s="447">
        <v>0</v>
      </c>
      <c r="H74" s="414">
        <v>0</v>
      </c>
      <c r="I74" s="414">
        <v>0</v>
      </c>
      <c r="J74" s="414">
        <v>0</v>
      </c>
      <c r="K74" s="414">
        <v>0</v>
      </c>
      <c r="L74" s="414">
        <v>0</v>
      </c>
      <c r="M74" s="414">
        <v>0</v>
      </c>
      <c r="N74" s="414">
        <v>0</v>
      </c>
      <c r="O74" s="414">
        <v>0</v>
      </c>
      <c r="P74" s="414">
        <v>0</v>
      </c>
      <c r="Q74" s="447">
        <v>0</v>
      </c>
      <c r="R74" s="414">
        <v>0</v>
      </c>
      <c r="S74" s="414">
        <v>0</v>
      </c>
      <c r="T74" s="414">
        <v>0</v>
      </c>
      <c r="U74" s="414">
        <v>0</v>
      </c>
      <c r="V74" s="414">
        <v>0</v>
      </c>
      <c r="W74" s="414">
        <v>0</v>
      </c>
      <c r="X74" s="414">
        <v>0</v>
      </c>
      <c r="Y74" s="414">
        <v>0</v>
      </c>
      <c r="Z74" s="414">
        <v>0</v>
      </c>
      <c r="AA74" s="447">
        <v>0</v>
      </c>
      <c r="AB74" s="414">
        <v>0</v>
      </c>
      <c r="AC74" s="414">
        <v>0</v>
      </c>
      <c r="AD74" s="414">
        <v>0</v>
      </c>
      <c r="AE74" s="414">
        <v>0</v>
      </c>
      <c r="AF74" s="414">
        <v>0</v>
      </c>
      <c r="AG74" s="414">
        <v>0</v>
      </c>
      <c r="AH74" s="414">
        <v>0</v>
      </c>
      <c r="AI74" s="431">
        <v>0</v>
      </c>
      <c r="AJ74" s="12"/>
      <c r="AK74" s="174">
        <f t="shared" si="38"/>
        <v>0</v>
      </c>
      <c r="AL74" s="174">
        <f t="shared" si="39"/>
        <v>0</v>
      </c>
      <c r="AM74" s="174"/>
      <c r="AN74" s="175"/>
      <c r="AO74" s="174">
        <f t="shared" si="40"/>
        <v>0</v>
      </c>
      <c r="AP74" s="171" t="str">
        <f t="shared" si="41"/>
        <v>V</v>
      </c>
    </row>
    <row r="75" spans="1:42" ht="15" customHeight="1">
      <c r="A75" t="s">
        <v>160</v>
      </c>
      <c r="B75" s="54" t="s">
        <v>258</v>
      </c>
      <c r="C75" s="43" t="s">
        <v>259</v>
      </c>
      <c r="D75" s="43" t="s">
        <v>110</v>
      </c>
      <c r="E75" s="430">
        <v>0</v>
      </c>
      <c r="F75" s="414">
        <v>0</v>
      </c>
      <c r="G75" s="447">
        <v>0</v>
      </c>
      <c r="H75" s="414">
        <v>0</v>
      </c>
      <c r="I75" s="414">
        <v>0</v>
      </c>
      <c r="J75" s="414">
        <v>0</v>
      </c>
      <c r="K75" s="414">
        <v>0</v>
      </c>
      <c r="L75" s="414">
        <v>0</v>
      </c>
      <c r="M75" s="414">
        <v>0</v>
      </c>
      <c r="N75" s="414">
        <v>0</v>
      </c>
      <c r="O75" s="414">
        <v>0</v>
      </c>
      <c r="P75" s="414">
        <v>0</v>
      </c>
      <c r="Q75" s="321">
        <v>0</v>
      </c>
      <c r="R75" s="225">
        <v>0</v>
      </c>
      <c r="S75" s="225">
        <v>0</v>
      </c>
      <c r="T75" s="225">
        <v>0</v>
      </c>
      <c r="U75" s="225">
        <v>0</v>
      </c>
      <c r="V75" s="225">
        <v>0</v>
      </c>
      <c r="W75" s="225">
        <v>0</v>
      </c>
      <c r="X75" s="225">
        <v>0</v>
      </c>
      <c r="Y75" s="225">
        <v>0</v>
      </c>
      <c r="Z75" s="15">
        <v>0</v>
      </c>
      <c r="AA75" s="447">
        <v>0</v>
      </c>
      <c r="AB75" s="414">
        <v>0</v>
      </c>
      <c r="AC75" s="414">
        <v>0</v>
      </c>
      <c r="AD75" s="414">
        <v>0</v>
      </c>
      <c r="AE75" s="414">
        <v>0</v>
      </c>
      <c r="AF75" s="414">
        <v>0</v>
      </c>
      <c r="AG75" s="414">
        <v>0</v>
      </c>
      <c r="AH75" s="414">
        <v>0</v>
      </c>
      <c r="AI75" s="431">
        <v>0</v>
      </c>
      <c r="AJ75" s="12"/>
      <c r="AK75" s="174">
        <f t="shared" si="38"/>
        <v>0</v>
      </c>
      <c r="AL75" s="174">
        <f t="shared" si="39"/>
        <v>0</v>
      </c>
      <c r="AM75" s="174"/>
      <c r="AN75" s="175"/>
      <c r="AO75" s="174">
        <f t="shared" si="40"/>
        <v>0</v>
      </c>
      <c r="AP75" s="171" t="str">
        <f t="shared" si="41"/>
        <v>V</v>
      </c>
    </row>
    <row r="76" spans="1:42" ht="15" customHeight="1">
      <c r="A76" t="s">
        <v>160</v>
      </c>
      <c r="B76" s="54" t="s">
        <v>471</v>
      </c>
      <c r="C76" s="43" t="s">
        <v>472</v>
      </c>
      <c r="D76" s="43" t="s">
        <v>38</v>
      </c>
      <c r="E76" s="430">
        <v>0</v>
      </c>
      <c r="F76" s="414">
        <v>0</v>
      </c>
      <c r="G76" s="447">
        <v>0</v>
      </c>
      <c r="H76" s="414">
        <v>0</v>
      </c>
      <c r="I76" s="414">
        <v>0</v>
      </c>
      <c r="J76" s="414">
        <v>0</v>
      </c>
      <c r="K76" s="414">
        <v>0</v>
      </c>
      <c r="L76" s="414">
        <v>0</v>
      </c>
      <c r="M76" s="414">
        <v>0</v>
      </c>
      <c r="N76" s="414">
        <v>0</v>
      </c>
      <c r="O76" s="414">
        <v>0</v>
      </c>
      <c r="P76" s="414">
        <v>0</v>
      </c>
      <c r="Q76" s="447">
        <v>0</v>
      </c>
      <c r="R76" s="414">
        <v>0</v>
      </c>
      <c r="S76" s="414">
        <v>0</v>
      </c>
      <c r="T76" s="414">
        <v>0</v>
      </c>
      <c r="U76" s="414">
        <v>0</v>
      </c>
      <c r="V76" s="414">
        <v>0</v>
      </c>
      <c r="W76" s="414">
        <v>0</v>
      </c>
      <c r="X76" s="414">
        <v>0</v>
      </c>
      <c r="Y76" s="414">
        <v>0</v>
      </c>
      <c r="Z76" s="415">
        <v>0</v>
      </c>
      <c r="AA76" s="447">
        <v>0</v>
      </c>
      <c r="AB76" s="414">
        <v>0</v>
      </c>
      <c r="AC76" s="414">
        <v>0</v>
      </c>
      <c r="AD76" s="414">
        <v>0</v>
      </c>
      <c r="AE76" s="414">
        <v>0</v>
      </c>
      <c r="AF76" s="414">
        <v>0</v>
      </c>
      <c r="AG76" s="414">
        <v>0</v>
      </c>
      <c r="AH76" s="414">
        <v>0</v>
      </c>
      <c r="AI76" s="431">
        <v>0</v>
      </c>
      <c r="AJ76" s="12"/>
      <c r="AK76" s="174">
        <f t="shared" si="38"/>
        <v>0</v>
      </c>
      <c r="AL76" s="174">
        <f t="shared" si="39"/>
        <v>0</v>
      </c>
      <c r="AM76" s="174"/>
      <c r="AN76" s="175"/>
      <c r="AO76" s="174">
        <f t="shared" si="40"/>
        <v>0</v>
      </c>
      <c r="AP76" s="171" t="str">
        <f t="shared" si="41"/>
        <v>V</v>
      </c>
    </row>
    <row r="77" spans="1:42" ht="15" customHeight="1">
      <c r="A77" t="s">
        <v>160</v>
      </c>
      <c r="B77" s="54" t="s">
        <v>260</v>
      </c>
      <c r="C77" s="43" t="s">
        <v>261</v>
      </c>
      <c r="D77" s="43" t="s">
        <v>110</v>
      </c>
      <c r="E77" s="430">
        <v>0</v>
      </c>
      <c r="F77" s="414">
        <f>F9</f>
        <v>36</v>
      </c>
      <c r="G77" s="447">
        <v>0</v>
      </c>
      <c r="H77" s="414">
        <v>0</v>
      </c>
      <c r="I77" s="414">
        <v>0</v>
      </c>
      <c r="J77" s="414">
        <v>0</v>
      </c>
      <c r="K77" s="414">
        <v>0</v>
      </c>
      <c r="L77" s="414">
        <v>0</v>
      </c>
      <c r="M77" s="414">
        <v>0</v>
      </c>
      <c r="N77" s="414">
        <v>0</v>
      </c>
      <c r="O77" s="414">
        <v>0</v>
      </c>
      <c r="P77" s="414">
        <v>0</v>
      </c>
      <c r="Q77" s="447">
        <f>Q9</f>
        <v>18</v>
      </c>
      <c r="R77" s="414">
        <f t="shared" ref="R77:Z77" si="43">R9</f>
        <v>12</v>
      </c>
      <c r="S77" s="414">
        <f t="shared" si="43"/>
        <v>6</v>
      </c>
      <c r="T77" s="414">
        <f t="shared" si="43"/>
        <v>94</v>
      </c>
      <c r="U77" s="414">
        <f t="shared" si="43"/>
        <v>48</v>
      </c>
      <c r="V77" s="414">
        <f t="shared" si="43"/>
        <v>66</v>
      </c>
      <c r="W77" s="414">
        <f t="shared" si="43"/>
        <v>56</v>
      </c>
      <c r="X77" s="414">
        <f t="shared" si="43"/>
        <v>0</v>
      </c>
      <c r="Y77" s="414">
        <f t="shared" si="43"/>
        <v>0</v>
      </c>
      <c r="Z77" s="415">
        <f t="shared" si="43"/>
        <v>0</v>
      </c>
      <c r="AA77" s="447">
        <v>0</v>
      </c>
      <c r="AB77" s="414">
        <v>0</v>
      </c>
      <c r="AC77" s="414">
        <v>0</v>
      </c>
      <c r="AD77" s="414">
        <v>0</v>
      </c>
      <c r="AE77" s="414">
        <v>0</v>
      </c>
      <c r="AF77" s="414">
        <v>0</v>
      </c>
      <c r="AG77" s="414">
        <v>0</v>
      </c>
      <c r="AH77" s="414">
        <v>0</v>
      </c>
      <c r="AI77" s="431">
        <v>0</v>
      </c>
      <c r="AJ77" s="12"/>
      <c r="AK77" s="174">
        <f t="shared" si="38"/>
        <v>336</v>
      </c>
      <c r="AL77" s="174">
        <f t="shared" si="39"/>
        <v>336</v>
      </c>
      <c r="AM77" s="174"/>
      <c r="AN77" s="175"/>
      <c r="AO77" s="174">
        <f t="shared" si="40"/>
        <v>336</v>
      </c>
      <c r="AP77" s="171" t="str">
        <f t="shared" si="41"/>
        <v>V</v>
      </c>
    </row>
    <row r="78" spans="1:42" ht="15" customHeight="1">
      <c r="A78" t="s">
        <v>160</v>
      </c>
      <c r="B78" s="54" t="s">
        <v>262</v>
      </c>
      <c r="C78" s="43" t="s">
        <v>263</v>
      </c>
      <c r="D78" s="43" t="s">
        <v>110</v>
      </c>
      <c r="E78" s="430">
        <v>0</v>
      </c>
      <c r="F78" s="414">
        <v>0</v>
      </c>
      <c r="G78" s="447">
        <v>0</v>
      </c>
      <c r="H78" s="414">
        <v>0</v>
      </c>
      <c r="I78" s="414">
        <v>0</v>
      </c>
      <c r="J78" s="414">
        <v>0</v>
      </c>
      <c r="K78" s="414">
        <v>0</v>
      </c>
      <c r="L78" s="414">
        <v>0</v>
      </c>
      <c r="M78" s="414">
        <v>0</v>
      </c>
      <c r="N78" s="414">
        <v>0</v>
      </c>
      <c r="O78" s="414">
        <v>0</v>
      </c>
      <c r="P78" s="414">
        <v>0</v>
      </c>
      <c r="Q78" s="447">
        <v>0</v>
      </c>
      <c r="R78" s="414">
        <v>0</v>
      </c>
      <c r="S78" s="414">
        <v>0</v>
      </c>
      <c r="T78" s="414">
        <v>0</v>
      </c>
      <c r="U78" s="414">
        <v>0</v>
      </c>
      <c r="V78" s="414">
        <v>0</v>
      </c>
      <c r="W78" s="414">
        <v>0</v>
      </c>
      <c r="X78" s="414">
        <v>0</v>
      </c>
      <c r="Y78" s="414">
        <v>0</v>
      </c>
      <c r="Z78" s="415">
        <v>0</v>
      </c>
      <c r="AA78" s="447">
        <v>0</v>
      </c>
      <c r="AB78" s="414">
        <v>0</v>
      </c>
      <c r="AC78" s="414">
        <v>0</v>
      </c>
      <c r="AD78" s="414">
        <v>0</v>
      </c>
      <c r="AE78" s="414">
        <v>0</v>
      </c>
      <c r="AF78" s="414">
        <v>0</v>
      </c>
      <c r="AG78" s="414">
        <v>0</v>
      </c>
      <c r="AH78" s="414">
        <v>0</v>
      </c>
      <c r="AI78" s="431">
        <v>0</v>
      </c>
      <c r="AJ78" s="12"/>
      <c r="AK78" s="174">
        <f t="shared" si="38"/>
        <v>0</v>
      </c>
      <c r="AL78" s="174">
        <f t="shared" si="39"/>
        <v>0</v>
      </c>
      <c r="AM78" s="174"/>
      <c r="AN78" s="175"/>
      <c r="AO78" s="174">
        <f t="shared" si="40"/>
        <v>0</v>
      </c>
      <c r="AP78" s="171" t="str">
        <f t="shared" si="41"/>
        <v>V</v>
      </c>
    </row>
    <row r="79" spans="1:42" ht="15" customHeight="1">
      <c r="A79" t="s">
        <v>160</v>
      </c>
      <c r="B79" s="54" t="s">
        <v>473</v>
      </c>
      <c r="C79" s="43" t="s">
        <v>474</v>
      </c>
      <c r="D79" s="43" t="s">
        <v>110</v>
      </c>
      <c r="E79" s="430">
        <v>0</v>
      </c>
      <c r="F79" s="414">
        <v>0</v>
      </c>
      <c r="G79" s="447">
        <v>0</v>
      </c>
      <c r="H79" s="414">
        <v>0</v>
      </c>
      <c r="I79" s="414">
        <v>0</v>
      </c>
      <c r="J79" s="414">
        <v>0</v>
      </c>
      <c r="K79" s="414">
        <v>0</v>
      </c>
      <c r="L79" s="414">
        <v>0</v>
      </c>
      <c r="M79" s="414">
        <v>0</v>
      </c>
      <c r="N79" s="414">
        <v>0</v>
      </c>
      <c r="O79" s="414">
        <v>0</v>
      </c>
      <c r="P79" s="414">
        <v>0</v>
      </c>
      <c r="Q79" s="447">
        <v>0</v>
      </c>
      <c r="R79" s="414">
        <v>0</v>
      </c>
      <c r="S79" s="414">
        <v>0</v>
      </c>
      <c r="T79" s="414">
        <v>0</v>
      </c>
      <c r="U79" s="414">
        <v>0</v>
      </c>
      <c r="V79" s="414">
        <v>0</v>
      </c>
      <c r="W79" s="414">
        <v>0</v>
      </c>
      <c r="X79" s="414">
        <v>0</v>
      </c>
      <c r="Y79" s="414">
        <v>0</v>
      </c>
      <c r="Z79" s="415">
        <v>0</v>
      </c>
      <c r="AA79" s="447">
        <v>0</v>
      </c>
      <c r="AB79" s="414">
        <v>0</v>
      </c>
      <c r="AC79" s="414">
        <v>0</v>
      </c>
      <c r="AD79" s="414">
        <v>0</v>
      </c>
      <c r="AE79" s="414">
        <v>0</v>
      </c>
      <c r="AF79" s="414">
        <v>0</v>
      </c>
      <c r="AG79" s="414">
        <v>0</v>
      </c>
      <c r="AH79" s="414">
        <v>0</v>
      </c>
      <c r="AI79" s="431">
        <v>0</v>
      </c>
      <c r="AJ79" s="12"/>
      <c r="AK79" s="174">
        <f t="shared" si="38"/>
        <v>0</v>
      </c>
      <c r="AL79" s="174">
        <f t="shared" si="39"/>
        <v>0</v>
      </c>
      <c r="AM79" s="174"/>
      <c r="AN79" s="175"/>
      <c r="AO79" s="174">
        <f t="shared" si="40"/>
        <v>0</v>
      </c>
      <c r="AP79" s="171" t="str">
        <f t="shared" si="41"/>
        <v>V</v>
      </c>
    </row>
    <row r="80" spans="1:42" ht="15" customHeight="1">
      <c r="A80" t="s">
        <v>160</v>
      </c>
      <c r="B80" s="54" t="s">
        <v>204</v>
      </c>
      <c r="C80" s="43" t="s">
        <v>205</v>
      </c>
      <c r="D80" s="43" t="s">
        <v>38</v>
      </c>
      <c r="E80" s="430">
        <v>0</v>
      </c>
      <c r="F80" s="414">
        <v>0</v>
      </c>
      <c r="G80" s="447">
        <v>0</v>
      </c>
      <c r="H80" s="414">
        <v>0</v>
      </c>
      <c r="I80" s="414">
        <v>0</v>
      </c>
      <c r="J80" s="414">
        <v>0</v>
      </c>
      <c r="K80" s="414">
        <v>0</v>
      </c>
      <c r="L80" s="414">
        <v>0</v>
      </c>
      <c r="M80" s="414">
        <v>0</v>
      </c>
      <c r="N80" s="414">
        <v>0</v>
      </c>
      <c r="O80" s="414">
        <v>0</v>
      </c>
      <c r="P80" s="414">
        <v>0</v>
      </c>
      <c r="Q80" s="447">
        <v>0</v>
      </c>
      <c r="R80" s="414">
        <v>0</v>
      </c>
      <c r="S80" s="414">
        <v>0</v>
      </c>
      <c r="T80" s="414">
        <v>0</v>
      </c>
      <c r="U80" s="414">
        <v>0</v>
      </c>
      <c r="V80" s="414">
        <v>0</v>
      </c>
      <c r="W80" s="414">
        <v>0</v>
      </c>
      <c r="X80" s="414">
        <v>0</v>
      </c>
      <c r="Y80" s="414">
        <v>0</v>
      </c>
      <c r="Z80" s="415">
        <v>0</v>
      </c>
      <c r="AA80" s="447">
        <v>0</v>
      </c>
      <c r="AB80" s="414">
        <v>0</v>
      </c>
      <c r="AC80" s="414">
        <v>0</v>
      </c>
      <c r="AD80" s="414">
        <v>0</v>
      </c>
      <c r="AE80" s="414">
        <v>0</v>
      </c>
      <c r="AF80" s="414">
        <v>0</v>
      </c>
      <c r="AG80" s="414">
        <v>0</v>
      </c>
      <c r="AH80" s="414">
        <v>0</v>
      </c>
      <c r="AI80" s="431">
        <v>0</v>
      </c>
      <c r="AJ80" s="12"/>
      <c r="AK80" s="174">
        <f t="shared" si="38"/>
        <v>0</v>
      </c>
      <c r="AL80" s="174">
        <f t="shared" si="39"/>
        <v>0</v>
      </c>
      <c r="AM80" s="174"/>
      <c r="AN80" s="175"/>
      <c r="AO80" s="174">
        <f t="shared" si="40"/>
        <v>0</v>
      </c>
      <c r="AP80" s="171" t="str">
        <f t="shared" si="41"/>
        <v>V</v>
      </c>
    </row>
    <row r="81" spans="1:42" ht="15" customHeight="1">
      <c r="A81" t="s">
        <v>160</v>
      </c>
      <c r="B81" s="54" t="s">
        <v>206</v>
      </c>
      <c r="C81" s="43" t="s">
        <v>207</v>
      </c>
      <c r="D81" s="43" t="s">
        <v>38</v>
      </c>
      <c r="E81" s="430">
        <v>0</v>
      </c>
      <c r="F81" s="414">
        <v>0</v>
      </c>
      <c r="G81" s="447">
        <v>0</v>
      </c>
      <c r="H81" s="414">
        <v>0</v>
      </c>
      <c r="I81" s="414">
        <v>0</v>
      </c>
      <c r="J81" s="414">
        <v>0</v>
      </c>
      <c r="K81" s="414">
        <v>0</v>
      </c>
      <c r="L81" s="414">
        <v>0</v>
      </c>
      <c r="M81" s="414">
        <v>0</v>
      </c>
      <c r="N81" s="414">
        <v>0</v>
      </c>
      <c r="O81" s="414">
        <v>0</v>
      </c>
      <c r="P81" s="414">
        <v>0</v>
      </c>
      <c r="Q81" s="447">
        <v>0</v>
      </c>
      <c r="R81" s="414">
        <v>0</v>
      </c>
      <c r="S81" s="414">
        <v>0</v>
      </c>
      <c r="T81" s="414">
        <v>0</v>
      </c>
      <c r="U81" s="414">
        <v>0</v>
      </c>
      <c r="V81" s="414">
        <v>0</v>
      </c>
      <c r="W81" s="414">
        <v>0</v>
      </c>
      <c r="X81" s="414">
        <v>0</v>
      </c>
      <c r="Y81" s="414">
        <v>0</v>
      </c>
      <c r="Z81" s="415">
        <v>0</v>
      </c>
      <c r="AA81" s="447">
        <v>0</v>
      </c>
      <c r="AB81" s="414">
        <v>0</v>
      </c>
      <c r="AC81" s="414">
        <v>0</v>
      </c>
      <c r="AD81" s="414">
        <v>0</v>
      </c>
      <c r="AE81" s="414">
        <v>0</v>
      </c>
      <c r="AF81" s="414">
        <v>0</v>
      </c>
      <c r="AG81" s="414">
        <v>0</v>
      </c>
      <c r="AH81" s="414">
        <v>0</v>
      </c>
      <c r="AI81" s="431">
        <v>0</v>
      </c>
      <c r="AJ81" s="12"/>
      <c r="AK81" s="174">
        <f t="shared" si="38"/>
        <v>0</v>
      </c>
      <c r="AL81" s="174">
        <f t="shared" si="39"/>
        <v>0</v>
      </c>
      <c r="AM81" s="174"/>
      <c r="AN81" s="175"/>
      <c r="AO81" s="174">
        <f t="shared" si="40"/>
        <v>0</v>
      </c>
      <c r="AP81" s="171" t="str">
        <f t="shared" si="41"/>
        <v>V</v>
      </c>
    </row>
    <row r="82" spans="1:42" ht="15" customHeight="1">
      <c r="A82" t="s">
        <v>160</v>
      </c>
      <c r="B82" s="54" t="s">
        <v>208</v>
      </c>
      <c r="C82" s="43" t="s">
        <v>209</v>
      </c>
      <c r="D82" s="43" t="s">
        <v>38</v>
      </c>
      <c r="E82" s="430">
        <v>0</v>
      </c>
      <c r="F82" s="414">
        <v>0</v>
      </c>
      <c r="G82" s="447">
        <v>0</v>
      </c>
      <c r="H82" s="414">
        <v>0</v>
      </c>
      <c r="I82" s="414">
        <v>0</v>
      </c>
      <c r="J82" s="414">
        <v>0</v>
      </c>
      <c r="K82" s="414">
        <v>0</v>
      </c>
      <c r="L82" s="414">
        <v>0</v>
      </c>
      <c r="M82" s="414">
        <v>0</v>
      </c>
      <c r="N82" s="414">
        <v>0</v>
      </c>
      <c r="O82" s="414">
        <v>0</v>
      </c>
      <c r="P82" s="414">
        <v>0</v>
      </c>
      <c r="Q82" s="447">
        <v>0</v>
      </c>
      <c r="R82" s="414">
        <v>0</v>
      </c>
      <c r="S82" s="414">
        <v>0</v>
      </c>
      <c r="T82" s="414">
        <v>0</v>
      </c>
      <c r="U82" s="414">
        <v>0</v>
      </c>
      <c r="V82" s="414">
        <v>0</v>
      </c>
      <c r="W82" s="414">
        <v>0</v>
      </c>
      <c r="X82" s="414">
        <v>0</v>
      </c>
      <c r="Y82" s="414">
        <v>0</v>
      </c>
      <c r="Z82" s="415">
        <v>0</v>
      </c>
      <c r="AA82" s="447">
        <v>0</v>
      </c>
      <c r="AB82" s="414">
        <v>0</v>
      </c>
      <c r="AC82" s="414">
        <v>0</v>
      </c>
      <c r="AD82" s="414">
        <v>0</v>
      </c>
      <c r="AE82" s="414">
        <v>0</v>
      </c>
      <c r="AF82" s="414">
        <v>0</v>
      </c>
      <c r="AG82" s="414">
        <v>0</v>
      </c>
      <c r="AH82" s="414">
        <v>0</v>
      </c>
      <c r="AI82" s="431">
        <v>0</v>
      </c>
      <c r="AJ82" s="12"/>
      <c r="AK82" s="174">
        <f t="shared" si="38"/>
        <v>0</v>
      </c>
      <c r="AL82" s="174">
        <f t="shared" si="39"/>
        <v>0</v>
      </c>
      <c r="AM82" s="174"/>
      <c r="AN82" s="175"/>
      <c r="AO82" s="174">
        <f t="shared" si="40"/>
        <v>0</v>
      </c>
      <c r="AP82" s="171" t="str">
        <f t="shared" si="41"/>
        <v>V</v>
      </c>
    </row>
    <row r="83" spans="1:42" ht="15" customHeight="1">
      <c r="A83" t="s">
        <v>160</v>
      </c>
      <c r="B83" s="54" t="s">
        <v>210</v>
      </c>
      <c r="C83" s="43" t="s">
        <v>211</v>
      </c>
      <c r="D83" s="43" t="s">
        <v>38</v>
      </c>
      <c r="E83" s="430">
        <v>0</v>
      </c>
      <c r="F83" s="414">
        <v>0</v>
      </c>
      <c r="G83" s="447">
        <v>0</v>
      </c>
      <c r="H83" s="414">
        <v>0</v>
      </c>
      <c r="I83" s="414">
        <v>0</v>
      </c>
      <c r="J83" s="414">
        <v>0</v>
      </c>
      <c r="K83" s="414">
        <v>0</v>
      </c>
      <c r="L83" s="414">
        <v>0</v>
      </c>
      <c r="M83" s="414">
        <v>0</v>
      </c>
      <c r="N83" s="414">
        <v>0</v>
      </c>
      <c r="O83" s="414">
        <v>0</v>
      </c>
      <c r="P83" s="414">
        <v>0</v>
      </c>
      <c r="Q83" s="447">
        <v>0</v>
      </c>
      <c r="R83" s="414">
        <v>0</v>
      </c>
      <c r="S83" s="414">
        <v>0</v>
      </c>
      <c r="T83" s="414">
        <v>0</v>
      </c>
      <c r="U83" s="414">
        <v>0</v>
      </c>
      <c r="V83" s="414">
        <v>0</v>
      </c>
      <c r="W83" s="414">
        <v>0</v>
      </c>
      <c r="X83" s="414">
        <v>0</v>
      </c>
      <c r="Y83" s="414">
        <v>0</v>
      </c>
      <c r="Z83" s="415">
        <v>0</v>
      </c>
      <c r="AA83" s="447">
        <v>0</v>
      </c>
      <c r="AB83" s="414">
        <v>0</v>
      </c>
      <c r="AC83" s="414">
        <v>0</v>
      </c>
      <c r="AD83" s="414">
        <v>0</v>
      </c>
      <c r="AE83" s="414">
        <v>0</v>
      </c>
      <c r="AF83" s="414">
        <v>0</v>
      </c>
      <c r="AG83" s="414">
        <v>0</v>
      </c>
      <c r="AH83" s="414">
        <v>0</v>
      </c>
      <c r="AI83" s="431">
        <v>0</v>
      </c>
      <c r="AJ83" s="12"/>
      <c r="AK83" s="174">
        <f t="shared" si="38"/>
        <v>0</v>
      </c>
      <c r="AL83" s="174">
        <f t="shared" si="39"/>
        <v>0</v>
      </c>
      <c r="AM83" s="174"/>
      <c r="AN83" s="175"/>
      <c r="AO83" s="174">
        <f t="shared" si="40"/>
        <v>0</v>
      </c>
      <c r="AP83" s="171" t="str">
        <f t="shared" si="41"/>
        <v>V</v>
      </c>
    </row>
    <row r="84" spans="1:42" ht="15.75" customHeight="1">
      <c r="A84" t="s">
        <v>160</v>
      </c>
      <c r="B84" s="54" t="s">
        <v>165</v>
      </c>
      <c r="C84" s="43" t="s">
        <v>166</v>
      </c>
      <c r="D84" s="43" t="s">
        <v>38</v>
      </c>
      <c r="E84" s="430">
        <v>0</v>
      </c>
      <c r="F84" s="414">
        <f>F9</f>
        <v>36</v>
      </c>
      <c r="G84" s="447">
        <v>0</v>
      </c>
      <c r="H84" s="414">
        <v>0</v>
      </c>
      <c r="I84" s="414">
        <v>0</v>
      </c>
      <c r="J84" s="414">
        <v>0</v>
      </c>
      <c r="K84" s="414">
        <v>0</v>
      </c>
      <c r="L84" s="414">
        <v>0</v>
      </c>
      <c r="M84" s="414">
        <v>0</v>
      </c>
      <c r="N84" s="414">
        <v>0</v>
      </c>
      <c r="O84" s="414">
        <v>0</v>
      </c>
      <c r="P84" s="414">
        <v>0</v>
      </c>
      <c r="Q84" s="447">
        <v>0</v>
      </c>
      <c r="R84" s="414">
        <v>0</v>
      </c>
      <c r="S84" s="414">
        <v>0</v>
      </c>
      <c r="T84" s="414">
        <v>0</v>
      </c>
      <c r="U84" s="414">
        <v>0</v>
      </c>
      <c r="V84" s="414">
        <v>0</v>
      </c>
      <c r="W84" s="414">
        <v>0</v>
      </c>
      <c r="X84" s="414">
        <v>0</v>
      </c>
      <c r="Y84" s="414">
        <v>0</v>
      </c>
      <c r="Z84" s="415">
        <v>0</v>
      </c>
      <c r="AA84" s="447">
        <v>0</v>
      </c>
      <c r="AB84" s="414">
        <v>0</v>
      </c>
      <c r="AC84" s="414">
        <v>0</v>
      </c>
      <c r="AD84" s="414">
        <v>0</v>
      </c>
      <c r="AE84" s="414">
        <v>0</v>
      </c>
      <c r="AF84" s="414">
        <v>0</v>
      </c>
      <c r="AG84" s="414">
        <v>0</v>
      </c>
      <c r="AH84" s="414">
        <v>0</v>
      </c>
      <c r="AI84" s="431">
        <v>0</v>
      </c>
      <c r="AJ84" s="12"/>
      <c r="AK84" s="174">
        <f t="shared" si="38"/>
        <v>36</v>
      </c>
      <c r="AL84" s="174">
        <f t="shared" si="39"/>
        <v>36</v>
      </c>
      <c r="AM84" s="174"/>
      <c r="AN84" s="175"/>
      <c r="AO84" s="174">
        <f t="shared" si="40"/>
        <v>36</v>
      </c>
      <c r="AP84" s="171" t="str">
        <f t="shared" si="41"/>
        <v>V</v>
      </c>
    </row>
    <row r="85" spans="1:42" ht="15.6">
      <c r="A85" t="s">
        <v>160</v>
      </c>
      <c r="B85" s="54" t="s">
        <v>248</v>
      </c>
      <c r="C85" s="43" t="s">
        <v>249</v>
      </c>
      <c r="D85" s="43" t="s">
        <v>110</v>
      </c>
      <c r="E85" s="430">
        <v>0</v>
      </c>
      <c r="F85" s="414">
        <f>F9</f>
        <v>36</v>
      </c>
      <c r="G85" s="447">
        <v>0</v>
      </c>
      <c r="H85" s="414">
        <v>0</v>
      </c>
      <c r="I85" s="414">
        <v>0</v>
      </c>
      <c r="J85" s="414">
        <v>0</v>
      </c>
      <c r="K85" s="414">
        <v>0</v>
      </c>
      <c r="L85" s="414">
        <v>0</v>
      </c>
      <c r="M85" s="414">
        <v>0</v>
      </c>
      <c r="N85" s="414">
        <v>0</v>
      </c>
      <c r="O85" s="414">
        <v>0</v>
      </c>
      <c r="P85" s="414">
        <v>0</v>
      </c>
      <c r="Q85" s="321">
        <f>Q9</f>
        <v>18</v>
      </c>
      <c r="R85" s="225">
        <f t="shared" ref="R85:Z85" si="44">R9</f>
        <v>12</v>
      </c>
      <c r="S85" s="225">
        <f t="shared" si="44"/>
        <v>6</v>
      </c>
      <c r="T85" s="225">
        <f t="shared" si="44"/>
        <v>94</v>
      </c>
      <c r="U85" s="225">
        <f t="shared" si="44"/>
        <v>48</v>
      </c>
      <c r="V85" s="225">
        <f t="shared" si="44"/>
        <v>66</v>
      </c>
      <c r="W85" s="225">
        <f t="shared" si="44"/>
        <v>56</v>
      </c>
      <c r="X85" s="225">
        <f t="shared" si="44"/>
        <v>0</v>
      </c>
      <c r="Y85" s="225">
        <f t="shared" si="44"/>
        <v>0</v>
      </c>
      <c r="Z85" s="15">
        <f t="shared" si="44"/>
        <v>0</v>
      </c>
      <c r="AA85" s="447">
        <v>0</v>
      </c>
      <c r="AB85" s="414">
        <v>0</v>
      </c>
      <c r="AC85" s="414">
        <v>0</v>
      </c>
      <c r="AD85" s="414">
        <v>0</v>
      </c>
      <c r="AE85" s="414">
        <v>0</v>
      </c>
      <c r="AF85" s="414">
        <v>0</v>
      </c>
      <c r="AG85" s="414">
        <v>0</v>
      </c>
      <c r="AH85" s="414">
        <v>0</v>
      </c>
      <c r="AI85" s="431">
        <v>0</v>
      </c>
      <c r="AJ85" s="12"/>
      <c r="AK85" s="174">
        <f t="shared" si="38"/>
        <v>336</v>
      </c>
      <c r="AL85" s="174">
        <f t="shared" si="39"/>
        <v>336</v>
      </c>
      <c r="AM85" s="174"/>
      <c r="AN85" s="175"/>
      <c r="AO85" s="174">
        <f t="shared" si="40"/>
        <v>336</v>
      </c>
      <c r="AP85" s="171" t="str">
        <f t="shared" si="41"/>
        <v>V</v>
      </c>
    </row>
    <row r="86" spans="1:42" ht="15.6">
      <c r="A86" t="s">
        <v>160</v>
      </c>
      <c r="B86" s="54" t="s">
        <v>182</v>
      </c>
      <c r="C86" s="43" t="s">
        <v>183</v>
      </c>
      <c r="D86" s="43" t="s">
        <v>38</v>
      </c>
      <c r="E86" s="430">
        <v>0</v>
      </c>
      <c r="F86" s="414">
        <f>F9</f>
        <v>36</v>
      </c>
      <c r="G86" s="447">
        <v>0</v>
      </c>
      <c r="H86" s="414">
        <v>0</v>
      </c>
      <c r="I86" s="414">
        <v>0</v>
      </c>
      <c r="J86" s="414">
        <v>0</v>
      </c>
      <c r="K86" s="414">
        <v>0</v>
      </c>
      <c r="L86" s="414">
        <v>0</v>
      </c>
      <c r="M86" s="414">
        <v>0</v>
      </c>
      <c r="N86" s="414">
        <v>0</v>
      </c>
      <c r="O86" s="414">
        <v>0</v>
      </c>
      <c r="P86" s="414">
        <v>0</v>
      </c>
      <c r="Q86" s="447">
        <v>0</v>
      </c>
      <c r="R86" s="414">
        <v>0</v>
      </c>
      <c r="S86" s="414">
        <v>0</v>
      </c>
      <c r="T86" s="414">
        <v>0</v>
      </c>
      <c r="U86" s="414">
        <v>0</v>
      </c>
      <c r="V86" s="414">
        <v>0</v>
      </c>
      <c r="W86" s="414">
        <v>0</v>
      </c>
      <c r="X86" s="414">
        <v>0</v>
      </c>
      <c r="Y86" s="414">
        <v>0</v>
      </c>
      <c r="Z86" s="415">
        <v>0</v>
      </c>
      <c r="AA86" s="447">
        <v>0</v>
      </c>
      <c r="AB86" s="414">
        <v>0</v>
      </c>
      <c r="AC86" s="414">
        <v>0</v>
      </c>
      <c r="AD86" s="414">
        <v>0</v>
      </c>
      <c r="AE86" s="414">
        <v>0</v>
      </c>
      <c r="AF86" s="414">
        <v>0</v>
      </c>
      <c r="AG86" s="414">
        <v>0</v>
      </c>
      <c r="AH86" s="414">
        <v>0</v>
      </c>
      <c r="AI86" s="431">
        <v>0</v>
      </c>
      <c r="AJ86" s="12"/>
      <c r="AK86" s="174">
        <f t="shared" si="38"/>
        <v>36</v>
      </c>
      <c r="AL86" s="174">
        <f t="shared" si="39"/>
        <v>36</v>
      </c>
      <c r="AM86" s="174"/>
      <c r="AN86" s="175"/>
      <c r="AO86" s="174">
        <f t="shared" si="40"/>
        <v>36</v>
      </c>
      <c r="AP86" s="171" t="str">
        <f t="shared" si="41"/>
        <v>V</v>
      </c>
    </row>
    <row r="87" spans="1:42" ht="15.6">
      <c r="A87" t="s">
        <v>160</v>
      </c>
      <c r="B87" s="54" t="s">
        <v>180</v>
      </c>
      <c r="C87" s="43" t="s">
        <v>181</v>
      </c>
      <c r="D87" s="43" t="s">
        <v>38</v>
      </c>
      <c r="E87" s="430">
        <v>0</v>
      </c>
      <c r="F87" s="414">
        <f>F9</f>
        <v>36</v>
      </c>
      <c r="G87" s="447">
        <v>0</v>
      </c>
      <c r="H87" s="414">
        <v>0</v>
      </c>
      <c r="I87" s="414">
        <v>0</v>
      </c>
      <c r="J87" s="414">
        <v>0</v>
      </c>
      <c r="K87" s="414">
        <v>0</v>
      </c>
      <c r="L87" s="414">
        <v>0</v>
      </c>
      <c r="M87" s="414">
        <v>0</v>
      </c>
      <c r="N87" s="414">
        <v>0</v>
      </c>
      <c r="O87" s="414">
        <v>0</v>
      </c>
      <c r="P87" s="414">
        <v>0</v>
      </c>
      <c r="Q87" s="447">
        <f>Q9</f>
        <v>18</v>
      </c>
      <c r="R87" s="414">
        <f t="shared" ref="R87:Z87" si="45">R9</f>
        <v>12</v>
      </c>
      <c r="S87" s="414">
        <f t="shared" si="45"/>
        <v>6</v>
      </c>
      <c r="T87" s="414">
        <f t="shared" si="45"/>
        <v>94</v>
      </c>
      <c r="U87" s="414">
        <f t="shared" si="45"/>
        <v>48</v>
      </c>
      <c r="V87" s="414">
        <f t="shared" si="45"/>
        <v>66</v>
      </c>
      <c r="W87" s="414">
        <f t="shared" si="45"/>
        <v>56</v>
      </c>
      <c r="X87" s="414">
        <f t="shared" si="45"/>
        <v>0</v>
      </c>
      <c r="Y87" s="414">
        <f t="shared" si="45"/>
        <v>0</v>
      </c>
      <c r="Z87" s="415">
        <f t="shared" si="45"/>
        <v>0</v>
      </c>
      <c r="AA87" s="447">
        <v>0</v>
      </c>
      <c r="AB87" s="414">
        <v>0</v>
      </c>
      <c r="AC87" s="414">
        <v>0</v>
      </c>
      <c r="AD87" s="414">
        <v>0</v>
      </c>
      <c r="AE87" s="414">
        <v>0</v>
      </c>
      <c r="AF87" s="414">
        <v>0</v>
      </c>
      <c r="AG87" s="414">
        <v>0</v>
      </c>
      <c r="AH87" s="414">
        <v>0</v>
      </c>
      <c r="AI87" s="431">
        <v>0</v>
      </c>
      <c r="AJ87" s="12"/>
      <c r="AK87" s="174">
        <f t="shared" si="38"/>
        <v>336</v>
      </c>
      <c r="AL87" s="174">
        <f t="shared" si="39"/>
        <v>336</v>
      </c>
      <c r="AM87" s="174"/>
      <c r="AN87" s="175"/>
      <c r="AO87" s="174">
        <f t="shared" si="40"/>
        <v>336</v>
      </c>
      <c r="AP87" s="171" t="str">
        <f t="shared" si="41"/>
        <v>V</v>
      </c>
    </row>
    <row r="88" spans="1:42" ht="15.6">
      <c r="A88" t="s">
        <v>160</v>
      </c>
      <c r="B88" s="54" t="s">
        <v>475</v>
      </c>
      <c r="C88" s="43" t="s">
        <v>476</v>
      </c>
      <c r="D88" s="43" t="s">
        <v>38</v>
      </c>
      <c r="E88" s="430">
        <v>0</v>
      </c>
      <c r="F88" s="414">
        <v>0</v>
      </c>
      <c r="G88" s="447">
        <v>0</v>
      </c>
      <c r="H88" s="414">
        <v>0</v>
      </c>
      <c r="I88" s="414">
        <v>0</v>
      </c>
      <c r="J88" s="414">
        <v>0</v>
      </c>
      <c r="K88" s="414">
        <v>0</v>
      </c>
      <c r="L88" s="414">
        <v>0</v>
      </c>
      <c r="M88" s="414">
        <v>0</v>
      </c>
      <c r="N88" s="414">
        <v>0</v>
      </c>
      <c r="O88" s="414">
        <v>0</v>
      </c>
      <c r="P88" s="414">
        <v>0</v>
      </c>
      <c r="Q88" s="447">
        <v>0</v>
      </c>
      <c r="R88" s="414">
        <v>0</v>
      </c>
      <c r="S88" s="414">
        <v>0</v>
      </c>
      <c r="T88" s="414">
        <v>0</v>
      </c>
      <c r="U88" s="414">
        <v>0</v>
      </c>
      <c r="V88" s="414">
        <v>0</v>
      </c>
      <c r="W88" s="414">
        <v>0</v>
      </c>
      <c r="X88" s="414">
        <v>0</v>
      </c>
      <c r="Y88" s="414">
        <v>0</v>
      </c>
      <c r="Z88" s="415">
        <v>0</v>
      </c>
      <c r="AA88" s="447">
        <v>0</v>
      </c>
      <c r="AB88" s="414">
        <v>0</v>
      </c>
      <c r="AC88" s="414">
        <v>0</v>
      </c>
      <c r="AD88" s="414">
        <v>0</v>
      </c>
      <c r="AE88" s="414">
        <v>0</v>
      </c>
      <c r="AF88" s="414">
        <v>0</v>
      </c>
      <c r="AG88" s="414">
        <v>0</v>
      </c>
      <c r="AH88" s="414">
        <v>0</v>
      </c>
      <c r="AI88" s="431">
        <v>0</v>
      </c>
      <c r="AJ88" s="12"/>
      <c r="AK88" s="174">
        <f t="shared" si="38"/>
        <v>0</v>
      </c>
      <c r="AL88" s="174">
        <f t="shared" si="39"/>
        <v>0</v>
      </c>
      <c r="AM88" s="174"/>
      <c r="AN88" s="175"/>
      <c r="AO88" s="174">
        <f t="shared" si="40"/>
        <v>0</v>
      </c>
      <c r="AP88" s="171" t="str">
        <f t="shared" si="41"/>
        <v>V</v>
      </c>
    </row>
    <row r="89" spans="1:42" ht="15.6">
      <c r="A89" t="s">
        <v>160</v>
      </c>
      <c r="B89" s="54" t="s">
        <v>178</v>
      </c>
      <c r="C89" s="43" t="s">
        <v>179</v>
      </c>
      <c r="D89" s="43" t="s">
        <v>38</v>
      </c>
      <c r="E89" s="430">
        <v>0</v>
      </c>
      <c r="F89" s="414">
        <f>F9</f>
        <v>36</v>
      </c>
      <c r="G89" s="447">
        <v>0</v>
      </c>
      <c r="H89" s="414">
        <v>0</v>
      </c>
      <c r="I89" s="414">
        <v>0</v>
      </c>
      <c r="J89" s="414">
        <v>0</v>
      </c>
      <c r="K89" s="414">
        <v>0</v>
      </c>
      <c r="L89" s="414">
        <v>0</v>
      </c>
      <c r="M89" s="414">
        <v>0</v>
      </c>
      <c r="N89" s="414">
        <v>0</v>
      </c>
      <c r="O89" s="414">
        <v>0</v>
      </c>
      <c r="P89" s="414">
        <v>0</v>
      </c>
      <c r="Q89" s="321">
        <f>Q9</f>
        <v>18</v>
      </c>
      <c r="R89" s="225">
        <f t="shared" ref="R89:Z89" si="46">R9</f>
        <v>12</v>
      </c>
      <c r="S89" s="225">
        <f t="shared" si="46"/>
        <v>6</v>
      </c>
      <c r="T89" s="225">
        <f t="shared" si="46"/>
        <v>94</v>
      </c>
      <c r="U89" s="225">
        <f t="shared" si="46"/>
        <v>48</v>
      </c>
      <c r="V89" s="225">
        <f t="shared" si="46"/>
        <v>66</v>
      </c>
      <c r="W89" s="225">
        <f t="shared" si="46"/>
        <v>56</v>
      </c>
      <c r="X89" s="225">
        <f t="shared" si="46"/>
        <v>0</v>
      </c>
      <c r="Y89" s="225">
        <f t="shared" si="46"/>
        <v>0</v>
      </c>
      <c r="Z89" s="15">
        <f t="shared" si="46"/>
        <v>0</v>
      </c>
      <c r="AA89" s="447">
        <v>0</v>
      </c>
      <c r="AB89" s="414">
        <v>0</v>
      </c>
      <c r="AC89" s="414">
        <v>0</v>
      </c>
      <c r="AD89" s="414">
        <v>0</v>
      </c>
      <c r="AE89" s="414">
        <v>0</v>
      </c>
      <c r="AF89" s="414">
        <v>0</v>
      </c>
      <c r="AG89" s="414">
        <v>0</v>
      </c>
      <c r="AH89" s="414">
        <v>0</v>
      </c>
      <c r="AI89" s="431">
        <v>0</v>
      </c>
      <c r="AJ89" s="12"/>
      <c r="AK89" s="174">
        <f t="shared" si="38"/>
        <v>336</v>
      </c>
      <c r="AL89" s="174">
        <f t="shared" si="39"/>
        <v>336</v>
      </c>
      <c r="AM89" s="174"/>
      <c r="AN89" s="175"/>
      <c r="AO89" s="174">
        <f t="shared" si="40"/>
        <v>336</v>
      </c>
      <c r="AP89" s="171" t="str">
        <f t="shared" si="41"/>
        <v>V</v>
      </c>
    </row>
    <row r="90" spans="1:42" ht="16.149999999999999" thickBot="1">
      <c r="B90" s="55"/>
      <c r="C90" s="44"/>
      <c r="D90" s="44"/>
      <c r="E90" s="430">
        <v>0</v>
      </c>
      <c r="F90" s="414">
        <v>0</v>
      </c>
      <c r="G90" s="447">
        <v>0</v>
      </c>
      <c r="H90" s="414">
        <v>0</v>
      </c>
      <c r="I90" s="414">
        <v>0</v>
      </c>
      <c r="J90" s="414">
        <v>0</v>
      </c>
      <c r="K90" s="414">
        <v>0</v>
      </c>
      <c r="L90" s="414">
        <v>0</v>
      </c>
      <c r="M90" s="414">
        <v>0</v>
      </c>
      <c r="N90" s="414">
        <v>0</v>
      </c>
      <c r="O90" s="414">
        <v>0</v>
      </c>
      <c r="P90" s="414">
        <v>0</v>
      </c>
      <c r="Q90" s="447">
        <v>0</v>
      </c>
      <c r="R90" s="414">
        <v>0</v>
      </c>
      <c r="S90" s="414">
        <v>0</v>
      </c>
      <c r="T90" s="414">
        <v>0</v>
      </c>
      <c r="U90" s="414">
        <v>0</v>
      </c>
      <c r="V90" s="414">
        <v>0</v>
      </c>
      <c r="W90" s="414">
        <v>0</v>
      </c>
      <c r="X90" s="414">
        <v>0</v>
      </c>
      <c r="Y90" s="414">
        <v>0</v>
      </c>
      <c r="Z90" s="414">
        <v>0</v>
      </c>
      <c r="AA90" s="447">
        <v>0</v>
      </c>
      <c r="AB90" s="414">
        <v>0</v>
      </c>
      <c r="AC90" s="414">
        <v>0</v>
      </c>
      <c r="AD90" s="414">
        <v>0</v>
      </c>
      <c r="AE90" s="414">
        <v>0</v>
      </c>
      <c r="AF90" s="414">
        <v>0</v>
      </c>
      <c r="AG90" s="414">
        <v>0</v>
      </c>
      <c r="AH90" s="414">
        <v>0</v>
      </c>
      <c r="AI90" s="431">
        <v>0</v>
      </c>
      <c r="AJ90" s="12"/>
      <c r="AK90" s="174">
        <f t="shared" si="38"/>
        <v>0</v>
      </c>
      <c r="AL90" s="174">
        <f t="shared" si="39"/>
        <v>0</v>
      </c>
      <c r="AM90" s="174"/>
      <c r="AN90" s="175"/>
      <c r="AO90" s="174">
        <f t="shared" si="40"/>
        <v>0</v>
      </c>
      <c r="AP90" s="171" t="str">
        <f t="shared" si="41"/>
        <v>V</v>
      </c>
    </row>
  </sheetData>
  <autoFilter ref="A10:AQ90" xr:uid="{A2473DEE-434E-4448-8055-9F8F5027FB4B}"/>
  <mergeCells count="13">
    <mergeCell ref="AO6:AO8"/>
    <mergeCell ref="AN3:AN5"/>
    <mergeCell ref="AO3:AO5"/>
    <mergeCell ref="D1:AI1"/>
    <mergeCell ref="C3:C5"/>
    <mergeCell ref="AK3:AK5"/>
    <mergeCell ref="AL3:AL5"/>
    <mergeCell ref="AM3:AM5"/>
    <mergeCell ref="C6:C8"/>
    <mergeCell ref="AK6:AK8"/>
    <mergeCell ref="AL6:AL8"/>
    <mergeCell ref="AM6:AM8"/>
    <mergeCell ref="AN6:AN8"/>
  </mergeCells>
  <conditionalFormatting sqref="B2:B10 B91:B277">
    <cfRule type="duplicateValues" dxfId="48" priority="100"/>
  </conditionalFormatting>
  <conditionalFormatting sqref="B11 B36:B42 B13 B15:B34 B44:B83 B86:B89">
    <cfRule type="duplicateValues" dxfId="47" priority="51"/>
    <cfRule type="duplicateValues" dxfId="46" priority="50"/>
  </conditionalFormatting>
  <conditionalFormatting sqref="B11:B13 B15:B42 B44:B83 B86:B90">
    <cfRule type="duplicateValues" dxfId="45" priority="49"/>
  </conditionalFormatting>
  <conditionalFormatting sqref="B12">
    <cfRule type="duplicateValues" dxfId="44" priority="47"/>
    <cfRule type="duplicateValues" dxfId="43" priority="46"/>
    <cfRule type="duplicateValues" dxfId="42" priority="45"/>
  </conditionalFormatting>
  <conditionalFormatting sqref="B14">
    <cfRule type="duplicateValues" dxfId="41" priority="42"/>
    <cfRule type="duplicateValues" dxfId="40" priority="44"/>
    <cfRule type="duplicateValues" dxfId="39" priority="43"/>
    <cfRule type="duplicateValues" dxfId="38" priority="41"/>
  </conditionalFormatting>
  <conditionalFormatting sqref="B24 B21">
    <cfRule type="duplicateValues" dxfId="37" priority="48"/>
  </conditionalFormatting>
  <conditionalFormatting sqref="B25:B34 B22:B23 B11 B36:B42 B13 B15:B20 B44:B83 B86:B89">
    <cfRule type="duplicateValues" dxfId="36" priority="52"/>
  </conditionalFormatting>
  <conditionalFormatting sqref="B43">
    <cfRule type="duplicateValues" dxfId="35" priority="29"/>
    <cfRule type="duplicateValues" dxfId="34" priority="30"/>
    <cfRule type="duplicateValues" dxfId="33" priority="31"/>
    <cfRule type="duplicateValues" dxfId="32" priority="32"/>
  </conditionalFormatting>
  <conditionalFormatting sqref="B84">
    <cfRule type="duplicateValues" dxfId="31" priority="28"/>
    <cfRule type="duplicateValues" dxfId="30" priority="27"/>
    <cfRule type="duplicateValues" dxfId="29" priority="26"/>
    <cfRule type="duplicateValues" dxfId="28" priority="25"/>
  </conditionalFormatting>
  <conditionalFormatting sqref="B85">
    <cfRule type="duplicateValues" dxfId="27" priority="24"/>
    <cfRule type="duplicateValues" dxfId="26" priority="23"/>
    <cfRule type="duplicateValues" dxfId="25" priority="22"/>
    <cfRule type="duplicateValues" dxfId="24" priority="21"/>
  </conditionalFormatting>
  <conditionalFormatting sqref="B278:B1048576 B1">
    <cfRule type="duplicateValues" dxfId="23" priority="99"/>
  </conditionalFormatting>
  <conditionalFormatting sqref="E3:AI4">
    <cfRule type="cellIs" dxfId="22" priority="8" operator="greaterThan">
      <formula>501</formula>
    </cfRule>
    <cfRule type="cellIs" dxfId="21" priority="9" operator="greaterThanOrEqual">
      <formula>0</formula>
    </cfRule>
  </conditionalFormatting>
  <conditionalFormatting sqref="E5:AI5">
    <cfRule type="cellIs" dxfId="20" priority="19" operator="greaterThanOrEqual">
      <formula>0</formula>
    </cfRule>
    <cfRule type="cellIs" dxfId="19" priority="18" operator="greaterThanOrEqual">
      <formula>0</formula>
    </cfRule>
    <cfRule type="cellIs" dxfId="18" priority="17" operator="greaterThanOrEqual">
      <formula>50</formula>
    </cfRule>
  </conditionalFormatting>
  <conditionalFormatting sqref="E6:AI7">
    <cfRule type="cellIs" dxfId="17" priority="6" operator="greaterThan">
      <formula>501</formula>
    </cfRule>
    <cfRule type="cellIs" dxfId="16" priority="7" operator="greaterThanOrEqual">
      <formula>0</formula>
    </cfRule>
  </conditionalFormatting>
  <conditionalFormatting sqref="E8:AI8">
    <cfRule type="cellIs" dxfId="15" priority="10" operator="greaterThanOrEqual">
      <formula>50</formula>
    </cfRule>
  </conditionalFormatting>
  <conditionalFormatting sqref="E8:AI9">
    <cfRule type="cellIs" dxfId="14" priority="11" operator="greaterThanOrEqual">
      <formula>0</formula>
    </cfRule>
    <cfRule type="cellIs" dxfId="13" priority="12" operator="greaterThanOrEqual">
      <formula>0</formula>
    </cfRule>
  </conditionalFormatting>
  <conditionalFormatting sqref="E11:AK90">
    <cfRule type="cellIs" dxfId="12" priority="2" operator="equal">
      <formula>0</formula>
    </cfRule>
    <cfRule type="cellIs" dxfId="11" priority="1" operator="greaterThan">
      <formula>0</formula>
    </cfRule>
  </conditionalFormatting>
  <conditionalFormatting sqref="AK3:AM3 AK6:AM6">
    <cfRule type="cellIs" dxfId="10" priority="5" operator="greaterThanOrEqual">
      <formula>0</formula>
    </cfRule>
  </conditionalFormatting>
  <conditionalFormatting sqref="AK9:AM9">
    <cfRule type="cellIs" dxfId="9" priority="96" operator="greaterThanOrEqual">
      <formula>0</formula>
    </cfRule>
    <cfRule type="cellIs" dxfId="8" priority="98" operator="greaterThanOrEqual">
      <formula>0</formula>
    </cfRule>
  </conditionalFormatting>
  <conditionalFormatting sqref="AP11:AP90 AQ84">
    <cfRule type="containsText" dxfId="7" priority="88" operator="containsText" text="F">
      <formula>NOT(ISERROR(SEARCH("F",AP11)))</formula>
    </cfRule>
    <cfRule type="containsText" dxfId="6" priority="87" operator="containsText" text="V">
      <formula>NOT(ISERROR(SEARCH("V",AP11)))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5C9A-F23C-411B-ACBB-528EE4E5AF2E}">
  <sheetPr codeName="Hoja12">
    <tabColor rgb="FFFFC000"/>
  </sheetPr>
  <dimension ref="B1:J142"/>
  <sheetViews>
    <sheetView workbookViewId="0">
      <selection activeCell="G115" sqref="G115"/>
    </sheetView>
  </sheetViews>
  <sheetFormatPr defaultColWidth="11.42578125" defaultRowHeight="14.45"/>
  <cols>
    <col min="2" max="2" width="10.5703125" bestFit="1" customWidth="1"/>
    <col min="3" max="3" width="38" bestFit="1" customWidth="1"/>
    <col min="4" max="4" width="7.5703125" customWidth="1"/>
    <col min="5" max="5" width="25.7109375" bestFit="1" customWidth="1"/>
  </cols>
  <sheetData>
    <row r="1" spans="2:6" ht="28.15" thickBot="1">
      <c r="B1" s="294" t="s">
        <v>1</v>
      </c>
      <c r="C1" s="295" t="s">
        <v>6</v>
      </c>
      <c r="D1" s="296" t="s">
        <v>5</v>
      </c>
      <c r="E1" s="297" t="s">
        <v>7</v>
      </c>
      <c r="F1" s="296" t="s">
        <v>499</v>
      </c>
    </row>
    <row r="2" spans="2:6">
      <c r="B2" s="298" t="s">
        <v>15</v>
      </c>
      <c r="C2" s="299" t="s">
        <v>17</v>
      </c>
      <c r="D2" s="298" t="s">
        <v>16</v>
      </c>
      <c r="E2" s="299" t="s">
        <v>18</v>
      </c>
      <c r="F2" s="307">
        <v>45964</v>
      </c>
    </row>
    <row r="3" spans="2:6">
      <c r="B3" s="300" t="s">
        <v>500</v>
      </c>
      <c r="C3" s="301" t="s">
        <v>501</v>
      </c>
      <c r="D3" s="300" t="s">
        <v>16</v>
      </c>
      <c r="E3" s="301" t="s">
        <v>27</v>
      </c>
      <c r="F3" s="308">
        <v>45910</v>
      </c>
    </row>
    <row r="4" spans="2:6">
      <c r="B4" s="300" t="s">
        <v>126</v>
      </c>
      <c r="C4" s="301" t="s">
        <v>127</v>
      </c>
      <c r="D4" s="300" t="s">
        <v>32</v>
      </c>
      <c r="E4" s="301" t="s">
        <v>128</v>
      </c>
      <c r="F4" s="308">
        <v>45826</v>
      </c>
    </row>
    <row r="5" spans="2:6">
      <c r="B5" s="300" t="s">
        <v>36</v>
      </c>
      <c r="C5" s="301" t="s">
        <v>37</v>
      </c>
      <c r="D5" s="300" t="s">
        <v>32</v>
      </c>
      <c r="E5" s="301" t="s">
        <v>38</v>
      </c>
      <c r="F5" s="309">
        <v>46063</v>
      </c>
    </row>
    <row r="6" spans="2:6">
      <c r="B6" s="300" t="s">
        <v>41</v>
      </c>
      <c r="C6" s="301" t="s">
        <v>42</v>
      </c>
      <c r="D6" s="300" t="s">
        <v>32</v>
      </c>
      <c r="E6" s="301" t="s">
        <v>38</v>
      </c>
      <c r="F6" s="308">
        <v>45646</v>
      </c>
    </row>
    <row r="7" spans="2:6">
      <c r="B7" s="300" t="s">
        <v>34</v>
      </c>
      <c r="C7" s="302" t="s">
        <v>35</v>
      </c>
      <c r="D7" s="300" t="s">
        <v>32</v>
      </c>
      <c r="E7" s="301" t="s">
        <v>23</v>
      </c>
      <c r="F7" s="308">
        <v>45691</v>
      </c>
    </row>
    <row r="8" spans="2:6">
      <c r="B8" s="300" t="s">
        <v>159</v>
      </c>
      <c r="C8" s="301" t="s">
        <v>161</v>
      </c>
      <c r="D8" s="300" t="s">
        <v>32</v>
      </c>
      <c r="E8" s="301" t="s">
        <v>23</v>
      </c>
      <c r="F8" s="308">
        <v>45627</v>
      </c>
    </row>
    <row r="9" spans="2:6">
      <c r="B9" s="300" t="s">
        <v>248</v>
      </c>
      <c r="C9" s="301" t="s">
        <v>249</v>
      </c>
      <c r="D9" s="300" t="s">
        <v>32</v>
      </c>
      <c r="E9" s="301" t="s">
        <v>110</v>
      </c>
      <c r="F9" s="308">
        <v>45959</v>
      </c>
    </row>
    <row r="10" spans="2:6">
      <c r="B10" s="300" t="s">
        <v>21</v>
      </c>
      <c r="C10" s="302" t="s">
        <v>22</v>
      </c>
      <c r="D10" s="300" t="s">
        <v>32</v>
      </c>
      <c r="E10" s="301" t="s">
        <v>23</v>
      </c>
      <c r="F10" s="308">
        <v>45967</v>
      </c>
    </row>
    <row r="11" spans="2:6">
      <c r="B11" s="300" t="s">
        <v>129</v>
      </c>
      <c r="C11" s="302" t="s">
        <v>130</v>
      </c>
      <c r="D11" s="300" t="s">
        <v>32</v>
      </c>
      <c r="E11" s="301" t="s">
        <v>128</v>
      </c>
      <c r="F11" s="308">
        <v>45628</v>
      </c>
    </row>
    <row r="12" spans="2:6">
      <c r="B12" s="300" t="s">
        <v>132</v>
      </c>
      <c r="C12" s="301" t="s">
        <v>133</v>
      </c>
      <c r="D12" s="300" t="s">
        <v>32</v>
      </c>
      <c r="E12" s="301" t="s">
        <v>128</v>
      </c>
      <c r="F12" s="309">
        <v>46069</v>
      </c>
    </row>
    <row r="13" spans="2:6">
      <c r="B13" s="300" t="s">
        <v>44</v>
      </c>
      <c r="C13" s="301" t="s">
        <v>45</v>
      </c>
      <c r="D13" s="300" t="s">
        <v>32</v>
      </c>
      <c r="E13" s="301" t="s">
        <v>38</v>
      </c>
      <c r="F13" s="308">
        <v>45666</v>
      </c>
    </row>
    <row r="14" spans="2:6">
      <c r="B14" s="300" t="s">
        <v>81</v>
      </c>
      <c r="C14" s="301" t="s">
        <v>82</v>
      </c>
      <c r="D14" s="300" t="s">
        <v>32</v>
      </c>
      <c r="E14" s="301" t="s">
        <v>83</v>
      </c>
      <c r="F14" s="308">
        <v>45627</v>
      </c>
    </row>
    <row r="15" spans="2:6">
      <c r="B15" s="300" t="s">
        <v>108</v>
      </c>
      <c r="C15" s="301" t="s">
        <v>109</v>
      </c>
      <c r="D15" s="300" t="s">
        <v>32</v>
      </c>
      <c r="E15" s="301" t="s">
        <v>110</v>
      </c>
      <c r="F15" s="308">
        <v>45666</v>
      </c>
    </row>
    <row r="16" spans="2:6">
      <c r="B16" s="300" t="s">
        <v>47</v>
      </c>
      <c r="C16" s="301" t="s">
        <v>48</v>
      </c>
      <c r="D16" s="300" t="s">
        <v>32</v>
      </c>
      <c r="E16" s="301" t="s">
        <v>38</v>
      </c>
      <c r="F16" s="308">
        <v>45986</v>
      </c>
    </row>
    <row r="17" spans="2:6">
      <c r="B17" s="300" t="s">
        <v>331</v>
      </c>
      <c r="C17" s="301" t="s">
        <v>332</v>
      </c>
      <c r="D17" s="300" t="s">
        <v>32</v>
      </c>
      <c r="E17" s="301" t="s">
        <v>110</v>
      </c>
      <c r="F17" s="308">
        <v>45854</v>
      </c>
    </row>
    <row r="18" spans="2:6">
      <c r="B18" s="300" t="s">
        <v>84</v>
      </c>
      <c r="C18" s="301" t="s">
        <v>85</v>
      </c>
      <c r="D18" s="300" t="s">
        <v>32</v>
      </c>
      <c r="E18" s="301" t="s">
        <v>86</v>
      </c>
      <c r="F18" s="308">
        <v>45627</v>
      </c>
    </row>
    <row r="19" spans="2:6">
      <c r="B19" s="300" t="s">
        <v>50</v>
      </c>
      <c r="C19" s="301" t="s">
        <v>51</v>
      </c>
      <c r="D19" s="301" t="s">
        <v>32</v>
      </c>
      <c r="E19" s="301" t="s">
        <v>38</v>
      </c>
      <c r="F19" s="308">
        <v>45951</v>
      </c>
    </row>
    <row r="20" spans="2:6">
      <c r="B20" s="303" t="s">
        <v>336</v>
      </c>
      <c r="C20" s="302" t="s">
        <v>450</v>
      </c>
      <c r="D20" s="303" t="s">
        <v>32</v>
      </c>
      <c r="E20" s="301" t="s">
        <v>110</v>
      </c>
      <c r="F20" s="311">
        <v>45846</v>
      </c>
    </row>
    <row r="21" spans="2:6">
      <c r="B21" s="300" t="s">
        <v>87</v>
      </c>
      <c r="C21" s="301" t="s">
        <v>88</v>
      </c>
      <c r="D21" s="300" t="s">
        <v>32</v>
      </c>
      <c r="E21" s="301" t="s">
        <v>86</v>
      </c>
      <c r="F21" s="310">
        <v>45733</v>
      </c>
    </row>
    <row r="22" spans="2:6">
      <c r="B22" s="300" t="s">
        <v>114</v>
      </c>
      <c r="C22" s="301" t="s">
        <v>115</v>
      </c>
      <c r="D22" s="300" t="s">
        <v>32</v>
      </c>
      <c r="E22" s="301" t="s">
        <v>110</v>
      </c>
      <c r="F22" s="308">
        <v>45946</v>
      </c>
    </row>
    <row r="23" spans="2:6">
      <c r="B23" s="300" t="s">
        <v>325</v>
      </c>
      <c r="C23" s="302" t="s">
        <v>326</v>
      </c>
      <c r="D23" s="300" t="s">
        <v>32</v>
      </c>
      <c r="E23" s="301" t="s">
        <v>86</v>
      </c>
      <c r="F23" s="308">
        <v>45627</v>
      </c>
    </row>
    <row r="24" spans="2:6">
      <c r="B24" s="300" t="s">
        <v>53</v>
      </c>
      <c r="C24" s="301" t="s">
        <v>54</v>
      </c>
      <c r="D24" s="300" t="s">
        <v>32</v>
      </c>
      <c r="E24" s="301" t="s">
        <v>38</v>
      </c>
      <c r="F24" s="308">
        <v>45925</v>
      </c>
    </row>
    <row r="25" spans="2:6">
      <c r="B25" s="300" t="s">
        <v>55</v>
      </c>
      <c r="C25" s="301" t="s">
        <v>56</v>
      </c>
      <c r="D25" s="300" t="s">
        <v>32</v>
      </c>
      <c r="E25" s="301" t="s">
        <v>38</v>
      </c>
      <c r="F25" s="308">
        <v>45746</v>
      </c>
    </row>
    <row r="26" spans="2:6">
      <c r="B26" s="300" t="s">
        <v>237</v>
      </c>
      <c r="C26" s="301" t="s">
        <v>238</v>
      </c>
      <c r="D26" s="300" t="s">
        <v>32</v>
      </c>
      <c r="E26" s="301" t="s">
        <v>110</v>
      </c>
      <c r="F26" s="308">
        <v>45756</v>
      </c>
    </row>
    <row r="27" spans="2:6">
      <c r="B27" s="300" t="s">
        <v>59</v>
      </c>
      <c r="C27" s="302" t="s">
        <v>60</v>
      </c>
      <c r="D27" s="300" t="s">
        <v>32</v>
      </c>
      <c r="E27" s="301" t="s">
        <v>38</v>
      </c>
      <c r="F27" s="308">
        <v>45726</v>
      </c>
    </row>
    <row r="28" spans="2:6">
      <c r="B28" s="300" t="s">
        <v>327</v>
      </c>
      <c r="C28" s="302" t="s">
        <v>328</v>
      </c>
      <c r="D28" s="300" t="s">
        <v>32</v>
      </c>
      <c r="E28" s="301" t="s">
        <v>142</v>
      </c>
      <c r="F28" s="308">
        <v>45826</v>
      </c>
    </row>
    <row r="29" spans="2:6">
      <c r="B29" s="300" t="s">
        <v>451</v>
      </c>
      <c r="C29" s="301" t="s">
        <v>452</v>
      </c>
      <c r="D29" s="300" t="s">
        <v>32</v>
      </c>
      <c r="E29" s="301" t="s">
        <v>38</v>
      </c>
      <c r="F29" s="308">
        <v>45925</v>
      </c>
    </row>
    <row r="30" spans="2:6">
      <c r="B30" s="300" t="s">
        <v>116</v>
      </c>
      <c r="C30" s="301" t="s">
        <v>117</v>
      </c>
      <c r="D30" s="300" t="s">
        <v>32</v>
      </c>
      <c r="E30" s="301" t="s">
        <v>110</v>
      </c>
      <c r="F30" s="308">
        <v>45646</v>
      </c>
    </row>
    <row r="31" spans="2:6">
      <c r="B31" s="300" t="s">
        <v>89</v>
      </c>
      <c r="C31" s="301" t="s">
        <v>90</v>
      </c>
      <c r="D31" s="300" t="s">
        <v>32</v>
      </c>
      <c r="E31" s="301" t="s">
        <v>86</v>
      </c>
      <c r="F31" s="308">
        <v>45804</v>
      </c>
    </row>
    <row r="32" spans="2:6">
      <c r="B32" s="300" t="s">
        <v>118</v>
      </c>
      <c r="C32" s="302" t="s">
        <v>119</v>
      </c>
      <c r="D32" s="300" t="s">
        <v>32</v>
      </c>
      <c r="E32" s="301" t="s">
        <v>110</v>
      </c>
      <c r="F32" s="308">
        <v>45628</v>
      </c>
    </row>
    <row r="33" spans="2:6">
      <c r="B33" s="300" t="s">
        <v>91</v>
      </c>
      <c r="C33" s="301" t="s">
        <v>92</v>
      </c>
      <c r="D33" s="300" t="s">
        <v>32</v>
      </c>
      <c r="E33" s="301" t="s">
        <v>86</v>
      </c>
      <c r="F33" s="309">
        <v>46063</v>
      </c>
    </row>
    <row r="34" spans="2:6">
      <c r="B34" s="304" t="s">
        <v>96</v>
      </c>
      <c r="C34" s="301" t="s">
        <v>97</v>
      </c>
      <c r="D34" s="300" t="s">
        <v>32</v>
      </c>
      <c r="E34" s="301" t="s">
        <v>86</v>
      </c>
      <c r="F34" s="308">
        <v>45876</v>
      </c>
    </row>
    <row r="35" spans="2:6">
      <c r="B35" s="300" t="s">
        <v>340</v>
      </c>
      <c r="C35" s="301" t="s">
        <v>341</v>
      </c>
      <c r="D35" s="300" t="s">
        <v>32</v>
      </c>
      <c r="E35" s="301" t="s">
        <v>142</v>
      </c>
      <c r="F35" s="308">
        <v>45916</v>
      </c>
    </row>
    <row r="36" spans="2:6">
      <c r="B36" s="300" t="s">
        <v>98</v>
      </c>
      <c r="C36" s="301" t="s">
        <v>99</v>
      </c>
      <c r="D36" s="300" t="s">
        <v>32</v>
      </c>
      <c r="E36" s="301" t="s">
        <v>86</v>
      </c>
      <c r="F36" s="308">
        <v>45646</v>
      </c>
    </row>
    <row r="37" spans="2:6">
      <c r="B37" s="300" t="s">
        <v>120</v>
      </c>
      <c r="C37" s="301" t="s">
        <v>121</v>
      </c>
      <c r="D37" s="300" t="s">
        <v>32</v>
      </c>
      <c r="E37" s="301" t="s">
        <v>110</v>
      </c>
      <c r="F37" s="308">
        <v>45646</v>
      </c>
    </row>
    <row r="38" spans="2:6">
      <c r="B38" s="300" t="s">
        <v>61</v>
      </c>
      <c r="C38" s="302" t="s">
        <v>313</v>
      </c>
      <c r="D38" s="300" t="s">
        <v>32</v>
      </c>
      <c r="E38" s="301" t="s">
        <v>38</v>
      </c>
      <c r="F38" s="308">
        <v>45646</v>
      </c>
    </row>
    <row r="39" spans="2:6">
      <c r="B39" s="300" t="s">
        <v>93</v>
      </c>
      <c r="C39" s="302" t="s">
        <v>94</v>
      </c>
      <c r="D39" s="300" t="s">
        <v>32</v>
      </c>
      <c r="E39" s="301" t="s">
        <v>232</v>
      </c>
      <c r="F39" s="308">
        <v>46049</v>
      </c>
    </row>
    <row r="40" spans="2:6">
      <c r="B40" s="300" t="s">
        <v>502</v>
      </c>
      <c r="C40" s="301" t="s">
        <v>503</v>
      </c>
      <c r="D40" s="300" t="s">
        <v>32</v>
      </c>
      <c r="E40" s="301" t="s">
        <v>236</v>
      </c>
      <c r="F40" s="308">
        <v>45700</v>
      </c>
    </row>
    <row r="41" spans="2:6">
      <c r="B41" s="300" t="s">
        <v>234</v>
      </c>
      <c r="C41" s="302" t="s">
        <v>235</v>
      </c>
      <c r="D41" s="300" t="s">
        <v>32</v>
      </c>
      <c r="E41" s="301" t="s">
        <v>236</v>
      </c>
      <c r="F41" s="309">
        <v>46063</v>
      </c>
    </row>
    <row r="42" spans="2:6">
      <c r="B42" s="300" t="s">
        <v>103</v>
      </c>
      <c r="C42" s="302" t="s">
        <v>104</v>
      </c>
      <c r="D42" s="300" t="s">
        <v>32</v>
      </c>
      <c r="E42" s="301" t="s">
        <v>102</v>
      </c>
      <c r="F42" s="308">
        <v>45826</v>
      </c>
    </row>
    <row r="43" spans="2:6">
      <c r="B43" s="300" t="s">
        <v>453</v>
      </c>
      <c r="C43" s="301" t="s">
        <v>454</v>
      </c>
      <c r="D43" s="300" t="s">
        <v>32</v>
      </c>
      <c r="E43" s="301" t="s">
        <v>110</v>
      </c>
      <c r="F43" s="312">
        <v>45666</v>
      </c>
    </row>
    <row r="44" spans="2:6">
      <c r="B44" s="300" t="s">
        <v>63</v>
      </c>
      <c r="C44" s="301" t="s">
        <v>64</v>
      </c>
      <c r="D44" s="300" t="s">
        <v>32</v>
      </c>
      <c r="E44" s="301" t="s">
        <v>38</v>
      </c>
      <c r="F44" s="312">
        <v>45966</v>
      </c>
    </row>
    <row r="45" spans="2:6">
      <c r="B45" s="300" t="s">
        <v>122</v>
      </c>
      <c r="C45" s="302" t="s">
        <v>123</v>
      </c>
      <c r="D45" s="300" t="s">
        <v>32</v>
      </c>
      <c r="E45" s="301" t="s">
        <v>110</v>
      </c>
      <c r="F45" s="308">
        <v>45628</v>
      </c>
    </row>
    <row r="46" spans="2:6">
      <c r="B46" s="300" t="s">
        <v>144</v>
      </c>
      <c r="C46" s="301" t="s">
        <v>145</v>
      </c>
      <c r="D46" s="300" t="s">
        <v>32</v>
      </c>
      <c r="E46" s="301" t="s">
        <v>142</v>
      </c>
      <c r="F46" s="308">
        <v>45936</v>
      </c>
    </row>
    <row r="47" spans="2:6">
      <c r="B47" s="300" t="s">
        <v>65</v>
      </c>
      <c r="C47" s="301" t="s">
        <v>66</v>
      </c>
      <c r="D47" s="300" t="s">
        <v>32</v>
      </c>
      <c r="E47" s="301" t="s">
        <v>38</v>
      </c>
      <c r="F47" s="308">
        <v>45754</v>
      </c>
    </row>
    <row r="48" spans="2:6">
      <c r="B48" s="300" t="s">
        <v>477</v>
      </c>
      <c r="C48" s="301" t="s">
        <v>478</v>
      </c>
      <c r="D48" s="300" t="s">
        <v>32</v>
      </c>
      <c r="E48" s="301" t="s">
        <v>38</v>
      </c>
      <c r="F48" s="308">
        <v>45986</v>
      </c>
    </row>
    <row r="49" spans="2:6">
      <c r="B49" s="300" t="s">
        <v>154</v>
      </c>
      <c r="C49" s="301" t="s">
        <v>155</v>
      </c>
      <c r="D49" s="300" t="s">
        <v>32</v>
      </c>
      <c r="E49" s="301" t="s">
        <v>247</v>
      </c>
      <c r="F49" s="308">
        <v>45746</v>
      </c>
    </row>
    <row r="50" spans="2:6">
      <c r="B50" s="300" t="s">
        <v>67</v>
      </c>
      <c r="C50" s="302" t="s">
        <v>68</v>
      </c>
      <c r="D50" s="300" t="s">
        <v>32</v>
      </c>
      <c r="E50" s="301" t="s">
        <v>38</v>
      </c>
      <c r="F50" s="308">
        <v>45646</v>
      </c>
    </row>
    <row r="51" spans="2:6">
      <c r="B51" s="300" t="s">
        <v>245</v>
      </c>
      <c r="C51" s="302" t="s">
        <v>246</v>
      </c>
      <c r="D51" s="300" t="s">
        <v>32</v>
      </c>
      <c r="E51" s="301" t="s">
        <v>247</v>
      </c>
      <c r="F51" s="308">
        <v>45728</v>
      </c>
    </row>
    <row r="52" spans="2:6">
      <c r="B52" s="300" t="s">
        <v>455</v>
      </c>
      <c r="C52" s="302" t="s">
        <v>456</v>
      </c>
      <c r="D52" s="300" t="s">
        <v>32</v>
      </c>
      <c r="E52" s="301" t="s">
        <v>38</v>
      </c>
      <c r="F52" s="308">
        <v>45627</v>
      </c>
    </row>
    <row r="53" spans="2:6">
      <c r="B53" s="300" t="s">
        <v>69</v>
      </c>
      <c r="C53" s="301" t="s">
        <v>70</v>
      </c>
      <c r="D53" s="300" t="s">
        <v>32</v>
      </c>
      <c r="E53" s="301" t="s">
        <v>38</v>
      </c>
      <c r="F53" s="308">
        <v>45666</v>
      </c>
    </row>
    <row r="54" spans="2:6">
      <c r="B54" s="300" t="s">
        <v>71</v>
      </c>
      <c r="C54" s="301" t="s">
        <v>72</v>
      </c>
      <c r="D54" s="300" t="s">
        <v>32</v>
      </c>
      <c r="E54" s="301" t="s">
        <v>38</v>
      </c>
      <c r="F54" s="308">
        <v>45636</v>
      </c>
    </row>
    <row r="55" spans="2:6">
      <c r="B55" s="300" t="s">
        <v>342</v>
      </c>
      <c r="C55" s="301" t="s">
        <v>343</v>
      </c>
      <c r="D55" s="300" t="s">
        <v>32</v>
      </c>
      <c r="E55" s="301" t="s">
        <v>38</v>
      </c>
      <c r="F55" s="308">
        <v>45646</v>
      </c>
    </row>
    <row r="56" spans="2:6">
      <c r="B56" s="300" t="s">
        <v>479</v>
      </c>
      <c r="C56" s="301" t="s">
        <v>480</v>
      </c>
      <c r="D56" s="300" t="s">
        <v>32</v>
      </c>
      <c r="E56" s="301" t="s">
        <v>38</v>
      </c>
      <c r="F56" s="308">
        <v>45646</v>
      </c>
    </row>
    <row r="57" spans="2:6">
      <c r="B57" s="300" t="s">
        <v>73</v>
      </c>
      <c r="C57" s="301" t="s">
        <v>74</v>
      </c>
      <c r="D57" s="300" t="s">
        <v>32</v>
      </c>
      <c r="E57" s="301" t="s">
        <v>38</v>
      </c>
      <c r="F57" s="308">
        <v>45925</v>
      </c>
    </row>
    <row r="58" spans="2:6">
      <c r="B58" s="300" t="s">
        <v>105</v>
      </c>
      <c r="C58" s="302" t="s">
        <v>106</v>
      </c>
      <c r="D58" s="300" t="s">
        <v>32</v>
      </c>
      <c r="E58" s="301" t="s">
        <v>107</v>
      </c>
      <c r="F58" s="308">
        <v>45946</v>
      </c>
    </row>
    <row r="59" spans="2:6">
      <c r="B59" s="300" t="s">
        <v>135</v>
      </c>
      <c r="C59" s="301" t="s">
        <v>136</v>
      </c>
      <c r="D59" s="300" t="s">
        <v>32</v>
      </c>
      <c r="E59" s="301" t="s">
        <v>137</v>
      </c>
      <c r="F59" s="308">
        <v>45946</v>
      </c>
    </row>
    <row r="60" spans="2:6">
      <c r="B60" s="300" t="s">
        <v>260</v>
      </c>
      <c r="C60" s="301" t="s">
        <v>261</v>
      </c>
      <c r="D60" s="300" t="s">
        <v>32</v>
      </c>
      <c r="E60" s="301" t="s">
        <v>110</v>
      </c>
      <c r="F60" s="308">
        <v>45816</v>
      </c>
    </row>
    <row r="61" spans="2:6">
      <c r="B61" s="300" t="s">
        <v>75</v>
      </c>
      <c r="C61" s="302" t="s">
        <v>76</v>
      </c>
      <c r="D61" s="300" t="s">
        <v>32</v>
      </c>
      <c r="E61" s="301" t="s">
        <v>38</v>
      </c>
      <c r="F61" s="308">
        <v>45627</v>
      </c>
    </row>
    <row r="62" spans="2:6">
      <c r="B62" s="300" t="s">
        <v>146</v>
      </c>
      <c r="C62" s="301" t="s">
        <v>147</v>
      </c>
      <c r="D62" s="300" t="s">
        <v>32</v>
      </c>
      <c r="E62" s="301" t="s">
        <v>142</v>
      </c>
      <c r="F62" s="308">
        <v>45846</v>
      </c>
    </row>
    <row r="63" spans="2:6">
      <c r="B63" s="300" t="s">
        <v>77</v>
      </c>
      <c r="C63" s="302" t="s">
        <v>78</v>
      </c>
      <c r="D63" s="300" t="s">
        <v>32</v>
      </c>
      <c r="E63" s="301" t="s">
        <v>38</v>
      </c>
      <c r="F63" s="308">
        <v>45627</v>
      </c>
    </row>
    <row r="64" spans="2:6">
      <c r="B64" s="300" t="s">
        <v>138</v>
      </c>
      <c r="C64" s="302" t="s">
        <v>139</v>
      </c>
      <c r="D64" s="300" t="s">
        <v>32</v>
      </c>
      <c r="E64" s="301" t="s">
        <v>137</v>
      </c>
      <c r="F64" s="308">
        <v>45946</v>
      </c>
    </row>
    <row r="65" spans="2:6">
      <c r="B65" s="300" t="s">
        <v>79</v>
      </c>
      <c r="C65" s="301" t="s">
        <v>80</v>
      </c>
      <c r="D65" s="300" t="s">
        <v>32</v>
      </c>
      <c r="E65" s="301" t="s">
        <v>38</v>
      </c>
      <c r="F65" s="308">
        <v>45966</v>
      </c>
    </row>
    <row r="66" spans="2:6">
      <c r="B66" s="300" t="s">
        <v>148</v>
      </c>
      <c r="C66" s="302" t="s">
        <v>150</v>
      </c>
      <c r="D66" s="300" t="s">
        <v>149</v>
      </c>
      <c r="E66" s="301" t="s">
        <v>151</v>
      </c>
      <c r="F66" s="308">
        <v>45627</v>
      </c>
    </row>
    <row r="67" spans="2:6">
      <c r="B67" s="303" t="s">
        <v>157</v>
      </c>
      <c r="C67" s="302" t="s">
        <v>158</v>
      </c>
      <c r="D67" s="300" t="s">
        <v>149</v>
      </c>
      <c r="E67" s="302" t="s">
        <v>102</v>
      </c>
      <c r="F67" s="311">
        <v>45646</v>
      </c>
    </row>
    <row r="68" spans="2:6">
      <c r="B68" s="300" t="s">
        <v>152</v>
      </c>
      <c r="C68" s="301" t="s">
        <v>153</v>
      </c>
      <c r="D68" s="300" t="s">
        <v>149</v>
      </c>
      <c r="E68" s="301" t="s">
        <v>151</v>
      </c>
      <c r="F68" s="308">
        <v>45638</v>
      </c>
    </row>
    <row r="69" spans="2:6">
      <c r="B69" s="300" t="s">
        <v>504</v>
      </c>
      <c r="C69" s="301" t="s">
        <v>505</v>
      </c>
      <c r="D69" s="300" t="s">
        <v>149</v>
      </c>
      <c r="E69" s="301" t="s">
        <v>151</v>
      </c>
      <c r="F69" s="308">
        <v>45719</v>
      </c>
    </row>
    <row r="70" spans="2:6">
      <c r="B70" s="300" t="s">
        <v>165</v>
      </c>
      <c r="C70" s="301" t="s">
        <v>166</v>
      </c>
      <c r="D70" s="300" t="s">
        <v>160</v>
      </c>
      <c r="E70" s="301" t="s">
        <v>38</v>
      </c>
      <c r="F70" s="308">
        <v>45656</v>
      </c>
    </row>
    <row r="71" spans="2:6">
      <c r="B71" s="305" t="s">
        <v>506</v>
      </c>
      <c r="C71" s="306" t="s">
        <v>507</v>
      </c>
      <c r="D71" s="305" t="s">
        <v>149</v>
      </c>
      <c r="E71" s="306" t="s">
        <v>83</v>
      </c>
      <c r="F71" s="313">
        <v>45941</v>
      </c>
    </row>
    <row r="72" spans="2:6">
      <c r="B72" s="300" t="s">
        <v>168</v>
      </c>
      <c r="C72" s="301" t="s">
        <v>169</v>
      </c>
      <c r="D72" s="300" t="s">
        <v>160</v>
      </c>
      <c r="E72" s="301" t="s">
        <v>38</v>
      </c>
      <c r="F72" s="308">
        <v>45756</v>
      </c>
    </row>
    <row r="73" spans="2:6">
      <c r="B73" s="300" t="s">
        <v>264</v>
      </c>
      <c r="C73" s="301" t="s">
        <v>265</v>
      </c>
      <c r="D73" s="300" t="s">
        <v>160</v>
      </c>
      <c r="E73" s="301" t="s">
        <v>128</v>
      </c>
      <c r="F73" s="308">
        <v>46017</v>
      </c>
    </row>
    <row r="74" spans="2:6">
      <c r="B74" s="300" t="s">
        <v>170</v>
      </c>
      <c r="C74" s="301" t="s">
        <v>171</v>
      </c>
      <c r="D74" s="300" t="s">
        <v>160</v>
      </c>
      <c r="E74" s="301" t="s">
        <v>38</v>
      </c>
      <c r="F74" s="308">
        <v>45636</v>
      </c>
    </row>
    <row r="75" spans="2:6">
      <c r="B75" s="300" t="s">
        <v>172</v>
      </c>
      <c r="C75" s="301" t="s">
        <v>173</v>
      </c>
      <c r="D75" s="300" t="s">
        <v>160</v>
      </c>
      <c r="E75" s="301" t="s">
        <v>38</v>
      </c>
      <c r="F75" s="308">
        <v>45974</v>
      </c>
    </row>
    <row r="76" spans="2:6">
      <c r="B76" s="300" t="s">
        <v>266</v>
      </c>
      <c r="C76" s="302" t="s">
        <v>267</v>
      </c>
      <c r="D76" s="300" t="s">
        <v>160</v>
      </c>
      <c r="E76" s="301" t="s">
        <v>128</v>
      </c>
      <c r="F76" s="308">
        <v>46036</v>
      </c>
    </row>
    <row r="77" spans="2:6">
      <c r="B77" s="303" t="s">
        <v>508</v>
      </c>
      <c r="C77" s="302" t="s">
        <v>509</v>
      </c>
      <c r="D77" s="300" t="s">
        <v>160</v>
      </c>
      <c r="E77" s="301" t="s">
        <v>23</v>
      </c>
      <c r="F77" s="308">
        <v>45846</v>
      </c>
    </row>
    <row r="78" spans="2:6">
      <c r="B78" s="300" t="s">
        <v>250</v>
      </c>
      <c r="C78" s="301" t="s">
        <v>251</v>
      </c>
      <c r="D78" s="300" t="s">
        <v>160</v>
      </c>
      <c r="E78" s="301" t="s">
        <v>110</v>
      </c>
      <c r="F78" s="308">
        <v>45924</v>
      </c>
    </row>
    <row r="79" spans="2:6">
      <c r="B79" s="300" t="s">
        <v>510</v>
      </c>
      <c r="C79" s="301" t="s">
        <v>511</v>
      </c>
      <c r="D79" s="300" t="s">
        <v>160</v>
      </c>
      <c r="E79" s="301" t="s">
        <v>23</v>
      </c>
      <c r="F79" s="308">
        <v>45636</v>
      </c>
    </row>
    <row r="80" spans="2:6">
      <c r="B80" s="300" t="s">
        <v>174</v>
      </c>
      <c r="C80" s="301" t="s">
        <v>175</v>
      </c>
      <c r="D80" s="300" t="s">
        <v>160</v>
      </c>
      <c r="E80" s="301" t="s">
        <v>38</v>
      </c>
      <c r="F80" s="308">
        <v>45836</v>
      </c>
    </row>
    <row r="81" spans="2:6">
      <c r="B81" s="304" t="s">
        <v>112</v>
      </c>
      <c r="C81" s="301" t="s">
        <v>113</v>
      </c>
      <c r="D81" s="300" t="s">
        <v>160</v>
      </c>
      <c r="E81" s="301" t="s">
        <v>110</v>
      </c>
      <c r="F81" s="308">
        <v>45896</v>
      </c>
    </row>
    <row r="82" spans="2:6">
      <c r="B82" s="300" t="s">
        <v>252</v>
      </c>
      <c r="C82" s="301" t="s">
        <v>253</v>
      </c>
      <c r="D82" s="300" t="s">
        <v>160</v>
      </c>
      <c r="E82" s="301" t="s">
        <v>110</v>
      </c>
      <c r="F82" s="308">
        <v>45636</v>
      </c>
    </row>
    <row r="83" spans="2:6">
      <c r="B83" s="300" t="s">
        <v>212</v>
      </c>
      <c r="C83" s="301" t="s">
        <v>213</v>
      </c>
      <c r="D83" s="300" t="s">
        <v>160</v>
      </c>
      <c r="E83" s="301" t="s">
        <v>83</v>
      </c>
      <c r="F83" s="308">
        <v>45636</v>
      </c>
    </row>
    <row r="84" spans="2:6">
      <c r="B84" s="300" t="s">
        <v>216</v>
      </c>
      <c r="C84" s="301" t="s">
        <v>217</v>
      </c>
      <c r="D84" s="300" t="s">
        <v>160</v>
      </c>
      <c r="E84" s="301" t="s">
        <v>86</v>
      </c>
      <c r="F84" s="308">
        <v>45836</v>
      </c>
    </row>
    <row r="85" spans="2:6">
      <c r="B85" s="300" t="s">
        <v>176</v>
      </c>
      <c r="C85" s="301" t="s">
        <v>177</v>
      </c>
      <c r="D85" s="300" t="s">
        <v>160</v>
      </c>
      <c r="E85" s="301" t="s">
        <v>38</v>
      </c>
      <c r="F85" s="308">
        <v>45656</v>
      </c>
    </row>
    <row r="86" spans="2:6">
      <c r="B86" s="300" t="s">
        <v>463</v>
      </c>
      <c r="C86" s="301" t="s">
        <v>464</v>
      </c>
      <c r="D86" s="300" t="s">
        <v>160</v>
      </c>
      <c r="E86" s="301" t="s">
        <v>38</v>
      </c>
      <c r="F86" s="308">
        <v>45836</v>
      </c>
    </row>
    <row r="87" spans="2:6">
      <c r="B87" s="300" t="s">
        <v>140</v>
      </c>
      <c r="C87" s="301" t="s">
        <v>141</v>
      </c>
      <c r="D87" s="300" t="s">
        <v>160</v>
      </c>
      <c r="E87" s="301" t="s">
        <v>142</v>
      </c>
      <c r="F87" s="308">
        <v>45946</v>
      </c>
    </row>
    <row r="88" spans="2:6">
      <c r="B88" s="300" t="s">
        <v>465</v>
      </c>
      <c r="C88" s="301" t="s">
        <v>466</v>
      </c>
      <c r="D88" s="300" t="s">
        <v>160</v>
      </c>
      <c r="E88" s="301" t="s">
        <v>110</v>
      </c>
      <c r="F88" s="308">
        <v>45656</v>
      </c>
    </row>
    <row r="89" spans="2:6">
      <c r="B89" s="300" t="s">
        <v>338</v>
      </c>
      <c r="C89" s="301" t="s">
        <v>339</v>
      </c>
      <c r="D89" s="300" t="s">
        <v>160</v>
      </c>
      <c r="E89" s="301" t="s">
        <v>38</v>
      </c>
      <c r="F89" s="308">
        <v>45636</v>
      </c>
    </row>
    <row r="90" spans="2:6">
      <c r="B90" s="303" t="s">
        <v>218</v>
      </c>
      <c r="C90" s="302" t="s">
        <v>219</v>
      </c>
      <c r="D90" s="303" t="s">
        <v>160</v>
      </c>
      <c r="E90" s="302" t="s">
        <v>86</v>
      </c>
      <c r="F90" s="314">
        <v>46063</v>
      </c>
    </row>
    <row r="91" spans="2:6">
      <c r="B91" s="300" t="s">
        <v>220</v>
      </c>
      <c r="C91" s="301" t="s">
        <v>221</v>
      </c>
      <c r="D91" s="300" t="s">
        <v>160</v>
      </c>
      <c r="E91" s="301" t="s">
        <v>86</v>
      </c>
      <c r="F91" s="308">
        <v>45716</v>
      </c>
    </row>
    <row r="92" spans="2:6">
      <c r="B92" s="300" t="s">
        <v>185</v>
      </c>
      <c r="C92" s="302" t="s">
        <v>186</v>
      </c>
      <c r="D92" s="300" t="s">
        <v>160</v>
      </c>
      <c r="E92" s="301" t="s">
        <v>38</v>
      </c>
      <c r="F92" s="308">
        <v>45936</v>
      </c>
    </row>
    <row r="93" spans="2:6">
      <c r="B93" s="300" t="s">
        <v>222</v>
      </c>
      <c r="C93" s="301" t="s">
        <v>223</v>
      </c>
      <c r="D93" s="300" t="s">
        <v>160</v>
      </c>
      <c r="E93" s="301" t="s">
        <v>86</v>
      </c>
      <c r="F93" s="308">
        <v>45636</v>
      </c>
    </row>
    <row r="94" spans="2:6">
      <c r="B94" s="300" t="s">
        <v>481</v>
      </c>
      <c r="C94" s="301" t="s">
        <v>482</v>
      </c>
      <c r="D94" s="300" t="s">
        <v>160</v>
      </c>
      <c r="E94" s="301" t="s">
        <v>110</v>
      </c>
      <c r="F94" s="308">
        <v>45817</v>
      </c>
    </row>
    <row r="95" spans="2:6">
      <c r="B95" s="300" t="s">
        <v>187</v>
      </c>
      <c r="C95" s="301" t="s">
        <v>188</v>
      </c>
      <c r="D95" s="300" t="s">
        <v>160</v>
      </c>
      <c r="E95" s="301" t="s">
        <v>38</v>
      </c>
      <c r="F95" s="308">
        <v>45929</v>
      </c>
    </row>
    <row r="96" spans="2:6">
      <c r="B96" s="300" t="s">
        <v>224</v>
      </c>
      <c r="C96" s="301" t="s">
        <v>225</v>
      </c>
      <c r="D96" s="300" t="s">
        <v>160</v>
      </c>
      <c r="E96" s="301" t="s">
        <v>86</v>
      </c>
      <c r="F96" s="308">
        <v>45719</v>
      </c>
    </row>
    <row r="97" spans="2:6">
      <c r="B97" s="300" t="s">
        <v>189</v>
      </c>
      <c r="C97" s="301" t="s">
        <v>190</v>
      </c>
      <c r="D97" s="300" t="s">
        <v>160</v>
      </c>
      <c r="E97" s="301" t="s">
        <v>38</v>
      </c>
      <c r="F97" s="309">
        <v>46063</v>
      </c>
    </row>
    <row r="98" spans="2:6">
      <c r="B98" s="300" t="s">
        <v>272</v>
      </c>
      <c r="C98" s="301" t="s">
        <v>273</v>
      </c>
      <c r="D98" s="300" t="s">
        <v>160</v>
      </c>
      <c r="E98" s="301" t="s">
        <v>142</v>
      </c>
      <c r="F98" s="308">
        <v>45836</v>
      </c>
    </row>
    <row r="99" spans="2:6">
      <c r="B99" s="300" t="s">
        <v>226</v>
      </c>
      <c r="C99" s="301" t="s">
        <v>227</v>
      </c>
      <c r="D99" s="300" t="s">
        <v>160</v>
      </c>
      <c r="E99" s="301" t="s">
        <v>86</v>
      </c>
      <c r="F99" s="308">
        <v>45636</v>
      </c>
    </row>
    <row r="100" spans="2:6">
      <c r="B100" s="300" t="s">
        <v>228</v>
      </c>
      <c r="C100" s="301" t="s">
        <v>229</v>
      </c>
      <c r="D100" s="300" t="s">
        <v>160</v>
      </c>
      <c r="E100" s="301" t="s">
        <v>86</v>
      </c>
      <c r="F100" s="308">
        <v>45915</v>
      </c>
    </row>
    <row r="101" spans="2:6">
      <c r="B101" s="300" t="s">
        <v>344</v>
      </c>
      <c r="C101" s="301" t="s">
        <v>345</v>
      </c>
      <c r="D101" s="300" t="s">
        <v>160</v>
      </c>
      <c r="E101" s="301" t="s">
        <v>38</v>
      </c>
      <c r="F101" s="308">
        <v>45716</v>
      </c>
    </row>
    <row r="102" spans="2:6">
      <c r="B102" s="300" t="s">
        <v>512</v>
      </c>
      <c r="C102" s="301" t="s">
        <v>513</v>
      </c>
      <c r="D102" s="300" t="s">
        <v>160</v>
      </c>
      <c r="E102" s="301" t="s">
        <v>232</v>
      </c>
      <c r="F102" s="309">
        <v>46056</v>
      </c>
    </row>
    <row r="103" spans="2:6">
      <c r="B103" s="300" t="s">
        <v>274</v>
      </c>
      <c r="C103" s="301" t="s">
        <v>275</v>
      </c>
      <c r="D103" s="300" t="s">
        <v>160</v>
      </c>
      <c r="E103" s="301" t="s">
        <v>142</v>
      </c>
      <c r="F103" s="308">
        <v>45636</v>
      </c>
    </row>
    <row r="104" spans="2:6">
      <c r="B104" s="300" t="s">
        <v>191</v>
      </c>
      <c r="C104" s="301" t="s">
        <v>192</v>
      </c>
      <c r="D104" s="300" t="s">
        <v>160</v>
      </c>
      <c r="E104" s="301" t="s">
        <v>38</v>
      </c>
      <c r="F104" s="308">
        <v>45936</v>
      </c>
    </row>
    <row r="105" spans="2:6">
      <c r="B105" s="300" t="s">
        <v>254</v>
      </c>
      <c r="C105" s="301" t="s">
        <v>255</v>
      </c>
      <c r="D105" s="300" t="s">
        <v>160</v>
      </c>
      <c r="E105" s="301" t="s">
        <v>110</v>
      </c>
      <c r="F105" s="308">
        <v>45924</v>
      </c>
    </row>
    <row r="106" spans="2:6">
      <c r="B106" s="300" t="s">
        <v>469</v>
      </c>
      <c r="C106" s="301" t="s">
        <v>470</v>
      </c>
      <c r="D106" s="300" t="s">
        <v>160</v>
      </c>
      <c r="E106" s="301" t="s">
        <v>38</v>
      </c>
      <c r="F106" s="308">
        <v>45959</v>
      </c>
    </row>
    <row r="107" spans="2:6">
      <c r="B107" s="300" t="s">
        <v>194</v>
      </c>
      <c r="C107" s="301" t="s">
        <v>195</v>
      </c>
      <c r="D107" s="300" t="s">
        <v>160</v>
      </c>
      <c r="E107" s="301" t="s">
        <v>38</v>
      </c>
      <c r="F107" s="308">
        <v>45636</v>
      </c>
    </row>
    <row r="108" spans="2:6">
      <c r="B108" s="300" t="s">
        <v>241</v>
      </c>
      <c r="C108" s="301" t="s">
        <v>242</v>
      </c>
      <c r="D108" s="300" t="s">
        <v>160</v>
      </c>
      <c r="E108" s="301" t="s">
        <v>102</v>
      </c>
      <c r="F108" s="308">
        <v>45936</v>
      </c>
    </row>
    <row r="109" spans="2:6">
      <c r="B109" s="300" t="s">
        <v>333</v>
      </c>
      <c r="C109" s="302" t="s">
        <v>334</v>
      </c>
      <c r="D109" s="300" t="s">
        <v>160</v>
      </c>
      <c r="E109" s="301" t="s">
        <v>102</v>
      </c>
      <c r="F109" s="308">
        <v>45943</v>
      </c>
    </row>
    <row r="110" spans="2:6">
      <c r="B110" s="300" t="s">
        <v>199</v>
      </c>
      <c r="C110" s="301" t="s">
        <v>200</v>
      </c>
      <c r="D110" s="300" t="s">
        <v>160</v>
      </c>
      <c r="E110" s="301" t="s">
        <v>38</v>
      </c>
      <c r="F110" s="308">
        <v>45936</v>
      </c>
    </row>
    <row r="111" spans="2:6">
      <c r="B111" s="300" t="s">
        <v>202</v>
      </c>
      <c r="C111" s="301" t="s">
        <v>203</v>
      </c>
      <c r="D111" s="300" t="s">
        <v>160</v>
      </c>
      <c r="E111" s="301" t="s">
        <v>38</v>
      </c>
      <c r="F111" s="308">
        <v>45925</v>
      </c>
    </row>
    <row r="112" spans="2:6">
      <c r="B112" s="300" t="s">
        <v>514</v>
      </c>
      <c r="C112" s="302" t="s">
        <v>515</v>
      </c>
      <c r="D112" s="300" t="s">
        <v>160</v>
      </c>
      <c r="E112" s="301" t="s">
        <v>102</v>
      </c>
      <c r="F112" s="308">
        <v>45847</v>
      </c>
    </row>
    <row r="113" spans="2:6">
      <c r="B113" s="300" t="s">
        <v>516</v>
      </c>
      <c r="C113" s="301" t="s">
        <v>517</v>
      </c>
      <c r="D113" s="300" t="s">
        <v>160</v>
      </c>
      <c r="E113" s="301" t="s">
        <v>102</v>
      </c>
      <c r="F113" s="308">
        <v>45936</v>
      </c>
    </row>
    <row r="114" spans="2:6">
      <c r="B114" s="300" t="s">
        <v>256</v>
      </c>
      <c r="C114" s="301" t="s">
        <v>257</v>
      </c>
      <c r="D114" s="300" t="s">
        <v>160</v>
      </c>
      <c r="E114" s="301" t="s">
        <v>110</v>
      </c>
      <c r="F114" s="308">
        <v>45636</v>
      </c>
    </row>
    <row r="115" spans="2:6">
      <c r="B115" s="303" t="s">
        <v>518</v>
      </c>
      <c r="C115" s="301" t="s">
        <v>519</v>
      </c>
      <c r="D115" s="300" t="s">
        <v>160</v>
      </c>
      <c r="E115" s="301" t="s">
        <v>247</v>
      </c>
      <c r="F115" s="308">
        <v>45636</v>
      </c>
    </row>
    <row r="116" spans="2:6">
      <c r="B116" s="300" t="s">
        <v>258</v>
      </c>
      <c r="C116" s="301" t="s">
        <v>259</v>
      </c>
      <c r="D116" s="300" t="s">
        <v>160</v>
      </c>
      <c r="E116" s="301" t="s">
        <v>110</v>
      </c>
      <c r="F116" s="308">
        <v>45636</v>
      </c>
    </row>
    <row r="117" spans="2:6">
      <c r="B117" s="300" t="s">
        <v>483</v>
      </c>
      <c r="C117" s="301" t="s">
        <v>484</v>
      </c>
      <c r="D117" s="300" t="s">
        <v>160</v>
      </c>
      <c r="E117" s="301" t="s">
        <v>38</v>
      </c>
      <c r="F117" s="308">
        <v>45974</v>
      </c>
    </row>
    <row r="118" spans="2:6">
      <c r="B118" s="300" t="s">
        <v>471</v>
      </c>
      <c r="C118" s="301" t="s">
        <v>472</v>
      </c>
      <c r="D118" s="300" t="s">
        <v>160</v>
      </c>
      <c r="E118" s="301" t="s">
        <v>38</v>
      </c>
      <c r="F118" s="308">
        <v>45936</v>
      </c>
    </row>
    <row r="119" spans="2:6">
      <c r="B119" s="300" t="s">
        <v>485</v>
      </c>
      <c r="C119" s="301" t="s">
        <v>486</v>
      </c>
      <c r="D119" s="300" t="s">
        <v>160</v>
      </c>
      <c r="E119" s="301" t="s">
        <v>110</v>
      </c>
      <c r="F119" s="308">
        <v>45979</v>
      </c>
    </row>
    <row r="120" spans="2:6">
      <c r="B120" s="300" t="s">
        <v>520</v>
      </c>
      <c r="C120" s="301" t="s">
        <v>521</v>
      </c>
      <c r="D120" s="300" t="s">
        <v>160</v>
      </c>
      <c r="E120" s="301" t="s">
        <v>247</v>
      </c>
      <c r="F120" s="308">
        <v>45816</v>
      </c>
    </row>
    <row r="121" spans="2:6">
      <c r="B121" s="300" t="s">
        <v>487</v>
      </c>
      <c r="C121" s="301" t="s">
        <v>488</v>
      </c>
      <c r="D121" s="300" t="s">
        <v>160</v>
      </c>
      <c r="E121" s="301" t="s">
        <v>38</v>
      </c>
      <c r="F121" s="308">
        <v>45925</v>
      </c>
    </row>
    <row r="122" spans="2:6">
      <c r="B122" s="304" t="s">
        <v>268</v>
      </c>
      <c r="C122" s="301" t="s">
        <v>269</v>
      </c>
      <c r="D122" s="300" t="s">
        <v>160</v>
      </c>
      <c r="E122" s="301" t="s">
        <v>137</v>
      </c>
      <c r="F122" s="308">
        <v>45876</v>
      </c>
    </row>
    <row r="123" spans="2:6">
      <c r="B123" s="300" t="s">
        <v>124</v>
      </c>
      <c r="C123" s="302" t="s">
        <v>125</v>
      </c>
      <c r="D123" s="300" t="s">
        <v>160</v>
      </c>
      <c r="E123" s="301" t="s">
        <v>110</v>
      </c>
      <c r="F123" s="308">
        <v>45646</v>
      </c>
    </row>
    <row r="124" spans="2:6">
      <c r="B124" s="300" t="s">
        <v>262</v>
      </c>
      <c r="C124" s="301" t="s">
        <v>263</v>
      </c>
      <c r="D124" s="300" t="s">
        <v>160</v>
      </c>
      <c r="E124" s="301" t="s">
        <v>110</v>
      </c>
      <c r="F124" s="308">
        <v>45856</v>
      </c>
    </row>
    <row r="125" spans="2:6">
      <c r="B125" s="300" t="s">
        <v>473</v>
      </c>
      <c r="C125" s="301" t="s">
        <v>474</v>
      </c>
      <c r="D125" s="300" t="s">
        <v>160</v>
      </c>
      <c r="E125" s="301" t="s">
        <v>110</v>
      </c>
      <c r="F125" s="308">
        <v>45924</v>
      </c>
    </row>
    <row r="126" spans="2:6">
      <c r="B126" s="300" t="s">
        <v>270</v>
      </c>
      <c r="C126" s="301" t="s">
        <v>271</v>
      </c>
      <c r="D126" s="300" t="s">
        <v>160</v>
      </c>
      <c r="E126" s="301" t="s">
        <v>137</v>
      </c>
      <c r="F126" s="308">
        <v>45959</v>
      </c>
    </row>
    <row r="127" spans="2:6">
      <c r="B127" s="300" t="s">
        <v>204</v>
      </c>
      <c r="C127" s="301" t="s">
        <v>205</v>
      </c>
      <c r="D127" s="300" t="s">
        <v>160</v>
      </c>
      <c r="E127" s="301" t="s">
        <v>38</v>
      </c>
      <c r="F127" s="308">
        <v>45636</v>
      </c>
    </row>
    <row r="128" spans="2:6">
      <c r="B128" s="300" t="s">
        <v>206</v>
      </c>
      <c r="C128" s="301" t="s">
        <v>207</v>
      </c>
      <c r="D128" s="300" t="s">
        <v>160</v>
      </c>
      <c r="E128" s="301" t="s">
        <v>38</v>
      </c>
      <c r="F128" s="308">
        <v>45676</v>
      </c>
    </row>
    <row r="129" spans="2:10">
      <c r="B129" s="300" t="s">
        <v>489</v>
      </c>
      <c r="C129" s="301" t="s">
        <v>490</v>
      </c>
      <c r="D129" s="300" t="s">
        <v>160</v>
      </c>
      <c r="E129" s="301" t="s">
        <v>110</v>
      </c>
      <c r="F129" s="308">
        <v>45656</v>
      </c>
    </row>
    <row r="130" spans="2:10">
      <c r="B130" s="303" t="s">
        <v>208</v>
      </c>
      <c r="C130" s="301" t="s">
        <v>209</v>
      </c>
      <c r="D130" s="300" t="s">
        <v>160</v>
      </c>
      <c r="E130" s="301" t="s">
        <v>38</v>
      </c>
      <c r="F130" s="308">
        <v>45804</v>
      </c>
    </row>
    <row r="131" spans="2:10">
      <c r="B131" s="300" t="s">
        <v>210</v>
      </c>
      <c r="C131" s="301" t="s">
        <v>211</v>
      </c>
      <c r="D131" s="300" t="s">
        <v>160</v>
      </c>
      <c r="E131" s="301" t="s">
        <v>38</v>
      </c>
      <c r="F131" s="308">
        <v>45636</v>
      </c>
    </row>
    <row r="142" spans="2:10">
      <c r="G142" s="646"/>
      <c r="H142" s="646"/>
      <c r="I142" s="646"/>
      <c r="J142" s="646"/>
    </row>
  </sheetData>
  <autoFilter ref="B1:F131" xr:uid="{3C025C9A-F23C-411B-ACBB-528EE4E5AF2E}"/>
  <mergeCells count="1">
    <mergeCell ref="G142:J142"/>
  </mergeCells>
  <conditionalFormatting sqref="B1:B131">
    <cfRule type="duplicateValues" dxfId="5" priority="4"/>
  </conditionalFormatting>
  <conditionalFormatting sqref="B37:B45 B47:B80 B82:B131 B1:B33">
    <cfRule type="duplicateValues" dxfId="4" priority="1"/>
    <cfRule type="duplicateValues" dxfId="3" priority="2"/>
  </conditionalFormatting>
  <conditionalFormatting sqref="B37:B45 B79:B80 B82:B85 B12:B33 B47:B59 B61:B65 B67:B70 B72:B76 B88:B100 B102:B129 B131 B1:B7">
    <cfRule type="duplicateValues" dxfId="2" priority="3"/>
  </conditionalFormatting>
  <conditionalFormatting sqref="B86:B87 B101 B60 B77:B78 B8:B11">
    <cfRule type="duplicateValues" dxfId="1" priority="5"/>
  </conditionalFormatting>
  <conditionalFormatting sqref="B130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/>
  <cp:revision/>
  <dcterms:created xsi:type="dcterms:W3CDTF">2015-06-05T18:19:34Z</dcterms:created>
  <dcterms:modified xsi:type="dcterms:W3CDTF">2026-09-10T15:04:10Z</dcterms:modified>
  <cp:category/>
  <cp:contentStatus/>
</cp:coreProperties>
</file>