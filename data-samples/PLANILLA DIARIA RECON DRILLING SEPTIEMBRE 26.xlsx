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on\Desktop\"/>
    </mc:Choice>
  </mc:AlternateContent>
  <xr:revisionPtr revIDLastSave="0" documentId="8_{4EDA4305-BBC8-429D-AF35-D29C37EDDDF6}" xr6:coauthVersionLast="47" xr6:coauthVersionMax="47" xr10:uidLastSave="{00000000-0000-0000-0000-000000000000}"/>
  <bookViews>
    <workbookView xWindow="-108" yWindow="-108" windowWidth="23256" windowHeight="12456" tabRatio="675" firstSheet="30" activeTab="30" xr2:uid="{00000000-000D-0000-FFFF-FFFF00000000}"/>
  </bookViews>
  <sheets>
    <sheet name="Lista desplegable" sheetId="33" r:id="rId1"/>
    <sheet name="01-09" sheetId="7" r:id="rId2"/>
    <sheet name="02-09" sheetId="39" r:id="rId3"/>
    <sheet name="03-09" sheetId="40" r:id="rId4"/>
    <sheet name="04-09" sheetId="41" r:id="rId5"/>
    <sheet name="05-09" sheetId="42" r:id="rId6"/>
    <sheet name="06-09" sheetId="43" r:id="rId7"/>
    <sheet name="07-09" sheetId="44" r:id="rId8"/>
    <sheet name="08-09" sheetId="45" r:id="rId9"/>
    <sheet name="09-09" sheetId="46" r:id="rId10"/>
    <sheet name="10-09" sheetId="47" r:id="rId11"/>
    <sheet name="11-09" sheetId="48" r:id="rId12"/>
    <sheet name="12-09" sheetId="49" r:id="rId13"/>
    <sheet name="13-09" sheetId="50" r:id="rId14"/>
    <sheet name="14-09" sheetId="51" r:id="rId15"/>
    <sheet name="15-09" sheetId="52" r:id="rId16"/>
    <sheet name="16-09" sheetId="53" r:id="rId17"/>
    <sheet name="17-09" sheetId="54" r:id="rId18"/>
    <sheet name="18-09" sheetId="55" r:id="rId19"/>
    <sheet name="19-09" sheetId="56" r:id="rId20"/>
    <sheet name="20-09" sheetId="57" r:id="rId21"/>
    <sheet name="21-09" sheetId="58" r:id="rId22"/>
    <sheet name="22-09" sheetId="59" r:id="rId23"/>
    <sheet name="23-09" sheetId="60" r:id="rId24"/>
    <sheet name="24-09" sheetId="36" r:id="rId25"/>
    <sheet name="25-09" sheetId="35" r:id="rId26"/>
    <sheet name="26-09" sheetId="37" r:id="rId27"/>
    <sheet name="27-09" sheetId="38" r:id="rId28"/>
    <sheet name="28-09" sheetId="61" r:id="rId29"/>
    <sheet name="29-09" sheetId="62" r:id="rId30"/>
    <sheet name="30-09" sheetId="63" r:id="rId31"/>
  </sheets>
  <definedNames>
    <definedName name="_xlnm._FilterDatabase" localSheetId="1" hidden="1">'01-09'!$C$7:$S$7</definedName>
    <definedName name="_xlnm._FilterDatabase" localSheetId="2" hidden="1">'02-09'!$C$7:$S$7</definedName>
    <definedName name="_xlnm._FilterDatabase" localSheetId="3" hidden="1">'03-09'!$C$7:$S$7</definedName>
    <definedName name="_xlnm._FilterDatabase" localSheetId="4" hidden="1">'04-09'!$C$7:$S$7</definedName>
    <definedName name="_xlnm._FilterDatabase" localSheetId="5" hidden="1">'05-09'!$C$7:$S$7</definedName>
    <definedName name="_xlnm._FilterDatabase" localSheetId="6" hidden="1">'06-09'!$C$7:$S$7</definedName>
    <definedName name="_xlnm._FilterDatabase" localSheetId="7" hidden="1">'07-09'!$C$7:$S$7</definedName>
    <definedName name="_xlnm._FilterDatabase" localSheetId="8" hidden="1">'08-09'!$C$7:$S$7</definedName>
    <definedName name="_xlnm._FilterDatabase" localSheetId="9" hidden="1">'09-09'!$C$7:$S$7</definedName>
    <definedName name="_xlnm._FilterDatabase" localSheetId="10" hidden="1">'10-09'!$C$7:$S$7</definedName>
    <definedName name="_xlnm._FilterDatabase" localSheetId="11" hidden="1">'11-09'!$C$7:$S$7</definedName>
    <definedName name="_xlnm._FilterDatabase" localSheetId="12" hidden="1">'12-09'!$C$7:$S$7</definedName>
    <definedName name="_xlnm._FilterDatabase" localSheetId="13" hidden="1">'13-09'!$C$7:$S$7</definedName>
    <definedName name="_xlnm._FilterDatabase" localSheetId="14" hidden="1">'14-09'!$C$7:$S$7</definedName>
    <definedName name="_xlnm._FilterDatabase" localSheetId="15" hidden="1">'15-09'!$C$7:$S$7</definedName>
    <definedName name="_xlnm._FilterDatabase" localSheetId="16" hidden="1">'16-09'!$C$7:$S$7</definedName>
    <definedName name="_xlnm._FilterDatabase" localSheetId="17" hidden="1">'17-09'!$C$7:$S$7</definedName>
    <definedName name="_xlnm._FilterDatabase" localSheetId="18" hidden="1">'18-09'!$C$7:$S$7</definedName>
    <definedName name="_xlnm._FilterDatabase" localSheetId="19" hidden="1">'19-09'!$C$7:$S$7</definedName>
    <definedName name="_xlnm._FilterDatabase" localSheetId="20" hidden="1">'20-09'!$C$7:$S$7</definedName>
    <definedName name="_xlnm._FilterDatabase" localSheetId="21" hidden="1">'21-09'!$C$7:$S$7</definedName>
    <definedName name="_xlnm._FilterDatabase" localSheetId="22" hidden="1">'22-09'!$C$7:$S$7</definedName>
    <definedName name="_xlnm._FilterDatabase" localSheetId="23" hidden="1">'23-09'!$C$7:$S$7</definedName>
    <definedName name="_xlnm._FilterDatabase" localSheetId="24" hidden="1">'24-09'!$C$7:$S$7</definedName>
    <definedName name="_xlnm._FilterDatabase" localSheetId="25" hidden="1">'25-09'!$C$7:$S$7</definedName>
    <definedName name="_xlnm._FilterDatabase" localSheetId="26" hidden="1">'26-09'!$C$7:$S$7</definedName>
    <definedName name="_xlnm._FilterDatabase" localSheetId="27" hidden="1">'27-09'!$C$7:$S$7</definedName>
    <definedName name="_xlnm._FilterDatabase" localSheetId="28" hidden="1">'28-09'!$C$7:$S$7</definedName>
    <definedName name="_xlnm._FilterDatabase" localSheetId="29" hidden="1">'29-09'!$C$7:$S$7</definedName>
    <definedName name="_xlnm._FilterDatabase" localSheetId="30" hidden="1">'30-09'!$C$7:$S$7</definedName>
    <definedName name="_xlnm._FilterDatabase" localSheetId="0" hidden="1">'Lista desplegable'!#REF!</definedName>
    <definedName name="_xlnm.Print_Area" localSheetId="1">'01-09'!$C$41:$F$55</definedName>
    <definedName name="_xlnm.Print_Area" localSheetId="2">'02-09'!$C$41:$F$60</definedName>
    <definedName name="_xlnm.Print_Area" localSheetId="3">'03-09'!$C$41:$F$55</definedName>
    <definedName name="_xlnm.Print_Area" localSheetId="4">'04-09'!$C$41:$F$55</definedName>
    <definedName name="_xlnm.Print_Area" localSheetId="5">'05-09'!$C$41:$F$55</definedName>
    <definedName name="_xlnm.Print_Area" localSheetId="6">'06-09'!$C$54:$F$68</definedName>
    <definedName name="_xlnm.Print_Area" localSheetId="7">'07-09'!$C$41:$F$55</definedName>
    <definedName name="_xlnm.Print_Area" localSheetId="8">'08-09'!$C$41:$F$55</definedName>
    <definedName name="_xlnm.Print_Area" localSheetId="9">'09-09'!$C$41:$F$55</definedName>
    <definedName name="_xlnm.Print_Area" localSheetId="10">'10-09'!$C$41:$F$55</definedName>
    <definedName name="_xlnm.Print_Area" localSheetId="11">'11-09'!$C$41:$F$55</definedName>
    <definedName name="_xlnm.Print_Area" localSheetId="12">'12-09'!$C$41:$F$55</definedName>
    <definedName name="_xlnm.Print_Area" localSheetId="13">'13-09'!$C$41:$F$55</definedName>
    <definedName name="_xlnm.Print_Area" localSheetId="14">'14-09'!$C$41:$F$55</definedName>
    <definedName name="_xlnm.Print_Area" localSheetId="15">'15-09'!$C$41:$F$55</definedName>
    <definedName name="_xlnm.Print_Area" localSheetId="16">'16-09'!$C$41:$F$55</definedName>
    <definedName name="_xlnm.Print_Area" localSheetId="17">'17-09'!$C$41:$F$55</definedName>
    <definedName name="_xlnm.Print_Area" localSheetId="18">'18-09'!$C$41:$F$55</definedName>
    <definedName name="_xlnm.Print_Area" localSheetId="19">'19-09'!$C$41:$F$55</definedName>
    <definedName name="_xlnm.Print_Area" localSheetId="20">'20-09'!$C$41:$F$55</definedName>
    <definedName name="_xlnm.Print_Area" localSheetId="21">'21-09'!$C$41:$F$55</definedName>
    <definedName name="_xlnm.Print_Area" localSheetId="22">'22-09'!$C$41:$F$55</definedName>
    <definedName name="_xlnm.Print_Area" localSheetId="23">'23-09'!$C$41:$F$55</definedName>
    <definedName name="_xlnm.Print_Area" localSheetId="24">'24-09'!$C$40:$F$53</definedName>
    <definedName name="_xlnm.Print_Area" localSheetId="25">'25-09'!$C$41:$F$54</definedName>
    <definedName name="_xlnm.Print_Area" localSheetId="26">'26-09'!$C$39:$F$51</definedName>
    <definedName name="_xlnm.Print_Area" localSheetId="27">'27-09'!$C$39:$F$51</definedName>
    <definedName name="_xlnm.Print_Area" localSheetId="28">'28-09'!$C$39:$F$51</definedName>
    <definedName name="_xlnm.Print_Area" localSheetId="29">'29-09'!$C$38:$F$50</definedName>
    <definedName name="_xlnm.Print_Area" localSheetId="30">'30-09'!$C$39:$F$51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63" l="1"/>
  <c r="E10" i="63"/>
  <c r="D52" i="63"/>
  <c r="E52" i="63" s="1"/>
  <c r="D51" i="63"/>
  <c r="E51" i="63" s="1"/>
  <c r="D50" i="63"/>
  <c r="E50" i="63" s="1"/>
  <c r="D49" i="63"/>
  <c r="E49" i="63" s="1"/>
  <c r="D48" i="63"/>
  <c r="E48" i="63" s="1"/>
  <c r="D47" i="63"/>
  <c r="E47" i="63" s="1"/>
  <c r="D46" i="63"/>
  <c r="E46" i="63" s="1"/>
  <c r="D45" i="63"/>
  <c r="E45" i="63" s="1"/>
  <c r="D44" i="63"/>
  <c r="E44" i="63" s="1"/>
  <c r="D43" i="63"/>
  <c r="E43" i="63" s="1"/>
  <c r="D42" i="63"/>
  <c r="E42" i="63" s="1"/>
  <c r="D41" i="63"/>
  <c r="E41" i="63" s="1"/>
  <c r="D40" i="63"/>
  <c r="E40" i="63" s="1"/>
  <c r="D35" i="63"/>
  <c r="E35" i="63" s="1"/>
  <c r="D34" i="63"/>
  <c r="E34" i="63" s="1"/>
  <c r="D33" i="63"/>
  <c r="E33" i="63" s="1"/>
  <c r="D32" i="63"/>
  <c r="E32" i="63" s="1"/>
  <c r="D31" i="63"/>
  <c r="E31" i="63" s="1"/>
  <c r="D30" i="63"/>
  <c r="E30" i="63" s="1"/>
  <c r="D29" i="63"/>
  <c r="E29" i="63" s="1"/>
  <c r="D28" i="63"/>
  <c r="E28" i="63" s="1"/>
  <c r="D27" i="63"/>
  <c r="E27" i="63" s="1"/>
  <c r="D26" i="63"/>
  <c r="E26" i="63" s="1"/>
  <c r="D25" i="63"/>
  <c r="E25" i="63" s="1"/>
  <c r="D24" i="63"/>
  <c r="E24" i="63" s="1"/>
  <c r="D23" i="63"/>
  <c r="E23" i="63" s="1"/>
  <c r="D22" i="63"/>
  <c r="E22" i="63" s="1"/>
  <c r="D21" i="63"/>
  <c r="E21" i="63" s="1"/>
  <c r="D20" i="63"/>
  <c r="E20" i="63" s="1"/>
  <c r="D19" i="63"/>
  <c r="E19" i="63" s="1"/>
  <c r="D18" i="63"/>
  <c r="E18" i="63" s="1"/>
  <c r="D17" i="63"/>
  <c r="E17" i="63" s="1"/>
  <c r="D16" i="63"/>
  <c r="E16" i="63" s="1"/>
  <c r="D15" i="63"/>
  <c r="E15" i="63" s="1"/>
  <c r="D14" i="63"/>
  <c r="E14" i="63" s="1"/>
  <c r="D13" i="63"/>
  <c r="E13" i="63" s="1"/>
  <c r="D12" i="63"/>
  <c r="E12" i="63" s="1"/>
  <c r="D11" i="63"/>
  <c r="E11" i="63" s="1"/>
  <c r="D9" i="63"/>
  <c r="E9" i="63" s="1"/>
  <c r="D8" i="63"/>
  <c r="E8" i="63" s="1"/>
  <c r="D51" i="62"/>
  <c r="E51" i="62" s="1"/>
  <c r="D50" i="62"/>
  <c r="E50" i="62" s="1"/>
  <c r="D49" i="62"/>
  <c r="E49" i="62" s="1"/>
  <c r="D48" i="62"/>
  <c r="E48" i="62" s="1"/>
  <c r="D47" i="62"/>
  <c r="E47" i="62" s="1"/>
  <c r="D46" i="62"/>
  <c r="E46" i="62" s="1"/>
  <c r="D45" i="62"/>
  <c r="E45" i="62" s="1"/>
  <c r="D44" i="62"/>
  <c r="E44" i="62" s="1"/>
  <c r="D43" i="62"/>
  <c r="E43" i="62" s="1"/>
  <c r="D42" i="62"/>
  <c r="E42" i="62" s="1"/>
  <c r="D41" i="62"/>
  <c r="E41" i="62" s="1"/>
  <c r="D40" i="62"/>
  <c r="E40" i="62" s="1"/>
  <c r="D39" i="62"/>
  <c r="E39" i="62" s="1"/>
  <c r="D34" i="62"/>
  <c r="E34" i="62" s="1"/>
  <c r="D33" i="62"/>
  <c r="E33" i="62" s="1"/>
  <c r="D32" i="62"/>
  <c r="E32" i="62" s="1"/>
  <c r="D31" i="62"/>
  <c r="E31" i="62" s="1"/>
  <c r="D30" i="62"/>
  <c r="E30" i="62" s="1"/>
  <c r="D29" i="62"/>
  <c r="E29" i="62" s="1"/>
  <c r="D28" i="62"/>
  <c r="E28" i="62" s="1"/>
  <c r="D27" i="62"/>
  <c r="E27" i="62" s="1"/>
  <c r="D26" i="62"/>
  <c r="E26" i="62" s="1"/>
  <c r="D25" i="62"/>
  <c r="E25" i="62" s="1"/>
  <c r="D24" i="62"/>
  <c r="E24" i="62" s="1"/>
  <c r="D23" i="62"/>
  <c r="E23" i="62" s="1"/>
  <c r="D22" i="62"/>
  <c r="E22" i="62" s="1"/>
  <c r="D21" i="62"/>
  <c r="E21" i="62" s="1"/>
  <c r="D20" i="62"/>
  <c r="E20" i="62" s="1"/>
  <c r="D19" i="62"/>
  <c r="E19" i="62" s="1"/>
  <c r="D18" i="62"/>
  <c r="E18" i="62" s="1"/>
  <c r="D17" i="62"/>
  <c r="E17" i="62" s="1"/>
  <c r="D16" i="62"/>
  <c r="E16" i="62" s="1"/>
  <c r="D15" i="62"/>
  <c r="E15" i="62" s="1"/>
  <c r="D14" i="62"/>
  <c r="E14" i="62" s="1"/>
  <c r="D13" i="62"/>
  <c r="E13" i="62" s="1"/>
  <c r="D12" i="62"/>
  <c r="E12" i="62" s="1"/>
  <c r="D11" i="62"/>
  <c r="E11" i="62" s="1"/>
  <c r="D10" i="62"/>
  <c r="E10" i="62" s="1"/>
  <c r="D9" i="62"/>
  <c r="E9" i="62" s="1"/>
  <c r="D8" i="62"/>
  <c r="E8" i="62" s="1"/>
  <c r="D9" i="43"/>
  <c r="E9" i="43"/>
  <c r="D10" i="43"/>
  <c r="E10" i="43"/>
  <c r="D11" i="43"/>
  <c r="E11" i="43"/>
  <c r="D12" i="43"/>
  <c r="E12" i="43"/>
  <c r="D13" i="43"/>
  <c r="E13" i="43"/>
  <c r="D14" i="43"/>
  <c r="E14" i="43"/>
  <c r="D15" i="43"/>
  <c r="E15" i="43"/>
  <c r="D16" i="43"/>
  <c r="E16" i="43"/>
  <c r="D17" i="43"/>
  <c r="E17" i="43"/>
  <c r="D18" i="43"/>
  <c r="E18" i="43"/>
  <c r="D19" i="43"/>
  <c r="E19" i="43"/>
  <c r="D20" i="43"/>
  <c r="E20" i="43"/>
  <c r="D21" i="43"/>
  <c r="E21" i="43"/>
  <c r="D22" i="43"/>
  <c r="E22" i="43"/>
  <c r="D23" i="43"/>
  <c r="E23" i="43"/>
  <c r="D24" i="43"/>
  <c r="E24" i="43"/>
  <c r="D25" i="43"/>
  <c r="E25" i="43"/>
  <c r="D26" i="43"/>
  <c r="E26" i="43"/>
  <c r="D27" i="43"/>
  <c r="E27" i="43"/>
  <c r="D28" i="43"/>
  <c r="E28" i="43"/>
  <c r="D29" i="43"/>
  <c r="E29" i="43"/>
  <c r="D30" i="43"/>
  <c r="E30" i="43"/>
  <c r="D31" i="43"/>
  <c r="E31" i="43"/>
  <c r="D32" i="43"/>
  <c r="E32" i="43"/>
  <c r="D33" i="43"/>
  <c r="E33" i="43"/>
  <c r="D34" i="43"/>
  <c r="E34" i="43"/>
  <c r="D35" i="43"/>
  <c r="E35" i="43"/>
  <c r="D36" i="43"/>
  <c r="E36" i="43"/>
  <c r="D37" i="43"/>
  <c r="E37" i="43"/>
  <c r="D38" i="43"/>
  <c r="E38" i="43"/>
  <c r="D39" i="43"/>
  <c r="E39" i="43"/>
  <c r="D40" i="43"/>
  <c r="E40" i="43"/>
  <c r="D41" i="43"/>
  <c r="E41" i="43"/>
  <c r="D42" i="43"/>
  <c r="E42" i="43"/>
  <c r="D43" i="43"/>
  <c r="E43" i="43"/>
  <c r="D51" i="39"/>
  <c r="E51" i="39"/>
  <c r="D49" i="39"/>
  <c r="E49" i="39"/>
  <c r="D47" i="39"/>
  <c r="E47" i="39"/>
  <c r="D48" i="39"/>
  <c r="E48" i="39"/>
  <c r="D45" i="39"/>
  <c r="E45" i="39"/>
  <c r="D43" i="39"/>
  <c r="E43" i="39"/>
  <c r="D52" i="61"/>
  <c r="E52" i="61" s="1"/>
  <c r="D51" i="61"/>
  <c r="E51" i="61" s="1"/>
  <c r="D50" i="61"/>
  <c r="E50" i="61" s="1"/>
  <c r="D49" i="61"/>
  <c r="E49" i="61" s="1"/>
  <c r="D48" i="61"/>
  <c r="E48" i="61" s="1"/>
  <c r="D47" i="61"/>
  <c r="E47" i="61" s="1"/>
  <c r="D46" i="61"/>
  <c r="E46" i="61" s="1"/>
  <c r="D45" i="61"/>
  <c r="E45" i="61" s="1"/>
  <c r="D44" i="61"/>
  <c r="E44" i="61" s="1"/>
  <c r="D43" i="61"/>
  <c r="E43" i="61" s="1"/>
  <c r="D42" i="61"/>
  <c r="E42" i="61" s="1"/>
  <c r="D41" i="61"/>
  <c r="E41" i="61" s="1"/>
  <c r="D40" i="61"/>
  <c r="E40" i="61" s="1"/>
  <c r="D35" i="61"/>
  <c r="E35" i="61" s="1"/>
  <c r="D34" i="61"/>
  <c r="E34" i="61" s="1"/>
  <c r="D33" i="61"/>
  <c r="E33" i="61" s="1"/>
  <c r="D32" i="61"/>
  <c r="E32" i="61" s="1"/>
  <c r="D31" i="61"/>
  <c r="E31" i="61" s="1"/>
  <c r="D30" i="61"/>
  <c r="E30" i="61" s="1"/>
  <c r="D29" i="61"/>
  <c r="E29" i="61" s="1"/>
  <c r="D28" i="61"/>
  <c r="E28" i="61" s="1"/>
  <c r="D27" i="61"/>
  <c r="E27" i="61" s="1"/>
  <c r="D26" i="61"/>
  <c r="E26" i="61" s="1"/>
  <c r="D25" i="61"/>
  <c r="E25" i="61" s="1"/>
  <c r="D24" i="61"/>
  <c r="E24" i="61" s="1"/>
  <c r="D23" i="61"/>
  <c r="E23" i="61" s="1"/>
  <c r="D22" i="61"/>
  <c r="E22" i="61" s="1"/>
  <c r="D21" i="61"/>
  <c r="E21" i="61" s="1"/>
  <c r="D20" i="61"/>
  <c r="E20" i="61" s="1"/>
  <c r="D19" i="61"/>
  <c r="E19" i="61" s="1"/>
  <c r="D18" i="61"/>
  <c r="E18" i="61" s="1"/>
  <c r="D17" i="61"/>
  <c r="E17" i="61" s="1"/>
  <c r="D16" i="61"/>
  <c r="E16" i="61" s="1"/>
  <c r="D15" i="61"/>
  <c r="E15" i="61" s="1"/>
  <c r="D14" i="61"/>
  <c r="E14" i="61" s="1"/>
  <c r="D13" i="61"/>
  <c r="E13" i="61" s="1"/>
  <c r="D12" i="61"/>
  <c r="E12" i="61" s="1"/>
  <c r="D11" i="61"/>
  <c r="E11" i="61" s="1"/>
  <c r="D10" i="61"/>
  <c r="E10" i="61" s="1"/>
  <c r="D9" i="61"/>
  <c r="E9" i="61" s="1"/>
  <c r="D8" i="61"/>
  <c r="E8" i="61" s="1"/>
  <c r="D61" i="60"/>
  <c r="E61" i="60" s="1"/>
  <c r="D60" i="60"/>
  <c r="E60" i="60" s="1"/>
  <c r="D59" i="60"/>
  <c r="E59" i="60" s="1"/>
  <c r="D58" i="60"/>
  <c r="E58" i="60" s="1"/>
  <c r="D53" i="60"/>
  <c r="E53" i="60" s="1"/>
  <c r="D52" i="60"/>
  <c r="E52" i="60" s="1"/>
  <c r="D51" i="60"/>
  <c r="E51" i="60" s="1"/>
  <c r="D50" i="60"/>
  <c r="E50" i="60" s="1"/>
  <c r="D49" i="60"/>
  <c r="E49" i="60" s="1"/>
  <c r="D48" i="60"/>
  <c r="E48" i="60" s="1"/>
  <c r="D47" i="60"/>
  <c r="E47" i="60" s="1"/>
  <c r="D46" i="60"/>
  <c r="E46" i="60" s="1"/>
  <c r="D45" i="60"/>
  <c r="E45" i="60" s="1"/>
  <c r="D44" i="60"/>
  <c r="E44" i="60" s="1"/>
  <c r="D43" i="60"/>
  <c r="E43" i="60" s="1"/>
  <c r="D42" i="60"/>
  <c r="E42" i="60" s="1"/>
  <c r="D37" i="60"/>
  <c r="E37" i="60" s="1"/>
  <c r="D36" i="60"/>
  <c r="E36" i="60" s="1"/>
  <c r="D35" i="60"/>
  <c r="E35" i="60" s="1"/>
  <c r="D34" i="60"/>
  <c r="E34" i="60" s="1"/>
  <c r="D33" i="60"/>
  <c r="E33" i="60" s="1"/>
  <c r="D32" i="60"/>
  <c r="E32" i="60" s="1"/>
  <c r="D31" i="60"/>
  <c r="E31" i="60" s="1"/>
  <c r="D30" i="60"/>
  <c r="E30" i="60" s="1"/>
  <c r="D29" i="60"/>
  <c r="E29" i="60" s="1"/>
  <c r="D28" i="60"/>
  <c r="E28" i="60" s="1"/>
  <c r="D27" i="60"/>
  <c r="E27" i="60" s="1"/>
  <c r="D26" i="60"/>
  <c r="E26" i="60" s="1"/>
  <c r="D25" i="60"/>
  <c r="E25" i="60" s="1"/>
  <c r="D24" i="60"/>
  <c r="E24" i="60" s="1"/>
  <c r="D23" i="60"/>
  <c r="E23" i="60" s="1"/>
  <c r="D22" i="60"/>
  <c r="E22" i="60" s="1"/>
  <c r="D21" i="60"/>
  <c r="E21" i="60" s="1"/>
  <c r="D20" i="60"/>
  <c r="E20" i="60" s="1"/>
  <c r="D19" i="60"/>
  <c r="E19" i="60" s="1"/>
  <c r="D18" i="60"/>
  <c r="E18" i="60" s="1"/>
  <c r="D17" i="60"/>
  <c r="E17" i="60" s="1"/>
  <c r="D16" i="60"/>
  <c r="E16" i="60" s="1"/>
  <c r="D15" i="60"/>
  <c r="E15" i="60" s="1"/>
  <c r="D14" i="60"/>
  <c r="E14" i="60" s="1"/>
  <c r="D13" i="60"/>
  <c r="E13" i="60" s="1"/>
  <c r="D12" i="60"/>
  <c r="E12" i="60" s="1"/>
  <c r="D11" i="60"/>
  <c r="E11" i="60" s="1"/>
  <c r="D10" i="60"/>
  <c r="E10" i="60" s="1"/>
  <c r="D9" i="60"/>
  <c r="E9" i="60" s="1"/>
  <c r="D8" i="60"/>
  <c r="E8" i="60" s="1"/>
  <c r="D61" i="59"/>
  <c r="E61" i="59" s="1"/>
  <c r="D60" i="59"/>
  <c r="E60" i="59" s="1"/>
  <c r="D59" i="59"/>
  <c r="E59" i="59" s="1"/>
  <c r="D58" i="59"/>
  <c r="E58" i="59" s="1"/>
  <c r="D53" i="59"/>
  <c r="E53" i="59" s="1"/>
  <c r="D52" i="59"/>
  <c r="E52" i="59" s="1"/>
  <c r="D51" i="59"/>
  <c r="E51" i="59" s="1"/>
  <c r="D50" i="59"/>
  <c r="E50" i="59" s="1"/>
  <c r="D49" i="59"/>
  <c r="E49" i="59" s="1"/>
  <c r="D48" i="59"/>
  <c r="E48" i="59" s="1"/>
  <c r="D47" i="59"/>
  <c r="E47" i="59" s="1"/>
  <c r="D46" i="59"/>
  <c r="E46" i="59" s="1"/>
  <c r="D45" i="59"/>
  <c r="E45" i="59" s="1"/>
  <c r="D44" i="59"/>
  <c r="E44" i="59" s="1"/>
  <c r="D43" i="59"/>
  <c r="E43" i="59" s="1"/>
  <c r="D42" i="59"/>
  <c r="E42" i="59" s="1"/>
  <c r="D37" i="59"/>
  <c r="E37" i="59" s="1"/>
  <c r="D36" i="59"/>
  <c r="E36" i="59" s="1"/>
  <c r="D35" i="59"/>
  <c r="E35" i="59" s="1"/>
  <c r="D34" i="59"/>
  <c r="E34" i="59" s="1"/>
  <c r="D33" i="59"/>
  <c r="E33" i="59" s="1"/>
  <c r="D32" i="59"/>
  <c r="E32" i="59" s="1"/>
  <c r="D31" i="59"/>
  <c r="E31" i="59" s="1"/>
  <c r="D30" i="59"/>
  <c r="E30" i="59" s="1"/>
  <c r="D29" i="59"/>
  <c r="E29" i="59" s="1"/>
  <c r="D28" i="59"/>
  <c r="E28" i="59" s="1"/>
  <c r="D27" i="59"/>
  <c r="E27" i="59" s="1"/>
  <c r="D26" i="59"/>
  <c r="E26" i="59" s="1"/>
  <c r="D25" i="59"/>
  <c r="E25" i="59" s="1"/>
  <c r="D24" i="59"/>
  <c r="E24" i="59" s="1"/>
  <c r="D23" i="59"/>
  <c r="E23" i="59" s="1"/>
  <c r="D22" i="59"/>
  <c r="E22" i="59" s="1"/>
  <c r="D21" i="59"/>
  <c r="E21" i="59" s="1"/>
  <c r="D20" i="59"/>
  <c r="E20" i="59" s="1"/>
  <c r="D19" i="59"/>
  <c r="E19" i="59" s="1"/>
  <c r="D18" i="59"/>
  <c r="E18" i="59" s="1"/>
  <c r="D17" i="59"/>
  <c r="E17" i="59" s="1"/>
  <c r="D16" i="59"/>
  <c r="E16" i="59" s="1"/>
  <c r="D15" i="59"/>
  <c r="E15" i="59" s="1"/>
  <c r="D14" i="59"/>
  <c r="E14" i="59" s="1"/>
  <c r="D13" i="59"/>
  <c r="E13" i="59" s="1"/>
  <c r="D12" i="59"/>
  <c r="E12" i="59" s="1"/>
  <c r="D11" i="59"/>
  <c r="E11" i="59" s="1"/>
  <c r="D10" i="59"/>
  <c r="E10" i="59" s="1"/>
  <c r="D9" i="59"/>
  <c r="E9" i="59" s="1"/>
  <c r="D8" i="59"/>
  <c r="E8" i="59" s="1"/>
  <c r="D37" i="58"/>
  <c r="E37" i="58"/>
  <c r="D61" i="58"/>
  <c r="E61" i="58" s="1"/>
  <c r="D60" i="58"/>
  <c r="E60" i="58" s="1"/>
  <c r="D59" i="58"/>
  <c r="E59" i="58" s="1"/>
  <c r="D58" i="58"/>
  <c r="E58" i="58" s="1"/>
  <c r="D53" i="58"/>
  <c r="E53" i="58" s="1"/>
  <c r="D52" i="58"/>
  <c r="E52" i="58" s="1"/>
  <c r="D51" i="58"/>
  <c r="E51" i="58" s="1"/>
  <c r="D50" i="58"/>
  <c r="E50" i="58" s="1"/>
  <c r="D49" i="58"/>
  <c r="E49" i="58" s="1"/>
  <c r="D48" i="58"/>
  <c r="E48" i="58" s="1"/>
  <c r="D47" i="58"/>
  <c r="E47" i="58" s="1"/>
  <c r="D46" i="58"/>
  <c r="E46" i="58" s="1"/>
  <c r="D45" i="58"/>
  <c r="E45" i="58" s="1"/>
  <c r="D44" i="58"/>
  <c r="E44" i="58" s="1"/>
  <c r="D43" i="58"/>
  <c r="E43" i="58" s="1"/>
  <c r="D42" i="58"/>
  <c r="E42" i="58" s="1"/>
  <c r="D36" i="58"/>
  <c r="E36" i="58" s="1"/>
  <c r="D35" i="58"/>
  <c r="E35" i="58" s="1"/>
  <c r="D34" i="58"/>
  <c r="E34" i="58" s="1"/>
  <c r="D33" i="58"/>
  <c r="E33" i="58" s="1"/>
  <c r="D32" i="58"/>
  <c r="E32" i="58" s="1"/>
  <c r="D31" i="58"/>
  <c r="E31" i="58" s="1"/>
  <c r="D30" i="58"/>
  <c r="E30" i="58" s="1"/>
  <c r="D29" i="58"/>
  <c r="E29" i="58" s="1"/>
  <c r="D28" i="58"/>
  <c r="E28" i="58" s="1"/>
  <c r="D27" i="58"/>
  <c r="E27" i="58" s="1"/>
  <c r="D26" i="58"/>
  <c r="E26" i="58" s="1"/>
  <c r="D25" i="58"/>
  <c r="E25" i="58" s="1"/>
  <c r="D24" i="58"/>
  <c r="E24" i="58" s="1"/>
  <c r="D23" i="58"/>
  <c r="E23" i="58" s="1"/>
  <c r="D22" i="58"/>
  <c r="E22" i="58" s="1"/>
  <c r="D21" i="58"/>
  <c r="E21" i="58" s="1"/>
  <c r="D20" i="58"/>
  <c r="E20" i="58" s="1"/>
  <c r="D19" i="58"/>
  <c r="E19" i="58" s="1"/>
  <c r="D18" i="58"/>
  <c r="E18" i="58" s="1"/>
  <c r="D17" i="58"/>
  <c r="E17" i="58" s="1"/>
  <c r="D16" i="58"/>
  <c r="E16" i="58" s="1"/>
  <c r="D15" i="58"/>
  <c r="E15" i="58" s="1"/>
  <c r="D14" i="58"/>
  <c r="E14" i="58" s="1"/>
  <c r="D13" i="58"/>
  <c r="E13" i="58" s="1"/>
  <c r="D12" i="58"/>
  <c r="E12" i="58" s="1"/>
  <c r="D11" i="58"/>
  <c r="E11" i="58" s="1"/>
  <c r="D10" i="58"/>
  <c r="E10" i="58" s="1"/>
  <c r="D9" i="58"/>
  <c r="E9" i="58" s="1"/>
  <c r="D8" i="58"/>
  <c r="E8" i="58" s="1"/>
  <c r="D61" i="57"/>
  <c r="E61" i="57" s="1"/>
  <c r="D60" i="57"/>
  <c r="E60" i="57" s="1"/>
  <c r="D59" i="57"/>
  <c r="E59" i="57" s="1"/>
  <c r="D58" i="57"/>
  <c r="E58" i="57" s="1"/>
  <c r="D53" i="57"/>
  <c r="E53" i="57" s="1"/>
  <c r="D52" i="57"/>
  <c r="E52" i="57" s="1"/>
  <c r="D51" i="57"/>
  <c r="E51" i="57" s="1"/>
  <c r="D50" i="57"/>
  <c r="E50" i="57" s="1"/>
  <c r="D49" i="57"/>
  <c r="E49" i="57" s="1"/>
  <c r="D48" i="57"/>
  <c r="E48" i="57" s="1"/>
  <c r="D47" i="57"/>
  <c r="E47" i="57" s="1"/>
  <c r="D46" i="57"/>
  <c r="E46" i="57" s="1"/>
  <c r="D45" i="57"/>
  <c r="E45" i="57" s="1"/>
  <c r="D44" i="57"/>
  <c r="E44" i="57" s="1"/>
  <c r="D43" i="57"/>
  <c r="E43" i="57" s="1"/>
  <c r="D42" i="57"/>
  <c r="E42" i="57" s="1"/>
  <c r="D36" i="57"/>
  <c r="E36" i="57" s="1"/>
  <c r="D35" i="57"/>
  <c r="E35" i="57" s="1"/>
  <c r="D34" i="57"/>
  <c r="E34" i="57" s="1"/>
  <c r="D33" i="57"/>
  <c r="E33" i="57" s="1"/>
  <c r="D32" i="57"/>
  <c r="E32" i="57" s="1"/>
  <c r="D31" i="57"/>
  <c r="E31" i="57" s="1"/>
  <c r="D30" i="57"/>
  <c r="E30" i="57" s="1"/>
  <c r="D29" i="57"/>
  <c r="E29" i="57" s="1"/>
  <c r="D28" i="57"/>
  <c r="E28" i="57" s="1"/>
  <c r="D27" i="57"/>
  <c r="E27" i="57" s="1"/>
  <c r="D26" i="57"/>
  <c r="E26" i="57" s="1"/>
  <c r="D25" i="57"/>
  <c r="E25" i="57" s="1"/>
  <c r="D24" i="57"/>
  <c r="E24" i="57" s="1"/>
  <c r="D23" i="57"/>
  <c r="E23" i="57" s="1"/>
  <c r="D22" i="57"/>
  <c r="E22" i="57" s="1"/>
  <c r="D21" i="57"/>
  <c r="E21" i="57" s="1"/>
  <c r="D20" i="57"/>
  <c r="E20" i="57" s="1"/>
  <c r="D19" i="57"/>
  <c r="E19" i="57" s="1"/>
  <c r="D18" i="57"/>
  <c r="E18" i="57" s="1"/>
  <c r="D17" i="57"/>
  <c r="E17" i="57" s="1"/>
  <c r="D16" i="57"/>
  <c r="E16" i="57" s="1"/>
  <c r="D15" i="57"/>
  <c r="E15" i="57" s="1"/>
  <c r="D14" i="57"/>
  <c r="E14" i="57" s="1"/>
  <c r="D13" i="57"/>
  <c r="E13" i="57" s="1"/>
  <c r="D12" i="57"/>
  <c r="E12" i="57" s="1"/>
  <c r="D11" i="57"/>
  <c r="E11" i="57" s="1"/>
  <c r="D10" i="57"/>
  <c r="E10" i="57" s="1"/>
  <c r="D9" i="57"/>
  <c r="E9" i="57" s="1"/>
  <c r="D8" i="57"/>
  <c r="E8" i="57" s="1"/>
  <c r="D61" i="56"/>
  <c r="E61" i="56" s="1"/>
  <c r="D60" i="56"/>
  <c r="E60" i="56" s="1"/>
  <c r="D59" i="56"/>
  <c r="E59" i="56" s="1"/>
  <c r="D58" i="56"/>
  <c r="E58" i="56" s="1"/>
  <c r="D53" i="56"/>
  <c r="E53" i="56" s="1"/>
  <c r="D52" i="56"/>
  <c r="E52" i="56" s="1"/>
  <c r="D51" i="56"/>
  <c r="E51" i="56" s="1"/>
  <c r="D50" i="56"/>
  <c r="E50" i="56" s="1"/>
  <c r="D49" i="56"/>
  <c r="E49" i="56" s="1"/>
  <c r="D48" i="56"/>
  <c r="E48" i="56" s="1"/>
  <c r="D47" i="56"/>
  <c r="E47" i="56" s="1"/>
  <c r="D46" i="56"/>
  <c r="E46" i="56" s="1"/>
  <c r="D45" i="56"/>
  <c r="E45" i="56" s="1"/>
  <c r="D44" i="56"/>
  <c r="E44" i="56" s="1"/>
  <c r="D43" i="56"/>
  <c r="E43" i="56" s="1"/>
  <c r="D42" i="56"/>
  <c r="E42" i="56" s="1"/>
  <c r="D36" i="56"/>
  <c r="E36" i="56" s="1"/>
  <c r="D35" i="56"/>
  <c r="E35" i="56" s="1"/>
  <c r="D34" i="56"/>
  <c r="E34" i="56" s="1"/>
  <c r="D33" i="56"/>
  <c r="E33" i="56" s="1"/>
  <c r="D32" i="56"/>
  <c r="E32" i="56" s="1"/>
  <c r="D31" i="56"/>
  <c r="E31" i="56" s="1"/>
  <c r="D30" i="56"/>
  <c r="E30" i="56" s="1"/>
  <c r="D29" i="56"/>
  <c r="E29" i="56" s="1"/>
  <c r="D28" i="56"/>
  <c r="E28" i="56" s="1"/>
  <c r="D27" i="56"/>
  <c r="E27" i="56" s="1"/>
  <c r="D26" i="56"/>
  <c r="E26" i="56" s="1"/>
  <c r="D25" i="56"/>
  <c r="E25" i="56" s="1"/>
  <c r="D24" i="56"/>
  <c r="E24" i="56" s="1"/>
  <c r="D23" i="56"/>
  <c r="E23" i="56" s="1"/>
  <c r="D22" i="56"/>
  <c r="E22" i="56" s="1"/>
  <c r="D21" i="56"/>
  <c r="E21" i="56" s="1"/>
  <c r="D20" i="56"/>
  <c r="E20" i="56" s="1"/>
  <c r="D19" i="56"/>
  <c r="E19" i="56" s="1"/>
  <c r="D18" i="56"/>
  <c r="E18" i="56" s="1"/>
  <c r="D17" i="56"/>
  <c r="E17" i="56" s="1"/>
  <c r="D16" i="56"/>
  <c r="E16" i="56" s="1"/>
  <c r="D15" i="56"/>
  <c r="E15" i="56" s="1"/>
  <c r="D14" i="56"/>
  <c r="E14" i="56" s="1"/>
  <c r="D13" i="56"/>
  <c r="E13" i="56" s="1"/>
  <c r="D12" i="56"/>
  <c r="E12" i="56" s="1"/>
  <c r="D11" i="56"/>
  <c r="E11" i="56" s="1"/>
  <c r="D10" i="56"/>
  <c r="E10" i="56" s="1"/>
  <c r="D9" i="56"/>
  <c r="E9" i="56" s="1"/>
  <c r="D8" i="56"/>
  <c r="E8" i="56" s="1"/>
  <c r="D61" i="55"/>
  <c r="E61" i="55" s="1"/>
  <c r="D60" i="55"/>
  <c r="E60" i="55" s="1"/>
  <c r="D59" i="55"/>
  <c r="E59" i="55" s="1"/>
  <c r="D58" i="55"/>
  <c r="E58" i="55" s="1"/>
  <c r="D53" i="55"/>
  <c r="E53" i="55" s="1"/>
  <c r="D52" i="55"/>
  <c r="E52" i="55" s="1"/>
  <c r="D51" i="55"/>
  <c r="E51" i="55" s="1"/>
  <c r="D50" i="55"/>
  <c r="E50" i="55" s="1"/>
  <c r="D49" i="55"/>
  <c r="E49" i="55" s="1"/>
  <c r="D48" i="55"/>
  <c r="E48" i="55" s="1"/>
  <c r="D47" i="55"/>
  <c r="E47" i="55" s="1"/>
  <c r="D46" i="55"/>
  <c r="E46" i="55" s="1"/>
  <c r="D45" i="55"/>
  <c r="E45" i="55" s="1"/>
  <c r="D44" i="55"/>
  <c r="E44" i="55" s="1"/>
  <c r="D43" i="55"/>
  <c r="E43" i="55" s="1"/>
  <c r="D42" i="55"/>
  <c r="E42" i="55" s="1"/>
  <c r="D36" i="55"/>
  <c r="E36" i="55" s="1"/>
  <c r="D35" i="55"/>
  <c r="E35" i="55" s="1"/>
  <c r="D34" i="55"/>
  <c r="E34" i="55" s="1"/>
  <c r="D33" i="55"/>
  <c r="E33" i="55" s="1"/>
  <c r="D32" i="55"/>
  <c r="E32" i="55" s="1"/>
  <c r="D31" i="55"/>
  <c r="E31" i="55" s="1"/>
  <c r="D30" i="55"/>
  <c r="E30" i="55" s="1"/>
  <c r="D29" i="55"/>
  <c r="E29" i="55" s="1"/>
  <c r="D28" i="55"/>
  <c r="E28" i="55" s="1"/>
  <c r="D27" i="55"/>
  <c r="E27" i="55" s="1"/>
  <c r="D26" i="55"/>
  <c r="E26" i="55" s="1"/>
  <c r="D25" i="55"/>
  <c r="E25" i="55" s="1"/>
  <c r="D24" i="55"/>
  <c r="E24" i="55" s="1"/>
  <c r="D23" i="55"/>
  <c r="E23" i="55" s="1"/>
  <c r="D22" i="55"/>
  <c r="E22" i="55" s="1"/>
  <c r="D21" i="55"/>
  <c r="E21" i="55" s="1"/>
  <c r="D20" i="55"/>
  <c r="E20" i="55" s="1"/>
  <c r="D19" i="55"/>
  <c r="E19" i="55" s="1"/>
  <c r="D18" i="55"/>
  <c r="E18" i="55" s="1"/>
  <c r="D17" i="55"/>
  <c r="E17" i="55" s="1"/>
  <c r="D16" i="55"/>
  <c r="E16" i="55" s="1"/>
  <c r="D15" i="55"/>
  <c r="E15" i="55" s="1"/>
  <c r="D14" i="55"/>
  <c r="E14" i="55" s="1"/>
  <c r="D13" i="55"/>
  <c r="E13" i="55" s="1"/>
  <c r="D12" i="55"/>
  <c r="E12" i="55" s="1"/>
  <c r="D11" i="55"/>
  <c r="E11" i="55" s="1"/>
  <c r="D10" i="55"/>
  <c r="E10" i="55" s="1"/>
  <c r="D9" i="55"/>
  <c r="E9" i="55" s="1"/>
  <c r="D8" i="55"/>
  <c r="E8" i="55" s="1"/>
  <c r="D35" i="54"/>
  <c r="E35" i="54"/>
  <c r="D36" i="54"/>
  <c r="E36" i="54"/>
  <c r="D61" i="54"/>
  <c r="E61" i="54" s="1"/>
  <c r="D60" i="54"/>
  <c r="E60" i="54" s="1"/>
  <c r="D59" i="54"/>
  <c r="E59" i="54" s="1"/>
  <c r="D58" i="54"/>
  <c r="E58" i="54" s="1"/>
  <c r="D53" i="54"/>
  <c r="E53" i="54" s="1"/>
  <c r="D52" i="54"/>
  <c r="E52" i="54" s="1"/>
  <c r="D51" i="54"/>
  <c r="E51" i="54" s="1"/>
  <c r="D50" i="54"/>
  <c r="E50" i="54" s="1"/>
  <c r="D49" i="54"/>
  <c r="E49" i="54" s="1"/>
  <c r="D48" i="54"/>
  <c r="E48" i="54" s="1"/>
  <c r="D47" i="54"/>
  <c r="E47" i="54" s="1"/>
  <c r="D46" i="54"/>
  <c r="E46" i="54" s="1"/>
  <c r="D45" i="54"/>
  <c r="E45" i="54" s="1"/>
  <c r="D44" i="54"/>
  <c r="E44" i="54" s="1"/>
  <c r="D43" i="54"/>
  <c r="E43" i="54" s="1"/>
  <c r="D42" i="54"/>
  <c r="E42" i="54" s="1"/>
  <c r="D34" i="54"/>
  <c r="E34" i="54" s="1"/>
  <c r="D33" i="54"/>
  <c r="E33" i="54" s="1"/>
  <c r="D32" i="54"/>
  <c r="E32" i="54" s="1"/>
  <c r="D31" i="54"/>
  <c r="E31" i="54" s="1"/>
  <c r="D30" i="54"/>
  <c r="E30" i="54" s="1"/>
  <c r="D29" i="54"/>
  <c r="E29" i="54" s="1"/>
  <c r="D28" i="54"/>
  <c r="E28" i="54" s="1"/>
  <c r="D27" i="54"/>
  <c r="E27" i="54" s="1"/>
  <c r="D26" i="54"/>
  <c r="E26" i="54" s="1"/>
  <c r="D25" i="54"/>
  <c r="E25" i="54" s="1"/>
  <c r="D24" i="54"/>
  <c r="E24" i="54" s="1"/>
  <c r="D23" i="54"/>
  <c r="E23" i="54" s="1"/>
  <c r="D22" i="54"/>
  <c r="E22" i="54" s="1"/>
  <c r="D21" i="54"/>
  <c r="E21" i="54" s="1"/>
  <c r="D20" i="54"/>
  <c r="E20" i="54" s="1"/>
  <c r="D19" i="54"/>
  <c r="E19" i="54" s="1"/>
  <c r="D18" i="54"/>
  <c r="E18" i="54" s="1"/>
  <c r="D17" i="54"/>
  <c r="E17" i="54" s="1"/>
  <c r="D16" i="54"/>
  <c r="E16" i="54" s="1"/>
  <c r="D15" i="54"/>
  <c r="E15" i="54" s="1"/>
  <c r="D14" i="54"/>
  <c r="E14" i="54" s="1"/>
  <c r="D13" i="54"/>
  <c r="E13" i="54" s="1"/>
  <c r="D12" i="54"/>
  <c r="E12" i="54" s="1"/>
  <c r="D11" i="54"/>
  <c r="E11" i="54" s="1"/>
  <c r="D10" i="54"/>
  <c r="E10" i="54" s="1"/>
  <c r="D9" i="54"/>
  <c r="E9" i="54" s="1"/>
  <c r="D8" i="54"/>
  <c r="E8" i="54" s="1"/>
  <c r="D31" i="53"/>
  <c r="E31" i="53"/>
  <c r="D32" i="53"/>
  <c r="E32" i="53"/>
  <c r="D33" i="53"/>
  <c r="E33" i="53"/>
  <c r="D34" i="53"/>
  <c r="E34" i="53"/>
  <c r="D61" i="53"/>
  <c r="E61" i="53" s="1"/>
  <c r="D60" i="53"/>
  <c r="E60" i="53" s="1"/>
  <c r="D59" i="53"/>
  <c r="E59" i="53" s="1"/>
  <c r="D58" i="53"/>
  <c r="E58" i="53" s="1"/>
  <c r="D53" i="53"/>
  <c r="E53" i="53" s="1"/>
  <c r="D52" i="53"/>
  <c r="E52" i="53" s="1"/>
  <c r="D51" i="53"/>
  <c r="E51" i="53" s="1"/>
  <c r="D50" i="53"/>
  <c r="E50" i="53" s="1"/>
  <c r="D49" i="53"/>
  <c r="E49" i="53" s="1"/>
  <c r="D48" i="53"/>
  <c r="E48" i="53" s="1"/>
  <c r="D47" i="53"/>
  <c r="E47" i="53" s="1"/>
  <c r="D46" i="53"/>
  <c r="E46" i="53" s="1"/>
  <c r="D45" i="53"/>
  <c r="E45" i="53" s="1"/>
  <c r="D44" i="53"/>
  <c r="E44" i="53" s="1"/>
  <c r="D43" i="53"/>
  <c r="E43" i="53" s="1"/>
  <c r="D42" i="53"/>
  <c r="E42" i="53" s="1"/>
  <c r="D30" i="53"/>
  <c r="E30" i="53" s="1"/>
  <c r="D29" i="53"/>
  <c r="E29" i="53" s="1"/>
  <c r="D28" i="53"/>
  <c r="E28" i="53" s="1"/>
  <c r="D27" i="53"/>
  <c r="E27" i="53" s="1"/>
  <c r="D26" i="53"/>
  <c r="E26" i="53" s="1"/>
  <c r="D25" i="53"/>
  <c r="E25" i="53" s="1"/>
  <c r="D24" i="53"/>
  <c r="E24" i="53" s="1"/>
  <c r="D23" i="53"/>
  <c r="E23" i="53" s="1"/>
  <c r="D22" i="53"/>
  <c r="E22" i="53" s="1"/>
  <c r="D21" i="53"/>
  <c r="E21" i="53" s="1"/>
  <c r="D20" i="53"/>
  <c r="E20" i="53" s="1"/>
  <c r="D19" i="53"/>
  <c r="E19" i="53" s="1"/>
  <c r="D18" i="53"/>
  <c r="E18" i="53" s="1"/>
  <c r="D17" i="53"/>
  <c r="E17" i="53" s="1"/>
  <c r="D16" i="53"/>
  <c r="E16" i="53" s="1"/>
  <c r="D15" i="53"/>
  <c r="E15" i="53" s="1"/>
  <c r="D14" i="53"/>
  <c r="E14" i="53" s="1"/>
  <c r="D13" i="53"/>
  <c r="E13" i="53" s="1"/>
  <c r="D12" i="53"/>
  <c r="E12" i="53" s="1"/>
  <c r="D11" i="53"/>
  <c r="E11" i="53" s="1"/>
  <c r="D10" i="53"/>
  <c r="E10" i="53" s="1"/>
  <c r="D9" i="53"/>
  <c r="E9" i="53" s="1"/>
  <c r="D8" i="53"/>
  <c r="E8" i="53" s="1"/>
  <c r="D61" i="52"/>
  <c r="E61" i="52" s="1"/>
  <c r="D60" i="52"/>
  <c r="E60" i="52" s="1"/>
  <c r="D59" i="52"/>
  <c r="E59" i="52" s="1"/>
  <c r="D58" i="52"/>
  <c r="E58" i="52" s="1"/>
  <c r="D53" i="52"/>
  <c r="E53" i="52" s="1"/>
  <c r="D52" i="52"/>
  <c r="E52" i="52" s="1"/>
  <c r="D51" i="52"/>
  <c r="E51" i="52" s="1"/>
  <c r="D50" i="52"/>
  <c r="E50" i="52" s="1"/>
  <c r="D49" i="52"/>
  <c r="E49" i="52" s="1"/>
  <c r="D48" i="52"/>
  <c r="E48" i="52" s="1"/>
  <c r="D47" i="52"/>
  <c r="E47" i="52" s="1"/>
  <c r="D46" i="52"/>
  <c r="E46" i="52" s="1"/>
  <c r="D45" i="52"/>
  <c r="E45" i="52" s="1"/>
  <c r="D44" i="52"/>
  <c r="E44" i="52" s="1"/>
  <c r="D43" i="52"/>
  <c r="E43" i="52" s="1"/>
  <c r="D42" i="52"/>
  <c r="E42" i="52" s="1"/>
  <c r="D30" i="52"/>
  <c r="E30" i="52" s="1"/>
  <c r="D29" i="52"/>
  <c r="E29" i="52" s="1"/>
  <c r="D28" i="52"/>
  <c r="E28" i="52" s="1"/>
  <c r="D27" i="52"/>
  <c r="E27" i="52" s="1"/>
  <c r="D26" i="52"/>
  <c r="E26" i="52" s="1"/>
  <c r="D25" i="52"/>
  <c r="E25" i="52" s="1"/>
  <c r="D24" i="52"/>
  <c r="E24" i="52" s="1"/>
  <c r="D23" i="52"/>
  <c r="E23" i="52" s="1"/>
  <c r="D22" i="52"/>
  <c r="E22" i="52" s="1"/>
  <c r="D21" i="52"/>
  <c r="E21" i="52" s="1"/>
  <c r="D20" i="52"/>
  <c r="E20" i="52" s="1"/>
  <c r="D19" i="52"/>
  <c r="E19" i="52" s="1"/>
  <c r="D18" i="52"/>
  <c r="E18" i="52" s="1"/>
  <c r="D17" i="52"/>
  <c r="E17" i="52" s="1"/>
  <c r="D16" i="52"/>
  <c r="E16" i="52" s="1"/>
  <c r="D15" i="52"/>
  <c r="E15" i="52" s="1"/>
  <c r="D14" i="52"/>
  <c r="E14" i="52" s="1"/>
  <c r="D13" i="52"/>
  <c r="E13" i="52" s="1"/>
  <c r="D12" i="52"/>
  <c r="E12" i="52" s="1"/>
  <c r="D11" i="52"/>
  <c r="E11" i="52" s="1"/>
  <c r="D10" i="52"/>
  <c r="E10" i="52" s="1"/>
  <c r="D9" i="52"/>
  <c r="E9" i="52" s="1"/>
  <c r="D8" i="52"/>
  <c r="E8" i="52" s="1"/>
  <c r="D30" i="51"/>
  <c r="E30" i="51"/>
  <c r="D31" i="51"/>
  <c r="E31" i="51"/>
  <c r="D61" i="51"/>
  <c r="E61" i="51" s="1"/>
  <c r="D60" i="51"/>
  <c r="E60" i="51" s="1"/>
  <c r="D59" i="51"/>
  <c r="E59" i="51" s="1"/>
  <c r="D58" i="51"/>
  <c r="E58" i="51" s="1"/>
  <c r="D53" i="51"/>
  <c r="E53" i="51" s="1"/>
  <c r="D52" i="51"/>
  <c r="E52" i="51" s="1"/>
  <c r="D51" i="51"/>
  <c r="E51" i="51" s="1"/>
  <c r="D50" i="51"/>
  <c r="E50" i="51" s="1"/>
  <c r="D49" i="51"/>
  <c r="E49" i="51" s="1"/>
  <c r="D48" i="51"/>
  <c r="E48" i="51" s="1"/>
  <c r="D47" i="51"/>
  <c r="E47" i="51" s="1"/>
  <c r="D46" i="51"/>
  <c r="E46" i="51" s="1"/>
  <c r="D45" i="51"/>
  <c r="E45" i="51" s="1"/>
  <c r="D44" i="51"/>
  <c r="E44" i="51" s="1"/>
  <c r="D43" i="51"/>
  <c r="E43" i="51" s="1"/>
  <c r="D42" i="51"/>
  <c r="E42" i="51" s="1"/>
  <c r="D29" i="51"/>
  <c r="E29" i="51" s="1"/>
  <c r="D28" i="51"/>
  <c r="E28" i="51" s="1"/>
  <c r="D27" i="51"/>
  <c r="E27" i="51" s="1"/>
  <c r="D26" i="51"/>
  <c r="E26" i="51" s="1"/>
  <c r="D25" i="51"/>
  <c r="E25" i="51" s="1"/>
  <c r="D24" i="51"/>
  <c r="E24" i="51" s="1"/>
  <c r="D23" i="51"/>
  <c r="E23" i="51" s="1"/>
  <c r="D22" i="51"/>
  <c r="E22" i="51" s="1"/>
  <c r="D21" i="51"/>
  <c r="E21" i="51" s="1"/>
  <c r="D20" i="51"/>
  <c r="E20" i="51" s="1"/>
  <c r="D19" i="51"/>
  <c r="E19" i="51" s="1"/>
  <c r="D18" i="51"/>
  <c r="E18" i="51" s="1"/>
  <c r="D17" i="51"/>
  <c r="E17" i="51" s="1"/>
  <c r="D16" i="51"/>
  <c r="E16" i="51" s="1"/>
  <c r="D15" i="51"/>
  <c r="E15" i="51" s="1"/>
  <c r="D14" i="51"/>
  <c r="E14" i="51" s="1"/>
  <c r="D13" i="51"/>
  <c r="E13" i="51" s="1"/>
  <c r="D12" i="51"/>
  <c r="E12" i="51" s="1"/>
  <c r="D11" i="51"/>
  <c r="E11" i="51" s="1"/>
  <c r="D10" i="51"/>
  <c r="E10" i="51" s="1"/>
  <c r="D9" i="51"/>
  <c r="E9" i="51" s="1"/>
  <c r="D8" i="51"/>
  <c r="E8" i="51" s="1"/>
  <c r="D61" i="50"/>
  <c r="E61" i="50" s="1"/>
  <c r="D60" i="50"/>
  <c r="E60" i="50" s="1"/>
  <c r="D59" i="50"/>
  <c r="E59" i="50" s="1"/>
  <c r="D58" i="50"/>
  <c r="E58" i="50" s="1"/>
  <c r="D53" i="50"/>
  <c r="E53" i="50" s="1"/>
  <c r="D52" i="50"/>
  <c r="E52" i="50" s="1"/>
  <c r="D51" i="50"/>
  <c r="E51" i="50" s="1"/>
  <c r="D50" i="50"/>
  <c r="E50" i="50" s="1"/>
  <c r="D49" i="50"/>
  <c r="E49" i="50" s="1"/>
  <c r="D48" i="50"/>
  <c r="E48" i="50" s="1"/>
  <c r="D47" i="50"/>
  <c r="E47" i="50" s="1"/>
  <c r="D46" i="50"/>
  <c r="E46" i="50" s="1"/>
  <c r="D45" i="50"/>
  <c r="E45" i="50" s="1"/>
  <c r="D44" i="50"/>
  <c r="E44" i="50" s="1"/>
  <c r="D43" i="50"/>
  <c r="E43" i="50" s="1"/>
  <c r="D42" i="50"/>
  <c r="E42" i="50" s="1"/>
  <c r="D29" i="50"/>
  <c r="E29" i="50" s="1"/>
  <c r="D28" i="50"/>
  <c r="E28" i="50" s="1"/>
  <c r="D27" i="50"/>
  <c r="E27" i="50" s="1"/>
  <c r="D26" i="50"/>
  <c r="E26" i="50" s="1"/>
  <c r="D25" i="50"/>
  <c r="E25" i="50" s="1"/>
  <c r="D24" i="50"/>
  <c r="E24" i="50" s="1"/>
  <c r="D23" i="50"/>
  <c r="E23" i="50" s="1"/>
  <c r="D22" i="50"/>
  <c r="E22" i="50" s="1"/>
  <c r="D21" i="50"/>
  <c r="E21" i="50" s="1"/>
  <c r="D20" i="50"/>
  <c r="E20" i="50" s="1"/>
  <c r="D19" i="50"/>
  <c r="E19" i="50" s="1"/>
  <c r="D18" i="50"/>
  <c r="E18" i="50" s="1"/>
  <c r="D17" i="50"/>
  <c r="E17" i="50" s="1"/>
  <c r="D16" i="50"/>
  <c r="E16" i="50" s="1"/>
  <c r="D15" i="50"/>
  <c r="E15" i="50" s="1"/>
  <c r="D14" i="50"/>
  <c r="E14" i="50" s="1"/>
  <c r="D13" i="50"/>
  <c r="E13" i="50" s="1"/>
  <c r="D12" i="50"/>
  <c r="E12" i="50" s="1"/>
  <c r="D11" i="50"/>
  <c r="E11" i="50" s="1"/>
  <c r="D10" i="50"/>
  <c r="E10" i="50" s="1"/>
  <c r="D9" i="50"/>
  <c r="E9" i="50" s="1"/>
  <c r="D8" i="50"/>
  <c r="E8" i="50" s="1"/>
  <c r="D61" i="49"/>
  <c r="E61" i="49" s="1"/>
  <c r="D60" i="49"/>
  <c r="E60" i="49" s="1"/>
  <c r="D59" i="49"/>
  <c r="E59" i="49" s="1"/>
  <c r="D58" i="49"/>
  <c r="E58" i="49" s="1"/>
  <c r="D53" i="49"/>
  <c r="E53" i="49" s="1"/>
  <c r="D52" i="49"/>
  <c r="E52" i="49" s="1"/>
  <c r="D51" i="49"/>
  <c r="E51" i="49" s="1"/>
  <c r="D50" i="49"/>
  <c r="E50" i="49" s="1"/>
  <c r="D49" i="49"/>
  <c r="E49" i="49" s="1"/>
  <c r="D48" i="49"/>
  <c r="E48" i="49" s="1"/>
  <c r="D47" i="49"/>
  <c r="E47" i="49" s="1"/>
  <c r="D46" i="49"/>
  <c r="E46" i="49" s="1"/>
  <c r="D45" i="49"/>
  <c r="E45" i="49" s="1"/>
  <c r="D44" i="49"/>
  <c r="E44" i="49" s="1"/>
  <c r="D43" i="49"/>
  <c r="E43" i="49" s="1"/>
  <c r="D42" i="49"/>
  <c r="E42" i="49" s="1"/>
  <c r="D29" i="49"/>
  <c r="E29" i="49" s="1"/>
  <c r="D28" i="49"/>
  <c r="E28" i="49" s="1"/>
  <c r="D27" i="49"/>
  <c r="E27" i="49" s="1"/>
  <c r="D26" i="49"/>
  <c r="E26" i="49" s="1"/>
  <c r="D25" i="49"/>
  <c r="E25" i="49" s="1"/>
  <c r="D24" i="49"/>
  <c r="E24" i="49" s="1"/>
  <c r="D23" i="49"/>
  <c r="E23" i="49" s="1"/>
  <c r="D22" i="49"/>
  <c r="E22" i="49" s="1"/>
  <c r="D21" i="49"/>
  <c r="E21" i="49" s="1"/>
  <c r="D20" i="49"/>
  <c r="E20" i="49" s="1"/>
  <c r="D19" i="49"/>
  <c r="E19" i="49" s="1"/>
  <c r="D18" i="49"/>
  <c r="E18" i="49" s="1"/>
  <c r="D17" i="49"/>
  <c r="E17" i="49" s="1"/>
  <c r="D16" i="49"/>
  <c r="E16" i="49" s="1"/>
  <c r="D15" i="49"/>
  <c r="E15" i="49" s="1"/>
  <c r="D14" i="49"/>
  <c r="E14" i="49" s="1"/>
  <c r="D13" i="49"/>
  <c r="E13" i="49" s="1"/>
  <c r="D12" i="49"/>
  <c r="E12" i="49" s="1"/>
  <c r="D11" i="49"/>
  <c r="E11" i="49" s="1"/>
  <c r="D10" i="49"/>
  <c r="E10" i="49" s="1"/>
  <c r="D9" i="49"/>
  <c r="E9" i="49" s="1"/>
  <c r="D8" i="49"/>
  <c r="E8" i="49" s="1"/>
  <c r="D61" i="48"/>
  <c r="E61" i="48" s="1"/>
  <c r="D60" i="48"/>
  <c r="E60" i="48" s="1"/>
  <c r="D59" i="48"/>
  <c r="E59" i="48" s="1"/>
  <c r="D58" i="48"/>
  <c r="E58" i="48" s="1"/>
  <c r="D53" i="48"/>
  <c r="E53" i="48" s="1"/>
  <c r="D52" i="48"/>
  <c r="E52" i="48" s="1"/>
  <c r="D51" i="48"/>
  <c r="E51" i="48" s="1"/>
  <c r="D50" i="48"/>
  <c r="E50" i="48" s="1"/>
  <c r="D49" i="48"/>
  <c r="E49" i="48" s="1"/>
  <c r="D48" i="48"/>
  <c r="E48" i="48" s="1"/>
  <c r="D47" i="48"/>
  <c r="E47" i="48" s="1"/>
  <c r="D46" i="48"/>
  <c r="E46" i="48" s="1"/>
  <c r="D45" i="48"/>
  <c r="E45" i="48" s="1"/>
  <c r="D44" i="48"/>
  <c r="E44" i="48" s="1"/>
  <c r="D43" i="48"/>
  <c r="E43" i="48" s="1"/>
  <c r="D42" i="48"/>
  <c r="E42" i="48" s="1"/>
  <c r="D31" i="48"/>
  <c r="E31" i="48" s="1"/>
  <c r="D30" i="48"/>
  <c r="E30" i="48" s="1"/>
  <c r="D29" i="48"/>
  <c r="E29" i="48" s="1"/>
  <c r="D28" i="48"/>
  <c r="E28" i="48" s="1"/>
  <c r="D27" i="48"/>
  <c r="E27" i="48" s="1"/>
  <c r="D26" i="48"/>
  <c r="E26" i="48" s="1"/>
  <c r="D25" i="48"/>
  <c r="E25" i="48" s="1"/>
  <c r="D24" i="48"/>
  <c r="E24" i="48" s="1"/>
  <c r="D23" i="48"/>
  <c r="E23" i="48" s="1"/>
  <c r="D22" i="48"/>
  <c r="E22" i="48" s="1"/>
  <c r="D21" i="48"/>
  <c r="E21" i="48" s="1"/>
  <c r="D20" i="48"/>
  <c r="E20" i="48" s="1"/>
  <c r="D19" i="48"/>
  <c r="E19" i="48" s="1"/>
  <c r="D18" i="48"/>
  <c r="E18" i="48" s="1"/>
  <c r="D17" i="48"/>
  <c r="E17" i="48" s="1"/>
  <c r="D16" i="48"/>
  <c r="E16" i="48" s="1"/>
  <c r="D15" i="48"/>
  <c r="E15" i="48" s="1"/>
  <c r="D14" i="48"/>
  <c r="E14" i="48" s="1"/>
  <c r="D13" i="48"/>
  <c r="E13" i="48" s="1"/>
  <c r="D12" i="48"/>
  <c r="E12" i="48" s="1"/>
  <c r="D11" i="48"/>
  <c r="E11" i="48" s="1"/>
  <c r="D10" i="48"/>
  <c r="E10" i="48" s="1"/>
  <c r="D9" i="48"/>
  <c r="E9" i="48" s="1"/>
  <c r="D8" i="48"/>
  <c r="E8" i="48" s="1"/>
  <c r="D32" i="46"/>
  <c r="E32" i="46"/>
  <c r="D33" i="46"/>
  <c r="E33" i="46"/>
  <c r="D61" i="47"/>
  <c r="E61" i="47" s="1"/>
  <c r="D60" i="47"/>
  <c r="E60" i="47" s="1"/>
  <c r="D59" i="47"/>
  <c r="E59" i="47" s="1"/>
  <c r="D58" i="47"/>
  <c r="E58" i="47" s="1"/>
  <c r="D53" i="47"/>
  <c r="E53" i="47" s="1"/>
  <c r="D52" i="47"/>
  <c r="E52" i="47" s="1"/>
  <c r="D51" i="47"/>
  <c r="E51" i="47" s="1"/>
  <c r="D50" i="47"/>
  <c r="E50" i="47" s="1"/>
  <c r="D49" i="47"/>
  <c r="E49" i="47" s="1"/>
  <c r="D48" i="47"/>
  <c r="E48" i="47" s="1"/>
  <c r="D47" i="47"/>
  <c r="E47" i="47" s="1"/>
  <c r="D46" i="47"/>
  <c r="E46" i="47" s="1"/>
  <c r="D45" i="47"/>
  <c r="E45" i="47" s="1"/>
  <c r="D44" i="47"/>
  <c r="E44" i="47" s="1"/>
  <c r="D43" i="47"/>
  <c r="E43" i="47" s="1"/>
  <c r="D42" i="47"/>
  <c r="E42" i="47" s="1"/>
  <c r="D31" i="47"/>
  <c r="E31" i="47" s="1"/>
  <c r="D30" i="47"/>
  <c r="E30" i="47" s="1"/>
  <c r="D29" i="47"/>
  <c r="E29" i="47" s="1"/>
  <c r="D28" i="47"/>
  <c r="E28" i="47" s="1"/>
  <c r="D27" i="47"/>
  <c r="E27" i="47" s="1"/>
  <c r="D26" i="47"/>
  <c r="E26" i="47" s="1"/>
  <c r="D25" i="47"/>
  <c r="E25" i="47" s="1"/>
  <c r="D24" i="47"/>
  <c r="E24" i="47" s="1"/>
  <c r="D23" i="47"/>
  <c r="E23" i="47" s="1"/>
  <c r="D22" i="47"/>
  <c r="E22" i="47" s="1"/>
  <c r="D21" i="47"/>
  <c r="E21" i="47" s="1"/>
  <c r="D20" i="47"/>
  <c r="E20" i="47" s="1"/>
  <c r="D19" i="47"/>
  <c r="E19" i="47" s="1"/>
  <c r="D18" i="47"/>
  <c r="E18" i="47" s="1"/>
  <c r="D17" i="47"/>
  <c r="E17" i="47" s="1"/>
  <c r="D16" i="47"/>
  <c r="E16" i="47" s="1"/>
  <c r="D15" i="47"/>
  <c r="E15" i="47" s="1"/>
  <c r="D14" i="47"/>
  <c r="E14" i="47" s="1"/>
  <c r="D13" i="47"/>
  <c r="E13" i="47" s="1"/>
  <c r="D12" i="47"/>
  <c r="E12" i="47" s="1"/>
  <c r="D11" i="47"/>
  <c r="E11" i="47" s="1"/>
  <c r="D10" i="47"/>
  <c r="E10" i="47" s="1"/>
  <c r="D9" i="47"/>
  <c r="E9" i="47" s="1"/>
  <c r="D8" i="47"/>
  <c r="E8" i="47" s="1"/>
  <c r="D61" i="46"/>
  <c r="E61" i="46" s="1"/>
  <c r="D60" i="46"/>
  <c r="E60" i="46" s="1"/>
  <c r="D59" i="46"/>
  <c r="E59" i="46" s="1"/>
  <c r="D58" i="46"/>
  <c r="E58" i="46" s="1"/>
  <c r="D53" i="46"/>
  <c r="E53" i="46" s="1"/>
  <c r="D52" i="46"/>
  <c r="E52" i="46" s="1"/>
  <c r="D51" i="46"/>
  <c r="E51" i="46" s="1"/>
  <c r="D50" i="46"/>
  <c r="E50" i="46" s="1"/>
  <c r="D49" i="46"/>
  <c r="E49" i="46" s="1"/>
  <c r="D48" i="46"/>
  <c r="E48" i="46" s="1"/>
  <c r="D47" i="46"/>
  <c r="E47" i="46" s="1"/>
  <c r="D46" i="46"/>
  <c r="E46" i="46" s="1"/>
  <c r="D45" i="46"/>
  <c r="E45" i="46" s="1"/>
  <c r="D44" i="46"/>
  <c r="E44" i="46" s="1"/>
  <c r="D43" i="46"/>
  <c r="E43" i="46" s="1"/>
  <c r="D42" i="46"/>
  <c r="E42" i="46" s="1"/>
  <c r="D31" i="46"/>
  <c r="E31" i="46" s="1"/>
  <c r="D30" i="46"/>
  <c r="E30" i="46" s="1"/>
  <c r="D29" i="46"/>
  <c r="E29" i="46" s="1"/>
  <c r="D28" i="46"/>
  <c r="E28" i="46" s="1"/>
  <c r="D27" i="46"/>
  <c r="E27" i="46" s="1"/>
  <c r="D26" i="46"/>
  <c r="E26" i="46" s="1"/>
  <c r="D25" i="46"/>
  <c r="E25" i="46" s="1"/>
  <c r="D24" i="46"/>
  <c r="E24" i="46" s="1"/>
  <c r="D23" i="46"/>
  <c r="E23" i="46" s="1"/>
  <c r="D22" i="46"/>
  <c r="E22" i="46" s="1"/>
  <c r="D21" i="46"/>
  <c r="E21" i="46" s="1"/>
  <c r="D20" i="46"/>
  <c r="E20" i="46" s="1"/>
  <c r="D19" i="46"/>
  <c r="E19" i="46" s="1"/>
  <c r="D18" i="46"/>
  <c r="E18" i="46" s="1"/>
  <c r="D17" i="46"/>
  <c r="E17" i="46" s="1"/>
  <c r="D16" i="46"/>
  <c r="E16" i="46" s="1"/>
  <c r="D15" i="46"/>
  <c r="E15" i="46" s="1"/>
  <c r="D14" i="46"/>
  <c r="E14" i="46" s="1"/>
  <c r="D13" i="46"/>
  <c r="E13" i="46" s="1"/>
  <c r="D12" i="46"/>
  <c r="E12" i="46" s="1"/>
  <c r="D11" i="46"/>
  <c r="E11" i="46" s="1"/>
  <c r="D10" i="46"/>
  <c r="E10" i="46" s="1"/>
  <c r="D9" i="46"/>
  <c r="E9" i="46" s="1"/>
  <c r="D8" i="46"/>
  <c r="E8" i="46" s="1"/>
  <c r="D61" i="45"/>
  <c r="E61" i="45" s="1"/>
  <c r="D60" i="45"/>
  <c r="E60" i="45" s="1"/>
  <c r="D59" i="45"/>
  <c r="E59" i="45" s="1"/>
  <c r="D58" i="45"/>
  <c r="E58" i="45" s="1"/>
  <c r="D53" i="45"/>
  <c r="E53" i="45" s="1"/>
  <c r="D52" i="45"/>
  <c r="E52" i="45" s="1"/>
  <c r="D51" i="45"/>
  <c r="E51" i="45" s="1"/>
  <c r="D50" i="45"/>
  <c r="E50" i="45" s="1"/>
  <c r="D49" i="45"/>
  <c r="E49" i="45" s="1"/>
  <c r="D48" i="45"/>
  <c r="E48" i="45" s="1"/>
  <c r="D47" i="45"/>
  <c r="E47" i="45" s="1"/>
  <c r="D46" i="45"/>
  <c r="E46" i="45" s="1"/>
  <c r="D45" i="45"/>
  <c r="E45" i="45" s="1"/>
  <c r="D44" i="45"/>
  <c r="E44" i="45" s="1"/>
  <c r="D43" i="45"/>
  <c r="E43" i="45" s="1"/>
  <c r="D42" i="45"/>
  <c r="E42" i="45" s="1"/>
  <c r="D33" i="45"/>
  <c r="E33" i="45" s="1"/>
  <c r="D32" i="45"/>
  <c r="E32" i="45" s="1"/>
  <c r="D31" i="45"/>
  <c r="E31" i="45" s="1"/>
  <c r="D30" i="45"/>
  <c r="E30" i="45" s="1"/>
  <c r="D29" i="45"/>
  <c r="E29" i="45" s="1"/>
  <c r="D28" i="45"/>
  <c r="E28" i="45" s="1"/>
  <c r="D27" i="45"/>
  <c r="E27" i="45" s="1"/>
  <c r="D26" i="45"/>
  <c r="E26" i="45" s="1"/>
  <c r="D25" i="45"/>
  <c r="E25" i="45" s="1"/>
  <c r="D24" i="45"/>
  <c r="E24" i="45" s="1"/>
  <c r="D23" i="45"/>
  <c r="E23" i="45" s="1"/>
  <c r="D22" i="45"/>
  <c r="E22" i="45" s="1"/>
  <c r="D21" i="45"/>
  <c r="E21" i="45" s="1"/>
  <c r="D20" i="45"/>
  <c r="E20" i="45" s="1"/>
  <c r="D19" i="45"/>
  <c r="E19" i="45" s="1"/>
  <c r="D18" i="45"/>
  <c r="E18" i="45" s="1"/>
  <c r="D17" i="45"/>
  <c r="E17" i="45" s="1"/>
  <c r="D16" i="45"/>
  <c r="E16" i="45" s="1"/>
  <c r="D15" i="45"/>
  <c r="E15" i="45" s="1"/>
  <c r="D14" i="45"/>
  <c r="E14" i="45" s="1"/>
  <c r="D13" i="45"/>
  <c r="E13" i="45" s="1"/>
  <c r="D12" i="45"/>
  <c r="E12" i="45" s="1"/>
  <c r="D11" i="45"/>
  <c r="E11" i="45" s="1"/>
  <c r="D10" i="45"/>
  <c r="E10" i="45" s="1"/>
  <c r="D9" i="45"/>
  <c r="E9" i="45" s="1"/>
  <c r="D8" i="45"/>
  <c r="E8" i="45" s="1"/>
  <c r="D61" i="44"/>
  <c r="E61" i="44" s="1"/>
  <c r="D60" i="44"/>
  <c r="E60" i="44" s="1"/>
  <c r="D59" i="44"/>
  <c r="E59" i="44" s="1"/>
  <c r="D58" i="44"/>
  <c r="E58" i="44" s="1"/>
  <c r="D53" i="44"/>
  <c r="E53" i="44" s="1"/>
  <c r="D52" i="44"/>
  <c r="E52" i="44" s="1"/>
  <c r="D51" i="44"/>
  <c r="E51" i="44" s="1"/>
  <c r="D50" i="44"/>
  <c r="E50" i="44" s="1"/>
  <c r="D49" i="44"/>
  <c r="E49" i="44" s="1"/>
  <c r="D48" i="44"/>
  <c r="E48" i="44" s="1"/>
  <c r="D47" i="44"/>
  <c r="E47" i="44" s="1"/>
  <c r="D46" i="44"/>
  <c r="E46" i="44" s="1"/>
  <c r="D45" i="44"/>
  <c r="E45" i="44" s="1"/>
  <c r="D44" i="44"/>
  <c r="E44" i="44" s="1"/>
  <c r="D43" i="44"/>
  <c r="E43" i="44" s="1"/>
  <c r="D42" i="44"/>
  <c r="E42" i="44" s="1"/>
  <c r="D33" i="44"/>
  <c r="E33" i="44" s="1"/>
  <c r="D32" i="44"/>
  <c r="E32" i="44" s="1"/>
  <c r="D31" i="44"/>
  <c r="E31" i="44" s="1"/>
  <c r="D30" i="44"/>
  <c r="E30" i="44" s="1"/>
  <c r="D29" i="44"/>
  <c r="E29" i="44" s="1"/>
  <c r="D28" i="44"/>
  <c r="E28" i="44" s="1"/>
  <c r="D27" i="44"/>
  <c r="E27" i="44" s="1"/>
  <c r="D26" i="44"/>
  <c r="E26" i="44" s="1"/>
  <c r="D25" i="44"/>
  <c r="E25" i="44" s="1"/>
  <c r="D24" i="44"/>
  <c r="E24" i="44" s="1"/>
  <c r="D23" i="44"/>
  <c r="E23" i="44" s="1"/>
  <c r="D22" i="44"/>
  <c r="E22" i="44" s="1"/>
  <c r="D21" i="44"/>
  <c r="E21" i="44" s="1"/>
  <c r="D20" i="44"/>
  <c r="E20" i="44" s="1"/>
  <c r="D19" i="44"/>
  <c r="E19" i="44" s="1"/>
  <c r="D18" i="44"/>
  <c r="E18" i="44" s="1"/>
  <c r="D17" i="44"/>
  <c r="E17" i="44" s="1"/>
  <c r="D16" i="44"/>
  <c r="E16" i="44" s="1"/>
  <c r="D15" i="44"/>
  <c r="E15" i="44" s="1"/>
  <c r="D14" i="44"/>
  <c r="E14" i="44" s="1"/>
  <c r="D13" i="44"/>
  <c r="E13" i="44" s="1"/>
  <c r="D12" i="44"/>
  <c r="E12" i="44" s="1"/>
  <c r="D11" i="44"/>
  <c r="E11" i="44" s="1"/>
  <c r="D10" i="44"/>
  <c r="E10" i="44" s="1"/>
  <c r="D9" i="44"/>
  <c r="E9" i="44" s="1"/>
  <c r="D8" i="44"/>
  <c r="E8" i="44" s="1"/>
  <c r="D74" i="43"/>
  <c r="E74" i="43" s="1"/>
  <c r="D73" i="43"/>
  <c r="E73" i="43" s="1"/>
  <c r="D72" i="43"/>
  <c r="E72" i="43" s="1"/>
  <c r="D71" i="43"/>
  <c r="E71" i="43" s="1"/>
  <c r="D66" i="43"/>
  <c r="E66" i="43" s="1"/>
  <c r="D65" i="43"/>
  <c r="E65" i="43" s="1"/>
  <c r="D64" i="43"/>
  <c r="E64" i="43" s="1"/>
  <c r="D63" i="43"/>
  <c r="E63" i="43" s="1"/>
  <c r="D62" i="43"/>
  <c r="E62" i="43" s="1"/>
  <c r="D61" i="43"/>
  <c r="E61" i="43" s="1"/>
  <c r="D60" i="43"/>
  <c r="E60" i="43" s="1"/>
  <c r="D59" i="43"/>
  <c r="E59" i="43" s="1"/>
  <c r="D58" i="43"/>
  <c r="E58" i="43" s="1"/>
  <c r="D57" i="43"/>
  <c r="E57" i="43" s="1"/>
  <c r="D56" i="43"/>
  <c r="E56" i="43" s="1"/>
  <c r="D55" i="43"/>
  <c r="E55" i="43" s="1"/>
  <c r="D50" i="43"/>
  <c r="E50" i="43" s="1"/>
  <c r="D49" i="43"/>
  <c r="E49" i="43" s="1"/>
  <c r="D48" i="43"/>
  <c r="E48" i="43" s="1"/>
  <c r="D47" i="43"/>
  <c r="E47" i="43" s="1"/>
  <c r="D46" i="43"/>
  <c r="E46" i="43" s="1"/>
  <c r="D45" i="43"/>
  <c r="E45" i="43" s="1"/>
  <c r="D44" i="43"/>
  <c r="E44" i="43" s="1"/>
  <c r="D8" i="43"/>
  <c r="E8" i="43" s="1"/>
  <c r="D61" i="42"/>
  <c r="E61" i="42" s="1"/>
  <c r="D60" i="42"/>
  <c r="E60" i="42" s="1"/>
  <c r="D59" i="42"/>
  <c r="E59" i="42" s="1"/>
  <c r="D58" i="42"/>
  <c r="E58" i="42" s="1"/>
  <c r="D53" i="42"/>
  <c r="E53" i="42" s="1"/>
  <c r="D52" i="42"/>
  <c r="E52" i="42" s="1"/>
  <c r="D51" i="42"/>
  <c r="E51" i="42" s="1"/>
  <c r="D50" i="42"/>
  <c r="E50" i="42" s="1"/>
  <c r="D49" i="42"/>
  <c r="E49" i="42" s="1"/>
  <c r="D48" i="42"/>
  <c r="E48" i="42" s="1"/>
  <c r="D47" i="42"/>
  <c r="E47" i="42" s="1"/>
  <c r="D46" i="42"/>
  <c r="E46" i="42" s="1"/>
  <c r="D45" i="42"/>
  <c r="E45" i="42" s="1"/>
  <c r="D44" i="42"/>
  <c r="E44" i="42" s="1"/>
  <c r="D43" i="42"/>
  <c r="E43" i="42" s="1"/>
  <c r="D42" i="42"/>
  <c r="E42" i="42" s="1"/>
  <c r="D37" i="42"/>
  <c r="E37" i="42" s="1"/>
  <c r="D36" i="42"/>
  <c r="E36" i="42" s="1"/>
  <c r="D35" i="42"/>
  <c r="E35" i="42" s="1"/>
  <c r="D34" i="42"/>
  <c r="E34" i="42" s="1"/>
  <c r="D33" i="42"/>
  <c r="E33" i="42" s="1"/>
  <c r="D32" i="42"/>
  <c r="E32" i="42" s="1"/>
  <c r="D31" i="42"/>
  <c r="E31" i="42" s="1"/>
  <c r="D30" i="42"/>
  <c r="E30" i="42" s="1"/>
  <c r="D29" i="42"/>
  <c r="E29" i="42" s="1"/>
  <c r="D28" i="42"/>
  <c r="E28" i="42" s="1"/>
  <c r="D27" i="42"/>
  <c r="E27" i="42" s="1"/>
  <c r="D26" i="42"/>
  <c r="E26" i="42" s="1"/>
  <c r="D25" i="42"/>
  <c r="E25" i="42" s="1"/>
  <c r="D24" i="42"/>
  <c r="E24" i="42" s="1"/>
  <c r="D23" i="42"/>
  <c r="E23" i="42" s="1"/>
  <c r="D22" i="42"/>
  <c r="E22" i="42" s="1"/>
  <c r="D21" i="42"/>
  <c r="E21" i="42" s="1"/>
  <c r="D20" i="42"/>
  <c r="E20" i="42" s="1"/>
  <c r="D19" i="42"/>
  <c r="E19" i="42" s="1"/>
  <c r="D18" i="42"/>
  <c r="E18" i="42" s="1"/>
  <c r="D17" i="42"/>
  <c r="E17" i="42" s="1"/>
  <c r="D16" i="42"/>
  <c r="E16" i="42" s="1"/>
  <c r="D15" i="42"/>
  <c r="E15" i="42" s="1"/>
  <c r="D14" i="42"/>
  <c r="E14" i="42" s="1"/>
  <c r="D13" i="42"/>
  <c r="E13" i="42" s="1"/>
  <c r="D12" i="42"/>
  <c r="E12" i="42" s="1"/>
  <c r="D11" i="42"/>
  <c r="E11" i="42" s="1"/>
  <c r="D10" i="42"/>
  <c r="E10" i="42" s="1"/>
  <c r="D9" i="42"/>
  <c r="E9" i="42" s="1"/>
  <c r="D8" i="42"/>
  <c r="E8" i="42" s="1"/>
  <c r="D61" i="41"/>
  <c r="E61" i="41" s="1"/>
  <c r="D60" i="41"/>
  <c r="E60" i="41" s="1"/>
  <c r="D59" i="41"/>
  <c r="E59" i="41" s="1"/>
  <c r="D58" i="41"/>
  <c r="E58" i="41" s="1"/>
  <c r="D53" i="41"/>
  <c r="E53" i="41" s="1"/>
  <c r="D52" i="41"/>
  <c r="E52" i="41" s="1"/>
  <c r="D51" i="41"/>
  <c r="E51" i="41" s="1"/>
  <c r="D50" i="41"/>
  <c r="E50" i="41" s="1"/>
  <c r="D49" i="41"/>
  <c r="E49" i="41" s="1"/>
  <c r="D48" i="41"/>
  <c r="E48" i="41" s="1"/>
  <c r="D47" i="41"/>
  <c r="E47" i="41" s="1"/>
  <c r="D46" i="41"/>
  <c r="E46" i="41" s="1"/>
  <c r="D45" i="41"/>
  <c r="E45" i="41" s="1"/>
  <c r="D44" i="41"/>
  <c r="E44" i="41" s="1"/>
  <c r="D43" i="41"/>
  <c r="E43" i="41" s="1"/>
  <c r="D42" i="41"/>
  <c r="E42" i="41" s="1"/>
  <c r="D37" i="41"/>
  <c r="E37" i="41" s="1"/>
  <c r="D36" i="41"/>
  <c r="E36" i="41" s="1"/>
  <c r="D35" i="41"/>
  <c r="E35" i="41" s="1"/>
  <c r="D34" i="41"/>
  <c r="E34" i="41" s="1"/>
  <c r="D33" i="41"/>
  <c r="E33" i="41" s="1"/>
  <c r="D32" i="41"/>
  <c r="E32" i="41" s="1"/>
  <c r="D31" i="41"/>
  <c r="E31" i="41" s="1"/>
  <c r="D30" i="41"/>
  <c r="E30" i="41" s="1"/>
  <c r="D29" i="41"/>
  <c r="E29" i="41" s="1"/>
  <c r="D28" i="41"/>
  <c r="E28" i="41" s="1"/>
  <c r="D27" i="41"/>
  <c r="E27" i="41" s="1"/>
  <c r="D26" i="41"/>
  <c r="E26" i="41" s="1"/>
  <c r="D25" i="41"/>
  <c r="E25" i="41" s="1"/>
  <c r="D24" i="41"/>
  <c r="E24" i="41" s="1"/>
  <c r="D23" i="41"/>
  <c r="E23" i="41" s="1"/>
  <c r="D22" i="41"/>
  <c r="E22" i="41" s="1"/>
  <c r="D21" i="41"/>
  <c r="E21" i="41" s="1"/>
  <c r="D20" i="41"/>
  <c r="E20" i="41" s="1"/>
  <c r="D19" i="41"/>
  <c r="E19" i="41" s="1"/>
  <c r="D18" i="41"/>
  <c r="E18" i="41" s="1"/>
  <c r="D17" i="41"/>
  <c r="E17" i="41" s="1"/>
  <c r="D16" i="41"/>
  <c r="E16" i="41" s="1"/>
  <c r="D15" i="41"/>
  <c r="E15" i="41" s="1"/>
  <c r="D14" i="41"/>
  <c r="E14" i="41" s="1"/>
  <c r="D13" i="41"/>
  <c r="E13" i="41" s="1"/>
  <c r="D12" i="41"/>
  <c r="E12" i="41" s="1"/>
  <c r="D11" i="41"/>
  <c r="E11" i="41" s="1"/>
  <c r="D10" i="41"/>
  <c r="E10" i="41" s="1"/>
  <c r="D9" i="41"/>
  <c r="E9" i="41" s="1"/>
  <c r="D8" i="41"/>
  <c r="E8" i="41" s="1"/>
  <c r="D61" i="40"/>
  <c r="E61" i="40" s="1"/>
  <c r="D60" i="40"/>
  <c r="E60" i="40" s="1"/>
  <c r="D59" i="40"/>
  <c r="E59" i="40" s="1"/>
  <c r="D58" i="40"/>
  <c r="E58" i="40" s="1"/>
  <c r="D53" i="40"/>
  <c r="E53" i="40" s="1"/>
  <c r="D52" i="40"/>
  <c r="E52" i="40" s="1"/>
  <c r="D51" i="40"/>
  <c r="E51" i="40" s="1"/>
  <c r="D50" i="40"/>
  <c r="E50" i="40" s="1"/>
  <c r="D49" i="40"/>
  <c r="E49" i="40" s="1"/>
  <c r="D48" i="40"/>
  <c r="E48" i="40" s="1"/>
  <c r="D47" i="40"/>
  <c r="E47" i="40" s="1"/>
  <c r="D46" i="40"/>
  <c r="E46" i="40" s="1"/>
  <c r="D45" i="40"/>
  <c r="E45" i="40" s="1"/>
  <c r="D44" i="40"/>
  <c r="E44" i="40" s="1"/>
  <c r="D43" i="40"/>
  <c r="E43" i="40" s="1"/>
  <c r="D42" i="40"/>
  <c r="E42" i="40" s="1"/>
  <c r="D37" i="40"/>
  <c r="E37" i="40" s="1"/>
  <c r="D36" i="40"/>
  <c r="E36" i="40" s="1"/>
  <c r="D35" i="40"/>
  <c r="E35" i="40" s="1"/>
  <c r="D34" i="40"/>
  <c r="E34" i="40" s="1"/>
  <c r="D33" i="40"/>
  <c r="E33" i="40" s="1"/>
  <c r="D32" i="40"/>
  <c r="E32" i="40" s="1"/>
  <c r="D31" i="40"/>
  <c r="E31" i="40" s="1"/>
  <c r="D30" i="40"/>
  <c r="E30" i="40" s="1"/>
  <c r="D29" i="40"/>
  <c r="E29" i="40" s="1"/>
  <c r="D28" i="40"/>
  <c r="E28" i="40" s="1"/>
  <c r="D27" i="40"/>
  <c r="E27" i="40" s="1"/>
  <c r="D26" i="40"/>
  <c r="E26" i="40" s="1"/>
  <c r="D25" i="40"/>
  <c r="E25" i="40" s="1"/>
  <c r="D24" i="40"/>
  <c r="E24" i="40" s="1"/>
  <c r="D23" i="40"/>
  <c r="E23" i="40" s="1"/>
  <c r="D22" i="40"/>
  <c r="E22" i="40" s="1"/>
  <c r="D21" i="40"/>
  <c r="E21" i="40" s="1"/>
  <c r="D20" i="40"/>
  <c r="E20" i="40" s="1"/>
  <c r="D19" i="40"/>
  <c r="E19" i="40" s="1"/>
  <c r="D18" i="40"/>
  <c r="E18" i="40" s="1"/>
  <c r="D17" i="40"/>
  <c r="E17" i="40" s="1"/>
  <c r="D16" i="40"/>
  <c r="E16" i="40" s="1"/>
  <c r="D15" i="40"/>
  <c r="E15" i="40" s="1"/>
  <c r="D14" i="40"/>
  <c r="E14" i="40" s="1"/>
  <c r="D13" i="40"/>
  <c r="E13" i="40" s="1"/>
  <c r="D12" i="40"/>
  <c r="E12" i="40" s="1"/>
  <c r="D11" i="40"/>
  <c r="E11" i="40" s="1"/>
  <c r="D10" i="40"/>
  <c r="E10" i="40" s="1"/>
  <c r="D9" i="40"/>
  <c r="E9" i="40" s="1"/>
  <c r="D8" i="40"/>
  <c r="E8" i="40" s="1"/>
  <c r="D62" i="39"/>
  <c r="E62" i="39" s="1"/>
  <c r="D61" i="39"/>
  <c r="E61" i="39" s="1"/>
  <c r="D60" i="39"/>
  <c r="E60" i="39" s="1"/>
  <c r="D59" i="39"/>
  <c r="E59" i="39" s="1"/>
  <c r="D58" i="39"/>
  <c r="E58" i="39" s="1"/>
  <c r="D57" i="39"/>
  <c r="E57" i="39" s="1"/>
  <c r="D56" i="39"/>
  <c r="E56" i="39" s="1"/>
  <c r="D55" i="39"/>
  <c r="E55" i="39" s="1"/>
  <c r="D54" i="39"/>
  <c r="E54" i="39" s="1"/>
  <c r="D53" i="39"/>
  <c r="E53" i="39" s="1"/>
  <c r="D52" i="39"/>
  <c r="E52" i="39" s="1"/>
  <c r="D50" i="39"/>
  <c r="E50" i="39" s="1"/>
  <c r="D46" i="39"/>
  <c r="E46" i="39" s="1"/>
  <c r="D44" i="39"/>
  <c r="E44" i="39" s="1"/>
  <c r="D42" i="39"/>
  <c r="E42" i="39" s="1"/>
  <c r="D66" i="39"/>
  <c r="E66" i="39" s="1"/>
  <c r="D65" i="39"/>
  <c r="E65" i="39" s="1"/>
  <c r="D64" i="39"/>
  <c r="E64" i="39" s="1"/>
  <c r="D63" i="39"/>
  <c r="E63" i="39" s="1"/>
  <c r="D37" i="39"/>
  <c r="E37" i="39" s="1"/>
  <c r="D36" i="39"/>
  <c r="E36" i="39" s="1"/>
  <c r="D35" i="39"/>
  <c r="E35" i="39" s="1"/>
  <c r="D34" i="39"/>
  <c r="E34" i="39" s="1"/>
  <c r="D33" i="39"/>
  <c r="E33" i="39" s="1"/>
  <c r="D32" i="39"/>
  <c r="E32" i="39" s="1"/>
  <c r="D31" i="39"/>
  <c r="E31" i="39" s="1"/>
  <c r="D30" i="39"/>
  <c r="E30" i="39" s="1"/>
  <c r="D29" i="39"/>
  <c r="E29" i="39" s="1"/>
  <c r="D28" i="39"/>
  <c r="E28" i="39" s="1"/>
  <c r="D27" i="39"/>
  <c r="E27" i="39" s="1"/>
  <c r="D26" i="39"/>
  <c r="E26" i="39" s="1"/>
  <c r="D25" i="39"/>
  <c r="E25" i="39" s="1"/>
  <c r="D24" i="39"/>
  <c r="E24" i="39" s="1"/>
  <c r="D23" i="39"/>
  <c r="E23" i="39" s="1"/>
  <c r="D22" i="39"/>
  <c r="E22" i="39" s="1"/>
  <c r="D21" i="39"/>
  <c r="E21" i="39" s="1"/>
  <c r="D20" i="39"/>
  <c r="E20" i="39" s="1"/>
  <c r="D19" i="39"/>
  <c r="E19" i="39" s="1"/>
  <c r="D18" i="39"/>
  <c r="E18" i="39" s="1"/>
  <c r="D17" i="39"/>
  <c r="E17" i="39" s="1"/>
  <c r="D16" i="39"/>
  <c r="E16" i="39" s="1"/>
  <c r="D15" i="39"/>
  <c r="E15" i="39" s="1"/>
  <c r="D14" i="39"/>
  <c r="E14" i="39" s="1"/>
  <c r="D13" i="39"/>
  <c r="E13" i="39" s="1"/>
  <c r="D12" i="39"/>
  <c r="E12" i="39" s="1"/>
  <c r="D11" i="39"/>
  <c r="E11" i="39" s="1"/>
  <c r="D10" i="39"/>
  <c r="E10" i="39" s="1"/>
  <c r="D9" i="39"/>
  <c r="E9" i="39" s="1"/>
  <c r="D8" i="39"/>
  <c r="E8" i="39" s="1"/>
  <c r="D52" i="38"/>
  <c r="E52" i="38" s="1"/>
  <c r="D51" i="38"/>
  <c r="E51" i="38" s="1"/>
  <c r="D50" i="38"/>
  <c r="E50" i="38" s="1"/>
  <c r="D49" i="38"/>
  <c r="E49" i="38" s="1"/>
  <c r="D48" i="38"/>
  <c r="E48" i="38" s="1"/>
  <c r="D47" i="38"/>
  <c r="E47" i="38" s="1"/>
  <c r="D46" i="38"/>
  <c r="E46" i="38" s="1"/>
  <c r="D45" i="38"/>
  <c r="E45" i="38" s="1"/>
  <c r="D44" i="38"/>
  <c r="E44" i="38" s="1"/>
  <c r="D43" i="38"/>
  <c r="E43" i="38" s="1"/>
  <c r="D42" i="38"/>
  <c r="E42" i="38" s="1"/>
  <c r="D41" i="38"/>
  <c r="E41" i="38" s="1"/>
  <c r="D40" i="38"/>
  <c r="E40" i="38" s="1"/>
  <c r="D35" i="38"/>
  <c r="E35" i="38" s="1"/>
  <c r="D34" i="38"/>
  <c r="E34" i="38" s="1"/>
  <c r="D33" i="38"/>
  <c r="E33" i="38" s="1"/>
  <c r="D32" i="38"/>
  <c r="E32" i="38" s="1"/>
  <c r="D31" i="38"/>
  <c r="E31" i="38" s="1"/>
  <c r="D30" i="38"/>
  <c r="E30" i="38" s="1"/>
  <c r="D29" i="38"/>
  <c r="E29" i="38" s="1"/>
  <c r="D28" i="38"/>
  <c r="E28" i="38" s="1"/>
  <c r="D27" i="38"/>
  <c r="E27" i="38" s="1"/>
  <c r="D26" i="38"/>
  <c r="E26" i="38" s="1"/>
  <c r="D25" i="38"/>
  <c r="E25" i="38" s="1"/>
  <c r="D24" i="38"/>
  <c r="E24" i="38" s="1"/>
  <c r="D23" i="38"/>
  <c r="E23" i="38" s="1"/>
  <c r="D22" i="38"/>
  <c r="E22" i="38" s="1"/>
  <c r="D21" i="38"/>
  <c r="E21" i="38" s="1"/>
  <c r="D20" i="38"/>
  <c r="E20" i="38" s="1"/>
  <c r="D19" i="38"/>
  <c r="E19" i="38" s="1"/>
  <c r="D18" i="38"/>
  <c r="E18" i="38" s="1"/>
  <c r="D17" i="38"/>
  <c r="E17" i="38" s="1"/>
  <c r="D16" i="38"/>
  <c r="E16" i="38" s="1"/>
  <c r="D15" i="38"/>
  <c r="E15" i="38" s="1"/>
  <c r="D14" i="38"/>
  <c r="E14" i="38" s="1"/>
  <c r="D13" i="38"/>
  <c r="E13" i="38" s="1"/>
  <c r="D12" i="38"/>
  <c r="E12" i="38" s="1"/>
  <c r="D11" i="38"/>
  <c r="E11" i="38" s="1"/>
  <c r="D10" i="38"/>
  <c r="E10" i="38" s="1"/>
  <c r="D9" i="38"/>
  <c r="E9" i="38" s="1"/>
  <c r="D8" i="38"/>
  <c r="E8" i="38" s="1"/>
  <c r="D33" i="37"/>
  <c r="E33" i="37" s="1"/>
  <c r="D35" i="35"/>
  <c r="E35" i="35" s="1"/>
  <c r="D52" i="37"/>
  <c r="E52" i="37" s="1"/>
  <c r="D51" i="37"/>
  <c r="E51" i="37" s="1"/>
  <c r="D50" i="37"/>
  <c r="E50" i="37" s="1"/>
  <c r="D46" i="37"/>
  <c r="E46" i="37" s="1"/>
  <c r="D48" i="37"/>
  <c r="E48" i="37" s="1"/>
  <c r="D47" i="37"/>
  <c r="E47" i="37" s="1"/>
  <c r="D45" i="37"/>
  <c r="E45" i="37" s="1"/>
  <c r="D44" i="37"/>
  <c r="E44" i="37" s="1"/>
  <c r="D43" i="37"/>
  <c r="E43" i="37" s="1"/>
  <c r="D42" i="37"/>
  <c r="E42" i="37" s="1"/>
  <c r="D41" i="37"/>
  <c r="E41" i="37" s="1"/>
  <c r="D40" i="37"/>
  <c r="E40" i="37" s="1"/>
  <c r="D35" i="37"/>
  <c r="E35" i="37" s="1"/>
  <c r="D34" i="37"/>
  <c r="E34" i="37" s="1"/>
  <c r="D49" i="37"/>
  <c r="E49" i="37" s="1"/>
  <c r="D32" i="37"/>
  <c r="E32" i="37" s="1"/>
  <c r="D31" i="37"/>
  <c r="E31" i="37" s="1"/>
  <c r="D25" i="37"/>
  <c r="E25" i="37" s="1"/>
  <c r="D30" i="37"/>
  <c r="E30" i="37" s="1"/>
  <c r="D29" i="37"/>
  <c r="E29" i="37" s="1"/>
  <c r="D28" i="37"/>
  <c r="E28" i="37" s="1"/>
  <c r="D27" i="37"/>
  <c r="E27" i="37" s="1"/>
  <c r="D26" i="37"/>
  <c r="E26" i="37" s="1"/>
  <c r="D24" i="37"/>
  <c r="E24" i="37" s="1"/>
  <c r="D23" i="37"/>
  <c r="E23" i="37" s="1"/>
  <c r="D22" i="37"/>
  <c r="E22" i="37" s="1"/>
  <c r="D21" i="37"/>
  <c r="E21" i="37" s="1"/>
  <c r="D20" i="37"/>
  <c r="E20" i="37" s="1"/>
  <c r="D19" i="37"/>
  <c r="E19" i="37" s="1"/>
  <c r="D18" i="37"/>
  <c r="E18" i="37" s="1"/>
  <c r="D17" i="37"/>
  <c r="E17" i="37" s="1"/>
  <c r="D16" i="37"/>
  <c r="E16" i="37" s="1"/>
  <c r="D15" i="37"/>
  <c r="E15" i="37" s="1"/>
  <c r="D14" i="37"/>
  <c r="E14" i="37" s="1"/>
  <c r="D13" i="37"/>
  <c r="E13" i="37" s="1"/>
  <c r="D12" i="37"/>
  <c r="E12" i="37" s="1"/>
  <c r="D11" i="37"/>
  <c r="E11" i="37" s="1"/>
  <c r="D10" i="37"/>
  <c r="E10" i="37" s="1"/>
  <c r="D9" i="37"/>
  <c r="E9" i="37" s="1"/>
  <c r="D8" i="37"/>
  <c r="E8" i="37" s="1"/>
  <c r="D18" i="35"/>
  <c r="D54" i="36"/>
  <c r="E54" i="36" s="1"/>
  <c r="D53" i="36"/>
  <c r="E53" i="36" s="1"/>
  <c r="D52" i="36"/>
  <c r="E52" i="36" s="1"/>
  <c r="D51" i="36"/>
  <c r="E51" i="36" s="1"/>
  <c r="D50" i="36"/>
  <c r="E50" i="36" s="1"/>
  <c r="D49" i="36"/>
  <c r="E49" i="36" s="1"/>
  <c r="D48" i="36"/>
  <c r="E48" i="36" s="1"/>
  <c r="D47" i="36"/>
  <c r="E47" i="36" s="1"/>
  <c r="D46" i="36"/>
  <c r="E46" i="36" s="1"/>
  <c r="D45" i="36"/>
  <c r="E45" i="36" s="1"/>
  <c r="D44" i="36"/>
  <c r="E44" i="36" s="1"/>
  <c r="D43" i="36"/>
  <c r="E43" i="36" s="1"/>
  <c r="D42" i="36"/>
  <c r="E42" i="36" s="1"/>
  <c r="D41" i="36"/>
  <c r="E41" i="36" s="1"/>
  <c r="D36" i="36"/>
  <c r="E36" i="36" s="1"/>
  <c r="D35" i="36"/>
  <c r="E35" i="36" s="1"/>
  <c r="D34" i="36"/>
  <c r="E34" i="36" s="1"/>
  <c r="D33" i="36"/>
  <c r="E33" i="36" s="1"/>
  <c r="D32" i="36"/>
  <c r="E32" i="36" s="1"/>
  <c r="D31" i="36"/>
  <c r="E31" i="36" s="1"/>
  <c r="D30" i="36"/>
  <c r="E30" i="36" s="1"/>
  <c r="D29" i="36"/>
  <c r="E29" i="36" s="1"/>
  <c r="D28" i="36"/>
  <c r="E28" i="36" s="1"/>
  <c r="D27" i="36"/>
  <c r="E27" i="36" s="1"/>
  <c r="D26" i="36"/>
  <c r="E26" i="36" s="1"/>
  <c r="D25" i="36"/>
  <c r="E25" i="36" s="1"/>
  <c r="D24" i="36"/>
  <c r="E24" i="36" s="1"/>
  <c r="D23" i="36"/>
  <c r="E23" i="36" s="1"/>
  <c r="D22" i="36"/>
  <c r="E22" i="36" s="1"/>
  <c r="D21" i="36"/>
  <c r="E21" i="36" s="1"/>
  <c r="D20" i="36"/>
  <c r="E20" i="36" s="1"/>
  <c r="D19" i="36"/>
  <c r="E19" i="36" s="1"/>
  <c r="D18" i="36"/>
  <c r="E18" i="36" s="1"/>
  <c r="D17" i="36"/>
  <c r="E17" i="36" s="1"/>
  <c r="D16" i="36"/>
  <c r="E16" i="36" s="1"/>
  <c r="D15" i="36"/>
  <c r="E15" i="36" s="1"/>
  <c r="D14" i="36"/>
  <c r="E14" i="36" s="1"/>
  <c r="D13" i="36"/>
  <c r="E13" i="36" s="1"/>
  <c r="D12" i="36"/>
  <c r="E12" i="36" s="1"/>
  <c r="D11" i="36"/>
  <c r="E11" i="36" s="1"/>
  <c r="D10" i="36"/>
  <c r="E10" i="36" s="1"/>
  <c r="D9" i="36"/>
  <c r="E9" i="36" s="1"/>
  <c r="D8" i="36"/>
  <c r="E8" i="36" s="1"/>
  <c r="D55" i="35"/>
  <c r="E55" i="35" s="1"/>
  <c r="D54" i="35"/>
  <c r="E54" i="35" s="1"/>
  <c r="D53" i="35"/>
  <c r="E53" i="35" s="1"/>
  <c r="D52" i="35"/>
  <c r="E52" i="35" s="1"/>
  <c r="D51" i="35"/>
  <c r="E51" i="35" s="1"/>
  <c r="D50" i="35"/>
  <c r="E50" i="35" s="1"/>
  <c r="D49" i="35"/>
  <c r="E49" i="35" s="1"/>
  <c r="D48" i="35"/>
  <c r="E48" i="35" s="1"/>
  <c r="D47" i="35"/>
  <c r="E47" i="35" s="1"/>
  <c r="D46" i="35"/>
  <c r="E46" i="35" s="1"/>
  <c r="D45" i="35"/>
  <c r="E45" i="35" s="1"/>
  <c r="D44" i="35"/>
  <c r="E44" i="35" s="1"/>
  <c r="D43" i="35"/>
  <c r="E43" i="35" s="1"/>
  <c r="D42" i="35"/>
  <c r="E42" i="35" s="1"/>
  <c r="D37" i="35"/>
  <c r="E37" i="35" s="1"/>
  <c r="D36" i="35"/>
  <c r="E36" i="35" s="1"/>
  <c r="D34" i="35"/>
  <c r="E34" i="35" s="1"/>
  <c r="D33" i="35"/>
  <c r="E33" i="35" s="1"/>
  <c r="D32" i="35"/>
  <c r="E32" i="35" s="1"/>
  <c r="D29" i="35"/>
  <c r="E29" i="35" s="1"/>
  <c r="D31" i="35"/>
  <c r="E31" i="35" s="1"/>
  <c r="D30" i="35"/>
  <c r="E30" i="35" s="1"/>
  <c r="D25" i="35"/>
  <c r="E25" i="35" s="1"/>
  <c r="D28" i="35"/>
  <c r="E28" i="35" s="1"/>
  <c r="D27" i="35"/>
  <c r="E27" i="35" s="1"/>
  <c r="D26" i="35"/>
  <c r="E26" i="35" s="1"/>
  <c r="D24" i="35"/>
  <c r="E24" i="35" s="1"/>
  <c r="D23" i="35"/>
  <c r="E23" i="35" s="1"/>
  <c r="D22" i="35"/>
  <c r="E22" i="35" s="1"/>
  <c r="D21" i="35"/>
  <c r="E21" i="35" s="1"/>
  <c r="D20" i="35"/>
  <c r="E20" i="35" s="1"/>
  <c r="D19" i="35"/>
  <c r="E19" i="35" s="1"/>
  <c r="E18" i="35"/>
  <c r="D17" i="35"/>
  <c r="E17" i="35" s="1"/>
  <c r="D16" i="35"/>
  <c r="E16" i="35" s="1"/>
  <c r="D15" i="35"/>
  <c r="E15" i="35" s="1"/>
  <c r="D14" i="35"/>
  <c r="E14" i="35" s="1"/>
  <c r="D13" i="35"/>
  <c r="E13" i="35" s="1"/>
  <c r="D12" i="35"/>
  <c r="E12" i="35" s="1"/>
  <c r="D11" i="35"/>
  <c r="E11" i="35" s="1"/>
  <c r="D10" i="35"/>
  <c r="E10" i="35" s="1"/>
  <c r="D9" i="35"/>
  <c r="E9" i="35" s="1"/>
  <c r="D8" i="35"/>
  <c r="E8" i="35" s="1"/>
  <c r="D61" i="7"/>
  <c r="E61" i="7" s="1"/>
  <c r="D60" i="7"/>
  <c r="E60" i="7" s="1"/>
  <c r="D59" i="7"/>
  <c r="E59" i="7" s="1"/>
  <c r="D58" i="7"/>
  <c r="E58" i="7" s="1"/>
  <c r="D53" i="7"/>
  <c r="E53" i="7" s="1"/>
  <c r="D52" i="7"/>
  <c r="E52" i="7" s="1"/>
  <c r="D51" i="7"/>
  <c r="E51" i="7" s="1"/>
  <c r="D50" i="7"/>
  <c r="E50" i="7" s="1"/>
  <c r="D49" i="7"/>
  <c r="E49" i="7" s="1"/>
  <c r="D48" i="7"/>
  <c r="E48" i="7" s="1"/>
  <c r="D47" i="7"/>
  <c r="E47" i="7" s="1"/>
  <c r="D46" i="7"/>
  <c r="E46" i="7" s="1"/>
  <c r="D45" i="7"/>
  <c r="E45" i="7" s="1"/>
  <c r="D44" i="7"/>
  <c r="E44" i="7" s="1"/>
  <c r="D43" i="7"/>
  <c r="E43" i="7" s="1"/>
  <c r="D42" i="7"/>
  <c r="E42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5" i="7"/>
  <c r="E35" i="7" s="1"/>
  <c r="D36" i="7"/>
  <c r="E36" i="7" s="1"/>
  <c r="D37" i="7"/>
  <c r="E37" i="7" s="1"/>
  <c r="D8" i="7"/>
  <c r="E8" i="7" s="1"/>
</calcChain>
</file>

<file path=xl/sharedStrings.xml><?xml version="1.0" encoding="utf-8"?>
<sst xmlns="http://schemas.openxmlformats.org/spreadsheetml/2006/main" count="10601" uniqueCount="1126">
  <si>
    <t>RUT</t>
  </si>
  <si>
    <t>NOMBRES Y APELLIDOS</t>
  </si>
  <si>
    <t>PUESTO</t>
  </si>
  <si>
    <t>MAQUINAS</t>
  </si>
  <si>
    <t>TIPOS DE PERFORACIÓN</t>
  </si>
  <si>
    <t>TRAMOS</t>
  </si>
  <si>
    <t>WORKERA</t>
  </si>
  <si>
    <t>ASISTENCIA</t>
  </si>
  <si>
    <t>19353203-9</t>
  </si>
  <si>
    <t>ABRAHAM NATANAEL MORALES ARANEDA</t>
  </si>
  <si>
    <t>ASISTENTE LOGISTICO</t>
  </si>
  <si>
    <t>EDM47K-2</t>
  </si>
  <si>
    <t>PQ</t>
  </si>
  <si>
    <t>0-500</t>
  </si>
  <si>
    <t>SI</t>
  </si>
  <si>
    <t>PRESENTE</t>
  </si>
  <si>
    <t>11345634-5</t>
  </si>
  <si>
    <t>ALBERTO PATRICIO CALDERON CALDERON</t>
  </si>
  <si>
    <t>SUPERVISOR DE OPERACIONES</t>
  </si>
  <si>
    <t>EDM47K-1</t>
  </si>
  <si>
    <t>HQ</t>
  </si>
  <si>
    <t>500-1000</t>
  </si>
  <si>
    <t>NO</t>
  </si>
  <si>
    <t>DESCANSO</t>
  </si>
  <si>
    <t>16250239-5</t>
  </si>
  <si>
    <t>ALBERTO SEGUNDO CALLPA NUÑEZ</t>
  </si>
  <si>
    <t>AYUDANTE DE PERFORISTA</t>
  </si>
  <si>
    <t>EDMGH40K</t>
  </si>
  <si>
    <t>NQ</t>
  </si>
  <si>
    <t>1000-1500</t>
  </si>
  <si>
    <t>AUSENTE</t>
  </si>
  <si>
    <t>29067753-K</t>
  </si>
  <si>
    <t>ALDWIN CALAMBA REBUYA</t>
  </si>
  <si>
    <t>CONTADOR</t>
  </si>
  <si>
    <t>200-11</t>
  </si>
  <si>
    <t>NAVI</t>
  </si>
  <si>
    <t>1500-2000</t>
  </si>
  <si>
    <t>OBSERVACIÓN</t>
  </si>
  <si>
    <t>13412582-9</t>
  </si>
  <si>
    <t>ALEJANDRO ALBERTO CAMPILLAY RUIZ</t>
  </si>
  <si>
    <t>MECANICO</t>
  </si>
  <si>
    <t>200-13</t>
  </si>
  <si>
    <t>DEVICO</t>
  </si>
  <si>
    <t>2000-2500</t>
  </si>
  <si>
    <t>11819748-8</t>
  </si>
  <si>
    <t>ALEJANDRO ANTONIO ZEPEDA CHACC</t>
  </si>
  <si>
    <t>200-12</t>
  </si>
  <si>
    <t>AIRE REVERSO</t>
  </si>
  <si>
    <t>0-600</t>
  </si>
  <si>
    <t>12951196-6</t>
  </si>
  <si>
    <t>ALEJANDRO MIGUEL APABLAZA GUZMAN</t>
  </si>
  <si>
    <t>200-7</t>
  </si>
  <si>
    <t>0-200</t>
  </si>
  <si>
    <t>14313865-8</t>
  </si>
  <si>
    <t>ALEX EDUARDO TABILO RIVERA</t>
  </si>
  <si>
    <t>PERFORISTA</t>
  </si>
  <si>
    <t>650-14</t>
  </si>
  <si>
    <t>200-400</t>
  </si>
  <si>
    <t>17364005-6</t>
  </si>
  <si>
    <t>ALEXIS RUBEN ARAYA JULIO</t>
  </si>
  <si>
    <t>740-3</t>
  </si>
  <si>
    <t>400-600</t>
  </si>
  <si>
    <t>12732008-K</t>
  </si>
  <si>
    <t>ALEX ROBINSON VEJAR LOPEZ</t>
  </si>
  <si>
    <t>740-5</t>
  </si>
  <si>
    <t>18919440-4</t>
  </si>
  <si>
    <t>ALISSON AYLEEN VILLAGRA CABALLERO</t>
  </si>
  <si>
    <t>CHOFER</t>
  </si>
  <si>
    <t>740-6</t>
  </si>
  <si>
    <t>22565722-K</t>
  </si>
  <si>
    <t>ALONSO EDUARDO SANCHEZ PINOCHET</t>
  </si>
  <si>
    <t>AYUDANTE MECANICO</t>
  </si>
  <si>
    <t>740-7</t>
  </si>
  <si>
    <t>44592663-9</t>
  </si>
  <si>
    <t>ALTANKHUNDAGA SUGLEGMAA .</t>
  </si>
  <si>
    <t>740-9</t>
  </si>
  <si>
    <t>12842966-2</t>
  </si>
  <si>
    <t>ALVARO ANDRES CONTRERAS MUNIZAGA</t>
  </si>
  <si>
    <t>SOLDADOR</t>
  </si>
  <si>
    <t>740-10</t>
  </si>
  <si>
    <t>20168605-9</t>
  </si>
  <si>
    <t>ALVARO IGNACIO GODOY BRUNA</t>
  </si>
  <si>
    <t>740-11</t>
  </si>
  <si>
    <t>14903561-3</t>
  </si>
  <si>
    <t>ANDRES ALEJANDRO VALENCIA CAMPOS</t>
  </si>
  <si>
    <t>740-14</t>
  </si>
  <si>
    <t>18287449-3</t>
  </si>
  <si>
    <t>ANDRES MISAEL CARVAJAL CAMUS</t>
  </si>
  <si>
    <t>1200-1</t>
  </si>
  <si>
    <t>19668391-7</t>
  </si>
  <si>
    <t>ANDRES ORLANDO VELIZ OLIVARES</t>
  </si>
  <si>
    <t>ASISTENTE DE RECURSOS HUMANOS</t>
  </si>
  <si>
    <t>1200-2</t>
  </si>
  <si>
    <t>15885524-0</t>
  </si>
  <si>
    <t>ANDRES SEBASTIAN CASTILLO ENCINA</t>
  </si>
  <si>
    <t>LM110-6</t>
  </si>
  <si>
    <t>44632507-8</t>
  </si>
  <si>
    <t>ANDREW JAMES WILSON .</t>
  </si>
  <si>
    <t>20037472-K</t>
  </si>
  <si>
    <t>ANGELO GIOVANNI BIZAMA ORELLANA</t>
  </si>
  <si>
    <t>19662155-5</t>
  </si>
  <si>
    <t>ANGELO IGNACIO GOMEZ PIZARRO</t>
  </si>
  <si>
    <t>17998731-7</t>
  </si>
  <si>
    <t>ANGELO PATRICIO RIVERA HERRERA</t>
  </si>
  <si>
    <t>13973699-0</t>
  </si>
  <si>
    <t>ANGELO SEBASTIAN ROJAS GARCIA</t>
  </si>
  <si>
    <t>GERENTE DE HSEC</t>
  </si>
  <si>
    <t>16442692-0</t>
  </si>
  <si>
    <t>ANITA FERNANDA AGUIRRE CASTILLO</t>
  </si>
  <si>
    <t>PREVENCIONISTA DE RIESGOS</t>
  </si>
  <si>
    <t>17453602-3</t>
  </si>
  <si>
    <t>ANTONIO ALEJANDRO SEPULVEDA QUIROZ</t>
  </si>
  <si>
    <t>44601894-9</t>
  </si>
  <si>
    <t>ANTONIO HIPOLITO OTINIANO RUIZ</t>
  </si>
  <si>
    <t>15613806-1</t>
  </si>
  <si>
    <t>ARIEL ANDRES SILVA RIQUELME</t>
  </si>
  <si>
    <t>14156135-9</t>
  </si>
  <si>
    <t>ARIEL BENEDICTO LISBOA CASTRO</t>
  </si>
  <si>
    <t>28683244-K</t>
  </si>
  <si>
    <t>ARIUNBOLD TSOGKHORKHOI .</t>
  </si>
  <si>
    <t>17277089-4</t>
  </si>
  <si>
    <t>ASTRY ROCIO TAPIA ALLENDES</t>
  </si>
  <si>
    <t>SUPERINTENDENTE DE RECURSOS HUMANOS</t>
  </si>
  <si>
    <t>17643998-K</t>
  </si>
  <si>
    <t>BENIGNO EDUARDO PAEZ MENESES</t>
  </si>
  <si>
    <t>16308007-9</t>
  </si>
  <si>
    <t>BENJAMIN EDUARDO ANJEL ZAMBRA</t>
  </si>
  <si>
    <t>17805184-9</t>
  </si>
  <si>
    <t>BENJAMIN JOSEFATT ESPINOZA URIBE</t>
  </si>
  <si>
    <t>20780960-8</t>
  </si>
  <si>
    <t>BENJAMIN NICOLAS BEORIZA BRICEÑO</t>
  </si>
  <si>
    <t>ASISTENTE DE CONTRATOS Y DOCUMENTACION</t>
  </si>
  <si>
    <t>15055697-K</t>
  </si>
  <si>
    <t>BERNARDO ELIAS BARRAZA ROJAS</t>
  </si>
  <si>
    <t>20111998-7</t>
  </si>
  <si>
    <t>BORIS ALEXIS NOVOA TORO</t>
  </si>
  <si>
    <t>11726306-1</t>
  </si>
  <si>
    <t>BORIS JULIAN JIMENEZ DIAZ</t>
  </si>
  <si>
    <t>25073481-6</t>
  </si>
  <si>
    <t>BRENDA LIZETH LEON AVELLA</t>
  </si>
  <si>
    <t>20167936-2</t>
  </si>
  <si>
    <t>BRIAN ANDRES MUNIZAGA GODOY</t>
  </si>
  <si>
    <t>20302978-0</t>
  </si>
  <si>
    <t>BRIAN ANTONIO CAMPILLAY MENA</t>
  </si>
  <si>
    <t>44611876-5</t>
  </si>
  <si>
    <t>BYAMBATSEREN TSERENDAVAA .</t>
  </si>
  <si>
    <t>19860514-K</t>
  </si>
  <si>
    <t>CAMILA FERNANDA ALCERRECA ACEVEDO</t>
  </si>
  <si>
    <t>PLANIFICADOR</t>
  </si>
  <si>
    <t>17580584-2</t>
  </si>
  <si>
    <t>CAMILO FELIPE CRUZ MOLINA</t>
  </si>
  <si>
    <t>44604917-8</t>
  </si>
  <si>
    <t>CARLA MARINA ARCE CONTRERAS</t>
  </si>
  <si>
    <t>COORDINADORA DE RECURSOS HUMANOS</t>
  </si>
  <si>
    <t>17721340-3</t>
  </si>
  <si>
    <t>CARLOS ALBERTO PIZARRO PIZARRO</t>
  </si>
  <si>
    <t>14400090-0</t>
  </si>
  <si>
    <t>CARLOS ALBERTO RAMOS VELASQUEZ</t>
  </si>
  <si>
    <t>13049877-9</t>
  </si>
  <si>
    <t>CARLOS ANDRES CORNEJO OSORIO</t>
  </si>
  <si>
    <t>15052220-K</t>
  </si>
  <si>
    <t>CARLOS ANDRES VASQUEZ ESQUIVEL</t>
  </si>
  <si>
    <t>17775054-9</t>
  </si>
  <si>
    <t>CARLOS ANDRES ZAPATA SEGUEL</t>
  </si>
  <si>
    <t>10466549-7</t>
  </si>
  <si>
    <t>CARLOS ANTONIO OLIVARES GALLEGUILLOS</t>
  </si>
  <si>
    <t>15593625-8</t>
  </si>
  <si>
    <t>CARLOS EDUARDO RODRIGUEZ HERNANDEZ</t>
  </si>
  <si>
    <t>ADMINISTRADOR DE CONTRATO</t>
  </si>
  <si>
    <t>18710376-2</t>
  </si>
  <si>
    <t>CARLOS JAVIER ALVAREZ RIVERA</t>
  </si>
  <si>
    <t>13937893-8</t>
  </si>
  <si>
    <t>CARLOS PATRICIO SANTELICES FUENTES</t>
  </si>
  <si>
    <t>15570854-9</t>
  </si>
  <si>
    <t>CARLOS ROBINSON VALDES PAEZ</t>
  </si>
  <si>
    <t>16792505-7</t>
  </si>
  <si>
    <t>CATALINA PAZ CARTAGENA YANES</t>
  </si>
  <si>
    <t>PROFESORA DE IDIOMAS</t>
  </si>
  <si>
    <t>15977589-5</t>
  </si>
  <si>
    <t>CELSO ANDRES ORREGO OLIVARES</t>
  </si>
  <si>
    <t>14401092-2</t>
  </si>
  <si>
    <t>CESAR AGUSTIN RIVERA ROJAS</t>
  </si>
  <si>
    <t>LIDER DE PREVENCIÓN</t>
  </si>
  <si>
    <t>20456853-7</t>
  </si>
  <si>
    <t>CHRISTIAN DARIEM PIZARRO MUÑOZ</t>
  </si>
  <si>
    <t>16755649-3</t>
  </si>
  <si>
    <t>CHRISTOFER HUESLY OLIVARES FERNANDEZ</t>
  </si>
  <si>
    <t>16876031-0</t>
  </si>
  <si>
    <t>CHRISTOPHER FELIPE CASTILLO COLLARTE</t>
  </si>
  <si>
    <t>18757602-4</t>
  </si>
  <si>
    <t>CLAUDIA ALEJANDRA TORRES ROJAS</t>
  </si>
  <si>
    <t>13874482-5</t>
  </si>
  <si>
    <t>CLAUDIO ALEXI ELIZALDE OLAVARRIA</t>
  </si>
  <si>
    <t>19349275-4</t>
  </si>
  <si>
    <t>CLAUDIO ANDRES MORALES CASTILLO</t>
  </si>
  <si>
    <t>17118820-2</t>
  </si>
  <si>
    <t>CLAUDIO ANDRES FERNANDEZ CASTILLO</t>
  </si>
  <si>
    <t>ADMINISTRATIVO AVANZADO</t>
  </si>
  <si>
    <t>17627031-4</t>
  </si>
  <si>
    <t>CLAUDIO NICOLAS CORTES GUEVARA</t>
  </si>
  <si>
    <t>JEFE DE FAENA</t>
  </si>
  <si>
    <t>25361105-7</t>
  </si>
  <si>
    <t>CONCEPCION MORO RIOJA</t>
  </si>
  <si>
    <t>14615536-7</t>
  </si>
  <si>
    <t>CRISTIAN ALBERTO MARIN CORTES</t>
  </si>
  <si>
    <t>15683698-2</t>
  </si>
  <si>
    <t>CRISTIAN ALEJANDRO TOLEDO GONZALEZ</t>
  </si>
  <si>
    <t>ELECTROMECANICO</t>
  </si>
  <si>
    <t>17712182-7</t>
  </si>
  <si>
    <t>CRISTIAN ALONSO SEGOVIA MOYA</t>
  </si>
  <si>
    <t>SUPERVISOR DE MANTENCION</t>
  </si>
  <si>
    <t>12806491-5</t>
  </si>
  <si>
    <t>CRISTIAN EDUARDO CARVAJAL JAIME</t>
  </si>
  <si>
    <t>12873698-0</t>
  </si>
  <si>
    <t>CRISTIAN EDUARDO VILLARROEL VASQUEZ</t>
  </si>
  <si>
    <t>16400165-2</t>
  </si>
  <si>
    <t>CRISTIAN ESTEBAN DIAZ GUAJARDO</t>
  </si>
  <si>
    <t>13533794-3</t>
  </si>
  <si>
    <t>CRISTIAN GUMERCINDO MUÑOZ PORTILLA</t>
  </si>
  <si>
    <t>18759051-5</t>
  </si>
  <si>
    <t>CRISTIAN JOSE ANTONIO BRAVO RIVERA</t>
  </si>
  <si>
    <t>19322282-K</t>
  </si>
  <si>
    <t>CRISTIAN NICOLAS SAMBRA TORRES</t>
  </si>
  <si>
    <t>13186913-4</t>
  </si>
  <si>
    <t>CRISTIAN REINALDO VERDEJO CISTERNAS</t>
  </si>
  <si>
    <t>BODEGUERO</t>
  </si>
  <si>
    <t>16053497-4</t>
  </si>
  <si>
    <t>CRISTIAN ROGELIO PASTEN VERGARA</t>
  </si>
  <si>
    <t>19910908-1</t>
  </si>
  <si>
    <t>CRISTOBAL ALEXIC SANDERSON SALCEDO</t>
  </si>
  <si>
    <t>18633143-5</t>
  </si>
  <si>
    <t>CRISTOFER JESUS MALDONADO MONDACA</t>
  </si>
  <si>
    <t>19983975-6</t>
  </si>
  <si>
    <t>DAMIAN NICOLAS ROMERO NUÑEZ</t>
  </si>
  <si>
    <t>18923902-5</t>
  </si>
  <si>
    <t>DANIELA DE LOS ANGELES ROSA CORTES</t>
  </si>
  <si>
    <t>ASISTENTE AVANZADA DE LOGISTICA</t>
  </si>
  <si>
    <t>16772735-2</t>
  </si>
  <si>
    <t>DANIEL ALEJANDRO YAÑEZ VARAS</t>
  </si>
  <si>
    <t>18141318-2</t>
  </si>
  <si>
    <t>DANIEL ANDRES MARTINEZ GONZALEZ</t>
  </si>
  <si>
    <t>17465056-K</t>
  </si>
  <si>
    <t>DANIEL ANDRES ANDRADE AGUILAR</t>
  </si>
  <si>
    <t>18665544-3</t>
  </si>
  <si>
    <t>DANIEL ANDRES VENEGAS CARRASCO</t>
  </si>
  <si>
    <t>16597409-3</t>
  </si>
  <si>
    <t>DANIEL ARMANDO LINDERMANN LINDERMANN</t>
  </si>
  <si>
    <t>13649993-9</t>
  </si>
  <si>
    <t>DANIEL DE JESUS GARRIDO VILLANUEVA</t>
  </si>
  <si>
    <t>17294242-3</t>
  </si>
  <si>
    <t>DANIEL EDUARDO JERALDO CORTES</t>
  </si>
  <si>
    <t>13173870-6</t>
  </si>
  <si>
    <t>DANIEL OSVALDO ARAYA REYES</t>
  </si>
  <si>
    <t>15785558-1</t>
  </si>
  <si>
    <t>DANIEL SEBASTIAN ARAYA GALLARDO</t>
  </si>
  <si>
    <t>18511756-1</t>
  </si>
  <si>
    <t>DARIO EDUARDO MARCHANT ABALOS</t>
  </si>
  <si>
    <t>ADMINISTRATIVO SENIOR</t>
  </si>
  <si>
    <t>18328176-3</t>
  </si>
  <si>
    <t>DAVID AUGUSTO MARSHALL FLORES</t>
  </si>
  <si>
    <t>17939732-3</t>
  </si>
  <si>
    <t>DAVID JESUS CASSRA ORELLANA</t>
  </si>
  <si>
    <t>21874001-4</t>
  </si>
  <si>
    <t>DAVID PATRICIO MOLINA VARAS</t>
  </si>
  <si>
    <t>44623904-K</t>
  </si>
  <si>
    <t>DAYNE JEFFERY PASSMORE .</t>
  </si>
  <si>
    <t>21396721-5</t>
  </si>
  <si>
    <t>DAYNNA DAHYIN SARAY HERNANDEZ HERNANDEZ</t>
  </si>
  <si>
    <t>COORDINADORA DE ACREDITACIÓN Y OPERACIÓN</t>
  </si>
  <si>
    <t>44599981-4</t>
  </si>
  <si>
    <t>DENYS SAUL VERGARA TOCAS</t>
  </si>
  <si>
    <t>21236457-6</t>
  </si>
  <si>
    <t>DIANA CATALINA ANGEL MUNITA</t>
  </si>
  <si>
    <t>16442931-8</t>
  </si>
  <si>
    <t>DIEGO ALEJANDRO ROJAS JOPIA</t>
  </si>
  <si>
    <t>18316968-8</t>
  </si>
  <si>
    <t>DIEGO ANDRES ROJAS DONAIRE</t>
  </si>
  <si>
    <t>21627890-9</t>
  </si>
  <si>
    <t>DIEGO ANDRES DIAZ GALLEGUILLOS</t>
  </si>
  <si>
    <t>20456931-2</t>
  </si>
  <si>
    <t>DIEGO BRANCO BARRAZA CHAVEZ</t>
  </si>
  <si>
    <t>18178758-9</t>
  </si>
  <si>
    <t>DIEGO  FELIPE GONZALEZ CASTILLO</t>
  </si>
  <si>
    <t>19506189-0</t>
  </si>
  <si>
    <t>DIEGO NICOLAS GONZALEZ OLIVARES</t>
  </si>
  <si>
    <t>20921611-6</t>
  </si>
  <si>
    <t>DUBAN ANDRES CONTRERAS BORDONES</t>
  </si>
  <si>
    <t>21480368-2</t>
  </si>
  <si>
    <t>EDGARDO FABIAN GALVEZ CORDOVA</t>
  </si>
  <si>
    <t>AYUDANTE DE PINTOR</t>
  </si>
  <si>
    <t>11934921-4</t>
  </si>
  <si>
    <t>EDINSON RODRIGO GONZALEZ CORTINEZ</t>
  </si>
  <si>
    <t>17174083-5</t>
  </si>
  <si>
    <t>EDUARDO ALEXIS GONZALEZ MORALES</t>
  </si>
  <si>
    <t>12218170-7</t>
  </si>
  <si>
    <t>EDUARDO ANTONIO CASTILLO VALENZUELA</t>
  </si>
  <si>
    <t>13818282-7</t>
  </si>
  <si>
    <t>EDUARDO HERNAN HUNTER GUTIERREZ</t>
  </si>
  <si>
    <t>CONTROLLER FINANCIERO Y COMERCIAL</t>
  </si>
  <si>
    <t>20173381-2</t>
  </si>
  <si>
    <t>ELIAS NICOLAS CORTEZ CORTEZ</t>
  </si>
  <si>
    <t>44598439-6</t>
  </si>
  <si>
    <t>ELMER RISCO RAMOS</t>
  </si>
  <si>
    <t>19690710-6</t>
  </si>
  <si>
    <t>EMERSON GIOVANNY DONAIRE VADULLI</t>
  </si>
  <si>
    <t>19394534-1</t>
  </si>
  <si>
    <t>EMIL EDGARDO VARGAS BORDONES</t>
  </si>
  <si>
    <t>15825949-4</t>
  </si>
  <si>
    <t>EMILIO JOSE LEIVA PALMA</t>
  </si>
  <si>
    <t>ADMINISTRADOR DE FLOTA</t>
  </si>
  <si>
    <t>44601238-K</t>
  </si>
  <si>
    <t>ENKHZAYA GANBAATAR .</t>
  </si>
  <si>
    <t>16053860-0</t>
  </si>
  <si>
    <t>ENRIQUE ALFONSO ROJAS MUÑOZ</t>
  </si>
  <si>
    <t>14116898-3</t>
  </si>
  <si>
    <t>ENRIQUE ANTONIO CORTES SANTANA</t>
  </si>
  <si>
    <t>16892590-5</t>
  </si>
  <si>
    <t>ERIC ALFONSO GALLEGUILLOS DIAZ</t>
  </si>
  <si>
    <t>15197846-0</t>
  </si>
  <si>
    <t>ERIC LEONARDO FRIZ CASTRO</t>
  </si>
  <si>
    <t>44602294-6</t>
  </si>
  <si>
    <t>ERNESTO HUAMANI HUAMAN</t>
  </si>
  <si>
    <t>17293877-9</t>
  </si>
  <si>
    <t>ERNESTO ALIRO ZEPEDA SOTO</t>
  </si>
  <si>
    <t>17542518-7</t>
  </si>
  <si>
    <t>ESLEMAN GONZALO MOHAMED MOHAMED</t>
  </si>
  <si>
    <t>13223287-3</t>
  </si>
  <si>
    <t>ESTEBAN DAGOBERTO LOPEZ BARRIOS</t>
  </si>
  <si>
    <t>14016356-2</t>
  </si>
  <si>
    <t>ESTEBAN ELIUT GONZALEZ JAQUE</t>
  </si>
  <si>
    <t>21372257-3</t>
  </si>
  <si>
    <t>ESTEBAN RODRIGO DIAZ LILLO</t>
  </si>
  <si>
    <t>15831074-0</t>
  </si>
  <si>
    <t>ESTEFANIA CONSTANZA NAETER QUIROZ</t>
  </si>
  <si>
    <t>17734821-K</t>
  </si>
  <si>
    <t>FABIAN ANDRES CORTES CORTES</t>
  </si>
  <si>
    <t>19949787-1</t>
  </si>
  <si>
    <t>FABIAN PATRICIO CABRERA GODOY</t>
  </si>
  <si>
    <t>11210318-K</t>
  </si>
  <si>
    <t>FABIAN SEGUNDO ALVARADO MUÑOZ</t>
  </si>
  <si>
    <t>15028051-6</t>
  </si>
  <si>
    <t>FANCY PILAR RIVERA VARGAS</t>
  </si>
  <si>
    <t>RECEPCIONISTA</t>
  </si>
  <si>
    <t>17620294-7</t>
  </si>
  <si>
    <t>FEDERICO ARON OLIVARES OLIVARES</t>
  </si>
  <si>
    <t>16755492-K</t>
  </si>
  <si>
    <t>FELIPE ANDRES BOLBARAN ROJAS</t>
  </si>
  <si>
    <t>18318346-K</t>
  </si>
  <si>
    <t>FELIPE ANDRES PASTEN PIZARRO</t>
  </si>
  <si>
    <t>ANALISTA CONTABLE</t>
  </si>
  <si>
    <t>20457549-5</t>
  </si>
  <si>
    <t>FELIPE ANTONIO CARMONA LEITON</t>
  </si>
  <si>
    <t>18450168-6</t>
  </si>
  <si>
    <t>FELIPE DAVID SAAVEDRA CAMPOS</t>
  </si>
  <si>
    <t>19507111-K</t>
  </si>
  <si>
    <t>FELIPE IVAN LUIS ZAMBRA GONZALEZ</t>
  </si>
  <si>
    <t>15594928-7</t>
  </si>
  <si>
    <t>FELIPE OCTAVIO VEGA ASTUDILLO</t>
  </si>
  <si>
    <t>15050755-3</t>
  </si>
  <si>
    <t>FELIX ALEJANDRO MERY ROBLEDO</t>
  </si>
  <si>
    <t>ADMINISTRADOR DE CONTRATO JUNIOR</t>
  </si>
  <si>
    <t>16581787-7</t>
  </si>
  <si>
    <t>FELIX JOEL CASTILLO VALDIVIA</t>
  </si>
  <si>
    <t>10508202-9</t>
  </si>
  <si>
    <t>FERNANDO ANDRES ARDILES PISAYA</t>
  </si>
  <si>
    <t>21028758-2</t>
  </si>
  <si>
    <t>FRANCISCO ALEJANDRO ARAYA BARRAZA</t>
  </si>
  <si>
    <t>16281802-3</t>
  </si>
  <si>
    <t>FRANCISCO JAVIER NAVARRO ESPINOZA</t>
  </si>
  <si>
    <t>17774126-4</t>
  </si>
  <si>
    <t>FRANCISCO JAVIER PICON ROJAS</t>
  </si>
  <si>
    <t>16463792-1</t>
  </si>
  <si>
    <t>FRANCISCO JAVIER ROJAS MARTINEZ</t>
  </si>
  <si>
    <t>12115176-6</t>
  </si>
  <si>
    <t>FRANCISCO JAVIER LEIVA LEIVA</t>
  </si>
  <si>
    <t>44599978-4</t>
  </si>
  <si>
    <t>FRANCISCO PEDRO BORNAZ DELGADO</t>
  </si>
  <si>
    <t>19864468-4</t>
  </si>
  <si>
    <t>FRANCISCO REYNALDO DIAZ GUERRERO</t>
  </si>
  <si>
    <t>18632466-8</t>
  </si>
  <si>
    <t>FRANCO HERNAN OLIVA CASTILLO</t>
  </si>
  <si>
    <t>19167554-1</t>
  </si>
  <si>
    <t>FREDDY IGNACIO THOMPSON DIAZ</t>
  </si>
  <si>
    <t>15909798-6</t>
  </si>
  <si>
    <t>GABRIEL ALEJANDRO GALLEGUILLOS ARANCIBIA</t>
  </si>
  <si>
    <t>44591746-K</t>
  </si>
  <si>
    <t>GANTSOOJ KHISHIGBAYAR .</t>
  </si>
  <si>
    <t>19214178-8</t>
  </si>
  <si>
    <t>GERARDO ANTONIO GAETE PAZ</t>
  </si>
  <si>
    <t>13804452-1</t>
  </si>
  <si>
    <t>GERSON ANDRES SANDOVAL SEPULVEDA</t>
  </si>
  <si>
    <t>29364834-4</t>
  </si>
  <si>
    <t>GLORIA GABRIELA LA HOZ SANCHEZ</t>
  </si>
  <si>
    <t>GERENTE DE ADMINISTRACION Y FINANZAS</t>
  </si>
  <si>
    <t>21854689-7</t>
  </si>
  <si>
    <t>GONZALO EMILIO DIAZ ALVAREZ</t>
  </si>
  <si>
    <t>13650378-2</t>
  </si>
  <si>
    <t>GONZALO FELIPE GALVEZ RIVERA</t>
  </si>
  <si>
    <t>15134240-K</t>
  </si>
  <si>
    <t>GUILLERMO ALFREDO CASTRO ZUÑIGA</t>
  </si>
  <si>
    <t>17451740-1</t>
  </si>
  <si>
    <t>GUILLERMO ANDRES NUÑEZ GALVEZ</t>
  </si>
  <si>
    <t>18012671-6</t>
  </si>
  <si>
    <t>GUILLERMO NICOLAS GODOY CARVAJAL</t>
  </si>
  <si>
    <t>10792747-6</t>
  </si>
  <si>
    <t>GUMERCINDO DEL ROSARIO PASTEN GUERRERO</t>
  </si>
  <si>
    <t>17293946-5</t>
  </si>
  <si>
    <t>HAMIR ALONSO GONZALEZ JERALDO</t>
  </si>
  <si>
    <t>INSTRUCTOR DE OPERACIONES</t>
  </si>
  <si>
    <t>18223319-6</t>
  </si>
  <si>
    <t>HANS YERKO MARQUEZ MUÑOZ</t>
  </si>
  <si>
    <t>SUPERINTENDENTE DE MANTENCION</t>
  </si>
  <si>
    <t>14071144-6</t>
  </si>
  <si>
    <t>HECTOR HUGO SEPULVEDA GAVILAN</t>
  </si>
  <si>
    <t>15674651-7</t>
  </si>
  <si>
    <t>HECTOR ORLANDO RAMOS ROJAS</t>
  </si>
  <si>
    <t>17381165-9</t>
  </si>
  <si>
    <t>HELMUTH ALVARO CIFUENTES ROCHA</t>
  </si>
  <si>
    <t>13904830-K</t>
  </si>
  <si>
    <t>HUGO ITALO NUÑEZ PENDOLA</t>
  </si>
  <si>
    <t>13011075-4</t>
  </si>
  <si>
    <t>IBAR ALEXIS BORQUEZ CARVAJAL</t>
  </si>
  <si>
    <t>20718093-9</t>
  </si>
  <si>
    <t>IGNACIO ALEJANDRO ROBLES BARRIOS</t>
  </si>
  <si>
    <t>16426974-4</t>
  </si>
  <si>
    <t>IGNACIO ANDRES BUENO TERRAZAS</t>
  </si>
  <si>
    <t>15475908-5</t>
  </si>
  <si>
    <t>ISRAEL AARÓN VERGARA ELGUETA</t>
  </si>
  <si>
    <t>17295192-9</t>
  </si>
  <si>
    <t>IVAN ALEJANDRO SAN FRANCISCO ARDILES</t>
  </si>
  <si>
    <t>18575188-0</t>
  </si>
  <si>
    <t>IVAN ESTEBAN LOPEZ GARCIA</t>
  </si>
  <si>
    <t>14161667-6</t>
  </si>
  <si>
    <t>JAIME ERNESTO ESPINOZA ALCAGAYA</t>
  </si>
  <si>
    <t>13329197-0</t>
  </si>
  <si>
    <t>JAIME MARCELO ESCOBAR CORTES</t>
  </si>
  <si>
    <t>19911323-2</t>
  </si>
  <si>
    <t>JAIME NICOLAS CARVAJAL ALVARADO</t>
  </si>
  <si>
    <t>44587973-8</t>
  </si>
  <si>
    <t>JASON NEIL FLETCHER .</t>
  </si>
  <si>
    <t>19745779-1</t>
  </si>
  <si>
    <t>JAVIERA ALEJANDRA VALDERRAMA BRAVO</t>
  </si>
  <si>
    <t>COORDINADORA ADMINISTRATIVA</t>
  </si>
  <si>
    <t>16780234-6</t>
  </si>
  <si>
    <t>JAVIER ALEXIS ALVAREZ LOPEZ</t>
  </si>
  <si>
    <t>17818652-3</t>
  </si>
  <si>
    <t>JAVIER ANDRES MILLA PALACIOS</t>
  </si>
  <si>
    <t>11730786-7</t>
  </si>
  <si>
    <t>JAVIER AURELIO QUIROZ APABLAZA</t>
  </si>
  <si>
    <t>13775192-5</t>
  </si>
  <si>
    <t>JAVIER EDUARDO CATALAN ESPINOZA</t>
  </si>
  <si>
    <t>19349619-9</t>
  </si>
  <si>
    <t>JEAN CHARLES CERDA ORREGO</t>
  </si>
  <si>
    <t>16688197-8</t>
  </si>
  <si>
    <t>JEAN MAXIMILIANO BAEZA ROJAS</t>
  </si>
  <si>
    <t>16735381-9</t>
  </si>
  <si>
    <t>JEAN PIERRE WACHTENDORFF FERNANDEZ</t>
  </si>
  <si>
    <t>29224483-5</t>
  </si>
  <si>
    <t>JENNIFER NAM-ON LAGBONA</t>
  </si>
  <si>
    <t>CONTROLADORA DE CUENTAS EXPERTA</t>
  </si>
  <si>
    <t>19825638-2</t>
  </si>
  <si>
    <t>JENNIFER ALEJANDRA SOTO FLORES</t>
  </si>
  <si>
    <t>15521744-8</t>
  </si>
  <si>
    <t>JILBERTO FRANCISCO ROJAS FERNANDEZ</t>
  </si>
  <si>
    <t>21933915-1</t>
  </si>
  <si>
    <t>JITENDRA KHATRI .</t>
  </si>
  <si>
    <t>19189343-3</t>
  </si>
  <si>
    <t>JOAQUIN IGNACIO TORO ALCAYAGA</t>
  </si>
  <si>
    <t>18403993-1</t>
  </si>
  <si>
    <t>JOEL ANDRES CARO GALLARDO</t>
  </si>
  <si>
    <t>17979787-9</t>
  </si>
  <si>
    <t>JOHN ALEXIS BRICEÑO HONORES</t>
  </si>
  <si>
    <t>19339512-0</t>
  </si>
  <si>
    <t>JOHN BYRON VASQUEZ CARROZA</t>
  </si>
  <si>
    <t>19347920-0</t>
  </si>
  <si>
    <t>JONATHAN ALEJANDRO BERENGUELA RIVEROS</t>
  </si>
  <si>
    <t>20944055-5</t>
  </si>
  <si>
    <t>JONATHAN ALEXANDER OLIVARES NATES</t>
  </si>
  <si>
    <t>15056140-K</t>
  </si>
  <si>
    <t>JONATHAN ANDRES ARDILES NUÑEZ</t>
  </si>
  <si>
    <t>19163596-5</t>
  </si>
  <si>
    <t>JONATHAN ANDRES GALLARDO MORGADO</t>
  </si>
  <si>
    <t>15031055-5</t>
  </si>
  <si>
    <t>JONATHAN FERNANDO BARRIOS GODOY</t>
  </si>
  <si>
    <t>17452188-3</t>
  </si>
  <si>
    <t>JONATHAN SEBASTIAN CAYO CARVAJAL</t>
  </si>
  <si>
    <t>13541133-7</t>
  </si>
  <si>
    <t>JORGE ALEXIS CORTES PAZ</t>
  </si>
  <si>
    <t>14128763-K</t>
  </si>
  <si>
    <t>JORGE ANDRE GUERRA CUBILLOS</t>
  </si>
  <si>
    <t>19518296-5</t>
  </si>
  <si>
    <t>JORGE ANDRES LICANQUEO PEREZ</t>
  </si>
  <si>
    <t>23868099-9</t>
  </si>
  <si>
    <t>JORGE ARMANDO TINOCO OSPINO</t>
  </si>
  <si>
    <t>15596250-K</t>
  </si>
  <si>
    <t>JORGE ENRIQUE CEBALLOS JOFRE</t>
  </si>
  <si>
    <t>11866830-8</t>
  </si>
  <si>
    <t>JORGE ENRIQUE MACIAS JIMENEZ</t>
  </si>
  <si>
    <t>21254681-K</t>
  </si>
  <si>
    <t>JORGE ERIKSON DURAND RUIZ</t>
  </si>
  <si>
    <t>12152241-1</t>
  </si>
  <si>
    <t>JORGE ESTEBAN SAAVEDRA MENA</t>
  </si>
  <si>
    <t>10726051-K</t>
  </si>
  <si>
    <t>JORGE IVAN SOTO FARIÑA</t>
  </si>
  <si>
    <t>ADMINISTRATIVO DE FAENA</t>
  </si>
  <si>
    <t>14413231-9</t>
  </si>
  <si>
    <t>JOSE CRISTIAN BASTIAS PEREZ</t>
  </si>
  <si>
    <t>21746016-6</t>
  </si>
  <si>
    <t>JOSE IGNACIO ALVAREZ GUEVARA</t>
  </si>
  <si>
    <t>17753119-7</t>
  </si>
  <si>
    <t>JOSE IGNACIO HERNANDEZ ARAYA</t>
  </si>
  <si>
    <t>13809180-5</t>
  </si>
  <si>
    <t>JOSE LEANDRO PARRA SARAVIA</t>
  </si>
  <si>
    <t>25832490-0</t>
  </si>
  <si>
    <t>JOSÉ LEONARDO RODRIGUEZ ROBLES</t>
  </si>
  <si>
    <t>17016281-1</t>
  </si>
  <si>
    <t>JOSE LUIS GALLARDO VERGARA</t>
  </si>
  <si>
    <t>15494173-8</t>
  </si>
  <si>
    <t>JOSE LUIS FLORES FLORES</t>
  </si>
  <si>
    <t>15946640-K</t>
  </si>
  <si>
    <t>JOSE LUIS EDUARDO VASQUEZ SILVA</t>
  </si>
  <si>
    <t>13745724-5</t>
  </si>
  <si>
    <t>JOSE MANUEL CASTILLO GARCIA</t>
  </si>
  <si>
    <t>12363919-7</t>
  </si>
  <si>
    <t>JOSE MAURICIO TORO ARAYA</t>
  </si>
  <si>
    <t>16052742-0</t>
  </si>
  <si>
    <t>JOSE MIGUEL ARDILES NUÑEZ</t>
  </si>
  <si>
    <t>29379228-3</t>
  </si>
  <si>
    <t>JOSHUA MANN .</t>
  </si>
  <si>
    <t>11346903-K</t>
  </si>
  <si>
    <t>JUAN ALBERTO PIZARRO CONTRERAS</t>
  </si>
  <si>
    <t>14043422-1</t>
  </si>
  <si>
    <t>JUAN ALEXIS AVILEZ MOLINA</t>
  </si>
  <si>
    <t>16581290-5</t>
  </si>
  <si>
    <t>JUAN ANTONIO VEGA ESPINOZA</t>
  </si>
  <si>
    <t>PERFORISTA TRAINING</t>
  </si>
  <si>
    <t>17553475-K</t>
  </si>
  <si>
    <t>JUAN CARLOS YAMPARA YAMPARA</t>
  </si>
  <si>
    <t>20406500-4</t>
  </si>
  <si>
    <t>JUAN CARLOS MAURICIO ARAYA CAMPAÑA</t>
  </si>
  <si>
    <t>17827549-6</t>
  </si>
  <si>
    <t>JUAN EDUARDO GONZALEZ ROMERO</t>
  </si>
  <si>
    <t>15870057-3</t>
  </si>
  <si>
    <t>JUAN FELIPE SANHUEZA CARVAJAL</t>
  </si>
  <si>
    <t>17625404-1</t>
  </si>
  <si>
    <t>JUAN FRANCISCO LAMAS HIDALGO</t>
  </si>
  <si>
    <t>17629034-K</t>
  </si>
  <si>
    <t>JUAN IGNACIO CORTES GONZALEZ</t>
  </si>
  <si>
    <t>14117235-2</t>
  </si>
  <si>
    <t>JUAN MAURICIO TABILO ARAYA</t>
  </si>
  <si>
    <t>19948458-3</t>
  </si>
  <si>
    <t>JUAN PABLO PIZARRO VILLALOBOS</t>
  </si>
  <si>
    <t>18449925-8</t>
  </si>
  <si>
    <t>JUAN PABLO MORALES CAMPUSANO</t>
  </si>
  <si>
    <t>13742666-8</t>
  </si>
  <si>
    <t>JUAN PATRICIO BARRIOS GUZMAN</t>
  </si>
  <si>
    <t>15572472-2</t>
  </si>
  <si>
    <t>JULIO ANDRES CISTERNAS ROJAS</t>
  </si>
  <si>
    <t>19454353-0</t>
  </si>
  <si>
    <t>KAZUKI CASTRO HOHMANN</t>
  </si>
  <si>
    <t>20460401-0</t>
  </si>
  <si>
    <t>KEVIN ALEXIS NEYRA CORTES</t>
  </si>
  <si>
    <t>21474308-6</t>
  </si>
  <si>
    <t>KEVIN ESTEBAN VALENZUELA VALENZUELA</t>
  </si>
  <si>
    <t>20459052-4</t>
  </si>
  <si>
    <t>KRISHNA STEFANIA SEGOVIA CUBILLOS</t>
  </si>
  <si>
    <t>16491212-4</t>
  </si>
  <si>
    <t>LEANDRO RUBEN BOSSA ZAMORANO</t>
  </si>
  <si>
    <t>14043656-9</t>
  </si>
  <si>
    <t>LEONARDO ANDRES MENESES ARREDONDO</t>
  </si>
  <si>
    <t>12441529-2</t>
  </si>
  <si>
    <t>LEONARDO IVAN MUNDACA PEREZ</t>
  </si>
  <si>
    <t>18520647-5</t>
  </si>
  <si>
    <t>LEONARDO PATRICIO GATICA CASTRO</t>
  </si>
  <si>
    <t>8601991-4</t>
  </si>
  <si>
    <t>LEONEL EUGENIO ARANCIBIA BRUNA</t>
  </si>
  <si>
    <t>18889617-0</t>
  </si>
  <si>
    <t>LEONEL GUILLERMO CAMPUSANO DUBO</t>
  </si>
  <si>
    <t>10269976-9</t>
  </si>
  <si>
    <t>LEONIDAS LUIS ARCE OLIVARES</t>
  </si>
  <si>
    <t>17912884-5</t>
  </si>
  <si>
    <t>LINO ANDRES OLIVARES CARRILLO</t>
  </si>
  <si>
    <t>19468700-1</t>
  </si>
  <si>
    <t>LUCAS ALBERTO ROJAS DIAZ</t>
  </si>
  <si>
    <t>CHOFER DE SERVICIOS</t>
  </si>
  <si>
    <t>13411442-8</t>
  </si>
  <si>
    <t>LUIS ALBERT CHAMBLAS CARTE</t>
  </si>
  <si>
    <t>14090653-0</t>
  </si>
  <si>
    <t>LUIS ALEXIS CARO SILVA</t>
  </si>
  <si>
    <t>18318426-1</t>
  </si>
  <si>
    <t>LUIS ALFREDO MORENO RIOS</t>
  </si>
  <si>
    <t>18688482-5</t>
  </si>
  <si>
    <t>LUIS DAVID LORCA SANCHEZ</t>
  </si>
  <si>
    <t>44595482-9</t>
  </si>
  <si>
    <t>LUIS ENRIQUE CHAVEZ HUAMAN</t>
  </si>
  <si>
    <t>17169171-0</t>
  </si>
  <si>
    <t>LUIS GERARDO LOPEZ OLAVE</t>
  </si>
  <si>
    <t>8851229-4</t>
  </si>
  <si>
    <t>LUIS HUMBERTO PEÑA AHUMADA</t>
  </si>
  <si>
    <t>13170930-7</t>
  </si>
  <si>
    <t>LUIS MARCELO CHAURA VOGT</t>
  </si>
  <si>
    <t>17294428-0</t>
  </si>
  <si>
    <t>LUIS RENATO DE JESUS JIMENEZ VEGA</t>
  </si>
  <si>
    <t>19041873-1</t>
  </si>
  <si>
    <t>MAIKOL MANUEL ANTONIO CORTES OLIVARES</t>
  </si>
  <si>
    <t>15051760-5</t>
  </si>
  <si>
    <t>MANUEL ALEJANDRO ROJAS VEGA</t>
  </si>
  <si>
    <t>18654215-0</t>
  </si>
  <si>
    <t>MANUEL ALEJANDRO SALAZAR GONZALEZ</t>
  </si>
  <si>
    <t>16892085-7</t>
  </si>
  <si>
    <t>MANUEL ALEJANDRO LISAMBARTH CARABANTES</t>
  </si>
  <si>
    <t>19804200-5</t>
  </si>
  <si>
    <t>MANUEL ALEJANDRO TILLERIA SAAVEDRA</t>
  </si>
  <si>
    <t>16892086-5</t>
  </si>
  <si>
    <t>MANUEL ANDRES LISAMBARTH CARABANTES</t>
  </si>
  <si>
    <t>16280454-5</t>
  </si>
  <si>
    <t>MANUEL ANTONIO ESCALONA VERA</t>
  </si>
  <si>
    <t>12807074-5</t>
  </si>
  <si>
    <t>MANUEL ARNOLDO ALISTE OLIVARES</t>
  </si>
  <si>
    <t>25188298-3</t>
  </si>
  <si>
    <t>MANUEL OMAR ZAPATA AQUINO</t>
  </si>
  <si>
    <t>15197539-9</t>
  </si>
  <si>
    <t>MARCELO ALEJANDRO INZUNZA ALARCON</t>
  </si>
  <si>
    <t>22455426-5</t>
  </si>
  <si>
    <t>MARCELO DAVID VASQUEZ AVILEZ</t>
  </si>
  <si>
    <t>19948246-7</t>
  </si>
  <si>
    <t>MARCELO GIOVANNI RAMIREZ BARRAZA</t>
  </si>
  <si>
    <t>MECANICO LIDER</t>
  </si>
  <si>
    <t>19661264-5</t>
  </si>
  <si>
    <t>MARCHS ANTHONY GALLEGUILLOS COFRE</t>
  </si>
  <si>
    <t>16442547-9</t>
  </si>
  <si>
    <t>MARCO ANDRES ROJAS ROJAS</t>
  </si>
  <si>
    <t>12982701-7</t>
  </si>
  <si>
    <t>MARCO ANTONIO VELASQUEZ CIFUENTES</t>
  </si>
  <si>
    <t>14387333-1</t>
  </si>
  <si>
    <t>MARCOS ANDRES BEAS VALDIVIA</t>
  </si>
  <si>
    <t>16981319-1</t>
  </si>
  <si>
    <t>MARCOS ANTONIO ALDEA BEROIZA</t>
  </si>
  <si>
    <t>18823676-6</t>
  </si>
  <si>
    <t>MARCOS SEBASTIAN CORTES BORDON</t>
  </si>
  <si>
    <t>21637836-9</t>
  </si>
  <si>
    <t>MARIO ALBERTO AQUEA GONZALEZ</t>
  </si>
  <si>
    <t>16684239-5</t>
  </si>
  <si>
    <t>MARIO ANDRES PUCHI CORTEZ</t>
  </si>
  <si>
    <t>20778520-2</t>
  </si>
  <si>
    <t>MARIO PATRICIO ARANCIBIA RAMIREZ</t>
  </si>
  <si>
    <t>28342620-3</t>
  </si>
  <si>
    <t>MARK DARREN SCOLES .</t>
  </si>
  <si>
    <t>GERENTE GENERAL</t>
  </si>
  <si>
    <t>22593795-8</t>
  </si>
  <si>
    <t>MARTIN ANDRES SILVA ARENAS</t>
  </si>
  <si>
    <t>21123779-1</t>
  </si>
  <si>
    <t>MATIAS ALVAREZ CASTILLO</t>
  </si>
  <si>
    <t>21301397-1</t>
  </si>
  <si>
    <t>MATIAS ALEJANDRO CORTES ROJAS</t>
  </si>
  <si>
    <t>19526067-2</t>
  </si>
  <si>
    <t>MATIAS ANDRES PARRA PEÑA</t>
  </si>
  <si>
    <t>21003892-2</t>
  </si>
  <si>
    <t>MATIAS IGNACIO HANNUCSH GRUNENWALD</t>
  </si>
  <si>
    <t>20976135-1</t>
  </si>
  <si>
    <t>MATIAS VICENTE ROJAS ROJAS</t>
  </si>
  <si>
    <t>29263924-4</t>
  </si>
  <si>
    <t>MATTHEW FRANK DICK .</t>
  </si>
  <si>
    <t>13274800-4</t>
  </si>
  <si>
    <t>MAURICIO ALEJANDRO LAGOS LAGOS</t>
  </si>
  <si>
    <t>17964013-9</t>
  </si>
  <si>
    <t>MAURICIO ANDRES OYARZUN SALAMANCA</t>
  </si>
  <si>
    <t>18751573-4</t>
  </si>
  <si>
    <t>MAURICIO EDUARDO CAMPILLAY CORTINEZ</t>
  </si>
  <si>
    <t>17626968-5</t>
  </si>
  <si>
    <t>MAURICIO ENRIQUE TAPIA CARVAJAL</t>
  </si>
  <si>
    <t>15742260-K</t>
  </si>
  <si>
    <t>MAURICIO LEANDRO CASTILLO SAAVEDRA</t>
  </si>
  <si>
    <t>20650374-2</t>
  </si>
  <si>
    <t>MAXIMILIANO ANDRES ARAYA CALDERON</t>
  </si>
  <si>
    <t>20006954-4</t>
  </si>
  <si>
    <t>MEYLINE ANTONIA CIFUENTES ROJAS</t>
  </si>
  <si>
    <t>13762337-4</t>
  </si>
  <si>
    <t>MICHAEL ANDRÉS GONZALEZ ACEVEDO</t>
  </si>
  <si>
    <t>SUPERVISOR ELECTRICO</t>
  </si>
  <si>
    <t>19753292-0</t>
  </si>
  <si>
    <t>MICHAEL IGNACIO VALENCIA MUÑOZ</t>
  </si>
  <si>
    <t>44601250-9</t>
  </si>
  <si>
    <t>MIGUEL LLANOS CULQUI</t>
  </si>
  <si>
    <t>19271442-7</t>
  </si>
  <si>
    <t>MIGUEL ANGEL CORTES MARAMBIO</t>
  </si>
  <si>
    <t>17210409-6</t>
  </si>
  <si>
    <t>MIGUEL ANTONIO BEAS GONZALEZ</t>
  </si>
  <si>
    <t>15052994-8</t>
  </si>
  <si>
    <t>MIGUEL EDUARDO LOPEZ CLAVERIA</t>
  </si>
  <si>
    <t>16581882-2</t>
  </si>
  <si>
    <t>MIGUEL SEBASTIAN JUAREZ MORALES</t>
  </si>
  <si>
    <t>16550436-4</t>
  </si>
  <si>
    <t>MILENCO ALEXIS MOYANO GUERRERO</t>
  </si>
  <si>
    <t>11726428-9</t>
  </si>
  <si>
    <t>MOISES ARON DAZA CANALES</t>
  </si>
  <si>
    <t>21516063-7</t>
  </si>
  <si>
    <t>NATALY ANTONIA SALAS ESCOBAR</t>
  </si>
  <si>
    <t>16732957-8</t>
  </si>
  <si>
    <t>NELCIO ANTONIO RAMIREZ PIZARRO</t>
  </si>
  <si>
    <t>17624527-1</t>
  </si>
  <si>
    <t>NELSON ANDRES CASTRO AVALOS</t>
  </si>
  <si>
    <t>15196627-6</t>
  </si>
  <si>
    <t>NELSON PATRICIO FLORES SANHUEZA</t>
  </si>
  <si>
    <t>15061835-5</t>
  </si>
  <si>
    <t>NESTOR RENE SUAREZ MORALES</t>
  </si>
  <si>
    <t>10362133-K</t>
  </si>
  <si>
    <t>NIBALDO ENRIQUE CASTRO CORTES</t>
  </si>
  <si>
    <t>20127405-2</t>
  </si>
  <si>
    <t>NICOLAS ADOLFO AGUIRRE DIAZ</t>
  </si>
  <si>
    <t>20308969-4</t>
  </si>
  <si>
    <t>NICOLAS ALBERTO CARVAJAL PASTEN</t>
  </si>
  <si>
    <t>20864085-2</t>
  </si>
  <si>
    <t>NICOLAS ANDRES GALVEZ CARMONA</t>
  </si>
  <si>
    <t>19754060-5</t>
  </si>
  <si>
    <t>NICOLAS ENRIQUE GUTIERREZ GUTIERREZ</t>
  </si>
  <si>
    <t>20460277-8</t>
  </si>
  <si>
    <t>NICOLAS FELIPE TAPIA INOSTROZA</t>
  </si>
  <si>
    <t>20457007-8</t>
  </si>
  <si>
    <t>NICOLAS FRANCISCO FLORES ZAPATA</t>
  </si>
  <si>
    <t>19770436-5</t>
  </si>
  <si>
    <t>NICOLAS RODRIGO CASTILLO OCARANZA</t>
  </si>
  <si>
    <t>20406355-9</t>
  </si>
  <si>
    <t>NICOLAS RONALDO ALVAREZ AHUMADA</t>
  </si>
  <si>
    <t>19205849-K</t>
  </si>
  <si>
    <t>NICOLAS SEBASTIAN SALINAS BARRAZA</t>
  </si>
  <si>
    <t>17525035-2</t>
  </si>
  <si>
    <t>NICOLAS ULISES ZUÑIGA HERNANDEZ</t>
  </si>
  <si>
    <t>18352777-0</t>
  </si>
  <si>
    <t>NORA ALEXANDRA SALAS ROJAS</t>
  </si>
  <si>
    <t>16771866-3</t>
  </si>
  <si>
    <t>OMAR ANDRES ARAYA ZUÑIGA</t>
  </si>
  <si>
    <t>11778172-0</t>
  </si>
  <si>
    <t>ORLANDO PATRICIO CONTRERAS RIOS</t>
  </si>
  <si>
    <t>14043436-1</t>
  </si>
  <si>
    <t>OSCAR ALEXIS JARA MEJIAS</t>
  </si>
  <si>
    <t>10452465-6</t>
  </si>
  <si>
    <t>OSCAR ANTONIO GASTON ORELLANA MARTINEZ</t>
  </si>
  <si>
    <t>18494069-8</t>
  </si>
  <si>
    <t>OSCAR MANUEL ESPINOZA ESPINOZA</t>
  </si>
  <si>
    <t>20774155-8</t>
  </si>
  <si>
    <t>OSCAR RODRIGO ARIAS LEIVA</t>
  </si>
  <si>
    <t>14117289-1</t>
  </si>
  <si>
    <t>PABLO ANDRES ALBARNEZ LOPEZ</t>
  </si>
  <si>
    <t>18184052-8</t>
  </si>
  <si>
    <t>PABLO ANTONIO ALVAREZ CORTES</t>
  </si>
  <si>
    <t>19460207-3</t>
  </si>
  <si>
    <t>PABLO LUCAS POBLETE KUHNE</t>
  </si>
  <si>
    <t>17521166-7</t>
  </si>
  <si>
    <t>PABLO ROMARIO BOSSA ZAMORANO</t>
  </si>
  <si>
    <t>13855440-6</t>
  </si>
  <si>
    <t>PAOLO ALEJANDRO MANRIQUEZ SILVA</t>
  </si>
  <si>
    <t>14359121-2</t>
  </si>
  <si>
    <t>PATRICIA SOLLANGE LAHSEN TRUJILLO</t>
  </si>
  <si>
    <t>ENCARGADA DE DOCUMENTACION</t>
  </si>
  <si>
    <t>13044962-K</t>
  </si>
  <si>
    <t>PATRICIO ALEJANDRO CASTILLO TRONCOSO</t>
  </si>
  <si>
    <t>13743972-7</t>
  </si>
  <si>
    <t>PATRICIO COLLO VEGA GONZALEZ</t>
  </si>
  <si>
    <t>10855160-7</t>
  </si>
  <si>
    <t>PATRICIO HERNAN PIMIENTO ARIAS</t>
  </si>
  <si>
    <t>20261176-1</t>
  </si>
  <si>
    <t>PATRICIO JOEL ROJAS RAMIREZ</t>
  </si>
  <si>
    <t>ASISTENTE DE BODEGA</t>
  </si>
  <si>
    <t>17980395-K</t>
  </si>
  <si>
    <t>PATRICIO RENAN GONZALEZ CABELLO</t>
  </si>
  <si>
    <t>9528480-9</t>
  </si>
  <si>
    <t>PATRICIO RICARDO OETIKER OYARZUN</t>
  </si>
  <si>
    <t>17117299-3</t>
  </si>
  <si>
    <t>PATRICK ALEJANDRO VILLALOBOS VARGAS</t>
  </si>
  <si>
    <t>17626566-3</t>
  </si>
  <si>
    <t>PAUL GIOVANNI BRIONES BRIONES</t>
  </si>
  <si>
    <t>14401561-4</t>
  </si>
  <si>
    <t>PAULO ANDRES RODRIGUEZ OPAZO</t>
  </si>
  <si>
    <t>20600531-9</t>
  </si>
  <si>
    <t>PEDRO BALDOMERO LOPEZ ARAYA</t>
  </si>
  <si>
    <t>17388599-7</t>
  </si>
  <si>
    <t>PEDRO ENRIQUE BOLBARAN ROJAS</t>
  </si>
  <si>
    <t>14310737-K</t>
  </si>
  <si>
    <t>PEDRO GABRIEL NARANJO ACUÑA</t>
  </si>
  <si>
    <t>13176765-K</t>
  </si>
  <si>
    <t>PEDRO OCTAVIO OLIVARES ALVAREZ</t>
  </si>
  <si>
    <t>18219407-7</t>
  </si>
  <si>
    <t>RAMON ALEJANDRO RIVERA GONZALEZ</t>
  </si>
  <si>
    <t>18520328-K</t>
  </si>
  <si>
    <t>RAUL ALEJANDRO RIVERO RIVERO</t>
  </si>
  <si>
    <t>18494463-4</t>
  </si>
  <si>
    <t>RAUL ESTEBAN HERNANDEZ PIZARRO</t>
  </si>
  <si>
    <t>16290708-5</t>
  </si>
  <si>
    <t>RAUL MANUEL BUSTAMANTE CERON</t>
  </si>
  <si>
    <t>15966541-0</t>
  </si>
  <si>
    <t>RAUL SEBASTIAN PINOCHET VALDES</t>
  </si>
  <si>
    <t>GERENTE MANTENCION</t>
  </si>
  <si>
    <t>13187958-K</t>
  </si>
  <si>
    <t>REINALDO ENRIQUE PRADENAS CUEVAS</t>
  </si>
  <si>
    <t>12619772-1</t>
  </si>
  <si>
    <t>REINALDO LIBER DIAZ CORTES</t>
  </si>
  <si>
    <t>17628970-8</t>
  </si>
  <si>
    <t>RENE ALFREDO RIOS MALDONADO</t>
  </si>
  <si>
    <t>44602022-6</t>
  </si>
  <si>
    <t>RENZO DENNIS MORALES CCALLA</t>
  </si>
  <si>
    <t>GERENTE DE LOGISTICA</t>
  </si>
  <si>
    <t>15969452-6</t>
  </si>
  <si>
    <t>RICARDO ALEXIS LEMUS LOPEZ</t>
  </si>
  <si>
    <t>12707776-2</t>
  </si>
  <si>
    <t>RICARDO DE LAS NIEVES GUTIERREZ FUENTES</t>
  </si>
  <si>
    <t>15743119-6</t>
  </si>
  <si>
    <t>RICARDO ESTEBAN CRUCES RIQUELME</t>
  </si>
  <si>
    <t>12447356-K</t>
  </si>
  <si>
    <t>RICARDO MAURICIO ARAYA BARRAZA</t>
  </si>
  <si>
    <t>20898577-9</t>
  </si>
  <si>
    <t>RICARDO NICOLAS QUINTANA SANTANA</t>
  </si>
  <si>
    <t>18011716-4</t>
  </si>
  <si>
    <t>RICHARD FABIAN RAMIREZ RAMIREZ</t>
  </si>
  <si>
    <t>13425369-K</t>
  </si>
  <si>
    <t>RICHARD FERNANDO CONTRERAS FLORES</t>
  </si>
  <si>
    <t>12939165-0</t>
  </si>
  <si>
    <t>RICHARD MAURICIO MALLA MAYA</t>
  </si>
  <si>
    <t>15608134-5</t>
  </si>
  <si>
    <t>RICKY DONNELLY ARAVENA POBLETE</t>
  </si>
  <si>
    <t>17438924-1</t>
  </si>
  <si>
    <t>ROBERT DASLA CORTES CORTES</t>
  </si>
  <si>
    <t>13176649-1</t>
  </si>
  <si>
    <t>ROBERTO ANTONIO PINILLA PEREZ</t>
  </si>
  <si>
    <t>14400786-7</t>
  </si>
  <si>
    <t>ROBERTO ANTONIO VILLALOBOS VILLALOBOS</t>
  </si>
  <si>
    <t>SUPERVISOR DE SOLDADORES</t>
  </si>
  <si>
    <t>12419789-9</t>
  </si>
  <si>
    <t>ROBERTO CARLOS NUÑEZ GONZALEZ</t>
  </si>
  <si>
    <t>ADMINISTRADOR DE CONTRATOS</t>
  </si>
  <si>
    <t>13648945-3</t>
  </si>
  <si>
    <t>ROBERTO CARLOS SEGOVIA VALERA</t>
  </si>
  <si>
    <t>13704198-7</t>
  </si>
  <si>
    <t>ROBERTO JESUS PONCE MUÑOZ</t>
  </si>
  <si>
    <t>JEFE DE TALLER</t>
  </si>
  <si>
    <t>14594999-8</t>
  </si>
  <si>
    <t>ROBERTO MARIO VARGAS RODRIGUEZ</t>
  </si>
  <si>
    <t>16005822-6</t>
  </si>
  <si>
    <t>ROBERTO MAURICIO VERGARA NEGRETE</t>
  </si>
  <si>
    <t>ELECTROMECÁNICO</t>
  </si>
  <si>
    <t>14154615-5</t>
  </si>
  <si>
    <t>RODRIGO ROMERO SOLANO</t>
  </si>
  <si>
    <t>COORDINADOR DE LOGISTICA</t>
  </si>
  <si>
    <t>15232639-4</t>
  </si>
  <si>
    <t>RODRIGO ALEJANDRO AVILES VERGARA</t>
  </si>
  <si>
    <t>16188552-5</t>
  </si>
  <si>
    <t>RODRIGO ALEJANDRO FLORES ZEPEDA</t>
  </si>
  <si>
    <t>17015679-K</t>
  </si>
  <si>
    <t>RODRIGO ALEJANDRO GONZALEZ RODRIGUEZ</t>
  </si>
  <si>
    <t>16603465-5</t>
  </si>
  <si>
    <t>RODRIGO ALEJANDRO SANCHEZ ACUÑA</t>
  </si>
  <si>
    <t>17697158-4</t>
  </si>
  <si>
    <t>RODRIGO ANDRES DIAZ INOSTROZA</t>
  </si>
  <si>
    <t>13423391-5</t>
  </si>
  <si>
    <t>RODRIGO ANDRES ARAYA ROJAS</t>
  </si>
  <si>
    <t>16856897-5</t>
  </si>
  <si>
    <t>RODRIGO ANTONIO VERGARA GOMEZ</t>
  </si>
  <si>
    <t>16058317-7</t>
  </si>
  <si>
    <t>RODRIGO ARMANDO FERNANDEZ BRICEÑO</t>
  </si>
  <si>
    <t>12219201-6</t>
  </si>
  <si>
    <t>RODRIGO FERNANDO ALFARO VEAS</t>
  </si>
  <si>
    <t>13750491-K</t>
  </si>
  <si>
    <t>RODRIGO OSVALDO GODOI GODOI</t>
  </si>
  <si>
    <t>15756807-8</t>
  </si>
  <si>
    <t>ROLANDO MAURICIO FIGUEROA DE LA HOZ</t>
  </si>
  <si>
    <t>28821672-K</t>
  </si>
  <si>
    <t>ROMEO ALEXANDRU SUCIU .</t>
  </si>
  <si>
    <t>19271256-4</t>
  </si>
  <si>
    <t>RONALD SEBASTIAN BORQUEZ CAMPUSANO</t>
  </si>
  <si>
    <t>15000375-K</t>
  </si>
  <si>
    <t>RUBEN ANDRES VALLEJOS ARDILES</t>
  </si>
  <si>
    <t>19983747-8</t>
  </si>
  <si>
    <t>RUBEN IGNACIO CORTES BORBON</t>
  </si>
  <si>
    <t>14099614-9</t>
  </si>
  <si>
    <t>SEBASTIAN RAMOS ESQUIVEL</t>
  </si>
  <si>
    <t>15566589-0</t>
  </si>
  <si>
    <t>SEBASTIAN AARON PALMA RAMIREZ</t>
  </si>
  <si>
    <t>18987429-4</t>
  </si>
  <si>
    <t>SEBASTIAN ALEJANDRO ARANEDA MILLAR</t>
  </si>
  <si>
    <t>19349419-6</t>
  </si>
  <si>
    <t>SEBASTIAN ALFONSO PERALTA CORTES</t>
  </si>
  <si>
    <t>17643890-8</t>
  </si>
  <si>
    <t>SEBASTIAN ANDRES BRICEÑO GALLEGUILLOS</t>
  </si>
  <si>
    <t>18403269-4</t>
  </si>
  <si>
    <t>SEBASTIAN ANTONIO VALDERRAMA HERRERA</t>
  </si>
  <si>
    <t>16687597-8</t>
  </si>
  <si>
    <t>SEBASTIAN ANTONIO BADILLO SEURA</t>
  </si>
  <si>
    <t>19677343-6</t>
  </si>
  <si>
    <t>SEBASTIAN ENRIQUE SILVA BELLO</t>
  </si>
  <si>
    <t>16133155-4</t>
  </si>
  <si>
    <t>SEBASTIAN ENRIQUE SASSO ARAYA</t>
  </si>
  <si>
    <t>26931695-0</t>
  </si>
  <si>
    <t>SEBASTIAN GONZALO ROJAS CLARO</t>
  </si>
  <si>
    <t>19460307-K</t>
  </si>
  <si>
    <t>SEBASTIAN IGNACIO ORTEGA GOMEZ</t>
  </si>
  <si>
    <t>20168072-7</t>
  </si>
  <si>
    <t>SEBASTIAN NICOLAS OYANEDEL FERNANDEZ</t>
  </si>
  <si>
    <t>16687336-3</t>
  </si>
  <si>
    <t>SERGIO ALFONSO BRUNA LEDEZMA</t>
  </si>
  <si>
    <t>44630339-2</t>
  </si>
  <si>
    <t>SHANNAN ELIZABETH DOBB .</t>
  </si>
  <si>
    <t>27565857-K</t>
  </si>
  <si>
    <t>SHAYNE MATTHEW LUCAS .</t>
  </si>
  <si>
    <t>GERENTE DE OPERACIONES</t>
  </si>
  <si>
    <t>18490734-8</t>
  </si>
  <si>
    <t>SIMONNE DE LA PAZ REYES BATLLE</t>
  </si>
  <si>
    <t>28935989-3</t>
  </si>
  <si>
    <t>STEWART PHILLIP WHITEHURST MEJIA</t>
  </si>
  <si>
    <t>19711901-2</t>
  </si>
  <si>
    <t>TIARE MACARENA MARQUEZ SIAS</t>
  </si>
  <si>
    <t>18574914-2</t>
  </si>
  <si>
    <t>TIZZIANA STEPHANY MORGADO CORTES</t>
  </si>
  <si>
    <t>20952428-7</t>
  </si>
  <si>
    <t>TOMAS ALBERTO GUTIERREZ ARANCIBIA</t>
  </si>
  <si>
    <t>18088679-6</t>
  </si>
  <si>
    <t>TOMAS IGNACIO PINOCHET VALDES</t>
  </si>
  <si>
    <t>44598957-6</t>
  </si>
  <si>
    <t>TRENT GEORGE MULLAN .</t>
  </si>
  <si>
    <t>SUPERINTENDENTE DE OPERACIONES</t>
  </si>
  <si>
    <t>44596213-9</t>
  </si>
  <si>
    <t>TUGSBAYAR CHOIJILJAV .</t>
  </si>
  <si>
    <t>28698456-8</t>
  </si>
  <si>
    <t>TUMENNASAN SANSRAI .</t>
  </si>
  <si>
    <t>15814058-6</t>
  </si>
  <si>
    <t>ULINSON DIAZ CORTES</t>
  </si>
  <si>
    <t>19966314-3</t>
  </si>
  <si>
    <t>ULISES MATIAS PACHECO PARRA</t>
  </si>
  <si>
    <t>INGENIERO DE PROYECTOS</t>
  </si>
  <si>
    <t>44601231-2</t>
  </si>
  <si>
    <t>ULZIIBADRAKH BAYANMUNKH .</t>
  </si>
  <si>
    <t>17939371-9</t>
  </si>
  <si>
    <t>VALESKA DAYAN COVARRUBIAS NILO</t>
  </si>
  <si>
    <t>ANALISTA RECURSOS HUMANOS</t>
  </si>
  <si>
    <t>18968674-9</t>
  </si>
  <si>
    <t>VANESSA BELEN SILVA ZAMORA</t>
  </si>
  <si>
    <t>ENCARGADA DE ADMINISTRACIÓN Y CONTABILIDAD</t>
  </si>
  <si>
    <t>21294612-5</t>
  </si>
  <si>
    <t>VICENTE ANDRES LOPEZ MARTINEZ</t>
  </si>
  <si>
    <t>12802451-4</t>
  </si>
  <si>
    <t>VICTOR ALEJANDRO VALENZUELA PASTEN</t>
  </si>
  <si>
    <t>15037843-5</t>
  </si>
  <si>
    <t>VICTOR ALFONSO ALVAREZ CORTES</t>
  </si>
  <si>
    <t>11197049-1</t>
  </si>
  <si>
    <t>VICTOR DANIEL MONTAÑO ARAYA</t>
  </si>
  <si>
    <t>15446035-7</t>
  </si>
  <si>
    <t>VICTORIA DEL PILAR COFRE ROMERO</t>
  </si>
  <si>
    <t>19347572-8</t>
  </si>
  <si>
    <t>VICTOR IGNACIO HENRIQUEZ VARGAS</t>
  </si>
  <si>
    <t>21303273-9</t>
  </si>
  <si>
    <t>VICTOR IGNACIO PEREZ LORCA</t>
  </si>
  <si>
    <t>16706064-1</t>
  </si>
  <si>
    <t>VICTOR MANUEL MONDACA VEGA</t>
  </si>
  <si>
    <t>16441822-7</t>
  </si>
  <si>
    <t>VLADIMIR OMAR CASTRO ENCINA</t>
  </si>
  <si>
    <t>13744310-4</t>
  </si>
  <si>
    <t>WALDO RAFAEL CASTRO PASTENE</t>
  </si>
  <si>
    <t>12814487-0</t>
  </si>
  <si>
    <t>WALTER DEL CARMEN PIZARRO ALVAREZ</t>
  </si>
  <si>
    <t>15955871-1</t>
  </si>
  <si>
    <t>WALTER LISANDRO SALAS MESA</t>
  </si>
  <si>
    <t>11508866-1</t>
  </si>
  <si>
    <t>WILLIAM HERNAN ALVAREZ TRUJILLO</t>
  </si>
  <si>
    <t>10997323-8</t>
  </si>
  <si>
    <t>WILLIAMS RENAN ASTROZA INOSTROZA</t>
  </si>
  <si>
    <t>15610336-5</t>
  </si>
  <si>
    <t>WILSON OSVALDO AGUILAR MANQUEZ</t>
  </si>
  <si>
    <t>26863739-7</t>
  </si>
  <si>
    <t>WILSON YUBANI RAMOS TORRES</t>
  </si>
  <si>
    <t>15745492-7</t>
  </si>
  <si>
    <t>YEAMIR ANDRES VIZA CAMPILLAY</t>
  </si>
  <si>
    <t>15584254-7</t>
  </si>
  <si>
    <t>YERKO HUMBERTO ARAYA MILLAÑIR</t>
  </si>
  <si>
    <t>17112278-3</t>
  </si>
  <si>
    <t>YONATHAN ALBERTO MOROSO CORTES</t>
  </si>
  <si>
    <t>20804293-9</t>
  </si>
  <si>
    <t>YULISA NATALY DIAZ TORO</t>
  </si>
  <si>
    <t>DIA</t>
  </si>
  <si>
    <t>PROYECTO:</t>
  </si>
  <si>
    <t>CERRO BAYO / CHILE CHICO</t>
  </si>
  <si>
    <t>TURNO DIA - B</t>
  </si>
  <si>
    <t>N°</t>
  </si>
  <si>
    <t>CARGO</t>
  </si>
  <si>
    <t xml:space="preserve">MAQUINA </t>
  </si>
  <si>
    <t>DIAMETRO</t>
  </si>
  <si>
    <t>ESCALA</t>
  </si>
  <si>
    <t>METROS</t>
  </si>
  <si>
    <t>WORKERA
ENTRADA</t>
  </si>
  <si>
    <t>WORKERA
SALIDA</t>
  </si>
  <si>
    <t>OBSERVACIONES</t>
  </si>
  <si>
    <t>51,00</t>
  </si>
  <si>
    <t xml:space="preserve">NO APLICA FIRMA, EXPATRIADO </t>
  </si>
  <si>
    <t>42,00</t>
  </si>
  <si>
    <t>TURNO NOCHE - B</t>
  </si>
  <si>
    <t>37,80</t>
  </si>
  <si>
    <t>33,0</t>
  </si>
  <si>
    <t>20,70</t>
  </si>
  <si>
    <t>10,5</t>
  </si>
  <si>
    <t>5,10</t>
  </si>
  <si>
    <t>CAMBIO DE POZO</t>
  </si>
  <si>
    <t>13,90</t>
  </si>
  <si>
    <t>INGRESO A FAENA 03-09</t>
  </si>
  <si>
    <t>INICIO CONTRATO 03-09</t>
  </si>
  <si>
    <t>40,40</t>
  </si>
  <si>
    <t>39,05</t>
  </si>
  <si>
    <t>INGRESO 04-09</t>
  </si>
  <si>
    <t xml:space="preserve">EN DOMICILIO A LA ESPERA DE SUBIR A FAENA </t>
  </si>
  <si>
    <t xml:space="preserve">TURNO NOCHE -  B </t>
  </si>
  <si>
    <t>41,95</t>
  </si>
  <si>
    <t>CAMBIO DE PLATAFORMA</t>
  </si>
  <si>
    <t>28,20</t>
  </si>
  <si>
    <t>2,00</t>
  </si>
  <si>
    <t>14,00</t>
  </si>
  <si>
    <t>27,00</t>
  </si>
  <si>
    <t>21,00</t>
  </si>
  <si>
    <t>ART 22</t>
  </si>
  <si>
    <t>0,00</t>
  </si>
  <si>
    <t xml:space="preserve">CAMBIO DE PLATAFORMA </t>
  </si>
  <si>
    <t>23,60</t>
  </si>
  <si>
    <t>4,50</t>
  </si>
  <si>
    <t>25,60</t>
  </si>
  <si>
    <t>14x14 03-09 al 16-09</t>
  </si>
  <si>
    <t>21,10</t>
  </si>
  <si>
    <t>18,00</t>
  </si>
  <si>
    <t>TURNO DIA - A</t>
  </si>
  <si>
    <t>200/11</t>
  </si>
  <si>
    <t> </t>
  </si>
  <si>
    <t>200/13</t>
  </si>
  <si>
    <t>TURNO NOCHE -  A</t>
  </si>
  <si>
    <t xml:space="preserve">INICIO DE TURNO </t>
  </si>
  <si>
    <t>16,90</t>
  </si>
  <si>
    <t>43,10</t>
  </si>
  <si>
    <t>15,90</t>
  </si>
  <si>
    <t xml:space="preserve">TURNO NOCHE -  A </t>
  </si>
  <si>
    <t>6,60</t>
  </si>
  <si>
    <t>41,60</t>
  </si>
  <si>
    <t>4,40</t>
  </si>
  <si>
    <t>13/9/2026</t>
  </si>
  <si>
    <t>40,70</t>
  </si>
  <si>
    <t>4,80</t>
  </si>
  <si>
    <t>27,30</t>
  </si>
  <si>
    <t>14/9/2026</t>
  </si>
  <si>
    <t xml:space="preserve">ULTIMO DIA EN FAENA </t>
  </si>
  <si>
    <t>45,00</t>
  </si>
  <si>
    <t>26,60</t>
  </si>
  <si>
    <t>CONTRATADO 14-09 EN PROCESO</t>
  </si>
  <si>
    <t>36,10</t>
  </si>
  <si>
    <t>17,30</t>
  </si>
  <si>
    <t>15/9/2026</t>
  </si>
  <si>
    <t>16,60</t>
  </si>
  <si>
    <t>EN VIAJE PTO AYSEN - CHILE CHICO</t>
  </si>
  <si>
    <t>46,60</t>
  </si>
  <si>
    <t>12,80</t>
  </si>
  <si>
    <t>16/9/2026</t>
  </si>
  <si>
    <t>33,00</t>
  </si>
  <si>
    <t>27,90</t>
  </si>
  <si>
    <t>EN VIAJE PTO AYSEN - CHILE CHIC</t>
  </si>
  <si>
    <t>CONTRATADO 16-09 EN PROCESO</t>
  </si>
  <si>
    <t>25,10</t>
  </si>
  <si>
    <t>17/9/2026</t>
  </si>
  <si>
    <t>24,20</t>
  </si>
  <si>
    <t xml:space="preserve">INDUCCION </t>
  </si>
  <si>
    <t>9,20</t>
  </si>
  <si>
    <t xml:space="preserve">DETENCION POR ACTIVIDADES </t>
  </si>
  <si>
    <t>18/9/2026</t>
  </si>
  <si>
    <t xml:space="preserve">FERIADO FIESTAS PATRIAS </t>
  </si>
  <si>
    <t>19/9/2026</t>
  </si>
  <si>
    <t>20/9/2026</t>
  </si>
  <si>
    <t>36,00</t>
  </si>
  <si>
    <t>INGRESA AL TURNO B 24-09</t>
  </si>
  <si>
    <t>4,30</t>
  </si>
  <si>
    <t>21/9/2026</t>
  </si>
  <si>
    <t>30,00</t>
  </si>
  <si>
    <t>14,60</t>
  </si>
  <si>
    <t>56,30</t>
  </si>
  <si>
    <t>3,80</t>
  </si>
  <si>
    <t>22/9/2026</t>
  </si>
  <si>
    <t>48,00</t>
  </si>
  <si>
    <t>36,80</t>
  </si>
  <si>
    <t>12,00</t>
  </si>
  <si>
    <t>23/9/2026</t>
  </si>
  <si>
    <t>24,00</t>
  </si>
  <si>
    <t xml:space="preserve">INDUCCION FAENA </t>
  </si>
  <si>
    <t>14,20</t>
  </si>
  <si>
    <t>24/9/2026</t>
  </si>
  <si>
    <t xml:space="preserve">TURNO DIA -  B </t>
  </si>
  <si>
    <t>22,05</t>
  </si>
  <si>
    <t>CAMBIAR CC</t>
  </si>
  <si>
    <t xml:space="preserve">TRASLADO DE PLATAFORMA </t>
  </si>
  <si>
    <t xml:space="preserve">EN DOMICILIO ESPERANDO SUBIR A FAENA </t>
  </si>
  <si>
    <t>TURNO NOCHE  B</t>
  </si>
  <si>
    <t>16,30</t>
  </si>
  <si>
    <t xml:space="preserve">COMIENZO DE TURNO </t>
  </si>
  <si>
    <t>11,65</t>
  </si>
  <si>
    <t xml:space="preserve">TRASLAPADO/ CAMBIAR CC </t>
  </si>
  <si>
    <t>ANDREW WILSON</t>
  </si>
  <si>
    <t>DIA 5X2 / jueves-lunes / descanso martes y mierc.</t>
  </si>
  <si>
    <t xml:space="preserve">FRANCISCO PEDRO BORNAZ DELGADO </t>
  </si>
  <si>
    <t xml:space="preserve">DIA 5X2 / viernes-miercoles / descanso jueves y viernes </t>
  </si>
  <si>
    <t>JOSHUA MAN</t>
  </si>
  <si>
    <t>DIA 5X2 / lunes a viernes  / descanso sabado y domi.</t>
  </si>
  <si>
    <t>25/9/2026</t>
  </si>
  <si>
    <t xml:space="preserve">CAMBIAR CC </t>
  </si>
  <si>
    <t>20,30</t>
  </si>
  <si>
    <t xml:space="preserve">FINIQUITADO </t>
  </si>
  <si>
    <t>59,80</t>
  </si>
  <si>
    <t>0,0</t>
  </si>
  <si>
    <t xml:space="preserve">NO OPERO MAQUINA </t>
  </si>
  <si>
    <t>26/9/2026</t>
  </si>
  <si>
    <t>20,80</t>
  </si>
  <si>
    <t>17,9</t>
  </si>
  <si>
    <t>30,30</t>
  </si>
  <si>
    <t>5,20</t>
  </si>
  <si>
    <t>27/9/2026</t>
  </si>
  <si>
    <t>24,50</t>
  </si>
  <si>
    <t>28,70</t>
  </si>
  <si>
    <t>1,6</t>
  </si>
  <si>
    <t>28/9/2026</t>
  </si>
  <si>
    <t>8,60</t>
  </si>
  <si>
    <t xml:space="preserve">MAÑANA 29-09 SE VA CO DESCANSO A PERU </t>
  </si>
  <si>
    <t>10,00</t>
  </si>
  <si>
    <t>29/9/2026</t>
  </si>
  <si>
    <t>16,00</t>
  </si>
  <si>
    <t>46,85</t>
  </si>
  <si>
    <t>20,00</t>
  </si>
  <si>
    <t>30/9/2026</t>
  </si>
  <si>
    <t xml:space="preserve">NO FIRMA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</si>
</sst>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_ &quot;$&quot;* #,##0.00_ ;_ &quot;$&quot;* \-#,##0.00_ ;_ &quot;$&quot;* &quot;-&quot;??_ ;_ @_ 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ptos"/>
      <family val="2"/>
    </font>
    <font>
      <sz val="8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5"/>
      <color theme="0"/>
      <name val="Arial"/>
      <family val="2"/>
    </font>
    <font>
      <b/>
      <sz val="11"/>
      <color rgb="FF000000"/>
      <name val="Calibri"/>
      <family val="2"/>
    </font>
    <font>
      <sz val="8"/>
      <name val="Arial"/>
    </font>
    <font>
      <sz val="11"/>
      <color theme="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Calibri"/>
      <family val="2"/>
    </font>
    <font>
      <sz val="11"/>
      <color rgb="FF242424"/>
      <name val="Aptos Narrow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242424"/>
      <name val="Aptos Narrow"/>
      <charset val="1"/>
    </font>
    <font>
      <sz val="10"/>
      <color rgb="FFFF0000"/>
      <name val="Arial"/>
      <family val="2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6" fillId="0" borderId="0">
      <alignment vertical="center"/>
    </xf>
  </cellStyleXfs>
  <cellXfs count="139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0" fontId="3" fillId="0" borderId="1" xfId="1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5" xfId="1" applyFont="1" applyBorder="1" applyAlignment="1">
      <alignment horizontal="left"/>
    </xf>
    <xf numFmtId="0" fontId="11" fillId="0" borderId="5" xfId="0" applyFont="1" applyBorder="1"/>
    <xf numFmtId="0" fontId="11" fillId="0" borderId="5" xfId="0" applyFont="1" applyBorder="1" applyAlignment="1">
      <alignment horizontal="left" vertical="center"/>
    </xf>
    <xf numFmtId="0" fontId="12" fillId="0" borderId="5" xfId="0" applyFont="1" applyBorder="1"/>
    <xf numFmtId="0" fontId="13" fillId="0" borderId="6" xfId="0" applyFont="1" applyBorder="1"/>
    <xf numFmtId="0" fontId="13" fillId="0" borderId="5" xfId="0" applyFont="1" applyBorder="1"/>
    <xf numFmtId="0" fontId="12" fillId="0" borderId="5" xfId="0" applyFont="1" applyBorder="1" applyAlignment="1">
      <alignment wrapText="1"/>
    </xf>
    <xf numFmtId="0" fontId="13" fillId="0" borderId="7" xfId="0" applyFont="1" applyBorder="1"/>
    <xf numFmtId="0" fontId="13" fillId="0" borderId="8" xfId="0" applyFont="1" applyBorder="1"/>
    <xf numFmtId="2" fontId="12" fillId="0" borderId="7" xfId="0" applyNumberFormat="1" applyFont="1" applyBorder="1" applyAlignment="1">
      <alignment horizontal="center" wrapText="1"/>
    </xf>
    <xf numFmtId="2" fontId="12" fillId="0" borderId="5" xfId="0" applyNumberFormat="1" applyFont="1" applyBorder="1" applyAlignment="1">
      <alignment horizontal="center" wrapText="1"/>
    </xf>
    <xf numFmtId="2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/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2" fontId="12" fillId="0" borderId="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2" fontId="12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7" xfId="0" applyFont="1" applyBorder="1"/>
    <xf numFmtId="0" fontId="14" fillId="0" borderId="5" xfId="0" applyFont="1" applyBorder="1"/>
    <xf numFmtId="0" fontId="12" fillId="0" borderId="5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7" xfId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3" fillId="0" borderId="0" xfId="0" applyFont="1"/>
    <xf numFmtId="0" fontId="12" fillId="0" borderId="1" xfId="0" applyFont="1" applyBorder="1"/>
    <xf numFmtId="0" fontId="3" fillId="0" borderId="5" xfId="0" applyFont="1" applyBorder="1"/>
    <xf numFmtId="0" fontId="12" fillId="0" borderId="5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16" xfId="0" applyFont="1" applyBorder="1"/>
    <xf numFmtId="0" fontId="12" fillId="0" borderId="17" xfId="0" applyFont="1" applyBorder="1" applyAlignment="1">
      <alignment horizont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16" xfId="0" applyFont="1" applyBorder="1" applyAlignment="1">
      <alignment horizontal="center" wrapText="1"/>
    </xf>
    <xf numFmtId="2" fontId="12" fillId="0" borderId="19" xfId="0" applyNumberFormat="1" applyFont="1" applyBorder="1" applyAlignment="1">
      <alignment horizontal="center" wrapText="1"/>
    </xf>
    <xf numFmtId="0" fontId="15" fillId="0" borderId="5" xfId="0" applyFont="1" applyBorder="1"/>
    <xf numFmtId="0" fontId="12" fillId="0" borderId="14" xfId="0" applyFont="1" applyBorder="1"/>
    <xf numFmtId="0" fontId="12" fillId="0" borderId="8" xfId="1" applyFont="1" applyBorder="1" applyAlignment="1">
      <alignment horizontal="center"/>
    </xf>
    <xf numFmtId="0" fontId="16" fillId="0" borderId="5" xfId="0" applyFont="1" applyBorder="1"/>
    <xf numFmtId="0" fontId="17" fillId="0" borderId="5" xfId="0" applyFont="1" applyBorder="1"/>
    <xf numFmtId="0" fontId="17" fillId="0" borderId="6" xfId="0" applyFont="1" applyBorder="1" applyAlignment="1">
      <alignment wrapText="1"/>
    </xf>
    <xf numFmtId="0" fontId="17" fillId="0" borderId="6" xfId="0" applyFont="1" applyBorder="1"/>
    <xf numFmtId="0" fontId="16" fillId="0" borderId="6" xfId="0" applyFont="1" applyBorder="1"/>
    <xf numFmtId="0" fontId="16" fillId="0" borderId="8" xfId="0" applyFont="1" applyBorder="1"/>
    <xf numFmtId="0" fontId="17" fillId="0" borderId="11" xfId="0" applyFont="1" applyBorder="1"/>
    <xf numFmtId="2" fontId="12" fillId="5" borderId="5" xfId="0" applyNumberFormat="1" applyFont="1" applyFill="1" applyBorder="1" applyAlignment="1">
      <alignment horizontal="center"/>
    </xf>
    <xf numFmtId="2" fontId="12" fillId="5" borderId="9" xfId="0" applyNumberFormat="1" applyFont="1" applyFill="1" applyBorder="1" applyAlignment="1">
      <alignment horizontal="center" vertical="center"/>
    </xf>
    <xf numFmtId="0" fontId="17" fillId="0" borderId="20" xfId="0" applyFont="1" applyBorder="1"/>
    <xf numFmtId="0" fontId="12" fillId="0" borderId="9" xfId="0" applyFont="1" applyBorder="1" applyAlignment="1">
      <alignment horizontal="center"/>
    </xf>
    <xf numFmtId="0" fontId="16" fillId="0" borderId="5" xfId="0" applyFont="1" applyBorder="1" applyAlignment="1">
      <alignment wrapText="1"/>
    </xf>
    <xf numFmtId="0" fontId="17" fillId="0" borderId="9" xfId="0" applyFont="1" applyBorder="1"/>
    <xf numFmtId="2" fontId="12" fillId="5" borderId="5" xfId="0" applyNumberFormat="1" applyFont="1" applyFill="1" applyBorder="1" applyAlignment="1">
      <alignment horizontal="center" vertical="center"/>
    </xf>
    <xf numFmtId="2" fontId="12" fillId="5" borderId="6" xfId="0" applyNumberFormat="1" applyFont="1" applyFill="1" applyBorder="1" applyAlignment="1">
      <alignment horizontal="center"/>
    </xf>
    <xf numFmtId="0" fontId="3" fillId="0" borderId="18" xfId="0" applyFont="1" applyBorder="1"/>
    <xf numFmtId="0" fontId="17" fillId="0" borderId="18" xfId="0" applyFont="1" applyBorder="1"/>
    <xf numFmtId="0" fontId="12" fillId="0" borderId="2" xfId="0" applyFont="1" applyBorder="1"/>
    <xf numFmtId="0" fontId="15" fillId="0" borderId="10" xfId="0" applyFont="1" applyBorder="1"/>
    <xf numFmtId="0" fontId="12" fillId="0" borderId="10" xfId="0" applyFont="1" applyBorder="1" applyAlignment="1">
      <alignment horizontal="left"/>
    </xf>
    <xf numFmtId="0" fontId="12" fillId="0" borderId="21" xfId="0" applyFont="1" applyBorder="1"/>
    <xf numFmtId="0" fontId="17" fillId="0" borderId="22" xfId="0" applyFont="1" applyBorder="1"/>
    <xf numFmtId="0" fontId="12" fillId="0" borderId="7" xfId="0" applyFont="1" applyBorder="1" applyAlignment="1">
      <alignment horizontal="left"/>
    </xf>
    <xf numFmtId="0" fontId="17" fillId="0" borderId="23" xfId="0" applyFont="1" applyBorder="1"/>
    <xf numFmtId="2" fontId="12" fillId="0" borderId="24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center"/>
    </xf>
    <xf numFmtId="0" fontId="18" fillId="0" borderId="0" xfId="0" applyFont="1"/>
    <xf numFmtId="0" fontId="17" fillId="0" borderId="7" xfId="0" applyFont="1" applyBorder="1"/>
    <xf numFmtId="0" fontId="12" fillId="0" borderId="5" xfId="0" applyFont="1" applyBorder="1" applyAlignment="1">
      <alignment horizontal="left" vertical="center"/>
    </xf>
    <xf numFmtId="0" fontId="12" fillId="0" borderId="10" xfId="0" applyFont="1" applyBorder="1"/>
    <xf numFmtId="0" fontId="3" fillId="0" borderId="4" xfId="0" applyFont="1" applyBorder="1" applyAlignment="1">
      <alignment horizontal="center"/>
    </xf>
    <xf numFmtId="0" fontId="3" fillId="0" borderId="2" xfId="0" applyFont="1" applyBorder="1"/>
    <xf numFmtId="1" fontId="12" fillId="5" borderId="10" xfId="0" applyNumberFormat="1" applyFont="1" applyFill="1" applyBorder="1" applyAlignment="1">
      <alignment horizontal="center"/>
    </xf>
    <xf numFmtId="0" fontId="3" fillId="0" borderId="4" xfId="0" applyFont="1" applyBorder="1"/>
    <xf numFmtId="1" fontId="12" fillId="5" borderId="7" xfId="0" applyNumberFormat="1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/>
    </xf>
    <xf numFmtId="0" fontId="18" fillId="0" borderId="5" xfId="0" applyFont="1" applyBorder="1"/>
    <xf numFmtId="2" fontId="12" fillId="5" borderId="15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3" fillId="5" borderId="1" xfId="0" applyFont="1" applyFill="1" applyBorder="1"/>
    <xf numFmtId="20" fontId="4" fillId="0" borderId="0" xfId="0" applyNumberFormat="1" applyFont="1"/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1" applyFont="1" applyAlignment="1">
      <alignment horizontal="left"/>
    </xf>
    <xf numFmtId="0" fontId="11" fillId="0" borderId="25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13" xfId="0" applyFont="1" applyBorder="1"/>
    <xf numFmtId="0" fontId="0" fillId="0" borderId="1" xfId="0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6">
    <cellStyle name="Millares [0] 2" xfId="2" xr:uid="{00000000-0005-0000-0000-000001000000}"/>
    <cellStyle name="Moneda 2" xfId="4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  <cellStyle name="Normal 4" xfId="5" xr:uid="{6F9641A3-1A13-404A-8DB6-D5D1C9CBFAE9}"/>
  </cellStyles>
  <dxfs count="0"/>
  <tableStyles count="0" defaultTableStyle="TableStyleMedium9" defaultPivotStyle="PivotStyleLight16"/>
  <colors>
    <mruColors>
      <color rgb="FF00206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ABE2C2D-3323-498A-9B48-F995A3803A80}"/>
            </a:ext>
          </a:extLst>
        </xdr:cNvPr>
        <xdr:cNvSpPr>
          <a:spLocks noChangeAspect="1" noChangeArrowheads="1"/>
        </xdr:cNvSpPr>
      </xdr:nvSpPr>
      <xdr:spPr bwMode="auto">
        <a:xfrm>
          <a:off x="10548938" y="1928813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D476D0D-A1B2-4DEE-BC05-538B8BF060A8}"/>
            </a:ext>
          </a:extLst>
        </xdr:cNvPr>
        <xdr:cNvSpPr>
          <a:spLocks noChangeAspect="1" noChangeArrowheads="1"/>
        </xdr:cNvSpPr>
      </xdr:nvSpPr>
      <xdr:spPr bwMode="auto">
        <a:xfrm>
          <a:off x="10102850" y="128778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F2A214C-200F-4AF2-9F26-12B0479E1955}"/>
            </a:ext>
          </a:extLst>
        </xdr:cNvPr>
        <xdr:cNvSpPr>
          <a:spLocks noChangeAspect="1" noChangeArrowheads="1"/>
        </xdr:cNvSpPr>
      </xdr:nvSpPr>
      <xdr:spPr bwMode="auto">
        <a:xfrm>
          <a:off x="9850438" y="8802688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B3B2334-CD43-027D-6DC7-7B804388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814" y="1"/>
          <a:ext cx="1420812" cy="678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55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E0826E7-F761-461F-A378-BCB113BDAAB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39FA91A-C861-4C3A-9AAC-B95A57F1E0E9}"/>
            </a:ext>
            <a:ext uri="{147F2762-F138-4A5C-976F-8EAC2B608ADB}">
              <a16:predDERef xmlns:a16="http://schemas.microsoft.com/office/drawing/2014/main" pred="{5E0826E7-F761-461F-A378-BCB113BDAAB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2E25A1D-1E9E-41C3-9300-38ED59DF7490}"/>
            </a:ext>
            <a:ext uri="{147F2762-F138-4A5C-976F-8EAC2B608ADB}">
              <a16:predDERef xmlns:a16="http://schemas.microsoft.com/office/drawing/2014/main" pred="{439FA91A-C861-4C3A-9AAC-B95A57F1E0E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7C26EC91-6725-4E61-B747-F71EA9BB67E2}"/>
            </a:ext>
            <a:ext uri="{147F2762-F138-4A5C-976F-8EAC2B608ADB}">
              <a16:predDERef xmlns:a16="http://schemas.microsoft.com/office/drawing/2014/main" pred="{D2E25A1D-1E9E-41C3-9300-38ED59DF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55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2480AFE-8ADC-46D9-A0E9-6B7F958C3174}"/>
            </a:ext>
            <a:ext uri="{147F2762-F138-4A5C-976F-8EAC2B608ADB}">
              <a16:predDERef xmlns:a16="http://schemas.microsoft.com/office/drawing/2014/main" pred="{7C26EC91-6725-4E61-B747-F71EA9BB67E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72D9649-8518-4184-9CB4-C454F036B20C}"/>
            </a:ext>
            <a:ext uri="{147F2762-F138-4A5C-976F-8EAC2B608ADB}">
              <a16:predDERef xmlns:a16="http://schemas.microsoft.com/office/drawing/2014/main" pred="{02480AFE-8ADC-46D9-A0E9-6B7F958C317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6F7507B-3375-4E7B-8B95-76F346F803AE}"/>
            </a:ext>
            <a:ext uri="{147F2762-F138-4A5C-976F-8EAC2B608ADB}">
              <a16:predDERef xmlns:a16="http://schemas.microsoft.com/office/drawing/2014/main" pred="{B72D9649-8518-4184-9CB4-C454F036B20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9D0AB91-4F18-4411-AE29-D28D8EBEEE9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9DA443E-3CCA-4B6E-A8FA-05EBD0A6014D}"/>
            </a:ext>
            <a:ext uri="{147F2762-F138-4A5C-976F-8EAC2B608ADB}">
              <a16:predDERef xmlns:a16="http://schemas.microsoft.com/office/drawing/2014/main" pred="{49D0AB91-4F18-4411-AE29-D28D8EBEEE9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723E04D-71CD-48CF-AD6C-4F17D3E78BF0}"/>
            </a:ext>
            <a:ext uri="{147F2762-F138-4A5C-976F-8EAC2B608ADB}">
              <a16:predDERef xmlns:a16="http://schemas.microsoft.com/office/drawing/2014/main" pred="{39DA443E-3CCA-4B6E-A8FA-05EBD0A6014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64639741-5BE2-4841-9324-4378A265C890}"/>
            </a:ext>
            <a:ext uri="{147F2762-F138-4A5C-976F-8EAC2B608ADB}">
              <a16:predDERef xmlns:a16="http://schemas.microsoft.com/office/drawing/2014/main" pred="{B723E04D-71CD-48CF-AD6C-4F17D3E78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046C7F7-57CD-49D6-86A1-C536BBC227C1}"/>
            </a:ext>
            <a:ext uri="{147F2762-F138-4A5C-976F-8EAC2B608ADB}">
              <a16:predDERef xmlns:a16="http://schemas.microsoft.com/office/drawing/2014/main" pred="{64639741-5BE2-4841-9324-4378A265C89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9377670-F423-43ED-B9C1-E95B8A590059}"/>
            </a:ext>
            <a:ext uri="{147F2762-F138-4A5C-976F-8EAC2B608ADB}">
              <a16:predDERef xmlns:a16="http://schemas.microsoft.com/office/drawing/2014/main" pred="{2046C7F7-57CD-49D6-86A1-C536BBC227C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FFDAB63-D38D-4999-9706-A5B0EAC7A11B}"/>
            </a:ext>
            <a:ext uri="{147F2762-F138-4A5C-976F-8EAC2B608ADB}">
              <a16:predDERef xmlns:a16="http://schemas.microsoft.com/office/drawing/2014/main" pred="{09377670-F423-43ED-B9C1-E95B8A59005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1316C50-B9F7-4B76-A2A9-B293E5FB5D9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8BC2EC8-7E70-4F45-8163-19BFB400697F}"/>
            </a:ext>
            <a:ext uri="{147F2762-F138-4A5C-976F-8EAC2B608ADB}">
              <a16:predDERef xmlns:a16="http://schemas.microsoft.com/office/drawing/2014/main" pred="{91316C50-B9F7-4B76-A2A9-B293E5FB5D9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86D37BE-7D4F-4D66-A49E-04BF614385E9}"/>
            </a:ext>
            <a:ext uri="{147F2762-F138-4A5C-976F-8EAC2B608ADB}">
              <a16:predDERef xmlns:a16="http://schemas.microsoft.com/office/drawing/2014/main" pred="{98BC2EC8-7E70-4F45-8163-19BFB400697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55743270-1171-43B2-ADC7-BB7D2A08D896}"/>
            </a:ext>
            <a:ext uri="{147F2762-F138-4A5C-976F-8EAC2B608ADB}">
              <a16:predDERef xmlns:a16="http://schemas.microsoft.com/office/drawing/2014/main" pred="{686D37BE-7D4F-4D66-A49E-04BF61438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9650C6C-A3C8-421C-A593-31FD64931A07}"/>
            </a:ext>
            <a:ext uri="{147F2762-F138-4A5C-976F-8EAC2B608ADB}">
              <a16:predDERef xmlns:a16="http://schemas.microsoft.com/office/drawing/2014/main" pred="{55743270-1171-43B2-ADC7-BB7D2A08D89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E4A44B4-8B83-48D0-91F0-04AADA0F12DE}"/>
            </a:ext>
            <a:ext uri="{147F2762-F138-4A5C-976F-8EAC2B608ADB}">
              <a16:predDERef xmlns:a16="http://schemas.microsoft.com/office/drawing/2014/main" pred="{79650C6C-A3C8-421C-A593-31FD64931A0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21B055A-57AD-4415-9EBA-DEB1C81912CF}"/>
            </a:ext>
            <a:ext uri="{147F2762-F138-4A5C-976F-8EAC2B608ADB}">
              <a16:predDERef xmlns:a16="http://schemas.microsoft.com/office/drawing/2014/main" pred="{1E4A44B4-8B83-48D0-91F0-04AADA0F12D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0AA0AFE-33A7-4EA2-8134-DF569321D60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36BA853-1EEF-4F60-A633-04BEB8A91483}"/>
            </a:ext>
            <a:ext uri="{147F2762-F138-4A5C-976F-8EAC2B608ADB}">
              <a16:predDERef xmlns:a16="http://schemas.microsoft.com/office/drawing/2014/main" pred="{30AA0AFE-33A7-4EA2-8134-DF569321D60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440B682-83A4-4920-9CFE-C06A309563B0}"/>
            </a:ext>
            <a:ext uri="{147F2762-F138-4A5C-976F-8EAC2B608ADB}">
              <a16:predDERef xmlns:a16="http://schemas.microsoft.com/office/drawing/2014/main" pred="{236BA853-1EEF-4F60-A633-04BEB8A9148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6D901CB6-289B-4252-8926-7A9FA680344C}"/>
            </a:ext>
            <a:ext uri="{147F2762-F138-4A5C-976F-8EAC2B608ADB}">
              <a16:predDERef xmlns:a16="http://schemas.microsoft.com/office/drawing/2014/main" pred="{9440B682-83A4-4920-9CFE-C06A30956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922BEF8-CA52-4579-B46C-6E00EC26F883}"/>
            </a:ext>
            <a:ext uri="{147F2762-F138-4A5C-976F-8EAC2B608ADB}">
              <a16:predDERef xmlns:a16="http://schemas.microsoft.com/office/drawing/2014/main" pred="{6D901CB6-289B-4252-8926-7A9FA680344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1A22E13-39D9-4BE0-8C65-743C9BD5A09D}"/>
            </a:ext>
            <a:ext uri="{147F2762-F138-4A5C-976F-8EAC2B608ADB}">
              <a16:predDERef xmlns:a16="http://schemas.microsoft.com/office/drawing/2014/main" pred="{8922BEF8-CA52-4579-B46C-6E00EC26F88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406059-B221-4AFE-8878-808C6E2A67BF}"/>
            </a:ext>
            <a:ext uri="{147F2762-F138-4A5C-976F-8EAC2B608ADB}">
              <a16:predDERef xmlns:a16="http://schemas.microsoft.com/office/drawing/2014/main" pred="{01A22E13-39D9-4BE0-8C65-743C9BD5A09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63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B8022EA-BB57-4C6A-AF99-2892F70E92A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62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77C0231-EAD0-4923-946B-DD162540101F}"/>
            </a:ext>
            <a:ext uri="{147F2762-F138-4A5C-976F-8EAC2B608ADB}">
              <a16:predDERef xmlns:a16="http://schemas.microsoft.com/office/drawing/2014/main" pred="{0B8022EA-BB57-4C6A-AF99-2892F70E92A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61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989F61B-A15F-4747-B761-BECC25320F6D}"/>
            </a:ext>
            <a:ext uri="{147F2762-F138-4A5C-976F-8EAC2B608ADB}">
              <a16:predDERef xmlns:a16="http://schemas.microsoft.com/office/drawing/2014/main" pred="{777C0231-EAD0-4923-946B-DD162540101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BECF2063-350F-4512-ACA0-7159C2B04C65}"/>
            </a:ext>
            <a:ext uri="{147F2762-F138-4A5C-976F-8EAC2B608ADB}">
              <a16:predDERef xmlns:a16="http://schemas.microsoft.com/office/drawing/2014/main" pred="{C989F61B-A15F-4747-B761-BECC25320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63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7D26CF1-55CD-40A6-ADD8-506AB0DCC27E}"/>
            </a:ext>
            <a:ext uri="{147F2762-F138-4A5C-976F-8EAC2B608ADB}">
              <a16:predDERef xmlns:a16="http://schemas.microsoft.com/office/drawing/2014/main" pred="{BECF2063-350F-4512-ACA0-7159C2B04C6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62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97E3B9D-1A26-4A74-B749-23EEB2B991DC}"/>
            </a:ext>
            <a:ext uri="{147F2762-F138-4A5C-976F-8EAC2B608ADB}">
              <a16:predDERef xmlns:a16="http://schemas.microsoft.com/office/drawing/2014/main" pred="{B7D26CF1-55CD-40A6-ADD8-506AB0DCC27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61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364876C-AFCB-4B9C-816F-047E333F3672}"/>
            </a:ext>
            <a:ext uri="{147F2762-F138-4A5C-976F-8EAC2B608ADB}">
              <a16:predDERef xmlns:a16="http://schemas.microsoft.com/office/drawing/2014/main" pred="{897E3B9D-1A26-4A74-B749-23EEB2B991D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1881B1D-D7A2-40D0-88AB-13EA4A751BE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E067BB8-8978-409A-86A6-B3FA5C6936E7}"/>
            </a:ext>
            <a:ext uri="{147F2762-F138-4A5C-976F-8EAC2B608ADB}">
              <a16:predDERef xmlns:a16="http://schemas.microsoft.com/office/drawing/2014/main" pred="{C1881B1D-D7A2-40D0-88AB-13EA4A751BE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980E536-0C64-4D2B-87F3-85345AAB7DAA}"/>
            </a:ext>
            <a:ext uri="{147F2762-F138-4A5C-976F-8EAC2B608ADB}">
              <a16:predDERef xmlns:a16="http://schemas.microsoft.com/office/drawing/2014/main" pred="{4E067BB8-8978-409A-86A6-B3FA5C6936E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C76C647-588A-4190-AC33-52751F9A7C4C}"/>
            </a:ext>
            <a:ext uri="{147F2762-F138-4A5C-976F-8EAC2B608ADB}">
              <a16:predDERef xmlns:a16="http://schemas.microsoft.com/office/drawing/2014/main" pred="{E980E536-0C64-4D2B-87F3-85345AAB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BFCC12B-1B5C-4DA7-B7F9-70A3370B714E}"/>
            </a:ext>
            <a:ext uri="{147F2762-F138-4A5C-976F-8EAC2B608ADB}">
              <a16:predDERef xmlns:a16="http://schemas.microsoft.com/office/drawing/2014/main" pred="{0C76C647-588A-4190-AC33-52751F9A7C4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510E989-92C1-45D4-B44D-1C3C5DD03FDF}"/>
            </a:ext>
            <a:ext uri="{147F2762-F138-4A5C-976F-8EAC2B608ADB}">
              <a16:predDERef xmlns:a16="http://schemas.microsoft.com/office/drawing/2014/main" pred="{FBFCC12B-1B5C-4DA7-B7F9-70A3370B714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ECBD4F8-BBC1-4E67-8376-03AC8A37B7D4}"/>
            </a:ext>
            <a:ext uri="{147F2762-F138-4A5C-976F-8EAC2B608ADB}">
              <a16:predDERef xmlns:a16="http://schemas.microsoft.com/office/drawing/2014/main" pred="{A510E989-92C1-45D4-B44D-1C3C5DD03FD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E6E9558-2A22-4A00-96FF-CCEEDA20FC8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861E1EB-26EB-4B56-9123-AAEEAE876DDB}"/>
            </a:ext>
            <a:ext uri="{147F2762-F138-4A5C-976F-8EAC2B608ADB}">
              <a16:predDERef xmlns:a16="http://schemas.microsoft.com/office/drawing/2014/main" pred="{CE6E9558-2A22-4A00-96FF-CCEEDA20FC8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BEBB1EA-5723-4768-9871-E3751A7DF7E5}"/>
            </a:ext>
            <a:ext uri="{147F2762-F138-4A5C-976F-8EAC2B608ADB}">
              <a16:predDERef xmlns:a16="http://schemas.microsoft.com/office/drawing/2014/main" pred="{9861E1EB-26EB-4B56-9123-AAEEAE876DD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894141EA-B47F-4D13-BAC7-6F8C5F3E4225}"/>
            </a:ext>
            <a:ext uri="{147F2762-F138-4A5C-976F-8EAC2B608ADB}">
              <a16:predDERef xmlns:a16="http://schemas.microsoft.com/office/drawing/2014/main" pred="{2BEBB1EA-5723-4768-9871-E3751A7D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1C87297-7254-4824-8FB4-172B3ADEDFEA}"/>
            </a:ext>
            <a:ext uri="{147F2762-F138-4A5C-976F-8EAC2B608ADB}">
              <a16:predDERef xmlns:a16="http://schemas.microsoft.com/office/drawing/2014/main" pred="{894141EA-B47F-4D13-BAC7-6F8C5F3E422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9BCB325-0AC7-4176-9919-FF6E8EEFEB65}"/>
            </a:ext>
            <a:ext uri="{147F2762-F138-4A5C-976F-8EAC2B608ADB}">
              <a16:predDERef xmlns:a16="http://schemas.microsoft.com/office/drawing/2014/main" pred="{01C87297-7254-4824-8FB4-172B3ADEDFE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3FB3C70-0748-4EF2-9621-CB8CFBB38807}"/>
            </a:ext>
            <a:ext uri="{147F2762-F138-4A5C-976F-8EAC2B608ADB}">
              <a16:predDERef xmlns:a16="http://schemas.microsoft.com/office/drawing/2014/main" pred="{89BCB325-0AC7-4176-9919-FF6E8EEFEB6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86651CA-D07E-4D0C-B7DE-94FA6FDA310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831EDE-D0E4-41CD-BD1C-D599F5325902}"/>
            </a:ext>
            <a:ext uri="{147F2762-F138-4A5C-976F-8EAC2B608ADB}">
              <a16:predDERef xmlns:a16="http://schemas.microsoft.com/office/drawing/2014/main" pred="{B86651CA-D07E-4D0C-B7DE-94FA6FDA310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A65B9C0C-5880-4883-B10A-93F2FB73DCCE}"/>
            </a:ext>
            <a:ext uri="{147F2762-F138-4A5C-976F-8EAC2B608ADB}">
              <a16:predDERef xmlns:a16="http://schemas.microsoft.com/office/drawing/2014/main" pred="{05831EDE-D0E4-41CD-BD1C-D599F532590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8E395E65-FB48-4F54-A8BF-9A067FFFFDCF}"/>
            </a:ext>
            <a:ext uri="{147F2762-F138-4A5C-976F-8EAC2B608ADB}">
              <a16:predDERef xmlns:a16="http://schemas.microsoft.com/office/drawing/2014/main" pred="{A65B9C0C-5880-4883-B10A-93F2FB73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91A492D-B53D-4A26-A424-DEB4959B1CB2}"/>
            </a:ext>
            <a:ext uri="{147F2762-F138-4A5C-976F-8EAC2B608ADB}">
              <a16:predDERef xmlns:a16="http://schemas.microsoft.com/office/drawing/2014/main" pred="{8E395E65-FB48-4F54-A8BF-9A067FFFFDC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2229723-E7AB-4B9E-9D03-BE4AD56C6253}"/>
            </a:ext>
            <a:ext uri="{147F2762-F138-4A5C-976F-8EAC2B608ADB}">
              <a16:predDERef xmlns:a16="http://schemas.microsoft.com/office/drawing/2014/main" pred="{391A492D-B53D-4A26-A424-DEB4959B1CB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B1E8833-7A8E-4825-95E6-DAD8D0EBEA3C}"/>
            </a:ext>
            <a:ext uri="{147F2762-F138-4A5C-976F-8EAC2B608ADB}">
              <a16:predDERef xmlns:a16="http://schemas.microsoft.com/office/drawing/2014/main" pred="{42229723-E7AB-4B9E-9D03-BE4AD56C625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1F5D87A-264D-40B7-93E4-4DB7987A6F9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C1483DB-08BC-4174-9738-E89D21AA6F2F}"/>
            </a:ext>
            <a:ext uri="{147F2762-F138-4A5C-976F-8EAC2B608ADB}">
              <a16:predDERef xmlns:a16="http://schemas.microsoft.com/office/drawing/2014/main" pred="{71F5D87A-264D-40B7-93E4-4DB7987A6F9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7719138-869A-45CE-806A-ED7295C7F083}"/>
            </a:ext>
            <a:ext uri="{147F2762-F138-4A5C-976F-8EAC2B608ADB}">
              <a16:predDERef xmlns:a16="http://schemas.microsoft.com/office/drawing/2014/main" pred="{7C1483DB-08BC-4174-9738-E89D21AA6F2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1EFDAC77-8945-4816-9A54-80741323192F}"/>
            </a:ext>
            <a:ext uri="{147F2762-F138-4A5C-976F-8EAC2B608ADB}">
              <a16:predDERef xmlns:a16="http://schemas.microsoft.com/office/drawing/2014/main" pred="{C7719138-869A-45CE-806A-ED7295C7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CB5FB4C-3E41-49F3-B113-D6C8F9C41425}"/>
            </a:ext>
            <a:ext uri="{147F2762-F138-4A5C-976F-8EAC2B608ADB}">
              <a16:predDERef xmlns:a16="http://schemas.microsoft.com/office/drawing/2014/main" pred="{1EFDAC77-8945-4816-9A54-80741323192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D9E89A-ADE4-4C54-92F4-5B3FD48EA619}"/>
            </a:ext>
            <a:ext uri="{147F2762-F138-4A5C-976F-8EAC2B608ADB}">
              <a16:predDERef xmlns:a16="http://schemas.microsoft.com/office/drawing/2014/main" pred="{8CB5FB4C-3E41-49F3-B113-D6C8F9C4142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ECBBCA8-A55C-4468-A4AD-71A1653D78F0}"/>
            </a:ext>
            <a:ext uri="{147F2762-F138-4A5C-976F-8EAC2B608ADB}">
              <a16:predDERef xmlns:a16="http://schemas.microsoft.com/office/drawing/2014/main" pred="{AED9E89A-ADE4-4C54-92F4-5B3FD48EA61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2C0667B-BC4D-4176-8F63-1486B5E1EBC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62E20B2-5248-4634-8519-88A0AF376DD8}"/>
            </a:ext>
            <a:ext uri="{147F2762-F138-4A5C-976F-8EAC2B608ADB}">
              <a16:predDERef xmlns:a16="http://schemas.microsoft.com/office/drawing/2014/main" pred="{12C0667B-BC4D-4176-8F63-1486B5E1EBC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6684F46-9A35-4135-B86B-68ECEDF46B4F}"/>
            </a:ext>
            <a:ext uri="{147F2762-F138-4A5C-976F-8EAC2B608ADB}">
              <a16:predDERef xmlns:a16="http://schemas.microsoft.com/office/drawing/2014/main" pred="{062E20B2-5248-4634-8519-88A0AF376DD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35921293-D573-457E-972E-26891C757CE6}"/>
            </a:ext>
            <a:ext uri="{147F2762-F138-4A5C-976F-8EAC2B608ADB}">
              <a16:predDERef xmlns:a16="http://schemas.microsoft.com/office/drawing/2014/main" pred="{D6684F46-9A35-4135-B86B-68ECEDF4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BEE084B-E243-4A38-A32A-E6133A409E9D}"/>
            </a:ext>
            <a:ext uri="{147F2762-F138-4A5C-976F-8EAC2B608ADB}">
              <a16:predDERef xmlns:a16="http://schemas.microsoft.com/office/drawing/2014/main" pred="{35921293-D573-457E-972E-26891C757CE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1645B5F-9FE0-4028-A579-9322DD06CE8B}"/>
            </a:ext>
            <a:ext uri="{147F2762-F138-4A5C-976F-8EAC2B608ADB}">
              <a16:predDERef xmlns:a16="http://schemas.microsoft.com/office/drawing/2014/main" pred="{FBEE084B-E243-4A38-A32A-E6133A409E9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157E23B-FEBB-49B0-B74E-708D4005EA31}"/>
            </a:ext>
            <a:ext uri="{147F2762-F138-4A5C-976F-8EAC2B608ADB}">
              <a16:predDERef xmlns:a16="http://schemas.microsoft.com/office/drawing/2014/main" pred="{91645B5F-9FE0-4028-A579-9322DD06CE8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E59224F-61D2-4383-8A5C-DAF54306C5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CFC9C52-F52B-4EE3-B7A1-C8BDF5552B07}"/>
            </a:ext>
            <a:ext uri="{147F2762-F138-4A5C-976F-8EAC2B608ADB}">
              <a16:predDERef xmlns:a16="http://schemas.microsoft.com/office/drawing/2014/main" pred="{4E59224F-61D2-4383-8A5C-DAF54306C5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FF0D657-8B54-4DA5-9CD6-B1811DEA245C}"/>
            </a:ext>
            <a:ext uri="{147F2762-F138-4A5C-976F-8EAC2B608ADB}">
              <a16:predDERef xmlns:a16="http://schemas.microsoft.com/office/drawing/2014/main" pred="{ACFC9C52-F52B-4EE3-B7A1-C8BDF5552B0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8307948D-4C15-4224-86B8-661BF785929B}"/>
            </a:ext>
            <a:ext uri="{147F2762-F138-4A5C-976F-8EAC2B608ADB}">
              <a16:predDERef xmlns:a16="http://schemas.microsoft.com/office/drawing/2014/main" pred="{1FF0D657-8B54-4DA5-9CD6-B1811DEA2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5F6B61F-9DBA-4CEF-BB5A-A2F154A028E6}"/>
            </a:ext>
            <a:ext uri="{147F2762-F138-4A5C-976F-8EAC2B608ADB}">
              <a16:predDERef xmlns:a16="http://schemas.microsoft.com/office/drawing/2014/main" pred="{8307948D-4C15-4224-86B8-661BF785929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F639B93-23E8-4A2D-8AA1-E0D41CF83D67}"/>
            </a:ext>
            <a:ext uri="{147F2762-F138-4A5C-976F-8EAC2B608ADB}">
              <a16:predDERef xmlns:a16="http://schemas.microsoft.com/office/drawing/2014/main" pred="{75F6B61F-9DBA-4CEF-BB5A-A2F154A028E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B3E74A8-5B0B-42EC-AAFA-3613B934370C}"/>
            </a:ext>
            <a:ext uri="{147F2762-F138-4A5C-976F-8EAC2B608ADB}">
              <a16:predDERef xmlns:a16="http://schemas.microsoft.com/office/drawing/2014/main" pred="{AF639B93-23E8-4A2D-8AA1-E0D41CF83D6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3656D8E-2DC1-4DBF-AC1D-5394DC6219C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F06A48C-CC0D-40C7-BD6B-79CEE57F0E95}"/>
            </a:ext>
            <a:ext uri="{147F2762-F138-4A5C-976F-8EAC2B608ADB}">
              <a16:predDERef xmlns:a16="http://schemas.microsoft.com/office/drawing/2014/main" pred="{C3656D8E-2DC1-4DBF-AC1D-5394DC6219C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63B71AE-E5B9-4A8B-9B15-4A7D25431481}"/>
            </a:ext>
            <a:ext uri="{147F2762-F138-4A5C-976F-8EAC2B608ADB}">
              <a16:predDERef xmlns:a16="http://schemas.microsoft.com/office/drawing/2014/main" pred="{2F06A48C-CC0D-40C7-BD6B-79CEE57F0E9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BD6A7695-D464-436B-AF7B-F36100E861A8}"/>
            </a:ext>
            <a:ext uri="{147F2762-F138-4A5C-976F-8EAC2B608ADB}">
              <a16:predDERef xmlns:a16="http://schemas.microsoft.com/office/drawing/2014/main" pred="{563B71AE-E5B9-4A8B-9B15-4A7D2543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67E1566-CD1A-4365-8D32-4A4B13E3EE46}"/>
            </a:ext>
            <a:ext uri="{147F2762-F138-4A5C-976F-8EAC2B608ADB}">
              <a16:predDERef xmlns:a16="http://schemas.microsoft.com/office/drawing/2014/main" pred="{BD6A7695-D464-436B-AF7B-F36100E861A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25B05AE-5E4E-4651-82A5-4F13E9124D5B}"/>
            </a:ext>
            <a:ext uri="{147F2762-F138-4A5C-976F-8EAC2B608ADB}">
              <a16:predDERef xmlns:a16="http://schemas.microsoft.com/office/drawing/2014/main" pred="{A67E1566-CD1A-4365-8D32-4A4B13E3EE4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EE87CD3-6578-4CA2-BAFD-56BFADDA66B4}"/>
            </a:ext>
            <a:ext uri="{147F2762-F138-4A5C-976F-8EAC2B608ADB}">
              <a16:predDERef xmlns:a16="http://schemas.microsoft.com/office/drawing/2014/main" pred="{D25B05AE-5E4E-4651-82A5-4F13E9124D5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D78769A-3DAC-47FD-A026-0C07E1EEBF5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2B91E9F-EF50-4602-8567-A6F89ADC388C}"/>
            </a:ext>
            <a:ext uri="{147F2762-F138-4A5C-976F-8EAC2B608ADB}">
              <a16:predDERef xmlns:a16="http://schemas.microsoft.com/office/drawing/2014/main" pred="{BD78769A-3DAC-47FD-A026-0C07E1EEBF5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55019AA-19F1-4642-B5CE-24B032DEBF47}"/>
            </a:ext>
            <a:ext uri="{147F2762-F138-4A5C-976F-8EAC2B608ADB}">
              <a16:predDERef xmlns:a16="http://schemas.microsoft.com/office/drawing/2014/main" pred="{12B91E9F-EF50-4602-8567-A6F89ADC388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583ECDA3-101B-4E1D-A63F-BD04A50910CC}"/>
            </a:ext>
            <a:ext uri="{147F2762-F138-4A5C-976F-8EAC2B608ADB}">
              <a16:predDERef xmlns:a16="http://schemas.microsoft.com/office/drawing/2014/main" pred="{455019AA-19F1-4642-B5CE-24B032DEB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062464A-FBA6-49C8-89FF-88D7111D6C76}"/>
            </a:ext>
            <a:ext uri="{147F2762-F138-4A5C-976F-8EAC2B608ADB}">
              <a16:predDERef xmlns:a16="http://schemas.microsoft.com/office/drawing/2014/main" pred="{583ECDA3-101B-4E1D-A63F-BD04A50910C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E8B14330-7C9C-49B1-A2C7-7181BAAAF511}"/>
            </a:ext>
            <a:ext uri="{147F2762-F138-4A5C-976F-8EAC2B608ADB}">
              <a16:predDERef xmlns:a16="http://schemas.microsoft.com/office/drawing/2014/main" pred="{A062464A-FBA6-49C8-89FF-88D7111D6C7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635540F-F5E4-4EF6-8DEF-391E7B9056BD}"/>
            </a:ext>
            <a:ext uri="{147F2762-F138-4A5C-976F-8EAC2B608ADB}">
              <a16:predDERef xmlns:a16="http://schemas.microsoft.com/office/drawing/2014/main" pred="{E8B14330-7C9C-49B1-A2C7-7181BAAAF51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2DB6DCD-AC60-43AB-97DC-DA993AC0F5C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0D1230C-B4F2-4D90-B843-15A86C388A19}"/>
            </a:ext>
            <a:ext uri="{147F2762-F138-4A5C-976F-8EAC2B608ADB}">
              <a16:predDERef xmlns:a16="http://schemas.microsoft.com/office/drawing/2014/main" pred="{A2DB6DCD-AC60-43AB-97DC-DA993AC0F5C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18F2FB4-F5AF-4F7E-A7D4-A4FDCBDC3283}"/>
            </a:ext>
            <a:ext uri="{147F2762-F138-4A5C-976F-8EAC2B608ADB}">
              <a16:predDERef xmlns:a16="http://schemas.microsoft.com/office/drawing/2014/main" pred="{20D1230C-B4F2-4D90-B843-15A86C388A1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E6AEB6BE-4B60-4C81-AB72-36CABF9A53AA}"/>
            </a:ext>
            <a:ext uri="{147F2762-F138-4A5C-976F-8EAC2B608ADB}">
              <a16:predDERef xmlns:a16="http://schemas.microsoft.com/office/drawing/2014/main" pred="{718F2FB4-F5AF-4F7E-A7D4-A4FDCBDC3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2C8AB8F-6EFE-4CAE-9739-892AB15B53D8}"/>
            </a:ext>
            <a:ext uri="{147F2762-F138-4A5C-976F-8EAC2B608ADB}">
              <a16:predDERef xmlns:a16="http://schemas.microsoft.com/office/drawing/2014/main" pred="{E6AEB6BE-4B60-4C81-AB72-36CABF9A53A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DBE1363-82FE-4941-9A7E-D9D098953FED}"/>
            </a:ext>
            <a:ext uri="{147F2762-F138-4A5C-976F-8EAC2B608ADB}">
              <a16:predDERef xmlns:a16="http://schemas.microsoft.com/office/drawing/2014/main" pred="{82C8AB8F-6EFE-4CAE-9739-892AB15B53D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5361569-92C8-4FA3-848D-78ED6F308AB0}"/>
            </a:ext>
            <a:ext uri="{147F2762-F138-4A5C-976F-8EAC2B608ADB}">
              <a16:predDERef xmlns:a16="http://schemas.microsoft.com/office/drawing/2014/main" pred="{FDBE1363-82FE-4941-9A7E-D9D098953FE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DBB2F4E-3CCA-41DD-BEF5-C52DB0F900B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3EE275C-9A1E-4E35-8D51-361E14CDBDF9}"/>
            </a:ext>
            <a:ext uri="{147F2762-F138-4A5C-976F-8EAC2B608ADB}">
              <a16:predDERef xmlns:a16="http://schemas.microsoft.com/office/drawing/2014/main" pred="{9DBB2F4E-3CCA-41DD-BEF5-C52DB0F900B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7482A09-04B6-4000-90E2-8EBE20689760}"/>
            </a:ext>
            <a:ext uri="{147F2762-F138-4A5C-976F-8EAC2B608ADB}">
              <a16:predDERef xmlns:a16="http://schemas.microsoft.com/office/drawing/2014/main" pred="{B3EE275C-9A1E-4E35-8D51-361E14CDBDF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EBC5E91-25EE-4D4F-93E6-B4140A24B4A0}"/>
            </a:ext>
            <a:ext uri="{147F2762-F138-4A5C-976F-8EAC2B608ADB}">
              <a16:predDERef xmlns:a16="http://schemas.microsoft.com/office/drawing/2014/main" pred="{77482A09-04B6-4000-90E2-8EBE2068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B2A0F3D-EEAE-487A-9EA5-EE351BDB103C}"/>
            </a:ext>
            <a:ext uri="{147F2762-F138-4A5C-976F-8EAC2B608ADB}">
              <a16:predDERef xmlns:a16="http://schemas.microsoft.com/office/drawing/2014/main" pred="{0EBC5E91-25EE-4D4F-93E6-B4140A24B4A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5041696-460D-4D9B-B38F-9EB3A522689B}"/>
            </a:ext>
            <a:ext uri="{147F2762-F138-4A5C-976F-8EAC2B608ADB}">
              <a16:predDERef xmlns:a16="http://schemas.microsoft.com/office/drawing/2014/main" pred="{9B2A0F3D-EEAE-487A-9EA5-EE351BDB103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F008F1D-B3A3-4D28-9C11-10B53DDFED88}"/>
            </a:ext>
            <a:ext uri="{147F2762-F138-4A5C-976F-8EAC2B608ADB}">
              <a16:predDERef xmlns:a16="http://schemas.microsoft.com/office/drawing/2014/main" pred="{C5041696-460D-4D9B-B38F-9EB3A522689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F3AD7E8-EB39-445C-A64F-F879AE8E7B1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4BD74A1-C594-4897-854D-D83B96910C4D}"/>
            </a:ext>
            <a:ext uri="{147F2762-F138-4A5C-976F-8EAC2B608ADB}">
              <a16:predDERef xmlns:a16="http://schemas.microsoft.com/office/drawing/2014/main" pred="{9F3AD7E8-EB39-445C-A64F-F879AE8E7B1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CEA48F-CD7B-468B-AFDE-3C80FE2FC8B9}"/>
            </a:ext>
            <a:ext uri="{147F2762-F138-4A5C-976F-8EAC2B608ADB}">
              <a16:predDERef xmlns:a16="http://schemas.microsoft.com/office/drawing/2014/main" pred="{E4BD74A1-C594-4897-854D-D83B96910C4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3B3EB79F-3F1E-4C90-9B79-974C02EE5B35}"/>
            </a:ext>
            <a:ext uri="{147F2762-F138-4A5C-976F-8EAC2B608ADB}">
              <a16:predDERef xmlns:a16="http://schemas.microsoft.com/office/drawing/2014/main" pred="{C5CEA48F-CD7B-468B-AFDE-3C80FE2F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2333E32-4612-44A4-BE3A-71D0993A2C7F}"/>
            </a:ext>
            <a:ext uri="{147F2762-F138-4A5C-976F-8EAC2B608ADB}">
              <a16:predDERef xmlns:a16="http://schemas.microsoft.com/office/drawing/2014/main" pred="{3B3EB79F-3F1E-4C90-9B79-974C02EE5B3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7B5A4B0-C059-4063-BA87-8A976E2B1F94}"/>
            </a:ext>
            <a:ext uri="{147F2762-F138-4A5C-976F-8EAC2B608ADB}">
              <a16:predDERef xmlns:a16="http://schemas.microsoft.com/office/drawing/2014/main" pred="{92333E32-4612-44A4-BE3A-71D0993A2C7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50C6F75-60E8-4FBB-BF1B-FA9FF1ECCF45}"/>
            </a:ext>
            <a:ext uri="{147F2762-F138-4A5C-976F-8EAC2B608ADB}">
              <a16:predDERef xmlns:a16="http://schemas.microsoft.com/office/drawing/2014/main" pred="{F7B5A4B0-C059-4063-BA87-8A976E2B1F9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FEC83B1-5D4B-4C84-9BCA-5F7B31A5A90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FE72EF1-4366-4C3C-9A94-9029A789B41D}"/>
            </a:ext>
            <a:ext uri="{147F2762-F138-4A5C-976F-8EAC2B608ADB}">
              <a16:predDERef xmlns:a16="http://schemas.microsoft.com/office/drawing/2014/main" pred="{5FEC83B1-5D4B-4C84-9BCA-5F7B31A5A90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F00E2A1-6981-4B56-821E-772682F70BB4}"/>
            </a:ext>
            <a:ext uri="{147F2762-F138-4A5C-976F-8EAC2B608ADB}">
              <a16:predDERef xmlns:a16="http://schemas.microsoft.com/office/drawing/2014/main" pred="{BFE72EF1-4366-4C3C-9A94-9029A789B41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6197B86B-7447-484A-8510-B89DDDF4CD12}"/>
            </a:ext>
            <a:ext uri="{147F2762-F138-4A5C-976F-8EAC2B608ADB}">
              <a16:predDERef xmlns:a16="http://schemas.microsoft.com/office/drawing/2014/main" pred="{9F00E2A1-6981-4B56-821E-772682F7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8E8B413-BCD3-4A8A-A87F-12749DF2308B}"/>
            </a:ext>
            <a:ext uri="{147F2762-F138-4A5C-976F-8EAC2B608ADB}">
              <a16:predDERef xmlns:a16="http://schemas.microsoft.com/office/drawing/2014/main" pred="{6197B86B-7447-484A-8510-B89DDDF4CD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E530E03-0645-4E75-87BD-A70D22A7A51B}"/>
            </a:ext>
            <a:ext uri="{147F2762-F138-4A5C-976F-8EAC2B608ADB}">
              <a16:predDERef xmlns:a16="http://schemas.microsoft.com/office/drawing/2014/main" pred="{18E8B413-BCD3-4A8A-A87F-12749DF2308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E83D592-518E-439E-8102-3385021F8D4A}"/>
            </a:ext>
            <a:ext uri="{147F2762-F138-4A5C-976F-8EAC2B608ADB}">
              <a16:predDERef xmlns:a16="http://schemas.microsoft.com/office/drawing/2014/main" pred="{CE530E03-0645-4E75-87BD-A70D22A7A51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DCBF61F-6020-4881-AF7F-FAA54EF298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733F5D3-79F1-4213-BF2B-15E2828FDC97}"/>
            </a:ext>
            <a:ext uri="{147F2762-F138-4A5C-976F-8EAC2B608ADB}">
              <a16:predDERef xmlns:a16="http://schemas.microsoft.com/office/drawing/2014/main" pred="{ADCBF61F-6020-4881-AF7F-FAA54EF298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C5EE556-F5AA-48EB-A343-5680B0D1570C}"/>
            </a:ext>
            <a:ext uri="{147F2762-F138-4A5C-976F-8EAC2B608ADB}">
              <a16:predDERef xmlns:a16="http://schemas.microsoft.com/office/drawing/2014/main" pred="{F733F5D3-79F1-4213-BF2B-15E2828FDC9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A635C909-ECF4-4027-BB7B-3FB576A211B0}"/>
            </a:ext>
            <a:ext uri="{147F2762-F138-4A5C-976F-8EAC2B608ADB}">
              <a16:predDERef xmlns:a16="http://schemas.microsoft.com/office/drawing/2014/main" pred="{6C5EE556-F5AA-48EB-A343-5680B0D1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E6D75184-6A64-4D11-82C3-4713C6031A52}"/>
            </a:ext>
            <a:ext uri="{147F2762-F138-4A5C-976F-8EAC2B608ADB}">
              <a16:predDERef xmlns:a16="http://schemas.microsoft.com/office/drawing/2014/main" pred="{A635C909-ECF4-4027-BB7B-3FB576A211B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21BAA0A-62A5-4646-B902-BA616BF8CC1A}"/>
            </a:ext>
            <a:ext uri="{147F2762-F138-4A5C-976F-8EAC2B608ADB}">
              <a16:predDERef xmlns:a16="http://schemas.microsoft.com/office/drawing/2014/main" pred="{E6D75184-6A64-4D11-82C3-4713C6031A5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B41D139-A273-4893-9134-07E36CFA1DB0}"/>
            </a:ext>
            <a:ext uri="{147F2762-F138-4A5C-976F-8EAC2B608ADB}">
              <a16:predDERef xmlns:a16="http://schemas.microsoft.com/office/drawing/2014/main" pred="{021BAA0A-62A5-4646-B902-BA616BF8CC1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9B7FF6A-581A-4B08-B0BF-D4EB8327749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F6C44EF-447B-4E3C-854B-82FED717F9DD}"/>
            </a:ext>
            <a:ext uri="{147F2762-F138-4A5C-976F-8EAC2B608ADB}">
              <a16:predDERef xmlns:a16="http://schemas.microsoft.com/office/drawing/2014/main" pred="{89B7FF6A-581A-4B08-B0BF-D4EB8327749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C582A8A-517B-4F84-98D4-F17B079CF788}"/>
            </a:ext>
            <a:ext uri="{147F2762-F138-4A5C-976F-8EAC2B608ADB}">
              <a16:predDERef xmlns:a16="http://schemas.microsoft.com/office/drawing/2014/main" pred="{5F6C44EF-447B-4E3C-854B-82FED717F9D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8CDA9D98-C6BF-475C-9D53-9759560B0A41}"/>
            </a:ext>
            <a:ext uri="{147F2762-F138-4A5C-976F-8EAC2B608ADB}">
              <a16:predDERef xmlns:a16="http://schemas.microsoft.com/office/drawing/2014/main" pred="{4C582A8A-517B-4F84-98D4-F17B079C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EF3F0B8-035F-43B5-8807-A7521D0FBAA3}"/>
            </a:ext>
            <a:ext uri="{147F2762-F138-4A5C-976F-8EAC2B608ADB}">
              <a16:predDERef xmlns:a16="http://schemas.microsoft.com/office/drawing/2014/main" pred="{8CDA9D98-C6BF-475C-9D53-9759560B0A4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643AAB-B420-46D8-8C85-D6234AE6E530}"/>
            </a:ext>
            <a:ext uri="{147F2762-F138-4A5C-976F-8EAC2B608ADB}">
              <a16:predDERef xmlns:a16="http://schemas.microsoft.com/office/drawing/2014/main" pred="{CEF3F0B8-035F-43B5-8807-A7521D0FBAA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DE64353-3772-431A-A526-FC5CB1A5DF77}"/>
            </a:ext>
            <a:ext uri="{147F2762-F138-4A5C-976F-8EAC2B608ADB}">
              <a16:predDERef xmlns:a16="http://schemas.microsoft.com/office/drawing/2014/main" pred="{AE643AAB-B420-46D8-8C85-D6234AE6E53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C5190C-4A76-4E49-9DE1-001F6D88EAC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0450360-3BE8-43FF-A258-F10C615708C3}"/>
            </a:ext>
            <a:ext uri="{147F2762-F138-4A5C-976F-8EAC2B608ADB}">
              <a16:predDERef xmlns:a16="http://schemas.microsoft.com/office/drawing/2014/main" pred="{38C5190C-4A76-4E49-9DE1-001F6D88EAC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DE466B3-DD6E-4A0F-842C-BF81CB615D47}"/>
            </a:ext>
            <a:ext uri="{147F2762-F138-4A5C-976F-8EAC2B608ADB}">
              <a16:predDERef xmlns:a16="http://schemas.microsoft.com/office/drawing/2014/main" pred="{30450360-3BE8-43FF-A258-F10C615708C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84DF6DBB-B1E7-468B-935D-10AF116ABFEC}"/>
            </a:ext>
            <a:ext uri="{147F2762-F138-4A5C-976F-8EAC2B608ADB}">
              <a16:predDERef xmlns:a16="http://schemas.microsoft.com/office/drawing/2014/main" pred="{7DE466B3-DD6E-4A0F-842C-BF81CB61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2210DD0-A2B7-42F0-89C3-279A8DA6C25B}"/>
            </a:ext>
            <a:ext uri="{147F2762-F138-4A5C-976F-8EAC2B608ADB}">
              <a16:predDERef xmlns:a16="http://schemas.microsoft.com/office/drawing/2014/main" pred="{84DF6DBB-B1E7-468B-935D-10AF116ABFE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C35D3F6-28AB-4EF3-AE9A-B16C95D504A8}"/>
            </a:ext>
            <a:ext uri="{147F2762-F138-4A5C-976F-8EAC2B608ADB}">
              <a16:predDERef xmlns:a16="http://schemas.microsoft.com/office/drawing/2014/main" pred="{62210DD0-A2B7-42F0-89C3-279A8DA6C25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A2A347C-28F8-44E9-84F7-83CEECBF84D3}"/>
            </a:ext>
            <a:ext uri="{147F2762-F138-4A5C-976F-8EAC2B608ADB}">
              <a16:predDERef xmlns:a16="http://schemas.microsoft.com/office/drawing/2014/main" pred="{5C35D3F6-28AB-4EF3-AE9A-B16C95D504A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69498C6-3449-446E-9D46-80DB76577BB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7AF4C7B-0BF7-4415-B096-94228747C006}"/>
            </a:ext>
            <a:ext uri="{147F2762-F138-4A5C-976F-8EAC2B608ADB}">
              <a16:predDERef xmlns:a16="http://schemas.microsoft.com/office/drawing/2014/main" pred="{F69498C6-3449-446E-9D46-80DB76577BB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BB3B8F5-0EEB-400B-BB24-7D680B2F05DD}"/>
            </a:ext>
            <a:ext uri="{147F2762-F138-4A5C-976F-8EAC2B608ADB}">
              <a16:predDERef xmlns:a16="http://schemas.microsoft.com/office/drawing/2014/main" pred="{67AF4C7B-0BF7-4415-B096-94228747C00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7B4349BB-8A2F-499C-BF52-770B50227A5B}"/>
            </a:ext>
            <a:ext uri="{147F2762-F138-4A5C-976F-8EAC2B608ADB}">
              <a16:predDERef xmlns:a16="http://schemas.microsoft.com/office/drawing/2014/main" pred="{9BB3B8F5-0EEB-400B-BB24-7D680B2F0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C6AB26E-38C2-4D35-98BE-EE6FEBFA1FD5}"/>
            </a:ext>
            <a:ext uri="{147F2762-F138-4A5C-976F-8EAC2B608ADB}">
              <a16:predDERef xmlns:a16="http://schemas.microsoft.com/office/drawing/2014/main" pred="{7B4349BB-8A2F-499C-BF52-770B50227A5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CF71989-FE21-43A0-8611-71EB437E487D}"/>
            </a:ext>
            <a:ext uri="{147F2762-F138-4A5C-976F-8EAC2B608ADB}">
              <a16:predDERef xmlns:a16="http://schemas.microsoft.com/office/drawing/2014/main" pred="{2C6AB26E-38C2-4D35-98BE-EE6FEBFA1FD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ADF438F6-5781-45F0-8B9B-DED3CE8115C0}"/>
            </a:ext>
            <a:ext uri="{147F2762-F138-4A5C-976F-8EAC2B608ADB}">
              <a16:predDERef xmlns:a16="http://schemas.microsoft.com/office/drawing/2014/main" pred="{CCF71989-FE21-43A0-8611-71EB437E487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421E8F2-33F5-4594-B28A-7CB41A8D887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8B8AAF8-6707-417D-8069-41ECE99959F5}"/>
            </a:ext>
            <a:ext uri="{147F2762-F138-4A5C-976F-8EAC2B608ADB}">
              <a16:predDERef xmlns:a16="http://schemas.microsoft.com/office/drawing/2014/main" pred="{6421E8F2-33F5-4594-B28A-7CB41A8D887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1C0A941-F91B-46CF-8723-DA024B5E6912}"/>
            </a:ext>
            <a:ext uri="{147F2762-F138-4A5C-976F-8EAC2B608ADB}">
              <a16:predDERef xmlns:a16="http://schemas.microsoft.com/office/drawing/2014/main" pred="{68B8AAF8-6707-417D-8069-41ECE99959F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5F6E8E1D-29D1-446E-919A-CE42D5BD1277}"/>
            </a:ext>
            <a:ext uri="{147F2762-F138-4A5C-976F-8EAC2B608ADB}">
              <a16:predDERef xmlns:a16="http://schemas.microsoft.com/office/drawing/2014/main" pred="{F1C0A941-F91B-46CF-8723-DA024B5E6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24BCC35-8BD3-49C3-8A52-3391A5EE8D03}"/>
            </a:ext>
            <a:ext uri="{147F2762-F138-4A5C-976F-8EAC2B608ADB}">
              <a16:predDERef xmlns:a16="http://schemas.microsoft.com/office/drawing/2014/main" pred="{5F6E8E1D-29D1-446E-919A-CE42D5BD127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154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2418BAD-A262-46D8-9DE8-9383DC9E5701}"/>
            </a:ext>
            <a:ext uri="{147F2762-F138-4A5C-976F-8EAC2B608ADB}">
              <a16:predDERef xmlns:a16="http://schemas.microsoft.com/office/drawing/2014/main" pred="{624BCC35-8BD3-49C3-8A52-3391A5EE8D0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7534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B5B782F-59AA-4790-8033-DD382D73E506}"/>
            </a:ext>
            <a:ext uri="{147F2762-F138-4A5C-976F-8EAC2B608ADB}">
              <a16:predDERef xmlns:a16="http://schemas.microsoft.com/office/drawing/2014/main" pred="{92418BAD-A262-46D8-9DE8-9383DC9E570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B534E1C-3BE7-428B-9F90-9BB253DF772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E05F419-36C9-4D39-B04C-2C9B6DD95098}"/>
            </a:ext>
            <a:ext uri="{147F2762-F138-4A5C-976F-8EAC2B608ADB}">
              <a16:predDERef xmlns:a16="http://schemas.microsoft.com/office/drawing/2014/main" pred="{6B534E1C-3BE7-428B-9F90-9BB253DF772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368D200-511C-44B0-BB15-5DF06C0D69F5}"/>
            </a:ext>
            <a:ext uri="{147F2762-F138-4A5C-976F-8EAC2B608ADB}">
              <a16:predDERef xmlns:a16="http://schemas.microsoft.com/office/drawing/2014/main" pred="{8E05F419-36C9-4D39-B04C-2C9B6DD9509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BBEED09-C60D-4070-BE77-60D978726021}"/>
            </a:ext>
            <a:ext uri="{147F2762-F138-4A5C-976F-8EAC2B608ADB}">
              <a16:predDERef xmlns:a16="http://schemas.microsoft.com/office/drawing/2014/main" pred="{D368D200-511C-44B0-BB15-5DF06C0D6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095AF8B-D9D6-4103-987C-82EDD861998F}"/>
            </a:ext>
            <a:ext uri="{147F2762-F138-4A5C-976F-8EAC2B608ADB}">
              <a16:predDERef xmlns:a16="http://schemas.microsoft.com/office/drawing/2014/main" pred="{ABBEED09-C60D-4070-BE77-60D97872602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E0F21F9-8535-469F-A5A4-5521D7E2EF54}"/>
            </a:ext>
            <a:ext uri="{147F2762-F138-4A5C-976F-8EAC2B608ADB}">
              <a16:predDERef xmlns:a16="http://schemas.microsoft.com/office/drawing/2014/main" pred="{9095AF8B-D9D6-4103-987C-82EDD861998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4AF5CC58-43A5-4F03-9B7C-F8984819F2F7}"/>
            </a:ext>
            <a:ext uri="{147F2762-F138-4A5C-976F-8EAC2B608ADB}">
              <a16:predDERef xmlns:a16="http://schemas.microsoft.com/office/drawing/2014/main" pred="{7E0F21F9-8535-469F-A5A4-5521D7E2EF5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058307D-55A5-4FC5-BB6D-C44B791EBFAB}"/>
            </a:ext>
            <a:ext uri="{147F2762-F138-4A5C-976F-8EAC2B608ADB}">
              <a16:predDERef xmlns:a16="http://schemas.microsoft.com/office/drawing/2014/main" pred="{4AF5CC58-43A5-4F03-9B7C-F8984819F2F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7CCF6EF-905B-482C-8201-229BDF725301}"/>
            </a:ext>
            <a:ext uri="{147F2762-F138-4A5C-976F-8EAC2B608ADB}">
              <a16:predDERef xmlns:a16="http://schemas.microsoft.com/office/drawing/2014/main" pred="{2058307D-55A5-4FC5-BB6D-C44B791EBFA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B50D868-C949-41B7-97D6-984E3848736A}"/>
            </a:ext>
            <a:ext uri="{147F2762-F138-4A5C-976F-8EAC2B608ADB}">
              <a16:predDERef xmlns:a16="http://schemas.microsoft.com/office/drawing/2014/main" pred="{27CCF6EF-905B-482C-8201-229BDF72530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A8B4AD55-3A26-4C40-A980-2CAD09658291}"/>
            </a:ext>
            <a:ext uri="{147F2762-F138-4A5C-976F-8EAC2B608ADB}">
              <a16:predDERef xmlns:a16="http://schemas.microsoft.com/office/drawing/2014/main" pred="{8B50D868-C949-41B7-97D6-984E3848736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47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B418FD0-02D3-44B6-82C1-57B6B7860BBB}"/>
            </a:ext>
            <a:ext uri="{147F2762-F138-4A5C-976F-8EAC2B608ADB}">
              <a16:predDERef xmlns:a16="http://schemas.microsoft.com/office/drawing/2014/main" pred="{A8B4AD55-3A26-4C40-A980-2CAD09658291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45248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E88B33F-A9AA-4C1C-BDAC-12B1AF9D96A7}"/>
            </a:ext>
            <a:ext uri="{147F2762-F138-4A5C-976F-8EAC2B608ADB}">
              <a16:predDERef xmlns:a16="http://schemas.microsoft.com/office/drawing/2014/main" pred="{BB418FD0-02D3-44B6-82C1-57B6B7860BB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8BB0112-61CA-4AA8-9EC8-6110AC41C117}"/>
            </a:ext>
            <a:ext uri="{147F2762-F138-4A5C-976F-8EAC2B608ADB}">
              <a16:predDERef xmlns:a16="http://schemas.microsoft.com/office/drawing/2014/main" pred="{AE88B33F-A9AA-4C1C-BDAC-12B1AF9D96A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E014BB20-1331-478F-8516-00F68E9209F8}"/>
            </a:ext>
            <a:ext uri="{147F2762-F138-4A5C-976F-8EAC2B608ADB}">
              <a16:predDERef xmlns:a16="http://schemas.microsoft.com/office/drawing/2014/main" pred="{68BB0112-61CA-4AA8-9EC8-6110AC41C11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E68729F6-EB93-44F6-A7C5-3D769BEEC5BE}"/>
            </a:ext>
            <a:ext uri="{147F2762-F138-4A5C-976F-8EAC2B608ADB}">
              <a16:predDERef xmlns:a16="http://schemas.microsoft.com/office/drawing/2014/main" pred="{E014BB20-1331-478F-8516-00F68E9209F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F87AD81E-0BAA-4B66-9FD6-6032374628B9}"/>
            </a:ext>
            <a:ext uri="{147F2762-F138-4A5C-976F-8EAC2B608ADB}">
              <a16:predDERef xmlns:a16="http://schemas.microsoft.com/office/drawing/2014/main" pred="{E68729F6-EB93-44F6-A7C5-3D769BEEC5B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766B63B-3A6C-4EE5-A0A2-44B47907AB96}"/>
            </a:ext>
            <a:ext uri="{147F2762-F138-4A5C-976F-8EAC2B608ADB}">
              <a16:predDERef xmlns:a16="http://schemas.microsoft.com/office/drawing/2014/main" pred="{F87AD81E-0BAA-4B66-9FD6-6032374628B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10DCE132-6FF3-455F-85E1-9FC5E2CD6468}"/>
            </a:ext>
            <a:ext uri="{147F2762-F138-4A5C-976F-8EAC2B608ADB}">
              <a16:predDERef xmlns:a16="http://schemas.microsoft.com/office/drawing/2014/main" pred="{3766B63B-3A6C-4EE5-A0A2-44B47907AB9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C90010A-4374-4958-BE51-DE9EE4D01E19}"/>
            </a:ext>
            <a:ext uri="{147F2762-F138-4A5C-976F-8EAC2B608ADB}">
              <a16:predDERef xmlns:a16="http://schemas.microsoft.com/office/drawing/2014/main" pred="{10DCE132-6FF3-455F-85E1-9FC5E2CD646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B5A8176-A26E-473B-8568-D1DA6FC39473}"/>
            </a:ext>
            <a:ext uri="{147F2762-F138-4A5C-976F-8EAC2B608ADB}">
              <a16:predDERef xmlns:a16="http://schemas.microsoft.com/office/drawing/2014/main" pred="{7C90010A-4374-4958-BE51-DE9EE4D01E1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0295AED-015E-4EC1-815A-89C50806115C}"/>
            </a:ext>
            <a:ext uri="{147F2762-F138-4A5C-976F-8EAC2B608ADB}">
              <a16:predDERef xmlns:a16="http://schemas.microsoft.com/office/drawing/2014/main" pred="{7B5A8176-A26E-473B-8568-D1DA6FC3947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7C3525C-DEC6-48A2-A783-76A08F11E2E5}"/>
            </a:ext>
            <a:ext uri="{147F2762-F138-4A5C-976F-8EAC2B608ADB}">
              <a16:predDERef xmlns:a16="http://schemas.microsoft.com/office/drawing/2014/main" pred="{B0295AED-015E-4EC1-815A-89C50806115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35B39CB-DF04-4522-A825-E47E1E586D42}"/>
            </a:ext>
            <a:ext uri="{147F2762-F138-4A5C-976F-8EAC2B608ADB}">
              <a16:predDERef xmlns:a16="http://schemas.microsoft.com/office/drawing/2014/main" pred="{67C3525C-DEC6-48A2-A783-76A08F11E2E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268AF0F7-4119-4E88-A214-425451418D82}"/>
            </a:ext>
            <a:ext uri="{147F2762-F138-4A5C-976F-8EAC2B608ADB}">
              <a16:predDERef xmlns:a16="http://schemas.microsoft.com/office/drawing/2014/main" pred="{435B39CB-DF04-4522-A825-E47E1E586D4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B44A834C-EB5C-4710-906E-DA67C20DD24C}"/>
            </a:ext>
            <a:ext uri="{147F2762-F138-4A5C-976F-8EAC2B608ADB}">
              <a16:predDERef xmlns:a16="http://schemas.microsoft.com/office/drawing/2014/main" pred="{268AF0F7-4119-4E88-A214-425451418D8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DDEFEA-CB94-4CA1-BA7D-71FCCF05FAE9}"/>
            </a:ext>
            <a:ext uri="{147F2762-F138-4A5C-976F-8EAC2B608ADB}">
              <a16:predDERef xmlns:a16="http://schemas.microsoft.com/office/drawing/2014/main" pred="{B44A834C-EB5C-4710-906E-DA67C20DD24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E4F9C1FA-EB71-4046-8B93-23AF8C6A3963}"/>
            </a:ext>
            <a:ext uri="{147F2762-F138-4A5C-976F-8EAC2B608ADB}">
              <a16:predDERef xmlns:a16="http://schemas.microsoft.com/office/drawing/2014/main" pred="{ACDDEFEA-CB94-4CA1-BA7D-71FCCF05FAE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63FA8D4-3C15-4EF1-A181-1F55AEAC86A5}"/>
            </a:ext>
            <a:ext uri="{147F2762-F138-4A5C-976F-8EAC2B608ADB}">
              <a16:predDERef xmlns:a16="http://schemas.microsoft.com/office/drawing/2014/main" pred="{E4F9C1FA-EB71-4046-8B93-23AF8C6A396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C7C049EF-53FF-459F-8FE9-EA4E34B21298}"/>
            </a:ext>
            <a:ext uri="{147F2762-F138-4A5C-976F-8EAC2B608ADB}">
              <a16:predDERef xmlns:a16="http://schemas.microsoft.com/office/drawing/2014/main" pred="{C63FA8D4-3C15-4EF1-A181-1F55AEAC86A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F90092F1-2219-44CE-90EB-6EA88E49FBBB}"/>
            </a:ext>
            <a:ext uri="{147F2762-F138-4A5C-976F-8EAC2B608ADB}">
              <a16:predDERef xmlns:a16="http://schemas.microsoft.com/office/drawing/2014/main" pred="{C7C049EF-53FF-459F-8FE9-EA4E34B2129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701D8810-7C8F-49C5-B37F-A8720B29D872}"/>
            </a:ext>
            <a:ext uri="{147F2762-F138-4A5C-976F-8EAC2B608ADB}">
              <a16:predDERef xmlns:a16="http://schemas.microsoft.com/office/drawing/2014/main" pred="{F90092F1-2219-44CE-90EB-6EA88E49FBB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6CD7878-2FD2-4CA0-9D2A-FB169DB285A5}"/>
            </a:ext>
            <a:ext uri="{147F2762-F138-4A5C-976F-8EAC2B608ADB}">
              <a16:predDERef xmlns:a16="http://schemas.microsoft.com/office/drawing/2014/main" pred="{701D8810-7C8F-49C5-B37F-A8720B29D87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18766890-B338-4BBB-9CCE-37560952E4DC}"/>
            </a:ext>
            <a:ext uri="{147F2762-F138-4A5C-976F-8EAC2B608ADB}">
              <a16:predDERef xmlns:a16="http://schemas.microsoft.com/office/drawing/2014/main" pred="{06CD7878-2FD2-4CA0-9D2A-FB169DB285A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A50F500-75D2-49F1-B841-AE4F8F2330F8}"/>
            </a:ext>
            <a:ext uri="{147F2762-F138-4A5C-976F-8EAC2B608ADB}">
              <a16:predDERef xmlns:a16="http://schemas.microsoft.com/office/drawing/2014/main" pred="{18766890-B338-4BBB-9CCE-37560952E4D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24610DF7-F683-4CD0-AE34-A114B7E24478}"/>
            </a:ext>
            <a:ext uri="{147F2762-F138-4A5C-976F-8EAC2B608ADB}">
              <a16:predDERef xmlns:a16="http://schemas.microsoft.com/office/drawing/2014/main" pred="{1A50F500-75D2-49F1-B841-AE4F8F2330F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4DE9D1B-55D1-4B75-B04A-97DB012F5119}"/>
            </a:ext>
            <a:ext uri="{147F2762-F138-4A5C-976F-8EAC2B608ADB}">
              <a16:predDERef xmlns:a16="http://schemas.microsoft.com/office/drawing/2014/main" pred="{24610DF7-F683-4CD0-AE34-A114B7E2447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173C2ECB-A0B9-4E7A-B878-76FB3F710D4B}"/>
            </a:ext>
            <a:ext uri="{147F2762-F138-4A5C-976F-8EAC2B608ADB}">
              <a16:predDERef xmlns:a16="http://schemas.microsoft.com/office/drawing/2014/main" pred="{54DE9D1B-55D1-4B75-B04A-97DB012F511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1B78BFC3-256F-40E3-904C-803808581B12}"/>
            </a:ext>
            <a:ext uri="{147F2762-F138-4A5C-976F-8EAC2B608ADB}">
              <a16:predDERef xmlns:a16="http://schemas.microsoft.com/office/drawing/2014/main" pred="{173C2ECB-A0B9-4E7A-B878-76FB3F710D4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0175CDF-231A-42F0-BBBD-66307D5DDC84}"/>
            </a:ext>
            <a:ext uri="{147F2762-F138-4A5C-976F-8EAC2B608ADB}">
              <a16:predDERef xmlns:a16="http://schemas.microsoft.com/office/drawing/2014/main" pred="{1B78BFC3-256F-40E3-904C-803808581B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6C6AA0D7-A8BE-4477-B70A-E098FEFD21B4}"/>
            </a:ext>
            <a:ext uri="{147F2762-F138-4A5C-976F-8EAC2B608ADB}">
              <a16:predDERef xmlns:a16="http://schemas.microsoft.com/office/drawing/2014/main" pred="{B0175CDF-231A-42F0-BBBD-66307D5DDC8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FD5B9381-85A9-49AB-AB42-64FFBD0B589C}"/>
            </a:ext>
            <a:ext uri="{147F2762-F138-4A5C-976F-8EAC2B608ADB}">
              <a16:predDERef xmlns:a16="http://schemas.microsoft.com/office/drawing/2014/main" pred="{6C6AA0D7-A8BE-4477-B70A-E098FEFD21B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7215189-B2BB-494F-A261-AE5416E62DEE}"/>
            </a:ext>
            <a:ext uri="{147F2762-F138-4A5C-976F-8EAC2B608ADB}">
              <a16:predDERef xmlns:a16="http://schemas.microsoft.com/office/drawing/2014/main" pred="{FD5B9381-85A9-49AB-AB42-64FFBD0B589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1DA8C72-3E2A-4138-A790-66693C4CDB13}"/>
            </a:ext>
            <a:ext uri="{147F2762-F138-4A5C-976F-8EAC2B608ADB}">
              <a16:predDERef xmlns:a16="http://schemas.microsoft.com/office/drawing/2014/main" pred="{07215189-B2BB-494F-A261-AE5416E62DE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7BFA999-EF80-4C91-866B-2186F26F9CE6}"/>
            </a:ext>
            <a:ext uri="{147F2762-F138-4A5C-976F-8EAC2B608ADB}">
              <a16:predDERef xmlns:a16="http://schemas.microsoft.com/office/drawing/2014/main" pred="{51DA8C72-3E2A-4138-A790-66693C4CDB1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D03CED5-EFCA-4A96-8DF9-7C11A2AAD080}"/>
            </a:ext>
            <a:ext uri="{147F2762-F138-4A5C-976F-8EAC2B608ADB}">
              <a16:predDERef xmlns:a16="http://schemas.microsoft.com/office/drawing/2014/main" pred="{87BFA999-EF80-4C91-866B-2186F26F9CE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48</xdr:row>
      <xdr:rowOff>22860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4AD1BA5-9B0A-4883-9712-F3815710FCE3}"/>
            </a:ext>
            <a:ext uri="{147F2762-F138-4A5C-976F-8EAC2B608ADB}">
              <a16:predDERef xmlns:a16="http://schemas.microsoft.com/office/drawing/2014/main" pred="{9D03CED5-EFCA-4A96-8DF9-7C11A2AAD080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61441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89C90D2-DF72-4869-A30A-FD5295765252}"/>
            </a:ext>
            <a:ext uri="{147F2762-F138-4A5C-976F-8EAC2B608ADB}">
              <a16:predDERef xmlns:a16="http://schemas.microsoft.com/office/drawing/2014/main" pred="{E4AD1BA5-9B0A-4883-9712-F3815710FCE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E45399A7-0930-4F20-AFE5-DCD12106A161}"/>
            </a:ext>
            <a:ext uri="{147F2762-F138-4A5C-976F-8EAC2B608ADB}">
              <a16:predDERef xmlns:a16="http://schemas.microsoft.com/office/drawing/2014/main" pred="{E89C90D2-DF72-4869-A30A-FD529576525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68ED45A7-45AA-41E6-A1A8-74D831FEFB67}"/>
            </a:ext>
            <a:ext uri="{147F2762-F138-4A5C-976F-8EAC2B608ADB}">
              <a16:predDERef xmlns:a16="http://schemas.microsoft.com/office/drawing/2014/main" pred="{E45399A7-0930-4F20-AFE5-DCD12106A16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E7BB7048-C40F-4F63-8031-E9AC01E9A66B}"/>
            </a:ext>
            <a:ext uri="{147F2762-F138-4A5C-976F-8EAC2B608ADB}">
              <a16:predDERef xmlns:a16="http://schemas.microsoft.com/office/drawing/2014/main" pred="{68ED45A7-45AA-41E6-A1A8-74D831FEFB6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D8C9D7E-B0CE-4C06-8395-1DB9B04BBF2D}"/>
            </a:ext>
            <a:ext uri="{147F2762-F138-4A5C-976F-8EAC2B608ADB}">
              <a16:predDERef xmlns:a16="http://schemas.microsoft.com/office/drawing/2014/main" pred="{E7BB7048-C40F-4F63-8031-E9AC01E9A66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B311318A-0742-4F4F-B829-2006666FC97F}"/>
            </a:ext>
            <a:ext uri="{147F2762-F138-4A5C-976F-8EAC2B608ADB}">
              <a16:predDERef xmlns:a16="http://schemas.microsoft.com/office/drawing/2014/main" pred="{1D8C9D7E-B0CE-4C06-8395-1DB9B04BBF2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3B562C3-9781-4C23-B5F0-8D29D8B5FB9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2133C8A-12A4-42C5-9F9C-BC8D0B7B8A6B}"/>
            </a:ext>
            <a:ext uri="{147F2762-F138-4A5C-976F-8EAC2B608ADB}">
              <a16:predDERef xmlns:a16="http://schemas.microsoft.com/office/drawing/2014/main" pred="{73B562C3-9781-4C23-B5F0-8D29D8B5FB9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224ED04-4EB9-4A3A-B429-3FD5CEE7D61A}"/>
            </a:ext>
            <a:ext uri="{147F2762-F138-4A5C-976F-8EAC2B608ADB}">
              <a16:predDERef xmlns:a16="http://schemas.microsoft.com/office/drawing/2014/main" pred="{B2133C8A-12A4-42C5-9F9C-BC8D0B7B8A6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128BE9-1A52-4D57-9595-45A8341A4E01}"/>
            </a:ext>
            <a:ext uri="{147F2762-F138-4A5C-976F-8EAC2B608ADB}">
              <a16:predDERef xmlns:a16="http://schemas.microsoft.com/office/drawing/2014/main" pred="{9224ED04-4EB9-4A3A-B429-3FD5CEE7D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BDF1B-942E-45BB-B3D9-6A27B47E19AF}"/>
            </a:ext>
            <a:ext uri="{147F2762-F138-4A5C-976F-8EAC2B608ADB}">
              <a16:predDERef xmlns:a16="http://schemas.microsoft.com/office/drawing/2014/main" pred="{0C128BE9-1A52-4D57-9595-45A8341A4E0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736ECD4-59AA-4197-96E4-4B4C71CE955B}"/>
            </a:ext>
            <a:ext uri="{147F2762-F138-4A5C-976F-8EAC2B608ADB}">
              <a16:predDERef xmlns:a16="http://schemas.microsoft.com/office/drawing/2014/main" pred="{D8FBDF1B-942E-45BB-B3D9-6A27B47E19A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80B5EC7-6BCE-4DBD-94CF-C8A787004F08}"/>
            </a:ext>
            <a:ext uri="{147F2762-F138-4A5C-976F-8EAC2B608ADB}">
              <a16:predDERef xmlns:a16="http://schemas.microsoft.com/office/drawing/2014/main" pred="{B736ECD4-59AA-4197-96E4-4B4C71CE955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3336AC9-97F5-46DB-A9BA-A19C708D318A}"/>
            </a:ext>
            <a:ext uri="{147F2762-F138-4A5C-976F-8EAC2B608ADB}">
              <a16:predDERef xmlns:a16="http://schemas.microsoft.com/office/drawing/2014/main" pred="{980B5EC7-6BCE-4DBD-94CF-C8A787004F0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0279EFE2-EA0D-4622-BBC9-D4A1A31E5292}"/>
            </a:ext>
            <a:ext uri="{147F2762-F138-4A5C-976F-8EAC2B608ADB}">
              <a16:predDERef xmlns:a16="http://schemas.microsoft.com/office/drawing/2014/main" pred="{83336AC9-97F5-46DB-A9BA-A19C708D318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3FAA641-0B59-48B1-BB14-1161DD80E206}"/>
            </a:ext>
            <a:ext uri="{147F2762-F138-4A5C-976F-8EAC2B608ADB}">
              <a16:predDERef xmlns:a16="http://schemas.microsoft.com/office/drawing/2014/main" pred="{0279EFE2-EA0D-4622-BBC9-D4A1A31E529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8AA0907-617F-45A0-B2DB-ACA2F21DB9EC}"/>
            </a:ext>
            <a:ext uri="{147F2762-F138-4A5C-976F-8EAC2B608ADB}">
              <a16:predDERef xmlns:a16="http://schemas.microsoft.com/office/drawing/2014/main" pred="{83FAA641-0B59-48B1-BB14-1161DD80E20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48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9717344-00A0-46D7-9581-AAA69FD0A90F}"/>
            </a:ext>
            <a:ext uri="{147F2762-F138-4A5C-976F-8EAC2B608ADB}">
              <a16:predDERef xmlns:a16="http://schemas.microsoft.com/office/drawing/2014/main" pred="{68AA0907-617F-45A0-B2DB-ACA2F21DB9EC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45248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8D0B485-C90E-45E1-AAE1-1EBCAF94F642}"/>
            </a:ext>
            <a:ext uri="{147F2762-F138-4A5C-976F-8EAC2B608ADB}">
              <a16:predDERef xmlns:a16="http://schemas.microsoft.com/office/drawing/2014/main" pred="{B9717344-00A0-46D7-9581-AAA69FD0A90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5083C65-D035-4FBE-83FC-84EA3EA845FF}"/>
            </a:ext>
            <a:ext uri="{147F2762-F138-4A5C-976F-8EAC2B608ADB}">
              <a16:predDERef xmlns:a16="http://schemas.microsoft.com/office/drawing/2014/main" pred="{E8D0B485-C90E-45E1-AAE1-1EBCAF94F64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C1DED03-3916-4132-B2DD-9885C495AFE2}"/>
            </a:ext>
            <a:ext uri="{147F2762-F138-4A5C-976F-8EAC2B608ADB}">
              <a16:predDERef xmlns:a16="http://schemas.microsoft.com/office/drawing/2014/main" pred="{D5083C65-D035-4FBE-83FC-84EA3EA845F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D6A329E0-9CA5-445F-942A-B98B9BE66EE5}"/>
            </a:ext>
            <a:ext uri="{147F2762-F138-4A5C-976F-8EAC2B608ADB}">
              <a16:predDERef xmlns:a16="http://schemas.microsoft.com/office/drawing/2014/main" pred="{7C1DED03-3916-4132-B2DD-9885C495AFE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BA65EF1E-139E-4F3E-B293-E75A9D61432C}"/>
            </a:ext>
            <a:ext uri="{147F2762-F138-4A5C-976F-8EAC2B608ADB}">
              <a16:predDERef xmlns:a16="http://schemas.microsoft.com/office/drawing/2014/main" pred="{D6A329E0-9CA5-445F-942A-B98B9BE66EE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B21C271-3EA4-4801-A40E-A5159A19B2E9}"/>
            </a:ext>
            <a:ext uri="{147F2762-F138-4A5C-976F-8EAC2B608ADB}">
              <a16:predDERef xmlns:a16="http://schemas.microsoft.com/office/drawing/2014/main" pred="{BA65EF1E-139E-4F3E-B293-E75A9D61432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17A8BEDA-0243-4C6E-8B93-F2D8B46060A0}"/>
            </a:ext>
            <a:ext uri="{147F2762-F138-4A5C-976F-8EAC2B608ADB}">
              <a16:predDERef xmlns:a16="http://schemas.microsoft.com/office/drawing/2014/main" pred="{BB21C271-3EA4-4801-A40E-A5159A19B2E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B624D324-571F-423F-A59C-34794B521DAD}"/>
            </a:ext>
            <a:ext uri="{147F2762-F138-4A5C-976F-8EAC2B608ADB}">
              <a16:predDERef xmlns:a16="http://schemas.microsoft.com/office/drawing/2014/main" pred="{17A8BEDA-0243-4C6E-8B93-F2D8B46060A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CEBC9B7-FFAB-4206-8C41-D96461BDBFE6}"/>
            </a:ext>
            <a:ext uri="{147F2762-F138-4A5C-976F-8EAC2B608ADB}">
              <a16:predDERef xmlns:a16="http://schemas.microsoft.com/office/drawing/2014/main" pred="{B624D324-571F-423F-A59C-34794B521DA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8BD9BEA5-63DF-4BFB-84FE-5DFE23897865}"/>
            </a:ext>
            <a:ext uri="{147F2762-F138-4A5C-976F-8EAC2B608ADB}">
              <a16:predDERef xmlns:a16="http://schemas.microsoft.com/office/drawing/2014/main" pred="{ECEBC9B7-FFAB-4206-8C41-D96461BDBFE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E4C2988-2A55-4671-B885-CA3AB63B4C6C}"/>
            </a:ext>
            <a:ext uri="{147F2762-F138-4A5C-976F-8EAC2B608ADB}">
              <a16:predDERef xmlns:a16="http://schemas.microsoft.com/office/drawing/2014/main" pred="{8BD9BEA5-63DF-4BFB-84FE-5DFE2389786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EB4C6C0D-6F04-42C4-8963-8CE2C780E6A1}"/>
            </a:ext>
            <a:ext uri="{147F2762-F138-4A5C-976F-8EAC2B608ADB}">
              <a16:predDERef xmlns:a16="http://schemas.microsoft.com/office/drawing/2014/main" pred="{DE4C2988-2A55-4671-B885-CA3AB63B4C6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635E454-3951-4EE6-973C-F4246187F967}"/>
            </a:ext>
            <a:ext uri="{147F2762-F138-4A5C-976F-8EAC2B608ADB}">
              <a16:predDERef xmlns:a16="http://schemas.microsoft.com/office/drawing/2014/main" pred="{EB4C6C0D-6F04-42C4-8963-8CE2C780E6A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22D0DAD0-9411-4BF5-9B4B-B7A47E09CF0A}"/>
            </a:ext>
            <a:ext uri="{147F2762-F138-4A5C-976F-8EAC2B608ADB}">
              <a16:predDERef xmlns:a16="http://schemas.microsoft.com/office/drawing/2014/main" pred="{0635E454-3951-4EE6-973C-F4246187F96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B59F6FD-BCE8-44E1-9230-CA5C51F2F37E}"/>
            </a:ext>
            <a:ext uri="{147F2762-F138-4A5C-976F-8EAC2B608ADB}">
              <a16:predDERef xmlns:a16="http://schemas.microsoft.com/office/drawing/2014/main" pred="{22D0DAD0-9411-4BF5-9B4B-B7A47E09CF0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560B7499-5112-433F-98CE-C4528F065D93}"/>
            </a:ext>
            <a:ext uri="{147F2762-F138-4A5C-976F-8EAC2B608ADB}">
              <a16:predDERef xmlns:a16="http://schemas.microsoft.com/office/drawing/2014/main" pred="{2B59F6FD-BCE8-44E1-9230-CA5C51F2F37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19A18B4-E94C-46DD-AADD-CAD07E93D802}"/>
            </a:ext>
            <a:ext uri="{147F2762-F138-4A5C-976F-8EAC2B608ADB}">
              <a16:predDERef xmlns:a16="http://schemas.microsoft.com/office/drawing/2014/main" pred="{560B7499-5112-433F-98CE-C4528F065D9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DE9846CC-805C-4F04-803D-DB6667A06575}"/>
            </a:ext>
            <a:ext uri="{147F2762-F138-4A5C-976F-8EAC2B608ADB}">
              <a16:predDERef xmlns:a16="http://schemas.microsoft.com/office/drawing/2014/main" pred="{019A18B4-E94C-46DD-AADD-CAD07E93D80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3F573F59-588A-4F5B-BF75-68F64B98B55E}"/>
            </a:ext>
            <a:ext uri="{147F2762-F138-4A5C-976F-8EAC2B608ADB}">
              <a16:predDERef xmlns:a16="http://schemas.microsoft.com/office/drawing/2014/main" pred="{DE9846CC-805C-4F04-803D-DB6667A0657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12854C4-2847-458A-8D66-6CF0B2D2D2DC}"/>
            </a:ext>
            <a:ext uri="{147F2762-F138-4A5C-976F-8EAC2B608ADB}">
              <a16:predDERef xmlns:a16="http://schemas.microsoft.com/office/drawing/2014/main" pred="{3F573F59-588A-4F5B-BF75-68F64B98B55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4694243D-4052-4A51-8A4E-CB44FE597C88}"/>
            </a:ext>
            <a:ext uri="{147F2762-F138-4A5C-976F-8EAC2B608ADB}">
              <a16:predDERef xmlns:a16="http://schemas.microsoft.com/office/drawing/2014/main" pred="{412854C4-2847-458A-8D66-6CF0B2D2D2D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C7BFA92-813E-4F6A-A64C-DCF3976CE7EE}"/>
            </a:ext>
            <a:ext uri="{147F2762-F138-4A5C-976F-8EAC2B608ADB}">
              <a16:predDERef xmlns:a16="http://schemas.microsoft.com/office/drawing/2014/main" pred="{4694243D-4052-4A51-8A4E-CB44FE597C8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5CB44997-F5B6-4706-BE97-7F510BB94017}"/>
            </a:ext>
            <a:ext uri="{147F2762-F138-4A5C-976F-8EAC2B608ADB}">
              <a16:predDERef xmlns:a16="http://schemas.microsoft.com/office/drawing/2014/main" pred="{AC7BFA92-813E-4F6A-A64C-DCF3976CE7E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D4DA7665-16F6-4B29-8AFB-6780DAFEC4D2}"/>
            </a:ext>
            <a:ext uri="{147F2762-F138-4A5C-976F-8EAC2B608ADB}">
              <a16:predDERef xmlns:a16="http://schemas.microsoft.com/office/drawing/2014/main" pred="{5CB44997-F5B6-4706-BE97-7F510BB9401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82B7ADC6-7D29-4924-824A-5B609EE9D6B2}"/>
            </a:ext>
            <a:ext uri="{147F2762-F138-4A5C-976F-8EAC2B608ADB}">
              <a16:predDERef xmlns:a16="http://schemas.microsoft.com/office/drawing/2014/main" pred="{D4DA7665-16F6-4B29-8AFB-6780DAFEC4D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CA95D72F-21C1-44FE-882B-FCD76CCC4F06}"/>
            </a:ext>
            <a:ext uri="{147F2762-F138-4A5C-976F-8EAC2B608ADB}">
              <a16:predDERef xmlns:a16="http://schemas.microsoft.com/office/drawing/2014/main" pred="{82B7ADC6-7D29-4924-824A-5B609EE9D6B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5F1EFD9-B3E2-4886-A32A-192608C5E829}"/>
            </a:ext>
            <a:ext uri="{147F2762-F138-4A5C-976F-8EAC2B608ADB}">
              <a16:predDERef xmlns:a16="http://schemas.microsoft.com/office/drawing/2014/main" pred="{CA95D72F-21C1-44FE-882B-FCD76CCC4F0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DBC86FE-B040-4DC4-B0BC-1B0DF8AA0B8B}"/>
            </a:ext>
            <a:ext uri="{147F2762-F138-4A5C-976F-8EAC2B608ADB}">
              <a16:predDERef xmlns:a16="http://schemas.microsoft.com/office/drawing/2014/main" pred="{25F1EFD9-B3E2-4886-A32A-192608C5E82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B9804E3-8854-446F-9166-8EA997BF5E04}"/>
            </a:ext>
            <a:ext uri="{147F2762-F138-4A5C-976F-8EAC2B608ADB}">
              <a16:predDERef xmlns:a16="http://schemas.microsoft.com/office/drawing/2014/main" pred="{BDBC86FE-B040-4DC4-B0BC-1B0DF8AA0B8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7A0C212-D1A7-4312-A34B-8AA6E2DE5F7B}"/>
            </a:ext>
            <a:ext uri="{147F2762-F138-4A5C-976F-8EAC2B608ADB}">
              <a16:predDERef xmlns:a16="http://schemas.microsoft.com/office/drawing/2014/main" pred="{3B9804E3-8854-446F-9166-8EA997BF5E0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3D9F9E6-7E22-4F56-8FDF-84A61CDE5459}"/>
            </a:ext>
            <a:ext uri="{147F2762-F138-4A5C-976F-8EAC2B608ADB}">
              <a16:predDERef xmlns:a16="http://schemas.microsoft.com/office/drawing/2014/main" pred="{17A0C212-D1A7-4312-A34B-8AA6E2DE5F7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8989C220-FB5F-48C9-B3D1-09AF17F78703}"/>
            </a:ext>
            <a:ext uri="{147F2762-F138-4A5C-976F-8EAC2B608ADB}">
              <a16:predDERef xmlns:a16="http://schemas.microsoft.com/office/drawing/2014/main" pred="{B3D9F9E6-7E22-4F56-8FDF-84A61CDE545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E94BB04-D9AE-45B2-8A98-99AAD3913C7B}"/>
            </a:ext>
            <a:ext uri="{147F2762-F138-4A5C-976F-8EAC2B608ADB}">
              <a16:predDERef xmlns:a16="http://schemas.microsoft.com/office/drawing/2014/main" pred="{8989C220-FB5F-48C9-B3D1-09AF17F7870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C85A188-5659-40EC-B8D9-445400CAD3CA}"/>
            </a:ext>
            <a:ext uri="{147F2762-F138-4A5C-976F-8EAC2B608ADB}">
              <a16:predDERef xmlns:a16="http://schemas.microsoft.com/office/drawing/2014/main" pred="{9E94BB04-D9AE-45B2-8A98-99AAD3913C7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49</xdr:row>
      <xdr:rowOff>22860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7F9072-7FB6-48AB-B6B9-0C1A12002707}"/>
            </a:ext>
            <a:ext uri="{147F2762-F138-4A5C-976F-8EAC2B608ADB}">
              <a16:predDERef xmlns:a16="http://schemas.microsoft.com/office/drawing/2014/main" pred="{8C85A188-5659-40EC-B8D9-445400CAD3CA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61441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7343623A-157D-4950-B465-60B4BC317638}"/>
            </a:ext>
            <a:ext uri="{147F2762-F138-4A5C-976F-8EAC2B608ADB}">
              <a16:predDERef xmlns:a16="http://schemas.microsoft.com/office/drawing/2014/main" pred="{FB7F9072-7FB6-48AB-B6B9-0C1A1200270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A07DF098-DEDE-4015-8615-D570B4243AA4}"/>
            </a:ext>
            <a:ext uri="{147F2762-F138-4A5C-976F-8EAC2B608ADB}">
              <a16:predDERef xmlns:a16="http://schemas.microsoft.com/office/drawing/2014/main" pred="{7343623A-157D-4950-B465-60B4BC31763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D0656A4A-EAA8-461A-B0D0-12DB5D7D05B5}"/>
            </a:ext>
            <a:ext uri="{147F2762-F138-4A5C-976F-8EAC2B608ADB}">
              <a16:predDERef xmlns:a16="http://schemas.microsoft.com/office/drawing/2014/main" pred="{A07DF098-DEDE-4015-8615-D570B4243AA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ADF2A54-72D5-4C6B-A2E7-4223787DBCA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8B961B6-83B2-443A-B8F5-0FC5C27F4A95}"/>
            </a:ext>
            <a:ext uri="{147F2762-F138-4A5C-976F-8EAC2B608ADB}">
              <a16:predDERef xmlns:a16="http://schemas.microsoft.com/office/drawing/2014/main" pred="{EADF2A54-72D5-4C6B-A2E7-4223787DBCA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B268F80-E21F-4372-AE3A-6B0C1D46735F}"/>
            </a:ext>
            <a:ext uri="{147F2762-F138-4A5C-976F-8EAC2B608ADB}">
              <a16:predDERef xmlns:a16="http://schemas.microsoft.com/office/drawing/2014/main" pred="{98B961B6-83B2-443A-B8F5-0FC5C27F4A9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3F61639-2068-4B75-87A0-9AA335DD3FCC}"/>
            </a:ext>
            <a:ext uri="{147F2762-F138-4A5C-976F-8EAC2B608ADB}">
              <a16:predDERef xmlns:a16="http://schemas.microsoft.com/office/drawing/2014/main" pred="{6B268F80-E21F-4372-AE3A-6B0C1D467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B1B3773-6CBF-404C-924D-9ECC897305C1}"/>
            </a:ext>
            <a:ext uri="{147F2762-F138-4A5C-976F-8EAC2B608ADB}">
              <a16:predDERef xmlns:a16="http://schemas.microsoft.com/office/drawing/2014/main" pred="{33F61639-2068-4B75-87A0-9AA335DD3FC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6414583-0543-4EDD-B7B8-659B6586257F}"/>
            </a:ext>
            <a:ext uri="{147F2762-F138-4A5C-976F-8EAC2B608ADB}">
              <a16:predDERef xmlns:a16="http://schemas.microsoft.com/office/drawing/2014/main" pred="{2B1B3773-6CBF-404C-924D-9ECC897305C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89A8443-D9B1-47BB-89E8-986CB0F56579}"/>
            </a:ext>
            <a:ext uri="{147F2762-F138-4A5C-976F-8EAC2B608ADB}">
              <a16:predDERef xmlns:a16="http://schemas.microsoft.com/office/drawing/2014/main" pred="{16414583-0543-4EDD-B7B8-659B6586257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C4BE13D-D4E3-4DF8-AEC8-24DFDD7E6E03}"/>
            </a:ext>
            <a:ext uri="{147F2762-F138-4A5C-976F-8EAC2B608ADB}">
              <a16:predDERef xmlns:a16="http://schemas.microsoft.com/office/drawing/2014/main" pred="{389A8443-D9B1-47BB-89E8-986CB0F5657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CECB1DA-736A-4CE4-8F16-6197BDC81222}"/>
            </a:ext>
            <a:ext uri="{147F2762-F138-4A5C-976F-8EAC2B608ADB}">
              <a16:predDERef xmlns:a16="http://schemas.microsoft.com/office/drawing/2014/main" pred="{3C4BE13D-D4E3-4DF8-AEC8-24DFDD7E6E0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3A33A62-5F9F-45D1-8CD2-223F7565385B}"/>
            </a:ext>
            <a:ext uri="{147F2762-F138-4A5C-976F-8EAC2B608ADB}">
              <a16:predDERef xmlns:a16="http://schemas.microsoft.com/office/drawing/2014/main" pred="{3CECB1DA-736A-4CE4-8F16-6197BDC8122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9FF3B53-8AC7-4F45-83CE-5129BCFA87A5}"/>
            </a:ext>
            <a:ext uri="{147F2762-F138-4A5C-976F-8EAC2B608ADB}">
              <a16:predDERef xmlns:a16="http://schemas.microsoft.com/office/drawing/2014/main" pred="{03A33A62-5F9F-45D1-8CD2-223F7565385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46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B1449811-893E-4238-AA75-558DC150D8B7}"/>
            </a:ext>
            <a:ext uri="{147F2762-F138-4A5C-976F-8EAC2B608ADB}">
              <a16:predDERef xmlns:a16="http://schemas.microsoft.com/office/drawing/2014/main" pred="{89FF3B53-8AC7-4F45-83CE-5129BCFA87A5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45248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69DC16A5-9A64-4FC4-ABDF-848C8279DB29}"/>
            </a:ext>
            <a:ext uri="{147F2762-F138-4A5C-976F-8EAC2B608ADB}">
              <a16:predDERef xmlns:a16="http://schemas.microsoft.com/office/drawing/2014/main" pred="{B1449811-893E-4238-AA75-558DC150D8B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7956D065-738C-43D3-92F9-9212BE0D8416}"/>
            </a:ext>
            <a:ext uri="{147F2762-F138-4A5C-976F-8EAC2B608ADB}">
              <a16:predDERef xmlns:a16="http://schemas.microsoft.com/office/drawing/2014/main" pred="{69DC16A5-9A64-4FC4-ABDF-848C8279DB2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1FA7105-238E-43B7-BCD4-3894A8CA9B43}"/>
            </a:ext>
            <a:ext uri="{147F2762-F138-4A5C-976F-8EAC2B608ADB}">
              <a16:predDERef xmlns:a16="http://schemas.microsoft.com/office/drawing/2014/main" pred="{7956D065-738C-43D3-92F9-9212BE0D841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D78323B-D0E4-4695-A4A1-0B5414D08617}"/>
            </a:ext>
            <a:ext uri="{147F2762-F138-4A5C-976F-8EAC2B608ADB}">
              <a16:predDERef xmlns:a16="http://schemas.microsoft.com/office/drawing/2014/main" pred="{C1FA7105-238E-43B7-BCD4-3894A8CA9B4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EAD5B08-C631-41F3-B095-5BA85184BF1A}"/>
            </a:ext>
            <a:ext uri="{147F2762-F138-4A5C-976F-8EAC2B608ADB}">
              <a16:predDERef xmlns:a16="http://schemas.microsoft.com/office/drawing/2014/main" pred="{3D78323B-D0E4-4695-A4A1-0B5414D0861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C508C064-3147-4EE2-A60B-CA9C2E2AB628}"/>
            </a:ext>
            <a:ext uri="{147F2762-F138-4A5C-976F-8EAC2B608ADB}">
              <a16:predDERef xmlns:a16="http://schemas.microsoft.com/office/drawing/2014/main" pred="{AEAD5B08-C631-41F3-B095-5BA85184BF1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F944B87A-5D89-421D-81FC-EB315D0D8DEF}"/>
            </a:ext>
            <a:ext uri="{147F2762-F138-4A5C-976F-8EAC2B608ADB}">
              <a16:predDERef xmlns:a16="http://schemas.microsoft.com/office/drawing/2014/main" pred="{C508C064-3147-4EE2-A60B-CA9C2E2AB62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C1C3CC05-CEA1-4CB2-BC50-30E3882E4266}"/>
            </a:ext>
            <a:ext uri="{147F2762-F138-4A5C-976F-8EAC2B608ADB}">
              <a16:predDERef xmlns:a16="http://schemas.microsoft.com/office/drawing/2014/main" pred="{F944B87A-5D89-421D-81FC-EB315D0D8DE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791E80E2-1CB2-45E8-8273-D5D872E1358D}"/>
            </a:ext>
            <a:ext uri="{147F2762-F138-4A5C-976F-8EAC2B608ADB}">
              <a16:predDERef xmlns:a16="http://schemas.microsoft.com/office/drawing/2014/main" pred="{C1C3CC05-CEA1-4CB2-BC50-30E3882E426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F15368C7-071A-4EA3-B876-284EAE5BAEA1}"/>
            </a:ext>
            <a:ext uri="{147F2762-F138-4A5C-976F-8EAC2B608ADB}">
              <a16:predDERef xmlns:a16="http://schemas.microsoft.com/office/drawing/2014/main" pred="{791E80E2-1CB2-45E8-8273-D5D872E1358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4C947882-60AD-46DF-AA20-0D0EEC8D9661}"/>
            </a:ext>
            <a:ext uri="{147F2762-F138-4A5C-976F-8EAC2B608ADB}">
              <a16:predDERef xmlns:a16="http://schemas.microsoft.com/office/drawing/2014/main" pred="{F15368C7-071A-4EA3-B876-284EAE5BAEA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FEBB41FB-F148-4063-BACF-6A83E815BC68}"/>
            </a:ext>
            <a:ext uri="{147F2762-F138-4A5C-976F-8EAC2B608ADB}">
              <a16:predDERef xmlns:a16="http://schemas.microsoft.com/office/drawing/2014/main" pred="{4C947882-60AD-46DF-AA20-0D0EEC8D966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50155E6-762F-4A1D-9F92-847CC2F8FAE7}"/>
            </a:ext>
            <a:ext uri="{147F2762-F138-4A5C-976F-8EAC2B608ADB}">
              <a16:predDERef xmlns:a16="http://schemas.microsoft.com/office/drawing/2014/main" pred="{FEBB41FB-F148-4063-BACF-6A83E815BC6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A85DE219-3188-4CB0-83D1-661F32D27D7E}"/>
            </a:ext>
            <a:ext uri="{147F2762-F138-4A5C-976F-8EAC2B608ADB}">
              <a16:predDERef xmlns:a16="http://schemas.microsoft.com/office/drawing/2014/main" pred="{E50155E6-762F-4A1D-9F92-847CC2F8FAE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0A807EB-DEC5-4240-B5B1-CE7C96E411EC}"/>
            </a:ext>
            <a:ext uri="{147F2762-F138-4A5C-976F-8EAC2B608ADB}">
              <a16:predDERef xmlns:a16="http://schemas.microsoft.com/office/drawing/2014/main" pred="{A85DE219-3188-4CB0-83D1-661F32D27D7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1C9AF009-6FDF-4821-B431-431C6D18AA30}"/>
            </a:ext>
            <a:ext uri="{147F2762-F138-4A5C-976F-8EAC2B608ADB}">
              <a16:predDERef xmlns:a16="http://schemas.microsoft.com/office/drawing/2014/main" pred="{20A807EB-DEC5-4240-B5B1-CE7C96E411E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8DC2DDA-DE39-4C3B-959C-69469920DF0E}"/>
            </a:ext>
            <a:ext uri="{147F2762-F138-4A5C-976F-8EAC2B608ADB}">
              <a16:predDERef xmlns:a16="http://schemas.microsoft.com/office/drawing/2014/main" pred="{1C9AF009-6FDF-4821-B431-431C6D18AA3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41FBD173-58B9-4F52-839C-9C4722693978}"/>
            </a:ext>
            <a:ext uri="{147F2762-F138-4A5C-976F-8EAC2B608ADB}">
              <a16:predDERef xmlns:a16="http://schemas.microsoft.com/office/drawing/2014/main" pred="{F8DC2DDA-DE39-4C3B-959C-69469920DF0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8E930CB-2AFD-4A68-A96D-DAA4319C9772}"/>
            </a:ext>
            <a:ext uri="{147F2762-F138-4A5C-976F-8EAC2B608ADB}">
              <a16:predDERef xmlns:a16="http://schemas.microsoft.com/office/drawing/2014/main" pred="{41FBD173-58B9-4F52-839C-9C472269397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D41E9822-B4D8-48E6-B81C-8A7C1560870C}"/>
            </a:ext>
            <a:ext uri="{147F2762-F138-4A5C-976F-8EAC2B608ADB}">
              <a16:predDERef xmlns:a16="http://schemas.microsoft.com/office/drawing/2014/main" pred="{68E930CB-2AFD-4A68-A96D-DAA4319C977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2F4F7BB5-6F9C-41F4-A7DC-2686C873FEAE}"/>
            </a:ext>
            <a:ext uri="{147F2762-F138-4A5C-976F-8EAC2B608ADB}">
              <a16:predDERef xmlns:a16="http://schemas.microsoft.com/office/drawing/2014/main" pred="{D41E9822-B4D8-48E6-B81C-8A7C1560870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D20A43E5-B068-4336-8C00-249FE3337B6D}"/>
            </a:ext>
            <a:ext uri="{147F2762-F138-4A5C-976F-8EAC2B608ADB}">
              <a16:predDERef xmlns:a16="http://schemas.microsoft.com/office/drawing/2014/main" pred="{2F4F7BB5-6F9C-41F4-A7DC-2686C873FEA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E2B7CDC6-C242-4BE4-A486-703D8FAC7075}"/>
            </a:ext>
            <a:ext uri="{147F2762-F138-4A5C-976F-8EAC2B608ADB}">
              <a16:predDERef xmlns:a16="http://schemas.microsoft.com/office/drawing/2014/main" pred="{D20A43E5-B068-4336-8C00-249FE3337B6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567343CC-4971-4C20-B6B3-E5808D4A2894}"/>
            </a:ext>
            <a:ext uri="{147F2762-F138-4A5C-976F-8EAC2B608ADB}">
              <a16:predDERef xmlns:a16="http://schemas.microsoft.com/office/drawing/2014/main" pred="{E2B7CDC6-C242-4BE4-A486-703D8FAC707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D8D400D0-C1A6-4E75-8333-10E4C74BFEA0}"/>
            </a:ext>
            <a:ext uri="{147F2762-F138-4A5C-976F-8EAC2B608ADB}">
              <a16:predDERef xmlns:a16="http://schemas.microsoft.com/office/drawing/2014/main" pred="{567343CC-4971-4C20-B6B3-E5808D4A289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122E2769-62BD-4A17-A6EC-D24784906E62}"/>
            </a:ext>
            <a:ext uri="{147F2762-F138-4A5C-976F-8EAC2B608ADB}">
              <a16:predDERef xmlns:a16="http://schemas.microsoft.com/office/drawing/2014/main" pred="{D8D400D0-C1A6-4E75-8333-10E4C74BFEA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9B89380-72C7-442D-A851-CEDAAAC3672B}"/>
            </a:ext>
            <a:ext uri="{147F2762-F138-4A5C-976F-8EAC2B608ADB}">
              <a16:predDERef xmlns:a16="http://schemas.microsoft.com/office/drawing/2014/main" pred="{122E2769-62BD-4A17-A6EC-D24784906E6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C1AE252F-C958-4B7A-B21D-BD776192A827}"/>
            </a:ext>
            <a:ext uri="{147F2762-F138-4A5C-976F-8EAC2B608ADB}">
              <a16:predDERef xmlns:a16="http://schemas.microsoft.com/office/drawing/2014/main" pred="{09B89380-72C7-442D-A851-CEDAAAC3672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D87F9B7B-255F-4DA8-B147-212B8E264FC3}"/>
            </a:ext>
            <a:ext uri="{147F2762-F138-4A5C-976F-8EAC2B608ADB}">
              <a16:predDERef xmlns:a16="http://schemas.microsoft.com/office/drawing/2014/main" pred="{C1AE252F-C958-4B7A-B21D-BD776192A82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F8F22187-5F31-4B47-9198-22E4FE3CD25D}"/>
            </a:ext>
            <a:ext uri="{147F2762-F138-4A5C-976F-8EAC2B608ADB}">
              <a16:predDERef xmlns:a16="http://schemas.microsoft.com/office/drawing/2014/main" pred="{D87F9B7B-255F-4DA8-B147-212B8E264FC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582FE7BC-CFC4-4351-A058-77FD8AEDE48D}"/>
            </a:ext>
            <a:ext uri="{147F2762-F138-4A5C-976F-8EAC2B608ADB}">
              <a16:predDERef xmlns:a16="http://schemas.microsoft.com/office/drawing/2014/main" pred="{F8F22187-5F31-4B47-9198-22E4FE3CD25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B5E947C-B0ED-4DB2-A4D3-65EF7A4CC8A2}"/>
            </a:ext>
            <a:ext uri="{147F2762-F138-4A5C-976F-8EAC2B608ADB}">
              <a16:predDERef xmlns:a16="http://schemas.microsoft.com/office/drawing/2014/main" pred="{582FE7BC-CFC4-4351-A058-77FD8AEDE48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15D19B57-78CF-4B36-A609-D7EC6345B57A}"/>
            </a:ext>
            <a:ext uri="{147F2762-F138-4A5C-976F-8EAC2B608ADB}">
              <a16:predDERef xmlns:a16="http://schemas.microsoft.com/office/drawing/2014/main" pred="{DB5E947C-B0ED-4DB2-A4D3-65EF7A4CC8A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911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1729B874-7DAD-4C44-A7C0-3FF16EFDE096}"/>
            </a:ext>
            <a:ext uri="{147F2762-F138-4A5C-976F-8EAC2B608ADB}">
              <a16:predDERef xmlns:a16="http://schemas.microsoft.com/office/drawing/2014/main" pred="{15D19B57-78CF-4B36-A609-D7EC6345B57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44</xdr:row>
      <xdr:rowOff>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CEDE5631-B75B-4772-8B44-260D5A86696B}"/>
            </a:ext>
            <a:ext uri="{147F2762-F138-4A5C-976F-8EAC2B608ADB}">
              <a16:predDERef xmlns:a16="http://schemas.microsoft.com/office/drawing/2014/main" pred="{1729B874-7DAD-4C44-A7C0-3FF16EFDE096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61441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08AA4A3-FFBF-45F7-91D7-45A4B24C752B}"/>
            </a:ext>
            <a:ext uri="{147F2762-F138-4A5C-976F-8EAC2B608ADB}">
              <a16:predDERef xmlns:a16="http://schemas.microsoft.com/office/drawing/2014/main" pred="{CEDE5631-B75B-4772-8B44-260D5A86696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31DD62B-AF93-40BB-81D2-721628AF203D}"/>
            </a:ext>
            <a:ext uri="{147F2762-F138-4A5C-976F-8EAC2B608ADB}">
              <a16:predDERef xmlns:a16="http://schemas.microsoft.com/office/drawing/2014/main" pred="{C08AA4A3-FFBF-45F7-91D7-45A4B24C752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5F2E25BA-8AAD-4DAA-9DC9-180D068FFBC8}"/>
            </a:ext>
            <a:ext uri="{147F2762-F138-4A5C-976F-8EAC2B608ADB}">
              <a16:predDERef xmlns:a16="http://schemas.microsoft.com/office/drawing/2014/main" pred="{B31DD62B-AF93-40BB-81D2-721628AF203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DA8C02D1-4809-4664-9AEF-CF9C7355D670}"/>
            </a:ext>
            <a:ext uri="{147F2762-F138-4A5C-976F-8EAC2B608ADB}">
              <a16:predDERef xmlns:a16="http://schemas.microsoft.com/office/drawing/2014/main" pred="{5F2E25BA-8AAD-4DAA-9DC9-180D068FFBC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346975CC-ED10-411F-B87B-EB0594A20351}"/>
            </a:ext>
            <a:ext uri="{147F2762-F138-4A5C-976F-8EAC2B608ADB}">
              <a16:predDERef xmlns:a16="http://schemas.microsoft.com/office/drawing/2014/main" pred="{DA8C02D1-4809-4664-9AEF-CF9C7355D67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26698D9-9DB0-4545-8644-53506A66FDBA}"/>
            </a:ext>
            <a:ext uri="{147F2762-F138-4A5C-976F-8EAC2B608ADB}">
              <a16:predDERef xmlns:a16="http://schemas.microsoft.com/office/drawing/2014/main" pred="{346975CC-ED10-411F-B87B-EB0594A2035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7531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DF5B0FF-4768-4F4E-8435-A8451F698A4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DB86BC9-06A8-4A18-AFE8-F0F99BE1641F}"/>
            </a:ext>
            <a:ext uri="{147F2762-F138-4A5C-976F-8EAC2B608ADB}">
              <a16:predDERef xmlns:a16="http://schemas.microsoft.com/office/drawing/2014/main" pred="{EDF5B0FF-4768-4F4E-8435-A8451F698A4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A9780311-4804-4AA7-82CE-14298300D99F}"/>
            </a:ext>
            <a:ext uri="{147F2762-F138-4A5C-976F-8EAC2B608ADB}">
              <a16:predDERef xmlns:a16="http://schemas.microsoft.com/office/drawing/2014/main" pred="{3DB86BC9-06A8-4A18-AFE8-F0F99BE1641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B48EFF-2B5B-4313-BD38-D9BDDCEBDBD4}"/>
            </a:ext>
            <a:ext uri="{147F2762-F138-4A5C-976F-8EAC2B608ADB}">
              <a16:predDERef xmlns:a16="http://schemas.microsoft.com/office/drawing/2014/main" pred="{A9780311-4804-4AA7-82CE-14298300D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75DB327-5BE8-492D-93F3-C23A5ED5D178}"/>
            </a:ext>
            <a:ext uri="{147F2762-F138-4A5C-976F-8EAC2B608ADB}">
              <a16:predDERef xmlns:a16="http://schemas.microsoft.com/office/drawing/2014/main" pred="{CFB48EFF-2B5B-4313-BD38-D9BDDCEBDBD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3350E46-488B-4E8E-AAA9-2B745ACBB63D}"/>
            </a:ext>
            <a:ext uri="{147F2762-F138-4A5C-976F-8EAC2B608ADB}">
              <a16:predDERef xmlns:a16="http://schemas.microsoft.com/office/drawing/2014/main" pred="{475DB327-5BE8-492D-93F3-C23A5ED5D17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BBF3160-2EA5-4D36-85C9-CA72BDCBEC20}"/>
            </a:ext>
            <a:ext uri="{147F2762-F138-4A5C-976F-8EAC2B608ADB}">
              <a16:predDERef xmlns:a16="http://schemas.microsoft.com/office/drawing/2014/main" pred="{F3350E46-488B-4E8E-AAA9-2B745ACBB63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4499FB4-CA97-46A5-94E1-0084792C84BF}"/>
            </a:ext>
            <a:ext uri="{147F2762-F138-4A5C-976F-8EAC2B608ADB}">
              <a16:predDERef xmlns:a16="http://schemas.microsoft.com/office/drawing/2014/main" pred="{2BBF3160-2EA5-4D36-85C9-CA72BDCBEC2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5DF76BB-360D-40F4-9884-4361BBB6ABD6}"/>
            </a:ext>
            <a:ext uri="{147F2762-F138-4A5C-976F-8EAC2B608ADB}">
              <a16:predDERef xmlns:a16="http://schemas.microsoft.com/office/drawing/2014/main" pred="{84499FB4-CA97-46A5-94E1-0084792C84B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44EBE3D-0DD5-4992-B6DE-0476AF31C0EF}"/>
            </a:ext>
            <a:ext uri="{147F2762-F138-4A5C-976F-8EAC2B608ADB}">
              <a16:predDERef xmlns:a16="http://schemas.microsoft.com/office/drawing/2014/main" pred="{25DF76BB-360D-40F4-9884-4361BBB6ABD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4912F28-76B0-4A23-8F82-6F2C2D67BF2F}"/>
            </a:ext>
            <a:ext uri="{147F2762-F138-4A5C-976F-8EAC2B608ADB}">
              <a16:predDERef xmlns:a16="http://schemas.microsoft.com/office/drawing/2014/main" pred="{744EBE3D-0DD5-4992-B6DE-0476AF31C0E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46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1A4DF0C-96FE-4045-B09F-9B75C5F280B5}"/>
            </a:ext>
            <a:ext uri="{147F2762-F138-4A5C-976F-8EAC2B608ADB}">
              <a16:predDERef xmlns:a16="http://schemas.microsoft.com/office/drawing/2014/main" pred="{D4912F28-76B0-4A23-8F82-6F2C2D67BF2F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2905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6782F1B-86EE-4EE1-B468-18C2E30385CF}"/>
            </a:ext>
            <a:ext uri="{147F2762-F138-4A5C-976F-8EAC2B608ADB}">
              <a16:predDERef xmlns:a16="http://schemas.microsoft.com/office/drawing/2014/main" pred="{61A4DF0C-96FE-4045-B09F-9B75C5F280B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C637EB6-64B4-42C6-BC98-E97FD111CB91}"/>
            </a:ext>
            <a:ext uri="{147F2762-F138-4A5C-976F-8EAC2B608ADB}">
              <a16:predDERef xmlns:a16="http://schemas.microsoft.com/office/drawing/2014/main" pred="{C6782F1B-86EE-4EE1-B468-18C2E30385C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30E99EC-8BD5-47F7-A6E9-9A61A4333737}"/>
            </a:ext>
            <a:ext uri="{147F2762-F138-4A5C-976F-8EAC2B608ADB}">
              <a16:predDERef xmlns:a16="http://schemas.microsoft.com/office/drawing/2014/main" pred="{9C637EB6-64B4-42C6-BC98-E97FD111CB9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7888EB7-1BB2-48B3-8574-3F4F74A8FC48}"/>
            </a:ext>
            <a:ext uri="{147F2762-F138-4A5C-976F-8EAC2B608ADB}">
              <a16:predDERef xmlns:a16="http://schemas.microsoft.com/office/drawing/2014/main" pred="{730E99EC-8BD5-47F7-A6E9-9A61A433373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D27594B0-F1BE-46F2-99DF-435780E43F15}"/>
            </a:ext>
            <a:ext uri="{147F2762-F138-4A5C-976F-8EAC2B608ADB}">
              <a16:predDERef xmlns:a16="http://schemas.microsoft.com/office/drawing/2014/main" pred="{97888EB7-1BB2-48B3-8574-3F4F74A8FC4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D82B0C0-4028-4C85-AA61-C000A49DED56}"/>
            </a:ext>
            <a:ext uri="{147F2762-F138-4A5C-976F-8EAC2B608ADB}">
              <a16:predDERef xmlns:a16="http://schemas.microsoft.com/office/drawing/2014/main" pred="{D27594B0-F1BE-46F2-99DF-435780E43F1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0196350-8331-4CA2-BD67-44E173754196}"/>
            </a:ext>
            <a:ext uri="{147F2762-F138-4A5C-976F-8EAC2B608ADB}">
              <a16:predDERef xmlns:a16="http://schemas.microsoft.com/office/drawing/2014/main" pred="{2D82B0C0-4028-4C85-AA61-C000A49DED5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D792AA9-28E0-4704-9A1B-D224871B1961}"/>
            </a:ext>
            <a:ext uri="{147F2762-F138-4A5C-976F-8EAC2B608ADB}">
              <a16:predDERef xmlns:a16="http://schemas.microsoft.com/office/drawing/2014/main" pred="{A0196350-8331-4CA2-BD67-44E17375419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4A3540F3-D754-4F90-9443-324249AC056A}"/>
            </a:ext>
            <a:ext uri="{147F2762-F138-4A5C-976F-8EAC2B608ADB}">
              <a16:predDERef xmlns:a16="http://schemas.microsoft.com/office/drawing/2014/main" pred="{9D792AA9-28E0-4704-9A1B-D224871B196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1F3D76CC-7876-4E64-A181-BEACA236FD1A}"/>
            </a:ext>
            <a:ext uri="{147F2762-F138-4A5C-976F-8EAC2B608ADB}">
              <a16:predDERef xmlns:a16="http://schemas.microsoft.com/office/drawing/2014/main" pred="{4A3540F3-D754-4F90-9443-324249AC056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334E90E4-6D22-45D0-B878-2AA81D29F73B}"/>
            </a:ext>
            <a:ext uri="{147F2762-F138-4A5C-976F-8EAC2B608ADB}">
              <a16:predDERef xmlns:a16="http://schemas.microsoft.com/office/drawing/2014/main" pred="{1F3D76CC-7876-4E64-A181-BEACA236FD1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D1658E0-3F68-48CA-A0DA-EEC11EFADD92}"/>
            </a:ext>
            <a:ext uri="{147F2762-F138-4A5C-976F-8EAC2B608ADB}">
              <a16:predDERef xmlns:a16="http://schemas.microsoft.com/office/drawing/2014/main" pred="{334E90E4-6D22-45D0-B878-2AA81D29F73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741CCE2F-23A5-4B48-8FCC-9D65AA6BA7EB}"/>
            </a:ext>
            <a:ext uri="{147F2762-F138-4A5C-976F-8EAC2B608ADB}">
              <a16:predDERef xmlns:a16="http://schemas.microsoft.com/office/drawing/2014/main" pred="{0D1658E0-3F68-48CA-A0DA-EEC11EFADD9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A27606A7-7C46-4927-BC92-0472C939E0B6}"/>
            </a:ext>
            <a:ext uri="{147F2762-F138-4A5C-976F-8EAC2B608ADB}">
              <a16:predDERef xmlns:a16="http://schemas.microsoft.com/office/drawing/2014/main" pred="{741CCE2F-23A5-4B48-8FCC-9D65AA6BA7E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D0CA489-E137-43CA-9537-C9D4EA3AD884}"/>
            </a:ext>
            <a:ext uri="{147F2762-F138-4A5C-976F-8EAC2B608ADB}">
              <a16:predDERef xmlns:a16="http://schemas.microsoft.com/office/drawing/2014/main" pred="{A27606A7-7C46-4927-BC92-0472C939E0B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5345A246-1912-4772-968F-9E0E6E880A14}"/>
            </a:ext>
            <a:ext uri="{147F2762-F138-4A5C-976F-8EAC2B608ADB}">
              <a16:predDERef xmlns:a16="http://schemas.microsoft.com/office/drawing/2014/main" pred="{AD0CA489-E137-43CA-9537-C9D4EA3AD88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8124CD1A-9A24-4AAF-A03E-13C5ADC8F07C}"/>
            </a:ext>
            <a:ext uri="{147F2762-F138-4A5C-976F-8EAC2B608ADB}">
              <a16:predDERef xmlns:a16="http://schemas.microsoft.com/office/drawing/2014/main" pred="{5345A246-1912-4772-968F-9E0E6E880A1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D169D0F4-C7A9-433A-AC90-80454BA78A49}"/>
            </a:ext>
            <a:ext uri="{147F2762-F138-4A5C-976F-8EAC2B608ADB}">
              <a16:predDERef xmlns:a16="http://schemas.microsoft.com/office/drawing/2014/main" pred="{8124CD1A-9A24-4AAF-A03E-13C5ADC8F07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2A13B287-7BD6-489F-846F-F33E1612571B}"/>
            </a:ext>
            <a:ext uri="{147F2762-F138-4A5C-976F-8EAC2B608ADB}">
              <a16:predDERef xmlns:a16="http://schemas.microsoft.com/office/drawing/2014/main" pred="{D169D0F4-C7A9-433A-AC90-80454BA78A4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6BD03172-DD06-41B9-8D6D-3FBFE6D4DA57}"/>
            </a:ext>
            <a:ext uri="{147F2762-F138-4A5C-976F-8EAC2B608ADB}">
              <a16:predDERef xmlns:a16="http://schemas.microsoft.com/office/drawing/2014/main" pred="{2A13B287-7BD6-489F-846F-F33E1612571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2336B16D-9B00-48E7-A189-5F709F818361}"/>
            </a:ext>
            <a:ext uri="{147F2762-F138-4A5C-976F-8EAC2B608ADB}">
              <a16:predDERef xmlns:a16="http://schemas.microsoft.com/office/drawing/2014/main" pred="{6BD03172-DD06-41B9-8D6D-3FBFE6D4DA5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35D8CFD-2962-40C7-81CF-98D547793656}"/>
            </a:ext>
            <a:ext uri="{147F2762-F138-4A5C-976F-8EAC2B608ADB}">
              <a16:predDERef xmlns:a16="http://schemas.microsoft.com/office/drawing/2014/main" pred="{2336B16D-9B00-48E7-A189-5F709F81836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D99951A0-072F-47CA-83EF-03ADEDED7D1B}"/>
            </a:ext>
            <a:ext uri="{147F2762-F138-4A5C-976F-8EAC2B608ADB}">
              <a16:predDERef xmlns:a16="http://schemas.microsoft.com/office/drawing/2014/main" pred="{A35D8CFD-2962-40C7-81CF-98D54779365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DDD72A6-579B-4ED8-9AD0-E7B2820F4C84}"/>
            </a:ext>
            <a:ext uri="{147F2762-F138-4A5C-976F-8EAC2B608ADB}">
              <a16:predDERef xmlns:a16="http://schemas.microsoft.com/office/drawing/2014/main" pred="{D99951A0-072F-47CA-83EF-03ADEDED7D1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3B45B4E-7A29-4C9D-AFE8-2A11DAF0430E}"/>
            </a:ext>
            <a:ext uri="{147F2762-F138-4A5C-976F-8EAC2B608ADB}">
              <a16:predDERef xmlns:a16="http://schemas.microsoft.com/office/drawing/2014/main" pred="{1DDD72A6-579B-4ED8-9AD0-E7B2820F4C8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19E6B4A0-E00A-435C-81F0-8E2FA22642DC}"/>
            </a:ext>
            <a:ext uri="{147F2762-F138-4A5C-976F-8EAC2B608ADB}">
              <a16:predDERef xmlns:a16="http://schemas.microsoft.com/office/drawing/2014/main" pred="{E3B45B4E-7A29-4C9D-AFE8-2A11DAF0430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5220ABC-0C87-4D8F-A972-1A6A25675059}"/>
            </a:ext>
            <a:ext uri="{147F2762-F138-4A5C-976F-8EAC2B608ADB}">
              <a16:predDERef xmlns:a16="http://schemas.microsoft.com/office/drawing/2014/main" pred="{19E6B4A0-E00A-435C-81F0-8E2FA22642D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0E7D57E2-E081-4E73-B8EC-042B8B776861}"/>
            </a:ext>
            <a:ext uri="{147F2762-F138-4A5C-976F-8EAC2B608ADB}">
              <a16:predDERef xmlns:a16="http://schemas.microsoft.com/office/drawing/2014/main" pred="{A5220ABC-0C87-4D8F-A972-1A6A2567505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FED4E26-3E62-4927-997E-D6FAFF6A1F31}"/>
            </a:ext>
            <a:ext uri="{147F2762-F138-4A5C-976F-8EAC2B608ADB}">
              <a16:predDERef xmlns:a16="http://schemas.microsoft.com/office/drawing/2014/main" pred="{0E7D57E2-E081-4E73-B8EC-042B8B77686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42ED081-A537-4752-BEEA-E194E09E9FF5}"/>
            </a:ext>
            <a:ext uri="{147F2762-F138-4A5C-976F-8EAC2B608ADB}">
              <a16:predDERef xmlns:a16="http://schemas.microsoft.com/office/drawing/2014/main" pred="{1FED4E26-3E62-4927-997E-D6FAFF6A1F3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CF696125-EF01-4AA1-B252-A59D401F093A}"/>
            </a:ext>
            <a:ext uri="{147F2762-F138-4A5C-976F-8EAC2B608ADB}">
              <a16:predDERef xmlns:a16="http://schemas.microsoft.com/office/drawing/2014/main" pred="{142ED081-A537-4752-BEEA-E194E09E9FF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CC6029C-EE67-4BB4-AFD5-BDD729865B8D}"/>
            </a:ext>
            <a:ext uri="{147F2762-F138-4A5C-976F-8EAC2B608ADB}">
              <a16:predDERef xmlns:a16="http://schemas.microsoft.com/office/drawing/2014/main" pred="{CF696125-EF01-4AA1-B252-A59D401F093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7EB3750-7E33-4F5F-8A0C-13D46735569A}"/>
            </a:ext>
            <a:ext uri="{147F2762-F138-4A5C-976F-8EAC2B608ADB}">
              <a16:predDERef xmlns:a16="http://schemas.microsoft.com/office/drawing/2014/main" pred="{5CC6029C-EE67-4BB4-AFD5-BDD729865B8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F5524C20-5FC3-4317-AFF3-0AF880058D85}"/>
            </a:ext>
            <a:ext uri="{147F2762-F138-4A5C-976F-8EAC2B608ADB}">
              <a16:predDERef xmlns:a16="http://schemas.microsoft.com/office/drawing/2014/main" pred="{87EB3750-7E33-4F5F-8A0C-13D46735569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44</xdr:row>
      <xdr:rowOff>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2D61E807-ACD9-4784-B4F1-560450591A99}"/>
            </a:ext>
            <a:ext uri="{147F2762-F138-4A5C-976F-8EAC2B608ADB}">
              <a16:predDERef xmlns:a16="http://schemas.microsoft.com/office/drawing/2014/main" pred="{F5524C20-5FC3-4317-AFF3-0AF880058D85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2CBDACC-1AD6-4F4D-B1CB-46BF218AFE56}"/>
            </a:ext>
            <a:ext uri="{147F2762-F138-4A5C-976F-8EAC2B608ADB}">
              <a16:predDERef xmlns:a16="http://schemas.microsoft.com/office/drawing/2014/main" pred="{2D61E807-ACD9-4784-B4F1-560450591A9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081DD46-5384-46FD-99B1-61A394F57EE5}"/>
            </a:ext>
            <a:ext uri="{147F2762-F138-4A5C-976F-8EAC2B608ADB}">
              <a16:predDERef xmlns:a16="http://schemas.microsoft.com/office/drawing/2014/main" pred="{C2CBDACC-1AD6-4F4D-B1CB-46BF218AFE5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28775498-0DE1-44CE-A720-3250E6C5A005}"/>
            </a:ext>
            <a:ext uri="{147F2762-F138-4A5C-976F-8EAC2B608ADB}">
              <a16:predDERef xmlns:a16="http://schemas.microsoft.com/office/drawing/2014/main" pred="{9081DD46-5384-46FD-99B1-61A394F57EE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DE5248F-39F0-409B-9A00-4664EB8CBDB4}"/>
            </a:ext>
            <a:ext uri="{147F2762-F138-4A5C-976F-8EAC2B608ADB}">
              <a16:predDERef xmlns:a16="http://schemas.microsoft.com/office/drawing/2014/main" pred="{28775498-0DE1-44CE-A720-3250E6C5A00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8A36B00E-1A35-426E-AEBA-3953179D198E}"/>
            </a:ext>
            <a:ext uri="{147F2762-F138-4A5C-976F-8EAC2B608ADB}">
              <a16:predDERef xmlns:a16="http://schemas.microsoft.com/office/drawing/2014/main" pred="{ADE5248F-39F0-409B-9A00-4664EB8CBDB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F6F32497-1012-40C3-9F6B-141389054EB9}"/>
            </a:ext>
            <a:ext uri="{147F2762-F138-4A5C-976F-8EAC2B608ADB}">
              <a16:predDERef xmlns:a16="http://schemas.microsoft.com/office/drawing/2014/main" pred="{8A36B00E-1A35-426E-AEBA-3953179D198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57B5AE1-FB23-45D4-A495-DA35473843C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7160BCB-287B-4B06-AD8D-A4776784C708}"/>
            </a:ext>
            <a:ext uri="{147F2762-F138-4A5C-976F-8EAC2B608ADB}">
              <a16:predDERef xmlns:a16="http://schemas.microsoft.com/office/drawing/2014/main" pred="{C57B5AE1-FB23-45D4-A495-DA35473843C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C0CC198-490F-4A3A-AA17-BCA6185AE717}"/>
            </a:ext>
            <a:ext uri="{147F2762-F138-4A5C-976F-8EAC2B608ADB}">
              <a16:predDERef xmlns:a16="http://schemas.microsoft.com/office/drawing/2014/main" pred="{B7160BCB-287B-4B06-AD8D-A4776784C70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097933-27A6-4BE5-8321-7361E99D1E0E}"/>
            </a:ext>
            <a:ext uri="{147F2762-F138-4A5C-976F-8EAC2B608ADB}">
              <a16:predDERef xmlns:a16="http://schemas.microsoft.com/office/drawing/2014/main" pred="{BC0CC198-490F-4A3A-AA17-BCA6185AE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2E826C2-8485-4598-BBF6-56D16B5C0740}"/>
            </a:ext>
            <a:ext uri="{147F2762-F138-4A5C-976F-8EAC2B608ADB}">
              <a16:predDERef xmlns:a16="http://schemas.microsoft.com/office/drawing/2014/main" pred="{AA097933-27A6-4BE5-8321-7361E99D1E0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0963ADB-FFC1-4D65-804F-9033AB1DDCF0}"/>
            </a:ext>
            <a:ext uri="{147F2762-F138-4A5C-976F-8EAC2B608ADB}">
              <a16:predDERef xmlns:a16="http://schemas.microsoft.com/office/drawing/2014/main" pred="{D2E826C2-8485-4598-BBF6-56D16B5C074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2E088CF-6C89-44CD-99B4-8E5FC44F3B44}"/>
            </a:ext>
            <a:ext uri="{147F2762-F138-4A5C-976F-8EAC2B608ADB}">
              <a16:predDERef xmlns:a16="http://schemas.microsoft.com/office/drawing/2014/main" pred="{F0963ADB-FFC1-4D65-804F-9033AB1DDCF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693C050-7486-4768-8575-4193F7D32DCD}"/>
            </a:ext>
            <a:ext uri="{147F2762-F138-4A5C-976F-8EAC2B608ADB}">
              <a16:predDERef xmlns:a16="http://schemas.microsoft.com/office/drawing/2014/main" pred="{02E088CF-6C89-44CD-99B4-8E5FC44F3B4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EE2ECEF8-DC89-4014-A04F-304923B7AACB}"/>
            </a:ext>
            <a:ext uri="{147F2762-F138-4A5C-976F-8EAC2B608ADB}">
              <a16:predDERef xmlns:a16="http://schemas.microsoft.com/office/drawing/2014/main" pred="{A693C050-7486-4768-8575-4193F7D32DC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9150DD2B-9C34-4B98-AC71-E7EA9A4BA828}"/>
            </a:ext>
            <a:ext uri="{147F2762-F138-4A5C-976F-8EAC2B608ADB}">
              <a16:predDERef xmlns:a16="http://schemas.microsoft.com/office/drawing/2014/main" pred="{EE2ECEF8-DC89-4014-A04F-304923B7AAC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C996E15-3FC6-410B-A2E0-473D260017A0}"/>
            </a:ext>
            <a:ext uri="{147F2762-F138-4A5C-976F-8EAC2B608ADB}">
              <a16:predDERef xmlns:a16="http://schemas.microsoft.com/office/drawing/2014/main" pred="{9150DD2B-9C34-4B98-AC71-E7EA9A4BA82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46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736AC22-C726-4322-BE3E-B6342B0DD797}"/>
            </a:ext>
            <a:ext uri="{147F2762-F138-4A5C-976F-8EAC2B608ADB}">
              <a16:predDERef xmlns:a16="http://schemas.microsoft.com/office/drawing/2014/main" pred="{4C996E15-3FC6-410B-A2E0-473D260017A0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2905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54CEB1E-C0C7-4DA5-8ECB-0A8C3F60E176}"/>
            </a:ext>
            <a:ext uri="{147F2762-F138-4A5C-976F-8EAC2B608ADB}">
              <a16:predDERef xmlns:a16="http://schemas.microsoft.com/office/drawing/2014/main" pred="{A736AC22-C726-4322-BE3E-B6342B0DD79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3F0308A-910B-4C8D-8BC9-1CB1A99C8AF7}"/>
            </a:ext>
            <a:ext uri="{147F2762-F138-4A5C-976F-8EAC2B608ADB}">
              <a16:predDERef xmlns:a16="http://schemas.microsoft.com/office/drawing/2014/main" pred="{C54CEB1E-C0C7-4DA5-8ECB-0A8C3F60E17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7E58B69-3C2E-4042-A7C5-FB97E30C8886}"/>
            </a:ext>
            <a:ext uri="{147F2762-F138-4A5C-976F-8EAC2B608ADB}">
              <a16:predDERef xmlns:a16="http://schemas.microsoft.com/office/drawing/2014/main" pred="{83F0308A-910B-4C8D-8BC9-1CB1A99C8AF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50D38ED-4797-402C-AF67-9FEA6791839C}"/>
            </a:ext>
            <a:ext uri="{147F2762-F138-4A5C-976F-8EAC2B608ADB}">
              <a16:predDERef xmlns:a16="http://schemas.microsoft.com/office/drawing/2014/main" pred="{77E58B69-3C2E-4042-A7C5-FB97E30C888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D98796D-7F1C-431A-9F07-8791A84E4B46}"/>
            </a:ext>
            <a:ext uri="{147F2762-F138-4A5C-976F-8EAC2B608ADB}">
              <a16:predDERef xmlns:a16="http://schemas.microsoft.com/office/drawing/2014/main" pred="{950D38ED-4797-402C-AF67-9FEA6791839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01E4C63-DA20-4DF3-935E-A829784677A4}"/>
            </a:ext>
            <a:ext uri="{147F2762-F138-4A5C-976F-8EAC2B608ADB}">
              <a16:predDERef xmlns:a16="http://schemas.microsoft.com/office/drawing/2014/main" pred="{3D98796D-7F1C-431A-9F07-8791A84E4B4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848BD3C2-5864-4171-B5D8-EB9E184EA72F}"/>
            </a:ext>
            <a:ext uri="{147F2762-F138-4A5C-976F-8EAC2B608ADB}">
              <a16:predDERef xmlns:a16="http://schemas.microsoft.com/office/drawing/2014/main" pred="{D01E4C63-DA20-4DF3-935E-A829784677A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CE78A48-4B92-4BD4-8E0D-63165267C489}"/>
            </a:ext>
            <a:ext uri="{147F2762-F138-4A5C-976F-8EAC2B608ADB}">
              <a16:predDERef xmlns:a16="http://schemas.microsoft.com/office/drawing/2014/main" pred="{848BD3C2-5864-4171-B5D8-EB9E184EA72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8B9B912-18EF-422F-812C-C4B71BF5B8F1}"/>
            </a:ext>
            <a:ext uri="{147F2762-F138-4A5C-976F-8EAC2B608ADB}">
              <a16:predDERef xmlns:a16="http://schemas.microsoft.com/office/drawing/2014/main" pred="{7CE78A48-4B92-4BD4-8E0D-63165267C48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51637FBE-8FC1-49C8-AF73-12B49BF2EDB8}"/>
            </a:ext>
            <a:ext uri="{147F2762-F138-4A5C-976F-8EAC2B608ADB}">
              <a16:predDERef xmlns:a16="http://schemas.microsoft.com/office/drawing/2014/main" pred="{E8B9B912-18EF-422F-812C-C4B71BF5B8F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2721CFAA-629D-4F1E-9D43-DD509F7A7521}"/>
            </a:ext>
            <a:ext uri="{147F2762-F138-4A5C-976F-8EAC2B608ADB}">
              <a16:predDERef xmlns:a16="http://schemas.microsoft.com/office/drawing/2014/main" pred="{51637FBE-8FC1-49C8-AF73-12B49BF2EDB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2F959CCB-4F6B-4D0A-9AC0-BCB337FB05F9}"/>
            </a:ext>
            <a:ext uri="{147F2762-F138-4A5C-976F-8EAC2B608ADB}">
              <a16:predDERef xmlns:a16="http://schemas.microsoft.com/office/drawing/2014/main" pred="{2721CFAA-629D-4F1E-9D43-DD509F7A752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76E6BA2F-6556-4985-BC4D-BBD427621B6B}"/>
            </a:ext>
            <a:ext uri="{147F2762-F138-4A5C-976F-8EAC2B608ADB}">
              <a16:predDERef xmlns:a16="http://schemas.microsoft.com/office/drawing/2014/main" pred="{2F959CCB-4F6B-4D0A-9AC0-BCB337FB05F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65B0375D-26B1-4130-920D-EF3AD4CE8735}"/>
            </a:ext>
            <a:ext uri="{147F2762-F138-4A5C-976F-8EAC2B608ADB}">
              <a16:predDERef xmlns:a16="http://schemas.microsoft.com/office/drawing/2014/main" pred="{76E6BA2F-6556-4985-BC4D-BBD427621B6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B922144-9B93-4D31-B4A0-1875965AFB04}"/>
            </a:ext>
            <a:ext uri="{147F2762-F138-4A5C-976F-8EAC2B608ADB}">
              <a16:predDERef xmlns:a16="http://schemas.microsoft.com/office/drawing/2014/main" pred="{65B0375D-26B1-4130-920D-EF3AD4CE873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0D064A2-5462-4072-B5C6-5507A3818708}"/>
            </a:ext>
            <a:ext uri="{147F2762-F138-4A5C-976F-8EAC2B608ADB}">
              <a16:predDERef xmlns:a16="http://schemas.microsoft.com/office/drawing/2014/main" pred="{4B922144-9B93-4D31-B4A0-1875965AFB0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9F59027-03DF-4D29-8C2B-A4E208BA8AA0}"/>
            </a:ext>
            <a:ext uri="{147F2762-F138-4A5C-976F-8EAC2B608ADB}">
              <a16:predDERef xmlns:a16="http://schemas.microsoft.com/office/drawing/2014/main" pred="{B0D064A2-5462-4072-B5C6-5507A381870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452D5086-61BD-4238-82BA-931CA1B6C7A4}"/>
            </a:ext>
            <a:ext uri="{147F2762-F138-4A5C-976F-8EAC2B608ADB}">
              <a16:predDERef xmlns:a16="http://schemas.microsoft.com/office/drawing/2014/main" pred="{99F59027-03DF-4D29-8C2B-A4E208BA8AA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AD2D012C-EAC8-4CC8-BCDC-DA4E58545704}"/>
            </a:ext>
            <a:ext uri="{147F2762-F138-4A5C-976F-8EAC2B608ADB}">
              <a16:predDERef xmlns:a16="http://schemas.microsoft.com/office/drawing/2014/main" pred="{452D5086-61BD-4238-82BA-931CA1B6C7A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DCCFB149-1E35-456F-B4EB-32555829B157}"/>
            </a:ext>
            <a:ext uri="{147F2762-F138-4A5C-976F-8EAC2B608ADB}">
              <a16:predDERef xmlns:a16="http://schemas.microsoft.com/office/drawing/2014/main" pred="{AD2D012C-EAC8-4CC8-BCDC-DA4E5854570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63A2D6E-DF5D-44EA-A829-989D1C88AEDA}"/>
            </a:ext>
            <a:ext uri="{147F2762-F138-4A5C-976F-8EAC2B608ADB}">
              <a16:predDERef xmlns:a16="http://schemas.microsoft.com/office/drawing/2014/main" pred="{DCCFB149-1E35-456F-B4EB-32555829B15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BBFD483E-5EB4-4455-8B65-AF21EED1D61C}"/>
            </a:ext>
            <a:ext uri="{147F2762-F138-4A5C-976F-8EAC2B608ADB}">
              <a16:predDERef xmlns:a16="http://schemas.microsoft.com/office/drawing/2014/main" pred="{B63A2D6E-DF5D-44EA-A829-989D1C88AED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D2CDF018-806E-4917-B28E-817373A3362E}"/>
            </a:ext>
            <a:ext uri="{147F2762-F138-4A5C-976F-8EAC2B608ADB}">
              <a16:predDERef xmlns:a16="http://schemas.microsoft.com/office/drawing/2014/main" pred="{BBFD483E-5EB4-4455-8B65-AF21EED1D61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1AE9D679-196E-48C1-8B58-A80D7C3AE609}"/>
            </a:ext>
            <a:ext uri="{147F2762-F138-4A5C-976F-8EAC2B608ADB}">
              <a16:predDERef xmlns:a16="http://schemas.microsoft.com/office/drawing/2014/main" pred="{D2CDF018-806E-4917-B28E-817373A3362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2BC6B47F-45CC-4700-8519-1F7BE8D42ED6}"/>
            </a:ext>
            <a:ext uri="{147F2762-F138-4A5C-976F-8EAC2B608ADB}">
              <a16:predDERef xmlns:a16="http://schemas.microsoft.com/office/drawing/2014/main" pred="{1AE9D679-196E-48C1-8B58-A80D7C3AE60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B0C96FDE-2265-4EF8-B36D-E5FE3874AD58}"/>
            </a:ext>
            <a:ext uri="{147F2762-F138-4A5C-976F-8EAC2B608ADB}">
              <a16:predDERef xmlns:a16="http://schemas.microsoft.com/office/drawing/2014/main" pred="{2BC6B47F-45CC-4700-8519-1F7BE8D42ED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9A9ADD29-4E73-41FC-B0A7-C56CCF0BA7FE}"/>
            </a:ext>
            <a:ext uri="{147F2762-F138-4A5C-976F-8EAC2B608ADB}">
              <a16:predDERef xmlns:a16="http://schemas.microsoft.com/office/drawing/2014/main" pred="{B0C96FDE-2265-4EF8-B36D-E5FE3874AD5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46ABB9AE-F429-479E-AA15-80C845E9F435}"/>
            </a:ext>
            <a:ext uri="{147F2762-F138-4A5C-976F-8EAC2B608ADB}">
              <a16:predDERef xmlns:a16="http://schemas.microsoft.com/office/drawing/2014/main" pred="{9A9ADD29-4E73-41FC-B0A7-C56CCF0BA7F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7DCA0AD2-9B6D-437A-8BFF-EC3CFC63C3B7}"/>
            </a:ext>
            <a:ext uri="{147F2762-F138-4A5C-976F-8EAC2B608ADB}">
              <a16:predDERef xmlns:a16="http://schemas.microsoft.com/office/drawing/2014/main" pred="{46ABB9AE-F429-479E-AA15-80C845E9F43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D6FDB188-3ED1-4D5C-B679-F9742F91E569}"/>
            </a:ext>
            <a:ext uri="{147F2762-F138-4A5C-976F-8EAC2B608ADB}">
              <a16:predDERef xmlns:a16="http://schemas.microsoft.com/office/drawing/2014/main" pred="{7DCA0AD2-9B6D-437A-8BFF-EC3CFC63C3B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EF07DD9-B9B5-4E6A-A64E-EE57EC1D9F85}"/>
            </a:ext>
            <a:ext uri="{147F2762-F138-4A5C-976F-8EAC2B608ADB}">
              <a16:predDERef xmlns:a16="http://schemas.microsoft.com/office/drawing/2014/main" pred="{D6FDB188-3ED1-4D5C-B679-F9742F91E56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0128A2BF-8173-436D-9B1C-3409D2BE4940}"/>
            </a:ext>
            <a:ext uri="{147F2762-F138-4A5C-976F-8EAC2B608ADB}">
              <a16:predDERef xmlns:a16="http://schemas.microsoft.com/office/drawing/2014/main" pred="{0EF07DD9-B9B5-4E6A-A64E-EE57EC1D9F8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BF99772-7EF0-4396-9FC0-C5F5706ECCD0}"/>
            </a:ext>
            <a:ext uri="{147F2762-F138-4A5C-976F-8EAC2B608ADB}">
              <a16:predDERef xmlns:a16="http://schemas.microsoft.com/office/drawing/2014/main" pred="{0128A2BF-8173-436D-9B1C-3409D2BE494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51DC2FF-704F-4638-B8F0-ED6E9964F084}"/>
            </a:ext>
            <a:ext uri="{147F2762-F138-4A5C-976F-8EAC2B608ADB}">
              <a16:predDERef xmlns:a16="http://schemas.microsoft.com/office/drawing/2014/main" pred="{8BF99772-7EF0-4396-9FC0-C5F5706ECCD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44</xdr:row>
      <xdr:rowOff>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548FFE2-CB4D-4773-8749-C2DC61CB628B}"/>
            </a:ext>
            <a:ext uri="{147F2762-F138-4A5C-976F-8EAC2B608ADB}">
              <a16:predDERef xmlns:a16="http://schemas.microsoft.com/office/drawing/2014/main" pred="{051DC2FF-704F-4638-B8F0-ED6E9964F084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A3CAD27-A9BA-441B-BFE0-A4B8CF36D894}"/>
            </a:ext>
            <a:ext uri="{147F2762-F138-4A5C-976F-8EAC2B608ADB}">
              <a16:predDERef xmlns:a16="http://schemas.microsoft.com/office/drawing/2014/main" pred="{4548FFE2-CB4D-4773-8749-C2DC61CB628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EE9AA639-6195-454B-9C8B-906442E27D1F}"/>
            </a:ext>
            <a:ext uri="{147F2762-F138-4A5C-976F-8EAC2B608ADB}">
              <a16:predDERef xmlns:a16="http://schemas.microsoft.com/office/drawing/2014/main" pred="{2A3CAD27-A9BA-441B-BFE0-A4B8CF36D89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DDD3BD3E-F2F0-49F1-BB0B-CDCE9152E493}"/>
            </a:ext>
            <a:ext uri="{147F2762-F138-4A5C-976F-8EAC2B608ADB}">
              <a16:predDERef xmlns:a16="http://schemas.microsoft.com/office/drawing/2014/main" pred="{EE9AA639-6195-454B-9C8B-906442E27D1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D565095-6253-4687-B0AD-FC47AA253B75}"/>
            </a:ext>
            <a:ext uri="{147F2762-F138-4A5C-976F-8EAC2B608ADB}">
              <a16:predDERef xmlns:a16="http://schemas.microsoft.com/office/drawing/2014/main" pred="{DDD3BD3E-F2F0-49F1-BB0B-CDCE9152E49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C088040E-7665-4041-9E40-DA924ACB664F}"/>
            </a:ext>
            <a:ext uri="{147F2762-F138-4A5C-976F-8EAC2B608ADB}">
              <a16:predDERef xmlns:a16="http://schemas.microsoft.com/office/drawing/2014/main" pred="{9D565095-6253-4687-B0AD-FC47AA253B7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0283FAB-B93C-41F2-9CB8-A581C75E38C2}"/>
            </a:ext>
            <a:ext uri="{147F2762-F138-4A5C-976F-8EAC2B608ADB}">
              <a16:predDERef xmlns:a16="http://schemas.microsoft.com/office/drawing/2014/main" pred="{C088040E-7665-4041-9E40-DA924ACB664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BA70251-4FD5-4499-926B-62F1796E8BF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42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CA037A2-293F-4F01-AB06-F60A3438F317}"/>
            </a:ext>
            <a:ext uri="{147F2762-F138-4A5C-976F-8EAC2B608ADB}">
              <a16:predDERef xmlns:a16="http://schemas.microsoft.com/office/drawing/2014/main" pred="{2BA70251-4FD5-4499-926B-62F1796E8BF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B7425D0-5836-4512-BA30-2D392D251BC8}"/>
            </a:ext>
            <a:ext uri="{147F2762-F138-4A5C-976F-8EAC2B608ADB}">
              <a16:predDERef xmlns:a16="http://schemas.microsoft.com/office/drawing/2014/main" pred="{8CA037A2-293F-4F01-AB06-F60A3438F31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12B38DA-E7B5-4743-93A2-F0A8A7D5C838}"/>
            </a:ext>
            <a:ext uri="{147F2762-F138-4A5C-976F-8EAC2B608ADB}">
              <a16:predDERef xmlns:a16="http://schemas.microsoft.com/office/drawing/2014/main" pred="{FB7425D0-5836-4512-BA30-2D392D251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C23735A-563E-4118-BEBA-FF4E62B52A91}"/>
            </a:ext>
            <a:ext uri="{147F2762-F138-4A5C-976F-8EAC2B608ADB}">
              <a16:predDERef xmlns:a16="http://schemas.microsoft.com/office/drawing/2014/main" pred="{212B38DA-E7B5-4743-93A2-F0A8A7D5C83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1310417-63E0-4F54-A80C-AB6191F641F6}"/>
            </a:ext>
            <a:ext uri="{147F2762-F138-4A5C-976F-8EAC2B608ADB}">
              <a16:predDERef xmlns:a16="http://schemas.microsoft.com/office/drawing/2014/main" pred="{0C23735A-563E-4118-BEBA-FF4E62B52A9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BDC7D30-9298-4B3E-BEA3-43C955C678CE}"/>
            </a:ext>
            <a:ext uri="{147F2762-F138-4A5C-976F-8EAC2B608ADB}">
              <a16:predDERef xmlns:a16="http://schemas.microsoft.com/office/drawing/2014/main" pred="{91310417-63E0-4F54-A80C-AB6191F641F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83D17B2-A5A3-46C8-B8FB-5DBB7A82A065}"/>
            </a:ext>
            <a:ext uri="{147F2762-F138-4A5C-976F-8EAC2B608ADB}">
              <a16:predDERef xmlns:a16="http://schemas.microsoft.com/office/drawing/2014/main" pred="{8BDC7D30-9298-4B3E-BEA3-43C955C678C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D536966-7183-49A2-A563-852A3A2B7805}"/>
            </a:ext>
            <a:ext uri="{147F2762-F138-4A5C-976F-8EAC2B608ADB}">
              <a16:predDERef xmlns:a16="http://schemas.microsoft.com/office/drawing/2014/main" pred="{F83D17B2-A5A3-46C8-B8FB-5DBB7A82A06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552201B0-44FB-432B-832E-0D0696F2C2D6}"/>
            </a:ext>
            <a:ext uri="{147F2762-F138-4A5C-976F-8EAC2B608ADB}">
              <a16:predDERef xmlns:a16="http://schemas.microsoft.com/office/drawing/2014/main" pred="{FD536966-7183-49A2-A563-852A3A2B780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39DE39F7-BD5A-4B7F-84C2-885FED1C7512}"/>
            </a:ext>
            <a:ext uri="{147F2762-F138-4A5C-976F-8EAC2B608ADB}">
              <a16:predDERef xmlns:a16="http://schemas.microsoft.com/office/drawing/2014/main" pred="{552201B0-44FB-432B-832E-0D0696F2C2D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45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2917654-BB50-494E-8DEF-787736E1EDEE}"/>
            </a:ext>
            <a:ext uri="{147F2762-F138-4A5C-976F-8EAC2B608ADB}">
              <a16:predDERef xmlns:a16="http://schemas.microsoft.com/office/drawing/2014/main" pred="{39DE39F7-BD5A-4B7F-84C2-885FED1C7512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2905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FCFD9DB-046A-4CA7-BC4C-7714BE572D35}"/>
            </a:ext>
            <a:ext uri="{147F2762-F138-4A5C-976F-8EAC2B608ADB}">
              <a16:predDERef xmlns:a16="http://schemas.microsoft.com/office/drawing/2014/main" pred="{E2917654-BB50-494E-8DEF-787736E1EDE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17484265-24E9-4797-8567-9028397EE913}"/>
            </a:ext>
            <a:ext uri="{147F2762-F138-4A5C-976F-8EAC2B608ADB}">
              <a16:predDERef xmlns:a16="http://schemas.microsoft.com/office/drawing/2014/main" pred="{1FCFD9DB-046A-4CA7-BC4C-7714BE572D3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40E5A3FD-292D-42AC-B7F6-B0A8F3F5F803}"/>
            </a:ext>
            <a:ext uri="{147F2762-F138-4A5C-976F-8EAC2B608ADB}">
              <a16:predDERef xmlns:a16="http://schemas.microsoft.com/office/drawing/2014/main" pred="{17484265-24E9-4797-8567-9028397EE91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AB6A7A29-A827-4BE0-A410-B1C0933C8C6A}"/>
            </a:ext>
            <a:ext uri="{147F2762-F138-4A5C-976F-8EAC2B608ADB}">
              <a16:predDERef xmlns:a16="http://schemas.microsoft.com/office/drawing/2014/main" pred="{40E5A3FD-292D-42AC-B7F6-B0A8F3F5F80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9226E70-7A13-4B9F-A6FA-C119039EE716}"/>
            </a:ext>
            <a:ext uri="{147F2762-F138-4A5C-976F-8EAC2B608ADB}">
              <a16:predDERef xmlns:a16="http://schemas.microsoft.com/office/drawing/2014/main" pred="{AB6A7A29-A827-4BE0-A410-B1C0933C8C6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C8AAFA9-10D2-4087-B38B-F752C6FADCE8}"/>
            </a:ext>
            <a:ext uri="{147F2762-F138-4A5C-976F-8EAC2B608ADB}">
              <a16:predDERef xmlns:a16="http://schemas.microsoft.com/office/drawing/2014/main" pred="{89226E70-7A13-4B9F-A6FA-C119039EE71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57A63B5-8FBE-4F94-B292-4A0953A29D52}"/>
            </a:ext>
            <a:ext uri="{147F2762-F138-4A5C-976F-8EAC2B608ADB}">
              <a16:predDERef xmlns:a16="http://schemas.microsoft.com/office/drawing/2014/main" pred="{0C8AAFA9-10D2-4087-B38B-F752C6FADCE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FB7869AD-1CE8-49DF-97A7-19C366174099}"/>
            </a:ext>
            <a:ext uri="{147F2762-F138-4A5C-976F-8EAC2B608ADB}">
              <a16:predDERef xmlns:a16="http://schemas.microsoft.com/office/drawing/2014/main" pred="{557A63B5-8FBE-4F94-B292-4A0953A29D5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A73E0A1F-9B33-43D6-B464-5A48CCC53F8F}"/>
            </a:ext>
            <a:ext uri="{147F2762-F138-4A5C-976F-8EAC2B608ADB}">
              <a16:predDERef xmlns:a16="http://schemas.microsoft.com/office/drawing/2014/main" pred="{FB7869AD-1CE8-49DF-97A7-19C36617409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5106B024-CCAF-4AF3-A7F4-1AFAF3F25950}"/>
            </a:ext>
            <a:ext uri="{147F2762-F138-4A5C-976F-8EAC2B608ADB}">
              <a16:predDERef xmlns:a16="http://schemas.microsoft.com/office/drawing/2014/main" pred="{A73E0A1F-9B33-43D6-B464-5A48CCC53F8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D69A59F-200A-433D-875D-61615F6819AB}"/>
            </a:ext>
            <a:ext uri="{147F2762-F138-4A5C-976F-8EAC2B608ADB}">
              <a16:predDERef xmlns:a16="http://schemas.microsoft.com/office/drawing/2014/main" pred="{5106B024-CCAF-4AF3-A7F4-1AFAF3F2595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6376248-D824-4013-B803-281A8DE3539C}"/>
            </a:ext>
            <a:ext uri="{147F2762-F138-4A5C-976F-8EAC2B608ADB}">
              <a16:predDERef xmlns:a16="http://schemas.microsoft.com/office/drawing/2014/main" pred="{CD69A59F-200A-433D-875D-61615F6819A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20FEC71D-F6E9-44EB-B735-AAF21776457D}"/>
            </a:ext>
            <a:ext uri="{147F2762-F138-4A5C-976F-8EAC2B608ADB}">
              <a16:predDERef xmlns:a16="http://schemas.microsoft.com/office/drawing/2014/main" pred="{96376248-D824-4013-B803-281A8DE3539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D7C4E27F-0C8E-4766-98BD-836630CCBF5C}"/>
            </a:ext>
            <a:ext uri="{147F2762-F138-4A5C-976F-8EAC2B608ADB}">
              <a16:predDERef xmlns:a16="http://schemas.microsoft.com/office/drawing/2014/main" pred="{20FEC71D-F6E9-44EB-B735-AAF21776457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F06AF79F-5ABB-4CD1-93E8-B07DEF57608F}"/>
            </a:ext>
            <a:ext uri="{147F2762-F138-4A5C-976F-8EAC2B608ADB}">
              <a16:predDERef xmlns:a16="http://schemas.microsoft.com/office/drawing/2014/main" pred="{D7C4E27F-0C8E-4766-98BD-836630CCBF5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1D1F4BA3-AD14-4B65-B7D7-5009CF8EE28B}"/>
            </a:ext>
            <a:ext uri="{147F2762-F138-4A5C-976F-8EAC2B608ADB}">
              <a16:predDERef xmlns:a16="http://schemas.microsoft.com/office/drawing/2014/main" pred="{F06AF79F-5ABB-4CD1-93E8-B07DEF57608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B62A5407-7696-41D6-B184-653F314B6B57}"/>
            </a:ext>
            <a:ext uri="{147F2762-F138-4A5C-976F-8EAC2B608ADB}">
              <a16:predDERef xmlns:a16="http://schemas.microsoft.com/office/drawing/2014/main" pred="{1D1F4BA3-AD14-4B65-B7D7-5009CF8EE28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1AC153F7-DB87-4DF9-B8D5-F758DE0A4506}"/>
            </a:ext>
            <a:ext uri="{147F2762-F138-4A5C-976F-8EAC2B608ADB}">
              <a16:predDERef xmlns:a16="http://schemas.microsoft.com/office/drawing/2014/main" pred="{B62A5407-7696-41D6-B184-653F314B6B5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0F57660-BEE9-4FE8-8AFD-27445C5B5672}"/>
            </a:ext>
            <a:ext uri="{147F2762-F138-4A5C-976F-8EAC2B608ADB}">
              <a16:predDERef xmlns:a16="http://schemas.microsoft.com/office/drawing/2014/main" pred="{1AC153F7-DB87-4DF9-B8D5-F758DE0A450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85C25FAA-D9E3-488B-A2DC-360C972B7B5E}"/>
            </a:ext>
            <a:ext uri="{147F2762-F138-4A5C-976F-8EAC2B608ADB}">
              <a16:predDERef xmlns:a16="http://schemas.microsoft.com/office/drawing/2014/main" pred="{40F57660-BEE9-4FE8-8AFD-27445C5B567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D0038E-44D1-4025-AA2F-3F3C5CA97B68}"/>
            </a:ext>
            <a:ext uri="{147F2762-F138-4A5C-976F-8EAC2B608ADB}">
              <a16:predDERef xmlns:a16="http://schemas.microsoft.com/office/drawing/2014/main" pred="{85C25FAA-D9E3-488B-A2DC-360C972B7B5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1E6EDB15-0903-4ED9-AF31-246C0C572C32}"/>
            </a:ext>
            <a:ext uri="{147F2762-F138-4A5C-976F-8EAC2B608ADB}">
              <a16:predDERef xmlns:a16="http://schemas.microsoft.com/office/drawing/2014/main" pred="{9FD0038E-44D1-4025-AA2F-3F3C5CA97B6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788B1B6-035C-410A-9395-1DF0481E6FB2}"/>
            </a:ext>
            <a:ext uri="{147F2762-F138-4A5C-976F-8EAC2B608ADB}">
              <a16:predDERef xmlns:a16="http://schemas.microsoft.com/office/drawing/2014/main" pred="{1E6EDB15-0903-4ED9-AF31-246C0C572C3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60AD471-ADCD-4C13-BDEE-EB1F087592B9}"/>
            </a:ext>
            <a:ext uri="{147F2762-F138-4A5C-976F-8EAC2B608ADB}">
              <a16:predDERef xmlns:a16="http://schemas.microsoft.com/office/drawing/2014/main" pred="{1788B1B6-035C-410A-9395-1DF0481E6FB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4F42F188-D21B-4A83-A5DA-0B03FAA3CEF9}"/>
            </a:ext>
            <a:ext uri="{147F2762-F138-4A5C-976F-8EAC2B608ADB}">
              <a16:predDERef xmlns:a16="http://schemas.microsoft.com/office/drawing/2014/main" pred="{B60AD471-ADCD-4C13-BDEE-EB1F087592B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54CA021-83C4-4063-A5AB-ABE8480434BD}"/>
            </a:ext>
            <a:ext uri="{147F2762-F138-4A5C-976F-8EAC2B608ADB}">
              <a16:predDERef xmlns:a16="http://schemas.microsoft.com/office/drawing/2014/main" pred="{4F42F188-D21B-4A83-A5DA-0B03FAA3CEF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910F7C5-B446-4DA1-9FE1-7DCFBA6269FB}"/>
            </a:ext>
            <a:ext uri="{147F2762-F138-4A5C-976F-8EAC2B608ADB}">
              <a16:predDERef xmlns:a16="http://schemas.microsoft.com/office/drawing/2014/main" pred="{954CA021-83C4-4063-A5AB-ABE8480434B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170EC5E-0912-4D19-BD9C-ACDF9C0AC33C}"/>
            </a:ext>
            <a:ext uri="{147F2762-F138-4A5C-976F-8EAC2B608ADB}">
              <a16:predDERef xmlns:a16="http://schemas.microsoft.com/office/drawing/2014/main" pred="{A910F7C5-B446-4DA1-9FE1-7DCFBA6269F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946A661-CC58-45C5-B151-EBE7670C2612}"/>
            </a:ext>
            <a:ext uri="{147F2762-F138-4A5C-976F-8EAC2B608ADB}">
              <a16:predDERef xmlns:a16="http://schemas.microsoft.com/office/drawing/2014/main" pred="{9170EC5E-0912-4D19-BD9C-ACDF9C0AC33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510A6FE-970D-4126-A010-91468E6D2E38}"/>
            </a:ext>
            <a:ext uri="{147F2762-F138-4A5C-976F-8EAC2B608ADB}">
              <a16:predDERef xmlns:a16="http://schemas.microsoft.com/office/drawing/2014/main" pred="{5946A661-CC58-45C5-B151-EBE7670C26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8FB096B-5F3D-46CD-B235-1F59BEFCC242}"/>
            </a:ext>
            <a:ext uri="{147F2762-F138-4A5C-976F-8EAC2B608ADB}">
              <a16:predDERef xmlns:a16="http://schemas.microsoft.com/office/drawing/2014/main" pred="{A510A6FE-970D-4126-A010-91468E6D2E3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1261E1A6-C8E0-4200-BB74-1FF0859D1B32}"/>
            </a:ext>
            <a:ext uri="{147F2762-F138-4A5C-976F-8EAC2B608ADB}">
              <a16:predDERef xmlns:a16="http://schemas.microsoft.com/office/drawing/2014/main" pred="{B8FB096B-5F3D-46CD-B235-1F59BEFCC24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38C6088-B42B-4692-B8A5-F8DD8E1866F7}"/>
            </a:ext>
            <a:ext uri="{147F2762-F138-4A5C-976F-8EAC2B608ADB}">
              <a16:predDERef xmlns:a16="http://schemas.microsoft.com/office/drawing/2014/main" pred="{1261E1A6-C8E0-4200-BB74-1FF0859D1B3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7B5B41F-77B2-4B90-8BAC-C7C7DFC6BB1A}"/>
            </a:ext>
            <a:ext uri="{147F2762-F138-4A5C-976F-8EAC2B608ADB}">
              <a16:predDERef xmlns:a16="http://schemas.microsoft.com/office/drawing/2014/main" pred="{C38C6088-B42B-4692-B8A5-F8DD8E1866F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43</xdr:row>
      <xdr:rowOff>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3C99F758-D56C-4E07-B2DE-DA00ED147D6E}"/>
            </a:ext>
            <a:ext uri="{147F2762-F138-4A5C-976F-8EAC2B608ADB}">
              <a16:predDERef xmlns:a16="http://schemas.microsoft.com/office/drawing/2014/main" pred="{97B5B41F-77B2-4B90-8BAC-C7C7DFC6BB1A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79438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FB5CF24-77E2-4A96-87CC-D8B2B97EF137}"/>
            </a:ext>
            <a:ext uri="{147F2762-F138-4A5C-976F-8EAC2B608ADB}">
              <a16:predDERef xmlns:a16="http://schemas.microsoft.com/office/drawing/2014/main" pred="{3C99F758-D56C-4E07-B2DE-DA00ED147D6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9DFC27E-7216-4562-BAD8-B8ECE0E6B48E}"/>
            </a:ext>
            <a:ext uri="{147F2762-F138-4A5C-976F-8EAC2B608ADB}">
              <a16:predDERef xmlns:a16="http://schemas.microsoft.com/office/drawing/2014/main" pred="{EFB5CF24-77E2-4A96-87CC-D8B2B97EF13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0D98F54-3C66-476D-A42C-2C734E9FE4FF}"/>
            </a:ext>
            <a:ext uri="{147F2762-F138-4A5C-976F-8EAC2B608ADB}">
              <a16:predDERef xmlns:a16="http://schemas.microsoft.com/office/drawing/2014/main" pred="{99DFC27E-7216-4562-BAD8-B8ECE0E6B48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011EB977-3B07-4951-93E4-22CAF013AC2D}"/>
            </a:ext>
            <a:ext uri="{147F2762-F138-4A5C-976F-8EAC2B608ADB}">
              <a16:predDERef xmlns:a16="http://schemas.microsoft.com/office/drawing/2014/main" pred="{B0D98F54-3C66-476D-A42C-2C734E9FE4F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72F8EDB0-D846-4ADE-ACC5-93852EA0EC4C}"/>
            </a:ext>
            <a:ext uri="{147F2762-F138-4A5C-976F-8EAC2B608ADB}">
              <a16:predDERef xmlns:a16="http://schemas.microsoft.com/office/drawing/2014/main" pred="{011EB977-3B07-4951-93E4-22CAF013AC2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379EA83A-D38C-4491-A9DC-35F88DB7CDBD}"/>
            </a:ext>
            <a:ext uri="{147F2762-F138-4A5C-976F-8EAC2B608ADB}">
              <a16:predDERef xmlns:a16="http://schemas.microsoft.com/office/drawing/2014/main" pred="{72F8EDB0-D846-4ADE-ACC5-93852EA0EC4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59155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22ABCF0-87E0-489F-918A-CF34E719833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1B20482-8FDA-43D3-BC7F-24488FBEC6A3}"/>
            </a:ext>
            <a:ext uri="{147F2762-F138-4A5C-976F-8EAC2B608ADB}">
              <a16:predDERef xmlns:a16="http://schemas.microsoft.com/office/drawing/2014/main" pred="{C22ABCF0-87E0-489F-918A-CF34E719833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6200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9D0EF4F-3374-411A-A1AE-301498CE3D80}"/>
            </a:ext>
            <a:ext uri="{147F2762-F138-4A5C-976F-8EAC2B608ADB}">
              <a16:predDERef xmlns:a16="http://schemas.microsoft.com/office/drawing/2014/main" pred="{71B20482-8FDA-43D3-BC7F-24488FBEC6A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762002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C4469F-8C6C-46CB-97A9-955B15406CDD}"/>
            </a:ext>
            <a:ext uri="{147F2762-F138-4A5C-976F-8EAC2B608ADB}">
              <a16:predDERef xmlns:a16="http://schemas.microsoft.com/office/drawing/2014/main" pred="{19D0EF4F-3374-411A-A1AE-301498CE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864" y="1"/>
          <a:ext cx="1373188" cy="66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0BCAD3D-1CD8-4004-9A43-74320ADD95A5}"/>
            </a:ext>
            <a:ext uri="{147F2762-F138-4A5C-976F-8EAC2B608ADB}">
              <a16:predDERef xmlns:a16="http://schemas.microsoft.com/office/drawing/2014/main" pred="{4FC4469F-8C6C-46CB-97A9-955B15406CD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6A5713C-E57B-44A1-8496-D854EF1E909D}"/>
            </a:ext>
            <a:ext uri="{147F2762-F138-4A5C-976F-8EAC2B608ADB}">
              <a16:predDERef xmlns:a16="http://schemas.microsoft.com/office/drawing/2014/main" pred="{A0BCAD3D-1CD8-4004-9A43-74320ADD95A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6F7C50C-C7FE-4B9F-A1B0-DD62E76840D6}"/>
            </a:ext>
            <a:ext uri="{147F2762-F138-4A5C-976F-8EAC2B608ADB}">
              <a16:predDERef xmlns:a16="http://schemas.microsoft.com/office/drawing/2014/main" pred="{F6A5713C-E57B-44A1-8496-D854EF1E909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54D3AFA2-7D8F-48AA-BC9F-2FFABD47C247}"/>
            </a:ext>
            <a:ext uri="{147F2762-F138-4A5C-976F-8EAC2B608ADB}">
              <a16:predDERef xmlns:a16="http://schemas.microsoft.com/office/drawing/2014/main" pred="{16F7C50C-C7FE-4B9F-A1B0-DD62E76840D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B731B07-4ACE-49F5-9277-D0C21F5147F4}"/>
            </a:ext>
            <a:ext uri="{147F2762-F138-4A5C-976F-8EAC2B608ADB}">
              <a16:predDERef xmlns:a16="http://schemas.microsoft.com/office/drawing/2014/main" pred="{54D3AFA2-7D8F-48AA-BC9F-2FFABD47C24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2F32002-3CFB-4318-A3E2-4A5C83B6A285}"/>
            </a:ext>
            <a:ext uri="{147F2762-F138-4A5C-976F-8EAC2B608ADB}">
              <a16:predDERef xmlns:a16="http://schemas.microsoft.com/office/drawing/2014/main" pred="{1B731B07-4ACE-49F5-9277-D0C21F5147F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3F46DE36-A28E-4860-B9A8-55FB00282F13}"/>
            </a:ext>
            <a:ext uri="{147F2762-F138-4A5C-976F-8EAC2B608ADB}">
              <a16:predDERef xmlns:a16="http://schemas.microsoft.com/office/drawing/2014/main" pred="{D2F32002-3CFB-4318-A3E2-4A5C83B6A28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46</xdr:row>
      <xdr:rowOff>22860</xdr:rowOff>
    </xdr:from>
    <xdr:ext cx="304800" cy="313372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8A292A9-E3B9-4E25-A3B3-25DA4FFE2B6F}"/>
            </a:ext>
            <a:ext uri="{147F2762-F138-4A5C-976F-8EAC2B608ADB}">
              <a16:predDERef xmlns:a16="http://schemas.microsoft.com/office/drawing/2014/main" pred="{3F46DE36-A28E-4860-B9A8-55FB00282F13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812863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587FB718-C40A-498A-ACFF-2F36FA4803E7}"/>
            </a:ext>
            <a:ext uri="{147F2762-F138-4A5C-976F-8EAC2B608ADB}">
              <a16:predDERef xmlns:a16="http://schemas.microsoft.com/office/drawing/2014/main" pred="{28A292A9-E3B9-4E25-A3B3-25DA4FFE2B6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59EEE5F-91AD-4412-B672-A8B805CCF1C4}"/>
            </a:ext>
            <a:ext uri="{147F2762-F138-4A5C-976F-8EAC2B608ADB}">
              <a16:predDERef xmlns:a16="http://schemas.microsoft.com/office/drawing/2014/main" pred="{587FB718-C40A-498A-ACFF-2F36FA4803E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D59A94F-CD99-461C-836C-01695E2017AD}"/>
            </a:ext>
            <a:ext uri="{147F2762-F138-4A5C-976F-8EAC2B608ADB}">
              <a16:predDERef xmlns:a16="http://schemas.microsoft.com/office/drawing/2014/main" pred="{959EEE5F-91AD-4412-B672-A8B805CCF1C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52C2057-7582-47C2-B66E-E9D419531DAC}"/>
            </a:ext>
            <a:ext uri="{147F2762-F138-4A5C-976F-8EAC2B608ADB}">
              <a16:predDERef xmlns:a16="http://schemas.microsoft.com/office/drawing/2014/main" pred="{9D59A94F-CD99-461C-836C-01695E2017A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48C2A33-90F6-4EF4-B928-A9D79269A13E}"/>
            </a:ext>
            <a:ext uri="{147F2762-F138-4A5C-976F-8EAC2B608ADB}">
              <a16:predDERef xmlns:a16="http://schemas.microsoft.com/office/drawing/2014/main" pred="{452C2057-7582-47C2-B66E-E9D419531DA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30F3CAD-520C-415C-8454-1C5203A4DFAF}"/>
            </a:ext>
            <a:ext uri="{147F2762-F138-4A5C-976F-8EAC2B608ADB}">
              <a16:predDERef xmlns:a16="http://schemas.microsoft.com/office/drawing/2014/main" pred="{748C2A33-90F6-4EF4-B928-A9D79269A13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DA2C3FA-3FF9-494A-B291-D08402EB9CA6}"/>
            </a:ext>
            <a:ext uri="{147F2762-F138-4A5C-976F-8EAC2B608ADB}">
              <a16:predDERef xmlns:a16="http://schemas.microsoft.com/office/drawing/2014/main" pred="{130F3CAD-520C-415C-8454-1C5203A4DFA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46</xdr:row>
      <xdr:rowOff>0</xdr:rowOff>
    </xdr:from>
    <xdr:ext cx="304800" cy="31337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CF552C6-17BB-4DBB-ACBE-03E5F24DBDBB}"/>
            </a:ext>
            <a:ext uri="{147F2762-F138-4A5C-976F-8EAC2B608ADB}">
              <a16:predDERef xmlns:a16="http://schemas.microsoft.com/office/drawing/2014/main" pred="{3DA2C3FA-3FF9-494A-B291-D08402EB9CA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10577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8182BAB-3A48-41F7-9B35-C2B29C487DA0}"/>
            </a:ext>
            <a:ext uri="{147F2762-F138-4A5C-976F-8EAC2B608ADB}">
              <a16:predDERef xmlns:a16="http://schemas.microsoft.com/office/drawing/2014/main" pred="{ACF552C6-17BB-4DBB-ACBE-03E5F24DBDB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7BE49300-4B24-4762-822A-49038C896A13}"/>
            </a:ext>
            <a:ext uri="{147F2762-F138-4A5C-976F-8EAC2B608ADB}">
              <a16:predDERef xmlns:a16="http://schemas.microsoft.com/office/drawing/2014/main" pred="{D8182BAB-3A48-41F7-9B35-C2B29C487DA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7E66FB6A-4DFD-4906-9F77-CD2DD1B27744}"/>
            </a:ext>
            <a:ext uri="{147F2762-F138-4A5C-976F-8EAC2B608ADB}">
              <a16:predDERef xmlns:a16="http://schemas.microsoft.com/office/drawing/2014/main" pred="{7BE49300-4B24-4762-822A-49038C896A1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53C87915-2CAD-42CC-B66A-36C17F6A5540}"/>
            </a:ext>
            <a:ext uri="{147F2762-F138-4A5C-976F-8EAC2B608ADB}">
              <a16:predDERef xmlns:a16="http://schemas.microsoft.com/office/drawing/2014/main" pred="{7E66FB6A-4DFD-4906-9F77-CD2DD1B2774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DD5CAC3-6323-42BD-BDBF-276EC1C97997}"/>
            </a:ext>
            <a:ext uri="{147F2762-F138-4A5C-976F-8EAC2B608ADB}">
              <a16:predDERef xmlns:a16="http://schemas.microsoft.com/office/drawing/2014/main" pred="{53C87915-2CAD-42CC-B66A-36C17F6A554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68EAF4D8-1927-45CC-AC4D-728595936B3E}"/>
            </a:ext>
            <a:ext uri="{147F2762-F138-4A5C-976F-8EAC2B608ADB}">
              <a16:predDERef xmlns:a16="http://schemas.microsoft.com/office/drawing/2014/main" pred="{0DD5CAC3-6323-42BD-BDBF-276EC1C9799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E71BDCCB-5880-431A-9C91-B655C4E323FE}"/>
            </a:ext>
            <a:ext uri="{147F2762-F138-4A5C-976F-8EAC2B608ADB}">
              <a16:predDERef xmlns:a16="http://schemas.microsoft.com/office/drawing/2014/main" pred="{68EAF4D8-1927-45CC-AC4D-728595936B3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6D32FBB-2768-40DA-A5E1-48CC2A2B7126}"/>
            </a:ext>
            <a:ext uri="{147F2762-F138-4A5C-976F-8EAC2B608ADB}">
              <a16:predDERef xmlns:a16="http://schemas.microsoft.com/office/drawing/2014/main" pred="{E71BDCCB-5880-431A-9C91-B655C4E323F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630BFF4-8227-43AB-B2A0-53DF507466C4}"/>
            </a:ext>
            <a:ext uri="{147F2762-F138-4A5C-976F-8EAC2B608ADB}">
              <a16:predDERef xmlns:a16="http://schemas.microsoft.com/office/drawing/2014/main" pred="{86D32FBB-2768-40DA-A5E1-48CC2A2B712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DB7C678C-E813-437B-8405-D71FA40C98D8}"/>
            </a:ext>
            <a:ext uri="{147F2762-F138-4A5C-976F-8EAC2B608ADB}">
              <a16:predDERef xmlns:a16="http://schemas.microsoft.com/office/drawing/2014/main" pred="{C630BFF4-8227-43AB-B2A0-53DF507466C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13372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9B26723-7A20-4FC3-B020-8DFC404A4322}"/>
            </a:ext>
            <a:ext uri="{147F2762-F138-4A5C-976F-8EAC2B608ADB}">
              <a16:predDERef xmlns:a16="http://schemas.microsoft.com/office/drawing/2014/main" pred="{DB7C678C-E813-437B-8405-D71FA40C98D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B0C31906-A7B0-487E-A796-099BC0E7508F}"/>
            </a:ext>
            <a:ext uri="{147F2762-F138-4A5C-976F-8EAC2B608ADB}">
              <a16:predDERef xmlns:a16="http://schemas.microsoft.com/office/drawing/2014/main" pred="{99B26723-7A20-4FC3-B020-8DFC404A432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AEA4AC9-78C9-4103-B256-6CABAB09342E}"/>
            </a:ext>
            <a:ext uri="{147F2762-F138-4A5C-976F-8EAC2B608ADB}">
              <a16:predDERef xmlns:a16="http://schemas.microsoft.com/office/drawing/2014/main" pred="{B0C31906-A7B0-487E-A796-099BC0E7508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19384A9-EA29-4790-A8F0-476CD4B896D7}"/>
            </a:ext>
            <a:ext uri="{147F2762-F138-4A5C-976F-8EAC2B608ADB}">
              <a16:predDERef xmlns:a16="http://schemas.microsoft.com/office/drawing/2014/main" pred="{9AEA4AC9-78C9-4103-B256-6CABAB09342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B89E5C7B-BA31-48DA-9E56-56E709B0EB7C}"/>
            </a:ext>
            <a:ext uri="{147F2762-F138-4A5C-976F-8EAC2B608ADB}">
              <a16:predDERef xmlns:a16="http://schemas.microsoft.com/office/drawing/2014/main" pred="{A19384A9-EA29-4790-A8F0-476CD4B896D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52F33853-F78B-4BDC-9541-02BF0C24A87A}"/>
            </a:ext>
            <a:ext uri="{147F2762-F138-4A5C-976F-8EAC2B608ADB}">
              <a16:predDERef xmlns:a16="http://schemas.microsoft.com/office/drawing/2014/main" pred="{B89E5C7B-BA31-48DA-9E56-56E709B0EB7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95895960-9F3D-43A8-9BD6-DEFF14A5EE6B}"/>
            </a:ext>
            <a:ext uri="{147F2762-F138-4A5C-976F-8EAC2B608ADB}">
              <a16:predDERef xmlns:a16="http://schemas.microsoft.com/office/drawing/2014/main" pred="{52F33853-F78B-4BDC-9541-02BF0C24A87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4ABE8B1D-41D1-47DD-B3B5-748A04E238ED}"/>
            </a:ext>
            <a:ext uri="{147F2762-F138-4A5C-976F-8EAC2B608ADB}">
              <a16:predDERef xmlns:a16="http://schemas.microsoft.com/office/drawing/2014/main" pred="{95895960-9F3D-43A8-9BD6-DEFF14A5EE6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49BA6A6E-AF71-42A5-AA97-628B2F99EA3F}"/>
            </a:ext>
            <a:ext uri="{147F2762-F138-4A5C-976F-8EAC2B608ADB}">
              <a16:predDERef xmlns:a16="http://schemas.microsoft.com/office/drawing/2014/main" pred="{4ABE8B1D-41D1-47DD-B3B5-748A04E238E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462950A8-9529-4A20-AF1A-23D90512986C}"/>
            </a:ext>
            <a:ext uri="{147F2762-F138-4A5C-976F-8EAC2B608ADB}">
              <a16:predDERef xmlns:a16="http://schemas.microsoft.com/office/drawing/2014/main" pred="{49BA6A6E-AF71-42A5-AA97-628B2F99EA3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4BD6E26-3887-42D7-8BA2-74BE1485C1FF}"/>
            </a:ext>
            <a:ext uri="{147F2762-F138-4A5C-976F-8EAC2B608ADB}">
              <a16:predDERef xmlns:a16="http://schemas.microsoft.com/office/drawing/2014/main" pred="{462950A8-9529-4A20-AF1A-23D90512986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720ACD8C-3496-4938-8411-BB40216605DB}"/>
            </a:ext>
            <a:ext uri="{147F2762-F138-4A5C-976F-8EAC2B608ADB}">
              <a16:predDERef xmlns:a16="http://schemas.microsoft.com/office/drawing/2014/main" pred="{04BD6E26-3887-42D7-8BA2-74BE1485C1F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2963926F-CA84-46D3-AFC3-E0D80F6B717C}"/>
            </a:ext>
            <a:ext uri="{147F2762-F138-4A5C-976F-8EAC2B608ADB}">
              <a16:predDERef xmlns:a16="http://schemas.microsoft.com/office/drawing/2014/main" pred="{720ACD8C-3496-4938-8411-BB40216605D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7FAB9115-CF80-4826-B075-CE525645548F}"/>
            </a:ext>
            <a:ext uri="{147F2762-F138-4A5C-976F-8EAC2B608ADB}">
              <a16:predDERef xmlns:a16="http://schemas.microsoft.com/office/drawing/2014/main" pred="{2963926F-CA84-46D3-AFC3-E0D80F6B717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13372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854D305-19DA-441A-8D1B-A3D29603E4BA}"/>
            </a:ext>
            <a:ext uri="{147F2762-F138-4A5C-976F-8EAC2B608ADB}">
              <a16:predDERef xmlns:a16="http://schemas.microsoft.com/office/drawing/2014/main" pred="{7FAB9115-CF80-4826-B075-CE525645548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2677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D08487A-4CDD-4785-A1DD-D589DFF00607}"/>
            </a:ext>
            <a:ext uri="{147F2762-F138-4A5C-976F-8EAC2B608ADB}">
              <a16:predDERef xmlns:a16="http://schemas.microsoft.com/office/drawing/2014/main" pred="{9854D305-19DA-441A-8D1B-A3D29603E4B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967740</xdr:colOff>
      <xdr:row>44</xdr:row>
      <xdr:rowOff>0</xdr:rowOff>
    </xdr:from>
    <xdr:ext cx="304800" cy="313372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A36BD5AB-78C5-432C-ADE7-C5C0095F4467}"/>
            </a:ext>
            <a:ext uri="{147F2762-F138-4A5C-976F-8EAC2B608ADB}">
              <a16:predDERef xmlns:a16="http://schemas.microsoft.com/office/drawing/2014/main" pred="{9D08487A-4CDD-4785-A1DD-D589DFF00607}"/>
            </a:ext>
          </a:extLst>
        </xdr:cNvPr>
        <xdr:cNvSpPr>
          <a:spLocks noChangeAspect="1" noChangeArrowheads="1"/>
        </xdr:cNvSpPr>
      </xdr:nvSpPr>
      <xdr:spPr bwMode="auto">
        <a:xfrm>
          <a:off x="12150090" y="77819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222C2A4-DE35-47A2-80D5-6190765AD4DD}"/>
            </a:ext>
            <a:ext uri="{147F2762-F138-4A5C-976F-8EAC2B608ADB}">
              <a16:predDERef xmlns:a16="http://schemas.microsoft.com/office/drawing/2014/main" pred="{A36BD5AB-78C5-432C-ADE7-C5C0095F446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A60EBFC6-ADE4-4300-A91B-E22097E229FC}"/>
            </a:ext>
            <a:ext uri="{147F2762-F138-4A5C-976F-8EAC2B608ADB}">
              <a16:predDERef xmlns:a16="http://schemas.microsoft.com/office/drawing/2014/main" pred="{2222C2A4-DE35-47A2-80D5-6190765AD4D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6DC9BBAC-B4B7-4941-8BFB-11650B90BF03}"/>
            </a:ext>
            <a:ext uri="{147F2762-F138-4A5C-976F-8EAC2B608ADB}">
              <a16:predDERef xmlns:a16="http://schemas.microsoft.com/office/drawing/2014/main" pred="{A60EBFC6-ADE4-4300-A91B-E22097E229FC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C4FF490-C895-419A-9C38-802314DF6950}"/>
            </a:ext>
            <a:ext uri="{147F2762-F138-4A5C-976F-8EAC2B608ADB}">
              <a16:predDERef xmlns:a16="http://schemas.microsoft.com/office/drawing/2014/main" pred="{6DC9BBAC-B4B7-4941-8BFB-11650B90BF0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3FDCE15-650F-4756-9430-5F219589263A}"/>
            </a:ext>
            <a:ext uri="{147F2762-F138-4A5C-976F-8EAC2B608ADB}">
              <a16:predDERef xmlns:a16="http://schemas.microsoft.com/office/drawing/2014/main" pred="{6C4FF490-C895-419A-9C38-802314DF695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513DCD4-A658-4227-BB16-4F79CBFB557D}"/>
            </a:ext>
            <a:ext uri="{147F2762-F138-4A5C-976F-8EAC2B608ADB}">
              <a16:predDERef xmlns:a16="http://schemas.microsoft.com/office/drawing/2014/main" pred="{03FDCE15-650F-4756-9430-5F219589263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29625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F9D3-6F36-4902-9530-AA583BD87307}">
  <dimension ref="B1:N436"/>
  <sheetViews>
    <sheetView topLeftCell="A389" workbookViewId="0">
      <selection activeCell="B404" sqref="B404"/>
    </sheetView>
  </sheetViews>
  <sheetFormatPr defaultColWidth="11.42578125" defaultRowHeight="13.15"/>
  <cols>
    <col min="2" max="2" width="13.85546875" customWidth="1"/>
    <col min="3" max="3" width="45" style="20" bestFit="1" customWidth="1"/>
    <col min="4" max="4" width="45" style="20" customWidth="1"/>
    <col min="6" max="6" width="28.28515625" customWidth="1"/>
    <col min="8" max="8" width="23.140625" bestFit="1" customWidth="1"/>
    <col min="10" max="10" width="23.140625" bestFit="1" customWidth="1"/>
    <col min="14" max="14" width="18.7109375" customWidth="1"/>
  </cols>
  <sheetData>
    <row r="1" spans="2:14" ht="14.45">
      <c r="B1" s="21" t="s">
        <v>0</v>
      </c>
      <c r="C1" s="21" t="s">
        <v>1</v>
      </c>
      <c r="D1" s="21" t="s">
        <v>2</v>
      </c>
      <c r="F1" s="14" t="s">
        <v>3</v>
      </c>
      <c r="H1" s="18" t="s">
        <v>4</v>
      </c>
      <c r="J1" s="18" t="s">
        <v>5</v>
      </c>
      <c r="L1" s="18" t="s">
        <v>6</v>
      </c>
      <c r="N1" s="22" t="s">
        <v>7</v>
      </c>
    </row>
    <row r="2" spans="2:14">
      <c r="B2" s="10" t="s">
        <v>8</v>
      </c>
      <c r="C2" s="15" t="s">
        <v>9</v>
      </c>
      <c r="D2" s="15" t="s">
        <v>10</v>
      </c>
      <c r="F2" s="7" t="s">
        <v>11</v>
      </c>
      <c r="H2" s="7" t="s">
        <v>12</v>
      </c>
      <c r="J2" s="7" t="s">
        <v>13</v>
      </c>
      <c r="L2" s="7" t="s">
        <v>14</v>
      </c>
      <c r="N2" s="7" t="s">
        <v>15</v>
      </c>
    </row>
    <row r="3" spans="2:14">
      <c r="B3" s="10" t="s">
        <v>16</v>
      </c>
      <c r="C3" s="15" t="s">
        <v>17</v>
      </c>
      <c r="D3" s="15" t="s">
        <v>18</v>
      </c>
      <c r="F3" s="7" t="s">
        <v>19</v>
      </c>
      <c r="H3" s="7" t="s">
        <v>20</v>
      </c>
      <c r="J3" s="7" t="s">
        <v>21</v>
      </c>
      <c r="L3" s="7" t="s">
        <v>22</v>
      </c>
      <c r="N3" s="7" t="s">
        <v>23</v>
      </c>
    </row>
    <row r="4" spans="2:14">
      <c r="B4" s="10" t="s">
        <v>24</v>
      </c>
      <c r="C4" s="15" t="s">
        <v>25</v>
      </c>
      <c r="D4" s="15" t="s">
        <v>26</v>
      </c>
      <c r="F4" s="7" t="s">
        <v>27</v>
      </c>
      <c r="H4" s="7" t="s">
        <v>28</v>
      </c>
      <c r="J4" s="7" t="s">
        <v>29</v>
      </c>
      <c r="N4" s="7" t="s">
        <v>30</v>
      </c>
    </row>
    <row r="5" spans="2:14">
      <c r="B5" s="10" t="s">
        <v>31</v>
      </c>
      <c r="C5" s="15" t="s">
        <v>32</v>
      </c>
      <c r="D5" s="15" t="s">
        <v>33</v>
      </c>
      <c r="F5" s="7" t="s">
        <v>34</v>
      </c>
      <c r="H5" s="7" t="s">
        <v>35</v>
      </c>
      <c r="J5" s="7" t="s">
        <v>36</v>
      </c>
      <c r="N5" s="7" t="s">
        <v>37</v>
      </c>
    </row>
    <row r="6" spans="2:14">
      <c r="B6" s="10" t="s">
        <v>38</v>
      </c>
      <c r="C6" s="15" t="s">
        <v>39</v>
      </c>
      <c r="D6" s="15" t="s">
        <v>40</v>
      </c>
      <c r="F6" s="7" t="s">
        <v>41</v>
      </c>
      <c r="H6" s="7" t="s">
        <v>42</v>
      </c>
      <c r="J6" s="7" t="s">
        <v>43</v>
      </c>
    </row>
    <row r="7" spans="2:14">
      <c r="B7" s="10" t="s">
        <v>44</v>
      </c>
      <c r="C7" s="15" t="s">
        <v>45</v>
      </c>
      <c r="D7" s="15" t="s">
        <v>18</v>
      </c>
      <c r="F7" s="7" t="s">
        <v>46</v>
      </c>
      <c r="H7" s="7" t="s">
        <v>47</v>
      </c>
      <c r="J7" s="7" t="s">
        <v>48</v>
      </c>
    </row>
    <row r="8" spans="2:14">
      <c r="B8" s="10" t="s">
        <v>49</v>
      </c>
      <c r="C8" s="15" t="s">
        <v>50</v>
      </c>
      <c r="D8" s="15" t="s">
        <v>18</v>
      </c>
      <c r="F8" s="7" t="s">
        <v>51</v>
      </c>
      <c r="J8" s="7" t="s">
        <v>52</v>
      </c>
    </row>
    <row r="9" spans="2:14">
      <c r="B9" s="10" t="s">
        <v>53</v>
      </c>
      <c r="C9" s="15" t="s">
        <v>54</v>
      </c>
      <c r="D9" s="15" t="s">
        <v>55</v>
      </c>
      <c r="F9" s="7" t="s">
        <v>56</v>
      </c>
      <c r="J9" s="7" t="s">
        <v>57</v>
      </c>
    </row>
    <row r="10" spans="2:14">
      <c r="B10" s="10" t="s">
        <v>58</v>
      </c>
      <c r="C10" s="15" t="s">
        <v>59</v>
      </c>
      <c r="D10" s="15" t="s">
        <v>26</v>
      </c>
      <c r="F10" s="7" t="s">
        <v>60</v>
      </c>
      <c r="J10" s="7" t="s">
        <v>61</v>
      </c>
    </row>
    <row r="11" spans="2:14">
      <c r="B11" s="10" t="s">
        <v>62</v>
      </c>
      <c r="C11" s="15" t="s">
        <v>63</v>
      </c>
      <c r="D11" s="15" t="s">
        <v>26</v>
      </c>
      <c r="F11" s="7" t="s">
        <v>64</v>
      </c>
    </row>
    <row r="12" spans="2:14">
      <c r="B12" s="10" t="s">
        <v>65</v>
      </c>
      <c r="C12" s="15" t="s">
        <v>66</v>
      </c>
      <c r="D12" s="15" t="s">
        <v>67</v>
      </c>
      <c r="F12" s="7" t="s">
        <v>68</v>
      </c>
    </row>
    <row r="13" spans="2:14">
      <c r="B13" s="10" t="s">
        <v>69</v>
      </c>
      <c r="C13" s="15" t="s">
        <v>70</v>
      </c>
      <c r="D13" s="15" t="s">
        <v>71</v>
      </c>
      <c r="F13" s="7" t="s">
        <v>72</v>
      </c>
    </row>
    <row r="14" spans="2:14">
      <c r="B14" s="10" t="s">
        <v>73</v>
      </c>
      <c r="C14" s="15" t="s">
        <v>74</v>
      </c>
      <c r="D14" s="15" t="s">
        <v>55</v>
      </c>
      <c r="F14" s="7" t="s">
        <v>75</v>
      </c>
    </row>
    <row r="15" spans="2:14">
      <c r="B15" s="10" t="s">
        <v>76</v>
      </c>
      <c r="C15" s="15" t="s">
        <v>77</v>
      </c>
      <c r="D15" s="15" t="s">
        <v>78</v>
      </c>
      <c r="F15" s="7" t="s">
        <v>79</v>
      </c>
    </row>
    <row r="16" spans="2:14">
      <c r="B16" s="10" t="s">
        <v>80</v>
      </c>
      <c r="C16" s="15" t="s">
        <v>81</v>
      </c>
      <c r="D16" s="15" t="s">
        <v>55</v>
      </c>
      <c r="F16" s="7" t="s">
        <v>82</v>
      </c>
    </row>
    <row r="17" spans="2:6">
      <c r="B17" s="10" t="s">
        <v>83</v>
      </c>
      <c r="C17" s="15" t="s">
        <v>84</v>
      </c>
      <c r="D17" s="15" t="s">
        <v>18</v>
      </c>
      <c r="F17" s="7" t="s">
        <v>85</v>
      </c>
    </row>
    <row r="18" spans="2:6">
      <c r="B18" s="10" t="s">
        <v>86</v>
      </c>
      <c r="C18" s="15" t="s">
        <v>87</v>
      </c>
      <c r="D18" s="15" t="s">
        <v>67</v>
      </c>
      <c r="F18" s="7" t="s">
        <v>88</v>
      </c>
    </row>
    <row r="19" spans="2:6">
      <c r="B19" s="10" t="s">
        <v>89</v>
      </c>
      <c r="C19" s="15" t="s">
        <v>90</v>
      </c>
      <c r="D19" s="15" t="s">
        <v>91</v>
      </c>
      <c r="F19" s="7" t="s">
        <v>92</v>
      </c>
    </row>
    <row r="20" spans="2:6">
      <c r="B20" s="10" t="s">
        <v>93</v>
      </c>
      <c r="C20" s="15" t="s">
        <v>94</v>
      </c>
      <c r="D20" s="15" t="s">
        <v>67</v>
      </c>
      <c r="F20" s="7" t="s">
        <v>95</v>
      </c>
    </row>
    <row r="21" spans="2:6">
      <c r="B21" s="10" t="s">
        <v>96</v>
      </c>
      <c r="C21" s="15" t="s">
        <v>97</v>
      </c>
      <c r="D21" s="15" t="s">
        <v>55</v>
      </c>
    </row>
    <row r="22" spans="2:6">
      <c r="B22" s="10" t="s">
        <v>98</v>
      </c>
      <c r="C22" s="15" t="s">
        <v>99</v>
      </c>
      <c r="D22" s="15" t="s">
        <v>26</v>
      </c>
    </row>
    <row r="23" spans="2:6">
      <c r="B23" s="10" t="s">
        <v>100</v>
      </c>
      <c r="C23" s="15" t="s">
        <v>101</v>
      </c>
      <c r="D23" s="15" t="s">
        <v>26</v>
      </c>
    </row>
    <row r="24" spans="2:6">
      <c r="B24" s="10" t="s">
        <v>102</v>
      </c>
      <c r="C24" s="15" t="s">
        <v>103</v>
      </c>
      <c r="D24" s="15" t="s">
        <v>40</v>
      </c>
    </row>
    <row r="25" spans="2:6">
      <c r="B25" s="10" t="s">
        <v>104</v>
      </c>
      <c r="C25" s="15" t="s">
        <v>105</v>
      </c>
      <c r="D25" s="15" t="s">
        <v>106</v>
      </c>
    </row>
    <row r="26" spans="2:6">
      <c r="B26" s="10" t="s">
        <v>107</v>
      </c>
      <c r="C26" s="15" t="s">
        <v>108</v>
      </c>
      <c r="D26" s="15" t="s">
        <v>109</v>
      </c>
    </row>
    <row r="27" spans="2:6">
      <c r="B27" s="10" t="s">
        <v>110</v>
      </c>
      <c r="C27" s="15" t="s">
        <v>111</v>
      </c>
      <c r="D27" s="15" t="s">
        <v>26</v>
      </c>
    </row>
    <row r="28" spans="2:6">
      <c r="B28" s="10" t="s">
        <v>112</v>
      </c>
      <c r="C28" s="15" t="s">
        <v>113</v>
      </c>
      <c r="D28" s="15" t="s">
        <v>55</v>
      </c>
    </row>
    <row r="29" spans="2:6">
      <c r="B29" s="10" t="s">
        <v>114</v>
      </c>
      <c r="C29" s="15" t="s">
        <v>115</v>
      </c>
      <c r="D29" s="15" t="s">
        <v>18</v>
      </c>
    </row>
    <row r="30" spans="2:6">
      <c r="B30" s="10" t="s">
        <v>116</v>
      </c>
      <c r="C30" s="15" t="s">
        <v>117</v>
      </c>
      <c r="D30" s="15" t="s">
        <v>67</v>
      </c>
    </row>
    <row r="31" spans="2:6">
      <c r="B31" s="10" t="s">
        <v>118</v>
      </c>
      <c r="C31" s="15" t="s">
        <v>119</v>
      </c>
      <c r="D31" s="15" t="s">
        <v>55</v>
      </c>
    </row>
    <row r="32" spans="2:6">
      <c r="B32" s="10" t="s">
        <v>120</v>
      </c>
      <c r="C32" s="15" t="s">
        <v>121</v>
      </c>
      <c r="D32" s="15" t="s">
        <v>122</v>
      </c>
    </row>
    <row r="33" spans="2:4">
      <c r="B33" s="10" t="s">
        <v>123</v>
      </c>
      <c r="C33" s="15" t="s">
        <v>124</v>
      </c>
      <c r="D33" s="15" t="s">
        <v>67</v>
      </c>
    </row>
    <row r="34" spans="2:4">
      <c r="B34" s="10" t="s">
        <v>125</v>
      </c>
      <c r="C34" s="15" t="s">
        <v>126</v>
      </c>
      <c r="D34" s="15" t="s">
        <v>40</v>
      </c>
    </row>
    <row r="35" spans="2:4">
      <c r="B35" s="10" t="s">
        <v>127</v>
      </c>
      <c r="C35" s="15" t="s">
        <v>128</v>
      </c>
      <c r="D35" s="15" t="s">
        <v>67</v>
      </c>
    </row>
    <row r="36" spans="2:4">
      <c r="B36" s="10" t="s">
        <v>129</v>
      </c>
      <c r="C36" s="15" t="s">
        <v>130</v>
      </c>
      <c r="D36" s="15" t="s">
        <v>131</v>
      </c>
    </row>
    <row r="37" spans="2:4">
      <c r="B37" s="10" t="s">
        <v>132</v>
      </c>
      <c r="C37" s="15" t="s">
        <v>133</v>
      </c>
      <c r="D37" s="15" t="s">
        <v>78</v>
      </c>
    </row>
    <row r="38" spans="2:4">
      <c r="B38" s="10" t="s">
        <v>134</v>
      </c>
      <c r="C38" s="15" t="s">
        <v>135</v>
      </c>
      <c r="D38" s="15" t="s">
        <v>26</v>
      </c>
    </row>
    <row r="39" spans="2:4">
      <c r="B39" s="10" t="s">
        <v>136</v>
      </c>
      <c r="C39" s="15" t="s">
        <v>137</v>
      </c>
      <c r="D39" s="15" t="s">
        <v>55</v>
      </c>
    </row>
    <row r="40" spans="2:4">
      <c r="B40" s="10" t="s">
        <v>138</v>
      </c>
      <c r="C40" s="15" t="s">
        <v>139</v>
      </c>
      <c r="D40" s="15" t="s">
        <v>26</v>
      </c>
    </row>
    <row r="41" spans="2:4">
      <c r="B41" s="10" t="s">
        <v>140</v>
      </c>
      <c r="C41" s="15" t="s">
        <v>141</v>
      </c>
      <c r="D41" s="15" t="s">
        <v>26</v>
      </c>
    </row>
    <row r="42" spans="2:4">
      <c r="B42" s="10" t="s">
        <v>142</v>
      </c>
      <c r="C42" s="15" t="s">
        <v>143</v>
      </c>
      <c r="D42" s="15" t="s">
        <v>40</v>
      </c>
    </row>
    <row r="43" spans="2:4">
      <c r="B43" s="10" t="s">
        <v>144</v>
      </c>
      <c r="C43" s="15" t="s">
        <v>145</v>
      </c>
      <c r="D43" s="15" t="s">
        <v>55</v>
      </c>
    </row>
    <row r="44" spans="2:4">
      <c r="B44" s="10" t="s">
        <v>146</v>
      </c>
      <c r="C44" s="15" t="s">
        <v>147</v>
      </c>
      <c r="D44" s="15" t="s">
        <v>148</v>
      </c>
    </row>
    <row r="45" spans="2:4">
      <c r="B45" s="10" t="s">
        <v>149</v>
      </c>
      <c r="C45" s="15" t="s">
        <v>150</v>
      </c>
      <c r="D45" s="15" t="s">
        <v>18</v>
      </c>
    </row>
    <row r="46" spans="2:4">
      <c r="B46" s="10" t="s">
        <v>151</v>
      </c>
      <c r="C46" s="15" t="s">
        <v>152</v>
      </c>
      <c r="D46" s="15" t="s">
        <v>153</v>
      </c>
    </row>
    <row r="47" spans="2:4">
      <c r="B47" s="10" t="s">
        <v>154</v>
      </c>
      <c r="C47" s="15" t="s">
        <v>155</v>
      </c>
      <c r="D47" s="15" t="s">
        <v>26</v>
      </c>
    </row>
    <row r="48" spans="2:4">
      <c r="B48" s="10" t="s">
        <v>156</v>
      </c>
      <c r="C48" s="15" t="s">
        <v>157</v>
      </c>
      <c r="D48" s="15" t="s">
        <v>18</v>
      </c>
    </row>
    <row r="49" spans="2:4">
      <c r="B49" s="10" t="s">
        <v>158</v>
      </c>
      <c r="C49" s="15" t="s">
        <v>159</v>
      </c>
      <c r="D49" s="15" t="s">
        <v>18</v>
      </c>
    </row>
    <row r="50" spans="2:4">
      <c r="B50" s="10" t="s">
        <v>160</v>
      </c>
      <c r="C50" s="15" t="s">
        <v>161</v>
      </c>
      <c r="D50" s="15" t="s">
        <v>78</v>
      </c>
    </row>
    <row r="51" spans="2:4" s="1" customFormat="1">
      <c r="B51" s="10" t="s">
        <v>162</v>
      </c>
      <c r="C51" s="15" t="s">
        <v>163</v>
      </c>
      <c r="D51" s="15" t="s">
        <v>26</v>
      </c>
    </row>
    <row r="52" spans="2:4">
      <c r="B52" s="10" t="s">
        <v>164</v>
      </c>
      <c r="C52" s="15" t="s">
        <v>165</v>
      </c>
      <c r="D52" s="15" t="s">
        <v>78</v>
      </c>
    </row>
    <row r="53" spans="2:4">
      <c r="B53" s="10" t="s">
        <v>166</v>
      </c>
      <c r="C53" s="15" t="s">
        <v>167</v>
      </c>
      <c r="D53" s="15" t="s">
        <v>168</v>
      </c>
    </row>
    <row r="54" spans="2:4">
      <c r="B54" s="10" t="s">
        <v>169</v>
      </c>
      <c r="C54" s="15" t="s">
        <v>170</v>
      </c>
      <c r="D54" s="15" t="s">
        <v>26</v>
      </c>
    </row>
    <row r="55" spans="2:4">
      <c r="B55" s="10" t="s">
        <v>171</v>
      </c>
      <c r="C55" s="15" t="s">
        <v>172</v>
      </c>
      <c r="D55" s="15" t="s">
        <v>40</v>
      </c>
    </row>
    <row r="56" spans="2:4">
      <c r="B56" s="10" t="s">
        <v>173</v>
      </c>
      <c r="C56" s="15" t="s">
        <v>174</v>
      </c>
      <c r="D56" s="15" t="s">
        <v>55</v>
      </c>
    </row>
    <row r="57" spans="2:4">
      <c r="B57" s="10" t="s">
        <v>175</v>
      </c>
      <c r="C57" s="15" t="s">
        <v>176</v>
      </c>
      <c r="D57" s="15" t="s">
        <v>177</v>
      </c>
    </row>
    <row r="58" spans="2:4">
      <c r="B58" s="10" t="s">
        <v>178</v>
      </c>
      <c r="C58" s="15" t="s">
        <v>179</v>
      </c>
      <c r="D58" s="15" t="s">
        <v>67</v>
      </c>
    </row>
    <row r="59" spans="2:4">
      <c r="B59" s="10" t="s">
        <v>180</v>
      </c>
      <c r="C59" s="15" t="s">
        <v>181</v>
      </c>
      <c r="D59" s="15" t="s">
        <v>182</v>
      </c>
    </row>
    <row r="60" spans="2:4">
      <c r="B60" s="10" t="s">
        <v>183</v>
      </c>
      <c r="C60" s="15" t="s">
        <v>184</v>
      </c>
      <c r="D60" s="15" t="s">
        <v>78</v>
      </c>
    </row>
    <row r="61" spans="2:4">
      <c r="B61" s="10" t="s">
        <v>185</v>
      </c>
      <c r="C61" s="15" t="s">
        <v>186</v>
      </c>
      <c r="D61" s="15" t="s">
        <v>26</v>
      </c>
    </row>
    <row r="62" spans="2:4">
      <c r="B62" s="10" t="s">
        <v>187</v>
      </c>
      <c r="C62" s="15" t="s">
        <v>188</v>
      </c>
      <c r="D62" s="15" t="s">
        <v>78</v>
      </c>
    </row>
    <row r="63" spans="2:4">
      <c r="B63" s="10" t="s">
        <v>189</v>
      </c>
      <c r="C63" s="15" t="s">
        <v>190</v>
      </c>
      <c r="D63" s="15" t="s">
        <v>109</v>
      </c>
    </row>
    <row r="64" spans="2:4">
      <c r="B64" s="10" t="s">
        <v>191</v>
      </c>
      <c r="C64" s="15" t="s">
        <v>192</v>
      </c>
      <c r="D64" s="15" t="s">
        <v>26</v>
      </c>
    </row>
    <row r="65" spans="2:4">
      <c r="B65" s="10" t="s">
        <v>193</v>
      </c>
      <c r="C65" s="15" t="s">
        <v>194</v>
      </c>
      <c r="D65" s="15" t="s">
        <v>26</v>
      </c>
    </row>
    <row r="66" spans="2:4">
      <c r="B66" s="10" t="s">
        <v>195</v>
      </c>
      <c r="C66" s="15" t="s">
        <v>196</v>
      </c>
      <c r="D66" s="15" t="s">
        <v>197</v>
      </c>
    </row>
    <row r="67" spans="2:4">
      <c r="B67" s="10" t="s">
        <v>198</v>
      </c>
      <c r="C67" s="15" t="s">
        <v>199</v>
      </c>
      <c r="D67" s="15" t="s">
        <v>200</v>
      </c>
    </row>
    <row r="68" spans="2:4">
      <c r="B68" s="10" t="s">
        <v>201</v>
      </c>
      <c r="C68" s="15" t="s">
        <v>202</v>
      </c>
      <c r="D68" s="15" t="s">
        <v>26</v>
      </c>
    </row>
    <row r="69" spans="2:4">
      <c r="B69" s="10" t="s">
        <v>203</v>
      </c>
      <c r="C69" s="15" t="s">
        <v>204</v>
      </c>
      <c r="D69" s="15" t="s">
        <v>67</v>
      </c>
    </row>
    <row r="70" spans="2:4">
      <c r="B70" s="10" t="s">
        <v>205</v>
      </c>
      <c r="C70" s="15" t="s">
        <v>206</v>
      </c>
      <c r="D70" s="15" t="s">
        <v>207</v>
      </c>
    </row>
    <row r="71" spans="2:4">
      <c r="B71" s="10" t="s">
        <v>208</v>
      </c>
      <c r="C71" s="15" t="s">
        <v>209</v>
      </c>
      <c r="D71" s="15" t="s">
        <v>210</v>
      </c>
    </row>
    <row r="72" spans="2:4">
      <c r="B72" s="10" t="s">
        <v>211</v>
      </c>
      <c r="C72" s="15" t="s">
        <v>212</v>
      </c>
      <c r="D72" s="15" t="s">
        <v>55</v>
      </c>
    </row>
    <row r="73" spans="2:4">
      <c r="B73" s="10" t="s">
        <v>213</v>
      </c>
      <c r="C73" s="15" t="s">
        <v>214</v>
      </c>
      <c r="D73" s="15" t="s">
        <v>26</v>
      </c>
    </row>
    <row r="74" spans="2:4">
      <c r="B74" s="10" t="s">
        <v>215</v>
      </c>
      <c r="C74" s="15" t="s">
        <v>216</v>
      </c>
      <c r="D74" s="15" t="s">
        <v>26</v>
      </c>
    </row>
    <row r="75" spans="2:4">
      <c r="B75" s="10" t="s">
        <v>217</v>
      </c>
      <c r="C75" s="15" t="s">
        <v>218</v>
      </c>
      <c r="D75" s="15" t="s">
        <v>78</v>
      </c>
    </row>
    <row r="76" spans="2:4">
      <c r="B76" s="10" t="s">
        <v>219</v>
      </c>
      <c r="C76" s="15" t="s">
        <v>220</v>
      </c>
      <c r="D76" s="15" t="s">
        <v>71</v>
      </c>
    </row>
    <row r="77" spans="2:4">
      <c r="B77" s="10" t="s">
        <v>221</v>
      </c>
      <c r="C77" s="15" t="s">
        <v>222</v>
      </c>
      <c r="D77" s="15" t="s">
        <v>26</v>
      </c>
    </row>
    <row r="78" spans="2:4">
      <c r="B78" s="10" t="s">
        <v>223</v>
      </c>
      <c r="C78" s="15" t="s">
        <v>224</v>
      </c>
      <c r="D78" s="15" t="s">
        <v>225</v>
      </c>
    </row>
    <row r="79" spans="2:4">
      <c r="B79" s="10" t="s">
        <v>226</v>
      </c>
      <c r="C79" s="15" t="s">
        <v>227</v>
      </c>
      <c r="D79" s="15" t="s">
        <v>200</v>
      </c>
    </row>
    <row r="80" spans="2:4">
      <c r="B80" s="10" t="s">
        <v>228</v>
      </c>
      <c r="C80" s="15" t="s">
        <v>229</v>
      </c>
      <c r="D80" s="15" t="s">
        <v>40</v>
      </c>
    </row>
    <row r="81" spans="2:4">
      <c r="B81" s="10" t="s">
        <v>230</v>
      </c>
      <c r="C81" s="15" t="s">
        <v>231</v>
      </c>
      <c r="D81" s="15" t="s">
        <v>67</v>
      </c>
    </row>
    <row r="82" spans="2:4">
      <c r="B82" s="10" t="s">
        <v>232</v>
      </c>
      <c r="C82" s="15" t="s">
        <v>233</v>
      </c>
      <c r="D82" s="15" t="s">
        <v>26</v>
      </c>
    </row>
    <row r="83" spans="2:4">
      <c r="B83" s="10" t="s">
        <v>234</v>
      </c>
      <c r="C83" s="15" t="s">
        <v>235</v>
      </c>
      <c r="D83" s="15" t="s">
        <v>236</v>
      </c>
    </row>
    <row r="84" spans="2:4">
      <c r="B84" s="10" t="s">
        <v>237</v>
      </c>
      <c r="C84" s="15" t="s">
        <v>238</v>
      </c>
      <c r="D84" s="15" t="s">
        <v>26</v>
      </c>
    </row>
    <row r="85" spans="2:4">
      <c r="B85" s="10" t="s">
        <v>239</v>
      </c>
      <c r="C85" s="15" t="s">
        <v>240</v>
      </c>
      <c r="D85" s="15" t="s">
        <v>109</v>
      </c>
    </row>
    <row r="86" spans="2:4">
      <c r="B86" s="10" t="s">
        <v>241</v>
      </c>
      <c r="C86" s="15" t="s">
        <v>242</v>
      </c>
      <c r="D86" s="15" t="s">
        <v>40</v>
      </c>
    </row>
    <row r="87" spans="2:4">
      <c r="B87" s="10" t="s">
        <v>243</v>
      </c>
      <c r="C87" s="15" t="s">
        <v>244</v>
      </c>
      <c r="D87" s="15" t="s">
        <v>55</v>
      </c>
    </row>
    <row r="88" spans="2:4">
      <c r="B88" s="10" t="s">
        <v>245</v>
      </c>
      <c r="C88" s="15" t="s">
        <v>246</v>
      </c>
      <c r="D88" s="15" t="s">
        <v>18</v>
      </c>
    </row>
    <row r="89" spans="2:4">
      <c r="B89" s="10" t="s">
        <v>247</v>
      </c>
      <c r="C89" s="15" t="s">
        <v>248</v>
      </c>
      <c r="D89" s="15" t="s">
        <v>55</v>
      </c>
    </row>
    <row r="90" spans="2:4">
      <c r="B90" s="10" t="s">
        <v>249</v>
      </c>
      <c r="C90" s="15" t="s">
        <v>250</v>
      </c>
      <c r="D90" s="15" t="s">
        <v>55</v>
      </c>
    </row>
    <row r="91" spans="2:4">
      <c r="B91" s="10" t="s">
        <v>251</v>
      </c>
      <c r="C91" s="15" t="s">
        <v>252</v>
      </c>
      <c r="D91" s="15" t="s">
        <v>55</v>
      </c>
    </row>
    <row r="92" spans="2:4">
      <c r="B92" s="10" t="s">
        <v>253</v>
      </c>
      <c r="C92" s="15" t="s">
        <v>254</v>
      </c>
      <c r="D92" s="15" t="s">
        <v>26</v>
      </c>
    </row>
    <row r="93" spans="2:4">
      <c r="B93" s="10" t="s">
        <v>255</v>
      </c>
      <c r="C93" s="15" t="s">
        <v>256</v>
      </c>
      <c r="D93" s="15" t="s">
        <v>257</v>
      </c>
    </row>
    <row r="94" spans="2:4">
      <c r="B94" s="10" t="s">
        <v>258</v>
      </c>
      <c r="C94" s="15" t="s">
        <v>259</v>
      </c>
      <c r="D94" s="15" t="s">
        <v>225</v>
      </c>
    </row>
    <row r="95" spans="2:4">
      <c r="B95" s="10" t="s">
        <v>260</v>
      </c>
      <c r="C95" s="15" t="s">
        <v>261</v>
      </c>
      <c r="D95" s="15" t="s">
        <v>26</v>
      </c>
    </row>
    <row r="96" spans="2:4">
      <c r="B96" s="10" t="s">
        <v>262</v>
      </c>
      <c r="C96" s="15" t="s">
        <v>263</v>
      </c>
      <c r="D96" s="15" t="s">
        <v>55</v>
      </c>
    </row>
    <row r="97" spans="2:4">
      <c r="B97" s="10" t="s">
        <v>264</v>
      </c>
      <c r="C97" s="15" t="s">
        <v>265</v>
      </c>
      <c r="D97" s="15" t="s">
        <v>168</v>
      </c>
    </row>
    <row r="98" spans="2:4">
      <c r="B98" s="10" t="s">
        <v>266</v>
      </c>
      <c r="C98" s="15" t="s">
        <v>267</v>
      </c>
      <c r="D98" s="15" t="s">
        <v>268</v>
      </c>
    </row>
    <row r="99" spans="2:4">
      <c r="B99" s="10" t="s">
        <v>269</v>
      </c>
      <c r="C99" s="15" t="s">
        <v>270</v>
      </c>
      <c r="D99" s="15" t="s">
        <v>55</v>
      </c>
    </row>
    <row r="100" spans="2:4">
      <c r="B100" s="10" t="s">
        <v>271</v>
      </c>
      <c r="C100" s="15" t="s">
        <v>272</v>
      </c>
      <c r="D100" s="15" t="s">
        <v>26</v>
      </c>
    </row>
    <row r="101" spans="2:4">
      <c r="B101" s="10" t="s">
        <v>273</v>
      </c>
      <c r="C101" s="15" t="s">
        <v>274</v>
      </c>
      <c r="D101" s="15" t="s">
        <v>55</v>
      </c>
    </row>
    <row r="102" spans="2:4">
      <c r="B102" s="10" t="s">
        <v>275</v>
      </c>
      <c r="C102" s="15" t="s">
        <v>276</v>
      </c>
      <c r="D102" s="15" t="s">
        <v>55</v>
      </c>
    </row>
    <row r="103" spans="2:4">
      <c r="B103" s="10" t="s">
        <v>277</v>
      </c>
      <c r="C103" s="15" t="s">
        <v>278</v>
      </c>
      <c r="D103" s="15" t="s">
        <v>40</v>
      </c>
    </row>
    <row r="104" spans="2:4">
      <c r="B104" s="10" t="s">
        <v>279</v>
      </c>
      <c r="C104" s="15" t="s">
        <v>280</v>
      </c>
      <c r="D104" s="15" t="s">
        <v>26</v>
      </c>
    </row>
    <row r="105" spans="2:4">
      <c r="B105" s="10" t="s">
        <v>281</v>
      </c>
      <c r="C105" s="15" t="s">
        <v>282</v>
      </c>
      <c r="D105" s="15" t="s">
        <v>182</v>
      </c>
    </row>
    <row r="106" spans="2:4">
      <c r="B106" s="10" t="s">
        <v>283</v>
      </c>
      <c r="C106" s="15" t="s">
        <v>284</v>
      </c>
      <c r="D106" s="15" t="s">
        <v>40</v>
      </c>
    </row>
    <row r="107" spans="2:4">
      <c r="B107" s="10" t="s">
        <v>285</v>
      </c>
      <c r="C107" s="15" t="s">
        <v>286</v>
      </c>
      <c r="D107" s="15" t="s">
        <v>26</v>
      </c>
    </row>
    <row r="108" spans="2:4">
      <c r="B108" s="10" t="s">
        <v>287</v>
      </c>
      <c r="C108" s="15" t="s">
        <v>288</v>
      </c>
      <c r="D108" s="15" t="s">
        <v>289</v>
      </c>
    </row>
    <row r="109" spans="2:4">
      <c r="B109" s="10" t="s">
        <v>290</v>
      </c>
      <c r="C109" s="15" t="s">
        <v>291</v>
      </c>
      <c r="D109" s="15" t="s">
        <v>26</v>
      </c>
    </row>
    <row r="110" spans="2:4">
      <c r="B110" s="10" t="s">
        <v>292</v>
      </c>
      <c r="C110" s="15" t="s">
        <v>293</v>
      </c>
      <c r="D110" s="15" t="s">
        <v>78</v>
      </c>
    </row>
    <row r="111" spans="2:4">
      <c r="B111" s="10" t="s">
        <v>294</v>
      </c>
      <c r="C111" s="15" t="s">
        <v>295</v>
      </c>
      <c r="D111" s="15" t="s">
        <v>55</v>
      </c>
    </row>
    <row r="112" spans="2:4">
      <c r="B112" s="10" t="s">
        <v>296</v>
      </c>
      <c r="C112" s="15" t="s">
        <v>297</v>
      </c>
      <c r="D112" s="15" t="s">
        <v>298</v>
      </c>
    </row>
    <row r="113" spans="2:4">
      <c r="B113" s="10" t="s">
        <v>299</v>
      </c>
      <c r="C113" s="15" t="s">
        <v>300</v>
      </c>
      <c r="D113" s="15" t="s">
        <v>67</v>
      </c>
    </row>
    <row r="114" spans="2:4">
      <c r="B114" s="10" t="s">
        <v>301</v>
      </c>
      <c r="C114" s="15" t="s">
        <v>302</v>
      </c>
      <c r="D114" s="15" t="s">
        <v>55</v>
      </c>
    </row>
    <row r="115" spans="2:4">
      <c r="B115" s="10" t="s">
        <v>303</v>
      </c>
      <c r="C115" s="15" t="s">
        <v>304</v>
      </c>
      <c r="D115" s="15" t="s">
        <v>26</v>
      </c>
    </row>
    <row r="116" spans="2:4">
      <c r="B116" s="10" t="s">
        <v>305</v>
      </c>
      <c r="C116" s="15" t="s">
        <v>306</v>
      </c>
      <c r="D116" s="15" t="s">
        <v>26</v>
      </c>
    </row>
    <row r="117" spans="2:4">
      <c r="B117" s="10" t="s">
        <v>307</v>
      </c>
      <c r="C117" s="15" t="s">
        <v>308</v>
      </c>
      <c r="D117" s="15" t="s">
        <v>309</v>
      </c>
    </row>
    <row r="118" spans="2:4">
      <c r="B118" s="10" t="s">
        <v>310</v>
      </c>
      <c r="C118" s="15" t="s">
        <v>311</v>
      </c>
      <c r="D118" s="15" t="s">
        <v>55</v>
      </c>
    </row>
    <row r="119" spans="2:4">
      <c r="B119" s="10" t="s">
        <v>312</v>
      </c>
      <c r="C119" s="15" t="s">
        <v>313</v>
      </c>
      <c r="D119" s="15" t="s">
        <v>55</v>
      </c>
    </row>
    <row r="120" spans="2:4">
      <c r="B120" s="10" t="s">
        <v>314</v>
      </c>
      <c r="C120" s="15" t="s">
        <v>315</v>
      </c>
      <c r="D120" s="15" t="s">
        <v>26</v>
      </c>
    </row>
    <row r="121" spans="2:4">
      <c r="B121" s="10" t="s">
        <v>316</v>
      </c>
      <c r="C121" s="15" t="s">
        <v>317</v>
      </c>
      <c r="D121" s="15" t="s">
        <v>26</v>
      </c>
    </row>
    <row r="122" spans="2:4">
      <c r="B122" s="10" t="s">
        <v>318</v>
      </c>
      <c r="C122" s="15" t="s">
        <v>319</v>
      </c>
      <c r="D122" s="15" t="s">
        <v>26</v>
      </c>
    </row>
    <row r="123" spans="2:4">
      <c r="B123" s="10" t="s">
        <v>320</v>
      </c>
      <c r="C123" s="15" t="s">
        <v>321</v>
      </c>
      <c r="D123" s="15" t="s">
        <v>40</v>
      </c>
    </row>
    <row r="124" spans="2:4">
      <c r="B124" s="10" t="s">
        <v>322</v>
      </c>
      <c r="C124" s="15" t="s">
        <v>323</v>
      </c>
      <c r="D124" s="15" t="s">
        <v>26</v>
      </c>
    </row>
    <row r="125" spans="2:4">
      <c r="B125" s="10" t="s">
        <v>324</v>
      </c>
      <c r="C125" s="15" t="s">
        <v>325</v>
      </c>
      <c r="D125" s="15" t="s">
        <v>109</v>
      </c>
    </row>
    <row r="126" spans="2:4">
      <c r="B126" s="10" t="s">
        <v>326</v>
      </c>
      <c r="C126" s="15" t="s">
        <v>327</v>
      </c>
      <c r="D126" s="15" t="s">
        <v>67</v>
      </c>
    </row>
    <row r="127" spans="2:4">
      <c r="B127" s="10" t="s">
        <v>328</v>
      </c>
      <c r="C127" s="15" t="s">
        <v>329</v>
      </c>
      <c r="D127" s="15" t="s">
        <v>26</v>
      </c>
    </row>
    <row r="128" spans="2:4">
      <c r="B128" s="10" t="s">
        <v>330</v>
      </c>
      <c r="C128" s="15" t="s">
        <v>331</v>
      </c>
      <c r="D128" s="15" t="s">
        <v>26</v>
      </c>
    </row>
    <row r="129" spans="2:4">
      <c r="B129" s="10" t="s">
        <v>332</v>
      </c>
      <c r="C129" s="15" t="s">
        <v>333</v>
      </c>
      <c r="D129" s="15" t="s">
        <v>67</v>
      </c>
    </row>
    <row r="130" spans="2:4">
      <c r="B130" s="10" t="s">
        <v>334</v>
      </c>
      <c r="C130" s="15" t="s">
        <v>335</v>
      </c>
      <c r="D130" s="15" t="s">
        <v>26</v>
      </c>
    </row>
    <row r="131" spans="2:4">
      <c r="B131" s="10" t="s">
        <v>336</v>
      </c>
      <c r="C131" s="15" t="s">
        <v>337</v>
      </c>
      <c r="D131" s="15" t="s">
        <v>26</v>
      </c>
    </row>
    <row r="132" spans="2:4">
      <c r="B132" s="10" t="s">
        <v>338</v>
      </c>
      <c r="C132" s="15" t="s">
        <v>339</v>
      </c>
      <c r="D132" s="15" t="s">
        <v>225</v>
      </c>
    </row>
    <row r="133" spans="2:4">
      <c r="B133" s="10" t="s">
        <v>340</v>
      </c>
      <c r="C133" s="15" t="s">
        <v>341</v>
      </c>
      <c r="D133" s="15" t="s">
        <v>342</v>
      </c>
    </row>
    <row r="134" spans="2:4">
      <c r="B134" s="10" t="s">
        <v>343</v>
      </c>
      <c r="C134" s="15" t="s">
        <v>344</v>
      </c>
      <c r="D134" s="15" t="s">
        <v>26</v>
      </c>
    </row>
    <row r="135" spans="2:4">
      <c r="B135" s="10" t="s">
        <v>345</v>
      </c>
      <c r="C135" s="15" t="s">
        <v>346</v>
      </c>
      <c r="D135" s="15" t="s">
        <v>55</v>
      </c>
    </row>
    <row r="136" spans="2:4">
      <c r="B136" s="10" t="s">
        <v>347</v>
      </c>
      <c r="C136" s="15" t="s">
        <v>348</v>
      </c>
      <c r="D136" s="15" t="s">
        <v>349</v>
      </c>
    </row>
    <row r="137" spans="2:4">
      <c r="B137" s="10" t="s">
        <v>350</v>
      </c>
      <c r="C137" s="15" t="s">
        <v>351</v>
      </c>
      <c r="D137" s="15" t="s">
        <v>40</v>
      </c>
    </row>
    <row r="138" spans="2:4">
      <c r="B138" s="10" t="s">
        <v>352</v>
      </c>
      <c r="C138" s="15" t="s">
        <v>353</v>
      </c>
      <c r="D138" s="15" t="s">
        <v>26</v>
      </c>
    </row>
    <row r="139" spans="2:4">
      <c r="B139" s="10" t="s">
        <v>354</v>
      </c>
      <c r="C139" s="15" t="s">
        <v>355</v>
      </c>
      <c r="D139" s="15" t="s">
        <v>225</v>
      </c>
    </row>
    <row r="140" spans="2:4">
      <c r="B140" s="10" t="s">
        <v>356</v>
      </c>
      <c r="C140" s="15" t="s">
        <v>357</v>
      </c>
      <c r="D140" s="15" t="s">
        <v>67</v>
      </c>
    </row>
    <row r="141" spans="2:4">
      <c r="B141" s="10" t="s">
        <v>358</v>
      </c>
      <c r="C141" s="15" t="s">
        <v>359</v>
      </c>
      <c r="D141" s="15" t="s">
        <v>360</v>
      </c>
    </row>
    <row r="142" spans="2:4">
      <c r="B142" s="10" t="s">
        <v>361</v>
      </c>
      <c r="C142" s="15" t="s">
        <v>362</v>
      </c>
      <c r="D142" s="15" t="s">
        <v>78</v>
      </c>
    </row>
    <row r="143" spans="2:4">
      <c r="B143" s="10" t="s">
        <v>363</v>
      </c>
      <c r="C143" s="15" t="s">
        <v>364</v>
      </c>
      <c r="D143" s="15" t="s">
        <v>18</v>
      </c>
    </row>
    <row r="144" spans="2:4">
      <c r="B144" s="10" t="s">
        <v>365</v>
      </c>
      <c r="C144" s="15" t="s">
        <v>366</v>
      </c>
      <c r="D144" s="15" t="s">
        <v>26</v>
      </c>
    </row>
    <row r="145" spans="2:4">
      <c r="B145" s="10" t="s">
        <v>367</v>
      </c>
      <c r="C145" s="15" t="s">
        <v>368</v>
      </c>
      <c r="D145" s="15" t="s">
        <v>207</v>
      </c>
    </row>
    <row r="146" spans="2:4">
      <c r="B146" s="10" t="s">
        <v>369</v>
      </c>
      <c r="C146" s="15" t="s">
        <v>370</v>
      </c>
      <c r="D146" s="15" t="s">
        <v>26</v>
      </c>
    </row>
    <row r="147" spans="2:4">
      <c r="B147" s="10" t="s">
        <v>371</v>
      </c>
      <c r="C147" s="15" t="s">
        <v>372</v>
      </c>
      <c r="D147" s="15" t="s">
        <v>200</v>
      </c>
    </row>
    <row r="148" spans="2:4">
      <c r="B148" s="10" t="s">
        <v>373</v>
      </c>
      <c r="C148" s="15" t="s">
        <v>374</v>
      </c>
      <c r="D148" s="15" t="s">
        <v>55</v>
      </c>
    </row>
    <row r="149" spans="2:4">
      <c r="B149" s="10" t="s">
        <v>375</v>
      </c>
      <c r="C149" s="15" t="s">
        <v>376</v>
      </c>
      <c r="D149" s="15" t="s">
        <v>18</v>
      </c>
    </row>
    <row r="150" spans="2:4">
      <c r="B150" s="10" t="s">
        <v>377</v>
      </c>
      <c r="C150" s="15" t="s">
        <v>378</v>
      </c>
      <c r="D150" s="15" t="s">
        <v>207</v>
      </c>
    </row>
    <row r="151" spans="2:4">
      <c r="B151" s="10" t="s">
        <v>379</v>
      </c>
      <c r="C151" s="15" t="s">
        <v>380</v>
      </c>
      <c r="D151" s="15" t="s">
        <v>26</v>
      </c>
    </row>
    <row r="152" spans="2:4">
      <c r="B152" s="10" t="s">
        <v>381</v>
      </c>
      <c r="C152" s="15" t="s">
        <v>382</v>
      </c>
      <c r="D152" s="15" t="s">
        <v>26</v>
      </c>
    </row>
    <row r="153" spans="2:4">
      <c r="B153" s="10" t="s">
        <v>383</v>
      </c>
      <c r="C153" s="15" t="s">
        <v>384</v>
      </c>
      <c r="D153" s="15" t="s">
        <v>40</v>
      </c>
    </row>
    <row r="154" spans="2:4">
      <c r="B154" s="10" t="s">
        <v>385</v>
      </c>
      <c r="C154" s="15" t="s">
        <v>386</v>
      </c>
      <c r="D154" s="15" t="s">
        <v>55</v>
      </c>
    </row>
    <row r="155" spans="2:4">
      <c r="B155" s="10" t="s">
        <v>387</v>
      </c>
      <c r="C155" s="15" t="s">
        <v>388</v>
      </c>
      <c r="D155" s="15" t="s">
        <v>26</v>
      </c>
    </row>
    <row r="156" spans="2:4">
      <c r="B156" s="10" t="s">
        <v>389</v>
      </c>
      <c r="C156" s="15" t="s">
        <v>390</v>
      </c>
      <c r="D156" s="15" t="s">
        <v>67</v>
      </c>
    </row>
    <row r="157" spans="2:4">
      <c r="B157" s="10" t="s">
        <v>391</v>
      </c>
      <c r="C157" s="15" t="s">
        <v>392</v>
      </c>
      <c r="D157" s="15" t="s">
        <v>393</v>
      </c>
    </row>
    <row r="158" spans="2:4">
      <c r="B158" s="10" t="s">
        <v>394</v>
      </c>
      <c r="C158" s="15" t="s">
        <v>395</v>
      </c>
      <c r="D158" s="15" t="s">
        <v>71</v>
      </c>
    </row>
    <row r="159" spans="2:4">
      <c r="B159" s="10" t="s">
        <v>396</v>
      </c>
      <c r="C159" s="15" t="s">
        <v>397</v>
      </c>
      <c r="D159" s="15" t="s">
        <v>55</v>
      </c>
    </row>
    <row r="160" spans="2:4">
      <c r="B160" s="10" t="s">
        <v>398</v>
      </c>
      <c r="C160" s="15" t="s">
        <v>399</v>
      </c>
      <c r="D160" s="15" t="s">
        <v>55</v>
      </c>
    </row>
    <row r="161" spans="2:4">
      <c r="B161" s="10" t="s">
        <v>400</v>
      </c>
      <c r="C161" s="15" t="s">
        <v>401</v>
      </c>
      <c r="D161" s="15" t="s">
        <v>55</v>
      </c>
    </row>
    <row r="162" spans="2:4">
      <c r="B162" s="10" t="s">
        <v>402</v>
      </c>
      <c r="C162" s="15" t="s">
        <v>403</v>
      </c>
      <c r="D162" s="15" t="s">
        <v>26</v>
      </c>
    </row>
    <row r="163" spans="2:4">
      <c r="B163" s="10" t="s">
        <v>404</v>
      </c>
      <c r="C163" s="15" t="s">
        <v>405</v>
      </c>
      <c r="D163" s="15" t="s">
        <v>18</v>
      </c>
    </row>
    <row r="164" spans="2:4">
      <c r="B164" s="10" t="s">
        <v>406</v>
      </c>
      <c r="C164" s="15" t="s">
        <v>407</v>
      </c>
      <c r="D164" s="15" t="s">
        <v>408</v>
      </c>
    </row>
    <row r="165" spans="2:4">
      <c r="B165" s="10" t="s">
        <v>409</v>
      </c>
      <c r="C165" s="15" t="s">
        <v>410</v>
      </c>
      <c r="D165" s="15" t="s">
        <v>411</v>
      </c>
    </row>
    <row r="166" spans="2:4">
      <c r="B166" s="10" t="s">
        <v>412</v>
      </c>
      <c r="C166" s="15" t="s">
        <v>413</v>
      </c>
      <c r="D166" s="15" t="s">
        <v>26</v>
      </c>
    </row>
    <row r="167" spans="2:4">
      <c r="B167" s="10" t="s">
        <v>414</v>
      </c>
      <c r="C167" s="15" t="s">
        <v>415</v>
      </c>
      <c r="D167" s="15" t="s">
        <v>18</v>
      </c>
    </row>
    <row r="168" spans="2:4">
      <c r="B168" s="10" t="s">
        <v>416</v>
      </c>
      <c r="C168" s="15" t="s">
        <v>417</v>
      </c>
      <c r="D168" s="15" t="s">
        <v>26</v>
      </c>
    </row>
    <row r="169" spans="2:4">
      <c r="B169" s="10" t="s">
        <v>418</v>
      </c>
      <c r="C169" s="15" t="s">
        <v>419</v>
      </c>
      <c r="D169" s="15" t="s">
        <v>67</v>
      </c>
    </row>
    <row r="170" spans="2:4">
      <c r="B170" s="10" t="s">
        <v>420</v>
      </c>
      <c r="C170" s="15" t="s">
        <v>421</v>
      </c>
      <c r="D170" s="15" t="s">
        <v>200</v>
      </c>
    </row>
    <row r="171" spans="2:4">
      <c r="B171" s="10" t="s">
        <v>422</v>
      </c>
      <c r="C171" s="15" t="s">
        <v>423</v>
      </c>
      <c r="D171" s="15" t="s">
        <v>26</v>
      </c>
    </row>
    <row r="172" spans="2:4">
      <c r="B172" s="10" t="s">
        <v>424</v>
      </c>
      <c r="C172" s="15" t="s">
        <v>425</v>
      </c>
      <c r="D172" s="15" t="s">
        <v>67</v>
      </c>
    </row>
    <row r="173" spans="2:4">
      <c r="B173" s="10" t="s">
        <v>426</v>
      </c>
      <c r="C173" s="15" t="s">
        <v>427</v>
      </c>
      <c r="D173" s="15" t="s">
        <v>168</v>
      </c>
    </row>
    <row r="174" spans="2:4">
      <c r="B174" s="10" t="s">
        <v>428</v>
      </c>
      <c r="C174" s="15" t="s">
        <v>429</v>
      </c>
      <c r="D174" s="15" t="s">
        <v>26</v>
      </c>
    </row>
    <row r="175" spans="2:4">
      <c r="B175" s="10" t="s">
        <v>430</v>
      </c>
      <c r="C175" s="15" t="s">
        <v>431</v>
      </c>
      <c r="D175" s="15" t="s">
        <v>67</v>
      </c>
    </row>
    <row r="176" spans="2:4">
      <c r="B176" s="10" t="s">
        <v>432</v>
      </c>
      <c r="C176" s="15" t="s">
        <v>433</v>
      </c>
      <c r="D176" s="15" t="s">
        <v>18</v>
      </c>
    </row>
    <row r="177" spans="2:4">
      <c r="B177" s="10" t="s">
        <v>434</v>
      </c>
      <c r="C177" s="15" t="s">
        <v>435</v>
      </c>
      <c r="D177" s="15" t="s">
        <v>55</v>
      </c>
    </row>
    <row r="178" spans="2:4">
      <c r="B178" s="10" t="s">
        <v>436</v>
      </c>
      <c r="C178" s="15" t="s">
        <v>437</v>
      </c>
      <c r="D178" s="15" t="s">
        <v>26</v>
      </c>
    </row>
    <row r="179" spans="2:4">
      <c r="B179" s="10" t="s">
        <v>438</v>
      </c>
      <c r="C179" s="15" t="s">
        <v>439</v>
      </c>
      <c r="D179" s="15" t="s">
        <v>55</v>
      </c>
    </row>
    <row r="180" spans="2:4">
      <c r="B180" s="10" t="s">
        <v>440</v>
      </c>
      <c r="C180" s="15" t="s">
        <v>441</v>
      </c>
      <c r="D180" s="15" t="s">
        <v>442</v>
      </c>
    </row>
    <row r="181" spans="2:4">
      <c r="B181" s="10" t="s">
        <v>443</v>
      </c>
      <c r="C181" s="15" t="s">
        <v>444</v>
      </c>
      <c r="D181" s="15" t="s">
        <v>78</v>
      </c>
    </row>
    <row r="182" spans="2:4">
      <c r="B182" s="10" t="s">
        <v>445</v>
      </c>
      <c r="C182" s="15" t="s">
        <v>446</v>
      </c>
      <c r="D182" s="15" t="s">
        <v>55</v>
      </c>
    </row>
    <row r="183" spans="2:4">
      <c r="B183" s="10" t="s">
        <v>447</v>
      </c>
      <c r="C183" s="15" t="s">
        <v>448</v>
      </c>
      <c r="D183" s="15" t="s">
        <v>67</v>
      </c>
    </row>
    <row r="184" spans="2:4">
      <c r="B184" s="10" t="s">
        <v>449</v>
      </c>
      <c r="C184" s="15" t="s">
        <v>450</v>
      </c>
      <c r="D184" s="15" t="s">
        <v>26</v>
      </c>
    </row>
    <row r="185" spans="2:4">
      <c r="B185" s="10" t="s">
        <v>451</v>
      </c>
      <c r="C185" s="15" t="s">
        <v>452</v>
      </c>
      <c r="D185" s="15" t="s">
        <v>26</v>
      </c>
    </row>
    <row r="186" spans="2:4">
      <c r="B186" s="10" t="s">
        <v>453</v>
      </c>
      <c r="C186" s="15" t="s">
        <v>454</v>
      </c>
      <c r="D186" s="15" t="s">
        <v>55</v>
      </c>
    </row>
    <row r="187" spans="2:4">
      <c r="B187" s="10" t="s">
        <v>455</v>
      </c>
      <c r="C187" s="15" t="s">
        <v>456</v>
      </c>
      <c r="D187" s="15" t="s">
        <v>71</v>
      </c>
    </row>
    <row r="188" spans="2:4">
      <c r="B188" s="10" t="s">
        <v>457</v>
      </c>
      <c r="C188" s="15" t="s">
        <v>458</v>
      </c>
      <c r="D188" s="15" t="s">
        <v>459</v>
      </c>
    </row>
    <row r="189" spans="2:4">
      <c r="B189" s="10" t="s">
        <v>460</v>
      </c>
      <c r="C189" s="15" t="s">
        <v>461</v>
      </c>
      <c r="D189" s="15" t="s">
        <v>225</v>
      </c>
    </row>
    <row r="190" spans="2:4">
      <c r="B190" s="10" t="s">
        <v>462</v>
      </c>
      <c r="C190" s="15" t="s">
        <v>463</v>
      </c>
      <c r="D190" s="15" t="s">
        <v>26</v>
      </c>
    </row>
    <row r="191" spans="2:4">
      <c r="B191" s="10" t="s">
        <v>464</v>
      </c>
      <c r="C191" s="15" t="s">
        <v>465</v>
      </c>
      <c r="D191" s="15" t="s">
        <v>225</v>
      </c>
    </row>
    <row r="192" spans="2:4">
      <c r="B192" s="10" t="s">
        <v>466</v>
      </c>
      <c r="C192" s="15" t="s">
        <v>467</v>
      </c>
      <c r="D192" s="15" t="s">
        <v>26</v>
      </c>
    </row>
    <row r="193" spans="2:4">
      <c r="B193" s="10" t="s">
        <v>468</v>
      </c>
      <c r="C193" s="15" t="s">
        <v>469</v>
      </c>
      <c r="D193" s="15" t="s">
        <v>67</v>
      </c>
    </row>
    <row r="194" spans="2:4">
      <c r="B194" s="10" t="s">
        <v>470</v>
      </c>
      <c r="C194" s="15" t="s">
        <v>471</v>
      </c>
      <c r="D194" s="15" t="s">
        <v>109</v>
      </c>
    </row>
    <row r="195" spans="2:4">
      <c r="B195" s="10" t="s">
        <v>472</v>
      </c>
      <c r="C195" s="15" t="s">
        <v>473</v>
      </c>
      <c r="D195" s="15" t="s">
        <v>26</v>
      </c>
    </row>
    <row r="196" spans="2:4">
      <c r="B196" s="10" t="s">
        <v>474</v>
      </c>
      <c r="C196" s="15" t="s">
        <v>475</v>
      </c>
      <c r="D196" s="15" t="s">
        <v>26</v>
      </c>
    </row>
    <row r="197" spans="2:4">
      <c r="B197" s="10" t="s">
        <v>476</v>
      </c>
      <c r="C197" s="15" t="s">
        <v>477</v>
      </c>
      <c r="D197" s="15" t="s">
        <v>40</v>
      </c>
    </row>
    <row r="198" spans="2:4">
      <c r="B198" s="10" t="s">
        <v>478</v>
      </c>
      <c r="C198" s="15" t="s">
        <v>479</v>
      </c>
      <c r="D198" s="15" t="s">
        <v>67</v>
      </c>
    </row>
    <row r="199" spans="2:4">
      <c r="B199" s="10" t="s">
        <v>480</v>
      </c>
      <c r="C199" s="15" t="s">
        <v>481</v>
      </c>
      <c r="D199" s="15" t="s">
        <v>40</v>
      </c>
    </row>
    <row r="200" spans="2:4">
      <c r="B200" s="10" t="s">
        <v>482</v>
      </c>
      <c r="C200" s="15" t="s">
        <v>483</v>
      </c>
      <c r="D200" s="15" t="s">
        <v>40</v>
      </c>
    </row>
    <row r="201" spans="2:4">
      <c r="B201" s="10" t="s">
        <v>484</v>
      </c>
      <c r="C201" s="15" t="s">
        <v>485</v>
      </c>
      <c r="D201" s="15" t="s">
        <v>40</v>
      </c>
    </row>
    <row r="202" spans="2:4">
      <c r="B202" s="10" t="s">
        <v>486</v>
      </c>
      <c r="C202" s="15" t="s">
        <v>487</v>
      </c>
      <c r="D202" s="15" t="s">
        <v>78</v>
      </c>
    </row>
    <row r="203" spans="2:4">
      <c r="B203" s="10" t="s">
        <v>488</v>
      </c>
      <c r="C203" s="15" t="s">
        <v>489</v>
      </c>
      <c r="D203" s="15" t="s">
        <v>18</v>
      </c>
    </row>
    <row r="204" spans="2:4">
      <c r="B204" s="10" t="s">
        <v>490</v>
      </c>
      <c r="C204" s="15" t="s">
        <v>491</v>
      </c>
      <c r="D204" s="15" t="s">
        <v>40</v>
      </c>
    </row>
    <row r="205" spans="2:4">
      <c r="B205" s="10" t="s">
        <v>492</v>
      </c>
      <c r="C205" s="15" t="s">
        <v>493</v>
      </c>
      <c r="D205" s="15" t="s">
        <v>67</v>
      </c>
    </row>
    <row r="206" spans="2:4">
      <c r="B206" s="10" t="s">
        <v>494</v>
      </c>
      <c r="C206" s="15" t="s">
        <v>495</v>
      </c>
      <c r="D206" s="15" t="s">
        <v>109</v>
      </c>
    </row>
    <row r="207" spans="2:4">
      <c r="B207" s="10" t="s">
        <v>496</v>
      </c>
      <c r="C207" s="15" t="s">
        <v>497</v>
      </c>
      <c r="D207" s="15" t="s">
        <v>18</v>
      </c>
    </row>
    <row r="208" spans="2:4">
      <c r="B208" s="10" t="s">
        <v>498</v>
      </c>
      <c r="C208" s="15" t="s">
        <v>499</v>
      </c>
      <c r="D208" s="15" t="s">
        <v>40</v>
      </c>
    </row>
    <row r="209" spans="2:4">
      <c r="B209" s="10" t="s">
        <v>500</v>
      </c>
      <c r="C209" s="15" t="s">
        <v>501</v>
      </c>
      <c r="D209" s="15" t="s">
        <v>67</v>
      </c>
    </row>
    <row r="210" spans="2:4">
      <c r="B210" s="10" t="s">
        <v>502</v>
      </c>
      <c r="C210" s="15" t="s">
        <v>503</v>
      </c>
      <c r="D210" s="15" t="s">
        <v>504</v>
      </c>
    </row>
    <row r="211" spans="2:4">
      <c r="B211" s="10" t="s">
        <v>505</v>
      </c>
      <c r="C211" s="15" t="s">
        <v>506</v>
      </c>
      <c r="D211" s="15" t="s">
        <v>18</v>
      </c>
    </row>
    <row r="212" spans="2:4">
      <c r="B212" s="10" t="s">
        <v>507</v>
      </c>
      <c r="C212" s="15" t="s">
        <v>508</v>
      </c>
      <c r="D212" s="15" t="s">
        <v>26</v>
      </c>
    </row>
    <row r="213" spans="2:4">
      <c r="B213" s="10" t="s">
        <v>509</v>
      </c>
      <c r="C213" s="15" t="s">
        <v>510</v>
      </c>
      <c r="D213" s="15" t="s">
        <v>55</v>
      </c>
    </row>
    <row r="214" spans="2:4">
      <c r="B214" s="10" t="s">
        <v>511</v>
      </c>
      <c r="C214" s="15" t="s">
        <v>512</v>
      </c>
      <c r="D214" s="15" t="s">
        <v>67</v>
      </c>
    </row>
    <row r="215" spans="2:4">
      <c r="B215" s="10" t="s">
        <v>513</v>
      </c>
      <c r="C215" s="15" t="s">
        <v>514</v>
      </c>
      <c r="D215" s="15" t="s">
        <v>67</v>
      </c>
    </row>
    <row r="216" spans="2:4">
      <c r="B216" s="10" t="s">
        <v>515</v>
      </c>
      <c r="C216" s="15" t="s">
        <v>516</v>
      </c>
      <c r="D216" s="15" t="s">
        <v>26</v>
      </c>
    </row>
    <row r="217" spans="2:4">
      <c r="B217" s="10" t="s">
        <v>517</v>
      </c>
      <c r="C217" s="15" t="s">
        <v>518</v>
      </c>
      <c r="D217" s="15" t="s">
        <v>26</v>
      </c>
    </row>
    <row r="218" spans="2:4">
      <c r="B218" s="10" t="s">
        <v>519</v>
      </c>
      <c r="C218" s="15" t="s">
        <v>520</v>
      </c>
      <c r="D218" s="15" t="s">
        <v>26</v>
      </c>
    </row>
    <row r="219" spans="2:4">
      <c r="B219" s="10" t="s">
        <v>521</v>
      </c>
      <c r="C219" s="15" t="s">
        <v>522</v>
      </c>
      <c r="D219" s="15" t="s">
        <v>408</v>
      </c>
    </row>
    <row r="220" spans="2:4">
      <c r="B220" s="10" t="s">
        <v>523</v>
      </c>
      <c r="C220" s="15" t="s">
        <v>524</v>
      </c>
      <c r="D220" s="15" t="s">
        <v>67</v>
      </c>
    </row>
    <row r="221" spans="2:4">
      <c r="B221" s="10" t="s">
        <v>525</v>
      </c>
      <c r="C221" s="15" t="s">
        <v>526</v>
      </c>
      <c r="D221" s="15" t="s">
        <v>67</v>
      </c>
    </row>
    <row r="222" spans="2:4">
      <c r="B222" s="10" t="s">
        <v>527</v>
      </c>
      <c r="C222" s="15" t="s">
        <v>528</v>
      </c>
      <c r="D222" s="15" t="s">
        <v>18</v>
      </c>
    </row>
    <row r="223" spans="2:4">
      <c r="B223" s="10" t="s">
        <v>529</v>
      </c>
      <c r="C223" s="15" t="s">
        <v>530</v>
      </c>
      <c r="D223" s="15" t="s">
        <v>78</v>
      </c>
    </row>
    <row r="224" spans="2:4">
      <c r="B224" s="10" t="s">
        <v>531</v>
      </c>
      <c r="C224" s="15" t="s">
        <v>532</v>
      </c>
      <c r="D224" s="15" t="s">
        <v>26</v>
      </c>
    </row>
    <row r="225" spans="2:4">
      <c r="B225" s="10" t="s">
        <v>533</v>
      </c>
      <c r="C225" s="15" t="s">
        <v>534</v>
      </c>
      <c r="D225" s="15" t="s">
        <v>535</v>
      </c>
    </row>
    <row r="226" spans="2:4">
      <c r="B226" s="10" t="s">
        <v>536</v>
      </c>
      <c r="C226" s="15" t="s">
        <v>537</v>
      </c>
      <c r="D226" s="15" t="s">
        <v>26</v>
      </c>
    </row>
    <row r="227" spans="2:4">
      <c r="B227" s="10" t="s">
        <v>538</v>
      </c>
      <c r="C227" s="15" t="s">
        <v>539</v>
      </c>
      <c r="D227" s="15" t="s">
        <v>78</v>
      </c>
    </row>
    <row r="228" spans="2:4">
      <c r="B228" s="10" t="s">
        <v>540</v>
      </c>
      <c r="C228" s="15" t="s">
        <v>541</v>
      </c>
      <c r="D228" s="15" t="s">
        <v>26</v>
      </c>
    </row>
    <row r="229" spans="2:4">
      <c r="B229" s="10" t="s">
        <v>542</v>
      </c>
      <c r="C229" s="15" t="s">
        <v>543</v>
      </c>
      <c r="D229" s="15" t="s">
        <v>26</v>
      </c>
    </row>
    <row r="230" spans="2:4">
      <c r="B230" s="10" t="s">
        <v>544</v>
      </c>
      <c r="C230" s="15" t="s">
        <v>545</v>
      </c>
      <c r="D230" s="15" t="s">
        <v>26</v>
      </c>
    </row>
    <row r="231" spans="2:4">
      <c r="B231" s="10" t="s">
        <v>546</v>
      </c>
      <c r="C231" s="15" t="s">
        <v>547</v>
      </c>
      <c r="D231" s="15" t="s">
        <v>55</v>
      </c>
    </row>
    <row r="232" spans="2:4">
      <c r="B232" s="10" t="s">
        <v>548</v>
      </c>
      <c r="C232" s="15" t="s">
        <v>549</v>
      </c>
      <c r="D232" s="15" t="s">
        <v>55</v>
      </c>
    </row>
    <row r="233" spans="2:4">
      <c r="B233" s="10" t="s">
        <v>550</v>
      </c>
      <c r="C233" s="15" t="s">
        <v>551</v>
      </c>
      <c r="D233" s="15" t="s">
        <v>40</v>
      </c>
    </row>
    <row r="234" spans="2:4">
      <c r="B234" s="10" t="s">
        <v>552</v>
      </c>
      <c r="C234" s="15" t="s">
        <v>553</v>
      </c>
      <c r="D234" s="15" t="s">
        <v>26</v>
      </c>
    </row>
    <row r="235" spans="2:4">
      <c r="B235" s="10" t="s">
        <v>554</v>
      </c>
      <c r="C235" s="15" t="s">
        <v>555</v>
      </c>
      <c r="D235" s="15" t="s">
        <v>40</v>
      </c>
    </row>
    <row r="236" spans="2:4">
      <c r="B236" s="10" t="s">
        <v>556</v>
      </c>
      <c r="C236" s="15" t="s">
        <v>557</v>
      </c>
      <c r="D236" s="15" t="s">
        <v>26</v>
      </c>
    </row>
    <row r="237" spans="2:4">
      <c r="B237" s="10" t="s">
        <v>558</v>
      </c>
      <c r="C237" s="15" t="s">
        <v>559</v>
      </c>
      <c r="D237" s="15" t="s">
        <v>26</v>
      </c>
    </row>
    <row r="238" spans="2:4">
      <c r="B238" s="10" t="s">
        <v>560</v>
      </c>
      <c r="C238" s="15" t="s">
        <v>561</v>
      </c>
      <c r="D238" s="15" t="s">
        <v>55</v>
      </c>
    </row>
    <row r="239" spans="2:4">
      <c r="B239" s="10" t="s">
        <v>562</v>
      </c>
      <c r="C239" s="15" t="s">
        <v>563</v>
      </c>
      <c r="D239" s="15" t="s">
        <v>55</v>
      </c>
    </row>
    <row r="240" spans="2:4">
      <c r="B240" s="10" t="s">
        <v>564</v>
      </c>
      <c r="C240" s="15" t="s">
        <v>565</v>
      </c>
      <c r="D240" s="15" t="s">
        <v>10</v>
      </c>
    </row>
    <row r="241" spans="2:4">
      <c r="B241" s="10" t="s">
        <v>566</v>
      </c>
      <c r="C241" s="15" t="s">
        <v>567</v>
      </c>
      <c r="D241" s="15" t="s">
        <v>18</v>
      </c>
    </row>
    <row r="242" spans="2:4">
      <c r="B242" s="10" t="s">
        <v>568</v>
      </c>
      <c r="C242" s="15" t="s">
        <v>569</v>
      </c>
      <c r="D242" s="15" t="s">
        <v>18</v>
      </c>
    </row>
    <row r="243" spans="2:4">
      <c r="B243" s="10" t="s">
        <v>570</v>
      </c>
      <c r="C243" s="15" t="s">
        <v>571</v>
      </c>
      <c r="D243" s="15" t="s">
        <v>207</v>
      </c>
    </row>
    <row r="244" spans="2:4">
      <c r="B244" s="10" t="s">
        <v>572</v>
      </c>
      <c r="C244" s="15" t="s">
        <v>573</v>
      </c>
      <c r="D244" s="15" t="s">
        <v>78</v>
      </c>
    </row>
    <row r="245" spans="2:4">
      <c r="B245" s="10" t="s">
        <v>574</v>
      </c>
      <c r="C245" s="15" t="s">
        <v>575</v>
      </c>
      <c r="D245" s="15" t="s">
        <v>26</v>
      </c>
    </row>
    <row r="246" spans="2:4">
      <c r="B246" s="10" t="s">
        <v>576</v>
      </c>
      <c r="C246" s="15" t="s">
        <v>577</v>
      </c>
      <c r="D246" s="15" t="s">
        <v>26</v>
      </c>
    </row>
    <row r="247" spans="2:4">
      <c r="B247" s="10" t="s">
        <v>578</v>
      </c>
      <c r="C247" s="15" t="s">
        <v>579</v>
      </c>
      <c r="D247" s="15" t="s">
        <v>18</v>
      </c>
    </row>
    <row r="248" spans="2:4">
      <c r="B248" s="10" t="s">
        <v>580</v>
      </c>
      <c r="C248" s="15" t="s">
        <v>581</v>
      </c>
      <c r="D248" s="15" t="s">
        <v>26</v>
      </c>
    </row>
    <row r="249" spans="2:4">
      <c r="B249" s="10" t="s">
        <v>582</v>
      </c>
      <c r="C249" s="15" t="s">
        <v>583</v>
      </c>
      <c r="D249" s="15" t="s">
        <v>584</v>
      </c>
    </row>
    <row r="250" spans="2:4">
      <c r="B250" s="10" t="s">
        <v>585</v>
      </c>
      <c r="C250" s="15" t="s">
        <v>586</v>
      </c>
      <c r="D250" s="15" t="s">
        <v>26</v>
      </c>
    </row>
    <row r="251" spans="2:4">
      <c r="B251" s="10" t="s">
        <v>587</v>
      </c>
      <c r="C251" s="15" t="s">
        <v>588</v>
      </c>
      <c r="D251" s="15" t="s">
        <v>225</v>
      </c>
    </row>
    <row r="252" spans="2:4">
      <c r="B252" s="10" t="s">
        <v>589</v>
      </c>
      <c r="C252" s="15" t="s">
        <v>590</v>
      </c>
      <c r="D252" s="15" t="s">
        <v>67</v>
      </c>
    </row>
    <row r="253" spans="2:4">
      <c r="B253" s="10" t="s">
        <v>591</v>
      </c>
      <c r="C253" s="15" t="s">
        <v>592</v>
      </c>
      <c r="D253" s="15" t="s">
        <v>109</v>
      </c>
    </row>
    <row r="254" spans="2:4">
      <c r="B254" s="10" t="s">
        <v>593</v>
      </c>
      <c r="C254" s="15" t="s">
        <v>594</v>
      </c>
      <c r="D254" s="15" t="s">
        <v>55</v>
      </c>
    </row>
    <row r="255" spans="2:4">
      <c r="B255" s="10" t="s">
        <v>595</v>
      </c>
      <c r="C255" s="15" t="s">
        <v>596</v>
      </c>
      <c r="D255" s="15" t="s">
        <v>40</v>
      </c>
    </row>
    <row r="256" spans="2:4">
      <c r="B256" s="10" t="s">
        <v>597</v>
      </c>
      <c r="C256" s="15" t="s">
        <v>598</v>
      </c>
      <c r="D256" s="15" t="s">
        <v>67</v>
      </c>
    </row>
    <row r="257" spans="2:4">
      <c r="B257" s="10" t="s">
        <v>599</v>
      </c>
      <c r="C257" s="15" t="s">
        <v>600</v>
      </c>
      <c r="D257" s="15" t="s">
        <v>18</v>
      </c>
    </row>
    <row r="258" spans="2:4">
      <c r="B258" s="10" t="s">
        <v>601</v>
      </c>
      <c r="C258" s="15" t="s">
        <v>602</v>
      </c>
      <c r="D258" s="15" t="s">
        <v>67</v>
      </c>
    </row>
    <row r="259" spans="2:4">
      <c r="B259" s="10" t="s">
        <v>603</v>
      </c>
      <c r="C259" s="15" t="s">
        <v>604</v>
      </c>
      <c r="D259" s="15" t="s">
        <v>55</v>
      </c>
    </row>
    <row r="260" spans="2:4">
      <c r="B260" s="10" t="s">
        <v>605</v>
      </c>
      <c r="C260" s="15" t="s">
        <v>606</v>
      </c>
      <c r="D260" s="15" t="s">
        <v>26</v>
      </c>
    </row>
    <row r="261" spans="2:4">
      <c r="B261" s="10" t="s">
        <v>607</v>
      </c>
      <c r="C261" s="15" t="s">
        <v>608</v>
      </c>
      <c r="D261" s="15" t="s">
        <v>26</v>
      </c>
    </row>
    <row r="262" spans="2:4">
      <c r="B262" s="10" t="s">
        <v>609</v>
      </c>
      <c r="C262" s="15" t="s">
        <v>610</v>
      </c>
      <c r="D262" s="15" t="s">
        <v>504</v>
      </c>
    </row>
    <row r="263" spans="2:4">
      <c r="B263" s="10" t="s">
        <v>611</v>
      </c>
      <c r="C263" s="15" t="s">
        <v>612</v>
      </c>
      <c r="D263" s="15" t="s">
        <v>40</v>
      </c>
    </row>
    <row r="264" spans="2:4">
      <c r="B264" s="10" t="s">
        <v>613</v>
      </c>
      <c r="C264" s="15" t="s">
        <v>614</v>
      </c>
      <c r="D264" s="15" t="s">
        <v>197</v>
      </c>
    </row>
    <row r="265" spans="2:4">
      <c r="B265" s="10" t="s">
        <v>615</v>
      </c>
      <c r="C265" s="15" t="s">
        <v>616</v>
      </c>
      <c r="D265" s="15" t="s">
        <v>55</v>
      </c>
    </row>
    <row r="266" spans="2:4">
      <c r="B266" s="10" t="s">
        <v>617</v>
      </c>
      <c r="C266" s="15" t="s">
        <v>618</v>
      </c>
      <c r="D266" s="15" t="s">
        <v>26</v>
      </c>
    </row>
    <row r="267" spans="2:4">
      <c r="B267" s="10" t="s">
        <v>619</v>
      </c>
      <c r="C267" s="15" t="s">
        <v>620</v>
      </c>
      <c r="D267" s="15" t="s">
        <v>78</v>
      </c>
    </row>
    <row r="268" spans="2:4">
      <c r="B268" s="10" t="s">
        <v>621</v>
      </c>
      <c r="C268" s="15" t="s">
        <v>622</v>
      </c>
      <c r="D268" s="15" t="s">
        <v>26</v>
      </c>
    </row>
    <row r="269" spans="2:4">
      <c r="B269" s="10" t="s">
        <v>623</v>
      </c>
      <c r="C269" s="15" t="s">
        <v>624</v>
      </c>
      <c r="D269" s="15" t="s">
        <v>26</v>
      </c>
    </row>
    <row r="270" spans="2:4">
      <c r="B270" s="10" t="s">
        <v>625</v>
      </c>
      <c r="C270" s="15" t="s">
        <v>626</v>
      </c>
      <c r="D270" s="15" t="s">
        <v>627</v>
      </c>
    </row>
    <row r="271" spans="2:4">
      <c r="B271" s="10" t="s">
        <v>628</v>
      </c>
      <c r="C271" s="15" t="s">
        <v>629</v>
      </c>
      <c r="D271" s="15" t="s">
        <v>78</v>
      </c>
    </row>
    <row r="272" spans="2:4">
      <c r="B272" s="10" t="s">
        <v>630</v>
      </c>
      <c r="C272" s="15" t="s">
        <v>631</v>
      </c>
      <c r="D272" s="15" t="s">
        <v>55</v>
      </c>
    </row>
    <row r="273" spans="2:4">
      <c r="B273" s="10" t="s">
        <v>632</v>
      </c>
      <c r="C273" s="15" t="s">
        <v>633</v>
      </c>
      <c r="D273" s="15" t="s">
        <v>26</v>
      </c>
    </row>
    <row r="274" spans="2:4">
      <c r="B274" s="10" t="s">
        <v>634</v>
      </c>
      <c r="C274" s="15" t="s">
        <v>635</v>
      </c>
      <c r="D274" s="15" t="s">
        <v>67</v>
      </c>
    </row>
    <row r="275" spans="2:4">
      <c r="B275" s="10" t="s">
        <v>636</v>
      </c>
      <c r="C275" s="15" t="s">
        <v>637</v>
      </c>
      <c r="D275" s="15" t="s">
        <v>67</v>
      </c>
    </row>
    <row r="276" spans="2:4">
      <c r="B276" s="10" t="s">
        <v>638</v>
      </c>
      <c r="C276" s="15" t="s">
        <v>639</v>
      </c>
      <c r="D276" s="15" t="s">
        <v>67</v>
      </c>
    </row>
    <row r="277" spans="2:4">
      <c r="B277" s="10" t="s">
        <v>640</v>
      </c>
      <c r="C277" s="15" t="s">
        <v>641</v>
      </c>
      <c r="D277" s="15" t="s">
        <v>26</v>
      </c>
    </row>
    <row r="278" spans="2:4">
      <c r="B278" s="10" t="s">
        <v>642</v>
      </c>
      <c r="C278" s="15" t="s">
        <v>643</v>
      </c>
      <c r="D278" s="15" t="s">
        <v>40</v>
      </c>
    </row>
    <row r="279" spans="2:4">
      <c r="B279" s="10" t="s">
        <v>644</v>
      </c>
      <c r="C279" s="15" t="s">
        <v>645</v>
      </c>
      <c r="D279" s="15" t="s">
        <v>26</v>
      </c>
    </row>
    <row r="280" spans="2:4">
      <c r="B280" s="10" t="s">
        <v>646</v>
      </c>
      <c r="C280" s="15" t="s">
        <v>647</v>
      </c>
      <c r="D280" s="15" t="s">
        <v>648</v>
      </c>
    </row>
    <row r="281" spans="2:4">
      <c r="B281" s="10" t="s">
        <v>649</v>
      </c>
      <c r="C281" s="15" t="s">
        <v>650</v>
      </c>
      <c r="D281" s="15" t="s">
        <v>26</v>
      </c>
    </row>
    <row r="282" spans="2:4">
      <c r="B282" s="10" t="s">
        <v>651</v>
      </c>
      <c r="C282" s="15" t="s">
        <v>652</v>
      </c>
      <c r="D282" s="15" t="s">
        <v>225</v>
      </c>
    </row>
    <row r="283" spans="2:4">
      <c r="B283" s="10" t="s">
        <v>653</v>
      </c>
      <c r="C283" s="15" t="s">
        <v>654</v>
      </c>
      <c r="D283" s="15" t="s">
        <v>71</v>
      </c>
    </row>
    <row r="284" spans="2:4">
      <c r="B284" s="10" t="s">
        <v>655</v>
      </c>
      <c r="C284" s="15" t="s">
        <v>656</v>
      </c>
      <c r="D284" s="15" t="s">
        <v>10</v>
      </c>
    </row>
    <row r="285" spans="2:4">
      <c r="B285" s="10" t="s">
        <v>657</v>
      </c>
      <c r="C285" s="15" t="s">
        <v>658</v>
      </c>
      <c r="D285" s="15" t="s">
        <v>504</v>
      </c>
    </row>
    <row r="286" spans="2:4">
      <c r="B286" s="10" t="s">
        <v>659</v>
      </c>
      <c r="C286" s="15" t="s">
        <v>660</v>
      </c>
      <c r="D286" s="15" t="s">
        <v>40</v>
      </c>
    </row>
    <row r="287" spans="2:4">
      <c r="B287" s="10" t="s">
        <v>661</v>
      </c>
      <c r="C287" s="15" t="s">
        <v>662</v>
      </c>
      <c r="D287" s="15" t="s">
        <v>55</v>
      </c>
    </row>
    <row r="288" spans="2:4">
      <c r="B288" s="10" t="s">
        <v>663</v>
      </c>
      <c r="C288" s="15" t="s">
        <v>664</v>
      </c>
      <c r="D288" s="15" t="s">
        <v>67</v>
      </c>
    </row>
    <row r="289" spans="2:4">
      <c r="B289" s="10" t="s">
        <v>665</v>
      </c>
      <c r="C289" s="15" t="s">
        <v>666</v>
      </c>
      <c r="D289" s="15" t="s">
        <v>26</v>
      </c>
    </row>
    <row r="290" spans="2:4">
      <c r="B290" s="10" t="s">
        <v>667</v>
      </c>
      <c r="C290" s="15" t="s">
        <v>668</v>
      </c>
      <c r="D290" s="15" t="s">
        <v>55</v>
      </c>
    </row>
    <row r="291" spans="2:4">
      <c r="B291" s="10" t="s">
        <v>669</v>
      </c>
      <c r="C291" s="15" t="s">
        <v>670</v>
      </c>
      <c r="D291" s="15" t="s">
        <v>55</v>
      </c>
    </row>
    <row r="292" spans="2:4">
      <c r="B292" s="10" t="s">
        <v>671</v>
      </c>
      <c r="C292" s="15" t="s">
        <v>672</v>
      </c>
      <c r="D292" s="15" t="s">
        <v>55</v>
      </c>
    </row>
    <row r="293" spans="2:4">
      <c r="B293" s="10" t="s">
        <v>673</v>
      </c>
      <c r="C293" s="15" t="s">
        <v>674</v>
      </c>
      <c r="D293" s="15" t="s">
        <v>40</v>
      </c>
    </row>
    <row r="294" spans="2:4">
      <c r="B294" s="10" t="s">
        <v>675</v>
      </c>
      <c r="C294" s="15" t="s">
        <v>676</v>
      </c>
      <c r="D294" s="15" t="s">
        <v>268</v>
      </c>
    </row>
    <row r="295" spans="2:4">
      <c r="B295" s="10" t="s">
        <v>677</v>
      </c>
      <c r="C295" s="15" t="s">
        <v>678</v>
      </c>
      <c r="D295" s="15" t="s">
        <v>679</v>
      </c>
    </row>
    <row r="296" spans="2:4">
      <c r="B296" s="10" t="s">
        <v>680</v>
      </c>
      <c r="C296" s="15" t="s">
        <v>681</v>
      </c>
      <c r="D296" s="15" t="s">
        <v>26</v>
      </c>
    </row>
    <row r="297" spans="2:4">
      <c r="B297" s="10" t="s">
        <v>682</v>
      </c>
      <c r="C297" s="15" t="s">
        <v>683</v>
      </c>
      <c r="D297" s="15" t="s">
        <v>55</v>
      </c>
    </row>
    <row r="298" spans="2:4">
      <c r="B298" s="10" t="s">
        <v>684</v>
      </c>
      <c r="C298" s="15" t="s">
        <v>685</v>
      </c>
      <c r="D298" s="15" t="s">
        <v>26</v>
      </c>
    </row>
    <row r="299" spans="2:4">
      <c r="B299" s="10" t="s">
        <v>686</v>
      </c>
      <c r="C299" s="15" t="s">
        <v>687</v>
      </c>
      <c r="D299" s="15" t="s">
        <v>67</v>
      </c>
    </row>
    <row r="300" spans="2:4">
      <c r="B300" s="10" t="s">
        <v>688</v>
      </c>
      <c r="C300" s="15" t="s">
        <v>689</v>
      </c>
      <c r="D300" s="15" t="s">
        <v>55</v>
      </c>
    </row>
    <row r="301" spans="2:4">
      <c r="B301" s="10" t="s">
        <v>690</v>
      </c>
      <c r="C301" s="15" t="s">
        <v>691</v>
      </c>
      <c r="D301" s="15" t="s">
        <v>67</v>
      </c>
    </row>
    <row r="302" spans="2:4">
      <c r="B302" s="10" t="s">
        <v>692</v>
      </c>
      <c r="C302" s="15" t="s">
        <v>693</v>
      </c>
      <c r="D302" s="15" t="s">
        <v>55</v>
      </c>
    </row>
    <row r="303" spans="2:4">
      <c r="B303" s="10" t="s">
        <v>694</v>
      </c>
      <c r="C303" s="15" t="s">
        <v>695</v>
      </c>
      <c r="D303" s="15" t="s">
        <v>55</v>
      </c>
    </row>
    <row r="304" spans="2:4">
      <c r="B304" s="10" t="s">
        <v>696</v>
      </c>
      <c r="C304" s="15" t="s">
        <v>697</v>
      </c>
      <c r="D304" s="15" t="s">
        <v>504</v>
      </c>
    </row>
    <row r="305" spans="2:4">
      <c r="B305" s="10" t="s">
        <v>698</v>
      </c>
      <c r="C305" s="15" t="s">
        <v>699</v>
      </c>
      <c r="D305" s="15" t="s">
        <v>26</v>
      </c>
    </row>
    <row r="306" spans="2:4">
      <c r="B306" s="10" t="s">
        <v>700</v>
      </c>
      <c r="C306" s="15" t="s">
        <v>701</v>
      </c>
      <c r="D306" s="15" t="s">
        <v>55</v>
      </c>
    </row>
    <row r="307" spans="2:4">
      <c r="B307" s="10" t="s">
        <v>702</v>
      </c>
      <c r="C307" s="15" t="s">
        <v>703</v>
      </c>
      <c r="D307" s="15" t="s">
        <v>109</v>
      </c>
    </row>
    <row r="308" spans="2:4">
      <c r="B308" s="10" t="s">
        <v>704</v>
      </c>
      <c r="C308" s="15" t="s">
        <v>705</v>
      </c>
      <c r="D308" s="15" t="s">
        <v>55</v>
      </c>
    </row>
    <row r="309" spans="2:4">
      <c r="B309" s="10" t="s">
        <v>706</v>
      </c>
      <c r="C309" s="15" t="s">
        <v>707</v>
      </c>
      <c r="D309" s="15" t="s">
        <v>67</v>
      </c>
    </row>
    <row r="310" spans="2:4">
      <c r="B310" s="10" t="s">
        <v>708</v>
      </c>
      <c r="C310" s="15" t="s">
        <v>709</v>
      </c>
      <c r="D310" s="15" t="s">
        <v>10</v>
      </c>
    </row>
    <row r="311" spans="2:4">
      <c r="B311" s="10" t="s">
        <v>710</v>
      </c>
      <c r="C311" s="15" t="s">
        <v>711</v>
      </c>
      <c r="D311" s="15" t="s">
        <v>26</v>
      </c>
    </row>
    <row r="312" spans="2:4">
      <c r="B312" s="10" t="s">
        <v>712</v>
      </c>
      <c r="C312" s="15" t="s">
        <v>713</v>
      </c>
      <c r="D312" s="15" t="s">
        <v>207</v>
      </c>
    </row>
    <row r="313" spans="2:4">
      <c r="B313" s="10" t="s">
        <v>714</v>
      </c>
      <c r="C313" s="15" t="s">
        <v>715</v>
      </c>
      <c r="D313" s="15" t="s">
        <v>26</v>
      </c>
    </row>
    <row r="314" spans="2:4">
      <c r="B314" s="10" t="s">
        <v>716</v>
      </c>
      <c r="C314" s="15" t="s">
        <v>717</v>
      </c>
      <c r="D314" s="15" t="s">
        <v>26</v>
      </c>
    </row>
    <row r="315" spans="2:4">
      <c r="B315" s="10" t="s">
        <v>718</v>
      </c>
      <c r="C315" s="15" t="s">
        <v>719</v>
      </c>
      <c r="D315" s="15" t="s">
        <v>55</v>
      </c>
    </row>
    <row r="316" spans="2:4">
      <c r="B316" s="10" t="s">
        <v>720</v>
      </c>
      <c r="C316" s="15" t="s">
        <v>721</v>
      </c>
      <c r="D316" s="15" t="s">
        <v>26</v>
      </c>
    </row>
    <row r="317" spans="2:4">
      <c r="B317" s="10" t="s">
        <v>722</v>
      </c>
      <c r="C317" s="15" t="s">
        <v>723</v>
      </c>
      <c r="D317" s="15" t="s">
        <v>40</v>
      </c>
    </row>
    <row r="318" spans="2:4">
      <c r="B318" s="10" t="s">
        <v>724</v>
      </c>
      <c r="C318" s="15" t="s">
        <v>725</v>
      </c>
      <c r="D318" s="15" t="s">
        <v>18</v>
      </c>
    </row>
    <row r="319" spans="2:4">
      <c r="B319" s="10" t="s">
        <v>726</v>
      </c>
      <c r="C319" s="15" t="s">
        <v>727</v>
      </c>
      <c r="D319" s="15" t="s">
        <v>10</v>
      </c>
    </row>
    <row r="320" spans="2:4">
      <c r="B320" s="10" t="s">
        <v>728</v>
      </c>
      <c r="C320" s="15" t="s">
        <v>729</v>
      </c>
      <c r="D320" s="15" t="s">
        <v>109</v>
      </c>
    </row>
    <row r="321" spans="2:4">
      <c r="B321" s="10" t="s">
        <v>730</v>
      </c>
      <c r="C321" s="15" t="s">
        <v>731</v>
      </c>
      <c r="D321" s="15" t="s">
        <v>26</v>
      </c>
    </row>
    <row r="322" spans="2:4">
      <c r="B322" s="10" t="s">
        <v>732</v>
      </c>
      <c r="C322" s="15" t="s">
        <v>733</v>
      </c>
      <c r="D322" s="15" t="s">
        <v>55</v>
      </c>
    </row>
    <row r="323" spans="2:4">
      <c r="B323" s="10" t="s">
        <v>734</v>
      </c>
      <c r="C323" s="15" t="s">
        <v>735</v>
      </c>
      <c r="D323" s="15" t="s">
        <v>67</v>
      </c>
    </row>
    <row r="324" spans="2:4">
      <c r="B324" s="10" t="s">
        <v>736</v>
      </c>
      <c r="C324" s="15" t="s">
        <v>737</v>
      </c>
      <c r="D324" s="15" t="s">
        <v>67</v>
      </c>
    </row>
    <row r="325" spans="2:4">
      <c r="B325" s="10" t="s">
        <v>738</v>
      </c>
      <c r="C325" s="15" t="s">
        <v>739</v>
      </c>
      <c r="D325" s="15" t="s">
        <v>26</v>
      </c>
    </row>
    <row r="326" spans="2:4">
      <c r="B326" s="10" t="s">
        <v>740</v>
      </c>
      <c r="C326" s="15" t="s">
        <v>741</v>
      </c>
      <c r="D326" s="15" t="s">
        <v>26</v>
      </c>
    </row>
    <row r="327" spans="2:4">
      <c r="B327" s="10" t="s">
        <v>742</v>
      </c>
      <c r="C327" s="15" t="s">
        <v>743</v>
      </c>
      <c r="D327" s="15" t="s">
        <v>55</v>
      </c>
    </row>
    <row r="328" spans="2:4">
      <c r="B328" s="10" t="s">
        <v>744</v>
      </c>
      <c r="C328" s="15" t="s">
        <v>745</v>
      </c>
      <c r="D328" s="15" t="s">
        <v>109</v>
      </c>
    </row>
    <row r="329" spans="2:4">
      <c r="B329" s="10" t="s">
        <v>746</v>
      </c>
      <c r="C329" s="15" t="s">
        <v>747</v>
      </c>
      <c r="D329" s="15" t="s">
        <v>67</v>
      </c>
    </row>
    <row r="330" spans="2:4">
      <c r="B330" s="10" t="s">
        <v>748</v>
      </c>
      <c r="C330" s="15" t="s">
        <v>749</v>
      </c>
      <c r="D330" s="15" t="s">
        <v>67</v>
      </c>
    </row>
    <row r="331" spans="2:4">
      <c r="B331" s="10" t="s">
        <v>750</v>
      </c>
      <c r="C331" s="15" t="s">
        <v>751</v>
      </c>
      <c r="D331" s="15" t="s">
        <v>225</v>
      </c>
    </row>
    <row r="332" spans="2:4">
      <c r="B332" s="10" t="s">
        <v>752</v>
      </c>
      <c r="C332" s="15" t="s">
        <v>753</v>
      </c>
      <c r="D332" s="15" t="s">
        <v>754</v>
      </c>
    </row>
    <row r="333" spans="2:4">
      <c r="B333" s="10" t="s">
        <v>755</v>
      </c>
      <c r="C333" s="15" t="s">
        <v>756</v>
      </c>
      <c r="D333" s="15" t="s">
        <v>55</v>
      </c>
    </row>
    <row r="334" spans="2:4">
      <c r="B334" s="10" t="s">
        <v>757</v>
      </c>
      <c r="C334" s="15" t="s">
        <v>758</v>
      </c>
      <c r="D334" s="15" t="s">
        <v>26</v>
      </c>
    </row>
    <row r="335" spans="2:4">
      <c r="B335" s="10" t="s">
        <v>759</v>
      </c>
      <c r="C335" s="15" t="s">
        <v>760</v>
      </c>
      <c r="D335" s="15" t="s">
        <v>67</v>
      </c>
    </row>
    <row r="336" spans="2:4">
      <c r="B336" s="10" t="s">
        <v>761</v>
      </c>
      <c r="C336" s="15" t="s">
        <v>762</v>
      </c>
      <c r="D336" s="15" t="s">
        <v>763</v>
      </c>
    </row>
    <row r="337" spans="2:4">
      <c r="B337" s="10" t="s">
        <v>764</v>
      </c>
      <c r="C337" s="15" t="s">
        <v>765</v>
      </c>
      <c r="D337" s="15" t="s">
        <v>26</v>
      </c>
    </row>
    <row r="338" spans="2:4">
      <c r="B338" s="10" t="s">
        <v>766</v>
      </c>
      <c r="C338" s="15" t="s">
        <v>767</v>
      </c>
      <c r="D338" s="15" t="s">
        <v>109</v>
      </c>
    </row>
    <row r="339" spans="2:4">
      <c r="B339" s="10" t="s">
        <v>768</v>
      </c>
      <c r="C339" s="15" t="s">
        <v>769</v>
      </c>
      <c r="D339" s="15" t="s">
        <v>26</v>
      </c>
    </row>
    <row r="340" spans="2:4">
      <c r="B340" s="10" t="s">
        <v>770</v>
      </c>
      <c r="C340" s="15" t="s">
        <v>771</v>
      </c>
      <c r="D340" s="15" t="s">
        <v>55</v>
      </c>
    </row>
    <row r="341" spans="2:4">
      <c r="B341" s="10" t="s">
        <v>772</v>
      </c>
      <c r="C341" s="15" t="s">
        <v>773</v>
      </c>
      <c r="D341" s="15" t="s">
        <v>26</v>
      </c>
    </row>
    <row r="342" spans="2:4">
      <c r="B342" s="10" t="s">
        <v>774</v>
      </c>
      <c r="C342" s="15" t="s">
        <v>775</v>
      </c>
      <c r="D342" s="15" t="s">
        <v>40</v>
      </c>
    </row>
    <row r="343" spans="2:4">
      <c r="B343" s="10" t="s">
        <v>776</v>
      </c>
      <c r="C343" s="15" t="s">
        <v>777</v>
      </c>
      <c r="D343" s="15" t="s">
        <v>26</v>
      </c>
    </row>
    <row r="344" spans="2:4">
      <c r="B344" s="10" t="s">
        <v>778</v>
      </c>
      <c r="C344" s="15" t="s">
        <v>779</v>
      </c>
      <c r="D344" s="15" t="s">
        <v>40</v>
      </c>
    </row>
    <row r="345" spans="2:4">
      <c r="B345" s="10" t="s">
        <v>780</v>
      </c>
      <c r="C345" s="15" t="s">
        <v>781</v>
      </c>
      <c r="D345" s="15" t="s">
        <v>55</v>
      </c>
    </row>
    <row r="346" spans="2:4">
      <c r="B346" s="10" t="s">
        <v>782</v>
      </c>
      <c r="C346" s="15" t="s">
        <v>783</v>
      </c>
      <c r="D346" s="15" t="s">
        <v>26</v>
      </c>
    </row>
    <row r="347" spans="2:4">
      <c r="B347" s="10" t="s">
        <v>784</v>
      </c>
      <c r="C347" s="15" t="s">
        <v>785</v>
      </c>
      <c r="D347" s="15" t="s">
        <v>18</v>
      </c>
    </row>
    <row r="348" spans="2:4">
      <c r="B348" s="10" t="s">
        <v>786</v>
      </c>
      <c r="C348" s="15" t="s">
        <v>787</v>
      </c>
      <c r="D348" s="15" t="s">
        <v>109</v>
      </c>
    </row>
    <row r="349" spans="2:4">
      <c r="B349" s="10" t="s">
        <v>788</v>
      </c>
      <c r="C349" s="15" t="s">
        <v>789</v>
      </c>
      <c r="D349" s="15" t="s">
        <v>78</v>
      </c>
    </row>
    <row r="350" spans="2:4">
      <c r="B350" s="10" t="s">
        <v>790</v>
      </c>
      <c r="C350" s="15" t="s">
        <v>791</v>
      </c>
      <c r="D350" s="15" t="s">
        <v>792</v>
      </c>
    </row>
    <row r="351" spans="2:4">
      <c r="B351" s="10" t="s">
        <v>793</v>
      </c>
      <c r="C351" s="15" t="s">
        <v>794</v>
      </c>
      <c r="D351" s="15" t="s">
        <v>26</v>
      </c>
    </row>
    <row r="352" spans="2:4">
      <c r="B352" s="10" t="s">
        <v>795</v>
      </c>
      <c r="C352" s="15" t="s">
        <v>796</v>
      </c>
      <c r="D352" s="15" t="s">
        <v>40</v>
      </c>
    </row>
    <row r="353" spans="2:4">
      <c r="B353" s="10" t="s">
        <v>797</v>
      </c>
      <c r="C353" s="15" t="s">
        <v>798</v>
      </c>
      <c r="D353" s="15" t="s">
        <v>504</v>
      </c>
    </row>
    <row r="354" spans="2:4">
      <c r="B354" s="10" t="s">
        <v>799</v>
      </c>
      <c r="C354" s="15" t="s">
        <v>800</v>
      </c>
      <c r="D354" s="15" t="s">
        <v>801</v>
      </c>
    </row>
    <row r="355" spans="2:4">
      <c r="B355" s="10" t="s">
        <v>802</v>
      </c>
      <c r="C355" s="15" t="s">
        <v>803</v>
      </c>
      <c r="D355" s="15" t="s">
        <v>26</v>
      </c>
    </row>
    <row r="356" spans="2:4">
      <c r="B356" s="10" t="s">
        <v>804</v>
      </c>
      <c r="C356" s="15" t="s">
        <v>805</v>
      </c>
      <c r="D356" s="15" t="s">
        <v>67</v>
      </c>
    </row>
    <row r="357" spans="2:4">
      <c r="B357" s="10" t="s">
        <v>806</v>
      </c>
      <c r="C357" s="15" t="s">
        <v>807</v>
      </c>
      <c r="D357" s="15" t="s">
        <v>26</v>
      </c>
    </row>
    <row r="358" spans="2:4">
      <c r="B358" s="10" t="s">
        <v>808</v>
      </c>
      <c r="C358" s="15" t="s">
        <v>809</v>
      </c>
      <c r="D358" s="15" t="s">
        <v>40</v>
      </c>
    </row>
    <row r="359" spans="2:4">
      <c r="B359" s="10" t="s">
        <v>810</v>
      </c>
      <c r="C359" s="15" t="s">
        <v>811</v>
      </c>
      <c r="D359" s="15" t="s">
        <v>26</v>
      </c>
    </row>
    <row r="360" spans="2:4">
      <c r="B360" s="10" t="s">
        <v>812</v>
      </c>
      <c r="C360" s="15" t="s">
        <v>813</v>
      </c>
      <c r="D360" s="15" t="s">
        <v>26</v>
      </c>
    </row>
    <row r="361" spans="2:4">
      <c r="B361" s="10" t="s">
        <v>814</v>
      </c>
      <c r="C361" s="15" t="s">
        <v>815</v>
      </c>
      <c r="D361" s="15" t="s">
        <v>26</v>
      </c>
    </row>
    <row r="362" spans="2:4">
      <c r="B362" s="10" t="s">
        <v>816</v>
      </c>
      <c r="C362" s="15" t="s">
        <v>817</v>
      </c>
      <c r="D362" s="15" t="s">
        <v>40</v>
      </c>
    </row>
    <row r="363" spans="2:4">
      <c r="B363" s="10" t="s">
        <v>818</v>
      </c>
      <c r="C363" s="15" t="s">
        <v>819</v>
      </c>
      <c r="D363" s="15" t="s">
        <v>26</v>
      </c>
    </row>
    <row r="364" spans="2:4">
      <c r="B364" s="10" t="s">
        <v>820</v>
      </c>
      <c r="C364" s="15" t="s">
        <v>821</v>
      </c>
      <c r="D364" s="15" t="s">
        <v>109</v>
      </c>
    </row>
    <row r="365" spans="2:4">
      <c r="B365" s="10" t="s">
        <v>822</v>
      </c>
      <c r="C365" s="15" t="s">
        <v>823</v>
      </c>
      <c r="D365" s="15" t="s">
        <v>55</v>
      </c>
    </row>
    <row r="366" spans="2:4">
      <c r="B366" s="10" t="s">
        <v>824</v>
      </c>
      <c r="C366" s="15" t="s">
        <v>825</v>
      </c>
      <c r="D366" s="15" t="s">
        <v>826</v>
      </c>
    </row>
    <row r="367" spans="2:4">
      <c r="B367" s="10" t="s">
        <v>827</v>
      </c>
      <c r="C367" s="15" t="s">
        <v>828</v>
      </c>
      <c r="D367" s="15" t="s">
        <v>829</v>
      </c>
    </row>
    <row r="368" spans="2:4">
      <c r="B368" s="10" t="s">
        <v>830</v>
      </c>
      <c r="C368" s="15" t="s">
        <v>831</v>
      </c>
      <c r="D368" s="15" t="s">
        <v>67</v>
      </c>
    </row>
    <row r="369" spans="2:4">
      <c r="B369" s="10" t="s">
        <v>832</v>
      </c>
      <c r="C369" s="15" t="s">
        <v>833</v>
      </c>
      <c r="D369" s="15" t="s">
        <v>834</v>
      </c>
    </row>
    <row r="370" spans="2:4">
      <c r="B370" s="10" t="s">
        <v>835</v>
      </c>
      <c r="C370" s="15" t="s">
        <v>836</v>
      </c>
      <c r="D370" s="15" t="s">
        <v>40</v>
      </c>
    </row>
    <row r="371" spans="2:4">
      <c r="B371" s="10" t="s">
        <v>837</v>
      </c>
      <c r="C371" s="15" t="s">
        <v>838</v>
      </c>
      <c r="D371" s="15" t="s">
        <v>839</v>
      </c>
    </row>
    <row r="372" spans="2:4">
      <c r="B372" s="10" t="s">
        <v>840</v>
      </c>
      <c r="C372" s="15" t="s">
        <v>841</v>
      </c>
      <c r="D372" s="15" t="s">
        <v>842</v>
      </c>
    </row>
    <row r="373" spans="2:4">
      <c r="B373" s="10" t="s">
        <v>843</v>
      </c>
      <c r="C373" s="15" t="s">
        <v>844</v>
      </c>
      <c r="D373" s="15" t="s">
        <v>55</v>
      </c>
    </row>
    <row r="374" spans="2:4">
      <c r="B374" s="10" t="s">
        <v>845</v>
      </c>
      <c r="C374" s="15" t="s">
        <v>846</v>
      </c>
      <c r="D374" s="15" t="s">
        <v>26</v>
      </c>
    </row>
    <row r="375" spans="2:4">
      <c r="B375" s="10" t="s">
        <v>847</v>
      </c>
      <c r="C375" s="15" t="s">
        <v>848</v>
      </c>
      <c r="D375" s="15" t="s">
        <v>26</v>
      </c>
    </row>
    <row r="376" spans="2:4">
      <c r="B376" s="10" t="s">
        <v>849</v>
      </c>
      <c r="C376" s="15" t="s">
        <v>850</v>
      </c>
      <c r="D376" s="15" t="s">
        <v>55</v>
      </c>
    </row>
    <row r="377" spans="2:4">
      <c r="B377" s="10" t="s">
        <v>851</v>
      </c>
      <c r="C377" s="15" t="s">
        <v>852</v>
      </c>
      <c r="D377" s="15" t="s">
        <v>225</v>
      </c>
    </row>
    <row r="378" spans="2:4">
      <c r="B378" s="10" t="s">
        <v>853</v>
      </c>
      <c r="C378" s="15" t="s">
        <v>854</v>
      </c>
      <c r="D378" s="15" t="s">
        <v>18</v>
      </c>
    </row>
    <row r="379" spans="2:4">
      <c r="B379" s="10" t="s">
        <v>855</v>
      </c>
      <c r="C379" s="15" t="s">
        <v>856</v>
      </c>
      <c r="D379" s="15" t="s">
        <v>225</v>
      </c>
    </row>
    <row r="380" spans="2:4">
      <c r="B380" s="10" t="s">
        <v>857</v>
      </c>
      <c r="C380" s="15" t="s">
        <v>858</v>
      </c>
      <c r="D380" s="15" t="s">
        <v>26</v>
      </c>
    </row>
    <row r="381" spans="2:4">
      <c r="B381" s="10" t="s">
        <v>859</v>
      </c>
      <c r="C381" s="15" t="s">
        <v>860</v>
      </c>
      <c r="D381" s="15" t="s">
        <v>182</v>
      </c>
    </row>
    <row r="382" spans="2:4">
      <c r="B382" s="10" t="s">
        <v>861</v>
      </c>
      <c r="C382" s="15" t="s">
        <v>862</v>
      </c>
      <c r="D382" s="15" t="s">
        <v>26</v>
      </c>
    </row>
    <row r="383" spans="2:4">
      <c r="B383" s="10" t="s">
        <v>863</v>
      </c>
      <c r="C383" s="15" t="s">
        <v>864</v>
      </c>
      <c r="D383" s="15" t="s">
        <v>26</v>
      </c>
    </row>
    <row r="384" spans="2:4">
      <c r="B384" s="10" t="s">
        <v>865</v>
      </c>
      <c r="C384" s="15" t="s">
        <v>866</v>
      </c>
      <c r="D384" s="15" t="s">
        <v>168</v>
      </c>
    </row>
    <row r="385" spans="2:4">
      <c r="B385" s="10" t="s">
        <v>867</v>
      </c>
      <c r="C385" s="15" t="s">
        <v>868</v>
      </c>
      <c r="D385" s="15" t="s">
        <v>67</v>
      </c>
    </row>
    <row r="386" spans="2:4">
      <c r="B386" s="10" t="s">
        <v>869</v>
      </c>
      <c r="C386" s="15" t="s">
        <v>870</v>
      </c>
      <c r="D386" s="15" t="s">
        <v>55</v>
      </c>
    </row>
    <row r="387" spans="2:4">
      <c r="B387" s="10" t="s">
        <v>871</v>
      </c>
      <c r="C387" s="15" t="s">
        <v>872</v>
      </c>
      <c r="D387" s="15" t="s">
        <v>26</v>
      </c>
    </row>
    <row r="388" spans="2:4">
      <c r="B388" s="10" t="s">
        <v>873</v>
      </c>
      <c r="C388" s="15" t="s">
        <v>874</v>
      </c>
      <c r="D388" s="15" t="s">
        <v>109</v>
      </c>
    </row>
    <row r="389" spans="2:4">
      <c r="B389" s="10" t="s">
        <v>875</v>
      </c>
      <c r="C389" s="15" t="s">
        <v>876</v>
      </c>
      <c r="D389" s="15" t="s">
        <v>40</v>
      </c>
    </row>
    <row r="390" spans="2:4">
      <c r="B390" s="10" t="s">
        <v>877</v>
      </c>
      <c r="C390" s="15" t="s">
        <v>878</v>
      </c>
      <c r="D390" s="15" t="s">
        <v>26</v>
      </c>
    </row>
    <row r="391" spans="2:4">
      <c r="B391" s="10" t="s">
        <v>879</v>
      </c>
      <c r="C391" s="15" t="s">
        <v>880</v>
      </c>
      <c r="D391" s="15" t="s">
        <v>26</v>
      </c>
    </row>
    <row r="392" spans="2:4">
      <c r="B392" s="10" t="s">
        <v>881</v>
      </c>
      <c r="C392" s="15" t="s">
        <v>882</v>
      </c>
      <c r="D392" s="15" t="s">
        <v>26</v>
      </c>
    </row>
    <row r="393" spans="2:4">
      <c r="B393" s="10" t="s">
        <v>883</v>
      </c>
      <c r="C393" s="15" t="s">
        <v>884</v>
      </c>
      <c r="D393" s="15" t="s">
        <v>26</v>
      </c>
    </row>
    <row r="394" spans="2:4">
      <c r="B394" s="10" t="s">
        <v>885</v>
      </c>
      <c r="C394" s="15" t="s">
        <v>886</v>
      </c>
      <c r="D394" s="15" t="s">
        <v>26</v>
      </c>
    </row>
    <row r="395" spans="2:4">
      <c r="B395" s="10" t="s">
        <v>887</v>
      </c>
      <c r="C395" s="15" t="s">
        <v>888</v>
      </c>
      <c r="D395" s="15" t="s">
        <v>504</v>
      </c>
    </row>
    <row r="396" spans="2:4">
      <c r="B396" s="10" t="s">
        <v>889</v>
      </c>
      <c r="C396" s="15" t="s">
        <v>890</v>
      </c>
      <c r="D396" s="15" t="s">
        <v>55</v>
      </c>
    </row>
    <row r="397" spans="2:4">
      <c r="B397" s="10" t="s">
        <v>891</v>
      </c>
      <c r="C397" s="15" t="s">
        <v>892</v>
      </c>
      <c r="D397" s="15" t="s">
        <v>40</v>
      </c>
    </row>
    <row r="398" spans="2:4">
      <c r="B398" s="10" t="s">
        <v>893</v>
      </c>
      <c r="C398" s="15" t="s">
        <v>894</v>
      </c>
      <c r="D398" s="15" t="s">
        <v>40</v>
      </c>
    </row>
    <row r="399" spans="2:4">
      <c r="B399" s="10" t="s">
        <v>895</v>
      </c>
      <c r="C399" s="15" t="s">
        <v>896</v>
      </c>
      <c r="D399" s="15" t="s">
        <v>26</v>
      </c>
    </row>
    <row r="400" spans="2:4">
      <c r="B400" s="10" t="s">
        <v>897</v>
      </c>
      <c r="C400" s="15" t="s">
        <v>898</v>
      </c>
      <c r="D400" s="15" t="s">
        <v>26</v>
      </c>
    </row>
    <row r="401" spans="2:4">
      <c r="B401" s="10" t="s">
        <v>899</v>
      </c>
      <c r="C401" s="15" t="s">
        <v>900</v>
      </c>
      <c r="D401" s="15" t="s">
        <v>26</v>
      </c>
    </row>
    <row r="402" spans="2:4">
      <c r="B402" s="10" t="s">
        <v>901</v>
      </c>
      <c r="C402" s="15" t="s">
        <v>902</v>
      </c>
      <c r="D402" s="15" t="s">
        <v>903</v>
      </c>
    </row>
    <row r="403" spans="2:4">
      <c r="B403" s="10" t="s">
        <v>904</v>
      </c>
      <c r="C403" s="15" t="s">
        <v>905</v>
      </c>
      <c r="D403" s="15" t="s">
        <v>504</v>
      </c>
    </row>
    <row r="404" spans="2:4">
      <c r="B404" s="10" t="s">
        <v>906</v>
      </c>
      <c r="C404" s="15" t="s">
        <v>907</v>
      </c>
      <c r="D404" s="15" t="s">
        <v>55</v>
      </c>
    </row>
    <row r="405" spans="2:4">
      <c r="B405" s="10" t="s">
        <v>908</v>
      </c>
      <c r="C405" s="15" t="s">
        <v>909</v>
      </c>
      <c r="D405" s="15" t="s">
        <v>349</v>
      </c>
    </row>
    <row r="406" spans="2:4">
      <c r="B406" s="10" t="s">
        <v>910</v>
      </c>
      <c r="C406" s="15" t="s">
        <v>911</v>
      </c>
      <c r="D406" s="15" t="s">
        <v>504</v>
      </c>
    </row>
    <row r="407" spans="2:4">
      <c r="B407" s="10" t="s">
        <v>912</v>
      </c>
      <c r="C407" s="15" t="s">
        <v>913</v>
      </c>
      <c r="D407" s="15" t="s">
        <v>71</v>
      </c>
    </row>
    <row r="408" spans="2:4">
      <c r="B408" s="10" t="s">
        <v>914</v>
      </c>
      <c r="C408" s="15" t="s">
        <v>915</v>
      </c>
      <c r="D408" s="15" t="s">
        <v>67</v>
      </c>
    </row>
    <row r="409" spans="2:4">
      <c r="B409" s="10" t="s">
        <v>916</v>
      </c>
      <c r="C409" s="15" t="s">
        <v>917</v>
      </c>
      <c r="D409" s="15" t="s">
        <v>918</v>
      </c>
    </row>
    <row r="410" spans="2:4">
      <c r="B410" s="10" t="s">
        <v>919</v>
      </c>
      <c r="C410" s="15" t="s">
        <v>920</v>
      </c>
      <c r="D410" s="15" t="s">
        <v>55</v>
      </c>
    </row>
    <row r="411" spans="2:4">
      <c r="B411" s="10" t="s">
        <v>921</v>
      </c>
      <c r="C411" s="15" t="s">
        <v>922</v>
      </c>
      <c r="D411" s="15" t="s">
        <v>55</v>
      </c>
    </row>
    <row r="412" spans="2:4">
      <c r="B412" s="10" t="s">
        <v>923</v>
      </c>
      <c r="C412" s="15" t="s">
        <v>924</v>
      </c>
      <c r="D412" s="15" t="s">
        <v>18</v>
      </c>
    </row>
    <row r="413" spans="2:4">
      <c r="B413" s="10" t="s">
        <v>925</v>
      </c>
      <c r="C413" s="15" t="s">
        <v>926</v>
      </c>
      <c r="D413" s="15" t="s">
        <v>927</v>
      </c>
    </row>
    <row r="414" spans="2:4">
      <c r="B414" s="10" t="s">
        <v>928</v>
      </c>
      <c r="C414" s="15" t="s">
        <v>929</v>
      </c>
      <c r="D414" s="15" t="s">
        <v>55</v>
      </c>
    </row>
    <row r="415" spans="2:4">
      <c r="B415" s="10" t="s">
        <v>930</v>
      </c>
      <c r="C415" s="15" t="s">
        <v>931</v>
      </c>
      <c r="D415" s="15" t="s">
        <v>932</v>
      </c>
    </row>
    <row r="416" spans="2:4">
      <c r="B416" s="10" t="s">
        <v>933</v>
      </c>
      <c r="C416" s="15" t="s">
        <v>934</v>
      </c>
      <c r="D416" s="15" t="s">
        <v>935</v>
      </c>
    </row>
    <row r="417" spans="2:4">
      <c r="B417" s="10" t="s">
        <v>936</v>
      </c>
      <c r="C417" s="15" t="s">
        <v>937</v>
      </c>
      <c r="D417" s="15" t="s">
        <v>26</v>
      </c>
    </row>
    <row r="418" spans="2:4">
      <c r="B418" s="10" t="s">
        <v>938</v>
      </c>
      <c r="C418" s="15" t="s">
        <v>939</v>
      </c>
      <c r="D418" s="15" t="s">
        <v>18</v>
      </c>
    </row>
    <row r="419" spans="2:4">
      <c r="B419" s="10" t="s">
        <v>940</v>
      </c>
      <c r="C419" s="15" t="s">
        <v>941</v>
      </c>
      <c r="D419" s="15" t="s">
        <v>55</v>
      </c>
    </row>
    <row r="420" spans="2:4">
      <c r="B420" s="10" t="s">
        <v>942</v>
      </c>
      <c r="C420" s="15" t="s">
        <v>943</v>
      </c>
      <c r="D420" s="15" t="s">
        <v>67</v>
      </c>
    </row>
    <row r="421" spans="2:4">
      <c r="B421" s="10" t="s">
        <v>944</v>
      </c>
      <c r="C421" s="15" t="s">
        <v>945</v>
      </c>
      <c r="D421" s="15" t="s">
        <v>225</v>
      </c>
    </row>
    <row r="422" spans="2:4">
      <c r="B422" s="10" t="s">
        <v>946</v>
      </c>
      <c r="C422" s="15" t="s">
        <v>947</v>
      </c>
      <c r="D422" s="15" t="s">
        <v>26</v>
      </c>
    </row>
    <row r="423" spans="2:4">
      <c r="B423" s="10" t="s">
        <v>948</v>
      </c>
      <c r="C423" s="15" t="s">
        <v>949</v>
      </c>
      <c r="D423" s="15" t="s">
        <v>26</v>
      </c>
    </row>
    <row r="424" spans="2:4">
      <c r="B424" s="10" t="s">
        <v>950</v>
      </c>
      <c r="C424" s="15" t="s">
        <v>951</v>
      </c>
      <c r="D424" s="15" t="s">
        <v>26</v>
      </c>
    </row>
    <row r="425" spans="2:4">
      <c r="B425" s="10" t="s">
        <v>952</v>
      </c>
      <c r="C425" s="15" t="s">
        <v>953</v>
      </c>
      <c r="D425" s="15" t="s">
        <v>55</v>
      </c>
    </row>
    <row r="426" spans="2:4">
      <c r="B426" s="10" t="s">
        <v>954</v>
      </c>
      <c r="C426" s="15" t="s">
        <v>955</v>
      </c>
      <c r="D426" s="15" t="s">
        <v>78</v>
      </c>
    </row>
    <row r="427" spans="2:4">
      <c r="B427" s="10" t="s">
        <v>956</v>
      </c>
      <c r="C427" s="15" t="s">
        <v>957</v>
      </c>
      <c r="D427" s="15" t="s">
        <v>67</v>
      </c>
    </row>
    <row r="428" spans="2:4">
      <c r="B428" s="10" t="s">
        <v>958</v>
      </c>
      <c r="C428" s="15" t="s">
        <v>959</v>
      </c>
      <c r="D428" s="15" t="s">
        <v>55</v>
      </c>
    </row>
    <row r="429" spans="2:4">
      <c r="B429" s="10" t="s">
        <v>960</v>
      </c>
      <c r="C429" s="15" t="s">
        <v>961</v>
      </c>
      <c r="D429" s="15" t="s">
        <v>78</v>
      </c>
    </row>
    <row r="430" spans="2:4">
      <c r="B430" s="10" t="s">
        <v>962</v>
      </c>
      <c r="C430" s="15" t="s">
        <v>963</v>
      </c>
      <c r="D430" s="15" t="s">
        <v>67</v>
      </c>
    </row>
    <row r="431" spans="2:4">
      <c r="B431" s="10" t="s">
        <v>964</v>
      </c>
      <c r="C431" s="15" t="s">
        <v>965</v>
      </c>
      <c r="D431" s="15" t="s">
        <v>55</v>
      </c>
    </row>
    <row r="432" spans="2:4">
      <c r="B432" s="10" t="s">
        <v>966</v>
      </c>
      <c r="C432" s="15" t="s">
        <v>967</v>
      </c>
      <c r="D432" s="15" t="s">
        <v>40</v>
      </c>
    </row>
    <row r="433" spans="2:4">
      <c r="B433" s="10" t="s">
        <v>968</v>
      </c>
      <c r="C433" s="15" t="s">
        <v>969</v>
      </c>
      <c r="D433" s="15" t="s">
        <v>10</v>
      </c>
    </row>
    <row r="434" spans="2:4">
      <c r="B434" s="10" t="s">
        <v>970</v>
      </c>
      <c r="C434" s="15" t="s">
        <v>971</v>
      </c>
      <c r="D434" s="15" t="s">
        <v>18</v>
      </c>
    </row>
    <row r="435" spans="2:4">
      <c r="B435" s="10" t="s">
        <v>972</v>
      </c>
      <c r="C435" s="15" t="s">
        <v>973</v>
      </c>
      <c r="D435" s="15" t="s">
        <v>257</v>
      </c>
    </row>
    <row r="436" spans="2:4">
      <c r="B436" s="10" t="s">
        <v>974</v>
      </c>
      <c r="C436" s="15" t="s">
        <v>975</v>
      </c>
      <c r="D436" s="15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050C-8DE4-46C1-A867-B7072561D6BA}">
  <dimension ref="B1:M93"/>
  <sheetViews>
    <sheetView zoomScaleNormal="100" workbookViewId="0">
      <selection activeCell="L16" sqref="L16"/>
    </sheetView>
  </sheetViews>
  <sheetFormatPr defaultColWidth="10.7109375" defaultRowHeight="13.1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46031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 t="s">
        <v>41</v>
      </c>
      <c r="G8" s="11" t="s">
        <v>20</v>
      </c>
      <c r="H8" s="11" t="s">
        <v>52</v>
      </c>
      <c r="I8" s="37" t="s">
        <v>989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19" t="s">
        <v>41</v>
      </c>
      <c r="G9" s="11" t="s">
        <v>20</v>
      </c>
      <c r="H9" s="11" t="s">
        <v>52</v>
      </c>
      <c r="I9" s="37" t="s">
        <v>989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521</v>
      </c>
      <c r="D10" s="7" t="str">
        <f>IFERROR(VLOOKUP(C10,'Lista desplegable'!B$1:C$436,2,FALSE),"")</f>
        <v>JOSE MANUEL CASTILLO GARCIA</v>
      </c>
      <c r="E10" s="7" t="str">
        <f>IFERROR(VLOOKUP(D10,'Lista desplegable'!C$1:D$436,2,FALSE),"")</f>
        <v>INSTRUCTOR DE OPERACIONES</v>
      </c>
      <c r="F10" s="19" t="s">
        <v>41</v>
      </c>
      <c r="G10" s="11" t="s">
        <v>20</v>
      </c>
      <c r="H10" s="11" t="s">
        <v>52</v>
      </c>
      <c r="I10" s="37" t="s">
        <v>989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28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 t="s">
        <v>41</v>
      </c>
      <c r="G11" s="11" t="s">
        <v>20</v>
      </c>
      <c r="H11" s="11" t="s">
        <v>52</v>
      </c>
      <c r="I11" s="38" t="s">
        <v>989</v>
      </c>
      <c r="J11" s="11" t="s">
        <v>15</v>
      </c>
      <c r="K11" s="11" t="s">
        <v>14</v>
      </c>
      <c r="L11" s="11" t="s">
        <v>14</v>
      </c>
      <c r="M11" s="11"/>
    </row>
    <row r="12" spans="2:13" s="1" customFormat="1" ht="13.15" customHeight="1">
      <c r="B12" s="24">
        <v>5</v>
      </c>
      <c r="C12" s="27" t="s">
        <v>609</v>
      </c>
      <c r="D12" s="7" t="str">
        <f>IFERROR(VLOOKUP(C12,'Lista desplegable'!B$1:C$436,2,FALSE),"")</f>
        <v>MANUEL ALEJANDRO LISAMBARTH CARABANTES</v>
      </c>
      <c r="E12" s="7" t="str">
        <f>IFERROR(VLOOKUP(D12,'Lista desplegable'!C$1:D$436,2,FALSE),"")</f>
        <v>ADMINISTRATIVO DE FAENA</v>
      </c>
      <c r="F12" s="19" t="s">
        <v>41</v>
      </c>
      <c r="G12" s="11" t="s">
        <v>20</v>
      </c>
      <c r="H12" s="51" t="s">
        <v>52</v>
      </c>
      <c r="I12" s="37" t="s">
        <v>989</v>
      </c>
      <c r="J12" s="26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27" t="s">
        <v>851</v>
      </c>
      <c r="D13" s="7" t="str">
        <f>IFERROR(VLOOKUP(C13,'Lista desplegable'!B$1:C$436,2,FALSE),"")</f>
        <v>RODRIGO ANDRES DIAZ INOSTROZA</v>
      </c>
      <c r="E13" s="7" t="str">
        <f>IFERROR(VLOOKUP(D13,'Lista desplegable'!C$1:D$436,2,FALSE),"")</f>
        <v>BODEGUERO</v>
      </c>
      <c r="F13" s="19" t="s">
        <v>41</v>
      </c>
      <c r="G13" s="11" t="s">
        <v>20</v>
      </c>
      <c r="H13" s="51" t="s">
        <v>52</v>
      </c>
      <c r="I13" s="37" t="s">
        <v>989</v>
      </c>
      <c r="J13" s="26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27" t="s">
        <v>183</v>
      </c>
      <c r="D14" s="7" t="str">
        <f>IFERROR(VLOOKUP(C14,'Lista desplegable'!B$1:C$436,2,FALSE),"")</f>
        <v>CHRISTIAN DARIEM PIZARRO MUÑOZ</v>
      </c>
      <c r="E14" s="7" t="str">
        <f>IFERROR(VLOOKUP(D14,'Lista desplegable'!C$1:D$436,2,FALSE),"")</f>
        <v>SOLDADOR</v>
      </c>
      <c r="F14" s="19" t="s">
        <v>41</v>
      </c>
      <c r="G14" s="11" t="s">
        <v>20</v>
      </c>
      <c r="H14" s="51" t="s">
        <v>52</v>
      </c>
      <c r="I14" s="37" t="s">
        <v>989</v>
      </c>
      <c r="J14" s="26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29" t="s">
        <v>595</v>
      </c>
      <c r="D15" s="7" t="str">
        <f>IFERROR(VLOOKUP(C15,'Lista desplegable'!B$1:C$436,2,FALSE),"")</f>
        <v>LUIS GERARDO LOPEZ OLAVE</v>
      </c>
      <c r="E15" s="7" t="str">
        <f>IFERROR(VLOOKUP(D15,'Lista desplegable'!C$1:D$436,2,FALSE),"")</f>
        <v>MECANICO</v>
      </c>
      <c r="F15" s="19" t="s">
        <v>41</v>
      </c>
      <c r="G15" s="11" t="s">
        <v>20</v>
      </c>
      <c r="H15" s="51" t="s">
        <v>52</v>
      </c>
      <c r="I15" s="38" t="s">
        <v>989</v>
      </c>
      <c r="J15" s="26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30" t="s">
        <v>283</v>
      </c>
      <c r="D16" s="7" t="str">
        <f>IFERROR(VLOOKUP(C16,'Lista desplegable'!B$1:C$436,2,FALSE),"")</f>
        <v>DIEGO NICOLAS GONZALEZ OLIVARES</v>
      </c>
      <c r="E16" s="7" t="str">
        <f>IFERROR(VLOOKUP(D16,'Lista desplegable'!C$1:D$436,2,FALSE),"")</f>
        <v>MECANICO</v>
      </c>
      <c r="F16" s="19" t="s">
        <v>41</v>
      </c>
      <c r="G16" s="11" t="s">
        <v>20</v>
      </c>
      <c r="H16" s="51" t="s">
        <v>52</v>
      </c>
      <c r="I16" s="37" t="s">
        <v>989</v>
      </c>
      <c r="J16" s="26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30" t="s">
        <v>490</v>
      </c>
      <c r="D17" s="7" t="str">
        <f>IFERROR(VLOOKUP(C17,'Lista desplegable'!B$1:C$436,2,FALSE),"")</f>
        <v>JORGE ANDRES LICANQUEO PEREZ</v>
      </c>
      <c r="E17" s="7" t="str">
        <f>IFERROR(VLOOKUP(D17,'Lista desplegable'!C$1:D$436,2,FALSE),"")</f>
        <v>MECANICO</v>
      </c>
      <c r="F17" s="19" t="s">
        <v>41</v>
      </c>
      <c r="G17" s="11" t="s">
        <v>20</v>
      </c>
      <c r="H17" s="51" t="s">
        <v>52</v>
      </c>
      <c r="I17" s="37" t="s">
        <v>989</v>
      </c>
      <c r="J17" s="26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28" t="s">
        <v>636</v>
      </c>
      <c r="D18" s="7" t="str">
        <f>IFERROR(VLOOKUP(C18,'Lista desplegable'!B$1:C$436,2,FALSE),"")</f>
        <v>MARCOS ANTONIO ALDEA BEROIZA</v>
      </c>
      <c r="E18" s="7" t="str">
        <f>IFERROR(VLOOKUP(D18,'Lista desplegable'!C$1:D$436,2,FALSE),"")</f>
        <v>CHOFER</v>
      </c>
      <c r="F18" s="19" t="s">
        <v>41</v>
      </c>
      <c r="G18" s="11" t="s">
        <v>20</v>
      </c>
      <c r="H18" s="51" t="s">
        <v>52</v>
      </c>
      <c r="I18" s="37" t="s">
        <v>989</v>
      </c>
      <c r="J18" s="26" t="s">
        <v>15</v>
      </c>
      <c r="K18" s="11" t="s">
        <v>14</v>
      </c>
      <c r="L18" s="11" t="s">
        <v>14</v>
      </c>
      <c r="M18" s="11"/>
    </row>
    <row r="19" spans="2:13" s="1" customFormat="1" ht="13.15" customHeight="1">
      <c r="B19" s="24">
        <v>12</v>
      </c>
      <c r="C19" s="31" t="s">
        <v>156</v>
      </c>
      <c r="D19" s="7" t="str">
        <f>IFERROR(VLOOKUP(C19,'Lista desplegable'!B$1:C$436,2,FALSE),"")</f>
        <v>CARLOS ALBERTO RAMOS VELASQUEZ</v>
      </c>
      <c r="E19" s="7" t="str">
        <f>IFERROR(VLOOKUP(D19,'Lista desplegable'!C$1:D$436,2,FALSE),"")</f>
        <v>SUPERVISOR DE OPERACIONES</v>
      </c>
      <c r="F19" s="19" t="s">
        <v>41</v>
      </c>
      <c r="G19" s="11" t="s">
        <v>20</v>
      </c>
      <c r="H19" s="51" t="s">
        <v>52</v>
      </c>
      <c r="I19" s="38" t="s">
        <v>989</v>
      </c>
      <c r="J19" s="26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27" t="s">
        <v>702</v>
      </c>
      <c r="D20" s="7" t="str">
        <f>IFERROR(VLOOKUP(C20,'Lista desplegable'!B$1:C$436,2,FALSE),"")</f>
        <v>NELSON PATRICIO FLORES SANHUEZA</v>
      </c>
      <c r="E20" s="7" t="str">
        <f>IFERROR(VLOOKUP(D20,'Lista desplegable'!C$1:D$436,2,FALSE),"")</f>
        <v>PREVENCIONISTA DE RIESGOS</v>
      </c>
      <c r="F20" s="19" t="s">
        <v>41</v>
      </c>
      <c r="G20" s="11" t="s">
        <v>20</v>
      </c>
      <c r="H20" s="51" t="s">
        <v>52</v>
      </c>
      <c r="I20" s="38" t="s">
        <v>989</v>
      </c>
      <c r="J20" s="26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32" t="s">
        <v>294</v>
      </c>
      <c r="D21" s="7" t="str">
        <f>IFERROR(VLOOKUP(C21,'Lista desplegable'!B$1:C$436,2,FALSE),"")</f>
        <v>EDUARDO ANTONIO CASTILLO VALENZUELA</v>
      </c>
      <c r="E21" s="7" t="str">
        <f>IFERROR(VLOOKUP(D21,'Lista desplegable'!C$1:D$436,2,FALSE),"")</f>
        <v>PERFORISTA</v>
      </c>
      <c r="F21" s="19" t="s">
        <v>34</v>
      </c>
      <c r="G21" s="11" t="s">
        <v>20</v>
      </c>
      <c r="H21" s="51" t="s">
        <v>52</v>
      </c>
      <c r="I21" s="39" t="s">
        <v>991</v>
      </c>
      <c r="J21" s="26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33" t="s">
        <v>451</v>
      </c>
      <c r="D22" s="7" t="str">
        <f>IFERROR(VLOOKUP(C22,'Lista desplegable'!B$1:C$436,2,FALSE),"")</f>
        <v>JEAN CHARLES CERDA ORREGO</v>
      </c>
      <c r="E22" s="7" t="str">
        <f>IFERROR(VLOOKUP(D22,'Lista desplegable'!C$1:D$436,2,FALSE),"")</f>
        <v>AYUDANTE DE PERFORISTA</v>
      </c>
      <c r="F22" s="19" t="s">
        <v>34</v>
      </c>
      <c r="G22" s="11" t="s">
        <v>20</v>
      </c>
      <c r="H22" s="51" t="s">
        <v>52</v>
      </c>
      <c r="I22" s="39" t="s">
        <v>991</v>
      </c>
      <c r="J22" s="26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34" t="s">
        <v>730</v>
      </c>
      <c r="D23" s="7" t="str">
        <f>IFERROR(VLOOKUP(C23,'Lista desplegable'!B$1:C$436,2,FALSE),"")</f>
        <v>OMAR ANDRES ARAYA ZUÑIGA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51" t="s">
        <v>52</v>
      </c>
      <c r="I23" s="39" t="s">
        <v>991</v>
      </c>
      <c r="J23" s="26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31" t="s">
        <v>871</v>
      </c>
      <c r="D24" s="7" t="str">
        <f>IFERROR(VLOOKUP(C24,'Lista desplegable'!B$1:C$436,2,FALSE),"")</f>
        <v>RUBEN IGNACIO CORTES BORBON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51" t="s">
        <v>52</v>
      </c>
      <c r="I24" s="39" t="s">
        <v>991</v>
      </c>
      <c r="J24" s="26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34" t="s">
        <v>560</v>
      </c>
      <c r="D25" s="7" t="str">
        <f>IFERROR(VLOOKUP(C25,'Lista desplegable'!B$1:C$436,2,FALSE),"")</f>
        <v>KEVIN ALEXIS NEYRA CORTES</v>
      </c>
      <c r="E25" s="7" t="str">
        <f>IFERROR(VLOOKUP(D25,'Lista desplegable'!C$1:D$436,2,FALSE),"")</f>
        <v>PERFORISTA</v>
      </c>
      <c r="F25" s="19" t="s">
        <v>41</v>
      </c>
      <c r="G25" s="11" t="s">
        <v>20</v>
      </c>
      <c r="H25" s="51" t="s">
        <v>52</v>
      </c>
      <c r="I25" s="37" t="s">
        <v>989</v>
      </c>
      <c r="J25" s="26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35" t="s">
        <v>764</v>
      </c>
      <c r="D26" s="7" t="str">
        <f>IFERROR(VLOOKUP(C26,'Lista desplegable'!B$1:C$436,2,FALSE),"")</f>
        <v>PATRICIO RENAN GONZALEZ CABELLO</v>
      </c>
      <c r="E26" s="7" t="str">
        <f>IFERROR(VLOOKUP(D26,'Lista desplegable'!C$1:D$436,2,FALSE),"")</f>
        <v>AYUDANTE DE PERFORISTA</v>
      </c>
      <c r="F26" s="19" t="s">
        <v>41</v>
      </c>
      <c r="G26" s="11" t="s">
        <v>20</v>
      </c>
      <c r="H26" s="51" t="s">
        <v>52</v>
      </c>
      <c r="I26" s="37" t="s">
        <v>989</v>
      </c>
      <c r="J26" s="26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31" t="s">
        <v>279</v>
      </c>
      <c r="D27" s="7" t="str">
        <f>IFERROR(VLOOKUP(C27,'Lista desplegable'!B$1:C$436,2,FALSE),"")</f>
        <v>DIEGO BRANCO BARRAZA CHAVEZ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51" t="s">
        <v>52</v>
      </c>
      <c r="I27" s="37" t="s">
        <v>989</v>
      </c>
      <c r="J27" s="26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36" t="s">
        <v>740</v>
      </c>
      <c r="D28" s="7" t="str">
        <f>IFERROR(VLOOKUP(C28,'Lista desplegable'!B$1:C$436,2,FALSE),"")</f>
        <v>OSCAR RODRIGO ARIAS LEIVA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38" t="s">
        <v>989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31" t="s">
        <v>112</v>
      </c>
      <c r="D29" s="7" t="str">
        <f>IFERROR(VLOOKUP(C29,'Lista desplegable'!B$1:C$436,2,FALSE),"")</f>
        <v>ANTONIO HIPOLITO OTINIANO RUIZ</v>
      </c>
      <c r="E29" s="7" t="str">
        <f>IFERROR(VLOOKUP(D29,'Lista desplegable'!C$1:D$436,2,FALSE),"")</f>
        <v>PERFORISTA</v>
      </c>
      <c r="F29" s="19" t="s">
        <v>34</v>
      </c>
      <c r="G29" s="11" t="s">
        <v>20</v>
      </c>
      <c r="H29" s="11" t="s">
        <v>52</v>
      </c>
      <c r="I29" s="39" t="s">
        <v>991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15" customHeight="1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15" customHeight="1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15" customHeight="1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15" customHeight="1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992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1" t="s">
        <v>41</v>
      </c>
      <c r="G42" s="45" t="s">
        <v>20</v>
      </c>
      <c r="H42" s="46" t="s">
        <v>52</v>
      </c>
      <c r="I42" s="39" t="s">
        <v>989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27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41"/>
      <c r="G43" s="45"/>
      <c r="H43" s="46"/>
      <c r="I43" s="39"/>
      <c r="J43" s="11" t="s">
        <v>23</v>
      </c>
      <c r="K43" s="11"/>
      <c r="L43" s="11"/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41" t="s">
        <v>41</v>
      </c>
      <c r="G44" s="45" t="s">
        <v>20</v>
      </c>
      <c r="H44" s="46" t="s">
        <v>52</v>
      </c>
      <c r="I44" s="39" t="s">
        <v>989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41" t="s">
        <v>41</v>
      </c>
      <c r="G45" s="45" t="s">
        <v>20</v>
      </c>
      <c r="H45" s="46" t="s">
        <v>52</v>
      </c>
      <c r="I45" s="39" t="s">
        <v>989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5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41" t="s">
        <v>41</v>
      </c>
      <c r="G46" s="45" t="s">
        <v>20</v>
      </c>
      <c r="H46" s="46" t="s">
        <v>52</v>
      </c>
      <c r="I46" s="39" t="s">
        <v>989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46" t="s">
        <v>52</v>
      </c>
      <c r="I47" s="47" t="s">
        <v>993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47" t="s">
        <v>993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47" t="s">
        <v>993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 t="s">
        <v>989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1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41" t="s">
        <v>41</v>
      </c>
      <c r="G51" s="45" t="s">
        <v>20</v>
      </c>
      <c r="H51" s="49" t="s">
        <v>52</v>
      </c>
      <c r="I51" s="39" t="s">
        <v>989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40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43" t="s">
        <v>41</v>
      </c>
      <c r="G52" s="45" t="s">
        <v>20</v>
      </c>
      <c r="H52" s="43" t="s">
        <v>52</v>
      </c>
      <c r="I52" s="39" t="s">
        <v>989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1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44" t="s">
        <v>41</v>
      </c>
      <c r="G53" s="43" t="s">
        <v>20</v>
      </c>
      <c r="H53" s="43" t="s">
        <v>52</v>
      </c>
      <c r="I53" s="39" t="s">
        <v>989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9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9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9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9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9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9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9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9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9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9">
      <c r="C82" s="9"/>
      <c r="D82" s="6"/>
      <c r="E82" s="6"/>
    </row>
    <row r="83" spans="3:13" ht="12.75"/>
    <row r="84" spans="3:13" ht="12.75"/>
    <row r="85" spans="3:13" ht="12.75"/>
    <row r="86" spans="3:13" ht="12.75"/>
    <row r="87" spans="3:13" ht="12.75"/>
    <row r="88" spans="3:13" ht="12.75"/>
    <row r="89" spans="3:13" ht="12.75"/>
    <row r="90" spans="3:13" ht="12.75"/>
    <row r="91" spans="3:13" ht="12.75"/>
    <row r="92" spans="3:13" ht="12.75"/>
    <row r="93" spans="3:13" ht="12.75"/>
  </sheetData>
  <mergeCells count="4">
    <mergeCell ref="G3:I3"/>
    <mergeCell ref="C6:M6"/>
    <mergeCell ref="C40:M40"/>
    <mergeCell ref="G2:I2"/>
  </mergeCells>
  <phoneticPr fontId="5" type="noConversion"/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B1F2800-D9B0-4795-96DF-A3E22C9E02D8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185E4357-C223-4F14-863D-B7FA5441A774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A8A5CE41-EF58-41CC-B4EB-559B9871B8F7}">
          <x14:formula1>
            <xm:f>'Lista desplegable'!$J$2:$J$10</xm:f>
          </x14:formula1>
          <xm:sqref>H42:H61 H8:H37</xm:sqref>
        </x14:dataValidation>
        <x14:dataValidation type="list" allowBlank="1" showInputMessage="1" showErrorMessage="1" xr:uid="{0157C8FF-454E-483F-AAD3-85309044943D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DC133A94-657B-4113-9887-77CA7FE9D0FD}">
          <x14:formula1>
            <xm:f>'Lista desplegable'!$B$2:$B$436</xm:f>
          </x14:formula1>
          <xm:sqref>C8:C37 C42:C61</xm:sqref>
        </x14:dataValidation>
        <x14:dataValidation type="list" allowBlank="1" showInputMessage="1" showErrorMessage="1" xr:uid="{F2FF1347-793B-417F-87B5-3BEAF594A095}">
          <x14:formula1>
            <xm:f>'Lista desplegable'!$N$2:$N$5</xm:f>
          </x14:formula1>
          <xm:sqref>J8:J37 J42:J61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D40F-6CBC-4398-B0F4-6AEDBC7B34E8}">
  <dimension ref="B1:M87"/>
  <sheetViews>
    <sheetView zoomScaleNormal="100" workbookViewId="0">
      <selection activeCell="M60" sqref="M60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46062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 t="s">
        <v>41</v>
      </c>
      <c r="G8" s="11" t="s">
        <v>20</v>
      </c>
      <c r="H8" s="11" t="s">
        <v>52</v>
      </c>
      <c r="I8" s="37" t="s">
        <v>994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19" t="s">
        <v>41</v>
      </c>
      <c r="G9" s="11" t="s">
        <v>20</v>
      </c>
      <c r="H9" s="11" t="s">
        <v>52</v>
      </c>
      <c r="I9" s="37" t="s">
        <v>994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521</v>
      </c>
      <c r="D10" s="7" t="str">
        <f>IFERROR(VLOOKUP(C10,'Lista desplegable'!B$1:C$436,2,FALSE),"")</f>
        <v>JOSE MANUEL CASTILLO GARCIA</v>
      </c>
      <c r="E10" s="7" t="str">
        <f>IFERROR(VLOOKUP(D10,'Lista desplegable'!C$1:D$436,2,FALSE),"")</f>
        <v>INSTRUCTOR DE OPERACIONES</v>
      </c>
      <c r="F10" s="19" t="s">
        <v>41</v>
      </c>
      <c r="G10" s="11" t="s">
        <v>20</v>
      </c>
      <c r="H10" s="11" t="s">
        <v>52</v>
      </c>
      <c r="I10" s="37" t="s">
        <v>994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28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 t="s">
        <v>41</v>
      </c>
      <c r="G11" s="11" t="s">
        <v>20</v>
      </c>
      <c r="H11" s="11" t="s">
        <v>52</v>
      </c>
      <c r="I11" s="37" t="s">
        <v>994</v>
      </c>
      <c r="J11" s="11" t="s">
        <v>15</v>
      </c>
      <c r="K11" s="11" t="s">
        <v>14</v>
      </c>
      <c r="L11" s="11" t="s">
        <v>14</v>
      </c>
      <c r="M11" s="11"/>
    </row>
    <row r="12" spans="2:13" s="1" customFormat="1" ht="13.15" customHeight="1">
      <c r="B12" s="24">
        <v>5</v>
      </c>
      <c r="C12" s="27" t="s">
        <v>609</v>
      </c>
      <c r="D12" s="7" t="str">
        <f>IFERROR(VLOOKUP(C12,'Lista desplegable'!B$1:C$436,2,FALSE),"")</f>
        <v>MANUEL ALEJANDRO LISAMBARTH CARABANTES</v>
      </c>
      <c r="E12" s="7" t="str">
        <f>IFERROR(VLOOKUP(D12,'Lista desplegable'!C$1:D$436,2,FALSE),"")</f>
        <v>ADMINISTRATIVO DE FAENA</v>
      </c>
      <c r="F12" s="19" t="s">
        <v>41</v>
      </c>
      <c r="G12" s="11" t="s">
        <v>20</v>
      </c>
      <c r="H12" s="11" t="s">
        <v>52</v>
      </c>
      <c r="I12" s="37" t="s">
        <v>994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27" t="s">
        <v>851</v>
      </c>
      <c r="D13" s="7" t="str">
        <f>IFERROR(VLOOKUP(C13,'Lista desplegable'!B$1:C$436,2,FALSE),"")</f>
        <v>RODRIGO ANDRES DIAZ INOSTROZA</v>
      </c>
      <c r="E13" s="7" t="str">
        <f>IFERROR(VLOOKUP(D13,'Lista desplegable'!C$1:D$436,2,FALSE),"")</f>
        <v>BODEGUERO</v>
      </c>
      <c r="F13" s="19" t="s">
        <v>41</v>
      </c>
      <c r="G13" s="11" t="s">
        <v>20</v>
      </c>
      <c r="H13" s="11" t="s">
        <v>52</v>
      </c>
      <c r="I13" s="37" t="s">
        <v>994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27" t="s">
        <v>183</v>
      </c>
      <c r="D14" s="7" t="str">
        <f>IFERROR(VLOOKUP(C14,'Lista desplegable'!B$1:C$436,2,FALSE),"")</f>
        <v>CHRISTIAN DARIEM PIZARRO MUÑOZ</v>
      </c>
      <c r="E14" s="7" t="str">
        <f>IFERROR(VLOOKUP(D14,'Lista desplegable'!C$1:D$436,2,FALSE),"")</f>
        <v>SOLDADOR</v>
      </c>
      <c r="F14" s="19" t="s">
        <v>41</v>
      </c>
      <c r="G14" s="11" t="s">
        <v>20</v>
      </c>
      <c r="H14" s="11" t="s">
        <v>52</v>
      </c>
      <c r="I14" s="37" t="s">
        <v>994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29" t="s">
        <v>595</v>
      </c>
      <c r="D15" s="7" t="str">
        <f>IFERROR(VLOOKUP(C15,'Lista desplegable'!B$1:C$436,2,FALSE),"")</f>
        <v>LUIS GERARDO LOPEZ OLAVE</v>
      </c>
      <c r="E15" s="7" t="str">
        <f>IFERROR(VLOOKUP(D15,'Lista desplegable'!C$1:D$436,2,FALSE),"")</f>
        <v>MECANICO</v>
      </c>
      <c r="F15" s="19" t="s">
        <v>41</v>
      </c>
      <c r="G15" s="11" t="s">
        <v>20</v>
      </c>
      <c r="H15" s="51" t="s">
        <v>52</v>
      </c>
      <c r="I15" s="38" t="s">
        <v>994</v>
      </c>
      <c r="J15" s="26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30" t="s">
        <v>283</v>
      </c>
      <c r="D16" s="7" t="str">
        <f>IFERROR(VLOOKUP(C16,'Lista desplegable'!B$1:C$436,2,FALSE),"")</f>
        <v>DIEGO NICOLAS GONZALEZ OLIVARES</v>
      </c>
      <c r="E16" s="7" t="str">
        <f>IFERROR(VLOOKUP(D16,'Lista desplegable'!C$1:D$436,2,FALSE),"")</f>
        <v>MECANICO</v>
      </c>
      <c r="F16" s="19" t="s">
        <v>41</v>
      </c>
      <c r="G16" s="11" t="s">
        <v>20</v>
      </c>
      <c r="H16" s="51" t="s">
        <v>52</v>
      </c>
      <c r="I16" s="38" t="s">
        <v>994</v>
      </c>
      <c r="J16" s="26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30" t="s">
        <v>490</v>
      </c>
      <c r="D17" s="7" t="str">
        <f>IFERROR(VLOOKUP(C17,'Lista desplegable'!B$1:C$436,2,FALSE),"")</f>
        <v>JORGE ANDRES LICANQUEO PEREZ</v>
      </c>
      <c r="E17" s="7" t="str">
        <f>IFERROR(VLOOKUP(D17,'Lista desplegable'!C$1:D$436,2,FALSE),"")</f>
        <v>MECANICO</v>
      </c>
      <c r="F17" s="19" t="s">
        <v>41</v>
      </c>
      <c r="G17" s="11" t="s">
        <v>20</v>
      </c>
      <c r="H17" s="51" t="s">
        <v>52</v>
      </c>
      <c r="I17" s="38" t="s">
        <v>994</v>
      </c>
      <c r="J17" s="26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28" t="s">
        <v>636</v>
      </c>
      <c r="D18" s="7" t="str">
        <f>IFERROR(VLOOKUP(C18,'Lista desplegable'!B$1:C$436,2,FALSE),"")</f>
        <v>MARCOS ANTONIO ALDEA BEROIZA</v>
      </c>
      <c r="E18" s="7" t="str">
        <f>IFERROR(VLOOKUP(D18,'Lista desplegable'!C$1:D$436,2,FALSE),"")</f>
        <v>CHOFER</v>
      </c>
      <c r="F18" s="19" t="s">
        <v>41</v>
      </c>
      <c r="G18" s="11" t="s">
        <v>20</v>
      </c>
      <c r="H18" s="51" t="s">
        <v>52</v>
      </c>
      <c r="I18" s="38" t="s">
        <v>994</v>
      </c>
      <c r="J18" s="26" t="s">
        <v>15</v>
      </c>
      <c r="K18" s="11" t="s">
        <v>14</v>
      </c>
      <c r="L18" s="11" t="s">
        <v>14</v>
      </c>
      <c r="M18" s="11"/>
    </row>
    <row r="19" spans="2:13" s="1" customFormat="1" ht="13.15" customHeight="1">
      <c r="B19" s="24">
        <v>12</v>
      </c>
      <c r="C19" s="31" t="s">
        <v>156</v>
      </c>
      <c r="D19" s="7" t="str">
        <f>IFERROR(VLOOKUP(C19,'Lista desplegable'!B$1:C$436,2,FALSE),"")</f>
        <v>CARLOS ALBERTO RAMOS VELASQUEZ</v>
      </c>
      <c r="E19" s="7" t="str">
        <f>IFERROR(VLOOKUP(D19,'Lista desplegable'!C$1:D$436,2,FALSE),"")</f>
        <v>SUPERVISOR DE OPERACIONES</v>
      </c>
      <c r="F19" s="19" t="s">
        <v>41</v>
      </c>
      <c r="G19" s="11" t="s">
        <v>20</v>
      </c>
      <c r="H19" s="51" t="s">
        <v>52</v>
      </c>
      <c r="I19" s="38" t="s">
        <v>994</v>
      </c>
      <c r="J19" s="26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27" t="s">
        <v>702</v>
      </c>
      <c r="D20" s="7" t="str">
        <f>IFERROR(VLOOKUP(C20,'Lista desplegable'!B$1:C$436,2,FALSE),"")</f>
        <v>NELSON PATRICIO FLORES SANHUEZA</v>
      </c>
      <c r="E20" s="7" t="str">
        <f>IFERROR(VLOOKUP(D20,'Lista desplegable'!C$1:D$436,2,FALSE),"")</f>
        <v>PREVENCIONISTA DE RIESGOS</v>
      </c>
      <c r="F20" s="19" t="s">
        <v>41</v>
      </c>
      <c r="G20" s="11" t="s">
        <v>20</v>
      </c>
      <c r="H20" s="51" t="s">
        <v>52</v>
      </c>
      <c r="I20" s="38" t="s">
        <v>994</v>
      </c>
      <c r="J20" s="26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32" t="s">
        <v>294</v>
      </c>
      <c r="D21" s="7" t="str">
        <f>IFERROR(VLOOKUP(C21,'Lista desplegable'!B$1:C$436,2,FALSE),"")</f>
        <v>EDUARDO ANTONIO CASTILLO VALENZUELA</v>
      </c>
      <c r="E21" s="7" t="str">
        <f>IFERROR(VLOOKUP(D21,'Lista desplegable'!C$1:D$436,2,FALSE),"")</f>
        <v>PERFORISTA</v>
      </c>
      <c r="F21" s="19" t="s">
        <v>34</v>
      </c>
      <c r="G21" s="11" t="s">
        <v>20</v>
      </c>
      <c r="H21" s="51" t="s">
        <v>52</v>
      </c>
      <c r="I21" s="50" t="s">
        <v>995</v>
      </c>
      <c r="J21" s="26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33" t="s">
        <v>451</v>
      </c>
      <c r="D22" s="7" t="str">
        <f>IFERROR(VLOOKUP(C22,'Lista desplegable'!B$1:C$436,2,FALSE),"")</f>
        <v>JEAN CHARLES CERDA ORREGO</v>
      </c>
      <c r="E22" s="7" t="str">
        <f>IFERROR(VLOOKUP(D22,'Lista desplegable'!C$1:D$436,2,FALSE),"")</f>
        <v>AYUDANTE DE PERFORISTA</v>
      </c>
      <c r="F22" s="19" t="s">
        <v>34</v>
      </c>
      <c r="G22" s="11" t="s">
        <v>20</v>
      </c>
      <c r="H22" s="51" t="s">
        <v>52</v>
      </c>
      <c r="I22" s="50" t="s">
        <v>995</v>
      </c>
      <c r="J22" s="26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34" t="s">
        <v>730</v>
      </c>
      <c r="D23" s="7" t="str">
        <f>IFERROR(VLOOKUP(C23,'Lista desplegable'!B$1:C$436,2,FALSE),"")</f>
        <v>OMAR ANDRES ARAYA ZUÑIGA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51" t="s">
        <v>52</v>
      </c>
      <c r="I23" s="50" t="s">
        <v>995</v>
      </c>
      <c r="J23" s="26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31" t="s">
        <v>871</v>
      </c>
      <c r="D24" s="7" t="str">
        <f>IFERROR(VLOOKUP(C24,'Lista desplegable'!B$1:C$436,2,FALSE),"")</f>
        <v>RUBEN IGNACIO CORTES BORBON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39" t="s">
        <v>995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34" t="s">
        <v>560</v>
      </c>
      <c r="D25" s="7" t="str">
        <f>IFERROR(VLOOKUP(C25,'Lista desplegable'!B$1:C$436,2,FALSE),"")</f>
        <v>KEVIN ALEXIS NEYRA CORTES</v>
      </c>
      <c r="E25" s="7" t="str">
        <f>IFERROR(VLOOKUP(D25,'Lista desplegable'!C$1:D$436,2,FALSE),"")</f>
        <v>PERFORISTA</v>
      </c>
      <c r="F25" s="19" t="s">
        <v>41</v>
      </c>
      <c r="G25" s="11" t="s">
        <v>20</v>
      </c>
      <c r="H25" s="11" t="s">
        <v>52</v>
      </c>
      <c r="I25" s="37" t="s">
        <v>994</v>
      </c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35" t="s">
        <v>764</v>
      </c>
      <c r="D26" s="7" t="str">
        <f>IFERROR(VLOOKUP(C26,'Lista desplegable'!B$1:C$436,2,FALSE),"")</f>
        <v>PATRICIO RENAN GONZALEZ CABELLO</v>
      </c>
      <c r="E26" s="7" t="str">
        <f>IFERROR(VLOOKUP(D26,'Lista desplegable'!C$1:D$436,2,FALSE),"")</f>
        <v>AYUDANTE DE PERFORISTA</v>
      </c>
      <c r="F26" s="19" t="s">
        <v>41</v>
      </c>
      <c r="G26" s="11" t="s">
        <v>20</v>
      </c>
      <c r="H26" s="11" t="s">
        <v>52</v>
      </c>
      <c r="I26" s="37" t="s">
        <v>994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31" t="s">
        <v>279</v>
      </c>
      <c r="D27" s="7" t="str">
        <f>IFERROR(VLOOKUP(C27,'Lista desplegable'!B$1:C$436,2,FALSE),"")</f>
        <v>DIEGO BRANCO BARRAZA CHAVEZ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11" t="s">
        <v>52</v>
      </c>
      <c r="I27" s="37" t="s">
        <v>994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36" t="s">
        <v>740</v>
      </c>
      <c r="D28" s="7" t="str">
        <f>IFERROR(VLOOKUP(C28,'Lista desplegable'!B$1:C$436,2,FALSE),"")</f>
        <v>OSCAR RODRIGO ARIAS LEIVA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38" t="s">
        <v>994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31" t="s">
        <v>112</v>
      </c>
      <c r="D29" s="7" t="str">
        <f>IFERROR(VLOOKUP(C29,'Lista desplegable'!B$1:C$436,2,FALSE),"")</f>
        <v>ANTONIO HIPOLITO OTINIANO RUIZ</v>
      </c>
      <c r="E29" s="7" t="str">
        <f>IFERROR(VLOOKUP(D29,'Lista desplegable'!C$1:D$436,2,FALSE),"")</f>
        <v>PERFORISTA</v>
      </c>
      <c r="F29" s="19" t="s">
        <v>34</v>
      </c>
      <c r="G29" s="11" t="s">
        <v>20</v>
      </c>
      <c r="H29" s="11" t="s">
        <v>52</v>
      </c>
      <c r="I29" s="39" t="s">
        <v>995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15" customHeight="1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15" customHeight="1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15" customHeight="1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15" customHeight="1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992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1" t="s">
        <v>41</v>
      </c>
      <c r="G42" s="45" t="s">
        <v>20</v>
      </c>
      <c r="H42" s="46" t="s">
        <v>52</v>
      </c>
      <c r="I42" s="39" t="s">
        <v>996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/>
      <c r="C43" s="27" t="s">
        <v>786</v>
      </c>
      <c r="D43" s="7" t="str">
        <f>IFERROR(VLOOKUP(C43,'Lista desplegable'!B$1:C$436,2,FALSE),"")</f>
        <v>RAUL ESTEBAN HERNANDEZ PIZARRO</v>
      </c>
      <c r="E43" s="7" t="str">
        <f>IFERROR(VLOOKUP(D43,'Lista desplegable'!C$1:D$436,2,FALSE),"")</f>
        <v>PREVENCIONISTA DE RIESGOS</v>
      </c>
      <c r="F43" s="41" t="s">
        <v>41</v>
      </c>
      <c r="G43" s="45" t="s">
        <v>20</v>
      </c>
      <c r="H43" s="31" t="s">
        <v>57</v>
      </c>
      <c r="I43" s="39" t="s">
        <v>997</v>
      </c>
      <c r="J43" s="11"/>
      <c r="K43" s="11"/>
      <c r="L43" s="11"/>
      <c r="M43" s="11"/>
    </row>
    <row r="44" spans="2:13" ht="13.15" customHeight="1">
      <c r="B44" s="24">
        <v>2</v>
      </c>
      <c r="C44" s="27" t="s">
        <v>375</v>
      </c>
      <c r="D44" s="7" t="str">
        <f>IFERROR(VLOOKUP(C44,'Lista desplegable'!B$1:C$436,2,FALSE),"")</f>
        <v>FRANCISCO PEDRO BORNAZ DELGADO</v>
      </c>
      <c r="E44" s="7" t="str">
        <f>IFERROR(VLOOKUP(D44,'Lista desplegable'!C$1:D$436,2,FALSE),"")</f>
        <v>SUPERVISOR DE OPERACIONES</v>
      </c>
      <c r="F44" s="41" t="s">
        <v>41</v>
      </c>
      <c r="G44" s="45" t="s">
        <v>20</v>
      </c>
      <c r="H44" s="46" t="s">
        <v>52</v>
      </c>
      <c r="I44" s="39" t="s">
        <v>996</v>
      </c>
      <c r="J44" s="11" t="s">
        <v>23</v>
      </c>
      <c r="K44" s="11"/>
      <c r="L44" s="11"/>
      <c r="M44" s="11"/>
    </row>
    <row r="45" spans="2:13" ht="13.15" customHeight="1">
      <c r="B45" s="24"/>
      <c r="C45" s="27" t="s">
        <v>375</v>
      </c>
      <c r="D45" s="7" t="str">
        <f>IFERROR(VLOOKUP(C45,'Lista desplegable'!B$1:C$436,2,FALSE),"")</f>
        <v>FRANCISCO PEDRO BORNAZ DELGADO</v>
      </c>
      <c r="E45" s="7" t="str">
        <f>IFERROR(VLOOKUP(D45,'Lista desplegable'!C$1:D$436,2,FALSE),"")</f>
        <v>SUPERVISOR DE OPERACIONES</v>
      </c>
      <c r="F45" s="41" t="s">
        <v>41</v>
      </c>
      <c r="G45" s="45" t="s">
        <v>20</v>
      </c>
      <c r="H45" s="31" t="s">
        <v>57</v>
      </c>
      <c r="I45" s="39" t="s">
        <v>997</v>
      </c>
      <c r="J45" s="11"/>
      <c r="K45" s="11"/>
      <c r="L45" s="11"/>
      <c r="M45" s="11"/>
    </row>
    <row r="46" spans="2:13" ht="13.15" customHeight="1">
      <c r="B46" s="24">
        <v>3</v>
      </c>
      <c r="C46" s="27" t="s">
        <v>149</v>
      </c>
      <c r="D46" s="7" t="str">
        <f>IFERROR(VLOOKUP(C46,'Lista desplegable'!B$1:C$436,2,FALSE),"")</f>
        <v>CAMILO FELIPE CRUZ MOLINA</v>
      </c>
      <c r="E46" s="7" t="str">
        <f>IFERROR(VLOOKUP(D46,'Lista desplegable'!C$1:D$436,2,FALSE),"")</f>
        <v>SUPERVISOR DE OPERACIONES</v>
      </c>
      <c r="F46" s="41" t="s">
        <v>41</v>
      </c>
      <c r="G46" s="45" t="s">
        <v>20</v>
      </c>
      <c r="H46" s="46" t="s">
        <v>52</v>
      </c>
      <c r="I46" s="39" t="s">
        <v>996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/>
      <c r="C47" s="124" t="s">
        <v>149</v>
      </c>
      <c r="D47" s="7" t="str">
        <f>IFERROR(VLOOKUP(C47,'Lista desplegable'!B$1:C$436,2,FALSE),"")</f>
        <v>CAMILO FELIPE CRUZ MOLINA</v>
      </c>
      <c r="E47" s="7" t="str">
        <f>IFERROR(VLOOKUP(D47,'Lista desplegable'!C$1:D$436,2,FALSE),"")</f>
        <v>SUPERVISOR DE OPERACIONES</v>
      </c>
      <c r="F47" s="41" t="s">
        <v>41</v>
      </c>
      <c r="G47" s="45" t="s">
        <v>20</v>
      </c>
      <c r="H47" s="31" t="s">
        <v>57</v>
      </c>
      <c r="I47" s="39" t="s">
        <v>997</v>
      </c>
      <c r="J47" s="11"/>
      <c r="K47" s="11"/>
      <c r="L47" s="11"/>
      <c r="M47" s="11"/>
    </row>
    <row r="48" spans="2:13" ht="13.15" customHeight="1">
      <c r="B48" s="24">
        <v>4</v>
      </c>
      <c r="C48" s="33" t="s">
        <v>804</v>
      </c>
      <c r="D48" s="7" t="str">
        <f>IFERROR(VLOOKUP(C48,'Lista desplegable'!B$1:C$436,2,FALSE),"")</f>
        <v>RICARDO DE LAS NIEVES GUTIERREZ FUENTES</v>
      </c>
      <c r="E48" s="7" t="str">
        <f>IFERROR(VLOOKUP(D48,'Lista desplegable'!C$1:D$436,2,FALSE),"")</f>
        <v>CHOFER</v>
      </c>
      <c r="F48" s="41" t="s">
        <v>41</v>
      </c>
      <c r="G48" s="45" t="s">
        <v>20</v>
      </c>
      <c r="H48" s="46" t="s">
        <v>52</v>
      </c>
      <c r="I48" s="39" t="s">
        <v>996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/>
      <c r="C49" s="35" t="s">
        <v>804</v>
      </c>
      <c r="D49" s="7" t="str">
        <f>IFERROR(VLOOKUP(C49,'Lista desplegable'!B$1:C$436,2,FALSE),"")</f>
        <v>RICARDO DE LAS NIEVES GUTIERREZ FUENTES</v>
      </c>
      <c r="E49" s="7" t="str">
        <f>IFERROR(VLOOKUP(D49,'Lista desplegable'!C$1:D$436,2,FALSE),"")</f>
        <v>CHOFER</v>
      </c>
      <c r="F49" s="41" t="s">
        <v>41</v>
      </c>
      <c r="G49" s="45" t="s">
        <v>20</v>
      </c>
      <c r="H49" s="31" t="s">
        <v>57</v>
      </c>
      <c r="I49" s="39" t="s">
        <v>997</v>
      </c>
      <c r="J49" s="11"/>
      <c r="K49" s="11"/>
      <c r="L49" s="11"/>
      <c r="M49" s="11"/>
    </row>
    <row r="50" spans="2:13" ht="13.15" customHeight="1">
      <c r="B50" s="24">
        <v>5</v>
      </c>
      <c r="C50" s="35" t="s">
        <v>891</v>
      </c>
      <c r="D50" s="7" t="str">
        <f>IFERROR(VLOOKUP(C50,'Lista desplegable'!B$1:C$436,2,FALSE),"")</f>
        <v>SEBASTIAN GONZALO ROJAS CLARO</v>
      </c>
      <c r="E50" s="7" t="str">
        <f>IFERROR(VLOOKUP(D50,'Lista desplegable'!C$1:D$436,2,FALSE),"")</f>
        <v>MECANICO</v>
      </c>
      <c r="F50" s="41" t="s">
        <v>41</v>
      </c>
      <c r="G50" s="45" t="s">
        <v>20</v>
      </c>
      <c r="H50" s="46" t="s">
        <v>52</v>
      </c>
      <c r="I50" s="39" t="s">
        <v>996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/>
      <c r="C51" s="35" t="s">
        <v>891</v>
      </c>
      <c r="D51" s="7" t="str">
        <f>IFERROR(VLOOKUP(C51,'Lista desplegable'!B$1:C$436,2,FALSE),"")</f>
        <v>SEBASTIAN GONZALO ROJAS CLARO</v>
      </c>
      <c r="E51" s="7" t="str">
        <f>IFERROR(VLOOKUP(D51,'Lista desplegable'!C$1:D$436,2,FALSE),"")</f>
        <v>MECANICO</v>
      </c>
      <c r="F51" s="41" t="s">
        <v>41</v>
      </c>
      <c r="G51" s="45" t="s">
        <v>20</v>
      </c>
      <c r="H51" s="31" t="s">
        <v>57</v>
      </c>
      <c r="I51" s="39" t="s">
        <v>997</v>
      </c>
      <c r="J51" s="11"/>
      <c r="K51" s="11"/>
      <c r="L51" s="11"/>
      <c r="M51" s="11"/>
    </row>
    <row r="52" spans="2:13" ht="13.15" customHeight="1">
      <c r="B52" s="24">
        <v>6</v>
      </c>
      <c r="C52" s="33" t="s">
        <v>243</v>
      </c>
      <c r="D52" s="7" t="str">
        <f>IFERROR(VLOOKUP(C52,'Lista desplegable'!B$1:C$436,2,FALSE),"")</f>
        <v>DANIEL ANDRES VENEGAS CARRASCO</v>
      </c>
      <c r="E52" s="7" t="str">
        <f>IFERROR(VLOOKUP(D52,'Lista desplegable'!C$1:D$436,2,FALSE),"")</f>
        <v>PERFORISTA</v>
      </c>
      <c r="F52" s="42" t="s">
        <v>34</v>
      </c>
      <c r="G52" s="45" t="s">
        <v>20</v>
      </c>
      <c r="H52" s="46" t="s">
        <v>52</v>
      </c>
      <c r="I52" s="47">
        <v>0</v>
      </c>
      <c r="J52" s="11" t="s">
        <v>15</v>
      </c>
      <c r="K52" s="11" t="s">
        <v>14</v>
      </c>
      <c r="L52" s="11" t="s">
        <v>14</v>
      </c>
      <c r="M52" s="11" t="s">
        <v>998</v>
      </c>
    </row>
    <row r="53" spans="2:13" ht="13.15" customHeight="1">
      <c r="B53" s="24">
        <v>7</v>
      </c>
      <c r="C53" s="33" t="s">
        <v>466</v>
      </c>
      <c r="D53" s="7" t="str">
        <f>IFERROR(VLOOKUP(C53,'Lista desplegable'!B$1:C$436,2,FALSE),"")</f>
        <v>JOAQUIN IGNACIO TORO ALCAYAGA</v>
      </c>
      <c r="E53" s="7" t="str">
        <f>IFERROR(VLOOKUP(D53,'Lista desplegable'!C$1:D$436,2,FALSE),"")</f>
        <v>AYUDANTE DE PERFORISTA</v>
      </c>
      <c r="F53" s="42" t="s">
        <v>34</v>
      </c>
      <c r="G53" s="45" t="s">
        <v>20</v>
      </c>
      <c r="H53" s="46" t="s">
        <v>52</v>
      </c>
      <c r="I53" s="47">
        <v>0</v>
      </c>
      <c r="J53" s="11" t="s">
        <v>15</v>
      </c>
      <c r="K53" s="11" t="s">
        <v>14</v>
      </c>
      <c r="L53" s="11" t="s">
        <v>14</v>
      </c>
      <c r="M53" s="11" t="s">
        <v>998</v>
      </c>
    </row>
    <row r="54" spans="2:13" ht="13.15" customHeight="1">
      <c r="B54" s="24">
        <v>8</v>
      </c>
      <c r="C54" s="33" t="s">
        <v>632</v>
      </c>
      <c r="D54" s="7" t="str">
        <f>IFERROR(VLOOKUP(C54,'Lista desplegable'!B$1:C$436,2,FALSE),"")</f>
        <v>MARCO ANTONIO VELASQUEZ CIFUENTES</v>
      </c>
      <c r="E54" s="7" t="str">
        <f>IFERROR(VLOOKUP(D54,'Lista desplegable'!C$1:D$436,2,FALSE),"")</f>
        <v>AYUDANTE DE PERFORISTA</v>
      </c>
      <c r="F54" s="42" t="s">
        <v>34</v>
      </c>
      <c r="G54" s="45" t="s">
        <v>20</v>
      </c>
      <c r="H54" s="48" t="s">
        <v>52</v>
      </c>
      <c r="I54" s="47">
        <v>0</v>
      </c>
      <c r="J54" s="11" t="s">
        <v>15</v>
      </c>
      <c r="K54" s="11" t="s">
        <v>14</v>
      </c>
      <c r="L54" s="11" t="s">
        <v>14</v>
      </c>
      <c r="M54" s="11" t="s">
        <v>998</v>
      </c>
    </row>
    <row r="55" spans="2:13" ht="13.15" customHeight="1">
      <c r="B55" s="24">
        <v>9</v>
      </c>
      <c r="C55" s="33" t="s">
        <v>80</v>
      </c>
      <c r="D55" s="7" t="str">
        <f>IFERROR(VLOOKUP(C55,'Lista desplegable'!B$1:C$436,2,FALSE),"")</f>
        <v>ALVARO IGNACIO GODOY BRUNA</v>
      </c>
      <c r="E55" s="7" t="str">
        <f>IFERROR(VLOOKUP(D55,'Lista desplegable'!C$1:D$436,2,FALSE),"")</f>
        <v>PERFORISTA</v>
      </c>
      <c r="F55" s="41" t="s">
        <v>41</v>
      </c>
      <c r="G55" s="45" t="s">
        <v>20</v>
      </c>
      <c r="H55" s="46" t="s">
        <v>52</v>
      </c>
      <c r="I55" s="39" t="s">
        <v>996</v>
      </c>
      <c r="J55" s="11" t="s">
        <v>15</v>
      </c>
      <c r="K55" s="11" t="s">
        <v>14</v>
      </c>
      <c r="L55" s="11" t="s">
        <v>14</v>
      </c>
      <c r="M55" s="11"/>
    </row>
    <row r="56" spans="2:13" ht="13.15" customHeight="1">
      <c r="B56" s="24"/>
      <c r="C56" s="35" t="s">
        <v>80</v>
      </c>
      <c r="D56" s="7" t="str">
        <f>IFERROR(VLOOKUP(C56,'Lista desplegable'!B$1:C$436,2,FALSE),"")</f>
        <v>ALVARO IGNACIO GODOY BRUNA</v>
      </c>
      <c r="E56" s="7" t="str">
        <f>IFERROR(VLOOKUP(D56,'Lista desplegable'!C$1:D$436,2,FALSE),"")</f>
        <v>PERFORISTA</v>
      </c>
      <c r="F56" s="41" t="s">
        <v>41</v>
      </c>
      <c r="G56" s="45" t="s">
        <v>20</v>
      </c>
      <c r="H56" s="31" t="s">
        <v>57</v>
      </c>
      <c r="I56" s="39" t="s">
        <v>997</v>
      </c>
      <c r="J56" s="11"/>
      <c r="K56" s="11"/>
      <c r="L56" s="11"/>
      <c r="M56" s="11"/>
    </row>
    <row r="57" spans="2:13" ht="13.15" customHeight="1">
      <c r="B57" s="24">
        <v>10</v>
      </c>
      <c r="C57" s="35" t="s">
        <v>802</v>
      </c>
      <c r="D57" s="7" t="str">
        <f>IFERROR(VLOOKUP(C57,'Lista desplegable'!B$1:C$436,2,FALSE),"")</f>
        <v>RICARDO ALEXIS LEMUS LOPEZ</v>
      </c>
      <c r="E57" s="7" t="str">
        <f>IFERROR(VLOOKUP(D57,'Lista desplegable'!C$1:D$436,2,FALSE),"")</f>
        <v>AYUDANTE DE PERFORISTA</v>
      </c>
      <c r="F57" s="53" t="s">
        <v>41</v>
      </c>
      <c r="G57" s="45" t="s">
        <v>20</v>
      </c>
      <c r="H57" s="31" t="s">
        <v>52</v>
      </c>
      <c r="I57" s="39" t="s">
        <v>996</v>
      </c>
      <c r="J57" s="11" t="s">
        <v>15</v>
      </c>
      <c r="K57" s="11" t="s">
        <v>14</v>
      </c>
      <c r="L57" s="11" t="s">
        <v>14</v>
      </c>
      <c r="M57" s="11"/>
    </row>
    <row r="58" spans="2:13" ht="13.15" customHeight="1">
      <c r="B58" s="24"/>
      <c r="C58" s="35" t="s">
        <v>802</v>
      </c>
      <c r="D58" s="7" t="str">
        <f>IFERROR(VLOOKUP(C58,'Lista desplegable'!B$1:C$436,2,FALSE),"")</f>
        <v>RICARDO ALEXIS LEMUS LOPEZ</v>
      </c>
      <c r="E58" s="7" t="str">
        <f>IFERROR(VLOOKUP(D58,'Lista desplegable'!C$1:D$436,2,FALSE),"")</f>
        <v>AYUDANTE DE PERFORISTA</v>
      </c>
      <c r="F58" s="53" t="s">
        <v>41</v>
      </c>
      <c r="G58" s="45" t="s">
        <v>20</v>
      </c>
      <c r="H58" s="31" t="s">
        <v>57</v>
      </c>
      <c r="I58" s="39" t="s">
        <v>997</v>
      </c>
      <c r="J58" s="11"/>
      <c r="K58" s="11"/>
      <c r="L58" s="11"/>
      <c r="M58" s="11"/>
    </row>
    <row r="59" spans="2:13" ht="13.15" customHeight="1">
      <c r="B59" s="24">
        <v>11</v>
      </c>
      <c r="C59" s="35" t="s">
        <v>883</v>
      </c>
      <c r="D59" s="7" t="str">
        <f>IFERROR(VLOOKUP(C59,'Lista desplegable'!B$1:C$436,2,FALSE),"")</f>
        <v>SEBASTIAN ANTONIO VALDERRAMA HERRERA</v>
      </c>
      <c r="E59" s="7" t="str">
        <f>IFERROR(VLOOKUP(D59,'Lista desplegable'!C$1:D$436,2,FALSE),"")</f>
        <v>AYUDANTE DE PERFORISTA</v>
      </c>
      <c r="F59" s="53" t="s">
        <v>41</v>
      </c>
      <c r="G59" s="45" t="s">
        <v>20</v>
      </c>
      <c r="H59" s="31" t="s">
        <v>52</v>
      </c>
      <c r="I59" s="39" t="s">
        <v>996</v>
      </c>
      <c r="J59" s="11" t="s">
        <v>15</v>
      </c>
      <c r="K59" s="11" t="s">
        <v>14</v>
      </c>
      <c r="L59" s="11" t="s">
        <v>14</v>
      </c>
      <c r="M59" s="11"/>
    </row>
    <row r="60" spans="2:13" ht="13.15" customHeight="1">
      <c r="B60" s="24"/>
      <c r="C60" s="35" t="s">
        <v>883</v>
      </c>
      <c r="D60" s="7" t="str">
        <f>IFERROR(VLOOKUP(C60,'Lista desplegable'!B$1:C$436,2,FALSE),"")</f>
        <v>SEBASTIAN ANTONIO VALDERRAMA HERRERA</v>
      </c>
      <c r="E60" s="7" t="str">
        <f>IFERROR(VLOOKUP(D60,'Lista desplegable'!C$1:D$436,2,FALSE),"")</f>
        <v>AYUDANTE DE PERFORISTA</v>
      </c>
      <c r="F60" s="53" t="s">
        <v>41</v>
      </c>
      <c r="G60" s="45" t="s">
        <v>20</v>
      </c>
      <c r="H60" s="31" t="s">
        <v>57</v>
      </c>
      <c r="I60" s="39" t="s">
        <v>997</v>
      </c>
      <c r="J60" s="11"/>
      <c r="K60" s="11"/>
      <c r="L60" s="11"/>
      <c r="M60" s="11"/>
    </row>
    <row r="61" spans="2:13" ht="13.15" customHeight="1">
      <c r="B61" s="24">
        <v>12</v>
      </c>
      <c r="C61" s="35" t="s">
        <v>402</v>
      </c>
      <c r="D61" s="7" t="str">
        <f>IFERROR(VLOOKUP(C61,'Lista desplegable'!B$1:C$436,2,FALSE),"")</f>
        <v>GUILLERMO NICOLAS GODOY CARVAJAL</v>
      </c>
      <c r="E61" s="7" t="str">
        <f>IFERROR(VLOOKUP(D61,'Lista desplegable'!C$1:D$436,2,FALSE),"")</f>
        <v>AYUDANTE DE PERFORISTA</v>
      </c>
      <c r="F61" s="53" t="s">
        <v>41</v>
      </c>
      <c r="G61" s="45" t="s">
        <v>20</v>
      </c>
      <c r="H61" s="31" t="s">
        <v>52</v>
      </c>
      <c r="I61" s="39" t="s">
        <v>996</v>
      </c>
      <c r="J61" s="11" t="s">
        <v>15</v>
      </c>
      <c r="K61" s="11" t="s">
        <v>14</v>
      </c>
      <c r="L61" s="11" t="s">
        <v>14</v>
      </c>
      <c r="M61" s="11"/>
    </row>
    <row r="62" spans="2:13" ht="13.15" customHeight="1">
      <c r="B62" s="24"/>
      <c r="C62" s="11" t="s">
        <v>402</v>
      </c>
      <c r="D62" s="7" t="str">
        <f>IFERROR(VLOOKUP(C62,'Lista desplegable'!B$1:C$436,2,FALSE),"")</f>
        <v>GUILLERMO NICOLAS GODOY CARVAJAL</v>
      </c>
      <c r="E62" s="7" t="str">
        <f>IFERROR(VLOOKUP(D62,'Lista desplegable'!C$1:D$436,2,FALSE),"")</f>
        <v>AYUDANTE DE PERFORISTA</v>
      </c>
      <c r="F62" s="53" t="s">
        <v>41</v>
      </c>
      <c r="G62" s="45" t="s">
        <v>20</v>
      </c>
      <c r="H62" s="31" t="s">
        <v>57</v>
      </c>
      <c r="I62" s="39" t="s">
        <v>997</v>
      </c>
      <c r="J62" s="11"/>
      <c r="K62" s="11"/>
      <c r="L62" s="11"/>
      <c r="M62" s="11"/>
    </row>
    <row r="63" spans="2:13" ht="13.15" customHeight="1">
      <c r="B63" s="24">
        <v>13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15" customHeight="1">
      <c r="B64" s="24">
        <v>14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15" customHeight="1">
      <c r="B65" s="24">
        <v>15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15" customHeight="1">
      <c r="B66" s="24">
        <v>16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5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5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5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5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5">
      <c r="C87" s="9"/>
      <c r="D87" s="6"/>
      <c r="E87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504866E-D447-477C-8598-E4EC0CE901FA}">
          <x14:formula1>
            <xm:f>'Lista desplegable'!$N$2:$N$5</xm:f>
          </x14:formula1>
          <xm:sqref>J8:J37 J42:J66</xm:sqref>
        </x14:dataValidation>
        <x14:dataValidation type="list" allowBlank="1" showInputMessage="1" showErrorMessage="1" xr:uid="{57A3283E-5608-410E-A717-E2B864E6C9BD}">
          <x14:formula1>
            <xm:f>'Lista desplegable'!$B$2:$B$436</xm:f>
          </x14:formula1>
          <xm:sqref>C8:C37 C42:C66</xm:sqref>
        </x14:dataValidation>
        <x14:dataValidation type="list" allowBlank="1" showInputMessage="1" showErrorMessage="1" xr:uid="{CC817F77-CB40-4D85-95CF-45884780367D}">
          <x14:formula1>
            <xm:f>'Lista desplegable'!$F$2:$F$19</xm:f>
          </x14:formula1>
          <xm:sqref>F8:F37 F42:F66</xm:sqref>
        </x14:dataValidation>
        <x14:dataValidation type="list" allowBlank="1" showInputMessage="1" showErrorMessage="1" xr:uid="{53AD09A4-DC6B-40B1-93CB-CDED89C24984}">
          <x14:formula1>
            <xm:f>'Lista desplegable'!$J$2:$J$10</xm:f>
          </x14:formula1>
          <xm:sqref>H8:H37 H42:H66</xm:sqref>
        </x14:dataValidation>
        <x14:dataValidation type="list" allowBlank="1" showInputMessage="1" showErrorMessage="1" xr:uid="{DAD99BFC-19B8-4092-91A9-5BC6AE5E4DAA}">
          <x14:formula1>
            <xm:f>'Lista desplegable'!$H$2:$H$7</xm:f>
          </x14:formula1>
          <xm:sqref>G8:G37 G42:G66</xm:sqref>
        </x14:dataValidation>
        <x14:dataValidation type="list" allowBlank="1" showInputMessage="1" showErrorMessage="1" xr:uid="{12C2536E-5A03-4DF1-B07B-E468D2B59131}">
          <x14:formula1>
            <xm:f>'Lista desplegable'!$L$2:$L$3</xm:f>
          </x14:formula1>
          <xm:sqref>K8:L37 K42:L66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4ECF-6665-4A80-83FB-2569A0123BB1}">
  <dimension ref="B1:M82"/>
  <sheetViews>
    <sheetView topLeftCell="A41" zoomScaleNormal="100" workbookViewId="0">
      <selection activeCell="K44" sqref="K44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46090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46" t="s">
        <v>34</v>
      </c>
      <c r="G8" s="46" t="s">
        <v>20</v>
      </c>
      <c r="H8" s="46" t="s">
        <v>52</v>
      </c>
      <c r="I8" s="39" t="s">
        <v>999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46" t="s">
        <v>34</v>
      </c>
      <c r="G9" s="46" t="s">
        <v>20</v>
      </c>
      <c r="H9" s="46" t="s">
        <v>52</v>
      </c>
      <c r="I9" s="39" t="s">
        <v>999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521</v>
      </c>
      <c r="D10" s="7" t="str">
        <f>IFERROR(VLOOKUP(C10,'Lista desplegable'!B$1:C$436,2,FALSE),"")</f>
        <v>JOSE MANUEL CASTILLO GARCIA</v>
      </c>
      <c r="E10" s="7" t="str">
        <f>IFERROR(VLOOKUP(D10,'Lista desplegable'!C$1:D$436,2,FALSE),"")</f>
        <v>INSTRUCTOR DE OPERACIONES</v>
      </c>
      <c r="F10" s="46" t="s">
        <v>34</v>
      </c>
      <c r="G10" s="46" t="s">
        <v>20</v>
      </c>
      <c r="H10" s="46" t="s">
        <v>52</v>
      </c>
      <c r="I10" s="39" t="s">
        <v>999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28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46" t="s">
        <v>34</v>
      </c>
      <c r="G11" s="46" t="s">
        <v>20</v>
      </c>
      <c r="H11" s="46" t="s">
        <v>52</v>
      </c>
      <c r="I11" s="39" t="s">
        <v>999</v>
      </c>
      <c r="J11" s="11" t="s">
        <v>15</v>
      </c>
      <c r="K11" s="11" t="s">
        <v>14</v>
      </c>
      <c r="L11" s="11" t="s">
        <v>14</v>
      </c>
      <c r="M11" s="11"/>
    </row>
    <row r="12" spans="2:13" s="1" customFormat="1" ht="13.15" customHeight="1">
      <c r="B12" s="24">
        <v>5</v>
      </c>
      <c r="C12" s="27" t="s">
        <v>609</v>
      </c>
      <c r="D12" s="7" t="str">
        <f>IFERROR(VLOOKUP(C12,'Lista desplegable'!B$1:C$436,2,FALSE),"")</f>
        <v>MANUEL ALEJANDRO LISAMBARTH CARABANTES</v>
      </c>
      <c r="E12" s="7" t="str">
        <f>IFERROR(VLOOKUP(D12,'Lista desplegable'!C$1:D$436,2,FALSE),"")</f>
        <v>ADMINISTRATIVO DE FAENA</v>
      </c>
      <c r="F12" s="46" t="s">
        <v>34</v>
      </c>
      <c r="G12" s="46" t="s">
        <v>20</v>
      </c>
      <c r="H12" s="46" t="s">
        <v>52</v>
      </c>
      <c r="I12" s="39" t="s">
        <v>999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27" t="s">
        <v>851</v>
      </c>
      <c r="D13" s="7" t="str">
        <f>IFERROR(VLOOKUP(C13,'Lista desplegable'!B$1:C$436,2,FALSE),"")</f>
        <v>RODRIGO ANDRES DIAZ INOSTROZA</v>
      </c>
      <c r="E13" s="7" t="str">
        <f>IFERROR(VLOOKUP(D13,'Lista desplegable'!C$1:D$436,2,FALSE),"")</f>
        <v>BODEGUERO</v>
      </c>
      <c r="F13" s="46" t="s">
        <v>34</v>
      </c>
      <c r="G13" s="46" t="s">
        <v>20</v>
      </c>
      <c r="H13" s="46" t="s">
        <v>52</v>
      </c>
      <c r="I13" s="39" t="s">
        <v>999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27" t="s">
        <v>183</v>
      </c>
      <c r="D14" s="7" t="str">
        <f>IFERROR(VLOOKUP(C14,'Lista desplegable'!B$1:C$436,2,FALSE),"")</f>
        <v>CHRISTIAN DARIEM PIZARRO MUÑOZ</v>
      </c>
      <c r="E14" s="7" t="str">
        <f>IFERROR(VLOOKUP(D14,'Lista desplegable'!C$1:D$436,2,FALSE),"")</f>
        <v>SOLDADOR</v>
      </c>
      <c r="F14" s="46" t="s">
        <v>34</v>
      </c>
      <c r="G14" s="46" t="s">
        <v>20</v>
      </c>
      <c r="H14" s="46" t="s">
        <v>52</v>
      </c>
      <c r="I14" s="39" t="s">
        <v>999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29" t="s">
        <v>595</v>
      </c>
      <c r="D15" s="7" t="str">
        <f>IFERROR(VLOOKUP(C15,'Lista desplegable'!B$1:C$436,2,FALSE),"")</f>
        <v>LUIS GERARDO LOPEZ OLAVE</v>
      </c>
      <c r="E15" s="7" t="str">
        <f>IFERROR(VLOOKUP(D15,'Lista desplegable'!C$1:D$436,2,FALSE),"")</f>
        <v>MECANICO</v>
      </c>
      <c r="F15" s="46" t="s">
        <v>34</v>
      </c>
      <c r="G15" s="46" t="s">
        <v>20</v>
      </c>
      <c r="H15" s="46" t="s">
        <v>52</v>
      </c>
      <c r="I15" s="39" t="s">
        <v>999</v>
      </c>
      <c r="J15" s="26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30" t="s">
        <v>283</v>
      </c>
      <c r="D16" s="7" t="str">
        <f>IFERROR(VLOOKUP(C16,'Lista desplegable'!B$1:C$436,2,FALSE),"")</f>
        <v>DIEGO NICOLAS GONZALEZ OLIVARES</v>
      </c>
      <c r="E16" s="7" t="str">
        <f>IFERROR(VLOOKUP(D16,'Lista desplegable'!C$1:D$436,2,FALSE),"")</f>
        <v>MECANICO</v>
      </c>
      <c r="F16" s="46" t="s">
        <v>34</v>
      </c>
      <c r="G16" s="46" t="s">
        <v>20</v>
      </c>
      <c r="H16" s="46" t="s">
        <v>52</v>
      </c>
      <c r="I16" s="39" t="s">
        <v>999</v>
      </c>
      <c r="J16" s="26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30" t="s">
        <v>490</v>
      </c>
      <c r="D17" s="7" t="str">
        <f>IFERROR(VLOOKUP(C17,'Lista desplegable'!B$1:C$436,2,FALSE),"")</f>
        <v>JORGE ANDRES LICANQUEO PEREZ</v>
      </c>
      <c r="E17" s="7" t="str">
        <f>IFERROR(VLOOKUP(D17,'Lista desplegable'!C$1:D$436,2,FALSE),"")</f>
        <v>MECANICO</v>
      </c>
      <c r="F17" s="46" t="s">
        <v>34</v>
      </c>
      <c r="G17" s="46" t="s">
        <v>20</v>
      </c>
      <c r="H17" s="46" t="s">
        <v>52</v>
      </c>
      <c r="I17" s="39" t="s">
        <v>999</v>
      </c>
      <c r="J17" s="26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28" t="s">
        <v>636</v>
      </c>
      <c r="D18" s="7" t="str">
        <f>IFERROR(VLOOKUP(C18,'Lista desplegable'!B$1:C$436,2,FALSE),"")</f>
        <v>MARCOS ANTONIO ALDEA BEROIZA</v>
      </c>
      <c r="E18" s="7" t="str">
        <f>IFERROR(VLOOKUP(D18,'Lista desplegable'!C$1:D$436,2,FALSE),"")</f>
        <v>CHOFER</v>
      </c>
      <c r="F18" s="46" t="s">
        <v>34</v>
      </c>
      <c r="G18" s="46" t="s">
        <v>20</v>
      </c>
      <c r="H18" s="46" t="s">
        <v>52</v>
      </c>
      <c r="I18" s="39" t="s">
        <v>999</v>
      </c>
      <c r="J18" s="26" t="s">
        <v>15</v>
      </c>
      <c r="K18" s="11" t="s">
        <v>14</v>
      </c>
      <c r="L18" s="11" t="s">
        <v>14</v>
      </c>
      <c r="M18" s="11"/>
    </row>
    <row r="19" spans="2:13" s="1" customFormat="1" ht="13.15" customHeight="1">
      <c r="B19" s="24">
        <v>12</v>
      </c>
      <c r="C19" s="31" t="s">
        <v>156</v>
      </c>
      <c r="D19" s="7" t="str">
        <f>IFERROR(VLOOKUP(C19,'Lista desplegable'!B$1:C$436,2,FALSE),"")</f>
        <v>CARLOS ALBERTO RAMOS VELASQUEZ</v>
      </c>
      <c r="E19" s="7" t="str">
        <f>IFERROR(VLOOKUP(D19,'Lista desplegable'!C$1:D$436,2,FALSE),"")</f>
        <v>SUPERVISOR DE OPERACIONES</v>
      </c>
      <c r="F19" s="46" t="s">
        <v>34</v>
      </c>
      <c r="G19" s="46" t="s">
        <v>20</v>
      </c>
      <c r="H19" s="46" t="s">
        <v>52</v>
      </c>
      <c r="I19" s="39" t="s">
        <v>999</v>
      </c>
      <c r="J19" s="26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27" t="s">
        <v>702</v>
      </c>
      <c r="D20" s="7" t="str">
        <f>IFERROR(VLOOKUP(C20,'Lista desplegable'!B$1:C$436,2,FALSE),"")</f>
        <v>NELSON PATRICIO FLORES SANHUEZA</v>
      </c>
      <c r="E20" s="7" t="str">
        <f>IFERROR(VLOOKUP(D20,'Lista desplegable'!C$1:D$436,2,FALSE),"")</f>
        <v>PREVENCIONISTA DE RIESGOS</v>
      </c>
      <c r="F20" s="46" t="s">
        <v>34</v>
      </c>
      <c r="G20" s="46" t="s">
        <v>20</v>
      </c>
      <c r="H20" s="46" t="s">
        <v>52</v>
      </c>
      <c r="I20" s="39" t="s">
        <v>999</v>
      </c>
      <c r="J20" s="26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32" t="s">
        <v>294</v>
      </c>
      <c r="D21" s="7" t="str">
        <f>IFERROR(VLOOKUP(C21,'Lista desplegable'!B$1:C$436,2,FALSE),"")</f>
        <v>EDUARDO ANTONIO CASTILLO VALENZUELA</v>
      </c>
      <c r="E21" s="7" t="str">
        <f>IFERROR(VLOOKUP(D21,'Lista desplegable'!C$1:D$436,2,FALSE),"")</f>
        <v>PERFORISTA</v>
      </c>
      <c r="F21" s="46" t="s">
        <v>34</v>
      </c>
      <c r="G21" s="46" t="s">
        <v>20</v>
      </c>
      <c r="H21" s="46" t="s">
        <v>52</v>
      </c>
      <c r="I21" s="39" t="s">
        <v>999</v>
      </c>
      <c r="J21" s="26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33" t="s">
        <v>451</v>
      </c>
      <c r="D22" s="7" t="str">
        <f>IFERROR(VLOOKUP(C22,'Lista desplegable'!B$1:C$436,2,FALSE),"")</f>
        <v>JEAN CHARLES CERDA ORREGO</v>
      </c>
      <c r="E22" s="7" t="str">
        <f>IFERROR(VLOOKUP(D22,'Lista desplegable'!C$1:D$436,2,FALSE),"")</f>
        <v>AYUDANTE DE PERFORISTA</v>
      </c>
      <c r="F22" s="43" t="s">
        <v>34</v>
      </c>
      <c r="G22" s="46" t="s">
        <v>20</v>
      </c>
      <c r="H22" s="46" t="s">
        <v>52</v>
      </c>
      <c r="I22" s="39" t="s">
        <v>999</v>
      </c>
      <c r="J22" s="26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34" t="s">
        <v>730</v>
      </c>
      <c r="D23" s="7" t="str">
        <f>IFERROR(VLOOKUP(C23,'Lista desplegable'!B$1:C$436,2,FALSE),"")</f>
        <v>OMAR ANDRES ARAYA ZUÑIGA</v>
      </c>
      <c r="E23" s="7" t="str">
        <f>IFERROR(VLOOKUP(D23,'Lista desplegable'!C$1:D$436,2,FALSE),"")</f>
        <v>AYUDANTE DE PERFORISTA</v>
      </c>
      <c r="F23" s="57" t="s">
        <v>34</v>
      </c>
      <c r="G23" s="48" t="s">
        <v>20</v>
      </c>
      <c r="H23" s="48" t="s">
        <v>52</v>
      </c>
      <c r="I23" s="39" t="s">
        <v>999</v>
      </c>
      <c r="J23" s="26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31" t="s">
        <v>871</v>
      </c>
      <c r="D24" s="7" t="str">
        <f>IFERROR(VLOOKUP(C24,'Lista desplegable'!B$1:C$436,2,FALSE),"")</f>
        <v>RUBEN IGNACIO CORTES BORBON</v>
      </c>
      <c r="E24" s="7" t="str">
        <f>IFERROR(VLOOKUP(D24,'Lista desplegable'!C$1:D$436,2,FALSE),"")</f>
        <v>AYUDANTE DE PERFORISTA</v>
      </c>
      <c r="F24" s="43" t="s">
        <v>34</v>
      </c>
      <c r="G24" s="46" t="s">
        <v>20</v>
      </c>
      <c r="H24" s="46" t="s">
        <v>52</v>
      </c>
      <c r="I24" s="39" t="s">
        <v>999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34" t="s">
        <v>560</v>
      </c>
      <c r="D25" s="7" t="str">
        <f>IFERROR(VLOOKUP(C25,'Lista desplegable'!B$1:C$436,2,FALSE),"")</f>
        <v>KEVIN ALEXIS NEYRA CORTES</v>
      </c>
      <c r="E25" s="7" t="str">
        <f>IFERROR(VLOOKUP(D25,'Lista desplegable'!C$1:D$436,2,FALSE),"")</f>
        <v>PERFORISTA</v>
      </c>
      <c r="F25" s="58" t="s">
        <v>41</v>
      </c>
      <c r="G25" s="49" t="s">
        <v>20</v>
      </c>
      <c r="H25" s="49" t="s">
        <v>52</v>
      </c>
      <c r="I25" s="37">
        <v>0</v>
      </c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35" t="s">
        <v>764</v>
      </c>
      <c r="D26" s="7" t="str">
        <f>IFERROR(VLOOKUP(C26,'Lista desplegable'!B$1:C$436,2,FALSE),"")</f>
        <v>PATRICIO RENAN GONZALEZ CABELLO</v>
      </c>
      <c r="E26" s="7" t="str">
        <f>IFERROR(VLOOKUP(D26,'Lista desplegable'!C$1:D$436,2,FALSE),"")</f>
        <v>AYUDANTE DE PERFORISTA</v>
      </c>
      <c r="F26" s="43" t="s">
        <v>41</v>
      </c>
      <c r="G26" s="43" t="s">
        <v>20</v>
      </c>
      <c r="H26" s="43" t="s">
        <v>52</v>
      </c>
      <c r="I26" s="37">
        <v>0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55" t="s">
        <v>279</v>
      </c>
      <c r="D27" s="7" t="str">
        <f>IFERROR(VLOOKUP(C27,'Lista desplegable'!B$1:C$436,2,FALSE),"")</f>
        <v>DIEGO BRANCO BARRAZA CHAVEZ</v>
      </c>
      <c r="E27" s="7" t="str">
        <f>IFERROR(VLOOKUP(D27,'Lista desplegable'!C$1:D$436,2,FALSE),"")</f>
        <v>AYUDANTE DE PERFORISTA</v>
      </c>
      <c r="F27" s="43" t="s">
        <v>41</v>
      </c>
      <c r="G27" s="43" t="s">
        <v>20</v>
      </c>
      <c r="H27" s="43" t="s">
        <v>52</v>
      </c>
      <c r="I27" s="37">
        <v>0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33" t="s">
        <v>740</v>
      </c>
      <c r="D28" s="7" t="str">
        <f>IFERROR(VLOOKUP(C28,'Lista desplegable'!B$1:C$436,2,FALSE),"")</f>
        <v>OSCAR RODRIGO ARIAS LEIVA</v>
      </c>
      <c r="E28" s="7" t="str">
        <f>IFERROR(VLOOKUP(D28,'Lista desplegable'!C$1:D$436,2,FALSE),"")</f>
        <v>AYUDANTE DE PERFORISTA</v>
      </c>
      <c r="F28" s="43" t="s">
        <v>41</v>
      </c>
      <c r="G28" s="43" t="s">
        <v>20</v>
      </c>
      <c r="H28" s="44" t="s">
        <v>52</v>
      </c>
      <c r="I28" s="38">
        <v>0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56" t="s">
        <v>732</v>
      </c>
      <c r="D29" s="7" t="str">
        <f>IFERROR(VLOOKUP(C29,'Lista desplegable'!B$1:C$436,2,FALSE),"")</f>
        <v>ORLANDO PATRICIO CONTRERAS RIOS</v>
      </c>
      <c r="E29" s="7" t="str">
        <f>IFERROR(VLOOKUP(D29,'Lista desplegable'!C$1:D$436,2,FALSE),"")</f>
        <v>PERFORISTA</v>
      </c>
      <c r="F29" s="43" t="s">
        <v>34</v>
      </c>
      <c r="G29" s="46" t="s">
        <v>20</v>
      </c>
      <c r="H29" s="46" t="s">
        <v>52</v>
      </c>
      <c r="I29" s="39" t="s">
        <v>999</v>
      </c>
      <c r="J29" s="11" t="s">
        <v>15</v>
      </c>
      <c r="K29" s="11" t="s">
        <v>14</v>
      </c>
      <c r="L29" s="11" t="s">
        <v>14</v>
      </c>
      <c r="M29" s="59" t="s">
        <v>1000</v>
      </c>
    </row>
    <row r="30" spans="2:13" s="1" customFormat="1" ht="13.15" customHeight="1">
      <c r="B30" s="24">
        <v>23</v>
      </c>
      <c r="C30" s="33" t="s">
        <v>98</v>
      </c>
      <c r="D30" s="7" t="str">
        <f>IFERROR(VLOOKUP(C30,'Lista desplegable'!B$1:C$436,2,FALSE),"")</f>
        <v>ANGELO GIOVANNI BIZAMA ORELLANA</v>
      </c>
      <c r="E30" s="7" t="str">
        <f>IFERROR(VLOOKUP(D30,'Lista desplegable'!C$1:D$436,2,FALSE),"")</f>
        <v>AYUDANTE DE PERFORISTA</v>
      </c>
      <c r="F30" s="19"/>
      <c r="G30" s="11"/>
      <c r="H30" s="11"/>
      <c r="I30" s="11"/>
      <c r="J30" s="11" t="s">
        <v>37</v>
      </c>
      <c r="K30" s="11"/>
      <c r="L30" s="11"/>
      <c r="M30" s="59" t="s">
        <v>1001</v>
      </c>
    </row>
    <row r="31" spans="2:13" s="1" customFormat="1" ht="13.15" customHeight="1">
      <c r="B31" s="24">
        <v>24</v>
      </c>
      <c r="C31" s="33" t="s">
        <v>958</v>
      </c>
      <c r="D31" s="7" t="str">
        <f>IFERROR(VLOOKUP(C31,'Lista desplegable'!B$1:C$436,2,FALSE),"")</f>
        <v>WALTER LISANDRO SALAS MESA</v>
      </c>
      <c r="E31" s="7" t="str">
        <f>IFERROR(VLOOKUP(D31,'Lista desplegable'!C$1:D$436,2,FALSE),"")</f>
        <v>PERFORISTA</v>
      </c>
      <c r="F31" s="19"/>
      <c r="G31" s="11"/>
      <c r="H31" s="11"/>
      <c r="I31" s="11"/>
      <c r="J31" s="11" t="s">
        <v>37</v>
      </c>
      <c r="K31" s="11"/>
      <c r="L31" s="11"/>
      <c r="M31" s="59" t="s">
        <v>1001</v>
      </c>
    </row>
    <row r="32" spans="2:13" s="1" customFormat="1" ht="13.15" customHeight="1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15" customHeight="1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15" customHeight="1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992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2" t="s">
        <v>34</v>
      </c>
      <c r="G42" s="45" t="s">
        <v>20</v>
      </c>
      <c r="H42" s="60" t="s">
        <v>52</v>
      </c>
      <c r="I42" s="50" t="s">
        <v>1002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27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42" t="s">
        <v>34</v>
      </c>
      <c r="G43" s="45" t="s">
        <v>20</v>
      </c>
      <c r="H43" s="60" t="s">
        <v>52</v>
      </c>
      <c r="I43" s="50" t="s">
        <v>1002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42" t="s">
        <v>34</v>
      </c>
      <c r="G44" s="45" t="s">
        <v>20</v>
      </c>
      <c r="H44" s="60" t="s">
        <v>52</v>
      </c>
      <c r="I44" s="50" t="s">
        <v>1002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42" t="s">
        <v>34</v>
      </c>
      <c r="G45" s="45" t="s">
        <v>20</v>
      </c>
      <c r="H45" s="60" t="s">
        <v>52</v>
      </c>
      <c r="I45" s="50" t="s">
        <v>1002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5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42" t="s">
        <v>34</v>
      </c>
      <c r="G46" s="45" t="s">
        <v>20</v>
      </c>
      <c r="H46" s="60" t="s">
        <v>52</v>
      </c>
      <c r="I46" s="50" t="s">
        <v>1002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60" t="s">
        <v>52</v>
      </c>
      <c r="I47" s="50" t="s">
        <v>1002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39" t="s">
        <v>1002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39" t="s">
        <v>1002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>
        <v>0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5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53" t="s">
        <v>41</v>
      </c>
      <c r="G51" s="45" t="s">
        <v>20</v>
      </c>
      <c r="H51" s="43" t="s">
        <v>52</v>
      </c>
      <c r="I51" s="39">
        <v>0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35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53" t="s">
        <v>41</v>
      </c>
      <c r="G52" s="45" t="s">
        <v>20</v>
      </c>
      <c r="H52" s="43" t="s">
        <v>52</v>
      </c>
      <c r="I52" s="39">
        <v>0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5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53" t="s">
        <v>41</v>
      </c>
      <c r="G53" s="45" t="s">
        <v>20</v>
      </c>
      <c r="H53" s="43" t="s">
        <v>52</v>
      </c>
      <c r="I53" s="39">
        <v>0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D75503E-EF42-4061-9523-2920E2D7BB88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10F59F2F-27F3-4188-8A4C-D36F94E8DF76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3A9DA344-7959-42AF-8B65-8AA302BB134D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EAA7C9BF-4E52-4C9E-8657-9626C1C854F8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18B388ED-410D-483F-B10C-AE548368D847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CFEBA49D-230B-45FA-866A-BAC2899763C3}">
          <x14:formula1>
            <xm:f>'Lista desplegable'!$N$2:$N$5</xm:f>
          </x14:formula1>
          <xm:sqref>J8:J37 J42:J61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1787-9C90-479C-B3BA-9F86E7503F0B}">
  <dimension ref="B1:M82"/>
  <sheetViews>
    <sheetView topLeftCell="C33" zoomScaleNormal="100" workbookViewId="0">
      <selection activeCell="J31" sqref="J31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46121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46" t="s">
        <v>34</v>
      </c>
      <c r="G8" s="46" t="s">
        <v>20</v>
      </c>
      <c r="H8" s="46" t="s">
        <v>52</v>
      </c>
      <c r="I8" s="39" t="s">
        <v>1003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46" t="s">
        <v>34</v>
      </c>
      <c r="G9" s="46" t="s">
        <v>20</v>
      </c>
      <c r="H9" s="46" t="s">
        <v>52</v>
      </c>
      <c r="I9" s="39" t="s">
        <v>1003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426</v>
      </c>
      <c r="D10" s="7" t="str">
        <f>IFERROR(VLOOKUP(C10,'Lista desplegable'!B$1:C$436,2,FALSE),"")</f>
        <v>ISRAEL AARÓN VERGARA ELGUETA</v>
      </c>
      <c r="E10" s="7" t="str">
        <f>IFERROR(VLOOKUP(D10,'Lista desplegable'!C$1:D$436,2,FALSE),"")</f>
        <v>ADMINISTRADOR DE CONTRATO</v>
      </c>
      <c r="F10" s="46" t="s">
        <v>34</v>
      </c>
      <c r="G10" s="46" t="s">
        <v>20</v>
      </c>
      <c r="H10" s="46" t="s">
        <v>52</v>
      </c>
      <c r="I10" s="39" t="s">
        <v>1003</v>
      </c>
      <c r="J10" s="11" t="s">
        <v>15</v>
      </c>
      <c r="K10" s="11" t="s">
        <v>14</v>
      </c>
      <c r="L10" s="11" t="s">
        <v>14</v>
      </c>
      <c r="M10" s="65" t="s">
        <v>1004</v>
      </c>
    </row>
    <row r="11" spans="2:13" s="1" customFormat="1" ht="13.15" customHeight="1">
      <c r="B11" s="24">
        <v>4</v>
      </c>
      <c r="C11" s="28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46"/>
      <c r="G11" s="46"/>
      <c r="H11" s="46"/>
      <c r="I11" s="39"/>
      <c r="J11" s="11" t="s">
        <v>23</v>
      </c>
      <c r="K11" s="11"/>
      <c r="L11" s="11"/>
      <c r="M11" s="66"/>
    </row>
    <row r="12" spans="2:13" s="1" customFormat="1" ht="13.15" customHeight="1">
      <c r="B12" s="24">
        <v>5</v>
      </c>
      <c r="C12" s="27" t="s">
        <v>609</v>
      </c>
      <c r="D12" s="7" t="str">
        <f>IFERROR(VLOOKUP(C12,'Lista desplegable'!B$1:C$436,2,FALSE),"")</f>
        <v>MANUEL ALEJANDRO LISAMBARTH CARABANTES</v>
      </c>
      <c r="E12" s="7" t="str">
        <f>IFERROR(VLOOKUP(D12,'Lista desplegable'!C$1:D$436,2,FALSE),"")</f>
        <v>ADMINISTRATIVO DE FAENA</v>
      </c>
      <c r="F12" s="46" t="s">
        <v>34</v>
      </c>
      <c r="G12" s="46" t="s">
        <v>20</v>
      </c>
      <c r="H12" s="46" t="s">
        <v>52</v>
      </c>
      <c r="I12" s="39" t="s">
        <v>1003</v>
      </c>
      <c r="J12" s="11" t="s">
        <v>15</v>
      </c>
      <c r="K12" s="11" t="s">
        <v>14</v>
      </c>
      <c r="L12" s="11" t="s">
        <v>14</v>
      </c>
      <c r="M12" s="65"/>
    </row>
    <row r="13" spans="2:13" s="1" customFormat="1" ht="13.15" customHeight="1">
      <c r="B13" s="24">
        <v>6</v>
      </c>
      <c r="C13" s="27" t="s">
        <v>851</v>
      </c>
      <c r="D13" s="7" t="str">
        <f>IFERROR(VLOOKUP(C13,'Lista desplegable'!B$1:C$436,2,FALSE),"")</f>
        <v>RODRIGO ANDRES DIAZ INOSTROZA</v>
      </c>
      <c r="E13" s="7" t="str">
        <f>IFERROR(VLOOKUP(D13,'Lista desplegable'!C$1:D$436,2,FALSE),"")</f>
        <v>BODEGUERO</v>
      </c>
      <c r="F13" s="46" t="s">
        <v>34</v>
      </c>
      <c r="G13" s="46" t="s">
        <v>20</v>
      </c>
      <c r="H13" s="46" t="s">
        <v>52</v>
      </c>
      <c r="I13" s="39" t="s">
        <v>1003</v>
      </c>
      <c r="J13" s="11" t="s">
        <v>15</v>
      </c>
      <c r="K13" s="11" t="s">
        <v>14</v>
      </c>
      <c r="L13" s="11" t="s">
        <v>14</v>
      </c>
      <c r="M13" s="65"/>
    </row>
    <row r="14" spans="2:13" s="1" customFormat="1" ht="13.15" customHeight="1">
      <c r="B14" s="24">
        <v>7</v>
      </c>
      <c r="C14" s="27" t="s">
        <v>183</v>
      </c>
      <c r="D14" s="7" t="str">
        <f>IFERROR(VLOOKUP(C14,'Lista desplegable'!B$1:C$436,2,FALSE),"")</f>
        <v>CHRISTIAN DARIEM PIZARRO MUÑOZ</v>
      </c>
      <c r="E14" s="7" t="str">
        <f>IFERROR(VLOOKUP(D14,'Lista desplegable'!C$1:D$436,2,FALSE),"")</f>
        <v>SOLDADOR</v>
      </c>
      <c r="F14" s="46" t="s">
        <v>34</v>
      </c>
      <c r="G14" s="46" t="s">
        <v>20</v>
      </c>
      <c r="H14" s="46" t="s">
        <v>52</v>
      </c>
      <c r="I14" s="39" t="s">
        <v>1003</v>
      </c>
      <c r="J14" s="11" t="s">
        <v>15</v>
      </c>
      <c r="K14" s="11" t="s">
        <v>14</v>
      </c>
      <c r="L14" s="11" t="s">
        <v>14</v>
      </c>
      <c r="M14" s="65"/>
    </row>
    <row r="15" spans="2:13" s="1" customFormat="1" ht="13.15" customHeight="1">
      <c r="B15" s="24">
        <v>8</v>
      </c>
      <c r="C15" s="61" t="s">
        <v>241</v>
      </c>
      <c r="D15" s="7" t="str">
        <f>IFERROR(VLOOKUP(C15,'Lista desplegable'!B$1:C$436,2,FALSE),"")</f>
        <v>DANIEL ANDRES ANDRADE AGUILAR</v>
      </c>
      <c r="E15" s="7" t="str">
        <f>IFERROR(VLOOKUP(D15,'Lista desplegable'!C$1:D$436,2,FALSE),"")</f>
        <v>MECANICO</v>
      </c>
      <c r="F15" s="46" t="s">
        <v>34</v>
      </c>
      <c r="G15" s="46" t="s">
        <v>20</v>
      </c>
      <c r="H15" s="46" t="s">
        <v>52</v>
      </c>
      <c r="I15" s="39" t="s">
        <v>1003</v>
      </c>
      <c r="J15" s="26" t="s">
        <v>15</v>
      </c>
      <c r="K15" s="11" t="s">
        <v>14</v>
      </c>
      <c r="L15" s="11" t="s">
        <v>14</v>
      </c>
      <c r="M15" s="65" t="s">
        <v>1004</v>
      </c>
    </row>
    <row r="16" spans="2:13" s="1" customFormat="1" ht="13.15" customHeight="1">
      <c r="B16" s="24">
        <v>9</v>
      </c>
      <c r="C16" s="30" t="s">
        <v>283</v>
      </c>
      <c r="D16" s="7" t="str">
        <f>IFERROR(VLOOKUP(C16,'Lista desplegable'!B$1:C$436,2,FALSE),"")</f>
        <v>DIEGO NICOLAS GONZALEZ OLIVARES</v>
      </c>
      <c r="E16" s="7" t="str">
        <f>IFERROR(VLOOKUP(D16,'Lista desplegable'!C$1:D$436,2,FALSE),"")</f>
        <v>MECANICO</v>
      </c>
      <c r="F16" s="46" t="s">
        <v>34</v>
      </c>
      <c r="G16" s="46" t="s">
        <v>20</v>
      </c>
      <c r="H16" s="46" t="s">
        <v>52</v>
      </c>
      <c r="I16" s="39" t="s">
        <v>1003</v>
      </c>
      <c r="J16" s="26" t="s">
        <v>15</v>
      </c>
      <c r="K16" s="11" t="s">
        <v>14</v>
      </c>
      <c r="L16" s="11" t="s">
        <v>14</v>
      </c>
      <c r="M16" s="43"/>
    </row>
    <row r="17" spans="2:13" s="1" customFormat="1" ht="13.15" customHeight="1">
      <c r="B17" s="24">
        <v>10</v>
      </c>
      <c r="C17" s="30" t="s">
        <v>490</v>
      </c>
      <c r="D17" s="7" t="str">
        <f>IFERROR(VLOOKUP(C17,'Lista desplegable'!B$1:C$436,2,FALSE),"")</f>
        <v>JORGE ANDRES LICANQUEO PEREZ</v>
      </c>
      <c r="E17" s="7" t="str">
        <f>IFERROR(VLOOKUP(D17,'Lista desplegable'!C$1:D$436,2,FALSE),"")</f>
        <v>MECANICO</v>
      </c>
      <c r="F17" s="46" t="s">
        <v>34</v>
      </c>
      <c r="G17" s="46" t="s">
        <v>20</v>
      </c>
      <c r="H17" s="46" t="s">
        <v>52</v>
      </c>
      <c r="I17" s="39" t="s">
        <v>1003</v>
      </c>
      <c r="J17" s="26" t="s">
        <v>15</v>
      </c>
      <c r="K17" s="11" t="s">
        <v>14</v>
      </c>
      <c r="L17" s="11" t="s">
        <v>14</v>
      </c>
      <c r="M17" s="43"/>
    </row>
    <row r="18" spans="2:13" s="1" customFormat="1" ht="13.15" customHeight="1">
      <c r="B18" s="24">
        <v>11</v>
      </c>
      <c r="C18" s="28" t="s">
        <v>636</v>
      </c>
      <c r="D18" s="7" t="str">
        <f>IFERROR(VLOOKUP(C18,'Lista desplegable'!B$1:C$436,2,FALSE),"")</f>
        <v>MARCOS ANTONIO ALDEA BEROIZA</v>
      </c>
      <c r="E18" s="7" t="str">
        <f>IFERROR(VLOOKUP(D18,'Lista desplegable'!C$1:D$436,2,FALSE),"")</f>
        <v>CHOFER</v>
      </c>
      <c r="F18" s="46" t="s">
        <v>34</v>
      </c>
      <c r="G18" s="46" t="s">
        <v>20</v>
      </c>
      <c r="H18" s="46" t="s">
        <v>52</v>
      </c>
      <c r="I18" s="39" t="s">
        <v>1003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31" t="s">
        <v>156</v>
      </c>
      <c r="D19" s="7" t="str">
        <f>IFERROR(VLOOKUP(C19,'Lista desplegable'!B$1:C$436,2,FALSE),"")</f>
        <v>CARLOS ALBERTO RAMOS VELASQUEZ</v>
      </c>
      <c r="E19" s="7" t="str">
        <f>IFERROR(VLOOKUP(D19,'Lista desplegable'!C$1:D$436,2,FALSE),"")</f>
        <v>SUPERVISOR DE OPERACIONES</v>
      </c>
      <c r="F19" s="46" t="s">
        <v>34</v>
      </c>
      <c r="G19" s="46" t="s">
        <v>20</v>
      </c>
      <c r="H19" s="46" t="s">
        <v>52</v>
      </c>
      <c r="I19" s="39" t="s">
        <v>1003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27" t="s">
        <v>702</v>
      </c>
      <c r="D20" s="7" t="str">
        <f>IFERROR(VLOOKUP(C20,'Lista desplegable'!B$1:C$436,2,FALSE),"")</f>
        <v>NELSON PATRICIO FLORES SANHUEZA</v>
      </c>
      <c r="E20" s="7" t="str">
        <f>IFERROR(VLOOKUP(D20,'Lista desplegable'!C$1:D$436,2,FALSE),"")</f>
        <v>PREVENCIONISTA DE RIESGOS</v>
      </c>
      <c r="F20" s="46" t="s">
        <v>34</v>
      </c>
      <c r="G20" s="46" t="s">
        <v>20</v>
      </c>
      <c r="H20" s="46" t="s">
        <v>52</v>
      </c>
      <c r="I20" s="39" t="s">
        <v>1003</v>
      </c>
      <c r="J20" s="26" t="s">
        <v>15</v>
      </c>
      <c r="K20" s="11" t="s">
        <v>14</v>
      </c>
      <c r="L20" s="11" t="s">
        <v>14</v>
      </c>
      <c r="M20" s="62"/>
    </row>
    <row r="21" spans="2:13" s="1" customFormat="1" ht="13.15" customHeight="1">
      <c r="B21" s="24">
        <v>14</v>
      </c>
      <c r="C21" s="32" t="s">
        <v>294</v>
      </c>
      <c r="D21" s="7" t="str">
        <f>IFERROR(VLOOKUP(C21,'Lista desplegable'!B$1:C$436,2,FALSE),"")</f>
        <v>EDUARDO ANTONIO CASTILLO VALENZUELA</v>
      </c>
      <c r="E21" s="7" t="str">
        <f>IFERROR(VLOOKUP(D21,'Lista desplegable'!C$1:D$436,2,FALSE),"")</f>
        <v>PERFORISTA</v>
      </c>
      <c r="F21" s="46" t="s">
        <v>34</v>
      </c>
      <c r="G21" s="46" t="s">
        <v>20</v>
      </c>
      <c r="H21" s="46" t="s">
        <v>52</v>
      </c>
      <c r="I21" s="39" t="s">
        <v>1003</v>
      </c>
      <c r="J21" s="26" t="s">
        <v>15</v>
      </c>
      <c r="K21" s="11" t="s">
        <v>14</v>
      </c>
      <c r="L21" s="11" t="s">
        <v>14</v>
      </c>
      <c r="M21" s="43"/>
    </row>
    <row r="22" spans="2:13" s="1" customFormat="1" ht="13.15" customHeight="1">
      <c r="B22" s="24">
        <v>15</v>
      </c>
      <c r="C22" s="33" t="s">
        <v>451</v>
      </c>
      <c r="D22" s="7" t="str">
        <f>IFERROR(VLOOKUP(C22,'Lista desplegable'!B$1:C$436,2,FALSE),"")</f>
        <v>JEAN CHARLES CERDA ORREGO</v>
      </c>
      <c r="E22" s="7" t="str">
        <f>IFERROR(VLOOKUP(D22,'Lista desplegable'!C$1:D$436,2,FALSE),"")</f>
        <v>AYUDANTE DE PERFORISTA</v>
      </c>
      <c r="F22" s="43" t="s">
        <v>34</v>
      </c>
      <c r="G22" s="46" t="s">
        <v>20</v>
      </c>
      <c r="H22" s="46" t="s">
        <v>52</v>
      </c>
      <c r="I22" s="39" t="s">
        <v>1003</v>
      </c>
      <c r="J22" s="26" t="s">
        <v>15</v>
      </c>
      <c r="K22" s="11" t="s">
        <v>14</v>
      </c>
      <c r="L22" s="11" t="s">
        <v>14</v>
      </c>
      <c r="M22" s="43"/>
    </row>
    <row r="23" spans="2:13" s="1" customFormat="1" ht="13.15" customHeight="1">
      <c r="B23" s="24">
        <v>16</v>
      </c>
      <c r="C23" s="34" t="s">
        <v>730</v>
      </c>
      <c r="D23" s="7" t="str">
        <f>IFERROR(VLOOKUP(C23,'Lista desplegable'!B$1:C$436,2,FALSE),"")</f>
        <v>OMAR ANDRES ARAYA ZUÑIGA</v>
      </c>
      <c r="E23" s="7" t="str">
        <f>IFERROR(VLOOKUP(D23,'Lista desplegable'!C$1:D$436,2,FALSE),"")</f>
        <v>AYUDANTE DE PERFORISTA</v>
      </c>
      <c r="F23" s="57" t="s">
        <v>34</v>
      </c>
      <c r="G23" s="48" t="s">
        <v>20</v>
      </c>
      <c r="H23" s="48" t="s">
        <v>52</v>
      </c>
      <c r="I23" s="39" t="s">
        <v>1003</v>
      </c>
      <c r="J23" s="26" t="s">
        <v>15</v>
      </c>
      <c r="K23" s="11" t="s">
        <v>14</v>
      </c>
      <c r="L23" s="11" t="s">
        <v>14</v>
      </c>
      <c r="M23" s="43"/>
    </row>
    <row r="24" spans="2:13" s="1" customFormat="1" ht="13.15" customHeight="1">
      <c r="B24" s="24">
        <v>17</v>
      </c>
      <c r="C24" s="31" t="s">
        <v>871</v>
      </c>
      <c r="D24" s="7" t="str">
        <f>IFERROR(VLOOKUP(C24,'Lista desplegable'!B$1:C$436,2,FALSE),"")</f>
        <v>RUBEN IGNACIO CORTES BORBON</v>
      </c>
      <c r="E24" s="7" t="str">
        <f>IFERROR(VLOOKUP(D24,'Lista desplegable'!C$1:D$436,2,FALSE),"")</f>
        <v>AYUDANTE DE PERFORISTA</v>
      </c>
      <c r="F24" s="43" t="s">
        <v>34</v>
      </c>
      <c r="G24" s="46" t="s">
        <v>20</v>
      </c>
      <c r="H24" s="46" t="s">
        <v>52</v>
      </c>
      <c r="I24" s="39" t="s">
        <v>1003</v>
      </c>
      <c r="J24" s="11" t="s">
        <v>15</v>
      </c>
      <c r="K24" s="11" t="s">
        <v>14</v>
      </c>
      <c r="L24" s="11" t="s">
        <v>14</v>
      </c>
      <c r="M24" s="43"/>
    </row>
    <row r="25" spans="2:13" s="1" customFormat="1" ht="13.15" customHeight="1">
      <c r="B25" s="24">
        <v>18</v>
      </c>
      <c r="C25" s="34" t="s">
        <v>560</v>
      </c>
      <c r="D25" s="7" t="str">
        <f>IFERROR(VLOOKUP(C25,'Lista desplegable'!B$1:C$436,2,FALSE),"")</f>
        <v>KEVIN ALEXIS NEYRA CORTES</v>
      </c>
      <c r="E25" s="7" t="str">
        <f>IFERROR(VLOOKUP(D25,'Lista desplegable'!C$1:D$436,2,FALSE),"")</f>
        <v>PERFORISTA</v>
      </c>
      <c r="F25" s="58" t="s">
        <v>41</v>
      </c>
      <c r="G25" s="49" t="s">
        <v>20</v>
      </c>
      <c r="H25" s="49" t="s">
        <v>52</v>
      </c>
      <c r="I25" s="37">
        <v>0</v>
      </c>
      <c r="J25" s="11" t="s">
        <v>15</v>
      </c>
      <c r="K25" s="11" t="s">
        <v>14</v>
      </c>
      <c r="L25" s="11" t="s">
        <v>14</v>
      </c>
      <c r="M25" s="57"/>
    </row>
    <row r="26" spans="2:13" s="1" customFormat="1" ht="13.15" customHeight="1">
      <c r="B26" s="24">
        <v>19</v>
      </c>
      <c r="C26" s="35" t="s">
        <v>764</v>
      </c>
      <c r="D26" s="7" t="str">
        <f>IFERROR(VLOOKUP(C26,'Lista desplegable'!B$1:C$436,2,FALSE),"")</f>
        <v>PATRICIO RENAN GONZALEZ CABELLO</v>
      </c>
      <c r="E26" s="7" t="str">
        <f>IFERROR(VLOOKUP(D26,'Lista desplegable'!C$1:D$436,2,FALSE),"")</f>
        <v>AYUDANTE DE PERFORISTA</v>
      </c>
      <c r="F26" s="43" t="s">
        <v>41</v>
      </c>
      <c r="G26" s="43" t="s">
        <v>20</v>
      </c>
      <c r="H26" s="43" t="s">
        <v>52</v>
      </c>
      <c r="I26" s="37">
        <v>0</v>
      </c>
      <c r="J26" s="11" t="s">
        <v>15</v>
      </c>
      <c r="K26" s="11" t="s">
        <v>14</v>
      </c>
      <c r="L26" s="11" t="s">
        <v>14</v>
      </c>
      <c r="M26" s="43"/>
    </row>
    <row r="27" spans="2:13" s="1" customFormat="1" ht="13.15" customHeight="1">
      <c r="B27" s="24">
        <v>20</v>
      </c>
      <c r="C27" s="31" t="s">
        <v>279</v>
      </c>
      <c r="D27" s="7" t="str">
        <f>IFERROR(VLOOKUP(C27,'Lista desplegable'!B$1:C$436,2,FALSE),"")</f>
        <v>DIEGO BRANCO BARRAZA CHAVEZ</v>
      </c>
      <c r="E27" s="7" t="str">
        <f>IFERROR(VLOOKUP(D27,'Lista desplegable'!C$1:D$436,2,FALSE),"")</f>
        <v>AYUDANTE DE PERFORISTA</v>
      </c>
      <c r="F27" s="43" t="s">
        <v>41</v>
      </c>
      <c r="G27" s="43" t="s">
        <v>20</v>
      </c>
      <c r="H27" s="43" t="s">
        <v>52</v>
      </c>
      <c r="I27" s="37">
        <v>0</v>
      </c>
      <c r="J27" s="11" t="s">
        <v>15</v>
      </c>
      <c r="K27" s="11" t="s">
        <v>14</v>
      </c>
      <c r="L27" s="11" t="s">
        <v>14</v>
      </c>
      <c r="M27" s="43"/>
    </row>
    <row r="28" spans="2:13" s="1" customFormat="1" ht="13.15" customHeight="1">
      <c r="B28" s="24">
        <v>21</v>
      </c>
      <c r="C28" s="36" t="s">
        <v>740</v>
      </c>
      <c r="D28" s="7" t="str">
        <f>IFERROR(VLOOKUP(C28,'Lista desplegable'!B$1:C$436,2,FALSE),"")</f>
        <v>OSCAR RODRIGO ARIAS LEIVA</v>
      </c>
      <c r="E28" s="7" t="str">
        <f>IFERROR(VLOOKUP(D28,'Lista desplegable'!C$1:D$436,2,FALSE),"")</f>
        <v>AYUDANTE DE PERFORISTA</v>
      </c>
      <c r="F28" s="43" t="s">
        <v>41</v>
      </c>
      <c r="G28" s="43" t="s">
        <v>20</v>
      </c>
      <c r="H28" s="44" t="s">
        <v>52</v>
      </c>
      <c r="I28" s="38">
        <v>0</v>
      </c>
      <c r="J28" s="11" t="s">
        <v>15</v>
      </c>
      <c r="K28" s="11" t="s">
        <v>14</v>
      </c>
      <c r="L28" s="11" t="s">
        <v>14</v>
      </c>
      <c r="M28" s="43"/>
    </row>
    <row r="29" spans="2:13" s="1" customFormat="1" ht="13.15" customHeight="1">
      <c r="B29" s="24">
        <v>22</v>
      </c>
      <c r="C29" s="31" t="s">
        <v>269</v>
      </c>
      <c r="D29" s="7" t="str">
        <f>IFERROR(VLOOKUP(C29,'Lista desplegable'!B$1:C$436,2,FALSE),"")</f>
        <v>DENYS SAUL VERGARA TOCAS</v>
      </c>
      <c r="E29" s="7" t="str">
        <f>IFERROR(VLOOKUP(D29,'Lista desplegable'!C$1:D$436,2,FALSE),"")</f>
        <v>PERFORISTA</v>
      </c>
      <c r="F29" s="43" t="s">
        <v>34</v>
      </c>
      <c r="G29" s="46" t="s">
        <v>20</v>
      </c>
      <c r="H29" s="46" t="s">
        <v>52</v>
      </c>
      <c r="I29" s="39" t="s">
        <v>1003</v>
      </c>
      <c r="J29" s="11" t="s">
        <v>15</v>
      </c>
      <c r="K29" s="11" t="s">
        <v>14</v>
      </c>
      <c r="L29" s="11" t="s">
        <v>14</v>
      </c>
      <c r="M29" s="59" t="s">
        <v>1004</v>
      </c>
    </row>
    <row r="30" spans="2:13" s="1" customFormat="1" ht="13.15" customHeight="1">
      <c r="B30" s="24">
        <v>23</v>
      </c>
      <c r="C30" s="56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43" t="s">
        <v>34</v>
      </c>
      <c r="G30" s="46" t="s">
        <v>20</v>
      </c>
      <c r="H30" s="46" t="s">
        <v>52</v>
      </c>
      <c r="I30" s="39" t="s">
        <v>1003</v>
      </c>
      <c r="J30" s="11" t="s">
        <v>37</v>
      </c>
      <c r="K30" s="11"/>
      <c r="L30" s="11"/>
      <c r="M30" s="64"/>
    </row>
    <row r="31" spans="2:13" s="1" customFormat="1" ht="13.15" customHeight="1">
      <c r="B31" s="24">
        <v>24</v>
      </c>
      <c r="C31" s="33" t="s">
        <v>98</v>
      </c>
      <c r="D31" s="7" t="str">
        <f>IFERROR(VLOOKUP(C31,'Lista desplegable'!B$1:C$436,2,FALSE),"")</f>
        <v>ANGELO GIOVANNI BIZAMA ORELLANA</v>
      </c>
      <c r="E31" s="7" t="str">
        <f>IFERROR(VLOOKUP(D31,'Lista desplegable'!C$1:D$436,2,FALSE),"")</f>
        <v>AYUDANTE DE PERFORISTA</v>
      </c>
      <c r="F31" s="19"/>
      <c r="G31" s="11"/>
      <c r="H31" s="11"/>
      <c r="I31" s="11"/>
      <c r="J31" s="11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 t="s">
        <v>958</v>
      </c>
      <c r="D32" s="7" t="str">
        <f>IFERROR(VLOOKUP(C32,'Lista desplegable'!B$1:C$436,2,FALSE),"")</f>
        <v>WALTER LISANDRO SALAS MESA</v>
      </c>
      <c r="E32" s="7" t="str">
        <f>IFERROR(VLOOKUP(D32,'Lista desplegable'!C$1:D$436,2,FALSE),"")</f>
        <v>PERFORISTA</v>
      </c>
      <c r="F32" s="19"/>
      <c r="G32" s="11"/>
      <c r="H32" s="11"/>
      <c r="I32" s="11"/>
      <c r="J32" s="11"/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15" customHeight="1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1006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2" t="s">
        <v>34</v>
      </c>
      <c r="G42" s="45" t="s">
        <v>20</v>
      </c>
      <c r="H42" s="46" t="s">
        <v>52</v>
      </c>
      <c r="I42" s="47" t="s">
        <v>1007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27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42" t="s">
        <v>34</v>
      </c>
      <c r="G43" s="45" t="s">
        <v>20</v>
      </c>
      <c r="H43" s="46" t="s">
        <v>52</v>
      </c>
      <c r="I43" s="47" t="s">
        <v>1007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42" t="s">
        <v>34</v>
      </c>
      <c r="G44" s="45" t="s">
        <v>20</v>
      </c>
      <c r="H44" s="46" t="s">
        <v>52</v>
      </c>
      <c r="I44" s="47" t="s">
        <v>1007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42" t="s">
        <v>34</v>
      </c>
      <c r="G45" s="45" t="s">
        <v>20</v>
      </c>
      <c r="H45" s="46" t="s">
        <v>52</v>
      </c>
      <c r="I45" s="47" t="s">
        <v>1007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5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42" t="s">
        <v>34</v>
      </c>
      <c r="G46" s="45" t="s">
        <v>20</v>
      </c>
      <c r="H46" s="46" t="s">
        <v>52</v>
      </c>
      <c r="I46" s="47" t="s">
        <v>1007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46" t="s">
        <v>52</v>
      </c>
      <c r="I47" s="47" t="s">
        <v>1007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47" t="s">
        <v>1007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47" t="s">
        <v>1007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>
        <v>0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5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53" t="s">
        <v>41</v>
      </c>
      <c r="G51" s="45" t="s">
        <v>20</v>
      </c>
      <c r="H51" s="43" t="s">
        <v>52</v>
      </c>
      <c r="I51" s="39">
        <v>0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35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67" t="s">
        <v>41</v>
      </c>
      <c r="G52" s="45" t="s">
        <v>20</v>
      </c>
      <c r="H52" s="45" t="s">
        <v>52</v>
      </c>
      <c r="I52" s="68">
        <v>0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3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69" t="s">
        <v>41</v>
      </c>
      <c r="G53" s="43" t="s">
        <v>20</v>
      </c>
      <c r="H53" s="43" t="s">
        <v>52</v>
      </c>
      <c r="I53" s="50">
        <v>0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3F00301-F03E-4496-A825-BC4C76BD787A}">
          <x14:formula1>
            <xm:f>'Lista desplegable'!$N$2:$N$5</xm:f>
          </x14:formula1>
          <xm:sqref>J8:J37 J42:J61</xm:sqref>
        </x14:dataValidation>
        <x14:dataValidation type="list" allowBlank="1" showInputMessage="1" showErrorMessage="1" xr:uid="{D9444EA2-758D-4F89-99F7-CA585A15779D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99D37DAB-E367-4D94-9971-E81EC88E400D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5B064282-F7D5-455E-9FB4-0A9BE4A4C5DC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BE5E3837-78F7-493B-8811-E1A1FD8C7589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07AF6877-5325-4F27-97B8-ACD4D03597F9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CB06-6549-496B-BEF3-D68B9B310051}">
  <dimension ref="B1:M82"/>
  <sheetViews>
    <sheetView topLeftCell="C33" zoomScaleNormal="100" workbookViewId="0">
      <selection activeCell="L34" sqref="L34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46151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46" t="s">
        <v>34</v>
      </c>
      <c r="G8" s="46" t="s">
        <v>20</v>
      </c>
      <c r="H8" s="46" t="s">
        <v>52</v>
      </c>
      <c r="I8" s="39">
        <v>34.5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46" t="s">
        <v>34</v>
      </c>
      <c r="G9" s="46" t="s">
        <v>20</v>
      </c>
      <c r="H9" s="46" t="s">
        <v>52</v>
      </c>
      <c r="I9" s="39">
        <v>34.5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426</v>
      </c>
      <c r="D10" s="7" t="str">
        <f>IFERROR(VLOOKUP(C10,'Lista desplegable'!B$1:C$436,2,FALSE),"")</f>
        <v>ISRAEL AARÓN VERGARA ELGUETA</v>
      </c>
      <c r="E10" s="7" t="str">
        <f>IFERROR(VLOOKUP(D10,'Lista desplegable'!C$1:D$436,2,FALSE),"")</f>
        <v>ADMINISTRADOR DE CONTRATO</v>
      </c>
      <c r="F10" s="46" t="s">
        <v>34</v>
      </c>
      <c r="G10" s="46" t="s">
        <v>20</v>
      </c>
      <c r="H10" s="46" t="s">
        <v>52</v>
      </c>
      <c r="I10" s="39">
        <v>34.5</v>
      </c>
      <c r="J10" s="11" t="s">
        <v>15</v>
      </c>
      <c r="K10" s="11" t="s">
        <v>14</v>
      </c>
      <c r="L10" s="11" t="s">
        <v>14</v>
      </c>
      <c r="M10" s="65"/>
    </row>
    <row r="11" spans="2:13" s="1" customFormat="1" ht="13.15" customHeight="1">
      <c r="B11" s="24">
        <v>4</v>
      </c>
      <c r="C11" s="28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46"/>
      <c r="G11" s="46"/>
      <c r="H11" s="46"/>
      <c r="I11" s="39"/>
      <c r="J11" s="11" t="s">
        <v>23</v>
      </c>
      <c r="K11" s="11"/>
      <c r="L11" s="11"/>
      <c r="M11" s="66"/>
    </row>
    <row r="12" spans="2:13" s="1" customFormat="1" ht="13.15" customHeight="1">
      <c r="B12" s="24">
        <v>5</v>
      </c>
      <c r="C12" s="27" t="s">
        <v>609</v>
      </c>
      <c r="D12" s="7" t="str">
        <f>IFERROR(VLOOKUP(C12,'Lista desplegable'!B$1:C$436,2,FALSE),"")</f>
        <v>MANUEL ALEJANDRO LISAMBARTH CARABANTES</v>
      </c>
      <c r="E12" s="7" t="str">
        <f>IFERROR(VLOOKUP(D12,'Lista desplegable'!C$1:D$436,2,FALSE),"")</f>
        <v>ADMINISTRATIVO DE FAENA</v>
      </c>
      <c r="F12" s="46" t="s">
        <v>34</v>
      </c>
      <c r="G12" s="46" t="s">
        <v>20</v>
      </c>
      <c r="H12" s="46" t="s">
        <v>52</v>
      </c>
      <c r="I12" s="39">
        <v>34.5</v>
      </c>
      <c r="J12" s="11" t="s">
        <v>15</v>
      </c>
      <c r="K12" s="11" t="s">
        <v>14</v>
      </c>
      <c r="L12" s="11" t="s">
        <v>14</v>
      </c>
      <c r="M12" s="65"/>
    </row>
    <row r="13" spans="2:13" s="1" customFormat="1" ht="13.15" customHeight="1">
      <c r="B13" s="24">
        <v>6</v>
      </c>
      <c r="C13" s="27" t="s">
        <v>851</v>
      </c>
      <c r="D13" s="7" t="str">
        <f>IFERROR(VLOOKUP(C13,'Lista desplegable'!B$1:C$436,2,FALSE),"")</f>
        <v>RODRIGO ANDRES DIAZ INOSTROZA</v>
      </c>
      <c r="E13" s="7" t="str">
        <f>IFERROR(VLOOKUP(D13,'Lista desplegable'!C$1:D$436,2,FALSE),"")</f>
        <v>BODEGUERO</v>
      </c>
      <c r="F13" s="46" t="s">
        <v>34</v>
      </c>
      <c r="G13" s="46" t="s">
        <v>20</v>
      </c>
      <c r="H13" s="46" t="s">
        <v>52</v>
      </c>
      <c r="I13" s="39">
        <v>34.5</v>
      </c>
      <c r="J13" s="11" t="s">
        <v>15</v>
      </c>
      <c r="K13" s="11" t="s">
        <v>14</v>
      </c>
      <c r="L13" s="11" t="s">
        <v>14</v>
      </c>
      <c r="M13" s="65"/>
    </row>
    <row r="14" spans="2:13" s="1" customFormat="1" ht="13.15" customHeight="1">
      <c r="B14" s="24">
        <v>7</v>
      </c>
      <c r="C14" s="27" t="s">
        <v>183</v>
      </c>
      <c r="D14" s="7" t="str">
        <f>IFERROR(VLOOKUP(C14,'Lista desplegable'!B$1:C$436,2,FALSE),"")</f>
        <v>CHRISTIAN DARIEM PIZARRO MUÑOZ</v>
      </c>
      <c r="E14" s="7" t="str">
        <f>IFERROR(VLOOKUP(D14,'Lista desplegable'!C$1:D$436,2,FALSE),"")</f>
        <v>SOLDADOR</v>
      </c>
      <c r="F14" s="46" t="s">
        <v>34</v>
      </c>
      <c r="G14" s="46" t="s">
        <v>20</v>
      </c>
      <c r="H14" s="46" t="s">
        <v>52</v>
      </c>
      <c r="I14" s="39">
        <v>34.5</v>
      </c>
      <c r="J14" s="11" t="s">
        <v>15</v>
      </c>
      <c r="K14" s="11" t="s">
        <v>14</v>
      </c>
      <c r="L14" s="11" t="s">
        <v>14</v>
      </c>
      <c r="M14" s="65"/>
    </row>
    <row r="15" spans="2:13" s="1" customFormat="1" ht="13.15" customHeight="1">
      <c r="B15" s="24">
        <v>8</v>
      </c>
      <c r="C15" s="70" t="s">
        <v>241</v>
      </c>
      <c r="D15" s="7" t="str">
        <f>IFERROR(VLOOKUP(C15,'Lista desplegable'!B$1:C$436,2,FALSE),"")</f>
        <v>DANIEL ANDRES ANDRADE AGUILAR</v>
      </c>
      <c r="E15" s="7" t="str">
        <f>IFERROR(VLOOKUP(D15,'Lista desplegable'!C$1:D$436,2,FALSE),"")</f>
        <v>MECANICO</v>
      </c>
      <c r="F15" s="46" t="s">
        <v>34</v>
      </c>
      <c r="G15" s="46" t="s">
        <v>20</v>
      </c>
      <c r="H15" s="46" t="s">
        <v>52</v>
      </c>
      <c r="I15" s="39">
        <v>34.5</v>
      </c>
      <c r="J15" s="26" t="s">
        <v>15</v>
      </c>
      <c r="K15" s="11" t="s">
        <v>14</v>
      </c>
      <c r="L15" s="11" t="s">
        <v>14</v>
      </c>
      <c r="M15" s="65"/>
    </row>
    <row r="16" spans="2:13" s="1" customFormat="1" ht="13.15" customHeight="1">
      <c r="B16" s="24">
        <v>9</v>
      </c>
      <c r="C16" s="30" t="s">
        <v>283</v>
      </c>
      <c r="D16" s="7" t="str">
        <f>IFERROR(VLOOKUP(C16,'Lista desplegable'!B$1:C$436,2,FALSE),"")</f>
        <v>DIEGO NICOLAS GONZALEZ OLIVARES</v>
      </c>
      <c r="E16" s="7" t="str">
        <f>IFERROR(VLOOKUP(D16,'Lista desplegable'!C$1:D$436,2,FALSE),"")</f>
        <v>MECANICO</v>
      </c>
      <c r="F16" s="46" t="s">
        <v>34</v>
      </c>
      <c r="G16" s="46" t="s">
        <v>20</v>
      </c>
      <c r="H16" s="46" t="s">
        <v>52</v>
      </c>
      <c r="I16" s="39">
        <v>34.5</v>
      </c>
      <c r="J16" s="26" t="s">
        <v>15</v>
      </c>
      <c r="K16" s="11" t="s">
        <v>14</v>
      </c>
      <c r="L16" s="11" t="s">
        <v>14</v>
      </c>
      <c r="M16" s="43"/>
    </row>
    <row r="17" spans="2:13" s="1" customFormat="1" ht="13.15" customHeight="1">
      <c r="B17" s="24">
        <v>10</v>
      </c>
      <c r="C17" s="30" t="s">
        <v>490</v>
      </c>
      <c r="D17" s="7" t="str">
        <f>IFERROR(VLOOKUP(C17,'Lista desplegable'!B$1:C$436,2,FALSE),"")</f>
        <v>JORGE ANDRES LICANQUEO PEREZ</v>
      </c>
      <c r="E17" s="7" t="str">
        <f>IFERROR(VLOOKUP(D17,'Lista desplegable'!C$1:D$436,2,FALSE),"")</f>
        <v>MECANICO</v>
      </c>
      <c r="F17" s="46" t="s">
        <v>34</v>
      </c>
      <c r="G17" s="46" t="s">
        <v>20</v>
      </c>
      <c r="H17" s="46" t="s">
        <v>52</v>
      </c>
      <c r="I17" s="39">
        <v>34.5</v>
      </c>
      <c r="J17" s="26" t="s">
        <v>15</v>
      </c>
      <c r="K17" s="11" t="s">
        <v>14</v>
      </c>
      <c r="L17" s="11" t="s">
        <v>14</v>
      </c>
      <c r="M17" s="43"/>
    </row>
    <row r="18" spans="2:13" s="1" customFormat="1" ht="13.15" customHeight="1">
      <c r="B18" s="24">
        <v>11</v>
      </c>
      <c r="C18" s="28" t="s">
        <v>636</v>
      </c>
      <c r="D18" s="7" t="str">
        <f>IFERROR(VLOOKUP(C18,'Lista desplegable'!B$1:C$436,2,FALSE),"")</f>
        <v>MARCOS ANTONIO ALDEA BEROIZA</v>
      </c>
      <c r="E18" s="7" t="str">
        <f>IFERROR(VLOOKUP(D18,'Lista desplegable'!C$1:D$436,2,FALSE),"")</f>
        <v>CHOFER</v>
      </c>
      <c r="F18" s="46" t="s">
        <v>34</v>
      </c>
      <c r="G18" s="46" t="s">
        <v>20</v>
      </c>
      <c r="H18" s="46" t="s">
        <v>52</v>
      </c>
      <c r="I18" s="39">
        <v>34.5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31" t="s">
        <v>156</v>
      </c>
      <c r="D19" s="7" t="str">
        <f>IFERROR(VLOOKUP(C19,'Lista desplegable'!B$1:C$436,2,FALSE),"")</f>
        <v>CARLOS ALBERTO RAMOS VELASQUEZ</v>
      </c>
      <c r="E19" s="7" t="str">
        <f>IFERROR(VLOOKUP(D19,'Lista desplegable'!C$1:D$436,2,FALSE),"")</f>
        <v>SUPERVISOR DE OPERACIONES</v>
      </c>
      <c r="F19" s="46" t="s">
        <v>34</v>
      </c>
      <c r="G19" s="46" t="s">
        <v>20</v>
      </c>
      <c r="H19" s="46" t="s">
        <v>52</v>
      </c>
      <c r="I19" s="39">
        <v>34.5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31" t="s">
        <v>702</v>
      </c>
      <c r="D20" s="7" t="str">
        <f>IFERROR(VLOOKUP(C20,'Lista desplegable'!B$1:C$436,2,FALSE),"")</f>
        <v>NELSON PATRICIO FLORES SANHUEZA</v>
      </c>
      <c r="E20" s="7" t="str">
        <f>IFERROR(VLOOKUP(D20,'Lista desplegable'!C$1:D$436,2,FALSE),"")</f>
        <v>PREVENCIONISTA DE RIESGOS</v>
      </c>
      <c r="F20" s="46" t="s">
        <v>34</v>
      </c>
      <c r="G20" s="46" t="s">
        <v>20</v>
      </c>
      <c r="H20" s="46" t="s">
        <v>52</v>
      </c>
      <c r="I20" s="39">
        <v>34.5</v>
      </c>
      <c r="J20" s="26" t="s">
        <v>15</v>
      </c>
      <c r="K20" s="11" t="s">
        <v>14</v>
      </c>
      <c r="L20" s="11" t="s">
        <v>14</v>
      </c>
      <c r="M20" s="62"/>
    </row>
    <row r="21" spans="2:13" s="1" customFormat="1" ht="13.15" customHeight="1">
      <c r="B21" s="24">
        <v>14</v>
      </c>
      <c r="C21" s="32" t="s">
        <v>294</v>
      </c>
      <c r="D21" s="7" t="str">
        <f>IFERROR(VLOOKUP(C21,'Lista desplegable'!B$1:C$436,2,FALSE),"")</f>
        <v>EDUARDO ANTONIO CASTILLO VALENZUELA</v>
      </c>
      <c r="E21" s="7" t="str">
        <f>IFERROR(VLOOKUP(D21,'Lista desplegable'!C$1:D$436,2,FALSE),"")</f>
        <v>PERFORISTA</v>
      </c>
      <c r="F21" s="46" t="s">
        <v>34</v>
      </c>
      <c r="G21" s="46" t="s">
        <v>20</v>
      </c>
      <c r="H21" s="46" t="s">
        <v>52</v>
      </c>
      <c r="I21" s="39">
        <v>34.5</v>
      </c>
      <c r="J21" s="26" t="s">
        <v>15</v>
      </c>
      <c r="K21" s="11" t="s">
        <v>14</v>
      </c>
      <c r="L21" s="11" t="s">
        <v>14</v>
      </c>
      <c r="M21" s="43"/>
    </row>
    <row r="22" spans="2:13" s="1" customFormat="1" ht="13.15" customHeight="1">
      <c r="B22" s="24">
        <v>15</v>
      </c>
      <c r="C22" s="33" t="s">
        <v>451</v>
      </c>
      <c r="D22" s="7" t="str">
        <f>IFERROR(VLOOKUP(C22,'Lista desplegable'!B$1:C$436,2,FALSE),"")</f>
        <v>JEAN CHARLES CERDA ORREGO</v>
      </c>
      <c r="E22" s="7" t="str">
        <f>IFERROR(VLOOKUP(D22,'Lista desplegable'!C$1:D$436,2,FALSE),"")</f>
        <v>AYUDANTE DE PERFORISTA</v>
      </c>
      <c r="F22" s="43" t="s">
        <v>34</v>
      </c>
      <c r="G22" s="46" t="s">
        <v>20</v>
      </c>
      <c r="H22" s="46" t="s">
        <v>52</v>
      </c>
      <c r="I22" s="39">
        <v>34.5</v>
      </c>
      <c r="J22" s="26" t="s">
        <v>15</v>
      </c>
      <c r="K22" s="11" t="s">
        <v>14</v>
      </c>
      <c r="L22" s="11" t="s">
        <v>14</v>
      </c>
      <c r="M22" s="43"/>
    </row>
    <row r="23" spans="2:13" s="1" customFormat="1" ht="13.15" customHeight="1">
      <c r="B23" s="24">
        <v>16</v>
      </c>
      <c r="C23" s="34" t="s">
        <v>730</v>
      </c>
      <c r="D23" s="7" t="str">
        <f>IFERROR(VLOOKUP(C23,'Lista desplegable'!B$1:C$436,2,FALSE),"")</f>
        <v>OMAR ANDRES ARAYA ZUÑIGA</v>
      </c>
      <c r="E23" s="7" t="str">
        <f>IFERROR(VLOOKUP(D23,'Lista desplegable'!C$1:D$436,2,FALSE),"")</f>
        <v>AYUDANTE DE PERFORISTA</v>
      </c>
      <c r="F23" s="57" t="s">
        <v>34</v>
      </c>
      <c r="G23" s="48" t="s">
        <v>20</v>
      </c>
      <c r="H23" s="48" t="s">
        <v>52</v>
      </c>
      <c r="I23" s="39">
        <v>34.5</v>
      </c>
      <c r="J23" s="26" t="s">
        <v>15</v>
      </c>
      <c r="K23" s="11" t="s">
        <v>14</v>
      </c>
      <c r="L23" s="11" t="s">
        <v>14</v>
      </c>
      <c r="M23" s="43"/>
    </row>
    <row r="24" spans="2:13" s="1" customFormat="1" ht="13.15" customHeight="1">
      <c r="B24" s="24">
        <v>17</v>
      </c>
      <c r="C24" s="31" t="s">
        <v>871</v>
      </c>
      <c r="D24" s="7" t="str">
        <f>IFERROR(VLOOKUP(C24,'Lista desplegable'!B$1:C$436,2,FALSE),"")</f>
        <v>RUBEN IGNACIO CORTES BORBON</v>
      </c>
      <c r="E24" s="7" t="str">
        <f>IFERROR(VLOOKUP(D24,'Lista desplegable'!C$1:D$436,2,FALSE),"")</f>
        <v>AYUDANTE DE PERFORISTA</v>
      </c>
      <c r="F24" s="43" t="s">
        <v>34</v>
      </c>
      <c r="G24" s="46" t="s">
        <v>20</v>
      </c>
      <c r="H24" s="46" t="s">
        <v>52</v>
      </c>
      <c r="I24" s="39">
        <v>34.5</v>
      </c>
      <c r="J24" s="11" t="s">
        <v>15</v>
      </c>
      <c r="K24" s="11" t="s">
        <v>14</v>
      </c>
      <c r="L24" s="11" t="s">
        <v>14</v>
      </c>
      <c r="M24" s="43"/>
    </row>
    <row r="25" spans="2:13" s="1" customFormat="1" ht="13.15" customHeight="1">
      <c r="B25" s="24">
        <v>18</v>
      </c>
      <c r="C25" s="33" t="s">
        <v>269</v>
      </c>
      <c r="D25" s="7" t="str">
        <f>IFERROR(VLOOKUP(C25,'Lista desplegable'!B$1:C$436,2,FALSE),"")</f>
        <v>DENYS SAUL VERGARA TOCAS</v>
      </c>
      <c r="E25" s="7" t="str">
        <f>IFERROR(VLOOKUP(D25,'Lista desplegable'!C$1:D$436,2,FALSE),"")</f>
        <v>PERFORISTA</v>
      </c>
      <c r="F25" s="43" t="s">
        <v>34</v>
      </c>
      <c r="G25" s="46" t="s">
        <v>20</v>
      </c>
      <c r="H25" s="46" t="s">
        <v>52</v>
      </c>
      <c r="I25" s="39">
        <v>34.5</v>
      </c>
      <c r="J25" s="11" t="s">
        <v>15</v>
      </c>
      <c r="K25" s="11" t="s">
        <v>14</v>
      </c>
      <c r="L25" s="11" t="s">
        <v>14</v>
      </c>
      <c r="M25" s="57"/>
    </row>
    <row r="26" spans="2:13" s="1" customFormat="1" ht="13.15" customHeight="1">
      <c r="B26" s="24">
        <v>19</v>
      </c>
      <c r="C26" s="33" t="s">
        <v>560</v>
      </c>
      <c r="D26" s="7" t="str">
        <f>IFERROR(VLOOKUP(C26,'Lista desplegable'!B$1:C$436,2,FALSE),"")</f>
        <v>KEVIN ALEXIS NEYRA CORTES</v>
      </c>
      <c r="E26" s="7" t="str">
        <f>IFERROR(VLOOKUP(D26,'Lista desplegable'!C$1:D$436,2,FALSE),"")</f>
        <v>PERFORISTA</v>
      </c>
      <c r="F26" s="58" t="s">
        <v>41</v>
      </c>
      <c r="G26" s="49" t="s">
        <v>20</v>
      </c>
      <c r="H26" s="49" t="s">
        <v>52</v>
      </c>
      <c r="I26" s="37">
        <v>0</v>
      </c>
      <c r="J26" s="11" t="s">
        <v>15</v>
      </c>
      <c r="K26" s="11" t="s">
        <v>14</v>
      </c>
      <c r="L26" s="11" t="s">
        <v>14</v>
      </c>
      <c r="M26" s="43" t="s">
        <v>1008</v>
      </c>
    </row>
    <row r="27" spans="2:13" s="1" customFormat="1" ht="13.15" customHeight="1">
      <c r="B27" s="24">
        <v>20</v>
      </c>
      <c r="C27" s="35" t="s">
        <v>764</v>
      </c>
      <c r="D27" s="7" t="str">
        <f>IFERROR(VLOOKUP(C27,'Lista desplegable'!B$1:C$436,2,FALSE),"")</f>
        <v>PATRICIO RENAN GONZALEZ CABELLO</v>
      </c>
      <c r="E27" s="7" t="str">
        <f>IFERROR(VLOOKUP(D27,'Lista desplegable'!C$1:D$436,2,FALSE),"")</f>
        <v>AYUDANTE DE PERFORISTA</v>
      </c>
      <c r="F27" s="43" t="s">
        <v>41</v>
      </c>
      <c r="G27" s="43" t="s">
        <v>20</v>
      </c>
      <c r="H27" s="43" t="s">
        <v>52</v>
      </c>
      <c r="I27" s="37">
        <v>0</v>
      </c>
      <c r="J27" s="11" t="s">
        <v>15</v>
      </c>
      <c r="K27" s="11" t="s">
        <v>14</v>
      </c>
      <c r="L27" s="11" t="s">
        <v>14</v>
      </c>
      <c r="M27" s="43" t="s">
        <v>1008</v>
      </c>
    </row>
    <row r="28" spans="2:13" s="1" customFormat="1" ht="13.15" customHeight="1">
      <c r="B28" s="24">
        <v>21</v>
      </c>
      <c r="C28" s="31" t="s">
        <v>279</v>
      </c>
      <c r="D28" s="7" t="str">
        <f>IFERROR(VLOOKUP(C28,'Lista desplegable'!B$1:C$436,2,FALSE),"")</f>
        <v>DIEGO BRANCO BARRAZA CHAVEZ</v>
      </c>
      <c r="E28" s="7" t="str">
        <f>IFERROR(VLOOKUP(D28,'Lista desplegable'!C$1:D$436,2,FALSE),"")</f>
        <v>AYUDANTE DE PERFORISTA</v>
      </c>
      <c r="F28" s="43" t="s">
        <v>41</v>
      </c>
      <c r="G28" s="43" t="s">
        <v>20</v>
      </c>
      <c r="H28" s="43" t="s">
        <v>52</v>
      </c>
      <c r="I28" s="37">
        <v>0</v>
      </c>
      <c r="J28" s="11" t="s">
        <v>15</v>
      </c>
      <c r="K28" s="11" t="s">
        <v>14</v>
      </c>
      <c r="L28" s="11" t="s">
        <v>14</v>
      </c>
      <c r="M28" s="43" t="s">
        <v>1008</v>
      </c>
    </row>
    <row r="29" spans="2:13" s="1" customFormat="1" ht="13.15" customHeight="1">
      <c r="B29" s="24">
        <v>22</v>
      </c>
      <c r="C29" s="33" t="s">
        <v>740</v>
      </c>
      <c r="D29" s="7" t="str">
        <f>IFERROR(VLOOKUP(C29,'Lista desplegable'!B$1:C$436,2,FALSE),"")</f>
        <v>OSCAR RODRIGO ARIAS LEIVA</v>
      </c>
      <c r="E29" s="7" t="str">
        <f>IFERROR(VLOOKUP(D29,'Lista desplegable'!C$1:D$436,2,FALSE),"")</f>
        <v>AYUDANTE DE PERFORISTA</v>
      </c>
      <c r="F29" s="43" t="s">
        <v>41</v>
      </c>
      <c r="G29" s="43" t="s">
        <v>20</v>
      </c>
      <c r="H29" s="44" t="s">
        <v>52</v>
      </c>
      <c r="I29" s="38">
        <v>0</v>
      </c>
      <c r="J29" s="11" t="s">
        <v>15</v>
      </c>
      <c r="K29" s="11" t="s">
        <v>14</v>
      </c>
      <c r="L29" s="11" t="s">
        <v>14</v>
      </c>
      <c r="M29" s="43" t="s">
        <v>1008</v>
      </c>
    </row>
    <row r="30" spans="2:13" s="1" customFormat="1" ht="13.15" customHeight="1">
      <c r="B30" s="24">
        <v>23</v>
      </c>
      <c r="C30" s="33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46" t="s">
        <v>34</v>
      </c>
      <c r="G30" s="46" t="s">
        <v>20</v>
      </c>
      <c r="H30" s="46" t="s">
        <v>52</v>
      </c>
      <c r="I30" s="39">
        <v>34.5</v>
      </c>
      <c r="J30" s="11" t="s">
        <v>15</v>
      </c>
      <c r="K30" s="11" t="s">
        <v>14</v>
      </c>
      <c r="L30" s="11" t="s">
        <v>14</v>
      </c>
      <c r="M30" s="64"/>
    </row>
    <row r="31" spans="2:13" s="1" customFormat="1" ht="13.15" customHeight="1">
      <c r="B31" s="24">
        <v>24</v>
      </c>
      <c r="C31" s="33" t="s">
        <v>98</v>
      </c>
      <c r="D31" s="7" t="str">
        <f>IFERROR(VLOOKUP(C31,'Lista desplegable'!B$1:C$436,2,FALSE),"")</f>
        <v>ANGELO GIOVANNI BIZAMA ORELLANA</v>
      </c>
      <c r="E31" s="7" t="str">
        <f>IFERROR(VLOOKUP(D31,'Lista desplegable'!C$1:D$436,2,FALSE),"")</f>
        <v>AYUDANTE DE PERFORISTA</v>
      </c>
      <c r="F31" s="19"/>
      <c r="G31" s="11"/>
      <c r="H31" s="11"/>
      <c r="I31" s="11"/>
      <c r="J31" s="11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 t="s">
        <v>958</v>
      </c>
      <c r="D32" s="7" t="str">
        <f>IFERROR(VLOOKUP(C32,'Lista desplegable'!B$1:C$436,2,FALSE),"")</f>
        <v>WALTER LISANDRO SALAS MESA</v>
      </c>
      <c r="E32" s="7" t="str">
        <f>IFERROR(VLOOKUP(D32,'Lista desplegable'!C$1:D$436,2,FALSE),"")</f>
        <v>PERFORISTA</v>
      </c>
      <c r="F32" s="19"/>
      <c r="G32" s="11"/>
      <c r="H32" s="11"/>
      <c r="I32" s="11"/>
      <c r="J32" s="11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15" customHeight="1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1006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2" t="s">
        <v>34</v>
      </c>
      <c r="G42" s="45" t="s">
        <v>20</v>
      </c>
      <c r="H42" s="46" t="s">
        <v>52</v>
      </c>
      <c r="I42" s="47" t="s">
        <v>1009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33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42" t="s">
        <v>34</v>
      </c>
      <c r="G43" s="45" t="s">
        <v>20</v>
      </c>
      <c r="H43" s="46" t="s">
        <v>52</v>
      </c>
      <c r="I43" s="47" t="s">
        <v>1009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42" t="s">
        <v>34</v>
      </c>
      <c r="G44" s="45" t="s">
        <v>20</v>
      </c>
      <c r="H44" s="46" t="s">
        <v>52</v>
      </c>
      <c r="I44" s="47" t="s">
        <v>1009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42" t="s">
        <v>34</v>
      </c>
      <c r="G45" s="45" t="s">
        <v>20</v>
      </c>
      <c r="H45" s="46" t="s">
        <v>52</v>
      </c>
      <c r="I45" s="47" t="s">
        <v>1009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5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42" t="s">
        <v>34</v>
      </c>
      <c r="G46" s="45" t="s">
        <v>20</v>
      </c>
      <c r="H46" s="46" t="s">
        <v>52</v>
      </c>
      <c r="I46" s="47" t="s">
        <v>1009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46" t="s">
        <v>52</v>
      </c>
      <c r="I47" s="47" t="s">
        <v>1009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47" t="s">
        <v>1009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47" t="s">
        <v>1009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>
        <v>11.4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5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53" t="s">
        <v>41</v>
      </c>
      <c r="G51" s="45" t="s">
        <v>20</v>
      </c>
      <c r="H51" s="43" t="s">
        <v>52</v>
      </c>
      <c r="I51" s="39">
        <v>11.4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35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67" t="s">
        <v>41</v>
      </c>
      <c r="G52" s="45" t="s">
        <v>20</v>
      </c>
      <c r="H52" s="45" t="s">
        <v>52</v>
      </c>
      <c r="I52" s="39">
        <v>11.4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3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69" t="s">
        <v>41</v>
      </c>
      <c r="G53" s="43" t="s">
        <v>20</v>
      </c>
      <c r="H53" s="43" t="s">
        <v>52</v>
      </c>
      <c r="I53" s="39">
        <v>11.4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BA359E2-FB5C-49E5-846D-C3380F22324F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7FD112D6-1CCC-495D-A07E-D6F61B8FC28B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44E16A8F-A671-4747-ADC5-B27941CEF951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7C13EB6D-DE00-487C-9928-BBF4B7E7A9E5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0C9D257D-41F4-438B-8956-EEEAB7ACA860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E3CEA9AC-6887-4F6A-8921-61B6779BFACE}">
          <x14:formula1>
            <xm:f>'Lista desplegable'!$N$2:$N$5</xm:f>
          </x14:formula1>
          <xm:sqref>J8:J37 J42:J61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F6B4-CF31-4AF9-AC84-C57E1F166069}">
  <dimension ref="B1:M95"/>
  <sheetViews>
    <sheetView zoomScaleNormal="100" workbookViewId="0">
      <selection activeCell="G35" sqref="G35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46182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46" t="s">
        <v>34</v>
      </c>
      <c r="G8" s="46" t="s">
        <v>20</v>
      </c>
      <c r="H8" s="46" t="s">
        <v>52</v>
      </c>
      <c r="I8" s="39" t="s">
        <v>1010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/>
      <c r="C9" s="15" t="s">
        <v>96</v>
      </c>
      <c r="D9" s="7" t="str">
        <f>IFERROR(VLOOKUP(C9,'Lista desplegable'!B$1:C$436,2,FALSE),"")</f>
        <v>ANDREW JAMES WILSON .</v>
      </c>
      <c r="E9" s="7" t="str">
        <f>IFERROR(VLOOKUP(D9,'Lista desplegable'!C$1:D$436,2,FALSE),"")</f>
        <v>PERFORISTA</v>
      </c>
      <c r="F9" s="46" t="s">
        <v>34</v>
      </c>
      <c r="G9" s="46" t="s">
        <v>20</v>
      </c>
      <c r="H9" s="46" t="s">
        <v>57</v>
      </c>
      <c r="I9" s="39" t="s">
        <v>1011</v>
      </c>
      <c r="J9" s="11"/>
      <c r="K9" s="11"/>
      <c r="L9" s="11"/>
      <c r="M9" s="11"/>
    </row>
    <row r="10" spans="2:13" s="1" customFormat="1" ht="13.15" customHeight="1">
      <c r="B10" s="24">
        <v>2</v>
      </c>
      <c r="C10" s="15" t="s">
        <v>906</v>
      </c>
      <c r="D10" s="7" t="str">
        <f>IFERROR(VLOOKUP(C10,'Lista desplegable'!B$1:C$436,2,FALSE),"")</f>
        <v>STEWART PHILLIP WHITEHURST MEJIA</v>
      </c>
      <c r="E10" s="7" t="str">
        <f>IFERROR(VLOOKUP(D10,'Lista desplegable'!C$1:D$436,2,FALSE),"")</f>
        <v>PERFORISTA</v>
      </c>
      <c r="F10" s="46" t="s">
        <v>34</v>
      </c>
      <c r="G10" s="46" t="s">
        <v>20</v>
      </c>
      <c r="H10" s="46" t="s">
        <v>52</v>
      </c>
      <c r="I10" s="39" t="s">
        <v>1010</v>
      </c>
      <c r="J10" s="11" t="s">
        <v>15</v>
      </c>
      <c r="K10" s="11"/>
      <c r="L10" s="11"/>
      <c r="M10" s="11" t="s">
        <v>990</v>
      </c>
    </row>
    <row r="11" spans="2:13" s="1" customFormat="1" ht="13.15" customHeight="1">
      <c r="B11" s="24"/>
      <c r="C11" s="15" t="s">
        <v>906</v>
      </c>
      <c r="D11" s="7" t="str">
        <f>IFERROR(VLOOKUP(C11,'Lista desplegable'!B$1:C$436,2,FALSE),"")</f>
        <v>STEWART PHILLIP WHITEHURST MEJIA</v>
      </c>
      <c r="E11" s="7" t="str">
        <f>IFERROR(VLOOKUP(D11,'Lista desplegable'!C$1:D$436,2,FALSE),"")</f>
        <v>PERFORISTA</v>
      </c>
      <c r="F11" s="46" t="s">
        <v>34</v>
      </c>
      <c r="G11" s="46" t="s">
        <v>20</v>
      </c>
      <c r="H11" s="46" t="s">
        <v>57</v>
      </c>
      <c r="I11" s="39" t="s">
        <v>1011</v>
      </c>
      <c r="J11" s="11"/>
      <c r="K11" s="11"/>
      <c r="L11" s="11"/>
      <c r="M11" s="11"/>
    </row>
    <row r="12" spans="2:13" s="1" customFormat="1" ht="13.15" customHeight="1">
      <c r="B12" s="24">
        <v>3</v>
      </c>
      <c r="C12" s="27" t="s">
        <v>426</v>
      </c>
      <c r="D12" s="7" t="str">
        <f>IFERROR(VLOOKUP(C12,'Lista desplegable'!B$1:C$436,2,FALSE),"")</f>
        <v>ISRAEL AARÓN VERGARA ELGUETA</v>
      </c>
      <c r="E12" s="7" t="str">
        <f>IFERROR(VLOOKUP(D12,'Lista desplegable'!C$1:D$436,2,FALSE),"")</f>
        <v>ADMINISTRADOR DE CONTRATO</v>
      </c>
      <c r="F12" s="46" t="s">
        <v>34</v>
      </c>
      <c r="G12" s="46" t="s">
        <v>20</v>
      </c>
      <c r="H12" s="46" t="s">
        <v>52</v>
      </c>
      <c r="I12" s="39" t="s">
        <v>1010</v>
      </c>
      <c r="J12" s="11" t="s">
        <v>15</v>
      </c>
      <c r="K12" s="11" t="s">
        <v>14</v>
      </c>
      <c r="L12" s="11" t="s">
        <v>14</v>
      </c>
      <c r="M12" s="65"/>
    </row>
    <row r="13" spans="2:13" s="1" customFormat="1" ht="13.15" customHeight="1">
      <c r="B13" s="24"/>
      <c r="C13" s="124" t="s">
        <v>426</v>
      </c>
      <c r="D13" s="7" t="str">
        <f>IFERROR(VLOOKUP(C13,'Lista desplegable'!B$1:C$436,2,FALSE),"")</f>
        <v>ISRAEL AARÓN VERGARA ELGUETA</v>
      </c>
      <c r="E13" s="7" t="str">
        <f>IFERROR(VLOOKUP(D13,'Lista desplegable'!C$1:D$436,2,FALSE),"")</f>
        <v>ADMINISTRADOR DE CONTRATO</v>
      </c>
      <c r="F13" s="46" t="s">
        <v>34</v>
      </c>
      <c r="G13" s="46" t="s">
        <v>20</v>
      </c>
      <c r="H13" s="46" t="s">
        <v>57</v>
      </c>
      <c r="I13" s="39" t="s">
        <v>1011</v>
      </c>
      <c r="J13" s="11"/>
      <c r="K13" s="11"/>
      <c r="L13" s="11"/>
      <c r="M13" s="125"/>
    </row>
    <row r="14" spans="2:13" s="1" customFormat="1" ht="13.15" customHeight="1">
      <c r="B14" s="24">
        <v>4</v>
      </c>
      <c r="C14" s="28" t="s">
        <v>904</v>
      </c>
      <c r="D14" s="7" t="str">
        <f>IFERROR(VLOOKUP(C14,'Lista desplegable'!B$1:C$436,2,FALSE),"")</f>
        <v>SIMONNE DE LA PAZ REYES BATLLE</v>
      </c>
      <c r="E14" s="7" t="str">
        <f>IFERROR(VLOOKUP(D14,'Lista desplegable'!C$1:D$436,2,FALSE),"")</f>
        <v>ADMINISTRATIVO DE FAENA</v>
      </c>
      <c r="F14" s="46" t="s">
        <v>34</v>
      </c>
      <c r="G14" s="46" t="s">
        <v>20</v>
      </c>
      <c r="H14" s="46" t="s">
        <v>52</v>
      </c>
      <c r="I14" s="39" t="s">
        <v>1010</v>
      </c>
      <c r="J14" s="11" t="s">
        <v>23</v>
      </c>
      <c r="K14" s="11"/>
      <c r="L14" s="11"/>
      <c r="M14" s="66"/>
    </row>
    <row r="15" spans="2:13" s="1" customFormat="1" ht="13.15" customHeight="1">
      <c r="B15" s="24"/>
      <c r="C15" s="126" t="s">
        <v>904</v>
      </c>
      <c r="D15" s="7" t="str">
        <f>IFERROR(VLOOKUP(C15,'Lista desplegable'!B$1:C$436,2,FALSE),"")</f>
        <v>SIMONNE DE LA PAZ REYES BATLLE</v>
      </c>
      <c r="E15" s="7" t="str">
        <f>IFERROR(VLOOKUP(D15,'Lista desplegable'!C$1:D$436,2,FALSE),"")</f>
        <v>ADMINISTRATIVO DE FAENA</v>
      </c>
      <c r="F15" s="46" t="s">
        <v>34</v>
      </c>
      <c r="G15" s="46" t="s">
        <v>20</v>
      </c>
      <c r="H15" s="46" t="s">
        <v>57</v>
      </c>
      <c r="I15" s="39" t="s">
        <v>1011</v>
      </c>
      <c r="J15" s="11"/>
      <c r="K15" s="11"/>
      <c r="L15" s="11"/>
      <c r="M15" s="4"/>
    </row>
    <row r="16" spans="2:13" s="1" customFormat="1" ht="13.15" customHeight="1">
      <c r="B16" s="24">
        <v>5</v>
      </c>
      <c r="C16" s="27" t="s">
        <v>609</v>
      </c>
      <c r="D16" s="7" t="str">
        <f>IFERROR(VLOOKUP(C16,'Lista desplegable'!B$1:C$436,2,FALSE),"")</f>
        <v>MANUEL ALEJANDRO LISAMBARTH CARABANTES</v>
      </c>
      <c r="E16" s="7" t="str">
        <f>IFERROR(VLOOKUP(D16,'Lista desplegable'!C$1:D$436,2,FALSE),"")</f>
        <v>ADMINISTRATIVO DE FAENA</v>
      </c>
      <c r="F16" s="46" t="s">
        <v>34</v>
      </c>
      <c r="G16" s="46" t="s">
        <v>20</v>
      </c>
      <c r="H16" s="46" t="s">
        <v>52</v>
      </c>
      <c r="I16" s="39" t="s">
        <v>1010</v>
      </c>
      <c r="J16" s="11" t="s">
        <v>15</v>
      </c>
      <c r="K16" s="11" t="s">
        <v>14</v>
      </c>
      <c r="L16" s="11" t="s">
        <v>14</v>
      </c>
      <c r="M16" s="65"/>
    </row>
    <row r="17" spans="2:13" s="1" customFormat="1" ht="13.15" customHeight="1">
      <c r="B17" s="24"/>
      <c r="C17" s="27" t="s">
        <v>609</v>
      </c>
      <c r="D17" s="7" t="str">
        <f>IFERROR(VLOOKUP(C17,'Lista desplegable'!B$1:C$436,2,FALSE),"")</f>
        <v>MANUEL ALEJANDRO LISAMBARTH CARABANTES</v>
      </c>
      <c r="E17" s="7" t="str">
        <f>IFERROR(VLOOKUP(D17,'Lista desplegable'!C$1:D$436,2,FALSE),"")</f>
        <v>ADMINISTRATIVO DE FAENA</v>
      </c>
      <c r="F17" s="46" t="s">
        <v>34</v>
      </c>
      <c r="G17" s="46" t="s">
        <v>20</v>
      </c>
      <c r="H17" s="46" t="s">
        <v>57</v>
      </c>
      <c r="I17" s="39" t="s">
        <v>1011</v>
      </c>
      <c r="J17" s="11"/>
      <c r="K17" s="11"/>
      <c r="L17" s="11"/>
      <c r="M17" s="65"/>
    </row>
    <row r="18" spans="2:13" s="1" customFormat="1" ht="13.15" customHeight="1">
      <c r="B18" s="24">
        <v>6</v>
      </c>
      <c r="C18" s="27" t="s">
        <v>851</v>
      </c>
      <c r="D18" s="7" t="str">
        <f>IFERROR(VLOOKUP(C18,'Lista desplegable'!B$1:C$436,2,FALSE),"")</f>
        <v>RODRIGO ANDRES DIAZ INOSTROZA</v>
      </c>
      <c r="E18" s="7" t="str">
        <f>IFERROR(VLOOKUP(D18,'Lista desplegable'!C$1:D$436,2,FALSE),"")</f>
        <v>BODEGUERO</v>
      </c>
      <c r="F18" s="46" t="s">
        <v>34</v>
      </c>
      <c r="G18" s="46" t="s">
        <v>20</v>
      </c>
      <c r="H18" s="46" t="s">
        <v>52</v>
      </c>
      <c r="I18" s="39" t="s">
        <v>1010</v>
      </c>
      <c r="J18" s="11" t="s">
        <v>15</v>
      </c>
      <c r="K18" s="11" t="s">
        <v>14</v>
      </c>
      <c r="L18" s="11" t="s">
        <v>14</v>
      </c>
      <c r="M18" s="65"/>
    </row>
    <row r="19" spans="2:13" s="1" customFormat="1" ht="13.15" customHeight="1">
      <c r="B19" s="24"/>
      <c r="C19" s="27" t="s">
        <v>851</v>
      </c>
      <c r="D19" s="7" t="str">
        <f>IFERROR(VLOOKUP(C19,'Lista desplegable'!B$1:C$436,2,FALSE),"")</f>
        <v>RODRIGO ANDRES DIAZ INOSTROZA</v>
      </c>
      <c r="E19" s="7" t="str">
        <f>IFERROR(VLOOKUP(D19,'Lista desplegable'!C$1:D$436,2,FALSE),"")</f>
        <v>BODEGUERO</v>
      </c>
      <c r="F19" s="46" t="s">
        <v>34</v>
      </c>
      <c r="G19" s="46" t="s">
        <v>20</v>
      </c>
      <c r="H19" s="46" t="s">
        <v>57</v>
      </c>
      <c r="I19" s="39" t="s">
        <v>1011</v>
      </c>
      <c r="J19" s="11"/>
      <c r="K19" s="11"/>
      <c r="L19" s="11"/>
      <c r="M19" s="65"/>
    </row>
    <row r="20" spans="2:13" s="1" customFormat="1" ht="13.15" customHeight="1">
      <c r="B20" s="24">
        <v>7</v>
      </c>
      <c r="C20" s="27" t="s">
        <v>183</v>
      </c>
      <c r="D20" s="7" t="str">
        <f>IFERROR(VLOOKUP(C20,'Lista desplegable'!B$1:C$436,2,FALSE),"")</f>
        <v>CHRISTIAN DARIEM PIZARRO MUÑOZ</v>
      </c>
      <c r="E20" s="7" t="str">
        <f>IFERROR(VLOOKUP(D20,'Lista desplegable'!C$1:D$436,2,FALSE),"")</f>
        <v>SOLDADOR</v>
      </c>
      <c r="F20" s="46" t="s">
        <v>34</v>
      </c>
      <c r="G20" s="46" t="s">
        <v>20</v>
      </c>
      <c r="H20" s="46" t="s">
        <v>52</v>
      </c>
      <c r="I20" s="39" t="s">
        <v>1010</v>
      </c>
      <c r="J20" s="11" t="s">
        <v>15</v>
      </c>
      <c r="K20" s="11" t="s">
        <v>14</v>
      </c>
      <c r="L20" s="11" t="s">
        <v>14</v>
      </c>
      <c r="M20" s="65"/>
    </row>
    <row r="21" spans="2:13" s="1" customFormat="1" ht="13.15" customHeight="1">
      <c r="B21" s="24"/>
      <c r="C21" s="127" t="s">
        <v>183</v>
      </c>
      <c r="D21" s="7" t="str">
        <f>IFERROR(VLOOKUP(C21,'Lista desplegable'!B$1:C$436,2,FALSE),"")</f>
        <v>CHRISTIAN DARIEM PIZARRO MUÑOZ</v>
      </c>
      <c r="E21" s="7" t="str">
        <f>IFERROR(VLOOKUP(D21,'Lista desplegable'!C$1:D$436,2,FALSE),"")</f>
        <v>SOLDADOR</v>
      </c>
      <c r="F21" s="46" t="s">
        <v>34</v>
      </c>
      <c r="G21" s="46" t="s">
        <v>20</v>
      </c>
      <c r="H21" s="46" t="s">
        <v>57</v>
      </c>
      <c r="I21" s="39" t="s">
        <v>1011</v>
      </c>
      <c r="J21" s="26"/>
      <c r="K21" s="11"/>
      <c r="L21" s="11"/>
      <c r="M21" s="65"/>
    </row>
    <row r="22" spans="2:13" s="1" customFormat="1" ht="13.15" customHeight="1">
      <c r="B22" s="24">
        <v>8</v>
      </c>
      <c r="C22" s="130" t="s">
        <v>241</v>
      </c>
      <c r="D22" s="7" t="str">
        <f>IFERROR(VLOOKUP(C22,'Lista desplegable'!B$1:C$436,2,FALSE),"")</f>
        <v>DANIEL ANDRES ANDRADE AGUILAR</v>
      </c>
      <c r="E22" s="7" t="str">
        <f>IFERROR(VLOOKUP(D22,'Lista desplegable'!C$1:D$436,2,FALSE),"")</f>
        <v>MECANICO</v>
      </c>
      <c r="F22" s="46" t="s">
        <v>34</v>
      </c>
      <c r="G22" s="46" t="s">
        <v>20</v>
      </c>
      <c r="H22" s="46" t="s">
        <v>52</v>
      </c>
      <c r="I22" s="39" t="s">
        <v>1010</v>
      </c>
      <c r="J22" s="26" t="s">
        <v>15</v>
      </c>
      <c r="K22" s="11" t="s">
        <v>14</v>
      </c>
      <c r="L22" s="11" t="s">
        <v>14</v>
      </c>
      <c r="M22" s="65"/>
    </row>
    <row r="23" spans="2:13" s="1" customFormat="1" ht="13.15" customHeight="1">
      <c r="B23" s="24"/>
      <c r="C23" s="70" t="s">
        <v>241</v>
      </c>
      <c r="D23" s="7" t="str">
        <f>IFERROR(VLOOKUP(C23,'Lista desplegable'!B$1:C$436,2,FALSE),"")</f>
        <v>DANIEL ANDRES ANDRADE AGUILAR</v>
      </c>
      <c r="E23" s="7" t="str">
        <f>IFERROR(VLOOKUP(D23,'Lista desplegable'!C$1:D$436,2,FALSE),"")</f>
        <v>MECANICO</v>
      </c>
      <c r="F23" s="46" t="s">
        <v>34</v>
      </c>
      <c r="G23" s="46" t="s">
        <v>20</v>
      </c>
      <c r="H23" s="46" t="s">
        <v>57</v>
      </c>
      <c r="I23" s="39" t="s">
        <v>1011</v>
      </c>
      <c r="J23" s="26"/>
      <c r="K23" s="11"/>
      <c r="L23" s="11"/>
      <c r="M23" s="125"/>
    </row>
    <row r="24" spans="2:13" s="1" customFormat="1" ht="13.15" customHeight="1">
      <c r="B24" s="24">
        <v>9</v>
      </c>
      <c r="C24" s="30" t="s">
        <v>283</v>
      </c>
      <c r="D24" s="7" t="str">
        <f>IFERROR(VLOOKUP(C24,'Lista desplegable'!B$1:C$436,2,FALSE),"")</f>
        <v>DIEGO NICOLAS GONZALEZ OLIVARES</v>
      </c>
      <c r="E24" s="7" t="str">
        <f>IFERROR(VLOOKUP(D24,'Lista desplegable'!C$1:D$436,2,FALSE),"")</f>
        <v>MECANICO</v>
      </c>
      <c r="F24" s="46" t="s">
        <v>34</v>
      </c>
      <c r="G24" s="46" t="s">
        <v>20</v>
      </c>
      <c r="H24" s="46" t="s">
        <v>52</v>
      </c>
      <c r="I24" s="39" t="s">
        <v>1010</v>
      </c>
      <c r="J24" s="26" t="s">
        <v>15</v>
      </c>
      <c r="K24" s="11" t="s">
        <v>14</v>
      </c>
      <c r="L24" s="11" t="s">
        <v>14</v>
      </c>
      <c r="M24" s="43"/>
    </row>
    <row r="25" spans="2:13" s="1" customFormat="1" ht="13.15" customHeight="1">
      <c r="B25" s="24"/>
      <c r="C25" s="30" t="s">
        <v>283</v>
      </c>
      <c r="D25" s="7" t="str">
        <f>IFERROR(VLOOKUP(C25,'Lista desplegable'!B$1:C$436,2,FALSE),"")</f>
        <v>DIEGO NICOLAS GONZALEZ OLIVARES</v>
      </c>
      <c r="E25" s="7" t="str">
        <f>IFERROR(VLOOKUP(D25,'Lista desplegable'!C$1:D$436,2,FALSE),"")</f>
        <v>MECANICO</v>
      </c>
      <c r="F25" s="46" t="s">
        <v>34</v>
      </c>
      <c r="G25" s="46" t="s">
        <v>20</v>
      </c>
      <c r="H25" s="46" t="s">
        <v>57</v>
      </c>
      <c r="I25" s="39" t="s">
        <v>1011</v>
      </c>
      <c r="J25" s="26"/>
      <c r="K25" s="11"/>
      <c r="L25" s="11"/>
      <c r="M25" s="43"/>
    </row>
    <row r="26" spans="2:13" s="1" customFormat="1" ht="13.15" customHeight="1">
      <c r="B26" s="24">
        <v>10</v>
      </c>
      <c r="C26" s="30" t="s">
        <v>490</v>
      </c>
      <c r="D26" s="7" t="str">
        <f>IFERROR(VLOOKUP(C26,'Lista desplegable'!B$1:C$436,2,FALSE),"")</f>
        <v>JORGE ANDRES LICANQUEO PEREZ</v>
      </c>
      <c r="E26" s="7" t="str">
        <f>IFERROR(VLOOKUP(D26,'Lista desplegable'!C$1:D$436,2,FALSE),"")</f>
        <v>MECANICO</v>
      </c>
      <c r="F26" s="46" t="s">
        <v>34</v>
      </c>
      <c r="G26" s="46" t="s">
        <v>20</v>
      </c>
      <c r="H26" s="46" t="s">
        <v>52</v>
      </c>
      <c r="I26" s="39" t="s">
        <v>1010</v>
      </c>
      <c r="J26" s="26" t="s">
        <v>15</v>
      </c>
      <c r="K26" s="11" t="s">
        <v>14</v>
      </c>
      <c r="L26" s="11" t="s">
        <v>14</v>
      </c>
      <c r="M26" s="43"/>
    </row>
    <row r="27" spans="2:13" s="1" customFormat="1" ht="13.15" customHeight="1">
      <c r="B27" s="24"/>
      <c r="C27" s="30" t="s">
        <v>490</v>
      </c>
      <c r="D27" s="7" t="str">
        <f>IFERROR(VLOOKUP(C27,'Lista desplegable'!B$1:C$436,2,FALSE),"")</f>
        <v>JORGE ANDRES LICANQUEO PEREZ</v>
      </c>
      <c r="E27" s="7" t="str">
        <f>IFERROR(VLOOKUP(D27,'Lista desplegable'!C$1:D$436,2,FALSE),"")</f>
        <v>MECANICO</v>
      </c>
      <c r="F27" s="46" t="s">
        <v>34</v>
      </c>
      <c r="G27" s="46" t="s">
        <v>20</v>
      </c>
      <c r="H27" s="46" t="s">
        <v>57</v>
      </c>
      <c r="I27" s="39" t="s">
        <v>1011</v>
      </c>
      <c r="J27" s="26"/>
      <c r="K27" s="11"/>
      <c r="L27" s="11"/>
      <c r="M27" s="43"/>
    </row>
    <row r="28" spans="2:13" s="1" customFormat="1" ht="13.15" customHeight="1">
      <c r="B28" s="24">
        <v>11</v>
      </c>
      <c r="C28" s="28" t="s">
        <v>636</v>
      </c>
      <c r="D28" s="7" t="str">
        <f>IFERROR(VLOOKUP(C28,'Lista desplegable'!B$1:C$436,2,FALSE),"")</f>
        <v>MARCOS ANTONIO ALDEA BEROIZA</v>
      </c>
      <c r="E28" s="7" t="str">
        <f>IFERROR(VLOOKUP(D28,'Lista desplegable'!C$1:D$436,2,FALSE),"")</f>
        <v>CHOFER</v>
      </c>
      <c r="F28" s="46" t="s">
        <v>34</v>
      </c>
      <c r="G28" s="46" t="s">
        <v>20</v>
      </c>
      <c r="H28" s="46" t="s">
        <v>52</v>
      </c>
      <c r="I28" s="39" t="s">
        <v>1010</v>
      </c>
      <c r="J28" s="26" t="s">
        <v>15</v>
      </c>
      <c r="K28" s="11" t="s">
        <v>14</v>
      </c>
      <c r="L28" s="11" t="s">
        <v>14</v>
      </c>
      <c r="M28" s="64"/>
    </row>
    <row r="29" spans="2:13" s="1" customFormat="1" ht="13.15" customHeight="1">
      <c r="B29" s="24"/>
      <c r="C29" s="28" t="s">
        <v>636</v>
      </c>
      <c r="D29" s="7" t="str">
        <f>IFERROR(VLOOKUP(C29,'Lista desplegable'!B$1:C$436,2,FALSE),"")</f>
        <v>MARCOS ANTONIO ALDEA BEROIZA</v>
      </c>
      <c r="E29" s="7" t="str">
        <f>IFERROR(VLOOKUP(D29,'Lista desplegable'!C$1:D$436,2,FALSE),"")</f>
        <v>CHOFER</v>
      </c>
      <c r="F29" s="46" t="s">
        <v>34</v>
      </c>
      <c r="G29" s="46" t="s">
        <v>20</v>
      </c>
      <c r="H29" s="46" t="s">
        <v>57</v>
      </c>
      <c r="I29" s="39" t="s">
        <v>1011</v>
      </c>
      <c r="J29" s="26"/>
      <c r="K29" s="11"/>
      <c r="L29" s="11"/>
      <c r="M29" s="64"/>
    </row>
    <row r="30" spans="2:13" s="1" customFormat="1" ht="13.15" customHeight="1">
      <c r="B30" s="24">
        <v>12</v>
      </c>
      <c r="C30" s="31" t="s">
        <v>156</v>
      </c>
      <c r="D30" s="7" t="str">
        <f>IFERROR(VLOOKUP(C30,'Lista desplegable'!B$1:C$436,2,FALSE),"")</f>
        <v>CARLOS ALBERTO RAMOS VELASQUEZ</v>
      </c>
      <c r="E30" s="7" t="str">
        <f>IFERROR(VLOOKUP(D30,'Lista desplegable'!C$1:D$436,2,FALSE),"")</f>
        <v>SUPERVISOR DE OPERACIONES</v>
      </c>
      <c r="F30" s="46" t="s">
        <v>34</v>
      </c>
      <c r="G30" s="46" t="s">
        <v>20</v>
      </c>
      <c r="H30" s="46" t="s">
        <v>52</v>
      </c>
      <c r="I30" s="39" t="s">
        <v>1010</v>
      </c>
      <c r="J30" s="26" t="s">
        <v>15</v>
      </c>
      <c r="K30" s="11" t="s">
        <v>14</v>
      </c>
      <c r="L30" s="11" t="s">
        <v>14</v>
      </c>
      <c r="M30" s="64"/>
    </row>
    <row r="31" spans="2:13" s="1" customFormat="1" ht="13.15" customHeight="1">
      <c r="B31" s="24"/>
      <c r="C31" s="128" t="s">
        <v>156</v>
      </c>
      <c r="D31" s="7" t="str">
        <f>IFERROR(VLOOKUP(C31,'Lista desplegable'!B$1:C$436,2,FALSE),"")</f>
        <v>CARLOS ALBERTO RAMOS VELASQUEZ</v>
      </c>
      <c r="E31" s="7" t="str">
        <f>IFERROR(VLOOKUP(D31,'Lista desplegable'!C$1:D$436,2,FALSE),"")</f>
        <v>SUPERVISOR DE OPERACIONES</v>
      </c>
      <c r="F31" s="46" t="s">
        <v>34</v>
      </c>
      <c r="G31" s="46" t="s">
        <v>20</v>
      </c>
      <c r="H31" s="46" t="s">
        <v>57</v>
      </c>
      <c r="I31" s="39" t="s">
        <v>1011</v>
      </c>
      <c r="J31" s="26"/>
      <c r="K31" s="11"/>
      <c r="L31" s="11"/>
      <c r="M31" s="129"/>
    </row>
    <row r="32" spans="2:13" s="1" customFormat="1" ht="13.15" customHeight="1">
      <c r="B32" s="24">
        <v>13</v>
      </c>
      <c r="C32" s="27" t="s">
        <v>702</v>
      </c>
      <c r="D32" s="7" t="str">
        <f>IFERROR(VLOOKUP(C32,'Lista desplegable'!B$1:C$436,2,FALSE),"")</f>
        <v>NELSON PATRICIO FLORES SANHUEZA</v>
      </c>
      <c r="E32" s="7" t="str">
        <f>IFERROR(VLOOKUP(D32,'Lista desplegable'!C$1:D$436,2,FALSE),"")</f>
        <v>PREVENCIONISTA DE RIESGOS</v>
      </c>
      <c r="F32" s="46" t="s">
        <v>34</v>
      </c>
      <c r="G32" s="46" t="s">
        <v>20</v>
      </c>
      <c r="H32" s="46" t="s">
        <v>52</v>
      </c>
      <c r="I32" s="39" t="s">
        <v>1010</v>
      </c>
      <c r="J32" s="26" t="s">
        <v>15</v>
      </c>
      <c r="K32" s="11" t="s">
        <v>14</v>
      </c>
      <c r="L32" s="11" t="s">
        <v>14</v>
      </c>
      <c r="M32" s="62"/>
    </row>
    <row r="33" spans="2:13" s="1" customFormat="1" ht="13.15" customHeight="1">
      <c r="B33" s="24"/>
      <c r="C33" s="124" t="s">
        <v>702</v>
      </c>
      <c r="D33" s="7" t="str">
        <f>IFERROR(VLOOKUP(C33,'Lista desplegable'!B$1:C$436,2,FALSE),"")</f>
        <v>NELSON PATRICIO FLORES SANHUEZA</v>
      </c>
      <c r="E33" s="7" t="str">
        <f>IFERROR(VLOOKUP(D33,'Lista desplegable'!C$1:D$436,2,FALSE),"")</f>
        <v>PREVENCIONISTA DE RIESGOS</v>
      </c>
      <c r="F33" s="46" t="s">
        <v>34</v>
      </c>
      <c r="G33" s="46" t="s">
        <v>20</v>
      </c>
      <c r="H33" s="46" t="s">
        <v>57</v>
      </c>
      <c r="I33" s="39" t="s">
        <v>1011</v>
      </c>
      <c r="J33" s="26"/>
      <c r="K33" s="11"/>
      <c r="L33" s="11"/>
      <c r="M33" s="128"/>
    </row>
    <row r="34" spans="2:13" s="1" customFormat="1" ht="13.15" customHeight="1">
      <c r="B34" s="24">
        <v>14</v>
      </c>
      <c r="C34" s="32" t="s">
        <v>294</v>
      </c>
      <c r="D34" s="7" t="str">
        <f>IFERROR(VLOOKUP(C34,'Lista desplegable'!B$1:C$436,2,FALSE),"")</f>
        <v>EDUARDO ANTONIO CASTILLO VALENZUELA</v>
      </c>
      <c r="E34" s="7" t="str">
        <f>IFERROR(VLOOKUP(D34,'Lista desplegable'!C$1:D$436,2,FALSE),"")</f>
        <v>PERFORISTA</v>
      </c>
      <c r="F34" s="46" t="s">
        <v>34</v>
      </c>
      <c r="G34" s="46" t="s">
        <v>20</v>
      </c>
      <c r="H34" s="46" t="s">
        <v>52</v>
      </c>
      <c r="I34" s="39" t="s">
        <v>1010</v>
      </c>
      <c r="J34" s="26" t="s">
        <v>15</v>
      </c>
      <c r="K34" s="11" t="s">
        <v>14</v>
      </c>
      <c r="L34" s="11" t="s">
        <v>14</v>
      </c>
      <c r="M34" s="43"/>
    </row>
    <row r="35" spans="2:13" s="1" customFormat="1" ht="13.15" customHeight="1">
      <c r="B35" s="24"/>
      <c r="C35" s="32" t="s">
        <v>294</v>
      </c>
      <c r="D35" s="7" t="str">
        <f>IFERROR(VLOOKUP(C35,'Lista desplegable'!B$1:C$436,2,FALSE),"")</f>
        <v>EDUARDO ANTONIO CASTILLO VALENZUELA</v>
      </c>
      <c r="E35" s="7" t="str">
        <f>IFERROR(VLOOKUP(D35,'Lista desplegable'!C$1:D$436,2,FALSE),"")</f>
        <v>PERFORISTA</v>
      </c>
      <c r="F35" s="46" t="s">
        <v>34</v>
      </c>
      <c r="G35" s="46" t="s">
        <v>20</v>
      </c>
      <c r="H35" s="46" t="s">
        <v>57</v>
      </c>
      <c r="I35" s="39" t="s">
        <v>1011</v>
      </c>
      <c r="J35" s="26"/>
      <c r="K35" s="11"/>
      <c r="L35" s="11"/>
      <c r="M35" s="43"/>
    </row>
    <row r="36" spans="2:13" s="1" customFormat="1" ht="13.15" customHeight="1">
      <c r="B36" s="24">
        <v>15</v>
      </c>
      <c r="C36" s="33" t="s">
        <v>451</v>
      </c>
      <c r="D36" s="7" t="str">
        <f>IFERROR(VLOOKUP(C36,'Lista desplegable'!B$1:C$436,2,FALSE),"")</f>
        <v>JEAN CHARLES CERDA ORREGO</v>
      </c>
      <c r="E36" s="7" t="str">
        <f>IFERROR(VLOOKUP(D36,'Lista desplegable'!C$1:D$436,2,FALSE),"")</f>
        <v>AYUDANTE DE PERFORISTA</v>
      </c>
      <c r="F36" s="43" t="s">
        <v>34</v>
      </c>
      <c r="G36" s="46" t="s">
        <v>20</v>
      </c>
      <c r="H36" s="46" t="s">
        <v>52</v>
      </c>
      <c r="I36" s="39" t="s">
        <v>1010</v>
      </c>
      <c r="J36" s="26" t="s">
        <v>15</v>
      </c>
      <c r="K36" s="11" t="s">
        <v>14</v>
      </c>
      <c r="L36" s="11" t="s">
        <v>14</v>
      </c>
      <c r="M36" s="43"/>
    </row>
    <row r="37" spans="2:13" s="1" customFormat="1" ht="13.15" customHeight="1">
      <c r="B37" s="24"/>
      <c r="C37" s="33" t="s">
        <v>451</v>
      </c>
      <c r="D37" s="7" t="str">
        <f>IFERROR(VLOOKUP(C37,'Lista desplegable'!B$1:C$436,2,FALSE),"")</f>
        <v>JEAN CHARLES CERDA ORREGO</v>
      </c>
      <c r="E37" s="7" t="str">
        <f>IFERROR(VLOOKUP(D37,'Lista desplegable'!C$1:D$436,2,FALSE),"")</f>
        <v>AYUDANTE DE PERFORISTA</v>
      </c>
      <c r="F37" s="43" t="s">
        <v>34</v>
      </c>
      <c r="G37" s="46" t="s">
        <v>20</v>
      </c>
      <c r="H37" s="46" t="s">
        <v>57</v>
      </c>
      <c r="I37" s="39" t="s">
        <v>1011</v>
      </c>
      <c r="J37" s="11"/>
      <c r="K37" s="11"/>
      <c r="L37" s="11"/>
      <c r="M37" s="43"/>
    </row>
    <row r="38" spans="2:13" s="1" customFormat="1" ht="13.15" customHeight="1">
      <c r="B38" s="24">
        <v>16</v>
      </c>
      <c r="C38" s="34" t="s">
        <v>730</v>
      </c>
      <c r="D38" s="7" t="str">
        <f>IFERROR(VLOOKUP(C38,'Lista desplegable'!B$1:C$436,2,FALSE),"")</f>
        <v>OMAR ANDRES ARAYA ZUÑIGA</v>
      </c>
      <c r="E38" s="7" t="str">
        <f>IFERROR(VLOOKUP(D38,'Lista desplegable'!C$1:D$436,2,FALSE),"")</f>
        <v>AYUDANTE DE PERFORISTA</v>
      </c>
      <c r="F38" s="57" t="s">
        <v>34</v>
      </c>
      <c r="G38" s="46" t="s">
        <v>20</v>
      </c>
      <c r="H38" s="46" t="s">
        <v>52</v>
      </c>
      <c r="I38" s="39" t="s">
        <v>1010</v>
      </c>
      <c r="J38" s="11" t="s">
        <v>15</v>
      </c>
      <c r="K38" s="11" t="s">
        <v>14</v>
      </c>
      <c r="L38" s="11" t="s">
        <v>14</v>
      </c>
      <c r="M38" s="57"/>
    </row>
    <row r="39" spans="2:13" s="1" customFormat="1" ht="13.15" customHeight="1">
      <c r="B39" s="24"/>
      <c r="C39" s="34" t="s">
        <v>730</v>
      </c>
      <c r="D39" s="7" t="str">
        <f>IFERROR(VLOOKUP(C39,'Lista desplegable'!B$1:C$436,2,FALSE),"")</f>
        <v>OMAR ANDRES ARAYA ZUÑIGA</v>
      </c>
      <c r="E39" s="7" t="str">
        <f>IFERROR(VLOOKUP(D39,'Lista desplegable'!C$1:D$436,2,FALSE),"")</f>
        <v>AYUDANTE DE PERFORISTA</v>
      </c>
      <c r="F39" s="57" t="s">
        <v>34</v>
      </c>
      <c r="G39" s="46" t="s">
        <v>20</v>
      </c>
      <c r="H39" s="46" t="s">
        <v>57</v>
      </c>
      <c r="I39" s="39" t="s">
        <v>1011</v>
      </c>
      <c r="J39" s="11"/>
      <c r="K39" s="11"/>
      <c r="L39" s="11"/>
      <c r="M39" s="43"/>
    </row>
    <row r="40" spans="2:13" s="1" customFormat="1" ht="13.15" customHeight="1">
      <c r="B40" s="24">
        <v>17</v>
      </c>
      <c r="C40" s="31" t="s">
        <v>871</v>
      </c>
      <c r="D40" s="7" t="str">
        <f>IFERROR(VLOOKUP(C40,'Lista desplegable'!B$1:C$436,2,FALSE),"")</f>
        <v>RUBEN IGNACIO CORTES BORBON</v>
      </c>
      <c r="E40" s="7" t="str">
        <f>IFERROR(VLOOKUP(D40,'Lista desplegable'!C$1:D$436,2,FALSE),"")</f>
        <v>AYUDANTE DE PERFORISTA</v>
      </c>
      <c r="F40" s="43" t="s">
        <v>34</v>
      </c>
      <c r="G40" s="46" t="s">
        <v>20</v>
      </c>
      <c r="H40" s="46" t="s">
        <v>52</v>
      </c>
      <c r="I40" s="39" t="s">
        <v>1010</v>
      </c>
      <c r="J40" s="11" t="s">
        <v>15</v>
      </c>
      <c r="K40" s="11" t="s">
        <v>14</v>
      </c>
      <c r="L40" s="11" t="s">
        <v>14</v>
      </c>
      <c r="M40" s="43"/>
    </row>
    <row r="41" spans="2:13" s="1" customFormat="1" ht="13.15" customHeight="1">
      <c r="B41" s="24"/>
      <c r="C41" s="31" t="s">
        <v>871</v>
      </c>
      <c r="D41" s="7" t="str">
        <f>IFERROR(VLOOKUP(C41,'Lista desplegable'!B$1:C$436,2,FALSE),"")</f>
        <v>RUBEN IGNACIO CORTES BORBON</v>
      </c>
      <c r="E41" s="7" t="str">
        <f>IFERROR(VLOOKUP(D41,'Lista desplegable'!C$1:D$436,2,FALSE),"")</f>
        <v>AYUDANTE DE PERFORISTA</v>
      </c>
      <c r="F41" s="43" t="s">
        <v>34</v>
      </c>
      <c r="G41" s="46" t="s">
        <v>20</v>
      </c>
      <c r="H41" s="46" t="s">
        <v>57</v>
      </c>
      <c r="I41" s="39" t="s">
        <v>1011</v>
      </c>
      <c r="J41" s="11"/>
      <c r="K41" s="11"/>
      <c r="L41" s="11"/>
      <c r="M41" s="43"/>
    </row>
    <row r="42" spans="2:13" s="1" customFormat="1" ht="13.15" customHeight="1">
      <c r="B42" s="24">
        <v>18</v>
      </c>
      <c r="C42" s="31" t="s">
        <v>269</v>
      </c>
      <c r="D42" s="7" t="str">
        <f>IFERROR(VLOOKUP(C42,'Lista desplegable'!B$1:C$436,2,FALSE),"")</f>
        <v>DENYS SAUL VERGARA TOCAS</v>
      </c>
      <c r="E42" s="7" t="str">
        <f>IFERROR(VLOOKUP(D42,'Lista desplegable'!C$1:D$436,2,FALSE),"")</f>
        <v>PERFORISTA</v>
      </c>
      <c r="F42" s="43" t="s">
        <v>34</v>
      </c>
      <c r="G42" s="46" t="s">
        <v>20</v>
      </c>
      <c r="H42" s="46" t="s">
        <v>52</v>
      </c>
      <c r="I42" s="39" t="s">
        <v>1010</v>
      </c>
      <c r="J42" s="11" t="s">
        <v>15</v>
      </c>
      <c r="K42" s="11" t="s">
        <v>14</v>
      </c>
      <c r="L42" s="11" t="s">
        <v>14</v>
      </c>
      <c r="M42" s="43"/>
    </row>
    <row r="43" spans="2:13" s="1" customFormat="1" ht="13.15" customHeight="1">
      <c r="B43" s="24"/>
      <c r="C43" s="31" t="s">
        <v>269</v>
      </c>
      <c r="D43" s="7" t="str">
        <f>IFERROR(VLOOKUP(C43,'Lista desplegable'!B$1:C$436,2,FALSE),"")</f>
        <v>DENYS SAUL VERGARA TOCAS</v>
      </c>
      <c r="E43" s="7" t="str">
        <f>IFERROR(VLOOKUP(D43,'Lista desplegable'!C$1:D$436,2,FALSE),"")</f>
        <v>PERFORISTA</v>
      </c>
      <c r="F43" s="71" t="s">
        <v>34</v>
      </c>
      <c r="G43" s="46" t="s">
        <v>20</v>
      </c>
      <c r="H43" s="46" t="s">
        <v>57</v>
      </c>
      <c r="I43" s="72" t="s">
        <v>1011</v>
      </c>
      <c r="J43" s="11"/>
      <c r="K43" s="11"/>
      <c r="L43" s="11"/>
      <c r="M43" s="43"/>
    </row>
    <row r="44" spans="2:13" s="1" customFormat="1" ht="13.15" customHeight="1">
      <c r="B44" s="24">
        <v>19</v>
      </c>
      <c r="C44" s="34" t="s">
        <v>560</v>
      </c>
      <c r="D44" s="7" t="str">
        <f>IFERROR(VLOOKUP(C44,'Lista desplegable'!B$1:C$436,2,FALSE),"")</f>
        <v>KEVIN ALEXIS NEYRA CORTES</v>
      </c>
      <c r="E44" s="7" t="str">
        <f>IFERROR(VLOOKUP(D44,'Lista desplegable'!C$1:D$436,2,FALSE),"")</f>
        <v>PERFORISTA</v>
      </c>
      <c r="F44" s="58" t="s">
        <v>41</v>
      </c>
      <c r="G44" s="49" t="s">
        <v>20</v>
      </c>
      <c r="H44" s="49" t="s">
        <v>52</v>
      </c>
      <c r="I44" s="37" t="s">
        <v>1012</v>
      </c>
      <c r="J44" s="11" t="s">
        <v>15</v>
      </c>
      <c r="K44" s="11" t="s">
        <v>14</v>
      </c>
      <c r="L44" s="11" t="s">
        <v>14</v>
      </c>
      <c r="M44" s="43"/>
    </row>
    <row r="45" spans="2:13" s="1" customFormat="1" ht="13.15" customHeight="1">
      <c r="B45" s="24">
        <v>20</v>
      </c>
      <c r="C45" s="35" t="s">
        <v>764</v>
      </c>
      <c r="D45" s="7" t="str">
        <f>IFERROR(VLOOKUP(C45,'Lista desplegable'!B$1:C$436,2,FALSE),"")</f>
        <v>PATRICIO RENAN GONZALEZ CABELLO</v>
      </c>
      <c r="E45" s="7" t="str">
        <f>IFERROR(VLOOKUP(D45,'Lista desplegable'!C$1:D$436,2,FALSE),"")</f>
        <v>AYUDANTE DE PERFORISTA</v>
      </c>
      <c r="F45" s="43" t="s">
        <v>41</v>
      </c>
      <c r="G45" s="43" t="s">
        <v>20</v>
      </c>
      <c r="H45" s="43" t="s">
        <v>52</v>
      </c>
      <c r="I45" s="37" t="s">
        <v>1012</v>
      </c>
      <c r="J45" s="11" t="s">
        <v>15</v>
      </c>
      <c r="K45" s="11" t="s">
        <v>14</v>
      </c>
      <c r="L45" s="11" t="s">
        <v>14</v>
      </c>
      <c r="M45" s="43"/>
    </row>
    <row r="46" spans="2:13" s="1" customFormat="1" ht="13.15" customHeight="1">
      <c r="B46" s="24">
        <v>21</v>
      </c>
      <c r="C46" s="31" t="s">
        <v>279</v>
      </c>
      <c r="D46" s="7" t="str">
        <f>IFERROR(VLOOKUP(C46,'Lista desplegable'!B$1:C$436,2,FALSE),"")</f>
        <v>DIEGO BRANCO BARRAZA CHAVEZ</v>
      </c>
      <c r="E46" s="7" t="str">
        <f>IFERROR(VLOOKUP(D46,'Lista desplegable'!C$1:D$436,2,FALSE),"")</f>
        <v>AYUDANTE DE PERFORISTA</v>
      </c>
      <c r="F46" s="43" t="s">
        <v>41</v>
      </c>
      <c r="G46" s="43" t="s">
        <v>20</v>
      </c>
      <c r="H46" s="43" t="s">
        <v>52</v>
      </c>
      <c r="I46" s="37" t="s">
        <v>1012</v>
      </c>
      <c r="J46" s="11" t="s">
        <v>15</v>
      </c>
      <c r="K46" s="11" t="s">
        <v>14</v>
      </c>
      <c r="L46" s="11" t="s">
        <v>14</v>
      </c>
      <c r="M46" s="43"/>
    </row>
    <row r="47" spans="2:13" s="1" customFormat="1" ht="13.15" customHeight="1">
      <c r="B47" s="24">
        <v>22</v>
      </c>
      <c r="C47" s="36" t="s">
        <v>740</v>
      </c>
      <c r="D47" s="7" t="str">
        <f>IFERROR(VLOOKUP(C47,'Lista desplegable'!B$1:C$436,2,FALSE),"")</f>
        <v>OSCAR RODRIGO ARIAS LEIVA</v>
      </c>
      <c r="E47" s="7" t="str">
        <f>IFERROR(VLOOKUP(D47,'Lista desplegable'!C$1:D$436,2,FALSE),"")</f>
        <v>AYUDANTE DE PERFORISTA</v>
      </c>
      <c r="F47" s="43" t="s">
        <v>41</v>
      </c>
      <c r="G47" s="43" t="s">
        <v>20</v>
      </c>
      <c r="H47" s="44" t="s">
        <v>52</v>
      </c>
      <c r="I47" s="38" t="s">
        <v>1012</v>
      </c>
      <c r="J47" s="11" t="s">
        <v>15</v>
      </c>
      <c r="K47" s="11" t="s">
        <v>14</v>
      </c>
      <c r="L47" s="11" t="s">
        <v>14</v>
      </c>
      <c r="M47" s="11"/>
    </row>
    <row r="48" spans="2:13" s="1" customFormat="1" ht="13.15" customHeight="1">
      <c r="B48" s="24">
        <v>23</v>
      </c>
      <c r="C48" s="56" t="s">
        <v>732</v>
      </c>
      <c r="D48" s="7" t="str">
        <f>IFERROR(VLOOKUP(C48,'Lista desplegable'!B$1:C$436,2,FALSE),"")</f>
        <v>ORLANDO PATRICIO CONTRERAS RIOS</v>
      </c>
      <c r="E48" s="7" t="str">
        <f>IFERROR(VLOOKUP(D48,'Lista desplegable'!C$1:D$436,2,FALSE),"")</f>
        <v>PERFORISTA</v>
      </c>
      <c r="F48" s="43" t="s">
        <v>41</v>
      </c>
      <c r="G48" s="43" t="s">
        <v>20</v>
      </c>
      <c r="H48" s="44" t="s">
        <v>52</v>
      </c>
      <c r="I48" s="38" t="s">
        <v>1012</v>
      </c>
      <c r="J48" s="11" t="s">
        <v>15</v>
      </c>
      <c r="K48" s="11" t="s">
        <v>14</v>
      </c>
      <c r="L48" s="11" t="s">
        <v>14</v>
      </c>
      <c r="M48" s="11"/>
    </row>
    <row r="49" spans="2:13" s="1" customFormat="1" ht="13.15" customHeight="1">
      <c r="B49" s="24">
        <v>24</v>
      </c>
      <c r="C49" s="33" t="s">
        <v>98</v>
      </c>
      <c r="D49" s="7" t="str">
        <f>IFERROR(VLOOKUP(C49,'Lista desplegable'!B$1:C$436,2,FALSE),"")</f>
        <v>ANGELO GIOVANNI BIZAMA ORELLANA</v>
      </c>
      <c r="E49" s="7" t="str">
        <f>IFERROR(VLOOKUP(D49,'Lista desplegable'!C$1:D$436,2,FALSE),"")</f>
        <v>AYUDANTE DE PERFORISTA</v>
      </c>
      <c r="F49" s="19"/>
      <c r="G49" s="11"/>
      <c r="H49" s="11"/>
      <c r="I49" s="11"/>
      <c r="J49" s="11" t="s">
        <v>37</v>
      </c>
      <c r="K49" s="11"/>
      <c r="L49" s="11"/>
      <c r="M49" s="43" t="s">
        <v>1005</v>
      </c>
    </row>
    <row r="50" spans="2:13" s="1" customFormat="1" ht="13.15" customHeight="1">
      <c r="B50" s="24">
        <v>25</v>
      </c>
      <c r="C50" s="33" t="s">
        <v>958</v>
      </c>
      <c r="D50" s="7" t="str">
        <f>IFERROR(VLOOKUP(C50,'Lista desplegable'!B$1:C$436,2,FALSE),"")</f>
        <v>WALTER LISANDRO SALAS MESA</v>
      </c>
      <c r="E50" s="7" t="str">
        <f>IFERROR(VLOOKUP(D50,'Lista desplegable'!C$1:D$436,2,FALSE),"")</f>
        <v>PERFORISTA</v>
      </c>
      <c r="F50" s="19"/>
      <c r="G50" s="11"/>
      <c r="H50" s="11"/>
      <c r="I50" s="11"/>
      <c r="J50" s="11" t="s">
        <v>37</v>
      </c>
      <c r="K50" s="11"/>
      <c r="L50" s="11"/>
      <c r="M50" s="43" t="s">
        <v>1005</v>
      </c>
    </row>
    <row r="51" spans="2:13" ht="13.15" customHeight="1">
      <c r="C51"/>
    </row>
    <row r="52" spans="2:13" ht="13.15" customHeight="1">
      <c r="C52"/>
    </row>
    <row r="53" spans="2:13" ht="25.15" customHeight="1">
      <c r="C53" s="138" t="s">
        <v>1006</v>
      </c>
      <c r="D53" s="138"/>
      <c r="E53" s="138"/>
      <c r="F53" s="138"/>
      <c r="G53" s="138"/>
      <c r="H53" s="138"/>
      <c r="I53" s="138"/>
      <c r="J53" s="138"/>
      <c r="K53" s="138"/>
      <c r="L53" s="138"/>
      <c r="M53" s="138"/>
    </row>
    <row r="54" spans="2:13" ht="33.4" customHeight="1">
      <c r="B54" s="12" t="s">
        <v>980</v>
      </c>
      <c r="C54" s="12" t="s">
        <v>0</v>
      </c>
      <c r="D54" s="12" t="s">
        <v>1</v>
      </c>
      <c r="E54" s="12" t="s">
        <v>981</v>
      </c>
      <c r="F54" s="12" t="s">
        <v>982</v>
      </c>
      <c r="G54" s="12" t="s">
        <v>983</v>
      </c>
      <c r="H54" s="12" t="s">
        <v>984</v>
      </c>
      <c r="I54" s="12" t="s">
        <v>985</v>
      </c>
      <c r="J54" s="12" t="s">
        <v>7</v>
      </c>
      <c r="K54" s="17" t="s">
        <v>986</v>
      </c>
      <c r="L54" s="17" t="s">
        <v>987</v>
      </c>
      <c r="M54" s="12" t="s">
        <v>988</v>
      </c>
    </row>
    <row r="55" spans="2:13" ht="13.15" customHeight="1">
      <c r="B55" s="24">
        <v>1</v>
      </c>
      <c r="C55" s="27" t="s">
        <v>786</v>
      </c>
      <c r="D55" s="7" t="str">
        <f>IFERROR(VLOOKUP(C55,'Lista desplegable'!B$1:C$436,2,FALSE),"")</f>
        <v>RAUL ESTEBAN HERNANDEZ PIZARRO</v>
      </c>
      <c r="E55" s="7" t="str">
        <f>IFERROR(VLOOKUP(D55,'Lista desplegable'!C$1:D$436,2,FALSE),"")</f>
        <v>PREVENCIONISTA DE RIESGOS</v>
      </c>
      <c r="F55" s="42" t="s">
        <v>34</v>
      </c>
      <c r="G55" s="45" t="s">
        <v>20</v>
      </c>
      <c r="H55" s="46" t="s">
        <v>52</v>
      </c>
      <c r="I55" s="47" t="s">
        <v>1009</v>
      </c>
      <c r="J55" s="11" t="s">
        <v>15</v>
      </c>
      <c r="K55" s="11" t="s">
        <v>14</v>
      </c>
      <c r="L55" s="11" t="s">
        <v>14</v>
      </c>
      <c r="M55" s="11"/>
    </row>
    <row r="56" spans="2:13" ht="13.15" customHeight="1">
      <c r="B56" s="24">
        <v>2</v>
      </c>
      <c r="C56" s="33" t="s">
        <v>375</v>
      </c>
      <c r="D56" s="7" t="str">
        <f>IFERROR(VLOOKUP(C56,'Lista desplegable'!B$1:C$436,2,FALSE),"")</f>
        <v>FRANCISCO PEDRO BORNAZ DELGADO</v>
      </c>
      <c r="E56" s="7" t="str">
        <f>IFERROR(VLOOKUP(D56,'Lista desplegable'!C$1:D$436,2,FALSE),"")</f>
        <v>SUPERVISOR DE OPERACIONES</v>
      </c>
      <c r="F56" s="42" t="s">
        <v>34</v>
      </c>
      <c r="G56" s="45" t="s">
        <v>20</v>
      </c>
      <c r="H56" s="46" t="s">
        <v>52</v>
      </c>
      <c r="I56" s="47" t="s">
        <v>1009</v>
      </c>
      <c r="J56" s="11" t="s">
        <v>15</v>
      </c>
      <c r="K56" s="11" t="s">
        <v>14</v>
      </c>
      <c r="L56" s="11" t="s">
        <v>14</v>
      </c>
      <c r="M56" s="11"/>
    </row>
    <row r="57" spans="2:13" ht="13.15" customHeight="1">
      <c r="B57" s="24">
        <v>3</v>
      </c>
      <c r="C57" s="27" t="s">
        <v>149</v>
      </c>
      <c r="D57" s="7" t="str">
        <f>IFERROR(VLOOKUP(C57,'Lista desplegable'!B$1:C$436,2,FALSE),"")</f>
        <v>CAMILO FELIPE CRUZ MOLINA</v>
      </c>
      <c r="E57" s="7" t="str">
        <f>IFERROR(VLOOKUP(D57,'Lista desplegable'!C$1:D$436,2,FALSE),"")</f>
        <v>SUPERVISOR DE OPERACIONES</v>
      </c>
      <c r="F57" s="42" t="s">
        <v>34</v>
      </c>
      <c r="G57" s="45" t="s">
        <v>20</v>
      </c>
      <c r="H57" s="46" t="s">
        <v>52</v>
      </c>
      <c r="I57" s="47" t="s">
        <v>1009</v>
      </c>
      <c r="J57" s="11" t="s">
        <v>15</v>
      </c>
      <c r="K57" s="11" t="s">
        <v>14</v>
      </c>
      <c r="L57" s="11" t="s">
        <v>14</v>
      </c>
      <c r="M57" s="11"/>
    </row>
    <row r="58" spans="2:13" ht="13.15" customHeight="1">
      <c r="B58" s="24">
        <v>4</v>
      </c>
      <c r="C58" s="33" t="s">
        <v>804</v>
      </c>
      <c r="D58" s="7" t="str">
        <f>IFERROR(VLOOKUP(C58,'Lista desplegable'!B$1:C$436,2,FALSE),"")</f>
        <v>RICARDO DE LAS NIEVES GUTIERREZ FUENTES</v>
      </c>
      <c r="E58" s="7" t="str">
        <f>IFERROR(VLOOKUP(D58,'Lista desplegable'!C$1:D$436,2,FALSE),"")</f>
        <v>CHOFER</v>
      </c>
      <c r="F58" s="42" t="s">
        <v>34</v>
      </c>
      <c r="G58" s="45" t="s">
        <v>20</v>
      </c>
      <c r="H58" s="46" t="s">
        <v>52</v>
      </c>
      <c r="I58" s="47" t="s">
        <v>1009</v>
      </c>
      <c r="J58" s="11" t="s">
        <v>15</v>
      </c>
      <c r="K58" s="11" t="s">
        <v>14</v>
      </c>
      <c r="L58" s="11" t="s">
        <v>14</v>
      </c>
      <c r="M58" s="11"/>
    </row>
    <row r="59" spans="2:13" ht="13.15" customHeight="1">
      <c r="B59" s="24">
        <v>5</v>
      </c>
      <c r="C59" s="35" t="s">
        <v>891</v>
      </c>
      <c r="D59" s="7" t="str">
        <f>IFERROR(VLOOKUP(C59,'Lista desplegable'!B$1:C$436,2,FALSE),"")</f>
        <v>SEBASTIAN GONZALO ROJAS CLARO</v>
      </c>
      <c r="E59" s="7" t="str">
        <f>IFERROR(VLOOKUP(D59,'Lista desplegable'!C$1:D$436,2,FALSE),"")</f>
        <v>MECANICO</v>
      </c>
      <c r="F59" s="42" t="s">
        <v>34</v>
      </c>
      <c r="G59" s="45" t="s">
        <v>20</v>
      </c>
      <c r="H59" s="46" t="s">
        <v>52</v>
      </c>
      <c r="I59" s="47" t="s">
        <v>1009</v>
      </c>
      <c r="J59" s="11" t="s">
        <v>15</v>
      </c>
      <c r="K59" s="11" t="s">
        <v>14</v>
      </c>
      <c r="L59" s="11" t="s">
        <v>14</v>
      </c>
      <c r="M59" s="11"/>
    </row>
    <row r="60" spans="2:13" ht="13.15" customHeight="1">
      <c r="B60" s="24">
        <v>6</v>
      </c>
      <c r="C60" s="33" t="s">
        <v>243</v>
      </c>
      <c r="D60" s="7" t="str">
        <f>IFERROR(VLOOKUP(C60,'Lista desplegable'!B$1:C$436,2,FALSE),"")</f>
        <v>DANIEL ANDRES VENEGAS CARRASCO</v>
      </c>
      <c r="E60" s="7" t="str">
        <f>IFERROR(VLOOKUP(D60,'Lista desplegable'!C$1:D$436,2,FALSE),"")</f>
        <v>PERFORISTA</v>
      </c>
      <c r="F60" s="42" t="s">
        <v>34</v>
      </c>
      <c r="G60" s="45" t="s">
        <v>20</v>
      </c>
      <c r="H60" s="46" t="s">
        <v>52</v>
      </c>
      <c r="I60" s="47" t="s">
        <v>1009</v>
      </c>
      <c r="J60" s="11" t="s">
        <v>15</v>
      </c>
      <c r="K60" s="11" t="s">
        <v>14</v>
      </c>
      <c r="L60" s="11" t="s">
        <v>14</v>
      </c>
      <c r="M60" s="11"/>
    </row>
    <row r="61" spans="2:13" ht="13.15" customHeight="1">
      <c r="B61" s="24">
        <v>7</v>
      </c>
      <c r="C61" s="33" t="s">
        <v>466</v>
      </c>
      <c r="D61" s="7" t="str">
        <f>IFERROR(VLOOKUP(C61,'Lista desplegable'!B$1:C$436,2,FALSE),"")</f>
        <v>JOAQUIN IGNACIO TORO ALCAYAGA</v>
      </c>
      <c r="E61" s="7" t="str">
        <f>IFERROR(VLOOKUP(D61,'Lista desplegable'!C$1:D$436,2,FALSE),"")</f>
        <v>AYUDANTE DE PERFORISTA</v>
      </c>
      <c r="F61" s="42" t="s">
        <v>34</v>
      </c>
      <c r="G61" s="45" t="s">
        <v>20</v>
      </c>
      <c r="H61" s="46" t="s">
        <v>52</v>
      </c>
      <c r="I61" s="47" t="s">
        <v>1009</v>
      </c>
      <c r="J61" s="11" t="s">
        <v>15</v>
      </c>
      <c r="K61" s="11" t="s">
        <v>14</v>
      </c>
      <c r="L61" s="11" t="s">
        <v>14</v>
      </c>
      <c r="M61" s="11"/>
    </row>
    <row r="62" spans="2:13" ht="13.15" customHeight="1">
      <c r="B62" s="24">
        <v>8</v>
      </c>
      <c r="C62" s="33" t="s">
        <v>632</v>
      </c>
      <c r="D62" s="7" t="str">
        <f>IFERROR(VLOOKUP(C62,'Lista desplegable'!B$1:C$436,2,FALSE),"")</f>
        <v>MARCO ANTONIO VELASQUEZ CIFUENTES</v>
      </c>
      <c r="E62" s="7" t="str">
        <f>IFERROR(VLOOKUP(D62,'Lista desplegable'!C$1:D$436,2,FALSE),"")</f>
        <v>AYUDANTE DE PERFORISTA</v>
      </c>
      <c r="F62" s="42" t="s">
        <v>34</v>
      </c>
      <c r="G62" s="45" t="s">
        <v>20</v>
      </c>
      <c r="H62" s="48" t="s">
        <v>52</v>
      </c>
      <c r="I62" s="47" t="s">
        <v>1009</v>
      </c>
      <c r="J62" s="11" t="s">
        <v>15</v>
      </c>
      <c r="K62" s="11" t="s">
        <v>14</v>
      </c>
      <c r="L62" s="11" t="s">
        <v>14</v>
      </c>
      <c r="M62" s="11"/>
    </row>
    <row r="63" spans="2:13" ht="13.15" customHeight="1">
      <c r="B63" s="24">
        <v>9</v>
      </c>
      <c r="C63" s="33" t="s">
        <v>80</v>
      </c>
      <c r="D63" s="7" t="str">
        <f>IFERROR(VLOOKUP(C63,'Lista desplegable'!B$1:C$436,2,FALSE),"")</f>
        <v>ALVARO IGNACIO GODOY BRUNA</v>
      </c>
      <c r="E63" s="7" t="str">
        <f>IFERROR(VLOOKUP(D63,'Lista desplegable'!C$1:D$436,2,FALSE),"")</f>
        <v>PERFORISTA</v>
      </c>
      <c r="F63" s="41" t="s">
        <v>41</v>
      </c>
      <c r="G63" s="45" t="s">
        <v>20</v>
      </c>
      <c r="H63" s="46" t="s">
        <v>52</v>
      </c>
      <c r="I63" s="39">
        <v>11.4</v>
      </c>
      <c r="J63" s="11" t="s">
        <v>15</v>
      </c>
      <c r="K63" s="11" t="s">
        <v>14</v>
      </c>
      <c r="L63" s="11" t="s">
        <v>14</v>
      </c>
      <c r="M63" s="11"/>
    </row>
    <row r="64" spans="2:13" ht="13.15" customHeight="1">
      <c r="B64" s="24">
        <v>10</v>
      </c>
      <c r="C64" s="35" t="s">
        <v>802</v>
      </c>
      <c r="D64" s="7" t="str">
        <f>IFERROR(VLOOKUP(C64,'Lista desplegable'!B$1:C$436,2,FALSE),"")</f>
        <v>RICARDO ALEXIS LEMUS LOPEZ</v>
      </c>
      <c r="E64" s="7" t="str">
        <f>IFERROR(VLOOKUP(D64,'Lista desplegable'!C$1:D$436,2,FALSE),"")</f>
        <v>AYUDANTE DE PERFORISTA</v>
      </c>
      <c r="F64" s="53" t="s">
        <v>41</v>
      </c>
      <c r="G64" s="45" t="s">
        <v>20</v>
      </c>
      <c r="H64" s="43" t="s">
        <v>52</v>
      </c>
      <c r="I64" s="39">
        <v>11.4</v>
      </c>
      <c r="J64" s="11" t="s">
        <v>15</v>
      </c>
      <c r="K64" s="11" t="s">
        <v>14</v>
      </c>
      <c r="L64" s="11" t="s">
        <v>14</v>
      </c>
      <c r="M64" s="11"/>
    </row>
    <row r="65" spans="2:13" ht="13.15" customHeight="1">
      <c r="B65" s="24">
        <v>11</v>
      </c>
      <c r="C65" s="35" t="s">
        <v>883</v>
      </c>
      <c r="D65" s="7" t="str">
        <f>IFERROR(VLOOKUP(C65,'Lista desplegable'!B$1:C$436,2,FALSE),"")</f>
        <v>SEBASTIAN ANTONIO VALDERRAMA HERRERA</v>
      </c>
      <c r="E65" s="7" t="str">
        <f>IFERROR(VLOOKUP(D65,'Lista desplegable'!C$1:D$436,2,FALSE),"")</f>
        <v>AYUDANTE DE PERFORISTA</v>
      </c>
      <c r="F65" s="67" t="s">
        <v>41</v>
      </c>
      <c r="G65" s="45" t="s">
        <v>20</v>
      </c>
      <c r="H65" s="45" t="s">
        <v>52</v>
      </c>
      <c r="I65" s="39">
        <v>11.4</v>
      </c>
      <c r="J65" s="11" t="s">
        <v>15</v>
      </c>
      <c r="K65" s="11" t="s">
        <v>14</v>
      </c>
      <c r="L65" s="11" t="s">
        <v>14</v>
      </c>
      <c r="M65" s="11"/>
    </row>
    <row r="66" spans="2:13" ht="13.15" customHeight="1">
      <c r="B66" s="24">
        <v>12</v>
      </c>
      <c r="C66" s="33" t="s">
        <v>402</v>
      </c>
      <c r="D66" s="7" t="str">
        <f>IFERROR(VLOOKUP(C66,'Lista desplegable'!B$1:C$436,2,FALSE),"")</f>
        <v>GUILLERMO NICOLAS GODOY CARVAJAL</v>
      </c>
      <c r="E66" s="7" t="str">
        <f>IFERROR(VLOOKUP(D66,'Lista desplegable'!C$1:D$436,2,FALSE),"")</f>
        <v>AYUDANTE DE PERFORISTA</v>
      </c>
      <c r="F66" s="69" t="s">
        <v>41</v>
      </c>
      <c r="G66" s="43" t="s">
        <v>20</v>
      </c>
      <c r="H66" s="43" t="s">
        <v>52</v>
      </c>
      <c r="I66" s="39">
        <v>11.4</v>
      </c>
      <c r="J66" s="11" t="s">
        <v>15</v>
      </c>
      <c r="K66" s="11" t="s">
        <v>14</v>
      </c>
      <c r="L66" s="11" t="s">
        <v>14</v>
      </c>
      <c r="M66" s="11"/>
    </row>
    <row r="67" spans="2:13" ht="13.15" customHeight="1">
      <c r="B67" s="24">
        <v>13</v>
      </c>
      <c r="C67" s="35"/>
      <c r="D67" s="7"/>
      <c r="E67" s="7"/>
      <c r="F67" s="53"/>
      <c r="G67" s="45"/>
      <c r="H67" s="31"/>
      <c r="I67" s="39"/>
      <c r="J67" s="11"/>
      <c r="K67" s="11"/>
      <c r="L67" s="11"/>
      <c r="M67" s="11"/>
    </row>
    <row r="68" spans="2:13" ht="13.15" customHeight="1">
      <c r="B68" s="24">
        <v>14</v>
      </c>
      <c r="C68" s="35"/>
      <c r="D68" s="7"/>
      <c r="E68" s="7"/>
      <c r="F68" s="53"/>
      <c r="G68" s="31"/>
      <c r="H68" s="31"/>
      <c r="I68" s="39"/>
      <c r="J68" s="11"/>
      <c r="K68" s="11"/>
      <c r="L68" s="11"/>
      <c r="M68" s="11"/>
    </row>
    <row r="69" spans="2:13" ht="13.15" customHeight="1">
      <c r="B69" s="24">
        <v>15</v>
      </c>
      <c r="C69" s="35"/>
      <c r="D69" s="7"/>
      <c r="E69" s="7"/>
      <c r="F69" s="53"/>
      <c r="G69" s="45"/>
      <c r="H69" s="31"/>
      <c r="I69" s="39"/>
      <c r="J69" s="11"/>
      <c r="K69" s="11"/>
      <c r="L69" s="11"/>
      <c r="M69" s="11"/>
    </row>
    <row r="70" spans="2:13" ht="13.15" customHeight="1">
      <c r="B70" s="24">
        <v>16</v>
      </c>
      <c r="C70" s="11"/>
      <c r="D70" s="7"/>
      <c r="E70" s="7"/>
      <c r="F70" s="44"/>
      <c r="G70" s="31"/>
      <c r="H70" s="31"/>
      <c r="I70" s="39"/>
      <c r="J70" s="11"/>
      <c r="K70" s="11"/>
      <c r="L70" s="11"/>
      <c r="M70" s="11"/>
    </row>
    <row r="71" spans="2:13" ht="13.15" customHeight="1">
      <c r="B71" s="24">
        <v>17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15" customHeight="1">
      <c r="B72" s="24">
        <v>18</v>
      </c>
      <c r="C72" s="11"/>
      <c r="D72" s="7" t="str">
        <f>IFERROR(VLOOKUP(C72,'Lista desplegable'!B$1:C$436,2,FALSE),"")</f>
        <v/>
      </c>
      <c r="E72" s="7" t="str">
        <f>IFERROR(VLOOKUP(D72,'Lista desplegable'!C$1:D$436,2,FALSE),"")</f>
        <v/>
      </c>
      <c r="F72" s="19"/>
      <c r="G72" s="11"/>
      <c r="H72" s="11"/>
      <c r="I72" s="11"/>
      <c r="J72" s="11"/>
      <c r="K72" s="11"/>
      <c r="L72" s="11"/>
      <c r="M72" s="11"/>
    </row>
    <row r="73" spans="2:13" ht="13.15" customHeight="1">
      <c r="B73" s="24">
        <v>19</v>
      </c>
      <c r="C73" s="11"/>
      <c r="D73" s="7" t="str">
        <f>IFERROR(VLOOKUP(C73,'Lista desplegable'!B$1:C$436,2,FALSE),"")</f>
        <v/>
      </c>
      <c r="E73" s="7" t="str">
        <f>IFERROR(VLOOKUP(D73,'Lista desplegable'!C$1:D$436,2,FALSE),"")</f>
        <v/>
      </c>
      <c r="F73" s="19"/>
      <c r="G73" s="11"/>
      <c r="H73" s="11"/>
      <c r="I73" s="11"/>
      <c r="J73" s="11"/>
      <c r="K73" s="11"/>
      <c r="L73" s="11"/>
      <c r="M73" s="11"/>
    </row>
    <row r="74" spans="2:13" ht="13.15" customHeight="1">
      <c r="B74" s="24">
        <v>20</v>
      </c>
      <c r="C74" s="11"/>
      <c r="D74" s="7" t="str">
        <f>IFERROR(VLOOKUP(C74,'Lista desplegable'!B$1:C$436,2,FALSE),"")</f>
        <v/>
      </c>
      <c r="E74" s="7" t="str">
        <f>IFERROR(VLOOKUP(D74,'Lista desplegable'!C$1:D$436,2,FALSE),"")</f>
        <v/>
      </c>
      <c r="F74" s="19"/>
      <c r="G74" s="11"/>
      <c r="H74" s="11"/>
      <c r="I74" s="11"/>
      <c r="J74" s="11"/>
      <c r="K74" s="11"/>
      <c r="L74" s="11"/>
      <c r="M74" s="11"/>
    </row>
    <row r="75" spans="2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5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5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5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5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5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5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5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5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5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5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5">
      <c r="C93" s="9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3:13" ht="13.5">
      <c r="C94" s="9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3:13" ht="13.5">
      <c r="C95" s="9"/>
      <c r="D95" s="6"/>
      <c r="E95" s="6"/>
    </row>
  </sheetData>
  <mergeCells count="4">
    <mergeCell ref="G2:I2"/>
    <mergeCell ref="G3:I3"/>
    <mergeCell ref="C6:M6"/>
    <mergeCell ref="C53:M53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EF91337-FDCF-4E55-ABEA-C495BC6B75A1}">
          <x14:formula1>
            <xm:f>'Lista desplegable'!$N$2:$N$5</xm:f>
          </x14:formula1>
          <xm:sqref>J55:J74 J8:J50</xm:sqref>
        </x14:dataValidation>
        <x14:dataValidation type="list" allowBlank="1" showInputMessage="1" showErrorMessage="1" xr:uid="{B8D88BC2-3077-43D3-90B3-AFEBE2E75879}">
          <x14:formula1>
            <xm:f>'Lista desplegable'!$B$2:$B$436</xm:f>
          </x14:formula1>
          <xm:sqref>C55:C74 C8:C50</xm:sqref>
        </x14:dataValidation>
        <x14:dataValidation type="list" allowBlank="1" showInputMessage="1" showErrorMessage="1" xr:uid="{BC6B7007-1272-4B8E-896B-C0B4B2A1539A}">
          <x14:formula1>
            <xm:f>'Lista desplegable'!$F$2:$F$19</xm:f>
          </x14:formula1>
          <xm:sqref>F55:F74 F8:F50</xm:sqref>
        </x14:dataValidation>
        <x14:dataValidation type="list" allowBlank="1" showInputMessage="1" showErrorMessage="1" xr:uid="{42D791E2-0E9A-496C-8AE7-100203243EDE}">
          <x14:formula1>
            <xm:f>'Lista desplegable'!$J$2:$J$10</xm:f>
          </x14:formula1>
          <xm:sqref>H55:H74 H8:H50</xm:sqref>
        </x14:dataValidation>
        <x14:dataValidation type="list" allowBlank="1" showInputMessage="1" showErrorMessage="1" xr:uid="{F97D68B9-7BF7-4DBB-8F8B-9B636EEE18FF}">
          <x14:formula1>
            <xm:f>'Lista desplegable'!$H$2:$H$7</xm:f>
          </x14:formula1>
          <xm:sqref>G55:G74 G8:G50</xm:sqref>
        </x14:dataValidation>
        <x14:dataValidation type="list" allowBlank="1" showInputMessage="1" showErrorMessage="1" xr:uid="{9A895FA5-7988-4D52-897F-A0FF57C3DBB4}">
          <x14:formula1>
            <xm:f>'Lista desplegable'!$L$2:$L$3</xm:f>
          </x14:formula1>
          <xm:sqref>K55:L74 K8:L50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9049-1602-4EE7-9974-297726A17769}">
  <dimension ref="B1:M82"/>
  <sheetViews>
    <sheetView zoomScaleNormal="100" workbookViewId="0">
      <selection activeCell="B8" sqref="B8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46212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58" t="s">
        <v>41</v>
      </c>
      <c r="G8" s="57" t="s">
        <v>20</v>
      </c>
      <c r="H8" s="57" t="s">
        <v>52</v>
      </c>
      <c r="I8" s="38" t="s">
        <v>1013</v>
      </c>
      <c r="J8" s="11" t="s">
        <v>23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58" t="s">
        <v>41</v>
      </c>
      <c r="G9" s="57" t="s">
        <v>20</v>
      </c>
      <c r="H9" s="57" t="s">
        <v>52</v>
      </c>
      <c r="I9" s="38" t="s">
        <v>1013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409</v>
      </c>
      <c r="D10" s="7" t="str">
        <f>IFERROR(VLOOKUP(C10,'Lista desplegable'!B$1:C$436,2,FALSE),"")</f>
        <v>HANS YERKO MARQUEZ MUÑOZ</v>
      </c>
      <c r="E10" s="7" t="str">
        <f>IFERROR(VLOOKUP(D10,'Lista desplegable'!C$1:D$436,2,FALSE),"")</f>
        <v>SUPERINTENDENTE DE MANTENCION</v>
      </c>
      <c r="F10" s="58"/>
      <c r="G10" s="67"/>
      <c r="H10" s="67"/>
      <c r="I10" s="73"/>
      <c r="J10" s="11" t="s">
        <v>37</v>
      </c>
      <c r="K10" s="11"/>
      <c r="L10" s="11"/>
      <c r="M10" s="62" t="s">
        <v>1014</v>
      </c>
    </row>
    <row r="11" spans="2:13" s="1" customFormat="1" ht="13.15" customHeight="1">
      <c r="B11" s="24">
        <v>4</v>
      </c>
      <c r="C11" s="27" t="s">
        <v>426</v>
      </c>
      <c r="D11" s="7" t="str">
        <f>IFERROR(VLOOKUP(C11,'Lista desplegable'!B$1:C$436,2,FALSE),"")</f>
        <v>ISRAEL AARÓN VERGARA ELGUETA</v>
      </c>
      <c r="E11" s="7" t="str">
        <f>IFERROR(VLOOKUP(D11,'Lista desplegable'!C$1:D$436,2,FALSE),"")</f>
        <v>ADMINISTRADOR DE CONTRATO</v>
      </c>
      <c r="F11" s="58" t="s">
        <v>41</v>
      </c>
      <c r="G11" s="57" t="s">
        <v>20</v>
      </c>
      <c r="H11" s="57" t="s">
        <v>52</v>
      </c>
      <c r="I11" s="38" t="s">
        <v>1013</v>
      </c>
      <c r="J11" s="11" t="s">
        <v>15</v>
      </c>
      <c r="K11" s="11" t="s">
        <v>14</v>
      </c>
      <c r="L11" s="11" t="s">
        <v>14</v>
      </c>
      <c r="M11" s="62"/>
    </row>
    <row r="12" spans="2:13" s="1" customFormat="1" ht="13.15" customHeight="1">
      <c r="B12" s="24">
        <v>5</v>
      </c>
      <c r="C12" s="27" t="s">
        <v>904</v>
      </c>
      <c r="D12" s="7" t="str">
        <f>IFERROR(VLOOKUP(C12,'Lista desplegable'!B$1:C$436,2,FALSE),"")</f>
        <v>SIMONNE DE LA PAZ REYES BATLLE</v>
      </c>
      <c r="E12" s="7" t="str">
        <f>IFERROR(VLOOKUP(D12,'Lista desplegable'!C$1:D$436,2,FALSE),"")</f>
        <v>ADMINISTRATIVO DE FAENA</v>
      </c>
      <c r="F12" s="58" t="s">
        <v>41</v>
      </c>
      <c r="G12" s="57" t="s">
        <v>20</v>
      </c>
      <c r="H12" s="57" t="s">
        <v>52</v>
      </c>
      <c r="I12" s="38" t="s">
        <v>1013</v>
      </c>
      <c r="J12" s="11" t="s">
        <v>15</v>
      </c>
      <c r="K12" s="11" t="s">
        <v>14</v>
      </c>
      <c r="L12" s="11" t="s">
        <v>14</v>
      </c>
      <c r="M12" s="62"/>
    </row>
    <row r="13" spans="2:13" s="1" customFormat="1" ht="13.15" customHeight="1">
      <c r="B13" s="24">
        <v>6</v>
      </c>
      <c r="C13" s="27" t="s">
        <v>609</v>
      </c>
      <c r="D13" s="7" t="str">
        <f>IFERROR(VLOOKUP(C13,'Lista desplegable'!B$1:C$436,2,FALSE),"")</f>
        <v>MANUEL ALEJANDRO LISAMBARTH CARABANTES</v>
      </c>
      <c r="E13" s="7" t="str">
        <f>IFERROR(VLOOKUP(D13,'Lista desplegable'!C$1:D$436,2,FALSE),"")</f>
        <v>ADMINISTRATIVO DE FAENA</v>
      </c>
      <c r="F13" s="58" t="s">
        <v>41</v>
      </c>
      <c r="G13" s="57" t="s">
        <v>20</v>
      </c>
      <c r="H13" s="57" t="s">
        <v>52</v>
      </c>
      <c r="I13" s="38" t="s">
        <v>1013</v>
      </c>
      <c r="J13" s="11" t="s">
        <v>15</v>
      </c>
      <c r="K13" s="11" t="s">
        <v>14</v>
      </c>
      <c r="L13" s="11" t="s">
        <v>14</v>
      </c>
      <c r="M13" s="62"/>
    </row>
    <row r="14" spans="2:13" s="1" customFormat="1" ht="13.15" customHeight="1">
      <c r="B14" s="24">
        <v>7</v>
      </c>
      <c r="C14" s="27" t="s">
        <v>851</v>
      </c>
      <c r="D14" s="7" t="str">
        <f>IFERROR(VLOOKUP(C14,'Lista desplegable'!B$1:C$436,2,FALSE),"")</f>
        <v>RODRIGO ANDRES DIAZ INOSTROZA</v>
      </c>
      <c r="E14" s="7" t="str">
        <f>IFERROR(VLOOKUP(D14,'Lista desplegable'!C$1:D$436,2,FALSE),"")</f>
        <v>BODEGUERO</v>
      </c>
      <c r="F14" s="58" t="s">
        <v>41</v>
      </c>
      <c r="G14" s="57" t="s">
        <v>20</v>
      </c>
      <c r="H14" s="57" t="s">
        <v>52</v>
      </c>
      <c r="I14" s="38" t="s">
        <v>1013</v>
      </c>
      <c r="J14" s="11" t="s">
        <v>15</v>
      </c>
      <c r="K14" s="11" t="s">
        <v>14</v>
      </c>
      <c r="L14" s="11" t="s">
        <v>14</v>
      </c>
      <c r="M14" s="62"/>
    </row>
    <row r="15" spans="2:13" s="1" customFormat="1" ht="13.15" customHeight="1">
      <c r="B15" s="24">
        <v>8</v>
      </c>
      <c r="C15" s="27" t="s">
        <v>183</v>
      </c>
      <c r="D15" s="7" t="str">
        <f>IFERROR(VLOOKUP(C15,'Lista desplegable'!B$1:C$436,2,FALSE),"")</f>
        <v>CHRISTIAN DARIEM PIZARRO MUÑOZ</v>
      </c>
      <c r="E15" s="7" t="str">
        <f>IFERROR(VLOOKUP(D15,'Lista desplegable'!C$1:D$436,2,FALSE),"")</f>
        <v>SOLDADOR</v>
      </c>
      <c r="F15" s="58" t="s">
        <v>41</v>
      </c>
      <c r="G15" s="57" t="s">
        <v>20</v>
      </c>
      <c r="H15" s="57" t="s">
        <v>52</v>
      </c>
      <c r="I15" s="38" t="s">
        <v>1013</v>
      </c>
      <c r="J15" s="26" t="s">
        <v>15</v>
      </c>
      <c r="K15" s="11" t="s">
        <v>14</v>
      </c>
      <c r="L15" s="11" t="s">
        <v>14</v>
      </c>
      <c r="M15" s="62"/>
    </row>
    <row r="16" spans="2:13" s="1" customFormat="1" ht="13.15" customHeight="1">
      <c r="B16" s="24">
        <v>9</v>
      </c>
      <c r="C16" s="70" t="s">
        <v>241</v>
      </c>
      <c r="D16" s="7" t="str">
        <f>IFERROR(VLOOKUP(C16,'Lista desplegable'!B$1:C$436,2,FALSE),"")</f>
        <v>DANIEL ANDRES ANDRADE AGUILAR</v>
      </c>
      <c r="E16" s="7" t="str">
        <f>IFERROR(VLOOKUP(D16,'Lista desplegable'!C$1:D$436,2,FALSE),"")</f>
        <v>MECANICO</v>
      </c>
      <c r="F16" s="58" t="s">
        <v>41</v>
      </c>
      <c r="G16" s="57" t="s">
        <v>20</v>
      </c>
      <c r="H16" s="57" t="s">
        <v>52</v>
      </c>
      <c r="I16" s="38" t="s">
        <v>1013</v>
      </c>
      <c r="J16" s="26" t="s">
        <v>15</v>
      </c>
      <c r="K16" s="11" t="s">
        <v>14</v>
      </c>
      <c r="L16" s="11" t="s">
        <v>14</v>
      </c>
      <c r="M16" s="77"/>
    </row>
    <row r="17" spans="2:13" s="1" customFormat="1" ht="13.15" customHeight="1">
      <c r="B17" s="24">
        <v>10</v>
      </c>
      <c r="C17" s="30" t="s">
        <v>283</v>
      </c>
      <c r="D17" s="7" t="str">
        <f>IFERROR(VLOOKUP(C17,'Lista desplegable'!B$1:C$436,2,FALSE),"")</f>
        <v>DIEGO NICOLAS GONZALEZ OLIVARES</v>
      </c>
      <c r="E17" s="7" t="str">
        <f>IFERROR(VLOOKUP(D17,'Lista desplegable'!C$1:D$436,2,FALSE),"")</f>
        <v>MECANICO</v>
      </c>
      <c r="F17" s="58" t="s">
        <v>41</v>
      </c>
      <c r="G17" s="57" t="s">
        <v>20</v>
      </c>
      <c r="H17" s="57" t="s">
        <v>52</v>
      </c>
      <c r="I17" s="38" t="s">
        <v>1013</v>
      </c>
      <c r="J17" s="26" t="s">
        <v>15</v>
      </c>
      <c r="K17" s="11" t="s">
        <v>14</v>
      </c>
      <c r="L17" s="11" t="s">
        <v>14</v>
      </c>
      <c r="M17" s="64"/>
    </row>
    <row r="18" spans="2:13" s="1" customFormat="1" ht="13.15" customHeight="1">
      <c r="B18" s="24">
        <v>11</v>
      </c>
      <c r="C18" s="30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58" t="s">
        <v>41</v>
      </c>
      <c r="G18" s="57" t="s">
        <v>20</v>
      </c>
      <c r="H18" s="57" t="s">
        <v>52</v>
      </c>
      <c r="I18" s="38" t="s">
        <v>1013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28" t="s">
        <v>636</v>
      </c>
      <c r="D19" s="7" t="str">
        <f>IFERROR(VLOOKUP(C19,'Lista desplegable'!B$1:C$436,2,FALSE),"")</f>
        <v>MARCOS ANTONIO ALDEA BEROIZA</v>
      </c>
      <c r="E19" s="7" t="str">
        <f>IFERROR(VLOOKUP(D19,'Lista desplegable'!C$1:D$436,2,FALSE),"")</f>
        <v>CHOFER</v>
      </c>
      <c r="F19" s="58" t="s">
        <v>41</v>
      </c>
      <c r="G19" s="57" t="s">
        <v>20</v>
      </c>
      <c r="H19" s="57" t="s">
        <v>52</v>
      </c>
      <c r="I19" s="38" t="s">
        <v>1013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31" t="s">
        <v>156</v>
      </c>
      <c r="D20" s="7" t="str">
        <f>IFERROR(VLOOKUP(C20,'Lista desplegable'!B$1:C$436,2,FALSE),"")</f>
        <v>CARLOS ALBERTO RAMOS VELASQUEZ</v>
      </c>
      <c r="E20" s="7" t="str">
        <f>IFERROR(VLOOKUP(D20,'Lista desplegable'!C$1:D$436,2,FALSE),"")</f>
        <v>SUPERVISOR DE OPERACIONES</v>
      </c>
      <c r="F20" s="58" t="s">
        <v>41</v>
      </c>
      <c r="G20" s="57" t="s">
        <v>20</v>
      </c>
      <c r="H20" s="57" t="s">
        <v>52</v>
      </c>
      <c r="I20" s="38" t="s">
        <v>1013</v>
      </c>
      <c r="J20" s="26" t="s">
        <v>15</v>
      </c>
      <c r="K20" s="11" t="s">
        <v>14</v>
      </c>
      <c r="L20" s="11" t="s">
        <v>14</v>
      </c>
      <c r="M20" s="64"/>
    </row>
    <row r="21" spans="2:13" s="1" customFormat="1" ht="13.15" customHeight="1">
      <c r="B21" s="24">
        <v>14</v>
      </c>
      <c r="C21" s="27" t="s">
        <v>702</v>
      </c>
      <c r="D21" s="7" t="str">
        <f>IFERROR(VLOOKUP(C21,'Lista desplegable'!B$1:C$436,2,FALSE),"")</f>
        <v>NELSON PATRICIO FLORES SANHUEZA</v>
      </c>
      <c r="E21" s="7" t="str">
        <f>IFERROR(VLOOKUP(D21,'Lista desplegable'!C$1:D$436,2,FALSE),"")</f>
        <v>PREVENCIONISTA DE RIESGOS</v>
      </c>
      <c r="F21" s="58" t="s">
        <v>41</v>
      </c>
      <c r="G21" s="57" t="s">
        <v>20</v>
      </c>
      <c r="H21" s="57" t="s">
        <v>52</v>
      </c>
      <c r="I21" s="38" t="s">
        <v>1013</v>
      </c>
      <c r="J21" s="26" t="s">
        <v>15</v>
      </c>
      <c r="K21" s="11" t="s">
        <v>14</v>
      </c>
      <c r="L21" s="11" t="s">
        <v>14</v>
      </c>
      <c r="M21" s="78"/>
    </row>
    <row r="22" spans="2:13" s="1" customFormat="1" ht="13.15" customHeight="1">
      <c r="B22" s="24">
        <v>15</v>
      </c>
      <c r="C22" s="32" t="s">
        <v>294</v>
      </c>
      <c r="D22" s="7" t="str">
        <f>IFERROR(VLOOKUP(C22,'Lista desplegable'!B$1:C$436,2,FALSE),"")</f>
        <v>EDUARDO ANTONIO CASTILLO VALENZUELA</v>
      </c>
      <c r="E22" s="7" t="str">
        <f>IFERROR(VLOOKUP(D22,'Lista desplegable'!C$1:D$436,2,FALSE),"")</f>
        <v>PERFORISTA</v>
      </c>
      <c r="F22" s="58" t="s">
        <v>34</v>
      </c>
      <c r="G22" s="46" t="s">
        <v>20</v>
      </c>
      <c r="H22" s="46" t="s">
        <v>52</v>
      </c>
      <c r="I22" s="39" t="s">
        <v>1015</v>
      </c>
      <c r="J22" s="26" t="s">
        <v>15</v>
      </c>
      <c r="K22" s="11" t="s">
        <v>14</v>
      </c>
      <c r="L22" s="11" t="s">
        <v>14</v>
      </c>
      <c r="M22" s="43" t="s">
        <v>1016</v>
      </c>
    </row>
    <row r="23" spans="2:13" s="1" customFormat="1" ht="13.15" customHeight="1">
      <c r="B23" s="24">
        <v>16</v>
      </c>
      <c r="C23" s="33" t="s">
        <v>451</v>
      </c>
      <c r="D23" s="7" t="str">
        <f>IFERROR(VLOOKUP(C23,'Lista desplegable'!B$1:C$436,2,FALSE),"")</f>
        <v>JEAN CHARLES CERDA ORREGO</v>
      </c>
      <c r="E23" s="7" t="str">
        <f>IFERROR(VLOOKUP(D23,'Lista desplegable'!C$1:D$436,2,FALSE),"")</f>
        <v>AYUDANTE DE PERFORISTA</v>
      </c>
      <c r="F23" s="43" t="s">
        <v>34</v>
      </c>
      <c r="G23" s="46" t="s">
        <v>20</v>
      </c>
      <c r="H23" s="46" t="s">
        <v>52</v>
      </c>
      <c r="I23" s="39" t="s">
        <v>1015</v>
      </c>
      <c r="J23" s="26" t="s">
        <v>15</v>
      </c>
      <c r="K23" s="11" t="s">
        <v>14</v>
      </c>
      <c r="L23" s="11" t="s">
        <v>14</v>
      </c>
      <c r="M23" s="43" t="s">
        <v>1016</v>
      </c>
    </row>
    <row r="24" spans="2:13" s="1" customFormat="1" ht="13.15" customHeight="1">
      <c r="B24" s="24">
        <v>17</v>
      </c>
      <c r="C24" s="34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57" t="s">
        <v>34</v>
      </c>
      <c r="G24" s="46" t="s">
        <v>20</v>
      </c>
      <c r="H24" s="48" t="s">
        <v>52</v>
      </c>
      <c r="I24" s="39" t="s">
        <v>1015</v>
      </c>
      <c r="J24" s="26" t="s">
        <v>15</v>
      </c>
      <c r="K24" s="11" t="s">
        <v>14</v>
      </c>
      <c r="L24" s="11" t="s">
        <v>14</v>
      </c>
      <c r="M24" s="43" t="s">
        <v>1016</v>
      </c>
    </row>
    <row r="25" spans="2:13" s="1" customFormat="1" ht="13.15" customHeight="1">
      <c r="B25" s="24">
        <v>18</v>
      </c>
      <c r="C25" s="31" t="s">
        <v>871</v>
      </c>
      <c r="D25" s="7" t="str">
        <f>IFERROR(VLOOKUP(C25,'Lista desplegable'!B$1:C$436,2,FALSE),"")</f>
        <v>RUBEN IGNACIO CORTES BORBON</v>
      </c>
      <c r="E25" s="7" t="str">
        <f>IFERROR(VLOOKUP(D25,'Lista desplegable'!C$1:D$436,2,FALSE),"")</f>
        <v>AYUDANTE DE PERFORISTA</v>
      </c>
      <c r="F25" s="43" t="s">
        <v>34</v>
      </c>
      <c r="G25" s="46" t="s">
        <v>20</v>
      </c>
      <c r="H25" s="46" t="s">
        <v>52</v>
      </c>
      <c r="I25" s="39" t="s">
        <v>1015</v>
      </c>
      <c r="J25" s="26" t="s">
        <v>15</v>
      </c>
      <c r="K25" s="11" t="s">
        <v>14</v>
      </c>
      <c r="L25" s="11" t="s">
        <v>14</v>
      </c>
      <c r="M25" s="43" t="s">
        <v>1016</v>
      </c>
    </row>
    <row r="26" spans="2:13" s="1" customFormat="1" ht="13.15" customHeight="1">
      <c r="B26" s="24">
        <v>19</v>
      </c>
      <c r="C26" s="31" t="s">
        <v>269</v>
      </c>
      <c r="D26" s="7" t="str">
        <f>IFERROR(VLOOKUP(C26,'Lista desplegable'!B$1:C$436,2,FALSE),"")</f>
        <v>DENYS SAUL VERGARA TOCAS</v>
      </c>
      <c r="E26" s="7" t="str">
        <f>IFERROR(VLOOKUP(D26,'Lista desplegable'!C$1:D$436,2,FALSE),"")</f>
        <v>PERFORISTA</v>
      </c>
      <c r="F26" s="43" t="s">
        <v>34</v>
      </c>
      <c r="G26" s="46" t="s">
        <v>20</v>
      </c>
      <c r="H26" s="74" t="s">
        <v>52</v>
      </c>
      <c r="I26" s="39" t="s">
        <v>1015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34" t="s">
        <v>560</v>
      </c>
      <c r="D27" s="7" t="str">
        <f>IFERROR(VLOOKUP(C27,'Lista desplegable'!B$1:C$436,2,FALSE),"")</f>
        <v>KEVIN ALEXIS NEYRA CORTES</v>
      </c>
      <c r="E27" s="7" t="str">
        <f>IFERROR(VLOOKUP(D27,'Lista desplegable'!C$1:D$436,2,FALSE),"")</f>
        <v>PERFORISTA</v>
      </c>
      <c r="F27" s="58" t="s">
        <v>41</v>
      </c>
      <c r="G27" s="75" t="s">
        <v>20</v>
      </c>
      <c r="H27" s="57" t="s">
        <v>52</v>
      </c>
      <c r="I27" s="76" t="s">
        <v>1013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5" t="s">
        <v>764</v>
      </c>
      <c r="D28" s="7" t="str">
        <f>IFERROR(VLOOKUP(C28,'Lista desplegable'!B$1:C$436,2,FALSE),"")</f>
        <v>PATRICIO RENAN GONZALEZ CABELLO</v>
      </c>
      <c r="E28" s="7" t="str">
        <f>IFERROR(VLOOKUP(D28,'Lista desplegable'!C$1:D$436,2,FALSE),"")</f>
        <v>AYUDANTE DE PERFORISTA</v>
      </c>
      <c r="F28" s="43" t="s">
        <v>41</v>
      </c>
      <c r="G28" s="43" t="s">
        <v>20</v>
      </c>
      <c r="H28" s="46" t="s">
        <v>52</v>
      </c>
      <c r="I28" s="37" t="s">
        <v>1013</v>
      </c>
      <c r="J28" s="26" t="s">
        <v>15</v>
      </c>
      <c r="K28" s="11" t="s">
        <v>14</v>
      </c>
      <c r="L28" s="11" t="s">
        <v>14</v>
      </c>
      <c r="M28" s="43"/>
    </row>
    <row r="29" spans="2:13" s="1" customFormat="1" ht="13.15" customHeight="1">
      <c r="B29" s="24">
        <v>22</v>
      </c>
      <c r="C29" s="31" t="s">
        <v>279</v>
      </c>
      <c r="D29" s="7" t="str">
        <f>IFERROR(VLOOKUP(C29,'Lista desplegable'!B$1:C$436,2,FALSE),"")</f>
        <v>DIEGO BRANCO BARRAZA CHAVEZ</v>
      </c>
      <c r="E29" s="7" t="str">
        <f>IFERROR(VLOOKUP(D29,'Lista desplegable'!C$1:D$436,2,FALSE),"")</f>
        <v>AYUDANTE DE PERFORISTA</v>
      </c>
      <c r="F29" s="43" t="s">
        <v>41</v>
      </c>
      <c r="G29" s="43" t="s">
        <v>20</v>
      </c>
      <c r="H29" s="43" t="s">
        <v>52</v>
      </c>
      <c r="I29" s="37" t="s">
        <v>1013</v>
      </c>
      <c r="J29" s="26" t="s">
        <v>15</v>
      </c>
      <c r="K29" s="11" t="s">
        <v>14</v>
      </c>
      <c r="L29" s="11" t="s">
        <v>14</v>
      </c>
      <c r="M29" s="43"/>
    </row>
    <row r="30" spans="2:13" s="1" customFormat="1" ht="13.15" customHeight="1">
      <c r="B30" s="24">
        <v>23</v>
      </c>
      <c r="C30" s="36" t="s">
        <v>740</v>
      </c>
      <c r="D30" s="7" t="str">
        <f>IFERROR(VLOOKUP(C30,'Lista desplegable'!B$1:C$436,2,FALSE),"")</f>
        <v>OSCAR RODRIGO ARIAS LEIVA</v>
      </c>
      <c r="E30" s="7" t="str">
        <f>IFERROR(VLOOKUP(D30,'Lista desplegable'!C$1:D$436,2,FALSE),"")</f>
        <v>AYUDANTE DE PERFORISTA</v>
      </c>
      <c r="F30" s="43" t="s">
        <v>41</v>
      </c>
      <c r="G30" s="43" t="s">
        <v>20</v>
      </c>
      <c r="H30" s="44" t="s">
        <v>52</v>
      </c>
      <c r="I30" s="38" t="s">
        <v>1013</v>
      </c>
      <c r="J30" s="26" t="s">
        <v>15</v>
      </c>
      <c r="K30" s="11" t="s">
        <v>14</v>
      </c>
      <c r="L30" s="11" t="s">
        <v>14</v>
      </c>
      <c r="M30" s="43"/>
    </row>
    <row r="31" spans="2:13" s="1" customFormat="1" ht="13.15" customHeight="1">
      <c r="B31" s="24">
        <v>24</v>
      </c>
      <c r="C31" s="56" t="s">
        <v>732</v>
      </c>
      <c r="D31" s="7" t="str">
        <f>IFERROR(VLOOKUP(C31,'Lista desplegable'!B$1:C$436,2,FALSE),"")</f>
        <v>ORLANDO PATRICIO CONTRERAS RIOS</v>
      </c>
      <c r="E31" s="7" t="str">
        <f>IFERROR(VLOOKUP(D31,'Lista desplegable'!C$1:D$436,2,FALSE),"")</f>
        <v>PERFORISTA</v>
      </c>
      <c r="F31" s="43" t="s">
        <v>41</v>
      </c>
      <c r="G31" s="43" t="s">
        <v>20</v>
      </c>
      <c r="H31" s="44" t="s">
        <v>52</v>
      </c>
      <c r="I31" s="38" t="s">
        <v>1013</v>
      </c>
      <c r="J31" s="11" t="s">
        <v>15</v>
      </c>
      <c r="K31" s="11" t="s">
        <v>14</v>
      </c>
      <c r="L31" s="11" t="s">
        <v>14</v>
      </c>
      <c r="M31" s="64"/>
    </row>
    <row r="32" spans="2:13" s="1" customFormat="1" ht="13.15" customHeight="1">
      <c r="B32" s="24">
        <v>25</v>
      </c>
      <c r="C32" s="33" t="s">
        <v>98</v>
      </c>
      <c r="D32" s="7" t="str">
        <f>IFERROR(VLOOKUP(C32,'Lista desplegable'!B$1:C$436,2,FALSE),"")</f>
        <v>ANGELO GIOVANNI BIZAMA ORELLANA</v>
      </c>
      <c r="E32" s="7" t="str">
        <f>IFERROR(VLOOKUP(D32,'Lista desplegable'!C$1:D$436,2,FALSE),"")</f>
        <v>AYUDANTE DE PERFORISTA</v>
      </c>
      <c r="F32" s="43"/>
      <c r="G32" s="43"/>
      <c r="H32" s="43"/>
      <c r="I32" s="37"/>
      <c r="J32" s="11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958</v>
      </c>
      <c r="D33" s="7" t="str">
        <f>IFERROR(VLOOKUP(C33,'Lista desplegable'!B$1:C$436,2,FALSE),"")</f>
        <v>WALTER LISANDRO SALAS MESA</v>
      </c>
      <c r="E33" s="7" t="str">
        <f>IFERROR(VLOOKUP(D33,'Lista desplegable'!C$1:D$436,2,FALSE),"")</f>
        <v>PERFORISTA</v>
      </c>
      <c r="F33" s="43"/>
      <c r="G33" s="43"/>
      <c r="H33" s="43"/>
      <c r="I33" s="37"/>
      <c r="J33" s="11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1006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2" t="s">
        <v>34</v>
      </c>
      <c r="G42" s="45" t="s">
        <v>20</v>
      </c>
      <c r="H42" s="46" t="s">
        <v>52</v>
      </c>
      <c r="I42" s="47" t="s">
        <v>1009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33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42" t="s">
        <v>34</v>
      </c>
      <c r="G43" s="45" t="s">
        <v>20</v>
      </c>
      <c r="H43" s="46" t="s">
        <v>52</v>
      </c>
      <c r="I43" s="47" t="s">
        <v>1009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42" t="s">
        <v>34</v>
      </c>
      <c r="G44" s="45" t="s">
        <v>20</v>
      </c>
      <c r="H44" s="46" t="s">
        <v>52</v>
      </c>
      <c r="I44" s="47" t="s">
        <v>1009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42" t="s">
        <v>34</v>
      </c>
      <c r="G45" s="45" t="s">
        <v>20</v>
      </c>
      <c r="H45" s="46" t="s">
        <v>52</v>
      </c>
      <c r="I45" s="47" t="s">
        <v>1009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5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42" t="s">
        <v>34</v>
      </c>
      <c r="G46" s="45" t="s">
        <v>20</v>
      </c>
      <c r="H46" s="46" t="s">
        <v>52</v>
      </c>
      <c r="I46" s="47" t="s">
        <v>1009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46" t="s">
        <v>52</v>
      </c>
      <c r="I47" s="47" t="s">
        <v>1009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47" t="s">
        <v>1009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47" t="s">
        <v>1009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>
        <v>11.4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5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53" t="s">
        <v>41</v>
      </c>
      <c r="G51" s="45" t="s">
        <v>20</v>
      </c>
      <c r="H51" s="43" t="s">
        <v>52</v>
      </c>
      <c r="I51" s="39">
        <v>11.4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35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67" t="s">
        <v>41</v>
      </c>
      <c r="G52" s="45" t="s">
        <v>20</v>
      </c>
      <c r="H52" s="45" t="s">
        <v>52</v>
      </c>
      <c r="I52" s="39">
        <v>11.4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3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69" t="s">
        <v>41</v>
      </c>
      <c r="G53" s="43" t="s">
        <v>20</v>
      </c>
      <c r="H53" s="43" t="s">
        <v>52</v>
      </c>
      <c r="I53" s="39">
        <v>11.4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26B32F6-60EF-44C4-8D8E-4170BC738743}">
          <x14:formula1>
            <xm:f>'Lista desplegable'!$L$2:$L$3</xm:f>
          </x14:formula1>
          <xm:sqref>K42:L61 K8:L37</xm:sqref>
        </x14:dataValidation>
        <x14:dataValidation type="list" allowBlank="1" showInputMessage="1" showErrorMessage="1" xr:uid="{9F41C82F-0E44-47C1-BCD6-34A3022A296C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34AA6739-FD49-4E50-8ADE-D494ACFED8D1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C10F453D-9862-4051-A3FF-04880DBF3D13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869504E9-5F41-4CBA-A7BE-992916708C74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32818196-552D-4A17-8528-31751C08644A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03F1-D207-45FA-992D-39AC1D4A50BD}">
  <dimension ref="B1:M82"/>
  <sheetViews>
    <sheetView zoomScaleNormal="100" workbookViewId="0">
      <selection activeCell="M8" sqref="M8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46243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43" t="s">
        <v>41</v>
      </c>
      <c r="G8" s="57" t="s">
        <v>20</v>
      </c>
      <c r="H8" s="57" t="s">
        <v>52</v>
      </c>
      <c r="I8" s="38" t="s">
        <v>1017</v>
      </c>
      <c r="J8" s="11" t="s">
        <v>23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43" t="s">
        <v>41</v>
      </c>
      <c r="G9" s="57" t="s">
        <v>20</v>
      </c>
      <c r="H9" s="57" t="s">
        <v>52</v>
      </c>
      <c r="I9" s="38" t="s">
        <v>1017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409</v>
      </c>
      <c r="D10" s="7" t="str">
        <f>IFERROR(VLOOKUP(C10,'Lista desplegable'!B$1:C$436,2,FALSE),"")</f>
        <v>HANS YERKO MARQUEZ MUÑOZ</v>
      </c>
      <c r="E10" s="7" t="str">
        <f>IFERROR(VLOOKUP(D10,'Lista desplegable'!C$1:D$436,2,FALSE),"")</f>
        <v>SUPERINTENDENTE DE MANTENCION</v>
      </c>
      <c r="F10" s="53"/>
      <c r="G10" s="67"/>
      <c r="H10" s="67"/>
      <c r="I10" s="73"/>
      <c r="J10" s="11" t="s">
        <v>37</v>
      </c>
      <c r="K10" s="11"/>
      <c r="L10" s="11"/>
      <c r="M10" s="62" t="s">
        <v>1014</v>
      </c>
    </row>
    <row r="11" spans="2:13" s="1" customFormat="1" ht="13.15" customHeight="1">
      <c r="B11" s="24">
        <v>4</v>
      </c>
      <c r="C11" s="27" t="s">
        <v>426</v>
      </c>
      <c r="D11" s="7" t="str">
        <f>IFERROR(VLOOKUP(C11,'Lista desplegable'!B$1:C$436,2,FALSE),"")</f>
        <v>ISRAEL AARÓN VERGARA ELGUETA</v>
      </c>
      <c r="E11" s="7" t="str">
        <f>IFERROR(VLOOKUP(D11,'Lista desplegable'!C$1:D$436,2,FALSE),"")</f>
        <v>ADMINISTRADOR DE CONTRATO</v>
      </c>
      <c r="F11" s="43" t="s">
        <v>41</v>
      </c>
      <c r="G11" s="57" t="s">
        <v>20</v>
      </c>
      <c r="H11" s="57" t="s">
        <v>52</v>
      </c>
      <c r="I11" s="38" t="s">
        <v>1017</v>
      </c>
      <c r="J11" s="11" t="s">
        <v>15</v>
      </c>
      <c r="K11" s="11" t="s">
        <v>14</v>
      </c>
      <c r="L11" s="11" t="s">
        <v>14</v>
      </c>
      <c r="M11" s="62"/>
    </row>
    <row r="12" spans="2:13" s="1" customFormat="1" ht="13.15" customHeight="1">
      <c r="B12" s="24">
        <v>5</v>
      </c>
      <c r="C12" s="27" t="s">
        <v>904</v>
      </c>
      <c r="D12" s="7" t="str">
        <f>IFERROR(VLOOKUP(C12,'Lista desplegable'!B$1:C$436,2,FALSE),"")</f>
        <v>SIMONNE DE LA PAZ REYES BATLLE</v>
      </c>
      <c r="E12" s="7" t="str">
        <f>IFERROR(VLOOKUP(D12,'Lista desplegable'!C$1:D$436,2,FALSE),"")</f>
        <v>ADMINISTRATIVO DE FAENA</v>
      </c>
      <c r="F12" s="43" t="s">
        <v>41</v>
      </c>
      <c r="G12" s="57" t="s">
        <v>20</v>
      </c>
      <c r="H12" s="57" t="s">
        <v>52</v>
      </c>
      <c r="I12" s="38" t="s">
        <v>1017</v>
      </c>
      <c r="J12" s="11" t="s">
        <v>15</v>
      </c>
      <c r="K12" s="11" t="s">
        <v>14</v>
      </c>
      <c r="L12" s="11" t="s">
        <v>14</v>
      </c>
      <c r="M12" s="62"/>
    </row>
    <row r="13" spans="2:13" s="1" customFormat="1" ht="13.15" customHeight="1">
      <c r="B13" s="24">
        <v>6</v>
      </c>
      <c r="C13" s="27" t="s">
        <v>609</v>
      </c>
      <c r="D13" s="7" t="str">
        <f>IFERROR(VLOOKUP(C13,'Lista desplegable'!B$1:C$436,2,FALSE),"")</f>
        <v>MANUEL ALEJANDRO LISAMBARTH CARABANTES</v>
      </c>
      <c r="E13" s="7" t="str">
        <f>IFERROR(VLOOKUP(D13,'Lista desplegable'!C$1:D$436,2,FALSE),"")</f>
        <v>ADMINISTRATIVO DE FAENA</v>
      </c>
      <c r="F13" s="43" t="s">
        <v>41</v>
      </c>
      <c r="G13" s="57" t="s">
        <v>20</v>
      </c>
      <c r="H13" s="57" t="s">
        <v>52</v>
      </c>
      <c r="I13" s="38" t="s">
        <v>1017</v>
      </c>
      <c r="J13" s="11" t="s">
        <v>15</v>
      </c>
      <c r="K13" s="11" t="s">
        <v>14</v>
      </c>
      <c r="L13" s="11" t="s">
        <v>14</v>
      </c>
      <c r="M13" s="62"/>
    </row>
    <row r="14" spans="2:13" s="1" customFormat="1" ht="13.15" customHeight="1">
      <c r="B14" s="24">
        <v>7</v>
      </c>
      <c r="C14" s="27" t="s">
        <v>851</v>
      </c>
      <c r="D14" s="7" t="str">
        <f>IFERROR(VLOOKUP(C14,'Lista desplegable'!B$1:C$436,2,FALSE),"")</f>
        <v>RODRIGO ANDRES DIAZ INOSTROZA</v>
      </c>
      <c r="E14" s="7" t="str">
        <f>IFERROR(VLOOKUP(D14,'Lista desplegable'!C$1:D$436,2,FALSE),"")</f>
        <v>BODEGUERO</v>
      </c>
      <c r="F14" s="43" t="s">
        <v>41</v>
      </c>
      <c r="G14" s="57" t="s">
        <v>20</v>
      </c>
      <c r="H14" s="57" t="s">
        <v>52</v>
      </c>
      <c r="I14" s="38" t="s">
        <v>1017</v>
      </c>
      <c r="J14" s="11" t="s">
        <v>15</v>
      </c>
      <c r="K14" s="11" t="s">
        <v>14</v>
      </c>
      <c r="L14" s="11" t="s">
        <v>14</v>
      </c>
      <c r="M14" s="62"/>
    </row>
    <row r="15" spans="2:13" s="1" customFormat="1" ht="13.15" customHeight="1">
      <c r="B15" s="24">
        <v>8</v>
      </c>
      <c r="C15" s="27" t="s">
        <v>183</v>
      </c>
      <c r="D15" s="7" t="str">
        <f>IFERROR(VLOOKUP(C15,'Lista desplegable'!B$1:C$436,2,FALSE),"")</f>
        <v>CHRISTIAN DARIEM PIZARRO MUÑOZ</v>
      </c>
      <c r="E15" s="7" t="str">
        <f>IFERROR(VLOOKUP(D15,'Lista desplegable'!C$1:D$436,2,FALSE),"")</f>
        <v>SOLDADOR</v>
      </c>
      <c r="F15" s="43" t="s">
        <v>41</v>
      </c>
      <c r="G15" s="57" t="s">
        <v>20</v>
      </c>
      <c r="H15" s="57" t="s">
        <v>52</v>
      </c>
      <c r="I15" s="38" t="s">
        <v>1017</v>
      </c>
      <c r="J15" s="26" t="s">
        <v>15</v>
      </c>
      <c r="K15" s="11" t="s">
        <v>14</v>
      </c>
      <c r="L15" s="11" t="s">
        <v>14</v>
      </c>
      <c r="M15" s="62"/>
    </row>
    <row r="16" spans="2:13" s="1" customFormat="1" ht="13.15" customHeight="1">
      <c r="B16" s="24">
        <v>9</v>
      </c>
      <c r="C16" s="70" t="s">
        <v>241</v>
      </c>
      <c r="D16" s="7" t="str">
        <f>IFERROR(VLOOKUP(C16,'Lista desplegable'!B$1:C$436,2,FALSE),"")</f>
        <v>DANIEL ANDRES ANDRADE AGUILAR</v>
      </c>
      <c r="E16" s="7" t="str">
        <f>IFERROR(VLOOKUP(D16,'Lista desplegable'!C$1:D$436,2,FALSE),"")</f>
        <v>MECANICO</v>
      </c>
      <c r="F16" s="43" t="s">
        <v>41</v>
      </c>
      <c r="G16" s="57" t="s">
        <v>20</v>
      </c>
      <c r="H16" s="57" t="s">
        <v>52</v>
      </c>
      <c r="I16" s="38" t="s">
        <v>1017</v>
      </c>
      <c r="J16" s="26" t="s">
        <v>15</v>
      </c>
      <c r="K16" s="11" t="s">
        <v>14</v>
      </c>
      <c r="L16" s="11" t="s">
        <v>14</v>
      </c>
      <c r="M16" s="77"/>
    </row>
    <row r="17" spans="2:13" s="1" customFormat="1" ht="13.15" customHeight="1">
      <c r="B17" s="24">
        <v>10</v>
      </c>
      <c r="C17" s="30" t="s">
        <v>283</v>
      </c>
      <c r="D17" s="7" t="str">
        <f>IFERROR(VLOOKUP(C17,'Lista desplegable'!B$1:C$436,2,FALSE),"")</f>
        <v>DIEGO NICOLAS GONZALEZ OLIVARES</v>
      </c>
      <c r="E17" s="7" t="str">
        <f>IFERROR(VLOOKUP(D17,'Lista desplegable'!C$1:D$436,2,FALSE),"")</f>
        <v>MECANICO</v>
      </c>
      <c r="F17" s="43" t="s">
        <v>41</v>
      </c>
      <c r="G17" s="57" t="s">
        <v>20</v>
      </c>
      <c r="H17" s="57" t="s">
        <v>52</v>
      </c>
      <c r="I17" s="38" t="s">
        <v>1017</v>
      </c>
      <c r="J17" s="26" t="s">
        <v>15</v>
      </c>
      <c r="K17" s="11" t="s">
        <v>14</v>
      </c>
      <c r="L17" s="11" t="s">
        <v>14</v>
      </c>
      <c r="M17" s="64"/>
    </row>
    <row r="18" spans="2:13" s="1" customFormat="1" ht="13.15" customHeight="1">
      <c r="B18" s="24">
        <v>11</v>
      </c>
      <c r="C18" s="30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43" t="s">
        <v>41</v>
      </c>
      <c r="G18" s="57" t="s">
        <v>20</v>
      </c>
      <c r="H18" s="57" t="s">
        <v>52</v>
      </c>
      <c r="I18" s="38" t="s">
        <v>1017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28" t="s">
        <v>636</v>
      </c>
      <c r="D19" s="7" t="str">
        <f>IFERROR(VLOOKUP(C19,'Lista desplegable'!B$1:C$436,2,FALSE),"")</f>
        <v>MARCOS ANTONIO ALDEA BEROIZA</v>
      </c>
      <c r="E19" s="7" t="str">
        <f>IFERROR(VLOOKUP(D19,'Lista desplegable'!C$1:D$436,2,FALSE),"")</f>
        <v>CHOFER</v>
      </c>
      <c r="F19" s="43" t="s">
        <v>41</v>
      </c>
      <c r="G19" s="57" t="s">
        <v>20</v>
      </c>
      <c r="H19" s="57" t="s">
        <v>52</v>
      </c>
      <c r="I19" s="38" t="s">
        <v>1017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31" t="s">
        <v>156</v>
      </c>
      <c r="D20" s="7" t="str">
        <f>IFERROR(VLOOKUP(C20,'Lista desplegable'!B$1:C$436,2,FALSE),"")</f>
        <v>CARLOS ALBERTO RAMOS VELASQUEZ</v>
      </c>
      <c r="E20" s="7" t="str">
        <f>IFERROR(VLOOKUP(D20,'Lista desplegable'!C$1:D$436,2,FALSE),"")</f>
        <v>SUPERVISOR DE OPERACIONES</v>
      </c>
      <c r="F20" s="43" t="s">
        <v>41</v>
      </c>
      <c r="G20" s="57" t="s">
        <v>20</v>
      </c>
      <c r="H20" s="57" t="s">
        <v>52</v>
      </c>
      <c r="I20" s="38" t="s">
        <v>1017</v>
      </c>
      <c r="J20" s="26" t="s">
        <v>15</v>
      </c>
      <c r="K20" s="11" t="s">
        <v>14</v>
      </c>
      <c r="L20" s="11" t="s">
        <v>14</v>
      </c>
      <c r="M20" s="64"/>
    </row>
    <row r="21" spans="2:13" s="1" customFormat="1" ht="13.15" customHeight="1">
      <c r="B21" s="24">
        <v>14</v>
      </c>
      <c r="C21" s="27" t="s">
        <v>702</v>
      </c>
      <c r="D21" s="7" t="str">
        <f>IFERROR(VLOOKUP(C21,'Lista desplegable'!B$1:C$436,2,FALSE),"")</f>
        <v>NELSON PATRICIO FLORES SANHUEZA</v>
      </c>
      <c r="E21" s="7" t="str">
        <f>IFERROR(VLOOKUP(D21,'Lista desplegable'!C$1:D$436,2,FALSE),"")</f>
        <v>PREVENCIONISTA DE RIESGOS</v>
      </c>
      <c r="F21" s="43" t="s">
        <v>41</v>
      </c>
      <c r="G21" s="57" t="s">
        <v>20</v>
      </c>
      <c r="H21" s="57" t="s">
        <v>52</v>
      </c>
      <c r="I21" s="38" t="s">
        <v>1017</v>
      </c>
      <c r="J21" s="26" t="s">
        <v>15</v>
      </c>
      <c r="K21" s="11" t="s">
        <v>14</v>
      </c>
      <c r="L21" s="11" t="s">
        <v>14</v>
      </c>
      <c r="M21" s="78"/>
    </row>
    <row r="22" spans="2:13" s="1" customFormat="1" ht="13.15" customHeight="1">
      <c r="B22" s="24">
        <v>15</v>
      </c>
      <c r="C22" s="32" t="s">
        <v>294</v>
      </c>
      <c r="D22" s="7" t="str">
        <f>IFERROR(VLOOKUP(C22,'Lista desplegable'!B$1:C$436,2,FALSE),"")</f>
        <v>EDUARDO ANTONIO CASTILLO VALENZUELA</v>
      </c>
      <c r="E22" s="7" t="str">
        <f>IFERROR(VLOOKUP(D22,'Lista desplegable'!C$1:D$436,2,FALSE),"")</f>
        <v>PERFORISTA</v>
      </c>
      <c r="F22" s="46" t="s">
        <v>34</v>
      </c>
      <c r="G22" s="46" t="s">
        <v>20</v>
      </c>
      <c r="H22" s="46" t="s">
        <v>52</v>
      </c>
      <c r="I22" s="39" t="s">
        <v>1015</v>
      </c>
      <c r="J22" s="26" t="s">
        <v>15</v>
      </c>
      <c r="K22" s="11" t="s">
        <v>14</v>
      </c>
      <c r="L22" s="11" t="s">
        <v>14</v>
      </c>
      <c r="M22" s="43" t="s">
        <v>1016</v>
      </c>
    </row>
    <row r="23" spans="2:13" s="1" customFormat="1" ht="13.15" customHeight="1">
      <c r="B23" s="24">
        <v>16</v>
      </c>
      <c r="C23" s="33" t="s">
        <v>451</v>
      </c>
      <c r="D23" s="7" t="str">
        <f>IFERROR(VLOOKUP(C23,'Lista desplegable'!B$1:C$436,2,FALSE),"")</f>
        <v>JEAN CHARLES CERDA ORREGO</v>
      </c>
      <c r="E23" s="7" t="str">
        <f>IFERROR(VLOOKUP(D23,'Lista desplegable'!C$1:D$436,2,FALSE),"")</f>
        <v>AYUDANTE DE PERFORISTA</v>
      </c>
      <c r="F23" s="43" t="s">
        <v>34</v>
      </c>
      <c r="G23" s="46" t="s">
        <v>20</v>
      </c>
      <c r="H23" s="46" t="s">
        <v>52</v>
      </c>
      <c r="I23" s="39" t="s">
        <v>1015</v>
      </c>
      <c r="J23" s="26" t="s">
        <v>15</v>
      </c>
      <c r="K23" s="11" t="s">
        <v>14</v>
      </c>
      <c r="L23" s="11" t="s">
        <v>14</v>
      </c>
      <c r="M23" s="43" t="s">
        <v>1016</v>
      </c>
    </row>
    <row r="24" spans="2:13" s="1" customFormat="1" ht="13.15" customHeight="1">
      <c r="B24" s="24">
        <v>17</v>
      </c>
      <c r="C24" s="34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57" t="s">
        <v>34</v>
      </c>
      <c r="G24" s="46" t="s">
        <v>20</v>
      </c>
      <c r="H24" s="48" t="s">
        <v>52</v>
      </c>
      <c r="I24" s="39" t="s">
        <v>1015</v>
      </c>
      <c r="J24" s="26" t="s">
        <v>15</v>
      </c>
      <c r="K24" s="11" t="s">
        <v>14</v>
      </c>
      <c r="L24" s="11" t="s">
        <v>14</v>
      </c>
      <c r="M24" s="43" t="s">
        <v>1016</v>
      </c>
    </row>
    <row r="25" spans="2:13" s="1" customFormat="1" ht="13.15" customHeight="1">
      <c r="B25" s="24">
        <v>18</v>
      </c>
      <c r="C25" s="31" t="s">
        <v>871</v>
      </c>
      <c r="D25" s="7" t="str">
        <f>IFERROR(VLOOKUP(C25,'Lista desplegable'!B$1:C$436,2,FALSE),"")</f>
        <v>RUBEN IGNACIO CORTES BORBON</v>
      </c>
      <c r="E25" s="7" t="str">
        <f>IFERROR(VLOOKUP(D25,'Lista desplegable'!C$1:D$436,2,FALSE),"")</f>
        <v>AYUDANTE DE PERFORISTA</v>
      </c>
      <c r="F25" s="43" t="s">
        <v>34</v>
      </c>
      <c r="G25" s="46" t="s">
        <v>20</v>
      </c>
      <c r="H25" s="46" t="s">
        <v>52</v>
      </c>
      <c r="I25" s="39" t="s">
        <v>1015</v>
      </c>
      <c r="J25" s="26" t="s">
        <v>15</v>
      </c>
      <c r="K25" s="11" t="s">
        <v>14</v>
      </c>
      <c r="L25" s="11" t="s">
        <v>14</v>
      </c>
      <c r="M25" s="43" t="s">
        <v>1016</v>
      </c>
    </row>
    <row r="26" spans="2:13" s="1" customFormat="1" ht="13.15" customHeight="1">
      <c r="B26" s="24">
        <v>19</v>
      </c>
      <c r="C26" s="31" t="s">
        <v>269</v>
      </c>
      <c r="D26" s="7" t="str">
        <f>IFERROR(VLOOKUP(C26,'Lista desplegable'!B$1:C$436,2,FALSE),"")</f>
        <v>DENYS SAUL VERGARA TOCAS</v>
      </c>
      <c r="E26" s="7" t="str">
        <f>IFERROR(VLOOKUP(D26,'Lista desplegable'!C$1:D$436,2,FALSE),"")</f>
        <v>PERFORISTA</v>
      </c>
      <c r="F26" s="43" t="s">
        <v>34</v>
      </c>
      <c r="G26" s="46" t="s">
        <v>20</v>
      </c>
      <c r="H26" s="74" t="s">
        <v>52</v>
      </c>
      <c r="I26" s="39" t="s">
        <v>1015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34" t="s">
        <v>560</v>
      </c>
      <c r="D27" s="7" t="str">
        <f>IFERROR(VLOOKUP(C27,'Lista desplegable'!B$1:C$436,2,FALSE),"")</f>
        <v>KEVIN ALEXIS NEYRA CORTES</v>
      </c>
      <c r="E27" s="7" t="str">
        <f>IFERROR(VLOOKUP(D27,'Lista desplegable'!C$1:D$436,2,FALSE),"")</f>
        <v>PERFORISTA</v>
      </c>
      <c r="F27" s="58" t="s">
        <v>41</v>
      </c>
      <c r="G27" s="75" t="s">
        <v>20</v>
      </c>
      <c r="H27" s="57" t="s">
        <v>52</v>
      </c>
      <c r="I27" s="76" t="s">
        <v>1017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5" t="s">
        <v>764</v>
      </c>
      <c r="D28" s="7" t="str">
        <f>IFERROR(VLOOKUP(C28,'Lista desplegable'!B$1:C$436,2,FALSE),"")</f>
        <v>PATRICIO RENAN GONZALEZ CABELLO</v>
      </c>
      <c r="E28" s="7" t="str">
        <f>IFERROR(VLOOKUP(D28,'Lista desplegable'!C$1:D$436,2,FALSE),"")</f>
        <v>AYUDANTE DE PERFORISTA</v>
      </c>
      <c r="F28" s="43" t="s">
        <v>41</v>
      </c>
      <c r="G28" s="43" t="s">
        <v>20</v>
      </c>
      <c r="H28" s="46" t="s">
        <v>52</v>
      </c>
      <c r="I28" s="76" t="s">
        <v>1017</v>
      </c>
      <c r="J28" s="26" t="s">
        <v>15</v>
      </c>
      <c r="K28" s="11" t="s">
        <v>14</v>
      </c>
      <c r="L28" s="11" t="s">
        <v>14</v>
      </c>
      <c r="M28" s="43"/>
    </row>
    <row r="29" spans="2:13" s="1" customFormat="1" ht="13.15" customHeight="1">
      <c r="B29" s="24">
        <v>22</v>
      </c>
      <c r="C29" s="31" t="s">
        <v>279</v>
      </c>
      <c r="D29" s="7" t="str">
        <f>IFERROR(VLOOKUP(C29,'Lista desplegable'!B$1:C$436,2,FALSE),"")</f>
        <v>DIEGO BRANCO BARRAZA CHAVEZ</v>
      </c>
      <c r="E29" s="7" t="str">
        <f>IFERROR(VLOOKUP(D29,'Lista desplegable'!C$1:D$436,2,FALSE),"")</f>
        <v>AYUDANTE DE PERFORISTA</v>
      </c>
      <c r="F29" s="43" t="s">
        <v>41</v>
      </c>
      <c r="G29" s="43" t="s">
        <v>20</v>
      </c>
      <c r="H29" s="43" t="s">
        <v>52</v>
      </c>
      <c r="I29" s="76" t="s">
        <v>1017</v>
      </c>
      <c r="J29" s="26" t="s">
        <v>15</v>
      </c>
      <c r="K29" s="11" t="s">
        <v>14</v>
      </c>
      <c r="L29" s="11" t="s">
        <v>14</v>
      </c>
      <c r="M29" s="43"/>
    </row>
    <row r="30" spans="2:13" s="1" customFormat="1" ht="13.15" customHeight="1">
      <c r="B30" s="24">
        <v>23</v>
      </c>
      <c r="C30" s="36" t="s">
        <v>740</v>
      </c>
      <c r="D30" s="7" t="str">
        <f>IFERROR(VLOOKUP(C30,'Lista desplegable'!B$1:C$436,2,FALSE),"")</f>
        <v>OSCAR RODRIGO ARIAS LEIVA</v>
      </c>
      <c r="E30" s="7" t="str">
        <f>IFERROR(VLOOKUP(D30,'Lista desplegable'!C$1:D$436,2,FALSE),"")</f>
        <v>AYUDANTE DE PERFORISTA</v>
      </c>
      <c r="F30" s="43" t="s">
        <v>41</v>
      </c>
      <c r="G30" s="43" t="s">
        <v>20</v>
      </c>
      <c r="H30" s="44" t="s">
        <v>52</v>
      </c>
      <c r="I30" s="38" t="s">
        <v>1017</v>
      </c>
      <c r="J30" s="26" t="s">
        <v>15</v>
      </c>
      <c r="K30" s="11" t="s">
        <v>14</v>
      </c>
      <c r="L30" s="11" t="s">
        <v>14</v>
      </c>
      <c r="M30" s="43"/>
    </row>
    <row r="31" spans="2:13" s="1" customFormat="1" ht="13.15" customHeight="1">
      <c r="B31" s="24">
        <v>24</v>
      </c>
      <c r="C31" s="56" t="s">
        <v>732</v>
      </c>
      <c r="D31" s="7" t="str">
        <f>IFERROR(VLOOKUP(C31,'Lista desplegable'!B$1:C$436,2,FALSE),"")</f>
        <v>ORLANDO PATRICIO CONTRERAS RIOS</v>
      </c>
      <c r="E31" s="7" t="str">
        <f>IFERROR(VLOOKUP(D31,'Lista desplegable'!C$1:D$436,2,FALSE),"")</f>
        <v>PERFORISTA</v>
      </c>
      <c r="F31" s="43" t="s">
        <v>41</v>
      </c>
      <c r="G31" s="43" t="s">
        <v>20</v>
      </c>
      <c r="H31" s="44" t="s">
        <v>52</v>
      </c>
      <c r="I31" s="52" t="s">
        <v>1017</v>
      </c>
      <c r="J31" s="11" t="s">
        <v>15</v>
      </c>
      <c r="K31" s="11" t="s">
        <v>14</v>
      </c>
      <c r="L31" s="11" t="s">
        <v>14</v>
      </c>
      <c r="M31" s="64"/>
    </row>
    <row r="32" spans="2:13" s="1" customFormat="1" ht="13.15" customHeight="1">
      <c r="B32" s="24">
        <v>25</v>
      </c>
      <c r="C32" s="33" t="s">
        <v>98</v>
      </c>
      <c r="D32" s="7" t="str">
        <f>IFERROR(VLOOKUP(C32,'Lista desplegable'!B$1:C$436,2,FALSE),"")</f>
        <v>ANGELO GIOVANNI BIZAMA ORELLANA</v>
      </c>
      <c r="E32" s="7" t="str">
        <f>IFERROR(VLOOKUP(D32,'Lista desplegable'!C$1:D$436,2,FALSE),"")</f>
        <v>AYUDANTE DE PERFORISTA</v>
      </c>
      <c r="F32" s="43"/>
      <c r="G32" s="43"/>
      <c r="H32" s="43"/>
      <c r="I32" s="37"/>
      <c r="J32" s="11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958</v>
      </c>
      <c r="D33" s="7" t="str">
        <f>IFERROR(VLOOKUP(C33,'Lista desplegable'!B$1:C$436,2,FALSE),"")</f>
        <v>WALTER LISANDRO SALAS MESA</v>
      </c>
      <c r="E33" s="7" t="str">
        <f>IFERROR(VLOOKUP(D33,'Lista desplegable'!C$1:D$436,2,FALSE),"")</f>
        <v>PERFORISTA</v>
      </c>
      <c r="F33" s="43"/>
      <c r="G33" s="43"/>
      <c r="H33" s="43"/>
      <c r="I33" s="37"/>
      <c r="J33" s="11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1006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42" t="s">
        <v>34</v>
      </c>
      <c r="G42" s="45" t="s">
        <v>20</v>
      </c>
      <c r="H42" s="46" t="s">
        <v>52</v>
      </c>
      <c r="I42" s="47" t="s">
        <v>1018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27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53"/>
      <c r="G43" s="45"/>
      <c r="H43" s="46"/>
      <c r="I43" s="47"/>
      <c r="J43" s="11" t="s">
        <v>23</v>
      </c>
      <c r="K43" s="11"/>
      <c r="L43" s="11"/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42" t="s">
        <v>34</v>
      </c>
      <c r="G44" s="45" t="s">
        <v>20</v>
      </c>
      <c r="H44" s="46" t="s">
        <v>52</v>
      </c>
      <c r="I44" s="47" t="s">
        <v>1018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42" t="s">
        <v>34</v>
      </c>
      <c r="G45" s="45" t="s">
        <v>20</v>
      </c>
      <c r="H45" s="46" t="s">
        <v>52</v>
      </c>
      <c r="I45" s="47" t="s">
        <v>1018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5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42" t="s">
        <v>34</v>
      </c>
      <c r="G46" s="45" t="s">
        <v>20</v>
      </c>
      <c r="H46" s="46" t="s">
        <v>52</v>
      </c>
      <c r="I46" s="47" t="s">
        <v>1018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46" t="s">
        <v>52</v>
      </c>
      <c r="I47" s="47" t="s">
        <v>1018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47" t="s">
        <v>1018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47" t="s">
        <v>1018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 t="s">
        <v>1015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5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53" t="s">
        <v>41</v>
      </c>
      <c r="G51" s="45" t="s">
        <v>20</v>
      </c>
      <c r="H51" s="46" t="s">
        <v>52</v>
      </c>
      <c r="I51" s="39" t="s">
        <v>1015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35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67" t="s">
        <v>41</v>
      </c>
      <c r="G52" s="45" t="s">
        <v>20</v>
      </c>
      <c r="H52" s="49" t="s">
        <v>52</v>
      </c>
      <c r="I52" s="39" t="s">
        <v>1015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3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69" t="s">
        <v>41</v>
      </c>
      <c r="G53" s="43" t="s">
        <v>20</v>
      </c>
      <c r="H53" s="43" t="s">
        <v>52</v>
      </c>
      <c r="I53" s="39" t="s">
        <v>1015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387DF23-0F97-471D-9822-A3C5C5B3E7EB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7787C487-F04D-4289-BE57-A27FF7156D7A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C2218721-3579-49FA-A37A-FB7E64EABFA8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BE474D69-945F-4820-9DC1-73F70AFFC1C3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F53592EA-CF32-4EE9-967E-F4E69B827A6D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ADB6022B-2B44-4CD9-9618-D87E0F8B92CA}">
          <x14:formula1>
            <xm:f>'Lista desplegable'!$L$2:$L$3</xm:f>
          </x14:formula1>
          <xm:sqref>K42:L61 K8:L37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216-3301-4476-8226-C54814A5E2B2}">
  <dimension ref="B1:M82"/>
  <sheetViews>
    <sheetView zoomScaleNormal="100" workbookViewId="0">
      <selection activeCell="H43" sqref="H43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46274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979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43" t="s">
        <v>34</v>
      </c>
      <c r="G8" s="46" t="s">
        <v>20</v>
      </c>
      <c r="H8" s="46" t="s">
        <v>52</v>
      </c>
      <c r="I8" s="39" t="s">
        <v>1019</v>
      </c>
      <c r="J8" s="11" t="s">
        <v>23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43" t="s">
        <v>34</v>
      </c>
      <c r="G9" s="46" t="s">
        <v>20</v>
      </c>
      <c r="H9" s="46" t="s">
        <v>52</v>
      </c>
      <c r="I9" s="39" t="s">
        <v>1019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27" t="s">
        <v>409</v>
      </c>
      <c r="D10" s="7" t="str">
        <f>IFERROR(VLOOKUP(C10,'Lista desplegable'!B$1:C$436,2,FALSE),"")</f>
        <v>HANS YERKO MARQUEZ MUÑOZ</v>
      </c>
      <c r="E10" s="7" t="str">
        <f>IFERROR(VLOOKUP(D10,'Lista desplegable'!C$1:D$436,2,FALSE),"")</f>
        <v>SUPERINTENDENTE DE MANTENCION</v>
      </c>
      <c r="F10" s="43"/>
      <c r="G10" s="53"/>
      <c r="H10" s="53"/>
      <c r="I10" s="54"/>
      <c r="J10" s="11" t="s">
        <v>37</v>
      </c>
      <c r="K10" s="11"/>
      <c r="L10" s="11"/>
      <c r="M10" s="62" t="s">
        <v>1014</v>
      </c>
    </row>
    <row r="11" spans="2:13" s="1" customFormat="1" ht="13.15" customHeight="1">
      <c r="B11" s="24">
        <v>4</v>
      </c>
      <c r="C11" s="27" t="s">
        <v>426</v>
      </c>
      <c r="D11" s="7" t="str">
        <f>IFERROR(VLOOKUP(C11,'Lista desplegable'!B$1:C$436,2,FALSE),"")</f>
        <v>ISRAEL AARÓN VERGARA ELGUETA</v>
      </c>
      <c r="E11" s="7" t="str">
        <f>IFERROR(VLOOKUP(D11,'Lista desplegable'!C$1:D$436,2,FALSE),"")</f>
        <v>ADMINISTRADOR DE CONTRATO</v>
      </c>
      <c r="F11" s="43" t="s">
        <v>34</v>
      </c>
      <c r="G11" s="46" t="s">
        <v>20</v>
      </c>
      <c r="H11" s="46" t="s">
        <v>52</v>
      </c>
      <c r="I11" s="39" t="s">
        <v>1019</v>
      </c>
      <c r="J11" s="11" t="s">
        <v>15</v>
      </c>
      <c r="K11" s="11" t="s">
        <v>14</v>
      </c>
      <c r="L11" s="11" t="s">
        <v>14</v>
      </c>
      <c r="M11" s="62"/>
    </row>
    <row r="12" spans="2:13" s="1" customFormat="1" ht="13.15" customHeight="1">
      <c r="B12" s="24">
        <v>5</v>
      </c>
      <c r="C12" s="27" t="s">
        <v>904</v>
      </c>
      <c r="D12" s="7" t="str">
        <f>IFERROR(VLOOKUP(C12,'Lista desplegable'!B$1:C$436,2,FALSE),"")</f>
        <v>SIMONNE DE LA PAZ REYES BATLLE</v>
      </c>
      <c r="E12" s="7" t="str">
        <f>IFERROR(VLOOKUP(D12,'Lista desplegable'!C$1:D$436,2,FALSE),"")</f>
        <v>ADMINISTRATIVO DE FAENA</v>
      </c>
      <c r="F12" s="43" t="s">
        <v>34</v>
      </c>
      <c r="G12" s="46" t="s">
        <v>20</v>
      </c>
      <c r="H12" s="46" t="s">
        <v>52</v>
      </c>
      <c r="I12" s="39" t="s">
        <v>1019</v>
      </c>
      <c r="J12" s="11" t="s">
        <v>15</v>
      </c>
      <c r="K12" s="11" t="s">
        <v>14</v>
      </c>
      <c r="L12" s="11" t="s">
        <v>14</v>
      </c>
      <c r="M12" s="62"/>
    </row>
    <row r="13" spans="2:13" s="1" customFormat="1" ht="13.15" customHeight="1">
      <c r="B13" s="24">
        <v>6</v>
      </c>
      <c r="C13" s="27" t="s">
        <v>609</v>
      </c>
      <c r="D13" s="7" t="str">
        <f>IFERROR(VLOOKUP(C13,'Lista desplegable'!B$1:C$436,2,FALSE),"")</f>
        <v>MANUEL ALEJANDRO LISAMBARTH CARABANTES</v>
      </c>
      <c r="E13" s="7" t="str">
        <f>IFERROR(VLOOKUP(D13,'Lista desplegable'!C$1:D$436,2,FALSE),"")</f>
        <v>ADMINISTRATIVO DE FAENA</v>
      </c>
      <c r="F13" s="43" t="s">
        <v>34</v>
      </c>
      <c r="G13" s="46" t="s">
        <v>20</v>
      </c>
      <c r="H13" s="46" t="s">
        <v>52</v>
      </c>
      <c r="I13" s="39" t="s">
        <v>1019</v>
      </c>
      <c r="J13" s="11" t="s">
        <v>15</v>
      </c>
      <c r="K13" s="11" t="s">
        <v>14</v>
      </c>
      <c r="L13" s="11" t="s">
        <v>14</v>
      </c>
      <c r="M13" s="62"/>
    </row>
    <row r="14" spans="2:13" s="1" customFormat="1" ht="13.15" customHeight="1">
      <c r="B14" s="24">
        <v>7</v>
      </c>
      <c r="C14" s="27" t="s">
        <v>851</v>
      </c>
      <c r="D14" s="7" t="str">
        <f>IFERROR(VLOOKUP(C14,'Lista desplegable'!B$1:C$436,2,FALSE),"")</f>
        <v>RODRIGO ANDRES DIAZ INOSTROZA</v>
      </c>
      <c r="E14" s="7" t="str">
        <f>IFERROR(VLOOKUP(D14,'Lista desplegable'!C$1:D$436,2,FALSE),"")</f>
        <v>BODEGUERO</v>
      </c>
      <c r="F14" s="43" t="s">
        <v>34</v>
      </c>
      <c r="G14" s="46" t="s">
        <v>20</v>
      </c>
      <c r="H14" s="46" t="s">
        <v>52</v>
      </c>
      <c r="I14" s="39" t="s">
        <v>1019</v>
      </c>
      <c r="J14" s="11" t="s">
        <v>15</v>
      </c>
      <c r="K14" s="11" t="s">
        <v>14</v>
      </c>
      <c r="L14" s="11" t="s">
        <v>14</v>
      </c>
      <c r="M14" s="62"/>
    </row>
    <row r="15" spans="2:13" s="1" customFormat="1" ht="13.15" customHeight="1">
      <c r="B15" s="24">
        <v>8</v>
      </c>
      <c r="C15" s="27" t="s">
        <v>183</v>
      </c>
      <c r="D15" s="7" t="str">
        <f>IFERROR(VLOOKUP(C15,'Lista desplegable'!B$1:C$436,2,FALSE),"")</f>
        <v>CHRISTIAN DARIEM PIZARRO MUÑOZ</v>
      </c>
      <c r="E15" s="7" t="str">
        <f>IFERROR(VLOOKUP(D15,'Lista desplegable'!C$1:D$436,2,FALSE),"")</f>
        <v>SOLDADOR</v>
      </c>
      <c r="F15" s="43" t="s">
        <v>34</v>
      </c>
      <c r="G15" s="46" t="s">
        <v>20</v>
      </c>
      <c r="H15" s="46" t="s">
        <v>52</v>
      </c>
      <c r="I15" s="39" t="s">
        <v>1019</v>
      </c>
      <c r="J15" s="26" t="s">
        <v>15</v>
      </c>
      <c r="K15" s="11" t="s">
        <v>14</v>
      </c>
      <c r="L15" s="11" t="s">
        <v>14</v>
      </c>
      <c r="M15" s="62"/>
    </row>
    <row r="16" spans="2:13" s="1" customFormat="1" ht="13.15" customHeight="1">
      <c r="B16" s="24">
        <v>9</v>
      </c>
      <c r="C16" s="70" t="s">
        <v>241</v>
      </c>
      <c r="D16" s="7" t="str">
        <f>IFERROR(VLOOKUP(C16,'Lista desplegable'!B$1:C$436,2,FALSE),"")</f>
        <v>DANIEL ANDRES ANDRADE AGUILAR</v>
      </c>
      <c r="E16" s="7" t="str">
        <f>IFERROR(VLOOKUP(D16,'Lista desplegable'!C$1:D$436,2,FALSE),"")</f>
        <v>MECANICO</v>
      </c>
      <c r="F16" s="43" t="s">
        <v>34</v>
      </c>
      <c r="G16" s="46" t="s">
        <v>20</v>
      </c>
      <c r="H16" s="46" t="s">
        <v>52</v>
      </c>
      <c r="I16" s="39" t="s">
        <v>1019</v>
      </c>
      <c r="J16" s="26" t="s">
        <v>15</v>
      </c>
      <c r="K16" s="11" t="s">
        <v>14</v>
      </c>
      <c r="L16" s="11" t="s">
        <v>14</v>
      </c>
      <c r="M16" s="77"/>
    </row>
    <row r="17" spans="2:13" s="1" customFormat="1" ht="13.15" customHeight="1">
      <c r="B17" s="24">
        <v>10</v>
      </c>
      <c r="C17" s="30" t="s">
        <v>283</v>
      </c>
      <c r="D17" s="7" t="str">
        <f>IFERROR(VLOOKUP(C17,'Lista desplegable'!B$1:C$436,2,FALSE),"")</f>
        <v>DIEGO NICOLAS GONZALEZ OLIVARES</v>
      </c>
      <c r="E17" s="7" t="str">
        <f>IFERROR(VLOOKUP(D17,'Lista desplegable'!C$1:D$436,2,FALSE),"")</f>
        <v>MECANICO</v>
      </c>
      <c r="F17" s="43" t="s">
        <v>34</v>
      </c>
      <c r="G17" s="46" t="s">
        <v>20</v>
      </c>
      <c r="H17" s="46" t="s">
        <v>52</v>
      </c>
      <c r="I17" s="39" t="s">
        <v>1019</v>
      </c>
      <c r="J17" s="26" t="s">
        <v>15</v>
      </c>
      <c r="K17" s="11" t="s">
        <v>14</v>
      </c>
      <c r="L17" s="11" t="s">
        <v>14</v>
      </c>
      <c r="M17" s="64"/>
    </row>
    <row r="18" spans="2:13" s="1" customFormat="1" ht="13.15" customHeight="1">
      <c r="B18" s="24">
        <v>11</v>
      </c>
      <c r="C18" s="30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43" t="s">
        <v>34</v>
      </c>
      <c r="G18" s="46" t="s">
        <v>20</v>
      </c>
      <c r="H18" s="46" t="s">
        <v>52</v>
      </c>
      <c r="I18" s="39" t="s">
        <v>1019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28" t="s">
        <v>636</v>
      </c>
      <c r="D19" s="7" t="str">
        <f>IFERROR(VLOOKUP(C19,'Lista desplegable'!B$1:C$436,2,FALSE),"")</f>
        <v>MARCOS ANTONIO ALDEA BEROIZA</v>
      </c>
      <c r="E19" s="7" t="str">
        <f>IFERROR(VLOOKUP(D19,'Lista desplegable'!C$1:D$436,2,FALSE),"")</f>
        <v>CHOFER</v>
      </c>
      <c r="F19" s="43" t="s">
        <v>34</v>
      </c>
      <c r="G19" s="46" t="s">
        <v>20</v>
      </c>
      <c r="H19" s="46" t="s">
        <v>52</v>
      </c>
      <c r="I19" s="39" t="s">
        <v>1019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31" t="s">
        <v>156</v>
      </c>
      <c r="D20" s="7" t="str">
        <f>IFERROR(VLOOKUP(C20,'Lista desplegable'!B$1:C$436,2,FALSE),"")</f>
        <v>CARLOS ALBERTO RAMOS VELASQUEZ</v>
      </c>
      <c r="E20" s="7" t="str">
        <f>IFERROR(VLOOKUP(D20,'Lista desplegable'!C$1:D$436,2,FALSE),"")</f>
        <v>SUPERVISOR DE OPERACIONES</v>
      </c>
      <c r="F20" s="43" t="s">
        <v>34</v>
      </c>
      <c r="G20" s="46" t="s">
        <v>20</v>
      </c>
      <c r="H20" s="46" t="s">
        <v>52</v>
      </c>
      <c r="I20" s="39" t="s">
        <v>1019</v>
      </c>
      <c r="J20" s="26" t="s">
        <v>15</v>
      </c>
      <c r="K20" s="11" t="s">
        <v>14</v>
      </c>
      <c r="L20" s="11" t="s">
        <v>14</v>
      </c>
      <c r="M20" s="64"/>
    </row>
    <row r="21" spans="2:13" s="1" customFormat="1" ht="13.15" customHeight="1">
      <c r="B21" s="24">
        <v>14</v>
      </c>
      <c r="C21" s="27" t="s">
        <v>702</v>
      </c>
      <c r="D21" s="7" t="str">
        <f>IFERROR(VLOOKUP(C21,'Lista desplegable'!B$1:C$436,2,FALSE),"")</f>
        <v>NELSON PATRICIO FLORES SANHUEZA</v>
      </c>
      <c r="E21" s="7" t="str">
        <f>IFERROR(VLOOKUP(D21,'Lista desplegable'!C$1:D$436,2,FALSE),"")</f>
        <v>PREVENCIONISTA DE RIESGOS</v>
      </c>
      <c r="F21" s="43" t="s">
        <v>34</v>
      </c>
      <c r="G21" s="46" t="s">
        <v>20</v>
      </c>
      <c r="H21" s="46" t="s">
        <v>52</v>
      </c>
      <c r="I21" s="39" t="s">
        <v>1019</v>
      </c>
      <c r="J21" s="26" t="s">
        <v>15</v>
      </c>
      <c r="K21" s="11" t="s">
        <v>14</v>
      </c>
      <c r="L21" s="11" t="s">
        <v>14</v>
      </c>
      <c r="M21" s="78"/>
    </row>
    <row r="22" spans="2:13" s="1" customFormat="1" ht="13.15" customHeight="1">
      <c r="B22" s="24">
        <v>15</v>
      </c>
      <c r="C22" s="32" t="s">
        <v>294</v>
      </c>
      <c r="D22" s="7" t="str">
        <f>IFERROR(VLOOKUP(C22,'Lista desplegable'!B$1:C$436,2,FALSE),"")</f>
        <v>EDUARDO ANTONIO CASTILLO VALENZUELA</v>
      </c>
      <c r="E22" s="7" t="str">
        <f>IFERROR(VLOOKUP(D22,'Lista desplegable'!C$1:D$436,2,FALSE),"")</f>
        <v>PERFORISTA</v>
      </c>
      <c r="F22" s="46" t="s">
        <v>34</v>
      </c>
      <c r="G22" s="46" t="s">
        <v>20</v>
      </c>
      <c r="H22" s="46" t="s">
        <v>52</v>
      </c>
      <c r="I22" s="39" t="s">
        <v>1019</v>
      </c>
      <c r="J22" s="26" t="s">
        <v>15</v>
      </c>
      <c r="K22" s="11" t="s">
        <v>14</v>
      </c>
      <c r="L22" s="11" t="s">
        <v>14</v>
      </c>
      <c r="M22" s="43"/>
    </row>
    <row r="23" spans="2:13" s="1" customFormat="1" ht="13.15" customHeight="1">
      <c r="B23" s="24">
        <v>16</v>
      </c>
      <c r="C23" s="33" t="s">
        <v>451</v>
      </c>
      <c r="D23" s="7" t="str">
        <f>IFERROR(VLOOKUP(C23,'Lista desplegable'!B$1:C$436,2,FALSE),"")</f>
        <v>JEAN CHARLES CERDA ORREGO</v>
      </c>
      <c r="E23" s="7" t="str">
        <f>IFERROR(VLOOKUP(D23,'Lista desplegable'!C$1:D$436,2,FALSE),"")</f>
        <v>AYUDANTE DE PERFORISTA</v>
      </c>
      <c r="F23" s="43" t="s">
        <v>34</v>
      </c>
      <c r="G23" s="46" t="s">
        <v>20</v>
      </c>
      <c r="H23" s="46" t="s">
        <v>52</v>
      </c>
      <c r="I23" s="39" t="s">
        <v>1019</v>
      </c>
      <c r="J23" s="26" t="s">
        <v>15</v>
      </c>
      <c r="K23" s="11" t="s">
        <v>14</v>
      </c>
      <c r="L23" s="11" t="s">
        <v>14</v>
      </c>
      <c r="M23" s="43"/>
    </row>
    <row r="24" spans="2:13" s="1" customFormat="1" ht="13.15" customHeight="1">
      <c r="B24" s="24">
        <v>17</v>
      </c>
      <c r="C24" s="34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57" t="s">
        <v>34</v>
      </c>
      <c r="G24" s="46" t="s">
        <v>20</v>
      </c>
      <c r="H24" s="48" t="s">
        <v>52</v>
      </c>
      <c r="I24" s="39" t="s">
        <v>1019</v>
      </c>
      <c r="J24" s="26" t="s">
        <v>15</v>
      </c>
      <c r="K24" s="11" t="s">
        <v>14</v>
      </c>
      <c r="L24" s="11" t="s">
        <v>14</v>
      </c>
      <c r="M24" s="43"/>
    </row>
    <row r="25" spans="2:13" s="1" customFormat="1" ht="13.15" customHeight="1">
      <c r="B25" s="24">
        <v>18</v>
      </c>
      <c r="C25" s="31" t="s">
        <v>871</v>
      </c>
      <c r="D25" s="7" t="str">
        <f>IFERROR(VLOOKUP(C25,'Lista desplegable'!B$1:C$436,2,FALSE),"")</f>
        <v>RUBEN IGNACIO CORTES BORBON</v>
      </c>
      <c r="E25" s="7" t="str">
        <f>IFERROR(VLOOKUP(D25,'Lista desplegable'!C$1:D$436,2,FALSE),"")</f>
        <v>AYUDANTE DE PERFORISTA</v>
      </c>
      <c r="F25" s="43" t="s">
        <v>34</v>
      </c>
      <c r="G25" s="46" t="s">
        <v>20</v>
      </c>
      <c r="H25" s="46" t="s">
        <v>52</v>
      </c>
      <c r="I25" s="39" t="s">
        <v>1019</v>
      </c>
      <c r="J25" s="26" t="s">
        <v>15</v>
      </c>
      <c r="K25" s="11" t="s">
        <v>14</v>
      </c>
      <c r="L25" s="11" t="s">
        <v>14</v>
      </c>
      <c r="M25" s="43"/>
    </row>
    <row r="26" spans="2:13" s="1" customFormat="1" ht="13.15" customHeight="1">
      <c r="B26" s="24">
        <v>19</v>
      </c>
      <c r="C26" s="31" t="s">
        <v>269</v>
      </c>
      <c r="D26" s="7" t="str">
        <f>IFERROR(VLOOKUP(C26,'Lista desplegable'!B$1:C$436,2,FALSE),"")</f>
        <v>DENYS SAUL VERGARA TOCAS</v>
      </c>
      <c r="E26" s="7" t="str">
        <f>IFERROR(VLOOKUP(D26,'Lista desplegable'!C$1:D$436,2,FALSE),"")</f>
        <v>PERFORISTA</v>
      </c>
      <c r="F26" s="43" t="s">
        <v>34</v>
      </c>
      <c r="G26" s="46" t="s">
        <v>20</v>
      </c>
      <c r="H26" s="74" t="s">
        <v>52</v>
      </c>
      <c r="I26" s="39" t="s">
        <v>1019</v>
      </c>
      <c r="J26" s="26" t="s">
        <v>15</v>
      </c>
      <c r="K26" s="11" t="s">
        <v>14</v>
      </c>
      <c r="L26" s="11" t="s">
        <v>14</v>
      </c>
      <c r="M26" s="79" t="s">
        <v>1020</v>
      </c>
    </row>
    <row r="27" spans="2:13" s="1" customFormat="1" ht="13.15" customHeight="1">
      <c r="B27" s="24">
        <v>20</v>
      </c>
      <c r="C27" s="34" t="s">
        <v>560</v>
      </c>
      <c r="D27" s="7" t="str">
        <f>IFERROR(VLOOKUP(C27,'Lista desplegable'!B$1:C$436,2,FALSE),"")</f>
        <v>KEVIN ALEXIS NEYRA CORTES</v>
      </c>
      <c r="E27" s="7" t="str">
        <f>IFERROR(VLOOKUP(D27,'Lista desplegable'!C$1:D$436,2,FALSE),"")</f>
        <v>PERFORISTA</v>
      </c>
      <c r="F27" s="58" t="s">
        <v>41</v>
      </c>
      <c r="G27" s="75" t="s">
        <v>20</v>
      </c>
      <c r="H27" s="57" t="s">
        <v>52</v>
      </c>
      <c r="I27" s="76" t="s">
        <v>1021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5" t="s">
        <v>764</v>
      </c>
      <c r="D28" s="7" t="str">
        <f>IFERROR(VLOOKUP(C28,'Lista desplegable'!B$1:C$436,2,FALSE),"")</f>
        <v>PATRICIO RENAN GONZALEZ CABELLO</v>
      </c>
      <c r="E28" s="7" t="str">
        <f>IFERROR(VLOOKUP(D28,'Lista desplegable'!C$1:D$436,2,FALSE),"")</f>
        <v>AYUDANTE DE PERFORISTA</v>
      </c>
      <c r="F28" s="43" t="s">
        <v>41</v>
      </c>
      <c r="G28" s="43" t="s">
        <v>20</v>
      </c>
      <c r="H28" s="74" t="s">
        <v>52</v>
      </c>
      <c r="I28" s="76" t="s">
        <v>1021</v>
      </c>
      <c r="J28" s="26" t="s">
        <v>15</v>
      </c>
      <c r="K28" s="11" t="s">
        <v>14</v>
      </c>
      <c r="L28" s="11" t="s">
        <v>14</v>
      </c>
      <c r="M28" s="43"/>
    </row>
    <row r="29" spans="2:13" s="1" customFormat="1" ht="13.15" customHeight="1">
      <c r="B29" s="24">
        <v>22</v>
      </c>
      <c r="C29" s="31" t="s">
        <v>279</v>
      </c>
      <c r="D29" s="7" t="str">
        <f>IFERROR(VLOOKUP(C29,'Lista desplegable'!B$1:C$436,2,FALSE),"")</f>
        <v>DIEGO BRANCO BARRAZA CHAVEZ</v>
      </c>
      <c r="E29" s="7" t="str">
        <f>IFERROR(VLOOKUP(D29,'Lista desplegable'!C$1:D$436,2,FALSE),"")</f>
        <v>AYUDANTE DE PERFORISTA</v>
      </c>
      <c r="F29" s="43" t="s">
        <v>41</v>
      </c>
      <c r="G29" s="44" t="s">
        <v>20</v>
      </c>
      <c r="H29" s="43" t="s">
        <v>52</v>
      </c>
      <c r="I29" s="38" t="s">
        <v>1021</v>
      </c>
      <c r="J29" s="26" t="s">
        <v>15</v>
      </c>
      <c r="K29" s="11" t="s">
        <v>14</v>
      </c>
      <c r="L29" s="11" t="s">
        <v>14</v>
      </c>
      <c r="M29" s="43"/>
    </row>
    <row r="30" spans="2:13" s="1" customFormat="1" ht="13.15" customHeight="1">
      <c r="B30" s="24">
        <v>23</v>
      </c>
      <c r="C30" s="36" t="s">
        <v>740</v>
      </c>
      <c r="D30" s="7" t="str">
        <f>IFERROR(VLOOKUP(C30,'Lista desplegable'!B$1:C$436,2,FALSE),"")</f>
        <v>OSCAR RODRIGO ARIAS LEIVA</v>
      </c>
      <c r="E30" s="7" t="str">
        <f>IFERROR(VLOOKUP(D30,'Lista desplegable'!C$1:D$436,2,FALSE),"")</f>
        <v>AYUDANTE DE PERFORISTA</v>
      </c>
      <c r="F30" s="43" t="s">
        <v>41</v>
      </c>
      <c r="G30" s="44" t="s">
        <v>20</v>
      </c>
      <c r="H30" s="43" t="s">
        <v>52</v>
      </c>
      <c r="I30" s="38" t="s">
        <v>1021</v>
      </c>
      <c r="J30" s="26" t="s">
        <v>15</v>
      </c>
      <c r="K30" s="11" t="s">
        <v>14</v>
      </c>
      <c r="L30" s="11" t="s">
        <v>14</v>
      </c>
      <c r="M30" s="43"/>
    </row>
    <row r="31" spans="2:13" s="1" customFormat="1" ht="13.15" customHeight="1">
      <c r="B31" s="24">
        <v>24</v>
      </c>
      <c r="C31" s="56" t="s">
        <v>732</v>
      </c>
      <c r="D31" s="7" t="str">
        <f>IFERROR(VLOOKUP(C31,'Lista desplegable'!B$1:C$436,2,FALSE),"")</f>
        <v>ORLANDO PATRICIO CONTRERAS RIOS</v>
      </c>
      <c r="E31" s="7" t="str">
        <f>IFERROR(VLOOKUP(D31,'Lista desplegable'!C$1:D$436,2,FALSE),"")</f>
        <v>PERFORISTA</v>
      </c>
      <c r="F31" s="43" t="s">
        <v>41</v>
      </c>
      <c r="G31" s="44" t="s">
        <v>20</v>
      </c>
      <c r="H31" s="43" t="s">
        <v>52</v>
      </c>
      <c r="I31" s="38" t="s">
        <v>1021</v>
      </c>
      <c r="J31" s="11" t="s">
        <v>15</v>
      </c>
      <c r="K31" s="11" t="s">
        <v>14</v>
      </c>
      <c r="L31" s="11" t="s">
        <v>14</v>
      </c>
      <c r="M31" s="64"/>
    </row>
    <row r="32" spans="2:13" s="1" customFormat="1" ht="13.15" customHeight="1">
      <c r="B32" s="24">
        <v>25</v>
      </c>
      <c r="C32" s="33" t="s">
        <v>98</v>
      </c>
      <c r="D32" s="7" t="str">
        <f>IFERROR(VLOOKUP(C32,'Lista desplegable'!B$1:C$436,2,FALSE),"")</f>
        <v>ANGELO GIOVANNI BIZAMA ORELLANA</v>
      </c>
      <c r="E32" s="7" t="str">
        <f>IFERROR(VLOOKUP(D32,'Lista desplegable'!C$1:D$436,2,FALSE),"")</f>
        <v>AYUDANTE DE PERFORISTA</v>
      </c>
      <c r="F32" s="43"/>
      <c r="G32" s="43"/>
      <c r="H32" s="43"/>
      <c r="I32" s="37"/>
      <c r="J32" s="11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958</v>
      </c>
      <c r="D33" s="7" t="str">
        <f>IFERROR(VLOOKUP(C33,'Lista desplegable'!B$1:C$436,2,FALSE),"")</f>
        <v>WALTER LISANDRO SALAS MESA</v>
      </c>
      <c r="E33" s="7" t="str">
        <f>IFERROR(VLOOKUP(D33,'Lista desplegable'!C$1:D$436,2,FALSE),"")</f>
        <v>PERFORISTA</v>
      </c>
      <c r="F33" s="43"/>
      <c r="G33" s="43"/>
      <c r="H33" s="43"/>
      <c r="I33" s="37"/>
      <c r="J33" s="11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1006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27" t="s">
        <v>786</v>
      </c>
      <c r="D42" s="7" t="str">
        <f>IFERROR(VLOOKUP(C42,'Lista desplegable'!B$1:C$436,2,FALSE),"")</f>
        <v>RAUL ESTEBAN HERNANDEZ PIZARRO</v>
      </c>
      <c r="E42" s="7" t="str">
        <f>IFERROR(VLOOKUP(D42,'Lista desplegable'!C$1:D$436,2,FALSE),"")</f>
        <v>PREVENCIONISTA DE RIESGOS</v>
      </c>
      <c r="F42" s="53" t="s">
        <v>41</v>
      </c>
      <c r="G42" s="45" t="s">
        <v>20</v>
      </c>
      <c r="H42" s="46" t="s">
        <v>52</v>
      </c>
      <c r="I42" s="39" t="s">
        <v>1013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27" t="s">
        <v>375</v>
      </c>
      <c r="D43" s="7" t="str">
        <f>IFERROR(VLOOKUP(C43,'Lista desplegable'!B$1:C$436,2,FALSE),"")</f>
        <v>FRANCISCO PEDRO BORNAZ DELGADO</v>
      </c>
      <c r="E43" s="7" t="str">
        <f>IFERROR(VLOOKUP(D43,'Lista desplegable'!C$1:D$436,2,FALSE),"")</f>
        <v>SUPERVISOR DE OPERACIONES</v>
      </c>
      <c r="F43" s="53"/>
      <c r="G43" s="45"/>
      <c r="H43" s="46"/>
      <c r="I43" s="39"/>
      <c r="J43" s="11" t="s">
        <v>23</v>
      </c>
      <c r="K43" s="11"/>
      <c r="L43" s="11"/>
      <c r="M43" s="11"/>
    </row>
    <row r="44" spans="2:13" ht="13.15" customHeight="1">
      <c r="B44" s="24">
        <v>3</v>
      </c>
      <c r="C44" s="27" t="s">
        <v>149</v>
      </c>
      <c r="D44" s="7" t="str">
        <f>IFERROR(VLOOKUP(C44,'Lista desplegable'!B$1:C$436,2,FALSE),"")</f>
        <v>CAMILO FELIPE CRUZ MOLINA</v>
      </c>
      <c r="E44" s="7" t="str">
        <f>IFERROR(VLOOKUP(D44,'Lista desplegable'!C$1:D$436,2,FALSE),"")</f>
        <v>SUPERVISOR DE OPERACIONES</v>
      </c>
      <c r="F44" s="53" t="s">
        <v>41</v>
      </c>
      <c r="G44" s="45" t="s">
        <v>20</v>
      </c>
      <c r="H44" s="46" t="s">
        <v>52</v>
      </c>
      <c r="I44" s="39" t="s">
        <v>1013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33" t="s">
        <v>804</v>
      </c>
      <c r="D45" s="7" t="str">
        <f>IFERROR(VLOOKUP(C45,'Lista desplegable'!B$1:C$436,2,FALSE),"")</f>
        <v>RICARDO DE LAS NIEVES GUTIERREZ FUENTES</v>
      </c>
      <c r="E45" s="7" t="str">
        <f>IFERROR(VLOOKUP(D45,'Lista desplegable'!C$1:D$436,2,FALSE),"")</f>
        <v>CHOFER</v>
      </c>
      <c r="F45" s="53" t="s">
        <v>41</v>
      </c>
      <c r="G45" s="45" t="s">
        <v>20</v>
      </c>
      <c r="H45" s="46" t="s">
        <v>52</v>
      </c>
      <c r="I45" s="39" t="s">
        <v>1013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33" t="s">
        <v>891</v>
      </c>
      <c r="D46" s="7" t="str">
        <f>IFERROR(VLOOKUP(C46,'Lista desplegable'!B$1:C$436,2,FALSE),"")</f>
        <v>SEBASTIAN GONZALO ROJAS CLARO</v>
      </c>
      <c r="E46" s="7" t="str">
        <f>IFERROR(VLOOKUP(D46,'Lista desplegable'!C$1:D$436,2,FALSE),"")</f>
        <v>MECANICO</v>
      </c>
      <c r="F46" s="53" t="s">
        <v>41</v>
      </c>
      <c r="G46" s="45" t="s">
        <v>20</v>
      </c>
      <c r="H46" s="46" t="s">
        <v>52</v>
      </c>
      <c r="I46" s="39" t="s">
        <v>1013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33" t="s">
        <v>243</v>
      </c>
      <c r="D47" s="7" t="str">
        <f>IFERROR(VLOOKUP(C47,'Lista desplegable'!B$1:C$436,2,FALSE),"")</f>
        <v>DANIEL ANDRES VENEGAS CARRASCO</v>
      </c>
      <c r="E47" s="7" t="str">
        <f>IFERROR(VLOOKUP(D47,'Lista desplegable'!C$1:D$436,2,FALSE),"")</f>
        <v>PERFORISTA</v>
      </c>
      <c r="F47" s="42" t="s">
        <v>34</v>
      </c>
      <c r="G47" s="45" t="s">
        <v>20</v>
      </c>
      <c r="H47" s="46" t="s">
        <v>52</v>
      </c>
      <c r="I47" s="47" t="s">
        <v>1022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7</v>
      </c>
      <c r="C48" s="33" t="s">
        <v>466</v>
      </c>
      <c r="D48" s="7" t="str">
        <f>IFERROR(VLOOKUP(C48,'Lista desplegable'!B$1:C$436,2,FALSE),"")</f>
        <v>JOAQUIN IGNACIO TORO ALCAYAGA</v>
      </c>
      <c r="E48" s="7" t="str">
        <f>IFERROR(VLOOKUP(D48,'Lista desplegable'!C$1:D$436,2,FALSE),"")</f>
        <v>AYUDANTE DE PERFORISTA</v>
      </c>
      <c r="F48" s="42" t="s">
        <v>34</v>
      </c>
      <c r="G48" s="45" t="s">
        <v>20</v>
      </c>
      <c r="H48" s="46" t="s">
        <v>52</v>
      </c>
      <c r="I48" s="47" t="s">
        <v>1022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33" t="s">
        <v>632</v>
      </c>
      <c r="D49" s="7" t="str">
        <f>IFERROR(VLOOKUP(C49,'Lista desplegable'!B$1:C$436,2,FALSE),"")</f>
        <v>MARCO ANTONIO VELASQUEZ CIFUENTES</v>
      </c>
      <c r="E49" s="7" t="str">
        <f>IFERROR(VLOOKUP(D49,'Lista desplegable'!C$1:D$436,2,FALSE),"")</f>
        <v>AYUDANTE DE PERFORISTA</v>
      </c>
      <c r="F49" s="42" t="s">
        <v>34</v>
      </c>
      <c r="G49" s="45" t="s">
        <v>20</v>
      </c>
      <c r="H49" s="48" t="s">
        <v>52</v>
      </c>
      <c r="I49" s="47" t="s">
        <v>1022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9</v>
      </c>
      <c r="C50" s="33" t="s">
        <v>80</v>
      </c>
      <c r="D50" s="7" t="str">
        <f>IFERROR(VLOOKUP(C50,'Lista desplegable'!B$1:C$436,2,FALSE),"")</f>
        <v>ALVARO IGNACIO GODOY BRUNA</v>
      </c>
      <c r="E50" s="7" t="str">
        <f>IFERROR(VLOOKUP(D50,'Lista desplegable'!C$1:D$436,2,FALSE),"")</f>
        <v>PERFORISTA</v>
      </c>
      <c r="F50" s="41" t="s">
        <v>41</v>
      </c>
      <c r="G50" s="45" t="s">
        <v>20</v>
      </c>
      <c r="H50" s="46" t="s">
        <v>52</v>
      </c>
      <c r="I50" s="39" t="s">
        <v>1013</v>
      </c>
      <c r="J50" s="11" t="s">
        <v>15</v>
      </c>
      <c r="K50" s="11" t="s">
        <v>14</v>
      </c>
      <c r="L50" s="11" t="s">
        <v>14</v>
      </c>
      <c r="M50" s="11"/>
    </row>
    <row r="51" spans="2:13" ht="13.15" customHeight="1">
      <c r="B51" s="24">
        <v>10</v>
      </c>
      <c r="C51" s="35" t="s">
        <v>802</v>
      </c>
      <c r="D51" s="7" t="str">
        <f>IFERROR(VLOOKUP(C51,'Lista desplegable'!B$1:C$436,2,FALSE),"")</f>
        <v>RICARDO ALEXIS LEMUS LOPEZ</v>
      </c>
      <c r="E51" s="7" t="str">
        <f>IFERROR(VLOOKUP(D51,'Lista desplegable'!C$1:D$436,2,FALSE),"")</f>
        <v>AYUDANTE DE PERFORISTA</v>
      </c>
      <c r="F51" s="53" t="s">
        <v>41</v>
      </c>
      <c r="G51" s="45" t="s">
        <v>20</v>
      </c>
      <c r="H51" s="46" t="s">
        <v>52</v>
      </c>
      <c r="I51" s="39" t="s">
        <v>1013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35" t="s">
        <v>883</v>
      </c>
      <c r="D52" s="7" t="str">
        <f>IFERROR(VLOOKUP(C52,'Lista desplegable'!B$1:C$436,2,FALSE),"")</f>
        <v>SEBASTIAN ANTONIO VALDERRAMA HERRERA</v>
      </c>
      <c r="E52" s="7" t="str">
        <f>IFERROR(VLOOKUP(D52,'Lista desplegable'!C$1:D$436,2,FALSE),"")</f>
        <v>AYUDANTE DE PERFORISTA</v>
      </c>
      <c r="F52" s="67" t="s">
        <v>41</v>
      </c>
      <c r="G52" s="45" t="s">
        <v>20</v>
      </c>
      <c r="H52" s="49" t="s">
        <v>52</v>
      </c>
      <c r="I52" s="39" t="s">
        <v>1013</v>
      </c>
      <c r="J52" s="11" t="s">
        <v>15</v>
      </c>
      <c r="K52" s="11" t="s">
        <v>14</v>
      </c>
      <c r="L52" s="11" t="s">
        <v>14</v>
      </c>
      <c r="M52" s="11"/>
    </row>
    <row r="53" spans="2:13" ht="13.15" customHeight="1">
      <c r="B53" s="24">
        <v>12</v>
      </c>
      <c r="C53" s="33" t="s">
        <v>402</v>
      </c>
      <c r="D53" s="7" t="str">
        <f>IFERROR(VLOOKUP(C53,'Lista desplegable'!B$1:C$436,2,FALSE),"")</f>
        <v>GUILLERMO NICOLAS GODOY CARVAJAL</v>
      </c>
      <c r="E53" s="7" t="str">
        <f>IFERROR(VLOOKUP(D53,'Lista desplegable'!C$1:D$436,2,FALSE),"")</f>
        <v>AYUDANTE DE PERFORISTA</v>
      </c>
      <c r="F53" s="69" t="s">
        <v>41</v>
      </c>
      <c r="G53" s="43" t="s">
        <v>20</v>
      </c>
      <c r="H53" s="43" t="s">
        <v>52</v>
      </c>
      <c r="I53" s="39" t="s">
        <v>1013</v>
      </c>
      <c r="J53" s="11" t="s">
        <v>15</v>
      </c>
      <c r="K53" s="11" t="s">
        <v>14</v>
      </c>
      <c r="L53" s="11" t="s">
        <v>14</v>
      </c>
      <c r="M53" s="11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9009B0A-7B87-4356-BBF3-9A020FE23597}">
          <x14:formula1>
            <xm:f>'Lista desplegable'!$L$2:$L$3</xm:f>
          </x14:formula1>
          <xm:sqref>K42:L61 K8:L37</xm:sqref>
        </x14:dataValidation>
        <x14:dataValidation type="list" allowBlank="1" showInputMessage="1" showErrorMessage="1" xr:uid="{F4CB6D9A-8F80-4858-90EC-9CE317C54611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AE357506-679B-4683-B134-95402ECC8621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50177C6F-A39A-430B-9D13-DCEE85FDD4AD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1B0E7D3C-2B83-4266-9CA7-DAE9A999D56C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7F209BE9-0BCC-4F1A-B0B1-BAED3EB5FEB2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EF70-BB46-4DAA-902D-CACACFB0E2D8}">
  <dimension ref="B1:M82"/>
  <sheetViews>
    <sheetView zoomScaleNormal="100" workbookViewId="0">
      <selection activeCell="D44" sqref="D44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46304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1024</v>
      </c>
      <c r="G8" s="81" t="s">
        <v>20</v>
      </c>
      <c r="H8" s="81" t="s">
        <v>52</v>
      </c>
      <c r="I8" s="50" t="s">
        <v>1012</v>
      </c>
      <c r="J8" s="11" t="s">
        <v>23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63" t="s">
        <v>1024</v>
      </c>
      <c r="G9" s="81" t="s">
        <v>20</v>
      </c>
      <c r="H9" s="81" t="s">
        <v>52</v>
      </c>
      <c r="I9" s="50" t="s">
        <v>1012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80" t="s">
        <v>409</v>
      </c>
      <c r="D10" s="7" t="str">
        <f>IFERROR(VLOOKUP(C10,'Lista desplegable'!B$1:C$436,2,FALSE),"")</f>
        <v>HANS YERKO MARQUEZ MUÑOZ</v>
      </c>
      <c r="E10" s="7" t="str">
        <f>IFERROR(VLOOKUP(D10,'Lista desplegable'!C$1:D$436,2,FALSE),"")</f>
        <v>SUPERINTENDENTE DE MANTENCION</v>
      </c>
      <c r="F10" s="81"/>
      <c r="G10" s="81" t="s">
        <v>1025</v>
      </c>
      <c r="H10" s="81" t="s">
        <v>1025</v>
      </c>
      <c r="I10" s="50"/>
      <c r="J10" s="11" t="s">
        <v>37</v>
      </c>
      <c r="K10" s="11"/>
      <c r="L10" s="11"/>
      <c r="M10" s="62" t="s">
        <v>1014</v>
      </c>
    </row>
    <row r="11" spans="2:13" s="1" customFormat="1" ht="13.15" customHeight="1">
      <c r="B11" s="24">
        <v>4</v>
      </c>
      <c r="C11" s="80" t="s">
        <v>426</v>
      </c>
      <c r="D11" s="7" t="str">
        <f>IFERROR(VLOOKUP(C11,'Lista desplegable'!B$1:C$436,2,FALSE),"")</f>
        <v>ISRAEL AARÓN VERGARA ELGUETA</v>
      </c>
      <c r="E11" s="7" t="str">
        <f>IFERROR(VLOOKUP(D11,'Lista desplegable'!C$1:D$436,2,FALSE),"")</f>
        <v>ADMINISTRADOR DE CONTRATO</v>
      </c>
      <c r="F11" s="63" t="s">
        <v>1024</v>
      </c>
      <c r="G11" s="81" t="s">
        <v>20</v>
      </c>
      <c r="H11" s="81" t="s">
        <v>52</v>
      </c>
      <c r="I11" s="50" t="s">
        <v>1012</v>
      </c>
      <c r="J11" s="11" t="s">
        <v>15</v>
      </c>
      <c r="K11" s="11" t="s">
        <v>14</v>
      </c>
      <c r="L11" s="11" t="s">
        <v>14</v>
      </c>
      <c r="M11" s="62"/>
    </row>
    <row r="12" spans="2:13" s="1" customFormat="1" ht="13.15" customHeight="1">
      <c r="B12" s="24">
        <v>5</v>
      </c>
      <c r="C12" s="80" t="s">
        <v>904</v>
      </c>
      <c r="D12" s="7" t="str">
        <f>IFERROR(VLOOKUP(C12,'Lista desplegable'!B$1:C$436,2,FALSE),"")</f>
        <v>SIMONNE DE LA PAZ REYES BATLLE</v>
      </c>
      <c r="E12" s="7" t="str">
        <f>IFERROR(VLOOKUP(D12,'Lista desplegable'!C$1:D$436,2,FALSE),"")</f>
        <v>ADMINISTRATIVO DE FAENA</v>
      </c>
      <c r="F12" s="63" t="s">
        <v>1024</v>
      </c>
      <c r="G12" s="81" t="s">
        <v>20</v>
      </c>
      <c r="H12" s="81" t="s">
        <v>52</v>
      </c>
      <c r="I12" s="50" t="s">
        <v>1012</v>
      </c>
      <c r="J12" s="11" t="s">
        <v>15</v>
      </c>
      <c r="K12" s="11" t="s">
        <v>14</v>
      </c>
      <c r="L12" s="11" t="s">
        <v>14</v>
      </c>
      <c r="M12" s="62"/>
    </row>
    <row r="13" spans="2:13" s="1" customFormat="1" ht="13.15" customHeight="1">
      <c r="B13" s="24">
        <v>6</v>
      </c>
      <c r="C13" s="80" t="s">
        <v>241</v>
      </c>
      <c r="D13" s="7" t="str">
        <f>IFERROR(VLOOKUP(C13,'Lista desplegable'!B$1:C$436,2,FALSE),"")</f>
        <v>DANIEL ANDRES ANDRADE AGUILAR</v>
      </c>
      <c r="E13" s="7" t="str">
        <f>IFERROR(VLOOKUP(D13,'Lista desplegable'!C$1:D$436,2,FALSE),"")</f>
        <v>MECANICO</v>
      </c>
      <c r="F13" s="63" t="s">
        <v>1024</v>
      </c>
      <c r="G13" s="81" t="s">
        <v>20</v>
      </c>
      <c r="H13" s="81" t="s">
        <v>52</v>
      </c>
      <c r="I13" s="50" t="s">
        <v>1012</v>
      </c>
      <c r="J13" s="11" t="s">
        <v>15</v>
      </c>
      <c r="K13" s="11" t="s">
        <v>14</v>
      </c>
      <c r="L13" s="11" t="s">
        <v>14</v>
      </c>
      <c r="M13" s="62"/>
    </row>
    <row r="14" spans="2:13" s="1" customFormat="1" ht="13.15" customHeight="1">
      <c r="B14" s="24">
        <v>7</v>
      </c>
      <c r="C14" s="80" t="s">
        <v>972</v>
      </c>
      <c r="D14" s="7" t="str">
        <f>IFERROR(VLOOKUP(C14,'Lista desplegable'!B$1:C$436,2,FALSE),"")</f>
        <v>YONATHAN ALBERTO MOROSO CORTES</v>
      </c>
      <c r="E14" s="7" t="str">
        <f>IFERROR(VLOOKUP(D14,'Lista desplegable'!C$1:D$436,2,FALSE),"")</f>
        <v>ADMINISTRATIVO SENIOR</v>
      </c>
      <c r="F14" s="63" t="s">
        <v>1024</v>
      </c>
      <c r="G14" s="81" t="s">
        <v>20</v>
      </c>
      <c r="H14" s="81" t="s">
        <v>52</v>
      </c>
      <c r="I14" s="50" t="s">
        <v>1012</v>
      </c>
      <c r="J14" s="11" t="s">
        <v>15</v>
      </c>
      <c r="K14" s="11" t="s">
        <v>14</v>
      </c>
      <c r="L14" s="11" t="s">
        <v>14</v>
      </c>
      <c r="M14" s="62"/>
    </row>
    <row r="15" spans="2:13" s="1" customFormat="1" ht="13.15" customHeight="1">
      <c r="B15" s="24">
        <v>8</v>
      </c>
      <c r="C15" s="80" t="s">
        <v>258</v>
      </c>
      <c r="D15" s="7" t="str">
        <f>IFERROR(VLOOKUP(C15,'Lista desplegable'!B$1:C$436,2,FALSE),"")</f>
        <v>DAVID AUGUSTO MARSHALL FLORES</v>
      </c>
      <c r="E15" s="7" t="str">
        <f>IFERROR(VLOOKUP(D15,'Lista desplegable'!C$1:D$436,2,FALSE),"")</f>
        <v>BODEGUERO</v>
      </c>
      <c r="F15" s="63" t="s">
        <v>1024</v>
      </c>
      <c r="G15" s="81" t="s">
        <v>20</v>
      </c>
      <c r="H15" s="81" t="s">
        <v>52</v>
      </c>
      <c r="I15" s="50" t="s">
        <v>1012</v>
      </c>
      <c r="J15" s="26" t="s">
        <v>15</v>
      </c>
      <c r="K15" s="11" t="s">
        <v>14</v>
      </c>
      <c r="L15" s="11" t="s">
        <v>14</v>
      </c>
      <c r="M15" s="62"/>
    </row>
    <row r="16" spans="2:13" s="1" customFormat="1" ht="13.15" customHeight="1">
      <c r="B16" s="24">
        <v>9</v>
      </c>
      <c r="C16" s="80" t="s">
        <v>788</v>
      </c>
      <c r="D16" s="7" t="str">
        <f>IFERROR(VLOOKUP(C16,'Lista desplegable'!B$1:C$436,2,FALSE),"")</f>
        <v>RAUL MANUEL BUSTAMANTE CERON</v>
      </c>
      <c r="E16" s="7" t="str">
        <f>IFERROR(VLOOKUP(D16,'Lista desplegable'!C$1:D$436,2,FALSE),"")</f>
        <v>SOLDADOR</v>
      </c>
      <c r="F16" s="63" t="s">
        <v>1024</v>
      </c>
      <c r="G16" s="81" t="s">
        <v>20</v>
      </c>
      <c r="H16" s="81" t="s">
        <v>52</v>
      </c>
      <c r="I16" s="50" t="s">
        <v>1012</v>
      </c>
      <c r="J16" s="26" t="s">
        <v>15</v>
      </c>
      <c r="K16" s="11" t="s">
        <v>14</v>
      </c>
      <c r="L16" s="11" t="s">
        <v>14</v>
      </c>
      <c r="M16" s="62"/>
    </row>
    <row r="17" spans="2:13" s="1" customFormat="1" ht="13.15" customHeight="1">
      <c r="B17" s="24">
        <v>10</v>
      </c>
      <c r="C17" s="80" t="s">
        <v>476</v>
      </c>
      <c r="D17" s="7" t="str">
        <f>IFERROR(VLOOKUP(C17,'Lista desplegable'!B$1:C$436,2,FALSE),"")</f>
        <v>JONATHAN ALEXANDER OLIVARES NATES</v>
      </c>
      <c r="E17" s="7" t="str">
        <f>IFERROR(VLOOKUP(D17,'Lista desplegable'!C$1:D$436,2,FALSE),"")</f>
        <v>MECANICO</v>
      </c>
      <c r="F17" s="63" t="s">
        <v>1024</v>
      </c>
      <c r="G17" s="81" t="s">
        <v>20</v>
      </c>
      <c r="H17" s="81" t="s">
        <v>52</v>
      </c>
      <c r="I17" s="50" t="s">
        <v>1012</v>
      </c>
      <c r="J17" s="26" t="s">
        <v>15</v>
      </c>
      <c r="K17" s="11" t="s">
        <v>14</v>
      </c>
      <c r="L17" s="11" t="s">
        <v>14</v>
      </c>
      <c r="M17" s="77"/>
    </row>
    <row r="18" spans="2:13" s="1" customFormat="1" ht="13.15" customHeight="1">
      <c r="B18" s="24">
        <v>11</v>
      </c>
      <c r="C18" s="80" t="s">
        <v>837</v>
      </c>
      <c r="D18" s="7" t="str">
        <f>IFERROR(VLOOKUP(C18,'Lista desplegable'!B$1:C$436,2,FALSE),"")</f>
        <v>ROBERTO MAURICIO VERGARA NEGRETE</v>
      </c>
      <c r="E18" s="7" t="str">
        <f>IFERROR(VLOOKUP(D18,'Lista desplegable'!C$1:D$436,2,FALSE),"")</f>
        <v>ELECTROMECÁNICO</v>
      </c>
      <c r="F18" s="63" t="s">
        <v>1024</v>
      </c>
      <c r="G18" s="81" t="s">
        <v>20</v>
      </c>
      <c r="H18" s="81" t="s">
        <v>52</v>
      </c>
      <c r="I18" s="50" t="s">
        <v>1012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80" t="s">
        <v>178</v>
      </c>
      <c r="D19" s="7" t="str">
        <f>IFERROR(VLOOKUP(C19,'Lista desplegable'!B$1:C$436,2,FALSE),"")</f>
        <v>CELSO ANDRES ORREGO OLIVARES</v>
      </c>
      <c r="E19" s="7" t="str">
        <f>IFERROR(VLOOKUP(D19,'Lista desplegable'!C$1:D$436,2,FALSE),"")</f>
        <v>CHOFER</v>
      </c>
      <c r="F19" s="63" t="s">
        <v>1024</v>
      </c>
      <c r="G19" s="81" t="s">
        <v>20</v>
      </c>
      <c r="H19" s="81" t="s">
        <v>52</v>
      </c>
      <c r="I19" s="50" t="s">
        <v>1012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80" t="s">
        <v>784</v>
      </c>
      <c r="D20" s="7" t="str">
        <f>IFERROR(VLOOKUP(C20,'Lista desplegable'!B$1:C$436,2,FALSE),"")</f>
        <v>RAUL ALEJANDRO RIVERO RIVERO</v>
      </c>
      <c r="E20" s="7" t="str">
        <f>IFERROR(VLOOKUP(D20,'Lista desplegable'!C$1:D$436,2,FALSE),"")</f>
        <v>SUPERVISOR DE OPERACIONES</v>
      </c>
      <c r="F20" s="63" t="s">
        <v>1024</v>
      </c>
      <c r="G20" s="81" t="s">
        <v>20</v>
      </c>
      <c r="H20" s="81" t="s">
        <v>52</v>
      </c>
      <c r="I20" s="50" t="s">
        <v>1012</v>
      </c>
      <c r="J20" s="26" t="s">
        <v>15</v>
      </c>
      <c r="K20" s="11" t="s">
        <v>14</v>
      </c>
      <c r="L20" s="11" t="s">
        <v>14</v>
      </c>
      <c r="M20" s="64"/>
    </row>
    <row r="21" spans="2:13" s="1" customFormat="1" ht="13.15" customHeight="1">
      <c r="B21" s="24">
        <v>14</v>
      </c>
      <c r="C21" s="80" t="s">
        <v>744</v>
      </c>
      <c r="D21" s="7" t="str">
        <f>IFERROR(VLOOKUP(C21,'Lista desplegable'!B$1:C$436,2,FALSE),"")</f>
        <v>PABLO ANTONIO ALVAREZ CORTES</v>
      </c>
      <c r="E21" s="7" t="str">
        <f>IFERROR(VLOOKUP(D21,'Lista desplegable'!C$1:D$436,2,FALSE),"")</f>
        <v>PREVENCIONISTA DE RIESGOS</v>
      </c>
      <c r="F21" s="63" t="s">
        <v>1024</v>
      </c>
      <c r="G21" s="81" t="s">
        <v>20</v>
      </c>
      <c r="H21" s="81" t="s">
        <v>52</v>
      </c>
      <c r="I21" s="50" t="s">
        <v>1012</v>
      </c>
      <c r="J21" s="26" t="s">
        <v>15</v>
      </c>
      <c r="K21" s="11" t="s">
        <v>14</v>
      </c>
      <c r="L21" s="11" t="s">
        <v>14</v>
      </c>
      <c r="M21" s="64"/>
    </row>
    <row r="22" spans="2:13" s="1" customFormat="1" ht="13.15" customHeight="1">
      <c r="B22" s="24">
        <v>15</v>
      </c>
      <c r="C22" s="80" t="s">
        <v>398</v>
      </c>
      <c r="D22" s="7" t="str">
        <f>IFERROR(VLOOKUP(C22,'Lista desplegable'!B$1:C$436,2,FALSE),"")</f>
        <v>GUILLERMO ALFREDO CASTRO ZUÑIGA</v>
      </c>
      <c r="E22" s="7" t="str">
        <f>IFERROR(VLOOKUP(D22,'Lista desplegable'!C$1:D$436,2,FALSE),"")</f>
        <v>PERFORISTA</v>
      </c>
      <c r="F22" s="63" t="s">
        <v>1024</v>
      </c>
      <c r="G22" s="81" t="s">
        <v>20</v>
      </c>
      <c r="H22" s="81" t="s">
        <v>52</v>
      </c>
      <c r="I22" s="50" t="s">
        <v>1012</v>
      </c>
      <c r="J22" s="26" t="s">
        <v>15</v>
      </c>
      <c r="K22" s="11" t="s">
        <v>14</v>
      </c>
      <c r="L22" s="11" t="s">
        <v>14</v>
      </c>
      <c r="M22" s="78"/>
    </row>
    <row r="23" spans="2:13" s="1" customFormat="1" ht="13.15" customHeight="1">
      <c r="B23" s="24">
        <v>16</v>
      </c>
      <c r="C23" s="80" t="s">
        <v>818</v>
      </c>
      <c r="D23" s="7" t="str">
        <f>IFERROR(VLOOKUP(C23,'Lista desplegable'!B$1:C$436,2,FALSE),"")</f>
        <v>RICKY DONNELLY ARAVENA POBLETE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1" t="s">
        <v>52</v>
      </c>
      <c r="I23" s="50" t="s">
        <v>1012</v>
      </c>
      <c r="J23" s="26" t="s">
        <v>15</v>
      </c>
      <c r="K23" s="11" t="s">
        <v>14</v>
      </c>
      <c r="L23" s="11" t="s">
        <v>14</v>
      </c>
      <c r="M23" s="43"/>
    </row>
    <row r="24" spans="2:13" s="1" customFormat="1" ht="13.15" customHeight="1">
      <c r="B24" s="24">
        <v>17</v>
      </c>
      <c r="C24" s="80" t="s">
        <v>185</v>
      </c>
      <c r="D24" s="7" t="str">
        <f>IFERROR(VLOOKUP(C24,'Lista desplegable'!B$1:C$436,2,FALSE),"")</f>
        <v>CHRISTOFER HUESLY OLIVARES FERNANDEZ</v>
      </c>
      <c r="E24" s="7" t="str">
        <f>IFERROR(VLOOKUP(D24,'Lista desplegable'!C$1:D$436,2,FALSE),"")</f>
        <v>AYUDANTE DE PERFORISTA</v>
      </c>
      <c r="F24" s="63" t="s">
        <v>1024</v>
      </c>
      <c r="G24" s="81" t="s">
        <v>20</v>
      </c>
      <c r="H24" s="81" t="s">
        <v>52</v>
      </c>
      <c r="I24" s="50" t="s">
        <v>1012</v>
      </c>
      <c r="J24" s="26" t="s">
        <v>15</v>
      </c>
      <c r="K24" s="11" t="s">
        <v>14</v>
      </c>
      <c r="L24" s="11" t="s">
        <v>14</v>
      </c>
      <c r="M24" s="43"/>
    </row>
    <row r="25" spans="2:13" s="1" customFormat="1" ht="13.15" customHeight="1">
      <c r="B25" s="24">
        <v>18</v>
      </c>
      <c r="C25" s="80" t="s">
        <v>562</v>
      </c>
      <c r="D25" s="7" t="str">
        <f>IFERROR(VLOOKUP(C25,'Lista desplegable'!B$1:C$436,2,FALSE),"")</f>
        <v>KEVIN ESTEBAN VALENZUELA VALENZUELA</v>
      </c>
      <c r="E25" s="7" t="str">
        <f>IFERROR(VLOOKUP(D25,'Lista desplegable'!C$1:D$436,2,FALSE),"")</f>
        <v>PERFORISTA</v>
      </c>
      <c r="F25" s="63" t="s">
        <v>1026</v>
      </c>
      <c r="G25" s="81" t="s">
        <v>20</v>
      </c>
      <c r="H25" s="81" t="s">
        <v>52</v>
      </c>
      <c r="I25" s="50" t="s">
        <v>1012</v>
      </c>
      <c r="J25" s="26" t="s">
        <v>15</v>
      </c>
      <c r="K25" s="11" t="s">
        <v>14</v>
      </c>
      <c r="L25" s="11" t="s">
        <v>14</v>
      </c>
      <c r="M25" s="43"/>
    </row>
    <row r="26" spans="2:13" s="1" customFormat="1" ht="13.15" customHeight="1">
      <c r="B26" s="24">
        <v>19</v>
      </c>
      <c r="C26" s="80" t="s">
        <v>897</v>
      </c>
      <c r="D26" s="7" t="str">
        <f>IFERROR(VLOOKUP(C26,'Lista desplegable'!B$1:C$436,2,FALSE),"")</f>
        <v>SERGIO ALFONSO BRUNA LEDEZMA</v>
      </c>
      <c r="E26" s="7" t="str">
        <f>IFERROR(VLOOKUP(D26,'Lista desplegable'!C$1:D$436,2,FALSE),"")</f>
        <v>AYUDANTE DE PERFORISTA</v>
      </c>
      <c r="F26" s="63" t="s">
        <v>1026</v>
      </c>
      <c r="G26" s="81" t="s">
        <v>20</v>
      </c>
      <c r="H26" s="81" t="s">
        <v>52</v>
      </c>
      <c r="I26" s="50" t="s">
        <v>1012</v>
      </c>
      <c r="J26" s="26" t="s">
        <v>15</v>
      </c>
      <c r="K26" s="11" t="s">
        <v>14</v>
      </c>
      <c r="L26" s="11" t="s">
        <v>14</v>
      </c>
      <c r="M26" s="43"/>
    </row>
    <row r="27" spans="2:13" s="1" customFormat="1" ht="13.15" customHeight="1">
      <c r="B27" s="24">
        <v>20</v>
      </c>
      <c r="C27" s="80" t="s">
        <v>305</v>
      </c>
      <c r="D27" s="7" t="str">
        <f>IFERROR(VLOOKUP(C27,'Lista desplegable'!B$1:C$436,2,FALSE),"")</f>
        <v>EMIL EDGARDO VARGAS BORDONES</v>
      </c>
      <c r="E27" s="7" t="str">
        <f>IFERROR(VLOOKUP(D27,'Lista desplegable'!C$1:D$436,2,FALSE),"")</f>
        <v>AYUDANTE DE PERFORISTA</v>
      </c>
      <c r="F27" s="63" t="s">
        <v>1026</v>
      </c>
      <c r="G27" s="81" t="s">
        <v>20</v>
      </c>
      <c r="H27" s="81" t="s">
        <v>52</v>
      </c>
      <c r="I27" s="50" t="s">
        <v>1012</v>
      </c>
      <c r="J27" s="26" t="s">
        <v>15</v>
      </c>
      <c r="K27" s="11" t="s">
        <v>14</v>
      </c>
      <c r="L27" s="11" t="s">
        <v>14</v>
      </c>
      <c r="M27" s="79"/>
    </row>
    <row r="28" spans="2:13" s="1" customFormat="1" ht="13.15" customHeight="1">
      <c r="B28" s="24">
        <v>21</v>
      </c>
      <c r="C28" s="80" t="s">
        <v>877</v>
      </c>
      <c r="D28" s="7" t="str">
        <f>IFERROR(VLOOKUP(C28,'Lista desplegable'!B$1:C$436,2,FALSE),"")</f>
        <v>SEBASTIAN ALEJANDRO ARANEDA MILLAR</v>
      </c>
      <c r="E28" s="7" t="str">
        <f>IFERROR(VLOOKUP(D28,'Lista desplegable'!C$1:D$436,2,FALSE),"")</f>
        <v>AYUDANTE DE PERFORISTA</v>
      </c>
      <c r="F28" s="63" t="s">
        <v>1026</v>
      </c>
      <c r="G28" s="81" t="s">
        <v>20</v>
      </c>
      <c r="H28" s="81" t="s">
        <v>52</v>
      </c>
      <c r="I28" s="50" t="s">
        <v>1012</v>
      </c>
      <c r="J28" s="26" t="s">
        <v>15</v>
      </c>
      <c r="K28" s="11" t="s">
        <v>14</v>
      </c>
      <c r="L28" s="11" t="s">
        <v>14</v>
      </c>
      <c r="M28" s="57"/>
    </row>
    <row r="29" spans="2:13" s="1" customFormat="1" ht="13.15" customHeight="1">
      <c r="B29" s="24">
        <v>22</v>
      </c>
      <c r="C29" s="80" t="s">
        <v>269</v>
      </c>
      <c r="D29" s="7" t="str">
        <f>IFERROR(VLOOKUP(C29,'Lista desplegable'!B$1:C$436,2,FALSE),"")</f>
        <v>DENYS SAUL VERGARA TOCAS</v>
      </c>
      <c r="E29" s="7" t="str">
        <f>IFERROR(VLOOKUP(D29,'Lista desplegable'!C$1:D$436,2,FALSE),"")</f>
        <v>PERFORISTA</v>
      </c>
      <c r="F29" s="63" t="s">
        <v>1026</v>
      </c>
      <c r="G29" s="81" t="s">
        <v>20</v>
      </c>
      <c r="H29" s="81" t="s">
        <v>52</v>
      </c>
      <c r="I29" s="50" t="s">
        <v>1012</v>
      </c>
      <c r="J29" s="26" t="s">
        <v>15</v>
      </c>
      <c r="K29" s="11" t="s">
        <v>14</v>
      </c>
      <c r="L29" s="11" t="s">
        <v>14</v>
      </c>
      <c r="M29" s="43"/>
    </row>
    <row r="30" spans="2:13" s="1" customFormat="1" ht="13.15" customHeight="1">
      <c r="B30" s="24">
        <v>23</v>
      </c>
      <c r="C30" s="80" t="s">
        <v>98</v>
      </c>
      <c r="D30" s="7" t="str">
        <f>IFERROR(VLOOKUP(C30,'Lista desplegable'!B$1:C$436,2,FALSE),"")</f>
        <v>ANGELO GIOVANNI BIZAMA ORELLANA</v>
      </c>
      <c r="E30" s="7" t="str">
        <f>IFERROR(VLOOKUP(D30,'Lista desplegable'!C$1:D$436,2,FALSE),"")</f>
        <v>AYUDANTE DE PERFORISTA</v>
      </c>
      <c r="F30" s="43"/>
      <c r="G30" s="44"/>
      <c r="H30" s="43"/>
      <c r="I30" s="38"/>
      <c r="J30" s="26" t="s">
        <v>37</v>
      </c>
      <c r="K30" s="11"/>
      <c r="L30" s="11"/>
      <c r="M30" s="59" t="s">
        <v>1005</v>
      </c>
    </row>
    <row r="31" spans="2:13" s="1" customFormat="1" ht="13.15" customHeight="1">
      <c r="B31" s="24">
        <v>24</v>
      </c>
      <c r="C31" s="33" t="s">
        <v>958</v>
      </c>
      <c r="D31" s="7" t="str">
        <f>IFERROR(VLOOKUP(C31,'Lista desplegable'!B$1:C$436,2,FALSE),"")</f>
        <v>WALTER LISANDRO SALAS MESA</v>
      </c>
      <c r="E31" s="7" t="str">
        <f>IFERROR(VLOOKUP(D31,'Lista desplegable'!C$1:D$436,2,FALSE),"")</f>
        <v>PERFORISTA</v>
      </c>
      <c r="F31" s="43"/>
      <c r="G31" s="44"/>
      <c r="H31" s="43"/>
      <c r="I31" s="38"/>
      <c r="J31" s="11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/>
      <c r="D32" s="7"/>
      <c r="E32" s="7"/>
      <c r="F32" s="43"/>
      <c r="G32" s="43"/>
      <c r="H32" s="43"/>
      <c r="I32" s="37"/>
      <c r="J32" s="11"/>
      <c r="K32" s="11"/>
      <c r="L32" s="11"/>
      <c r="M32" s="59"/>
    </row>
    <row r="33" spans="2:13" s="1" customFormat="1" ht="13.15" customHeight="1">
      <c r="B33" s="24">
        <v>26</v>
      </c>
      <c r="C33" s="33"/>
      <c r="D33" s="7"/>
      <c r="E33" s="7"/>
      <c r="F33" s="43"/>
      <c r="G33" s="43"/>
      <c r="H33" s="43"/>
      <c r="I33" s="37"/>
      <c r="J33" s="11"/>
      <c r="K33" s="11"/>
      <c r="L33" s="11"/>
      <c r="M33" s="59"/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2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 t="s">
        <v>1024</v>
      </c>
      <c r="G42" s="86" t="s">
        <v>20</v>
      </c>
      <c r="H42" s="86" t="s">
        <v>52</v>
      </c>
      <c r="I42" s="87" t="s">
        <v>1012</v>
      </c>
      <c r="J42" s="11" t="s">
        <v>15</v>
      </c>
      <c r="K42" s="11" t="s">
        <v>14</v>
      </c>
      <c r="L42" s="11" t="s">
        <v>22</v>
      </c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1024</v>
      </c>
      <c r="G43" s="86" t="s">
        <v>20</v>
      </c>
      <c r="H43" s="86" t="s">
        <v>52</v>
      </c>
      <c r="I43" s="87" t="s">
        <v>1012</v>
      </c>
      <c r="J43" s="11" t="s">
        <v>15</v>
      </c>
      <c r="K43" s="11" t="s">
        <v>14</v>
      </c>
      <c r="L43" s="11" t="s">
        <v>22</v>
      </c>
      <c r="M43" s="65" t="s">
        <v>1028</v>
      </c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1024</v>
      </c>
      <c r="G44" s="86" t="s">
        <v>20</v>
      </c>
      <c r="H44" s="86" t="s">
        <v>52</v>
      </c>
      <c r="I44" s="87" t="s">
        <v>1012</v>
      </c>
      <c r="J44" s="11" t="s">
        <v>15</v>
      </c>
      <c r="K44" s="11" t="s">
        <v>14</v>
      </c>
      <c r="L44" s="11" t="s">
        <v>22</v>
      </c>
      <c r="M44" s="65" t="s">
        <v>1028</v>
      </c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1024</v>
      </c>
      <c r="G45" s="86" t="s">
        <v>20</v>
      </c>
      <c r="H45" s="86" t="s">
        <v>52</v>
      </c>
      <c r="I45" s="87" t="s">
        <v>1012</v>
      </c>
      <c r="J45" s="11" t="s">
        <v>15</v>
      </c>
      <c r="K45" s="11" t="s">
        <v>14</v>
      </c>
      <c r="L45" s="11" t="s">
        <v>22</v>
      </c>
      <c r="M45" s="65" t="s">
        <v>1028</v>
      </c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1024</v>
      </c>
      <c r="G46" s="86" t="s">
        <v>20</v>
      </c>
      <c r="H46" s="86" t="s">
        <v>52</v>
      </c>
      <c r="I46" s="87" t="s">
        <v>1012</v>
      </c>
      <c r="J46" s="11" t="s">
        <v>15</v>
      </c>
      <c r="K46" s="11" t="s">
        <v>14</v>
      </c>
      <c r="L46" s="11" t="s">
        <v>22</v>
      </c>
      <c r="M46" s="65" t="s">
        <v>1028</v>
      </c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87" t="s">
        <v>1012</v>
      </c>
      <c r="J47" s="11" t="s">
        <v>15</v>
      </c>
      <c r="K47" s="11" t="s">
        <v>14</v>
      </c>
      <c r="L47" s="11" t="s">
        <v>22</v>
      </c>
      <c r="M47" s="65" t="s">
        <v>1028</v>
      </c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87" t="s">
        <v>1012</v>
      </c>
      <c r="J48" s="11" t="s">
        <v>15</v>
      </c>
      <c r="K48" s="11" t="s">
        <v>14</v>
      </c>
      <c r="L48" s="11" t="s">
        <v>22</v>
      </c>
      <c r="M48" s="65" t="s">
        <v>1028</v>
      </c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87" t="s">
        <v>1012</v>
      </c>
      <c r="J49" s="11" t="s">
        <v>15</v>
      </c>
      <c r="K49" s="11" t="s">
        <v>14</v>
      </c>
      <c r="L49" s="11" t="s">
        <v>22</v>
      </c>
      <c r="M49" s="65" t="s">
        <v>1028</v>
      </c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87" t="s">
        <v>1012</v>
      </c>
      <c r="J50" s="11" t="s">
        <v>15</v>
      </c>
      <c r="K50" s="11" t="s">
        <v>14</v>
      </c>
      <c r="L50" s="11" t="s">
        <v>22</v>
      </c>
      <c r="M50" s="65" t="s">
        <v>1028</v>
      </c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8" t="s">
        <v>1029</v>
      </c>
      <c r="J51" s="11" t="s">
        <v>15</v>
      </c>
      <c r="K51" s="11" t="s">
        <v>14</v>
      </c>
      <c r="L51" s="11" t="s">
        <v>22</v>
      </c>
      <c r="M51" s="65" t="s">
        <v>1028</v>
      </c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8" t="s">
        <v>1029</v>
      </c>
      <c r="J52" s="11" t="s">
        <v>15</v>
      </c>
      <c r="K52" s="11" t="s">
        <v>14</v>
      </c>
      <c r="L52" s="11" t="s">
        <v>22</v>
      </c>
      <c r="M52" s="65" t="s">
        <v>1028</v>
      </c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8" t="s">
        <v>1029</v>
      </c>
      <c r="J53" s="11" t="s">
        <v>15</v>
      </c>
      <c r="K53" s="11" t="s">
        <v>14</v>
      </c>
      <c r="L53" s="11" t="s">
        <v>22</v>
      </c>
      <c r="M53" s="65" t="s">
        <v>1028</v>
      </c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52C27D9-C9B6-40CC-ACE1-1ED90CE7C3A2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278A36A5-C49C-4220-BC4F-A8D64A2A6802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896B3B5E-3EEE-4EE1-BE28-229FC6EE66CC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4A780355-DA70-457E-A43C-A6CBBBDD499C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30945856-ED2A-499E-A3AB-10C432B37D02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6DC87A56-D4AD-4389-9399-DD8CA6FF008C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D7CA-2D77-48FB-8755-873FD472EA72}">
  <dimension ref="B1:M82"/>
  <sheetViews>
    <sheetView zoomScaleNormal="100" workbookViewId="0">
      <selection activeCell="J50" sqref="J50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46335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1026</v>
      </c>
      <c r="G8" s="81" t="s">
        <v>20</v>
      </c>
      <c r="H8" s="81" t="s">
        <v>52</v>
      </c>
      <c r="I8" s="50" t="s">
        <v>1030</v>
      </c>
      <c r="J8" s="11" t="s">
        <v>23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63" t="s">
        <v>1026</v>
      </c>
      <c r="G9" s="81" t="s">
        <v>20</v>
      </c>
      <c r="H9" s="81" t="s">
        <v>52</v>
      </c>
      <c r="I9" s="50" t="s">
        <v>1030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80" t="s">
        <v>409</v>
      </c>
      <c r="D10" s="7" t="str">
        <f>IFERROR(VLOOKUP(C10,'Lista desplegable'!B$1:C$436,2,FALSE),"")</f>
        <v>HANS YERKO MARQUEZ MUÑOZ</v>
      </c>
      <c r="E10" s="7" t="str">
        <f>IFERROR(VLOOKUP(D10,'Lista desplegable'!C$1:D$436,2,FALSE),"")</f>
        <v>SUPERINTENDENTE DE MANTENCION</v>
      </c>
      <c r="F10" s="81"/>
      <c r="G10" s="81"/>
      <c r="H10" s="81"/>
      <c r="I10" s="50"/>
      <c r="J10" s="11" t="s">
        <v>37</v>
      </c>
      <c r="K10" s="11"/>
      <c r="L10" s="11"/>
      <c r="M10" s="62" t="s">
        <v>1014</v>
      </c>
    </row>
    <row r="11" spans="2:13" s="1" customFormat="1" ht="13.15" customHeight="1">
      <c r="B11" s="24">
        <v>4</v>
      </c>
      <c r="C11" s="80" t="s">
        <v>426</v>
      </c>
      <c r="D11" s="7" t="str">
        <f>IFERROR(VLOOKUP(C11,'Lista desplegable'!B$1:C$436,2,FALSE),"")</f>
        <v>ISRAEL AARÓN VERGARA ELGUETA</v>
      </c>
      <c r="E11" s="7" t="str">
        <f>IFERROR(VLOOKUP(D11,'Lista desplegable'!C$1:D$436,2,FALSE),"")</f>
        <v>ADMINISTRADOR DE CONTRATO</v>
      </c>
      <c r="F11" s="63" t="s">
        <v>1026</v>
      </c>
      <c r="G11" s="81" t="s">
        <v>20</v>
      </c>
      <c r="H11" s="81" t="s">
        <v>52</v>
      </c>
      <c r="I11" s="50" t="s">
        <v>1030</v>
      </c>
      <c r="J11" s="11" t="s">
        <v>15</v>
      </c>
      <c r="K11" s="11" t="s">
        <v>14</v>
      </c>
      <c r="L11" s="11" t="s">
        <v>14</v>
      </c>
      <c r="M11" s="62"/>
    </row>
    <row r="12" spans="2:13" s="1" customFormat="1" ht="13.15" customHeight="1">
      <c r="B12" s="24">
        <v>5</v>
      </c>
      <c r="C12" s="80" t="s">
        <v>904</v>
      </c>
      <c r="D12" s="7" t="str">
        <f>IFERROR(VLOOKUP(C12,'Lista desplegable'!B$1:C$436,2,FALSE),"")</f>
        <v>SIMONNE DE LA PAZ REYES BATLLE</v>
      </c>
      <c r="E12" s="7" t="str">
        <f>IFERROR(VLOOKUP(D12,'Lista desplegable'!C$1:D$436,2,FALSE),"")</f>
        <v>ADMINISTRATIVO DE FAENA</v>
      </c>
      <c r="F12" s="63"/>
      <c r="G12" s="81"/>
      <c r="H12" s="81"/>
      <c r="I12" s="50"/>
      <c r="J12" s="11" t="s">
        <v>23</v>
      </c>
      <c r="K12" s="11"/>
      <c r="L12" s="11"/>
      <c r="M12" s="62"/>
    </row>
    <row r="13" spans="2:13" s="1" customFormat="1" ht="13.15" customHeight="1">
      <c r="B13" s="24">
        <v>6</v>
      </c>
      <c r="C13" s="33" t="s">
        <v>241</v>
      </c>
      <c r="D13" s="7" t="str">
        <f>IFERROR(VLOOKUP(C13,'Lista desplegable'!B$1:C$436,2,FALSE),"")</f>
        <v>DANIEL ANDRES ANDRADE AGUILAR</v>
      </c>
      <c r="E13" s="7" t="str">
        <f>IFERROR(VLOOKUP(D13,'Lista desplegable'!C$1:D$436,2,FALSE),"")</f>
        <v>MECANICO</v>
      </c>
      <c r="F13" s="63" t="s">
        <v>1026</v>
      </c>
      <c r="G13" s="81" t="s">
        <v>20</v>
      </c>
      <c r="H13" s="81" t="s">
        <v>52</v>
      </c>
      <c r="I13" s="50" t="s">
        <v>1030</v>
      </c>
      <c r="J13" s="11" t="s">
        <v>15</v>
      </c>
      <c r="K13" s="11" t="s">
        <v>14</v>
      </c>
      <c r="L13" s="11" t="s">
        <v>14</v>
      </c>
      <c r="M13" s="62"/>
    </row>
    <row r="14" spans="2:13" s="1" customFormat="1" ht="13.15" customHeight="1">
      <c r="B14" s="24">
        <v>7</v>
      </c>
      <c r="C14" s="80" t="s">
        <v>972</v>
      </c>
      <c r="D14" s="7" t="str">
        <f>IFERROR(VLOOKUP(C14,'Lista desplegable'!B$1:C$436,2,FALSE),"")</f>
        <v>YONATHAN ALBERTO MOROSO CORTES</v>
      </c>
      <c r="E14" s="7" t="str">
        <f>IFERROR(VLOOKUP(D14,'Lista desplegable'!C$1:D$436,2,FALSE),"")</f>
        <v>ADMINISTRATIVO SENIOR</v>
      </c>
      <c r="F14" s="63" t="s">
        <v>1026</v>
      </c>
      <c r="G14" s="81" t="s">
        <v>20</v>
      </c>
      <c r="H14" s="81" t="s">
        <v>52</v>
      </c>
      <c r="I14" s="50" t="s">
        <v>1030</v>
      </c>
      <c r="J14" s="11" t="s">
        <v>15</v>
      </c>
      <c r="K14" s="11" t="s">
        <v>14</v>
      </c>
      <c r="L14" s="11" t="s">
        <v>14</v>
      </c>
      <c r="M14" s="62"/>
    </row>
    <row r="15" spans="2:13" s="1" customFormat="1" ht="13.15" customHeight="1">
      <c r="B15" s="24">
        <v>8</v>
      </c>
      <c r="C15" s="80" t="s">
        <v>258</v>
      </c>
      <c r="D15" s="7" t="str">
        <f>IFERROR(VLOOKUP(C15,'Lista desplegable'!B$1:C$436,2,FALSE),"")</f>
        <v>DAVID AUGUSTO MARSHALL FLORES</v>
      </c>
      <c r="E15" s="7" t="str">
        <f>IFERROR(VLOOKUP(D15,'Lista desplegable'!C$1:D$436,2,FALSE),"")</f>
        <v>BODEGUERO</v>
      </c>
      <c r="F15" s="63" t="s">
        <v>1026</v>
      </c>
      <c r="G15" s="81" t="s">
        <v>20</v>
      </c>
      <c r="H15" s="81" t="s">
        <v>52</v>
      </c>
      <c r="I15" s="50" t="s">
        <v>1030</v>
      </c>
      <c r="J15" s="26" t="s">
        <v>15</v>
      </c>
      <c r="K15" s="11" t="s">
        <v>14</v>
      </c>
      <c r="L15" s="11" t="s">
        <v>14</v>
      </c>
      <c r="M15" s="62"/>
    </row>
    <row r="16" spans="2:13" s="1" customFormat="1" ht="13.15" customHeight="1">
      <c r="B16" s="24">
        <v>9</v>
      </c>
      <c r="C16" s="81" t="s">
        <v>788</v>
      </c>
      <c r="D16" s="7" t="str">
        <f>IFERROR(VLOOKUP(C16,'Lista desplegable'!B$1:C$436,2,FALSE),"")</f>
        <v>RAUL MANUEL BUSTAMANTE CERON</v>
      </c>
      <c r="E16" s="7" t="str">
        <f>IFERROR(VLOOKUP(D16,'Lista desplegable'!C$1:D$436,2,FALSE),"")</f>
        <v>SOLDADOR</v>
      </c>
      <c r="F16" s="63" t="s">
        <v>1026</v>
      </c>
      <c r="G16" s="81" t="s">
        <v>20</v>
      </c>
      <c r="H16" s="81" t="s">
        <v>52</v>
      </c>
      <c r="I16" s="50" t="s">
        <v>1030</v>
      </c>
      <c r="J16" s="26" t="s">
        <v>15</v>
      </c>
      <c r="K16" s="11" t="s">
        <v>14</v>
      </c>
      <c r="L16" s="11" t="s">
        <v>14</v>
      </c>
      <c r="M16" s="62"/>
    </row>
    <row r="17" spans="2:13" s="1" customFormat="1" ht="13.15" customHeight="1">
      <c r="B17" s="24">
        <v>10</v>
      </c>
      <c r="C17" s="81" t="s">
        <v>476</v>
      </c>
      <c r="D17" s="7" t="str">
        <f>IFERROR(VLOOKUP(C17,'Lista desplegable'!B$1:C$436,2,FALSE),"")</f>
        <v>JONATHAN ALEXANDER OLIVARES NATES</v>
      </c>
      <c r="E17" s="7" t="str">
        <f>IFERROR(VLOOKUP(D17,'Lista desplegable'!C$1:D$436,2,FALSE),"")</f>
        <v>MECANICO</v>
      </c>
      <c r="F17" s="63" t="s">
        <v>1026</v>
      </c>
      <c r="G17" s="81" t="s">
        <v>20</v>
      </c>
      <c r="H17" s="81" t="s">
        <v>52</v>
      </c>
      <c r="I17" s="50" t="s">
        <v>1030</v>
      </c>
      <c r="J17" s="26" t="s">
        <v>15</v>
      </c>
      <c r="K17" s="11" t="s">
        <v>14</v>
      </c>
      <c r="L17" s="11" t="s">
        <v>14</v>
      </c>
      <c r="M17" s="77"/>
    </row>
    <row r="18" spans="2:13" s="1" customFormat="1" ht="13.15" customHeight="1">
      <c r="B18" s="24">
        <v>11</v>
      </c>
      <c r="C18" s="80" t="s">
        <v>837</v>
      </c>
      <c r="D18" s="7" t="str">
        <f>IFERROR(VLOOKUP(C18,'Lista desplegable'!B$1:C$436,2,FALSE),"")</f>
        <v>ROBERTO MAURICIO VERGARA NEGRETE</v>
      </c>
      <c r="E18" s="7" t="str">
        <f>IFERROR(VLOOKUP(D18,'Lista desplegable'!C$1:D$436,2,FALSE),"")</f>
        <v>ELECTROMECÁNICO</v>
      </c>
      <c r="F18" s="63" t="s">
        <v>1026</v>
      </c>
      <c r="G18" s="81" t="s">
        <v>20</v>
      </c>
      <c r="H18" s="81" t="s">
        <v>52</v>
      </c>
      <c r="I18" s="50" t="s">
        <v>1030</v>
      </c>
      <c r="J18" s="26" t="s">
        <v>15</v>
      </c>
      <c r="K18" s="11" t="s">
        <v>14</v>
      </c>
      <c r="L18" s="11" t="s">
        <v>14</v>
      </c>
      <c r="M18" s="64"/>
    </row>
    <row r="19" spans="2:13" s="1" customFormat="1" ht="13.15" customHeight="1">
      <c r="B19" s="24">
        <v>12</v>
      </c>
      <c r="C19" s="80" t="s">
        <v>178</v>
      </c>
      <c r="D19" s="7" t="str">
        <f>IFERROR(VLOOKUP(C19,'Lista desplegable'!B$1:C$436,2,FALSE),"")</f>
        <v>CELSO ANDRES ORREGO OLIVARES</v>
      </c>
      <c r="E19" s="7" t="str">
        <f>IFERROR(VLOOKUP(D19,'Lista desplegable'!C$1:D$436,2,FALSE),"")</f>
        <v>CHOFER</v>
      </c>
      <c r="F19" s="63" t="s">
        <v>1026</v>
      </c>
      <c r="G19" s="81" t="s">
        <v>20</v>
      </c>
      <c r="H19" s="81" t="s">
        <v>52</v>
      </c>
      <c r="I19" s="50" t="s">
        <v>1030</v>
      </c>
      <c r="J19" s="26" t="s">
        <v>15</v>
      </c>
      <c r="K19" s="11" t="s">
        <v>14</v>
      </c>
      <c r="L19" s="11" t="s">
        <v>14</v>
      </c>
      <c r="M19" s="64"/>
    </row>
    <row r="20" spans="2:13" s="1" customFormat="1" ht="13.15" customHeight="1">
      <c r="B20" s="24">
        <v>13</v>
      </c>
      <c r="C20" s="81" t="s">
        <v>784</v>
      </c>
      <c r="D20" s="7" t="str">
        <f>IFERROR(VLOOKUP(C20,'Lista desplegable'!B$1:C$436,2,FALSE),"")</f>
        <v>RAUL ALEJANDRO RIVERO RIVERO</v>
      </c>
      <c r="E20" s="7" t="str">
        <f>IFERROR(VLOOKUP(D20,'Lista desplegable'!C$1:D$436,2,FALSE),"")</f>
        <v>SUPERVISOR DE OPERACIONES</v>
      </c>
      <c r="F20" s="63" t="s">
        <v>1026</v>
      </c>
      <c r="G20" s="81" t="s">
        <v>20</v>
      </c>
      <c r="H20" s="81" t="s">
        <v>52</v>
      </c>
      <c r="I20" s="50" t="s">
        <v>1030</v>
      </c>
      <c r="J20" s="26" t="s">
        <v>15</v>
      </c>
      <c r="K20" s="11" t="s">
        <v>14</v>
      </c>
      <c r="L20" s="11" t="s">
        <v>14</v>
      </c>
      <c r="M20" s="64"/>
    </row>
    <row r="21" spans="2:13" s="1" customFormat="1" ht="13.15" customHeight="1">
      <c r="B21" s="24">
        <v>14</v>
      </c>
      <c r="C21" s="91" t="s">
        <v>744</v>
      </c>
      <c r="D21" s="7" t="str">
        <f>IFERROR(VLOOKUP(C21,'Lista desplegable'!B$1:C$436,2,FALSE),"")</f>
        <v>PABLO ANTONIO ALVAREZ CORTES</v>
      </c>
      <c r="E21" s="7" t="str">
        <f>IFERROR(VLOOKUP(D21,'Lista desplegable'!C$1:D$436,2,FALSE),"")</f>
        <v>PREVENCIONISTA DE RIESGOS</v>
      </c>
      <c r="F21" s="63" t="s">
        <v>1026</v>
      </c>
      <c r="G21" s="81" t="s">
        <v>20</v>
      </c>
      <c r="H21" s="81" t="s">
        <v>52</v>
      </c>
      <c r="I21" s="50" t="s">
        <v>1030</v>
      </c>
      <c r="J21" s="26" t="s">
        <v>15</v>
      </c>
      <c r="K21" s="11" t="s">
        <v>14</v>
      </c>
      <c r="L21" s="11" t="s">
        <v>14</v>
      </c>
      <c r="M21" s="64"/>
    </row>
    <row r="22" spans="2:13" s="1" customFormat="1" ht="13.15" customHeight="1">
      <c r="B22" s="24">
        <v>15</v>
      </c>
      <c r="C22" s="80" t="s">
        <v>398</v>
      </c>
      <c r="D22" s="7" t="str">
        <f>IFERROR(VLOOKUP(C22,'Lista desplegable'!B$1:C$436,2,FALSE),"")</f>
        <v>GUILLERMO ALFREDO CASTRO ZUÑIGA</v>
      </c>
      <c r="E22" s="7" t="str">
        <f>IFERROR(VLOOKUP(D22,'Lista desplegable'!C$1:D$436,2,FALSE),"")</f>
        <v>PERFORISTA</v>
      </c>
      <c r="F22" s="63" t="s">
        <v>1024</v>
      </c>
      <c r="G22" s="81" t="s">
        <v>20</v>
      </c>
      <c r="H22" s="81" t="s">
        <v>52</v>
      </c>
      <c r="I22" s="50" t="s">
        <v>1031</v>
      </c>
      <c r="J22" s="26" t="s">
        <v>15</v>
      </c>
      <c r="K22" s="11" t="s">
        <v>14</v>
      </c>
      <c r="L22" s="11" t="s">
        <v>14</v>
      </c>
      <c r="M22" s="78"/>
    </row>
    <row r="23" spans="2:13" s="1" customFormat="1" ht="13.15" customHeight="1">
      <c r="B23" s="24">
        <v>16</v>
      </c>
      <c r="C23" s="80" t="s">
        <v>818</v>
      </c>
      <c r="D23" s="7" t="str">
        <f>IFERROR(VLOOKUP(C23,'Lista desplegable'!B$1:C$436,2,FALSE),"")</f>
        <v>RICKY DONNELLY ARAVENA POBLETE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1" t="s">
        <v>52</v>
      </c>
      <c r="I23" s="50" t="s">
        <v>1031</v>
      </c>
      <c r="J23" s="26" t="s">
        <v>15</v>
      </c>
      <c r="K23" s="11" t="s">
        <v>14</v>
      </c>
      <c r="L23" s="11" t="s">
        <v>14</v>
      </c>
      <c r="M23" s="43"/>
    </row>
    <row r="24" spans="2:13" s="1" customFormat="1" ht="13.15" customHeight="1">
      <c r="B24" s="24">
        <v>17</v>
      </c>
      <c r="C24" s="81" t="s">
        <v>185</v>
      </c>
      <c r="D24" s="7" t="str">
        <f>IFERROR(VLOOKUP(C24,'Lista desplegable'!B$1:C$436,2,FALSE),"")</f>
        <v>CHRISTOFER HUESLY OLIVARES FERNANDEZ</v>
      </c>
      <c r="E24" s="7" t="str">
        <f>IFERROR(VLOOKUP(D24,'Lista desplegable'!C$1:D$436,2,FALSE),"")</f>
        <v>AYUDANTE DE PERFORISTA</v>
      </c>
      <c r="F24" s="63" t="s">
        <v>1024</v>
      </c>
      <c r="G24" s="81" t="s">
        <v>20</v>
      </c>
      <c r="H24" s="81" t="s">
        <v>52</v>
      </c>
      <c r="I24" s="50" t="s">
        <v>1031</v>
      </c>
      <c r="J24" s="26" t="s">
        <v>15</v>
      </c>
      <c r="K24" s="11" t="s">
        <v>14</v>
      </c>
      <c r="L24" s="11" t="s">
        <v>14</v>
      </c>
      <c r="M24" s="43"/>
    </row>
    <row r="25" spans="2:13" s="1" customFormat="1" ht="13.15" customHeight="1">
      <c r="B25" s="24">
        <v>18</v>
      </c>
      <c r="C25" s="81" t="s">
        <v>562</v>
      </c>
      <c r="D25" s="7" t="str">
        <f>IFERROR(VLOOKUP(C25,'Lista desplegable'!B$1:C$436,2,FALSE),"")</f>
        <v>KEVIN ESTEBAN VALENZUELA VALENZUELA</v>
      </c>
      <c r="E25" s="7" t="str">
        <f>IFERROR(VLOOKUP(D25,'Lista desplegable'!C$1:D$436,2,FALSE),"")</f>
        <v>PERFORISTA</v>
      </c>
      <c r="F25" s="63" t="s">
        <v>1026</v>
      </c>
      <c r="G25" s="81" t="s">
        <v>20</v>
      </c>
      <c r="H25" s="81" t="s">
        <v>52</v>
      </c>
      <c r="I25" s="50" t="s">
        <v>1030</v>
      </c>
      <c r="J25" s="26" t="s">
        <v>15</v>
      </c>
      <c r="K25" s="11" t="s">
        <v>14</v>
      </c>
      <c r="L25" s="11" t="s">
        <v>14</v>
      </c>
      <c r="M25" s="43"/>
    </row>
    <row r="26" spans="2:13" s="1" customFormat="1" ht="13.15" customHeight="1">
      <c r="B26" s="24">
        <v>19</v>
      </c>
      <c r="C26" s="81" t="s">
        <v>897</v>
      </c>
      <c r="D26" s="7" t="str">
        <f>IFERROR(VLOOKUP(C26,'Lista desplegable'!B$1:C$436,2,FALSE),"")</f>
        <v>SERGIO ALFONSO BRUNA LEDEZMA</v>
      </c>
      <c r="E26" s="7" t="str">
        <f>IFERROR(VLOOKUP(D26,'Lista desplegable'!C$1:D$436,2,FALSE),"")</f>
        <v>AYUDANTE DE PERFORISTA</v>
      </c>
      <c r="F26" s="63" t="s">
        <v>1026</v>
      </c>
      <c r="G26" s="81" t="s">
        <v>20</v>
      </c>
      <c r="H26" s="81" t="s">
        <v>52</v>
      </c>
      <c r="I26" s="50" t="s">
        <v>1030</v>
      </c>
      <c r="J26" s="26" t="s">
        <v>15</v>
      </c>
      <c r="K26" s="11" t="s">
        <v>14</v>
      </c>
      <c r="L26" s="11" t="s">
        <v>14</v>
      </c>
      <c r="M26" s="43"/>
    </row>
    <row r="27" spans="2:13" s="1" customFormat="1" ht="13.15" customHeight="1">
      <c r="B27" s="24">
        <v>20</v>
      </c>
      <c r="C27" s="81" t="s">
        <v>305</v>
      </c>
      <c r="D27" s="7" t="str">
        <f>IFERROR(VLOOKUP(C27,'Lista desplegable'!B$1:C$436,2,FALSE),"")</f>
        <v>EMIL EDGARDO VARGAS BORDONES</v>
      </c>
      <c r="E27" s="7" t="str">
        <f>IFERROR(VLOOKUP(D27,'Lista desplegable'!C$1:D$436,2,FALSE),"")</f>
        <v>AYUDANTE DE PERFORISTA</v>
      </c>
      <c r="F27" s="63" t="s">
        <v>1026</v>
      </c>
      <c r="G27" s="81" t="s">
        <v>20</v>
      </c>
      <c r="H27" s="81" t="s">
        <v>52</v>
      </c>
      <c r="I27" s="50" t="s">
        <v>1030</v>
      </c>
      <c r="J27" s="26" t="s">
        <v>15</v>
      </c>
      <c r="K27" s="11" t="s">
        <v>14</v>
      </c>
      <c r="L27" s="11" t="s">
        <v>14</v>
      </c>
      <c r="M27" s="79"/>
    </row>
    <row r="28" spans="2:13" s="1" customFormat="1" ht="13.15" customHeight="1">
      <c r="B28" s="24">
        <v>21</v>
      </c>
      <c r="C28" s="81" t="s">
        <v>877</v>
      </c>
      <c r="D28" s="7" t="str">
        <f>IFERROR(VLOOKUP(C28,'Lista desplegable'!B$1:C$436,2,FALSE),"")</f>
        <v>SEBASTIAN ALEJANDRO ARANEDA MILLAR</v>
      </c>
      <c r="E28" s="7" t="str">
        <f>IFERROR(VLOOKUP(D28,'Lista desplegable'!C$1:D$436,2,FALSE),"")</f>
        <v>AYUDANTE DE PERFORISTA</v>
      </c>
      <c r="F28" s="63" t="s">
        <v>1026</v>
      </c>
      <c r="G28" s="81" t="s">
        <v>20</v>
      </c>
      <c r="H28" s="81" t="s">
        <v>52</v>
      </c>
      <c r="I28" s="50" t="s">
        <v>1030</v>
      </c>
      <c r="J28" s="26" t="s">
        <v>15</v>
      </c>
      <c r="K28" s="11" t="s">
        <v>14</v>
      </c>
      <c r="L28" s="11" t="s">
        <v>14</v>
      </c>
      <c r="M28" s="57"/>
    </row>
    <row r="29" spans="2:13" s="1" customFormat="1" ht="13.15" customHeight="1">
      <c r="B29" s="24">
        <v>22</v>
      </c>
      <c r="C29" s="92" t="s">
        <v>269</v>
      </c>
      <c r="D29" s="7" t="str">
        <f>IFERROR(VLOOKUP(C29,'Lista desplegable'!B$1:C$436,2,FALSE),"")</f>
        <v>DENYS SAUL VERGARA TOCAS</v>
      </c>
      <c r="E29" s="7" t="str">
        <f>IFERROR(VLOOKUP(D29,'Lista desplegable'!C$1:D$436,2,FALSE),"")</f>
        <v>PERFORISTA</v>
      </c>
      <c r="F29" s="63" t="s">
        <v>1026</v>
      </c>
      <c r="G29" s="81" t="s">
        <v>20</v>
      </c>
      <c r="H29" s="81" t="s">
        <v>52</v>
      </c>
      <c r="I29" s="50" t="s">
        <v>1030</v>
      </c>
      <c r="J29" s="26" t="s">
        <v>15</v>
      </c>
      <c r="K29" s="11" t="s">
        <v>14</v>
      </c>
      <c r="L29" s="11" t="s">
        <v>14</v>
      </c>
      <c r="M29" s="43"/>
    </row>
    <row r="30" spans="2:13" s="1" customFormat="1" ht="13.15" customHeight="1">
      <c r="B30" s="24">
        <v>23</v>
      </c>
      <c r="C30" s="33" t="s">
        <v>98</v>
      </c>
      <c r="D30" s="7" t="str">
        <f>IFERROR(VLOOKUP(C30,'Lista desplegable'!B$1:C$436,2,FALSE),"")</f>
        <v>ANGELO GIOVANNI BIZAMA ORELLANA</v>
      </c>
      <c r="E30" s="7" t="str">
        <f>IFERROR(VLOOKUP(D30,'Lista desplegable'!C$1:D$436,2,FALSE),"")</f>
        <v>AYUDANTE DE PERFORISTA</v>
      </c>
      <c r="F30" s="43"/>
      <c r="G30" s="44"/>
      <c r="H30" s="81"/>
      <c r="I30" s="38"/>
      <c r="J30" s="26" t="s">
        <v>37</v>
      </c>
      <c r="K30" s="11"/>
      <c r="L30" s="11"/>
      <c r="M30" s="59" t="s">
        <v>1005</v>
      </c>
    </row>
    <row r="31" spans="2:13" s="1" customFormat="1" ht="13.15" customHeight="1">
      <c r="B31" s="24">
        <v>24</v>
      </c>
      <c r="C31" s="33" t="s">
        <v>958</v>
      </c>
      <c r="D31" s="7" t="str">
        <f>IFERROR(VLOOKUP(C31,'Lista desplegable'!B$1:C$436,2,FALSE),"")</f>
        <v>WALTER LISANDRO SALAS MESA</v>
      </c>
      <c r="E31" s="7" t="str">
        <f>IFERROR(VLOOKUP(D31,'Lista desplegable'!C$1:D$436,2,FALSE),"")</f>
        <v>PERFORISTA</v>
      </c>
      <c r="F31" s="43"/>
      <c r="G31" s="44"/>
      <c r="H31" s="43"/>
      <c r="I31" s="38"/>
      <c r="J31" s="11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/>
      <c r="D32" s="7"/>
      <c r="E32" s="7"/>
      <c r="F32" s="43"/>
      <c r="G32" s="43"/>
      <c r="H32" s="43"/>
      <c r="I32" s="37"/>
      <c r="J32" s="11"/>
      <c r="K32" s="11"/>
      <c r="L32" s="11"/>
      <c r="M32" s="59"/>
    </row>
    <row r="33" spans="2:13" s="1" customFormat="1" ht="13.15" customHeight="1">
      <c r="B33" s="24">
        <v>26</v>
      </c>
      <c r="C33" s="33"/>
      <c r="D33" s="7"/>
      <c r="E33" s="7"/>
      <c r="F33" s="43"/>
      <c r="G33" s="43"/>
      <c r="H33" s="43"/>
      <c r="I33" s="37"/>
      <c r="J33" s="11"/>
      <c r="K33" s="11"/>
      <c r="L33" s="11"/>
      <c r="M33" s="59"/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1032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 t="s">
        <v>1026</v>
      </c>
      <c r="G42" s="81" t="s">
        <v>20</v>
      </c>
      <c r="H42" s="81" t="s">
        <v>52</v>
      </c>
      <c r="I42" s="93" t="s">
        <v>991</v>
      </c>
      <c r="J42" s="11" t="s">
        <v>15</v>
      </c>
      <c r="K42" s="11" t="s">
        <v>14</v>
      </c>
      <c r="L42" s="11" t="s">
        <v>14</v>
      </c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1026</v>
      </c>
      <c r="G43" s="81" t="s">
        <v>20</v>
      </c>
      <c r="H43" s="81" t="s">
        <v>52</v>
      </c>
      <c r="I43" s="93" t="s">
        <v>991</v>
      </c>
      <c r="J43" s="11" t="s">
        <v>15</v>
      </c>
      <c r="K43" s="11" t="s">
        <v>14</v>
      </c>
      <c r="L43" s="11" t="s">
        <v>14</v>
      </c>
      <c r="M43" s="65"/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1026</v>
      </c>
      <c r="G44" s="81" t="s">
        <v>20</v>
      </c>
      <c r="H44" s="81" t="s">
        <v>52</v>
      </c>
      <c r="I44" s="93" t="s">
        <v>991</v>
      </c>
      <c r="J44" s="11" t="s">
        <v>15</v>
      </c>
      <c r="K44" s="11" t="s">
        <v>14</v>
      </c>
      <c r="L44" s="11" t="s">
        <v>14</v>
      </c>
      <c r="M44" s="65"/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1026</v>
      </c>
      <c r="G45" s="81" t="s">
        <v>20</v>
      </c>
      <c r="H45" s="81" t="s">
        <v>52</v>
      </c>
      <c r="I45" s="93" t="s">
        <v>991</v>
      </c>
      <c r="J45" s="11" t="s">
        <v>15</v>
      </c>
      <c r="K45" s="11" t="s">
        <v>14</v>
      </c>
      <c r="L45" s="11" t="s">
        <v>14</v>
      </c>
      <c r="M45" s="65"/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1026</v>
      </c>
      <c r="G46" s="81" t="s">
        <v>20</v>
      </c>
      <c r="H46" s="81" t="s">
        <v>52</v>
      </c>
      <c r="I46" s="93" t="s">
        <v>991</v>
      </c>
      <c r="J46" s="11" t="s">
        <v>15</v>
      </c>
      <c r="K46" s="11" t="s">
        <v>14</v>
      </c>
      <c r="L46" s="11" t="s">
        <v>14</v>
      </c>
      <c r="M46" s="65"/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1" t="s">
        <v>52</v>
      </c>
      <c r="I47" s="94" t="s">
        <v>1033</v>
      </c>
      <c r="J47" s="11" t="s">
        <v>15</v>
      </c>
      <c r="K47" s="11" t="s">
        <v>14</v>
      </c>
      <c r="L47" s="11" t="s">
        <v>14</v>
      </c>
      <c r="M47" s="65"/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1" t="s">
        <v>52</v>
      </c>
      <c r="I48" s="87" t="s">
        <v>1033</v>
      </c>
      <c r="J48" s="11" t="s">
        <v>15</v>
      </c>
      <c r="K48" s="11" t="s">
        <v>14</v>
      </c>
      <c r="L48" s="11" t="s">
        <v>14</v>
      </c>
      <c r="M48" s="65"/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1" t="s">
        <v>52</v>
      </c>
      <c r="I49" s="87" t="s">
        <v>1033</v>
      </c>
      <c r="J49" s="11" t="s">
        <v>15</v>
      </c>
      <c r="K49" s="11" t="s">
        <v>14</v>
      </c>
      <c r="L49" s="11" t="s">
        <v>14</v>
      </c>
      <c r="M49" s="65"/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1" t="s">
        <v>52</v>
      </c>
      <c r="I50" s="87" t="s">
        <v>1033</v>
      </c>
      <c r="J50" s="11" t="s">
        <v>15</v>
      </c>
      <c r="K50" s="11" t="s">
        <v>14</v>
      </c>
      <c r="L50" s="11" t="s">
        <v>14</v>
      </c>
      <c r="M50" s="65"/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1" t="s">
        <v>52</v>
      </c>
      <c r="I51" s="88" t="s">
        <v>991</v>
      </c>
      <c r="J51" s="11" t="s">
        <v>15</v>
      </c>
      <c r="K51" s="11" t="s">
        <v>14</v>
      </c>
      <c r="L51" s="11" t="s">
        <v>14</v>
      </c>
      <c r="M51" s="65"/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1" t="s">
        <v>52</v>
      </c>
      <c r="I52" s="88" t="s">
        <v>991</v>
      </c>
      <c r="J52" s="11" t="s">
        <v>15</v>
      </c>
      <c r="K52" s="11" t="s">
        <v>14</v>
      </c>
      <c r="L52" s="11" t="s">
        <v>14</v>
      </c>
      <c r="M52" s="65"/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1" t="s">
        <v>52</v>
      </c>
      <c r="I53" s="88" t="s">
        <v>991</v>
      </c>
      <c r="J53" s="11" t="s">
        <v>15</v>
      </c>
      <c r="K53" s="11" t="s">
        <v>14</v>
      </c>
      <c r="L53" s="11" t="s">
        <v>14</v>
      </c>
      <c r="M53" s="65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3B7964D-530B-4D6C-BA95-BAB3328AB3E6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8C77D92F-3D04-47B4-9AC9-51A21C119792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4C067757-404B-4398-A815-F3B898BB7B19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369E0E61-83BA-4138-A6F5-5F456AEC65EC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38BE7759-11D5-43CE-AEA5-F45875380CAC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623D4860-77D5-49FF-AAF1-786AF67BC1CE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359E-F8E4-4958-A2CA-893E047D3052}">
  <dimension ref="B1:M82"/>
  <sheetViews>
    <sheetView zoomScaleNormal="100" workbookViewId="0">
      <selection activeCell="L42" sqref="L42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>
        <v>46365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1024</v>
      </c>
      <c r="G8" s="81" t="s">
        <v>20</v>
      </c>
      <c r="H8" s="81" t="s">
        <v>52</v>
      </c>
      <c r="I8" s="50" t="s">
        <v>1034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81"/>
      <c r="G9" s="81" t="s">
        <v>1025</v>
      </c>
      <c r="H9" s="81" t="s">
        <v>1025</v>
      </c>
      <c r="I9" s="50"/>
      <c r="J9" s="11" t="s">
        <v>23</v>
      </c>
      <c r="K9" s="11"/>
      <c r="L9" s="11"/>
      <c r="M9" s="97"/>
    </row>
    <row r="10" spans="2:13" s="1" customFormat="1" ht="13.15" customHeight="1">
      <c r="B10" s="24">
        <v>3</v>
      </c>
      <c r="C10" s="80" t="s">
        <v>426</v>
      </c>
      <c r="D10" s="7" t="str">
        <f>IFERROR(VLOOKUP(C10,'Lista desplegable'!B$1:C$436,2,FALSE),"")</f>
        <v>ISRAEL AARÓN VERGARA ELGUETA</v>
      </c>
      <c r="E10" s="7" t="str">
        <f>IFERROR(VLOOKUP(D10,'Lista desplegable'!C$1:D$436,2,FALSE),"")</f>
        <v>ADMINISTRADOR DE CONTRATO</v>
      </c>
      <c r="F10" s="63" t="s">
        <v>1024</v>
      </c>
      <c r="G10" s="81" t="s">
        <v>20</v>
      </c>
      <c r="H10" s="81" t="s">
        <v>52</v>
      </c>
      <c r="I10" s="50" t="s">
        <v>1034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81"/>
      <c r="G11" s="81"/>
      <c r="H11" s="81"/>
      <c r="I11" s="50"/>
      <c r="J11" s="11" t="s">
        <v>23</v>
      </c>
      <c r="K11" s="11"/>
      <c r="L11" s="11"/>
      <c r="M11" s="97"/>
    </row>
    <row r="12" spans="2:13" s="1" customFormat="1" ht="13.15" customHeight="1">
      <c r="B12" s="24">
        <v>5</v>
      </c>
      <c r="C12" s="33" t="s">
        <v>241</v>
      </c>
      <c r="D12" s="7" t="str">
        <f>IFERROR(VLOOKUP(C12,'Lista desplegable'!B$1:C$436,2,FALSE),"")</f>
        <v>DANIEL ANDRES ANDRADE AGUILAR</v>
      </c>
      <c r="E12" s="7" t="str">
        <f>IFERROR(VLOOKUP(D12,'Lista desplegable'!C$1:D$436,2,FALSE),"")</f>
        <v>MECANICO</v>
      </c>
      <c r="F12" s="63" t="s">
        <v>1024</v>
      </c>
      <c r="G12" s="81" t="s">
        <v>20</v>
      </c>
      <c r="H12" s="81" t="s">
        <v>52</v>
      </c>
      <c r="I12" s="50" t="s">
        <v>1034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972</v>
      </c>
      <c r="D13" s="7" t="str">
        <f>IFERROR(VLOOKUP(C13,'Lista desplegable'!B$1:C$436,2,FALSE),"")</f>
        <v>YONATHAN ALBERTO MOROSO CORTES</v>
      </c>
      <c r="E13" s="7" t="str">
        <f>IFERROR(VLOOKUP(D13,'Lista desplegable'!C$1:D$436,2,FALSE),"")</f>
        <v>ADMINISTRATIVO SENIOR</v>
      </c>
      <c r="F13" s="63" t="s">
        <v>1024</v>
      </c>
      <c r="G13" s="81" t="s">
        <v>20</v>
      </c>
      <c r="H13" s="81" t="s">
        <v>52</v>
      </c>
      <c r="I13" s="50" t="s">
        <v>1034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0" t="s">
        <v>258</v>
      </c>
      <c r="D14" s="7" t="str">
        <f>IFERROR(VLOOKUP(C14,'Lista desplegable'!B$1:C$436,2,FALSE),"")</f>
        <v>DAVID AUGUSTO MARSHALL FLORES</v>
      </c>
      <c r="E14" s="7" t="str">
        <f>IFERROR(VLOOKUP(D14,'Lista desplegable'!C$1:D$436,2,FALSE),"")</f>
        <v>BODEGUERO</v>
      </c>
      <c r="F14" s="63" t="s">
        <v>1024</v>
      </c>
      <c r="G14" s="81" t="s">
        <v>20</v>
      </c>
      <c r="H14" s="81" t="s">
        <v>52</v>
      </c>
      <c r="I14" s="50" t="s">
        <v>1034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788</v>
      </c>
      <c r="D15" s="7" t="str">
        <f>IFERROR(VLOOKUP(C15,'Lista desplegable'!B$1:C$436,2,FALSE),"")</f>
        <v>RAUL MANUEL BUSTAMANTE CERON</v>
      </c>
      <c r="E15" s="7" t="str">
        <f>IFERROR(VLOOKUP(D15,'Lista desplegable'!C$1:D$436,2,FALSE),"")</f>
        <v>SOLDADOR</v>
      </c>
      <c r="F15" s="63" t="s">
        <v>1024</v>
      </c>
      <c r="G15" s="81" t="s">
        <v>20</v>
      </c>
      <c r="H15" s="81" t="s">
        <v>52</v>
      </c>
      <c r="I15" s="50" t="s">
        <v>1034</v>
      </c>
      <c r="J15" s="26" t="s">
        <v>15</v>
      </c>
      <c r="K15" s="11" t="s">
        <v>14</v>
      </c>
      <c r="L15" s="11" t="s">
        <v>14</v>
      </c>
      <c r="M15" s="97"/>
    </row>
    <row r="16" spans="2:13" s="1" customFormat="1" ht="13.15" customHeight="1">
      <c r="B16" s="24">
        <v>9</v>
      </c>
      <c r="C16" s="81" t="s">
        <v>476</v>
      </c>
      <c r="D16" s="7" t="str">
        <f>IFERROR(VLOOKUP(C16,'Lista desplegable'!B$1:C$436,2,FALSE),"")</f>
        <v>JONATHAN ALEXANDER OLIVARES NATES</v>
      </c>
      <c r="E16" s="7" t="str">
        <f>IFERROR(VLOOKUP(D16,'Lista desplegable'!C$1:D$436,2,FALSE),"")</f>
        <v>MECANICO</v>
      </c>
      <c r="F16" s="63" t="s">
        <v>1024</v>
      </c>
      <c r="G16" s="81" t="s">
        <v>20</v>
      </c>
      <c r="H16" s="81" t="s">
        <v>52</v>
      </c>
      <c r="I16" s="50" t="s">
        <v>1034</v>
      </c>
      <c r="J16" s="26" t="s">
        <v>15</v>
      </c>
      <c r="K16" s="11" t="s">
        <v>14</v>
      </c>
      <c r="L16" s="11" t="s">
        <v>14</v>
      </c>
      <c r="M16" s="98"/>
    </row>
    <row r="17" spans="2:13" s="1" customFormat="1" ht="13.15" customHeight="1">
      <c r="B17" s="24">
        <v>10</v>
      </c>
      <c r="C17" s="80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63" t="s">
        <v>1024</v>
      </c>
      <c r="G17" s="81" t="s">
        <v>20</v>
      </c>
      <c r="H17" s="81" t="s">
        <v>52</v>
      </c>
      <c r="I17" s="50" t="s">
        <v>1034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63" t="s">
        <v>1024</v>
      </c>
      <c r="G18" s="81" t="s">
        <v>20</v>
      </c>
      <c r="H18" s="81" t="s">
        <v>52</v>
      </c>
      <c r="I18" s="50" t="s">
        <v>1034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63" t="s">
        <v>1024</v>
      </c>
      <c r="G19" s="81" t="s">
        <v>20</v>
      </c>
      <c r="H19" s="81" t="s">
        <v>52</v>
      </c>
      <c r="I19" s="50" t="s">
        <v>1034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63" t="s">
        <v>1024</v>
      </c>
      <c r="G20" s="81" t="s">
        <v>20</v>
      </c>
      <c r="H20" s="81" t="s">
        <v>52</v>
      </c>
      <c r="I20" s="50" t="s">
        <v>1034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81" t="s">
        <v>52</v>
      </c>
      <c r="I21" s="50" t="s">
        <v>1034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1" t="s">
        <v>52</v>
      </c>
      <c r="I22" s="50" t="s">
        <v>1034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1" t="s">
        <v>52</v>
      </c>
      <c r="I23" s="50" t="s">
        <v>1034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81" t="s">
        <v>52</v>
      </c>
      <c r="I24" s="50" t="s">
        <v>999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1" t="s">
        <v>52</v>
      </c>
      <c r="I25" s="50" t="s">
        <v>999</v>
      </c>
      <c r="J25" s="26" t="s">
        <v>15</v>
      </c>
      <c r="K25" s="11" t="s">
        <v>14</v>
      </c>
      <c r="L25" s="11" t="s">
        <v>14</v>
      </c>
      <c r="M25" s="41"/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1" t="s">
        <v>52</v>
      </c>
      <c r="I26" s="50" t="s">
        <v>999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1" t="s">
        <v>52</v>
      </c>
      <c r="I27" s="50" t="s">
        <v>999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63" t="s">
        <v>1026</v>
      </c>
      <c r="G28" s="81" t="s">
        <v>20</v>
      </c>
      <c r="H28" s="81" t="s">
        <v>52</v>
      </c>
      <c r="I28" s="50" t="s">
        <v>1030</v>
      </c>
      <c r="J28" s="26" t="s">
        <v>15</v>
      </c>
      <c r="K28" s="11" t="s">
        <v>14</v>
      </c>
      <c r="L28" s="11" t="s">
        <v>14</v>
      </c>
      <c r="M28" s="59" t="s">
        <v>1005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63" t="s">
        <v>1026</v>
      </c>
      <c r="G29" s="81" t="s">
        <v>20</v>
      </c>
      <c r="H29" s="81" t="s">
        <v>52</v>
      </c>
      <c r="I29" s="50" t="s">
        <v>1030</v>
      </c>
      <c r="J29" s="26" t="s">
        <v>15</v>
      </c>
      <c r="K29" s="11" t="s">
        <v>14</v>
      </c>
      <c r="L29" s="11" t="s">
        <v>14</v>
      </c>
      <c r="M29" s="59" t="s">
        <v>1005</v>
      </c>
    </row>
    <row r="30" spans="2:13" s="1" customFormat="1" ht="13.15" customHeight="1">
      <c r="B30" s="24">
        <v>23</v>
      </c>
      <c r="C30" s="33"/>
      <c r="D30" s="7"/>
      <c r="E30" s="7"/>
      <c r="F30" s="43"/>
      <c r="G30" s="44"/>
      <c r="H30" s="43"/>
      <c r="I30" s="38"/>
      <c r="J30" s="26"/>
      <c r="K30" s="11"/>
      <c r="L30" s="11"/>
      <c r="M30" s="59"/>
    </row>
    <row r="31" spans="2:13" s="1" customFormat="1" ht="13.15" customHeight="1">
      <c r="B31" s="24">
        <v>24</v>
      </c>
      <c r="C31" s="33"/>
      <c r="D31" s="7"/>
      <c r="E31" s="7"/>
      <c r="F31" s="43"/>
      <c r="G31" s="44"/>
      <c r="H31" s="43"/>
      <c r="I31" s="38"/>
      <c r="J31" s="11"/>
      <c r="K31" s="11"/>
      <c r="L31" s="11"/>
      <c r="M31" s="59"/>
    </row>
    <row r="32" spans="2:13" s="1" customFormat="1" ht="13.15" customHeight="1">
      <c r="B32" s="24">
        <v>25</v>
      </c>
      <c r="C32" s="33"/>
      <c r="D32" s="7"/>
      <c r="E32" s="7"/>
      <c r="F32" s="43"/>
      <c r="G32" s="43"/>
      <c r="H32" s="43"/>
      <c r="I32" s="37"/>
      <c r="J32" s="11"/>
      <c r="K32" s="11"/>
      <c r="L32" s="11"/>
      <c r="M32" s="59"/>
    </row>
    <row r="33" spans="2:13" s="1" customFormat="1" ht="13.15" customHeight="1">
      <c r="B33" s="24">
        <v>26</v>
      </c>
      <c r="C33" s="33"/>
      <c r="D33" s="7"/>
      <c r="E33" s="7"/>
      <c r="F33" s="43"/>
      <c r="G33" s="43"/>
      <c r="H33" s="43"/>
      <c r="I33" s="37"/>
      <c r="J33" s="11"/>
      <c r="K33" s="11"/>
      <c r="L33" s="11"/>
      <c r="M33" s="59"/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 t="s">
        <v>1024</v>
      </c>
      <c r="G42" s="86" t="s">
        <v>20</v>
      </c>
      <c r="H42" s="86" t="s">
        <v>52</v>
      </c>
      <c r="I42" s="87" t="s">
        <v>991</v>
      </c>
      <c r="J42" s="11" t="s">
        <v>15</v>
      </c>
      <c r="K42" s="11" t="s">
        <v>14</v>
      </c>
      <c r="L42" s="11" t="s">
        <v>14</v>
      </c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1024</v>
      </c>
      <c r="G43" s="86" t="s">
        <v>20</v>
      </c>
      <c r="H43" s="86" t="s">
        <v>52</v>
      </c>
      <c r="I43" s="87" t="s">
        <v>991</v>
      </c>
      <c r="J43" s="11" t="s">
        <v>15</v>
      </c>
      <c r="K43" s="11" t="s">
        <v>14</v>
      </c>
      <c r="L43" s="11" t="s">
        <v>14</v>
      </c>
      <c r="M43" s="65"/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1024</v>
      </c>
      <c r="G44" s="86" t="s">
        <v>20</v>
      </c>
      <c r="H44" s="86" t="s">
        <v>52</v>
      </c>
      <c r="I44" s="87" t="s">
        <v>991</v>
      </c>
      <c r="J44" s="11" t="s">
        <v>15</v>
      </c>
      <c r="K44" s="11" t="s">
        <v>14</v>
      </c>
      <c r="L44" s="11" t="s">
        <v>14</v>
      </c>
      <c r="M44" s="65"/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1024</v>
      </c>
      <c r="G45" s="86" t="s">
        <v>20</v>
      </c>
      <c r="H45" s="86" t="s">
        <v>52</v>
      </c>
      <c r="I45" s="87" t="s">
        <v>991</v>
      </c>
      <c r="J45" s="11" t="s">
        <v>15</v>
      </c>
      <c r="K45" s="11" t="s">
        <v>14</v>
      </c>
      <c r="L45" s="11" t="s">
        <v>14</v>
      </c>
      <c r="M45" s="65"/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1024</v>
      </c>
      <c r="G46" s="86" t="s">
        <v>20</v>
      </c>
      <c r="H46" s="86" t="s">
        <v>52</v>
      </c>
      <c r="I46" s="87" t="s">
        <v>991</v>
      </c>
      <c r="J46" s="11" t="s">
        <v>15</v>
      </c>
      <c r="K46" s="11" t="s">
        <v>14</v>
      </c>
      <c r="L46" s="11" t="s">
        <v>14</v>
      </c>
      <c r="M46" s="65"/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87" t="s">
        <v>991</v>
      </c>
      <c r="J47" s="11" t="s">
        <v>15</v>
      </c>
      <c r="K47" s="11" t="s">
        <v>14</v>
      </c>
      <c r="L47" s="11" t="s">
        <v>14</v>
      </c>
      <c r="M47" s="65"/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87" t="s">
        <v>991</v>
      </c>
      <c r="J48" s="11" t="s">
        <v>15</v>
      </c>
      <c r="K48" s="11" t="s">
        <v>14</v>
      </c>
      <c r="L48" s="11" t="s">
        <v>14</v>
      </c>
      <c r="M48" s="65"/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87" t="s">
        <v>991</v>
      </c>
      <c r="J49" s="11" t="s">
        <v>15</v>
      </c>
      <c r="K49" s="11" t="s">
        <v>14</v>
      </c>
      <c r="L49" s="11" t="s">
        <v>14</v>
      </c>
      <c r="M49" s="65"/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87" t="s">
        <v>991</v>
      </c>
      <c r="J50" s="11" t="s">
        <v>15</v>
      </c>
      <c r="K50" s="11" t="s">
        <v>14</v>
      </c>
      <c r="L50" s="11" t="s">
        <v>14</v>
      </c>
      <c r="M50" s="65"/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8" t="s">
        <v>1035</v>
      </c>
      <c r="J51" s="11" t="s">
        <v>15</v>
      </c>
      <c r="K51" s="11" t="s">
        <v>14</v>
      </c>
      <c r="L51" s="11" t="s">
        <v>14</v>
      </c>
      <c r="M51" s="65"/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8" t="s">
        <v>1035</v>
      </c>
      <c r="J52" s="11" t="s">
        <v>15</v>
      </c>
      <c r="K52" s="11" t="s">
        <v>14</v>
      </c>
      <c r="L52" s="11" t="s">
        <v>14</v>
      </c>
      <c r="M52" s="65"/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8" t="s">
        <v>1035</v>
      </c>
      <c r="J53" s="11" t="s">
        <v>15</v>
      </c>
      <c r="K53" s="11" t="s">
        <v>14</v>
      </c>
      <c r="L53" s="11" t="s">
        <v>14</v>
      </c>
      <c r="M53" s="65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C132D1C-E347-475D-9CFB-F8ED2BAC54B2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EC55EC20-1656-4E3D-AD40-C8AC91B5AC05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BF328C61-9ADB-4796-9168-F62240B618CA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870707A7-C338-4612-906C-9CD79583F3AB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7DFB8B60-BA47-4075-8C3F-04CAF8F6898A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A624B390-BC33-4020-A0E9-BEFA6A4D4D35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E822-47E5-4384-8814-D5B7A30C84A9}">
  <dimension ref="B1:M82"/>
  <sheetViews>
    <sheetView zoomScaleNormal="100" workbookViewId="0">
      <selection activeCell="M46" sqref="M46:M47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1036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1026</v>
      </c>
      <c r="G8" s="96" t="s">
        <v>20</v>
      </c>
      <c r="H8" s="96" t="s">
        <v>52</v>
      </c>
      <c r="I8" s="50" t="s">
        <v>1037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81"/>
      <c r="G9" s="81" t="s">
        <v>1025</v>
      </c>
      <c r="H9" s="81" t="s">
        <v>1025</v>
      </c>
      <c r="I9" s="50"/>
      <c r="J9" s="11" t="s">
        <v>23</v>
      </c>
      <c r="K9" s="11"/>
      <c r="L9" s="11"/>
      <c r="M9" s="97"/>
    </row>
    <row r="10" spans="2:13" s="1" customFormat="1" ht="13.15" customHeight="1">
      <c r="B10" s="24">
        <v>3</v>
      </c>
      <c r="C10" s="80" t="s">
        <v>426</v>
      </c>
      <c r="D10" s="7" t="str">
        <f>IFERROR(VLOOKUP(C10,'Lista desplegable'!B$1:C$436,2,FALSE),"")</f>
        <v>ISRAEL AARÓN VERGARA ELGUETA</v>
      </c>
      <c r="E10" s="7" t="str">
        <f>IFERROR(VLOOKUP(D10,'Lista desplegable'!C$1:D$436,2,FALSE),"")</f>
        <v>ADMINISTRADOR DE CONTRATO</v>
      </c>
      <c r="F10" s="63" t="s">
        <v>1026</v>
      </c>
      <c r="G10" s="96" t="s">
        <v>20</v>
      </c>
      <c r="H10" s="96" t="s">
        <v>52</v>
      </c>
      <c r="I10" s="50" t="s">
        <v>1037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81"/>
      <c r="G11" s="96"/>
      <c r="H11" s="96"/>
      <c r="I11" s="50"/>
      <c r="J11" s="11" t="s">
        <v>23</v>
      </c>
      <c r="K11" s="11"/>
      <c r="L11" s="11"/>
      <c r="M11" s="97"/>
    </row>
    <row r="12" spans="2:13" s="1" customFormat="1" ht="13.15" customHeight="1">
      <c r="B12" s="24">
        <v>5</v>
      </c>
      <c r="C12" s="33" t="s">
        <v>241</v>
      </c>
      <c r="D12" s="7" t="str">
        <f>IFERROR(VLOOKUP(C12,'Lista desplegable'!B$1:C$436,2,FALSE),"")</f>
        <v>DANIEL ANDRES ANDRADE AGUILAR</v>
      </c>
      <c r="E12" s="7" t="str">
        <f>IFERROR(VLOOKUP(D12,'Lista desplegable'!C$1:D$436,2,FALSE),"")</f>
        <v>MECANICO</v>
      </c>
      <c r="F12" s="63" t="s">
        <v>1026</v>
      </c>
      <c r="G12" s="96" t="s">
        <v>20</v>
      </c>
      <c r="H12" s="96" t="s">
        <v>52</v>
      </c>
      <c r="I12" s="50" t="s">
        <v>1037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972</v>
      </c>
      <c r="D13" s="7" t="str">
        <f>IFERROR(VLOOKUP(C13,'Lista desplegable'!B$1:C$436,2,FALSE),"")</f>
        <v>YONATHAN ALBERTO MOROSO CORTES</v>
      </c>
      <c r="E13" s="7" t="str">
        <f>IFERROR(VLOOKUP(D13,'Lista desplegable'!C$1:D$436,2,FALSE),"")</f>
        <v>ADMINISTRATIVO SENIOR</v>
      </c>
      <c r="F13" s="63" t="s">
        <v>1026</v>
      </c>
      <c r="G13" s="96" t="s">
        <v>20</v>
      </c>
      <c r="H13" s="96" t="s">
        <v>52</v>
      </c>
      <c r="I13" s="50" t="s">
        <v>1037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0" t="s">
        <v>258</v>
      </c>
      <c r="D14" s="7" t="str">
        <f>IFERROR(VLOOKUP(C14,'Lista desplegable'!B$1:C$436,2,FALSE),"")</f>
        <v>DAVID AUGUSTO MARSHALL FLORES</v>
      </c>
      <c r="E14" s="7" t="str">
        <f>IFERROR(VLOOKUP(D14,'Lista desplegable'!C$1:D$436,2,FALSE),"")</f>
        <v>BODEGUERO</v>
      </c>
      <c r="F14" s="63" t="s">
        <v>1026</v>
      </c>
      <c r="G14" s="96" t="s">
        <v>20</v>
      </c>
      <c r="H14" s="96" t="s">
        <v>52</v>
      </c>
      <c r="I14" s="50" t="s">
        <v>1037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788</v>
      </c>
      <c r="D15" s="7" t="str">
        <f>IFERROR(VLOOKUP(C15,'Lista desplegable'!B$1:C$436,2,FALSE),"")</f>
        <v>RAUL MANUEL BUSTAMANTE CERON</v>
      </c>
      <c r="E15" s="7" t="str">
        <f>IFERROR(VLOOKUP(D15,'Lista desplegable'!C$1:D$436,2,FALSE),"")</f>
        <v>SOLDADOR</v>
      </c>
      <c r="F15" s="63" t="s">
        <v>1026</v>
      </c>
      <c r="G15" s="96" t="s">
        <v>20</v>
      </c>
      <c r="H15" s="96" t="s">
        <v>52</v>
      </c>
      <c r="I15" s="50" t="s">
        <v>1037</v>
      </c>
      <c r="J15" s="26" t="s">
        <v>15</v>
      </c>
      <c r="K15" s="11" t="s">
        <v>14</v>
      </c>
      <c r="L15" s="11" t="s">
        <v>14</v>
      </c>
      <c r="M15" s="97"/>
    </row>
    <row r="16" spans="2:13" s="1" customFormat="1" ht="13.15" customHeight="1">
      <c r="B16" s="24">
        <v>9</v>
      </c>
      <c r="C16" s="81" t="s">
        <v>476</v>
      </c>
      <c r="D16" s="7" t="str">
        <f>IFERROR(VLOOKUP(C16,'Lista desplegable'!B$1:C$436,2,FALSE),"")</f>
        <v>JONATHAN ALEXANDER OLIVARES NATES</v>
      </c>
      <c r="E16" s="7" t="str">
        <f>IFERROR(VLOOKUP(D16,'Lista desplegable'!C$1:D$436,2,FALSE),"")</f>
        <v>MECANICO</v>
      </c>
      <c r="F16" s="63" t="s">
        <v>1026</v>
      </c>
      <c r="G16" s="96" t="s">
        <v>20</v>
      </c>
      <c r="H16" s="96" t="s">
        <v>52</v>
      </c>
      <c r="I16" s="50" t="s">
        <v>1037</v>
      </c>
      <c r="J16" s="26" t="s">
        <v>15</v>
      </c>
      <c r="K16" s="11" t="s">
        <v>14</v>
      </c>
      <c r="L16" s="11" t="s">
        <v>14</v>
      </c>
      <c r="M16" s="98"/>
    </row>
    <row r="17" spans="2:13" s="1" customFormat="1" ht="13.15" customHeight="1">
      <c r="B17" s="24">
        <v>10</v>
      </c>
      <c r="C17" s="80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63" t="s">
        <v>1026</v>
      </c>
      <c r="G17" s="96" t="s">
        <v>20</v>
      </c>
      <c r="H17" s="96" t="s">
        <v>52</v>
      </c>
      <c r="I17" s="50" t="s">
        <v>1037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63" t="s">
        <v>1026</v>
      </c>
      <c r="G18" s="96" t="s">
        <v>20</v>
      </c>
      <c r="H18" s="96" t="s">
        <v>52</v>
      </c>
      <c r="I18" s="50" t="s">
        <v>1037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63" t="s">
        <v>1026</v>
      </c>
      <c r="G19" s="96" t="s">
        <v>20</v>
      </c>
      <c r="H19" s="96" t="s">
        <v>52</v>
      </c>
      <c r="I19" s="50" t="s">
        <v>1037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63" t="s">
        <v>1026</v>
      </c>
      <c r="G20" s="96" t="s">
        <v>20</v>
      </c>
      <c r="H20" s="96" t="s">
        <v>52</v>
      </c>
      <c r="I20" s="50" t="s">
        <v>1037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96" t="s">
        <v>52</v>
      </c>
      <c r="I21" s="50" t="s">
        <v>1038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96" t="s">
        <v>52</v>
      </c>
      <c r="I22" s="50" t="s">
        <v>1038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96" t="s">
        <v>52</v>
      </c>
      <c r="I23" s="50" t="s">
        <v>1038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96" t="s">
        <v>52</v>
      </c>
      <c r="I24" s="50" t="s">
        <v>1037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96" t="s">
        <v>52</v>
      </c>
      <c r="I25" s="50" t="s">
        <v>1037</v>
      </c>
      <c r="J25" s="26" t="s">
        <v>15</v>
      </c>
      <c r="K25" s="11" t="s">
        <v>14</v>
      </c>
      <c r="L25" s="11" t="s">
        <v>14</v>
      </c>
      <c r="M25" s="41"/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96" t="s">
        <v>52</v>
      </c>
      <c r="I26" s="50" t="s">
        <v>1037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96" t="s">
        <v>52</v>
      </c>
      <c r="I27" s="50" t="s">
        <v>1037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63"/>
      <c r="G28" s="81"/>
      <c r="H28" s="81"/>
      <c r="I28" s="50"/>
      <c r="J28" s="26" t="s">
        <v>37</v>
      </c>
      <c r="K28" s="11"/>
      <c r="L28" s="11"/>
      <c r="M28" s="59" t="s">
        <v>1005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63"/>
      <c r="G29" s="81"/>
      <c r="H29" s="81"/>
      <c r="I29" s="50"/>
      <c r="J29" s="26" t="s">
        <v>37</v>
      </c>
      <c r="K29" s="11"/>
      <c r="L29" s="11"/>
      <c r="M29" s="59" t="s">
        <v>1005</v>
      </c>
    </row>
    <row r="30" spans="2:13" s="1" customFormat="1" ht="13.15" customHeight="1">
      <c r="B30" s="24">
        <v>23</v>
      </c>
      <c r="C30" s="33"/>
      <c r="D30" s="7"/>
      <c r="E30" s="7"/>
      <c r="F30" s="43"/>
      <c r="G30" s="44"/>
      <c r="H30" s="43"/>
      <c r="I30" s="38"/>
      <c r="J30" s="26"/>
      <c r="K30" s="11"/>
      <c r="L30" s="11"/>
      <c r="M30" s="59"/>
    </row>
    <row r="31" spans="2:13" s="1" customFormat="1" ht="13.15" customHeight="1">
      <c r="B31" s="24">
        <v>24</v>
      </c>
      <c r="C31" s="33"/>
      <c r="D31" s="7"/>
      <c r="E31" s="7"/>
      <c r="F31" s="43"/>
      <c r="G31" s="44"/>
      <c r="H31" s="43"/>
      <c r="I31" s="38"/>
      <c r="J31" s="11"/>
      <c r="K31" s="11"/>
      <c r="L31" s="11"/>
      <c r="M31" s="59"/>
    </row>
    <row r="32" spans="2:13" s="1" customFormat="1" ht="13.15" customHeight="1">
      <c r="B32" s="24">
        <v>25</v>
      </c>
      <c r="C32" s="33"/>
      <c r="D32" s="7"/>
      <c r="E32" s="7"/>
      <c r="F32" s="43"/>
      <c r="G32" s="43"/>
      <c r="H32" s="43"/>
      <c r="I32" s="37"/>
      <c r="J32" s="11"/>
      <c r="K32" s="11"/>
      <c r="L32" s="11"/>
      <c r="M32" s="59"/>
    </row>
    <row r="33" spans="2:13" s="1" customFormat="1" ht="13.15" customHeight="1">
      <c r="B33" s="24">
        <v>26</v>
      </c>
      <c r="C33" s="33"/>
      <c r="D33" s="7"/>
      <c r="E33" s="7"/>
      <c r="F33" s="43"/>
      <c r="G33" s="43"/>
      <c r="H33" s="43"/>
      <c r="I33" s="37"/>
      <c r="J33" s="11"/>
      <c r="K33" s="11"/>
      <c r="L33" s="11"/>
      <c r="M33" s="59"/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 t="s">
        <v>1024</v>
      </c>
      <c r="G42" s="86" t="s">
        <v>20</v>
      </c>
      <c r="H42" s="86" t="s">
        <v>52</v>
      </c>
      <c r="I42" s="87" t="s">
        <v>1039</v>
      </c>
      <c r="J42" s="11" t="s">
        <v>15</v>
      </c>
      <c r="K42" s="11" t="s">
        <v>14</v>
      </c>
      <c r="L42" s="11" t="s">
        <v>14</v>
      </c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1024</v>
      </c>
      <c r="G43" s="86" t="s">
        <v>20</v>
      </c>
      <c r="H43" s="86" t="s">
        <v>52</v>
      </c>
      <c r="I43" s="87" t="s">
        <v>1039</v>
      </c>
      <c r="J43" s="11" t="s">
        <v>15</v>
      </c>
      <c r="K43" s="11" t="s">
        <v>14</v>
      </c>
      <c r="L43" s="11" t="s">
        <v>14</v>
      </c>
      <c r="M43" s="65"/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1024</v>
      </c>
      <c r="G44" s="86" t="s">
        <v>20</v>
      </c>
      <c r="H44" s="86" t="s">
        <v>52</v>
      </c>
      <c r="I44" s="87" t="s">
        <v>1039</v>
      </c>
      <c r="J44" s="11" t="s">
        <v>15</v>
      </c>
      <c r="K44" s="11" t="s">
        <v>14</v>
      </c>
      <c r="L44" s="11" t="s">
        <v>14</v>
      </c>
      <c r="M44" s="65"/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1024</v>
      </c>
      <c r="G45" s="86" t="s">
        <v>20</v>
      </c>
      <c r="H45" s="86" t="s">
        <v>52</v>
      </c>
      <c r="I45" s="87" t="s">
        <v>1039</v>
      </c>
      <c r="J45" s="11" t="s">
        <v>15</v>
      </c>
      <c r="K45" s="11" t="s">
        <v>14</v>
      </c>
      <c r="L45" s="11" t="s">
        <v>14</v>
      </c>
      <c r="M45" s="65"/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1024</v>
      </c>
      <c r="G46" s="86" t="s">
        <v>20</v>
      </c>
      <c r="H46" s="86" t="s">
        <v>52</v>
      </c>
      <c r="I46" s="87" t="s">
        <v>1039</v>
      </c>
      <c r="J46" s="11" t="s">
        <v>15</v>
      </c>
      <c r="K46" s="11" t="s">
        <v>14</v>
      </c>
      <c r="L46" s="11" t="s">
        <v>14</v>
      </c>
      <c r="M46" s="65"/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87" t="s">
        <v>1039</v>
      </c>
      <c r="J47" s="11" t="s">
        <v>15</v>
      </c>
      <c r="K47" s="11" t="s">
        <v>14</v>
      </c>
      <c r="L47" s="11" t="s">
        <v>14</v>
      </c>
      <c r="M47" s="65"/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87" t="s">
        <v>1039</v>
      </c>
      <c r="J48" s="11" t="s">
        <v>15</v>
      </c>
      <c r="K48" s="11" t="s">
        <v>14</v>
      </c>
      <c r="L48" s="11" t="s">
        <v>14</v>
      </c>
      <c r="M48" s="65"/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87" t="s">
        <v>1039</v>
      </c>
      <c r="J49" s="11" t="s">
        <v>15</v>
      </c>
      <c r="K49" s="11" t="s">
        <v>14</v>
      </c>
      <c r="L49" s="11" t="s">
        <v>14</v>
      </c>
      <c r="M49" s="65"/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87" t="s">
        <v>1039</v>
      </c>
      <c r="J50" s="11" t="s">
        <v>15</v>
      </c>
      <c r="K50" s="11" t="s">
        <v>14</v>
      </c>
      <c r="L50" s="11" t="s">
        <v>14</v>
      </c>
      <c r="M50" s="65"/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8" t="s">
        <v>1013</v>
      </c>
      <c r="J51" s="11" t="s">
        <v>15</v>
      </c>
      <c r="K51" s="11" t="s">
        <v>14</v>
      </c>
      <c r="L51" s="11" t="s">
        <v>14</v>
      </c>
      <c r="M51" s="65"/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8" t="s">
        <v>1013</v>
      </c>
      <c r="J52" s="11" t="s">
        <v>15</v>
      </c>
      <c r="K52" s="11" t="s">
        <v>14</v>
      </c>
      <c r="L52" s="11" t="s">
        <v>14</v>
      </c>
      <c r="M52" s="65"/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8" t="s">
        <v>1013</v>
      </c>
      <c r="J53" s="11" t="s">
        <v>15</v>
      </c>
      <c r="K53" s="11" t="s">
        <v>14</v>
      </c>
      <c r="L53" s="11" t="s">
        <v>14</v>
      </c>
      <c r="M53" s="65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40CA6FA-8D8F-49B8-B1AB-7BF403EF019A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46AAFA0E-1DD5-4DBF-868E-5516C13BA605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500D2BF4-7D05-4291-BDD1-D22090DD6F2D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F1F4F7B8-58C9-44CD-9FE6-D5403B42A91E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2545C02F-FB3A-457C-9EB6-C6F3F44F9BFA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5659D2D6-8A7C-49AA-8516-4FA0F0AC4666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A2D8-B110-4061-8A6E-78777E4BC992}">
  <dimension ref="B1:M82"/>
  <sheetViews>
    <sheetView zoomScaleNormal="100" workbookViewId="0">
      <selection activeCell="L42" sqref="L42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1040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01"/>
      <c r="G8" s="101" t="s">
        <v>1025</v>
      </c>
      <c r="H8" s="101" t="s">
        <v>1025</v>
      </c>
      <c r="I8" s="68"/>
      <c r="J8" s="11" t="s">
        <v>23</v>
      </c>
      <c r="K8" s="11"/>
      <c r="L8" s="11"/>
      <c r="M8" s="11"/>
    </row>
    <row r="9" spans="2:13" s="1" customFormat="1" ht="13.15" customHeight="1">
      <c r="B9" s="24">
        <v>2</v>
      </c>
      <c r="C9" s="15" t="s">
        <v>906</v>
      </c>
      <c r="D9" s="7" t="str">
        <f>IFERROR(VLOOKUP(C9,'Lista desplegable'!B$1:C$436,2,FALSE),"")</f>
        <v>STEWART PHILLIP WHITEHURST MEJIA</v>
      </c>
      <c r="E9" s="7" t="str">
        <f>IFERROR(VLOOKUP(D9,'Lista desplegable'!C$1:D$436,2,FALSE),"")</f>
        <v>PERFORISTA</v>
      </c>
      <c r="F9" s="81"/>
      <c r="G9" s="81" t="s">
        <v>1025</v>
      </c>
      <c r="H9" s="81" t="s">
        <v>1025</v>
      </c>
      <c r="I9" s="50"/>
      <c r="J9" s="11" t="s">
        <v>15</v>
      </c>
      <c r="K9" s="11"/>
      <c r="L9" s="11"/>
      <c r="M9" s="97" t="s">
        <v>1041</v>
      </c>
    </row>
    <row r="10" spans="2:13" s="1" customFormat="1" ht="13.15" customHeight="1">
      <c r="B10" s="24">
        <v>3</v>
      </c>
      <c r="C10" s="80" t="s">
        <v>426</v>
      </c>
      <c r="D10" s="7" t="str">
        <f>IFERROR(VLOOKUP(C10,'Lista desplegable'!B$1:C$436,2,FALSE),"")</f>
        <v>ISRAEL AARÓN VERGARA ELGUETA</v>
      </c>
      <c r="E10" s="7" t="str">
        <f>IFERROR(VLOOKUP(D10,'Lista desplegable'!C$1:D$436,2,FALSE),"")</f>
        <v>ADMINISTRADOR DE CONTRATO</v>
      </c>
      <c r="F10" s="63" t="s">
        <v>1024</v>
      </c>
      <c r="G10" s="81" t="s">
        <v>20</v>
      </c>
      <c r="H10" s="81" t="s">
        <v>52</v>
      </c>
      <c r="I10" s="50" t="s">
        <v>1042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63" t="s">
        <v>1024</v>
      </c>
      <c r="G11" s="81" t="s">
        <v>20</v>
      </c>
      <c r="H11" s="81" t="s">
        <v>52</v>
      </c>
      <c r="I11" s="50" t="s">
        <v>1042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33" t="s">
        <v>241</v>
      </c>
      <c r="D12" s="7" t="str">
        <f>IFERROR(VLOOKUP(C12,'Lista desplegable'!B$1:C$436,2,FALSE),"")</f>
        <v>DANIEL ANDRES ANDRADE AGUILAR</v>
      </c>
      <c r="E12" s="7" t="str">
        <f>IFERROR(VLOOKUP(D12,'Lista desplegable'!C$1:D$436,2,FALSE),"")</f>
        <v>MECANICO</v>
      </c>
      <c r="F12" s="63" t="s">
        <v>1024</v>
      </c>
      <c r="G12" s="81" t="s">
        <v>20</v>
      </c>
      <c r="H12" s="81" t="s">
        <v>52</v>
      </c>
      <c r="I12" s="50" t="s">
        <v>1042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972</v>
      </c>
      <c r="D13" s="7" t="str">
        <f>IFERROR(VLOOKUP(C13,'Lista desplegable'!B$1:C$436,2,FALSE),"")</f>
        <v>YONATHAN ALBERTO MOROSO CORTES</v>
      </c>
      <c r="E13" s="7" t="str">
        <f>IFERROR(VLOOKUP(D13,'Lista desplegable'!C$1:D$436,2,FALSE),"")</f>
        <v>ADMINISTRATIVO SENIOR</v>
      </c>
      <c r="F13" s="63" t="s">
        <v>1024</v>
      </c>
      <c r="G13" s="81" t="s">
        <v>20</v>
      </c>
      <c r="H13" s="81" t="s">
        <v>52</v>
      </c>
      <c r="I13" s="50" t="s">
        <v>1042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0" t="s">
        <v>258</v>
      </c>
      <c r="D14" s="7" t="str">
        <f>IFERROR(VLOOKUP(C14,'Lista desplegable'!B$1:C$436,2,FALSE),"")</f>
        <v>DAVID AUGUSTO MARSHALL FLORES</v>
      </c>
      <c r="E14" s="7" t="str">
        <f>IFERROR(VLOOKUP(D14,'Lista desplegable'!C$1:D$436,2,FALSE),"")</f>
        <v>BODEGUERO</v>
      </c>
      <c r="F14" s="63" t="s">
        <v>1024</v>
      </c>
      <c r="G14" s="81" t="s">
        <v>20</v>
      </c>
      <c r="H14" s="81" t="s">
        <v>52</v>
      </c>
      <c r="I14" s="50" t="s">
        <v>1042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788</v>
      </c>
      <c r="D15" s="7" t="str">
        <f>IFERROR(VLOOKUP(C15,'Lista desplegable'!B$1:C$436,2,FALSE),"")</f>
        <v>RAUL MANUEL BUSTAMANTE CERON</v>
      </c>
      <c r="E15" s="7" t="str">
        <f>IFERROR(VLOOKUP(D15,'Lista desplegable'!C$1:D$436,2,FALSE),"")</f>
        <v>SOLDADOR</v>
      </c>
      <c r="F15" s="63" t="s">
        <v>1024</v>
      </c>
      <c r="G15" s="81" t="s">
        <v>20</v>
      </c>
      <c r="H15" s="81" t="s">
        <v>52</v>
      </c>
      <c r="I15" s="50" t="s">
        <v>1042</v>
      </c>
      <c r="J15" s="26" t="s">
        <v>15</v>
      </c>
      <c r="K15" s="11" t="s">
        <v>14</v>
      </c>
      <c r="L15" s="11" t="s">
        <v>14</v>
      </c>
      <c r="M15" s="97"/>
    </row>
    <row r="16" spans="2:13" s="1" customFormat="1" ht="13.15" customHeight="1">
      <c r="B16" s="24">
        <v>9</v>
      </c>
      <c r="C16" s="81" t="s">
        <v>476</v>
      </c>
      <c r="D16" s="7" t="str">
        <f>IFERROR(VLOOKUP(C16,'Lista desplegable'!B$1:C$436,2,FALSE),"")</f>
        <v>JONATHAN ALEXANDER OLIVARES NATES</v>
      </c>
      <c r="E16" s="7" t="str">
        <f>IFERROR(VLOOKUP(D16,'Lista desplegable'!C$1:D$436,2,FALSE),"")</f>
        <v>MECANICO</v>
      </c>
      <c r="F16" s="63" t="s">
        <v>1024</v>
      </c>
      <c r="G16" s="81" t="s">
        <v>20</v>
      </c>
      <c r="H16" s="81" t="s">
        <v>52</v>
      </c>
      <c r="I16" s="50" t="s">
        <v>1042</v>
      </c>
      <c r="J16" s="26" t="s">
        <v>15</v>
      </c>
      <c r="K16" s="11" t="s">
        <v>14</v>
      </c>
      <c r="L16" s="11" t="s">
        <v>14</v>
      </c>
      <c r="M16" s="98"/>
    </row>
    <row r="17" spans="2:13" s="1" customFormat="1" ht="13.15" customHeight="1">
      <c r="B17" s="24">
        <v>10</v>
      </c>
      <c r="C17" s="80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63" t="s">
        <v>1024</v>
      </c>
      <c r="G17" s="81" t="s">
        <v>20</v>
      </c>
      <c r="H17" s="81" t="s">
        <v>52</v>
      </c>
      <c r="I17" s="50" t="s">
        <v>1042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63" t="s">
        <v>1024</v>
      </c>
      <c r="G18" s="81" t="s">
        <v>20</v>
      </c>
      <c r="H18" s="81" t="s">
        <v>52</v>
      </c>
      <c r="I18" s="50" t="s">
        <v>1042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63" t="s">
        <v>1024</v>
      </c>
      <c r="G19" s="81" t="s">
        <v>20</v>
      </c>
      <c r="H19" s="81" t="s">
        <v>52</v>
      </c>
      <c r="I19" s="50" t="s">
        <v>1042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63" t="s">
        <v>1024</v>
      </c>
      <c r="G20" s="81" t="s">
        <v>20</v>
      </c>
      <c r="H20" s="81" t="s">
        <v>52</v>
      </c>
      <c r="I20" s="50" t="s">
        <v>1042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81" t="s">
        <v>52</v>
      </c>
      <c r="I21" s="50" t="s">
        <v>1042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1" t="s">
        <v>52</v>
      </c>
      <c r="I22" s="50" t="s">
        <v>1042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1" t="s">
        <v>52</v>
      </c>
      <c r="I23" s="50" t="s">
        <v>1042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81" t="s">
        <v>52</v>
      </c>
      <c r="I24" s="50" t="s">
        <v>1043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1" t="s">
        <v>52</v>
      </c>
      <c r="I25" s="50" t="s">
        <v>1043</v>
      </c>
      <c r="J25" s="26" t="s">
        <v>15</v>
      </c>
      <c r="K25" s="11" t="s">
        <v>14</v>
      </c>
      <c r="L25" s="11" t="s">
        <v>14</v>
      </c>
      <c r="M25" s="41"/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1" t="s">
        <v>52</v>
      </c>
      <c r="I26" s="50" t="s">
        <v>1043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1" t="s">
        <v>52</v>
      </c>
      <c r="I27" s="50" t="s">
        <v>1043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43"/>
      <c r="G28" s="43"/>
      <c r="H28" s="43"/>
      <c r="I28" s="50"/>
      <c r="J28" s="26" t="s">
        <v>37</v>
      </c>
      <c r="K28" s="11"/>
      <c r="L28" s="11"/>
      <c r="M28" s="59" t="s">
        <v>1005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43"/>
      <c r="G29" s="43"/>
      <c r="H29" s="43"/>
      <c r="I29" s="50"/>
      <c r="J29" s="26" t="s">
        <v>37</v>
      </c>
      <c r="K29" s="11"/>
      <c r="L29" s="11"/>
      <c r="M29" s="59" t="s">
        <v>1005</v>
      </c>
    </row>
    <row r="30" spans="2:13" s="1" customFormat="1" ht="13.15" customHeight="1">
      <c r="B30" s="24">
        <v>23</v>
      </c>
      <c r="C30" s="33" t="s">
        <v>734</v>
      </c>
      <c r="D30" s="7" t="str">
        <f>IFERROR(VLOOKUP(C30,'Lista desplegable'!B$1:C$436,2,FALSE),"")</f>
        <v>OSCAR ALEXIS JARA MEJIAS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59" t="s">
        <v>1044</v>
      </c>
    </row>
    <row r="31" spans="2:13" s="1" customFormat="1" ht="13.15" customHeight="1">
      <c r="B31" s="24">
        <v>24</v>
      </c>
      <c r="C31" s="33" t="s">
        <v>589</v>
      </c>
      <c r="D31" s="7" t="str">
        <f>IFERROR(VLOOKUP(C31,'Lista desplegable'!B$1:C$436,2,FALSE),"")</f>
        <v>LUIS ALFREDO MORENO RIOS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59" t="s">
        <v>1044</v>
      </c>
    </row>
    <row r="32" spans="2:13" s="1" customFormat="1" ht="13.15" customHeight="1">
      <c r="B32" s="24">
        <v>25</v>
      </c>
      <c r="C32" s="33"/>
      <c r="D32" s="7"/>
      <c r="E32" s="7"/>
      <c r="F32" s="43"/>
      <c r="G32" s="43"/>
      <c r="H32" s="43"/>
      <c r="I32" s="37"/>
      <c r="J32" s="11"/>
      <c r="K32" s="11"/>
      <c r="L32" s="11"/>
      <c r="M32" s="59"/>
    </row>
    <row r="33" spans="2:13" s="1" customFormat="1" ht="13.15" customHeight="1">
      <c r="B33" s="24">
        <v>26</v>
      </c>
      <c r="C33" s="33"/>
      <c r="D33" s="7"/>
      <c r="E33" s="7"/>
      <c r="F33" s="43"/>
      <c r="G33" s="43"/>
      <c r="H33" s="43"/>
      <c r="I33" s="37"/>
      <c r="J33" s="11"/>
      <c r="K33" s="11"/>
      <c r="L33" s="11"/>
      <c r="M33" s="59"/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1032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 t="s">
        <v>1024</v>
      </c>
      <c r="G42" s="86" t="s">
        <v>20</v>
      </c>
      <c r="H42" s="86" t="s">
        <v>52</v>
      </c>
      <c r="I42" s="87" t="s">
        <v>1045</v>
      </c>
      <c r="J42" s="11" t="s">
        <v>15</v>
      </c>
      <c r="K42" s="11" t="s">
        <v>14</v>
      </c>
      <c r="L42" s="11" t="s">
        <v>14</v>
      </c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1024</v>
      </c>
      <c r="G43" s="86" t="s">
        <v>20</v>
      </c>
      <c r="H43" s="86" t="s">
        <v>52</v>
      </c>
      <c r="I43" s="87" t="s">
        <v>1045</v>
      </c>
      <c r="J43" s="11" t="s">
        <v>15</v>
      </c>
      <c r="K43" s="11" t="s">
        <v>14</v>
      </c>
      <c r="L43" s="11" t="s">
        <v>14</v>
      </c>
      <c r="M43" s="65"/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1024</v>
      </c>
      <c r="G44" s="86" t="s">
        <v>20</v>
      </c>
      <c r="H44" s="86" t="s">
        <v>52</v>
      </c>
      <c r="I44" s="87" t="s">
        <v>1045</v>
      </c>
      <c r="J44" s="11" t="s">
        <v>15</v>
      </c>
      <c r="K44" s="11" t="s">
        <v>14</v>
      </c>
      <c r="L44" s="11" t="s">
        <v>14</v>
      </c>
      <c r="M44" s="65"/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1024</v>
      </c>
      <c r="G45" s="86" t="s">
        <v>20</v>
      </c>
      <c r="H45" s="86" t="s">
        <v>52</v>
      </c>
      <c r="I45" s="87" t="s">
        <v>1045</v>
      </c>
      <c r="J45" s="11" t="s">
        <v>15</v>
      </c>
      <c r="K45" s="11" t="s">
        <v>14</v>
      </c>
      <c r="L45" s="11" t="s">
        <v>14</v>
      </c>
      <c r="M45" s="65"/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1024</v>
      </c>
      <c r="G46" s="86" t="s">
        <v>20</v>
      </c>
      <c r="H46" s="86" t="s">
        <v>52</v>
      </c>
      <c r="I46" s="87" t="s">
        <v>1045</v>
      </c>
      <c r="J46" s="11" t="s">
        <v>15</v>
      </c>
      <c r="K46" s="11" t="s">
        <v>14</v>
      </c>
      <c r="L46" s="11" t="s">
        <v>14</v>
      </c>
      <c r="M46" s="65"/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87" t="s">
        <v>1045</v>
      </c>
      <c r="J47" s="11" t="s">
        <v>15</v>
      </c>
      <c r="K47" s="11" t="s">
        <v>14</v>
      </c>
      <c r="L47" s="11" t="s">
        <v>14</v>
      </c>
      <c r="M47" s="65"/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87" t="s">
        <v>1045</v>
      </c>
      <c r="J48" s="11" t="s">
        <v>15</v>
      </c>
      <c r="K48" s="11" t="s">
        <v>14</v>
      </c>
      <c r="L48" s="11" t="s">
        <v>14</v>
      </c>
      <c r="M48" s="65"/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87" t="s">
        <v>1045</v>
      </c>
      <c r="J49" s="11" t="s">
        <v>15</v>
      </c>
      <c r="K49" s="11" t="s">
        <v>14</v>
      </c>
      <c r="L49" s="11" t="s">
        <v>14</v>
      </c>
      <c r="M49" s="65"/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87" t="s">
        <v>1045</v>
      </c>
      <c r="J50" s="11" t="s">
        <v>15</v>
      </c>
      <c r="K50" s="11" t="s">
        <v>14</v>
      </c>
      <c r="L50" s="11" t="s">
        <v>14</v>
      </c>
      <c r="M50" s="65"/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8" t="s">
        <v>1046</v>
      </c>
      <c r="J51" s="11" t="s">
        <v>15</v>
      </c>
      <c r="K51" s="11" t="s">
        <v>14</v>
      </c>
      <c r="L51" s="11" t="s">
        <v>14</v>
      </c>
      <c r="M51" s="65"/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8" t="s">
        <v>1046</v>
      </c>
      <c r="J52" s="11" t="s">
        <v>15</v>
      </c>
      <c r="K52" s="11" t="s">
        <v>14</v>
      </c>
      <c r="L52" s="11" t="s">
        <v>14</v>
      </c>
      <c r="M52" s="65"/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8" t="s">
        <v>1046</v>
      </c>
      <c r="J53" s="11" t="s">
        <v>15</v>
      </c>
      <c r="K53" s="11" t="s">
        <v>14</v>
      </c>
      <c r="L53" s="11" t="s">
        <v>14</v>
      </c>
      <c r="M53" s="65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48DA345-DFC3-4196-81FD-834E28C86182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EDC900B5-2D8F-44D3-B9AD-886F85293FC2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D3C3189D-58B6-49B3-B70C-50A5DB378C38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986F2814-A968-4D70-84F0-A582ACAFF63A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C1ACA309-8DBD-4EC3-A210-06E01E3BCF9C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105219A0-0F86-44D5-9BDC-0E46E03351EC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2194-F0D9-40F1-902E-31C990F8E95B}">
  <dimension ref="B1:M82"/>
  <sheetViews>
    <sheetView zoomScaleNormal="100" workbookViewId="0">
      <selection activeCell="A9" sqref="A9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1047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01"/>
      <c r="G8" s="101" t="s">
        <v>1025</v>
      </c>
      <c r="H8" s="101" t="s">
        <v>1025</v>
      </c>
      <c r="I8" s="68"/>
      <c r="J8" s="11" t="s">
        <v>23</v>
      </c>
      <c r="K8" s="11"/>
      <c r="L8" s="11"/>
      <c r="M8" s="40"/>
    </row>
    <row r="9" spans="2:13" s="1" customFormat="1" ht="13.15" customHeight="1">
      <c r="B9" s="24">
        <v>2</v>
      </c>
      <c r="C9" s="80" t="s">
        <v>426</v>
      </c>
      <c r="D9" s="7" t="str">
        <f>IFERROR(VLOOKUP(C9,'Lista desplegable'!B$1:C$436,2,FALSE),"")</f>
        <v>ISRAEL AARÓN VERGARA ELGUETA</v>
      </c>
      <c r="E9" s="7" t="str">
        <f>IFERROR(VLOOKUP(D9,'Lista desplegable'!C$1:D$436,2,FALSE),"")</f>
        <v>ADMINISTRADOR DE CONTRATO</v>
      </c>
      <c r="F9" s="81" t="s">
        <v>1024</v>
      </c>
      <c r="G9" s="81" t="s">
        <v>20</v>
      </c>
      <c r="H9" s="81" t="s">
        <v>52</v>
      </c>
      <c r="I9" s="50" t="s">
        <v>1048</v>
      </c>
      <c r="J9" s="11" t="s">
        <v>15</v>
      </c>
      <c r="K9" s="11" t="s">
        <v>14</v>
      </c>
      <c r="L9" s="11" t="s">
        <v>14</v>
      </c>
      <c r="M9" s="97"/>
    </row>
    <row r="10" spans="2:13" s="1" customFormat="1" ht="13.15" customHeight="1">
      <c r="B10" s="24">
        <v>3</v>
      </c>
      <c r="C10" s="80" t="s">
        <v>904</v>
      </c>
      <c r="D10" s="7" t="str">
        <f>IFERROR(VLOOKUP(C10,'Lista desplegable'!B$1:C$436,2,FALSE),"")</f>
        <v>SIMONNE DE LA PAZ REYES BATLLE</v>
      </c>
      <c r="E10" s="7" t="str">
        <f>IFERROR(VLOOKUP(D10,'Lista desplegable'!C$1:D$436,2,FALSE),"")</f>
        <v>ADMINISTRATIVO DE FAENA</v>
      </c>
      <c r="F10" s="63" t="s">
        <v>1024</v>
      </c>
      <c r="G10" s="81" t="s">
        <v>20</v>
      </c>
      <c r="H10" s="81" t="s">
        <v>52</v>
      </c>
      <c r="I10" s="50" t="s">
        <v>1048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33" t="s">
        <v>241</v>
      </c>
      <c r="D11" s="7" t="str">
        <f>IFERROR(VLOOKUP(C11,'Lista desplegable'!B$1:C$436,2,FALSE),"")</f>
        <v>DANIEL ANDRES ANDRADE AGUILAR</v>
      </c>
      <c r="E11" s="7" t="str">
        <f>IFERROR(VLOOKUP(D11,'Lista desplegable'!C$1:D$436,2,FALSE),"")</f>
        <v>MECANICO</v>
      </c>
      <c r="F11" s="63" t="s">
        <v>1024</v>
      </c>
      <c r="G11" s="81" t="s">
        <v>20</v>
      </c>
      <c r="H11" s="81" t="s">
        <v>52</v>
      </c>
      <c r="I11" s="50" t="s">
        <v>1048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972</v>
      </c>
      <c r="D12" s="7" t="str">
        <f>IFERROR(VLOOKUP(C12,'Lista desplegable'!B$1:C$436,2,FALSE),"")</f>
        <v>YONATHAN ALBERTO MOROSO CORTES</v>
      </c>
      <c r="E12" s="7" t="str">
        <f>IFERROR(VLOOKUP(D12,'Lista desplegable'!C$1:D$436,2,FALSE),"")</f>
        <v>ADMINISTRATIVO SENIOR</v>
      </c>
      <c r="F12" s="63" t="s">
        <v>1024</v>
      </c>
      <c r="G12" s="81" t="s">
        <v>20</v>
      </c>
      <c r="H12" s="81" t="s">
        <v>52</v>
      </c>
      <c r="I12" s="50" t="s">
        <v>1048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258</v>
      </c>
      <c r="D13" s="7" t="str">
        <f>IFERROR(VLOOKUP(C13,'Lista desplegable'!B$1:C$436,2,FALSE),"")</f>
        <v>DAVID AUGUSTO MARSHALL FLORES</v>
      </c>
      <c r="E13" s="7" t="str">
        <f>IFERROR(VLOOKUP(D13,'Lista desplegable'!C$1:D$436,2,FALSE),"")</f>
        <v>BODEGUERO</v>
      </c>
      <c r="F13" s="63" t="s">
        <v>1024</v>
      </c>
      <c r="G13" s="81" t="s">
        <v>20</v>
      </c>
      <c r="H13" s="81" t="s">
        <v>52</v>
      </c>
      <c r="I13" s="50" t="s">
        <v>1048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1" t="s">
        <v>788</v>
      </c>
      <c r="D14" s="7" t="str">
        <f>IFERROR(VLOOKUP(C14,'Lista desplegable'!B$1:C$436,2,FALSE),"")</f>
        <v>RAUL MANUEL BUSTAMANTE CERON</v>
      </c>
      <c r="E14" s="7" t="str">
        <f>IFERROR(VLOOKUP(D14,'Lista desplegable'!C$1:D$436,2,FALSE),"")</f>
        <v>SOLDADOR</v>
      </c>
      <c r="F14" s="63" t="s">
        <v>1024</v>
      </c>
      <c r="G14" s="81" t="s">
        <v>20</v>
      </c>
      <c r="H14" s="81" t="s">
        <v>52</v>
      </c>
      <c r="I14" s="50" t="s">
        <v>1048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476</v>
      </c>
      <c r="D15" s="7" t="str">
        <f>IFERROR(VLOOKUP(C15,'Lista desplegable'!B$1:C$436,2,FALSE),"")</f>
        <v>JONATHAN ALEXANDER OLIVARES NATES</v>
      </c>
      <c r="E15" s="7" t="str">
        <f>IFERROR(VLOOKUP(D15,'Lista desplegable'!C$1:D$436,2,FALSE),"")</f>
        <v>MECANICO</v>
      </c>
      <c r="F15" s="63" t="s">
        <v>1024</v>
      </c>
      <c r="G15" s="81" t="s">
        <v>20</v>
      </c>
      <c r="H15" s="81" t="s">
        <v>52</v>
      </c>
      <c r="I15" s="50" t="s">
        <v>1048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80" t="s">
        <v>837</v>
      </c>
      <c r="D16" s="7" t="str">
        <f>IFERROR(VLOOKUP(C16,'Lista desplegable'!B$1:C$436,2,FALSE),"")</f>
        <v>ROBERTO MAURICIO VERGARA NEGRETE</v>
      </c>
      <c r="E16" s="7" t="str">
        <f>IFERROR(VLOOKUP(D16,'Lista desplegable'!C$1:D$436,2,FALSE),"")</f>
        <v>ELECTROMECÁNICO</v>
      </c>
      <c r="F16" s="63" t="s">
        <v>1024</v>
      </c>
      <c r="G16" s="81" t="s">
        <v>20</v>
      </c>
      <c r="H16" s="81" t="s">
        <v>52</v>
      </c>
      <c r="I16" s="50" t="s">
        <v>1048</v>
      </c>
      <c r="J16" s="26" t="s">
        <v>15</v>
      </c>
      <c r="K16" s="11" t="s">
        <v>14</v>
      </c>
      <c r="L16" s="11" t="s">
        <v>14</v>
      </c>
      <c r="M16" s="99"/>
    </row>
    <row r="17" spans="2:13" s="1" customFormat="1" ht="13.15" customHeight="1">
      <c r="B17" s="24">
        <v>10</v>
      </c>
      <c r="C17" s="80" t="s">
        <v>178</v>
      </c>
      <c r="D17" s="7" t="str">
        <f>IFERROR(VLOOKUP(C17,'Lista desplegable'!B$1:C$436,2,FALSE),"")</f>
        <v>CELSO ANDRES ORREGO OLIVARES</v>
      </c>
      <c r="E17" s="7" t="str">
        <f>IFERROR(VLOOKUP(D17,'Lista desplegable'!C$1:D$436,2,FALSE),"")</f>
        <v>CHOFER</v>
      </c>
      <c r="F17" s="63" t="s">
        <v>1024</v>
      </c>
      <c r="G17" s="81" t="s">
        <v>20</v>
      </c>
      <c r="H17" s="81" t="s">
        <v>52</v>
      </c>
      <c r="I17" s="50" t="s">
        <v>1048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1" t="s">
        <v>784</v>
      </c>
      <c r="D18" s="7" t="str">
        <f>IFERROR(VLOOKUP(C18,'Lista desplegable'!B$1:C$436,2,FALSE),"")</f>
        <v>RAUL ALEJANDRO RIVERO RIVERO</v>
      </c>
      <c r="E18" s="7" t="str">
        <f>IFERROR(VLOOKUP(D18,'Lista desplegable'!C$1:D$436,2,FALSE),"")</f>
        <v>SUPERVISOR DE OPERACIONES</v>
      </c>
      <c r="F18" s="63" t="s">
        <v>1024</v>
      </c>
      <c r="G18" s="81" t="s">
        <v>20</v>
      </c>
      <c r="H18" s="81" t="s">
        <v>52</v>
      </c>
      <c r="I18" s="50" t="s">
        <v>1048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91" t="s">
        <v>744</v>
      </c>
      <c r="D19" s="7" t="str">
        <f>IFERROR(VLOOKUP(C19,'Lista desplegable'!B$1:C$436,2,FALSE),"")</f>
        <v>PABLO ANTONIO ALVAREZ CORTES</v>
      </c>
      <c r="E19" s="7" t="str">
        <f>IFERROR(VLOOKUP(D19,'Lista desplegable'!C$1:D$436,2,FALSE),"")</f>
        <v>PREVENCIONISTA DE RIESGOS</v>
      </c>
      <c r="F19" s="63" t="s">
        <v>1024</v>
      </c>
      <c r="G19" s="81" t="s">
        <v>20</v>
      </c>
      <c r="H19" s="81" t="s">
        <v>52</v>
      </c>
      <c r="I19" s="50" t="s">
        <v>1048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80" t="s">
        <v>398</v>
      </c>
      <c r="D20" s="7" t="str">
        <f>IFERROR(VLOOKUP(C20,'Lista desplegable'!B$1:C$436,2,FALSE),"")</f>
        <v>GUILLERMO ALFREDO CASTRO ZUÑIGA</v>
      </c>
      <c r="E20" s="7" t="str">
        <f>IFERROR(VLOOKUP(D20,'Lista desplegable'!C$1:D$436,2,FALSE),"")</f>
        <v>PERFORISTA</v>
      </c>
      <c r="F20" s="63" t="s">
        <v>1024</v>
      </c>
      <c r="G20" s="81" t="s">
        <v>20</v>
      </c>
      <c r="H20" s="81" t="s">
        <v>52</v>
      </c>
      <c r="I20" s="50" t="s">
        <v>1048</v>
      </c>
      <c r="J20" s="26" t="s">
        <v>15</v>
      </c>
      <c r="K20" s="11" t="s">
        <v>14</v>
      </c>
      <c r="L20" s="11" t="s">
        <v>14</v>
      </c>
      <c r="M20" s="100"/>
    </row>
    <row r="21" spans="2:13" s="1" customFormat="1" ht="13.15" customHeight="1">
      <c r="B21" s="24">
        <v>14</v>
      </c>
      <c r="C21" s="80" t="s">
        <v>818</v>
      </c>
      <c r="D21" s="7" t="str">
        <f>IFERROR(VLOOKUP(C21,'Lista desplegable'!B$1:C$436,2,FALSE),"")</f>
        <v>RICKY DONNELLY ARAVENA POBLETE</v>
      </c>
      <c r="E21" s="7" t="str">
        <f>IFERROR(VLOOKUP(D21,'Lista desplegable'!C$1:D$436,2,FALSE),"")</f>
        <v>AYUDANTE DE PERFORISTA</v>
      </c>
      <c r="F21" s="63" t="s">
        <v>1024</v>
      </c>
      <c r="G21" s="81" t="s">
        <v>20</v>
      </c>
      <c r="H21" s="81" t="s">
        <v>52</v>
      </c>
      <c r="I21" s="50" t="s">
        <v>1048</v>
      </c>
      <c r="J21" s="26" t="s">
        <v>15</v>
      </c>
      <c r="K21" s="11" t="s">
        <v>14</v>
      </c>
      <c r="L21" s="11" t="s">
        <v>14</v>
      </c>
      <c r="M21" s="41"/>
    </row>
    <row r="22" spans="2:13" s="1" customFormat="1" ht="13.15" customHeight="1">
      <c r="B22" s="24">
        <v>15</v>
      </c>
      <c r="C22" s="81" t="s">
        <v>185</v>
      </c>
      <c r="D22" s="7" t="str">
        <f>IFERROR(VLOOKUP(C22,'Lista desplegable'!B$1:C$436,2,FALSE),"")</f>
        <v>CHRISTOFER HUESLY OLIVARES FERNANDEZ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1" t="s">
        <v>52</v>
      </c>
      <c r="I22" s="50" t="s">
        <v>1048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562</v>
      </c>
      <c r="D23" s="7" t="str">
        <f>IFERROR(VLOOKUP(C23,'Lista desplegable'!B$1:C$436,2,FALSE),"")</f>
        <v>KEVIN ESTEBAN VALENZUELA VALENZUELA</v>
      </c>
      <c r="E23" s="7" t="str">
        <f>IFERROR(VLOOKUP(D23,'Lista desplegable'!C$1:D$436,2,FALSE),"")</f>
        <v>PERFORISTA</v>
      </c>
      <c r="F23" s="63" t="s">
        <v>1026</v>
      </c>
      <c r="G23" s="81" t="s">
        <v>20</v>
      </c>
      <c r="H23" s="81" t="s">
        <v>52</v>
      </c>
      <c r="I23" s="50" t="s">
        <v>1018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897</v>
      </c>
      <c r="D24" s="7" t="str">
        <f>IFERROR(VLOOKUP(C24,'Lista desplegable'!B$1:C$436,2,FALSE),"")</f>
        <v>SERGIO ALFONSO BRUNA LEDEZMA</v>
      </c>
      <c r="E24" s="7" t="str">
        <f>IFERROR(VLOOKUP(D24,'Lista desplegable'!C$1:D$436,2,FALSE),"")</f>
        <v>AYUDANTE DE PERFORISTA</v>
      </c>
      <c r="F24" s="63" t="s">
        <v>1026</v>
      </c>
      <c r="G24" s="81" t="s">
        <v>20</v>
      </c>
      <c r="H24" s="81" t="s">
        <v>52</v>
      </c>
      <c r="I24" s="50" t="s">
        <v>1018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92" t="s">
        <v>305</v>
      </c>
      <c r="D25" s="7" t="str">
        <f>IFERROR(VLOOKUP(C25,'Lista desplegable'!B$1:C$436,2,FALSE),"")</f>
        <v>EMIL EDGARDO VARGAS BORDONES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1" t="s">
        <v>52</v>
      </c>
      <c r="I25" s="50" t="s">
        <v>1018</v>
      </c>
      <c r="J25" s="26" t="s">
        <v>15</v>
      </c>
      <c r="K25" s="11" t="s">
        <v>14</v>
      </c>
      <c r="L25" s="11" t="s">
        <v>14</v>
      </c>
      <c r="M25" s="79"/>
    </row>
    <row r="26" spans="2:13" s="1" customFormat="1" ht="13.15" customHeight="1">
      <c r="B26" s="24">
        <v>19</v>
      </c>
      <c r="C26" s="92" t="s">
        <v>877</v>
      </c>
      <c r="D26" s="7" t="str">
        <f>IFERROR(VLOOKUP(C26,'Lista desplegable'!B$1:C$436,2,FALSE),"")</f>
        <v>SEBASTIAN ALEJANDRO ARANEDA MILLAR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1" t="s">
        <v>52</v>
      </c>
      <c r="I26" s="50" t="s">
        <v>1018</v>
      </c>
      <c r="J26" s="26" t="s">
        <v>15</v>
      </c>
      <c r="K26" s="11" t="s">
        <v>14</v>
      </c>
      <c r="L26" s="11" t="s">
        <v>14</v>
      </c>
      <c r="M26" s="57"/>
    </row>
    <row r="27" spans="2:13" s="1" customFormat="1" ht="13.15" customHeight="1">
      <c r="B27" s="24">
        <v>20</v>
      </c>
      <c r="C27" s="33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95"/>
      <c r="G27" s="96"/>
      <c r="H27" s="96"/>
      <c r="I27" s="50"/>
      <c r="J27" s="26" t="s">
        <v>37</v>
      </c>
      <c r="K27" s="11"/>
      <c r="L27" s="11"/>
      <c r="M27" s="59" t="s">
        <v>1005</v>
      </c>
    </row>
    <row r="28" spans="2:13" s="1" customFormat="1" ht="13.15" customHeight="1">
      <c r="B28" s="24">
        <v>21</v>
      </c>
      <c r="C28" s="33" t="s">
        <v>958</v>
      </c>
      <c r="D28" s="7" t="str">
        <f>IFERROR(VLOOKUP(C28,'Lista desplegable'!B$1:C$436,2,FALSE),"")</f>
        <v>WALTER LISANDRO SALAS MESA</v>
      </c>
      <c r="E28" s="7" t="str">
        <f>IFERROR(VLOOKUP(D28,'Lista desplegable'!C$1:D$436,2,FALSE),"")</f>
        <v>PERFORISTA</v>
      </c>
      <c r="F28" s="43"/>
      <c r="G28" s="43"/>
      <c r="H28" s="43"/>
      <c r="I28" s="50"/>
      <c r="J28" s="26" t="s">
        <v>37</v>
      </c>
      <c r="K28" s="11"/>
      <c r="L28" s="11"/>
      <c r="M28" s="59" t="s">
        <v>1049</v>
      </c>
    </row>
    <row r="29" spans="2:13" s="1" customFormat="1" ht="13.15" customHeight="1">
      <c r="B29" s="24">
        <v>22</v>
      </c>
      <c r="C29" s="33" t="s">
        <v>734</v>
      </c>
      <c r="D29" s="7" t="str">
        <f>IFERROR(VLOOKUP(C29,'Lista desplegable'!B$1:C$436,2,FALSE),"")</f>
        <v>OSCAR ALEXIS JARA MEJIAS</v>
      </c>
      <c r="E29" s="7" t="str">
        <f>IFERROR(VLOOKUP(D29,'Lista desplegable'!C$1:D$436,2,FALSE),"")</f>
        <v>CHOFER</v>
      </c>
      <c r="F29" s="43"/>
      <c r="G29" s="43"/>
      <c r="H29" s="43"/>
      <c r="I29" s="50"/>
      <c r="J29" s="26" t="s">
        <v>37</v>
      </c>
      <c r="K29" s="11"/>
      <c r="L29" s="11"/>
      <c r="M29" s="59" t="s">
        <v>1005</v>
      </c>
    </row>
    <row r="30" spans="2:13" s="1" customFormat="1" ht="13.15" customHeight="1">
      <c r="B30" s="24">
        <v>23</v>
      </c>
      <c r="C30" s="33" t="s">
        <v>589</v>
      </c>
      <c r="D30" s="7" t="str">
        <f>IFERROR(VLOOKUP(C30,'Lista desplegable'!B$1:C$436,2,FALSE),"")</f>
        <v>LUIS ALFREDO MORENO RIOS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59" t="s">
        <v>1005</v>
      </c>
    </row>
    <row r="31" spans="2:13" s="1" customFormat="1" ht="13.15" customHeight="1">
      <c r="B31" s="24">
        <v>24</v>
      </c>
      <c r="C31" s="33"/>
      <c r="D31" s="7"/>
      <c r="E31" s="7"/>
      <c r="F31" s="43"/>
      <c r="G31" s="43"/>
      <c r="H31" s="41"/>
      <c r="I31" s="50"/>
      <c r="J31" s="26"/>
      <c r="K31" s="11"/>
      <c r="L31" s="11"/>
      <c r="M31" s="64"/>
    </row>
    <row r="32" spans="2:13" s="1" customFormat="1" ht="13.15" customHeight="1">
      <c r="B32" s="24">
        <v>25</v>
      </c>
      <c r="C32" s="33"/>
      <c r="D32" s="7"/>
      <c r="E32" s="7"/>
      <c r="F32" s="43"/>
      <c r="G32" s="43"/>
      <c r="H32" s="43"/>
      <c r="I32" s="37"/>
      <c r="J32" s="11"/>
      <c r="K32" s="11"/>
      <c r="L32" s="11"/>
      <c r="M32" s="102"/>
    </row>
    <row r="33" spans="2:13" s="1" customFormat="1" ht="13.15" customHeight="1">
      <c r="B33" s="24">
        <v>26</v>
      </c>
      <c r="C33" s="33"/>
      <c r="D33" s="7"/>
      <c r="E33" s="7"/>
      <c r="F33" s="43"/>
      <c r="G33" s="43"/>
      <c r="H33" s="43"/>
      <c r="I33" s="37"/>
      <c r="J33" s="11"/>
      <c r="K33" s="11"/>
      <c r="L33" s="11"/>
      <c r="M33" s="59"/>
    </row>
    <row r="34" spans="2:13" s="1" customFormat="1" ht="13.15" customHeight="1">
      <c r="B34" s="24">
        <v>27</v>
      </c>
      <c r="C34" s="36"/>
      <c r="D34" s="7"/>
      <c r="E34" s="7"/>
      <c r="F34" s="43"/>
      <c r="G34" s="43"/>
      <c r="H34" s="44"/>
      <c r="I34" s="38"/>
      <c r="J34" s="11"/>
      <c r="K34" s="11"/>
      <c r="L34" s="11"/>
      <c r="M34" s="11"/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/>
      <c r="G42" s="86" t="s">
        <v>1025</v>
      </c>
      <c r="H42" s="86" t="s">
        <v>1025</v>
      </c>
      <c r="I42" s="88"/>
      <c r="J42" s="11" t="s">
        <v>23</v>
      </c>
      <c r="K42" s="11"/>
      <c r="L42" s="11"/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1026</v>
      </c>
      <c r="G43" s="86" t="s">
        <v>20</v>
      </c>
      <c r="H43" s="86" t="s">
        <v>52</v>
      </c>
      <c r="I43" s="88" t="s">
        <v>1050</v>
      </c>
      <c r="J43" s="11" t="s">
        <v>15</v>
      </c>
      <c r="K43" s="11" t="s">
        <v>14</v>
      </c>
      <c r="L43" s="11" t="s">
        <v>14</v>
      </c>
      <c r="M43" s="65"/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1026</v>
      </c>
      <c r="G44" s="86" t="s">
        <v>20</v>
      </c>
      <c r="H44" s="86" t="s">
        <v>52</v>
      </c>
      <c r="I44" s="88" t="s">
        <v>1050</v>
      </c>
      <c r="J44" s="11" t="s">
        <v>15</v>
      </c>
      <c r="K44" s="11" t="s">
        <v>14</v>
      </c>
      <c r="L44" s="11" t="s">
        <v>14</v>
      </c>
      <c r="M44" s="65"/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1026</v>
      </c>
      <c r="G45" s="86" t="s">
        <v>20</v>
      </c>
      <c r="H45" s="86" t="s">
        <v>52</v>
      </c>
      <c r="I45" s="88" t="s">
        <v>1050</v>
      </c>
      <c r="J45" s="11" t="s">
        <v>15</v>
      </c>
      <c r="K45" s="11" t="s">
        <v>14</v>
      </c>
      <c r="L45" s="11" t="s">
        <v>14</v>
      </c>
      <c r="M45" s="65"/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1026</v>
      </c>
      <c r="G46" s="86" t="s">
        <v>20</v>
      </c>
      <c r="H46" s="86" t="s">
        <v>52</v>
      </c>
      <c r="I46" s="88" t="s">
        <v>1050</v>
      </c>
      <c r="J46" s="11" t="s">
        <v>15</v>
      </c>
      <c r="K46" s="11" t="s">
        <v>14</v>
      </c>
      <c r="L46" s="11" t="s">
        <v>14</v>
      </c>
      <c r="M46" s="65"/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87" t="s">
        <v>1051</v>
      </c>
      <c r="J47" s="11" t="s">
        <v>15</v>
      </c>
      <c r="K47" s="11" t="s">
        <v>14</v>
      </c>
      <c r="L47" s="11" t="s">
        <v>14</v>
      </c>
      <c r="M47" s="65"/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87" t="s">
        <v>1051</v>
      </c>
      <c r="J48" s="11" t="s">
        <v>15</v>
      </c>
      <c r="K48" s="11" t="s">
        <v>14</v>
      </c>
      <c r="L48" s="11" t="s">
        <v>14</v>
      </c>
      <c r="M48" s="65"/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87" t="s">
        <v>1051</v>
      </c>
      <c r="J49" s="11" t="s">
        <v>15</v>
      </c>
      <c r="K49" s="11" t="s">
        <v>14</v>
      </c>
      <c r="L49" s="11" t="s">
        <v>14</v>
      </c>
      <c r="M49" s="65"/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87" t="s">
        <v>1051</v>
      </c>
      <c r="J50" s="11" t="s">
        <v>15</v>
      </c>
      <c r="K50" s="11" t="s">
        <v>14</v>
      </c>
      <c r="L50" s="11" t="s">
        <v>14</v>
      </c>
      <c r="M50" s="65"/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8" t="s">
        <v>1050</v>
      </c>
      <c r="J51" s="11" t="s">
        <v>15</v>
      </c>
      <c r="K51" s="11" t="s">
        <v>14</v>
      </c>
      <c r="L51" s="11" t="s">
        <v>14</v>
      </c>
      <c r="M51" s="65"/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8" t="s">
        <v>1050</v>
      </c>
      <c r="J52" s="11" t="s">
        <v>15</v>
      </c>
      <c r="K52" s="11" t="s">
        <v>14</v>
      </c>
      <c r="L52" s="11" t="s">
        <v>14</v>
      </c>
      <c r="M52" s="65"/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8" t="s">
        <v>1050</v>
      </c>
      <c r="J53" s="11" t="s">
        <v>15</v>
      </c>
      <c r="K53" s="11" t="s">
        <v>14</v>
      </c>
      <c r="L53" s="11" t="s">
        <v>14</v>
      </c>
      <c r="M53" s="65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3457E0D-FBCF-441C-9CA9-92DE0043937F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62BC8167-171C-4F9D-AA73-89B839C09038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B2980409-567D-4838-8B8D-23066A9D4CCF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5ADC67F5-F4C2-4CDF-80B9-45DD503398BD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72E9CD99-7549-4C60-BD97-86643CEEEEF3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E19ED63C-BF56-450C-A21A-B77773AC1121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D2DD-E8BB-47FE-AC8C-0E5190C63A13}">
  <dimension ref="B1:M82"/>
  <sheetViews>
    <sheetView zoomScaleNormal="100" workbookViewId="0">
      <selection activeCell="J50" sqref="J50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1052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1026</v>
      </c>
      <c r="G8" s="96" t="s">
        <v>20</v>
      </c>
      <c r="H8" s="96" t="s">
        <v>52</v>
      </c>
      <c r="I8" s="105" t="s">
        <v>1053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80" t="s">
        <v>426</v>
      </c>
      <c r="D9" s="7" t="str">
        <f>IFERROR(VLOOKUP(C9,'Lista desplegable'!B$1:C$436,2,FALSE),"")</f>
        <v>ISRAEL AARÓN VERGARA ELGUETA</v>
      </c>
      <c r="E9" s="7" t="str">
        <f>IFERROR(VLOOKUP(D9,'Lista desplegable'!C$1:D$436,2,FALSE),"")</f>
        <v>ADMINISTRADOR DE CONTRATO</v>
      </c>
      <c r="F9" s="63" t="s">
        <v>1026</v>
      </c>
      <c r="G9" s="96" t="s">
        <v>20</v>
      </c>
      <c r="H9" s="96" t="s">
        <v>52</v>
      </c>
      <c r="I9" s="105" t="s">
        <v>1053</v>
      </c>
      <c r="J9" s="11" t="s">
        <v>15</v>
      </c>
      <c r="K9" s="11" t="s">
        <v>14</v>
      </c>
      <c r="L9" s="11" t="s">
        <v>14</v>
      </c>
      <c r="M9" s="97"/>
    </row>
    <row r="10" spans="2:13" s="1" customFormat="1" ht="13.15" customHeight="1">
      <c r="B10" s="24">
        <v>3</v>
      </c>
      <c r="C10" s="80" t="s">
        <v>904</v>
      </c>
      <c r="D10" s="7" t="str">
        <f>IFERROR(VLOOKUP(C10,'Lista desplegable'!B$1:C$436,2,FALSE),"")</f>
        <v>SIMONNE DE LA PAZ REYES BATLLE</v>
      </c>
      <c r="E10" s="7" t="str">
        <f>IFERROR(VLOOKUP(D10,'Lista desplegable'!C$1:D$436,2,FALSE),"")</f>
        <v>ADMINISTRATIVO DE FAENA</v>
      </c>
      <c r="F10" s="63" t="s">
        <v>1026</v>
      </c>
      <c r="G10" s="96" t="s">
        <v>20</v>
      </c>
      <c r="H10" s="96" t="s">
        <v>52</v>
      </c>
      <c r="I10" s="50" t="s">
        <v>1053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33" t="s">
        <v>241</v>
      </c>
      <c r="D11" s="7" t="str">
        <f>IFERROR(VLOOKUP(C11,'Lista desplegable'!B$1:C$436,2,FALSE),"")</f>
        <v>DANIEL ANDRES ANDRADE AGUILAR</v>
      </c>
      <c r="E11" s="7" t="str">
        <f>IFERROR(VLOOKUP(D11,'Lista desplegable'!C$1:D$436,2,FALSE),"")</f>
        <v>MECANICO</v>
      </c>
      <c r="F11" s="63" t="s">
        <v>1026</v>
      </c>
      <c r="G11" s="96" t="s">
        <v>20</v>
      </c>
      <c r="H11" s="96" t="s">
        <v>52</v>
      </c>
      <c r="I11" s="50" t="s">
        <v>1053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972</v>
      </c>
      <c r="D12" s="7" t="str">
        <f>IFERROR(VLOOKUP(C12,'Lista desplegable'!B$1:C$436,2,FALSE),"")</f>
        <v>YONATHAN ALBERTO MOROSO CORTES</v>
      </c>
      <c r="E12" s="7" t="str">
        <f>IFERROR(VLOOKUP(D12,'Lista desplegable'!C$1:D$436,2,FALSE),"")</f>
        <v>ADMINISTRATIVO SENIOR</v>
      </c>
      <c r="F12" s="63" t="s">
        <v>1026</v>
      </c>
      <c r="G12" s="96" t="s">
        <v>20</v>
      </c>
      <c r="H12" s="96" t="s">
        <v>52</v>
      </c>
      <c r="I12" s="50" t="s">
        <v>1053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258</v>
      </c>
      <c r="D13" s="7" t="str">
        <f>IFERROR(VLOOKUP(C13,'Lista desplegable'!B$1:C$436,2,FALSE),"")</f>
        <v>DAVID AUGUSTO MARSHALL FLORES</v>
      </c>
      <c r="E13" s="7" t="str">
        <f>IFERROR(VLOOKUP(D13,'Lista desplegable'!C$1:D$436,2,FALSE),"")</f>
        <v>BODEGUERO</v>
      </c>
      <c r="F13" s="63" t="s">
        <v>1026</v>
      </c>
      <c r="G13" s="96" t="s">
        <v>20</v>
      </c>
      <c r="H13" s="96" t="s">
        <v>52</v>
      </c>
      <c r="I13" s="50" t="s">
        <v>1053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1" t="s">
        <v>788</v>
      </c>
      <c r="D14" s="7" t="str">
        <f>IFERROR(VLOOKUP(C14,'Lista desplegable'!B$1:C$436,2,FALSE),"")</f>
        <v>RAUL MANUEL BUSTAMANTE CERON</v>
      </c>
      <c r="E14" s="7" t="str">
        <f>IFERROR(VLOOKUP(D14,'Lista desplegable'!C$1:D$436,2,FALSE),"")</f>
        <v>SOLDADOR</v>
      </c>
      <c r="F14" s="63" t="s">
        <v>1026</v>
      </c>
      <c r="G14" s="96" t="s">
        <v>20</v>
      </c>
      <c r="H14" s="96" t="s">
        <v>52</v>
      </c>
      <c r="I14" s="50" t="s">
        <v>1053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476</v>
      </c>
      <c r="D15" s="7" t="str">
        <f>IFERROR(VLOOKUP(C15,'Lista desplegable'!B$1:C$436,2,FALSE),"")</f>
        <v>JONATHAN ALEXANDER OLIVARES NATES</v>
      </c>
      <c r="E15" s="7" t="str">
        <f>IFERROR(VLOOKUP(D15,'Lista desplegable'!C$1:D$436,2,FALSE),"")</f>
        <v>MECANICO</v>
      </c>
      <c r="F15" s="63" t="s">
        <v>1026</v>
      </c>
      <c r="G15" s="96" t="s">
        <v>20</v>
      </c>
      <c r="H15" s="96" t="s">
        <v>52</v>
      </c>
      <c r="I15" s="50" t="s">
        <v>1053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80" t="s">
        <v>837</v>
      </c>
      <c r="D16" s="7" t="str">
        <f>IFERROR(VLOOKUP(C16,'Lista desplegable'!B$1:C$436,2,FALSE),"")</f>
        <v>ROBERTO MAURICIO VERGARA NEGRETE</v>
      </c>
      <c r="E16" s="7" t="str">
        <f>IFERROR(VLOOKUP(D16,'Lista desplegable'!C$1:D$436,2,FALSE),"")</f>
        <v>ELECTROMECÁNICO</v>
      </c>
      <c r="F16" s="63" t="s">
        <v>1026</v>
      </c>
      <c r="G16" s="96" t="s">
        <v>20</v>
      </c>
      <c r="H16" s="96" t="s">
        <v>52</v>
      </c>
      <c r="I16" s="50" t="s">
        <v>1053</v>
      </c>
      <c r="J16" s="26" t="s">
        <v>15</v>
      </c>
      <c r="K16" s="11" t="s">
        <v>14</v>
      </c>
      <c r="L16" s="11" t="s">
        <v>14</v>
      </c>
      <c r="M16" s="99"/>
    </row>
    <row r="17" spans="2:13" s="1" customFormat="1" ht="13.15" customHeight="1">
      <c r="B17" s="24">
        <v>10</v>
      </c>
      <c r="C17" s="80" t="s">
        <v>178</v>
      </c>
      <c r="D17" s="7" t="str">
        <f>IFERROR(VLOOKUP(C17,'Lista desplegable'!B$1:C$436,2,FALSE),"")</f>
        <v>CELSO ANDRES ORREGO OLIVARES</v>
      </c>
      <c r="E17" s="7" t="str">
        <f>IFERROR(VLOOKUP(D17,'Lista desplegable'!C$1:D$436,2,FALSE),"")</f>
        <v>CHOFER</v>
      </c>
      <c r="F17" s="63" t="s">
        <v>1026</v>
      </c>
      <c r="G17" s="96" t="s">
        <v>20</v>
      </c>
      <c r="H17" s="96" t="s">
        <v>52</v>
      </c>
      <c r="I17" s="50" t="s">
        <v>1053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1" t="s">
        <v>784</v>
      </c>
      <c r="D18" s="7" t="str">
        <f>IFERROR(VLOOKUP(C18,'Lista desplegable'!B$1:C$436,2,FALSE),"")</f>
        <v>RAUL ALEJANDRO RIVERO RIVERO</v>
      </c>
      <c r="E18" s="7" t="str">
        <f>IFERROR(VLOOKUP(D18,'Lista desplegable'!C$1:D$436,2,FALSE),"")</f>
        <v>SUPERVISOR DE OPERACIONES</v>
      </c>
      <c r="F18" s="63" t="s">
        <v>1026</v>
      </c>
      <c r="G18" s="96" t="s">
        <v>20</v>
      </c>
      <c r="H18" s="96" t="s">
        <v>52</v>
      </c>
      <c r="I18" s="50" t="s">
        <v>1053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91" t="s">
        <v>744</v>
      </c>
      <c r="D19" s="7" t="str">
        <f>IFERROR(VLOOKUP(C19,'Lista desplegable'!B$1:C$436,2,FALSE),"")</f>
        <v>PABLO ANTONIO ALVAREZ CORTES</v>
      </c>
      <c r="E19" s="7" t="str">
        <f>IFERROR(VLOOKUP(D19,'Lista desplegable'!C$1:D$436,2,FALSE),"")</f>
        <v>PREVENCIONISTA DE RIESGOS</v>
      </c>
      <c r="F19" s="63" t="s">
        <v>1026</v>
      </c>
      <c r="G19" s="96" t="s">
        <v>20</v>
      </c>
      <c r="H19" s="96" t="s">
        <v>52</v>
      </c>
      <c r="I19" s="50" t="s">
        <v>1053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80" t="s">
        <v>398</v>
      </c>
      <c r="D20" s="7" t="str">
        <f>IFERROR(VLOOKUP(C20,'Lista desplegable'!B$1:C$436,2,FALSE),"")</f>
        <v>GUILLERMO ALFREDO CASTRO ZUÑIGA</v>
      </c>
      <c r="E20" s="7" t="str">
        <f>IFERROR(VLOOKUP(D20,'Lista desplegable'!C$1:D$436,2,FALSE),"")</f>
        <v>PERFORISTA</v>
      </c>
      <c r="F20" s="63" t="s">
        <v>1024</v>
      </c>
      <c r="G20" s="81" t="s">
        <v>20</v>
      </c>
      <c r="H20" s="96" t="s">
        <v>52</v>
      </c>
      <c r="I20" s="50" t="s">
        <v>1054</v>
      </c>
      <c r="J20" s="26" t="s">
        <v>15</v>
      </c>
      <c r="K20" s="11" t="s">
        <v>14</v>
      </c>
      <c r="L20" s="11" t="s">
        <v>14</v>
      </c>
      <c r="M20" s="100"/>
    </row>
    <row r="21" spans="2:13" s="1" customFormat="1" ht="13.15" customHeight="1">
      <c r="B21" s="24">
        <v>14</v>
      </c>
      <c r="C21" s="80" t="s">
        <v>818</v>
      </c>
      <c r="D21" s="7" t="str">
        <f>IFERROR(VLOOKUP(C21,'Lista desplegable'!B$1:C$436,2,FALSE),"")</f>
        <v>RICKY DONNELLY ARAVENA POBLETE</v>
      </c>
      <c r="E21" s="7" t="str">
        <f>IFERROR(VLOOKUP(D21,'Lista desplegable'!C$1:D$436,2,FALSE),"")</f>
        <v>AYUDANTE DE PERFORISTA</v>
      </c>
      <c r="F21" s="63" t="s">
        <v>1024</v>
      </c>
      <c r="G21" s="81" t="s">
        <v>20</v>
      </c>
      <c r="H21" s="96" t="s">
        <v>52</v>
      </c>
      <c r="I21" s="50" t="s">
        <v>1054</v>
      </c>
      <c r="J21" s="26" t="s">
        <v>15</v>
      </c>
      <c r="K21" s="11" t="s">
        <v>14</v>
      </c>
      <c r="L21" s="11" t="s">
        <v>14</v>
      </c>
      <c r="M21" s="41"/>
    </row>
    <row r="22" spans="2:13" s="1" customFormat="1" ht="13.15" customHeight="1">
      <c r="B22" s="24">
        <v>15</v>
      </c>
      <c r="C22" s="81" t="s">
        <v>185</v>
      </c>
      <c r="D22" s="7" t="str">
        <f>IFERROR(VLOOKUP(C22,'Lista desplegable'!B$1:C$436,2,FALSE),"")</f>
        <v>CHRISTOFER HUESLY OLIVARES FERNANDEZ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96" t="s">
        <v>52</v>
      </c>
      <c r="I22" s="50" t="s">
        <v>1054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562</v>
      </c>
      <c r="D23" s="7" t="str">
        <f>IFERROR(VLOOKUP(C23,'Lista desplegable'!B$1:C$436,2,FALSE),"")</f>
        <v>KEVIN ESTEBAN VALENZUELA VALENZUELA</v>
      </c>
      <c r="E23" s="7" t="str">
        <f>IFERROR(VLOOKUP(D23,'Lista desplegable'!C$1:D$436,2,FALSE),"")</f>
        <v>PERFORISTA</v>
      </c>
      <c r="F23" s="63" t="s">
        <v>1026</v>
      </c>
      <c r="G23" s="81" t="s">
        <v>20</v>
      </c>
      <c r="H23" s="96" t="s">
        <v>52</v>
      </c>
      <c r="I23" s="50" t="s">
        <v>1053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897</v>
      </c>
      <c r="D24" s="7" t="str">
        <f>IFERROR(VLOOKUP(C24,'Lista desplegable'!B$1:C$436,2,FALSE),"")</f>
        <v>SERGIO ALFONSO BRUNA LEDEZMA</v>
      </c>
      <c r="E24" s="7" t="str">
        <f>IFERROR(VLOOKUP(D24,'Lista desplegable'!C$1:D$436,2,FALSE),"")</f>
        <v>AYUDANTE DE PERFORISTA</v>
      </c>
      <c r="F24" s="63" t="s">
        <v>1026</v>
      </c>
      <c r="G24" s="81" t="s">
        <v>20</v>
      </c>
      <c r="H24" s="96" t="s">
        <v>52</v>
      </c>
      <c r="I24" s="50" t="s">
        <v>1053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92" t="s">
        <v>305</v>
      </c>
      <c r="D25" s="7" t="str">
        <f>IFERROR(VLOOKUP(C25,'Lista desplegable'!B$1:C$436,2,FALSE),"")</f>
        <v>EMIL EDGARDO VARGAS BORDONES</v>
      </c>
      <c r="E25" s="7" t="str">
        <f>IFERROR(VLOOKUP(D25,'Lista desplegable'!C$1:D$436,2,FALSE),"")</f>
        <v>AYUDANTE DE PERFORISTA</v>
      </c>
      <c r="F25" s="95" t="s">
        <v>1026</v>
      </c>
      <c r="G25" s="96" t="s">
        <v>20</v>
      </c>
      <c r="H25" s="96" t="s">
        <v>52</v>
      </c>
      <c r="I25" s="50" t="s">
        <v>1053</v>
      </c>
      <c r="J25" s="26" t="s">
        <v>15</v>
      </c>
      <c r="K25" s="11" t="s">
        <v>14</v>
      </c>
      <c r="L25" s="11" t="s">
        <v>14</v>
      </c>
      <c r="M25" s="79"/>
    </row>
    <row r="26" spans="2:13" s="1" customFormat="1" ht="13.15" customHeight="1">
      <c r="B26" s="24">
        <v>19</v>
      </c>
      <c r="C26" s="92" t="s">
        <v>877</v>
      </c>
      <c r="D26" s="7" t="str">
        <f>IFERROR(VLOOKUP(C26,'Lista desplegable'!B$1:C$436,2,FALSE),"")</f>
        <v>SEBASTIAN ALEJANDRO ARANEDA MILLAR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96" t="s">
        <v>52</v>
      </c>
      <c r="I26" s="50" t="s">
        <v>1053</v>
      </c>
      <c r="J26" s="26" t="s">
        <v>15</v>
      </c>
      <c r="K26" s="11" t="s">
        <v>14</v>
      </c>
      <c r="L26" s="11" t="s">
        <v>14</v>
      </c>
      <c r="M26" s="57"/>
    </row>
    <row r="27" spans="2:13" s="1" customFormat="1" ht="13.15" customHeight="1">
      <c r="B27" s="24">
        <v>20</v>
      </c>
      <c r="C27" s="33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95"/>
      <c r="G27" s="96"/>
      <c r="H27" s="96"/>
      <c r="I27" s="50"/>
      <c r="J27" s="26" t="s">
        <v>37</v>
      </c>
      <c r="K27" s="11"/>
      <c r="L27" s="11"/>
      <c r="M27" s="59" t="s">
        <v>1005</v>
      </c>
    </row>
    <row r="28" spans="2:13" s="1" customFormat="1" ht="13.15" customHeight="1">
      <c r="B28" s="24">
        <v>21</v>
      </c>
      <c r="C28" s="33" t="s">
        <v>958</v>
      </c>
      <c r="D28" s="7" t="str">
        <f>IFERROR(VLOOKUP(C28,'Lista desplegable'!B$1:C$436,2,FALSE),"")</f>
        <v>WALTER LISANDRO SALAS MESA</v>
      </c>
      <c r="E28" s="7" t="str">
        <f>IFERROR(VLOOKUP(D28,'Lista desplegable'!C$1:D$436,2,FALSE),"")</f>
        <v>PERFORISTA</v>
      </c>
      <c r="F28" s="43"/>
      <c r="G28" s="43"/>
      <c r="H28" s="43"/>
      <c r="I28" s="50"/>
      <c r="J28" s="26" t="s">
        <v>37</v>
      </c>
      <c r="K28" s="11"/>
      <c r="L28" s="11"/>
      <c r="M28" s="59" t="s">
        <v>1055</v>
      </c>
    </row>
    <row r="29" spans="2:13" s="1" customFormat="1" ht="13.15" customHeight="1">
      <c r="B29" s="24">
        <v>22</v>
      </c>
      <c r="C29" s="33" t="s">
        <v>734</v>
      </c>
      <c r="D29" s="7" t="str">
        <f>IFERROR(VLOOKUP(C29,'Lista desplegable'!B$1:C$436,2,FALSE),"")</f>
        <v>OSCAR ALEXIS JARA MEJIAS</v>
      </c>
      <c r="E29" s="7" t="str">
        <f>IFERROR(VLOOKUP(D29,'Lista desplegable'!C$1:D$436,2,FALSE),"")</f>
        <v>CHOFER</v>
      </c>
      <c r="F29" s="43"/>
      <c r="G29" s="43"/>
      <c r="H29" s="43"/>
      <c r="I29" s="50"/>
      <c r="J29" s="26" t="s">
        <v>37</v>
      </c>
      <c r="K29" s="11"/>
      <c r="L29" s="11"/>
      <c r="M29" s="59" t="s">
        <v>1005</v>
      </c>
    </row>
    <row r="30" spans="2:13" s="1" customFormat="1" ht="13.15" customHeight="1">
      <c r="B30" s="24">
        <v>23</v>
      </c>
      <c r="C30" s="33" t="s">
        <v>589</v>
      </c>
      <c r="D30" s="7" t="str">
        <f>IFERROR(VLOOKUP(C30,'Lista desplegable'!B$1:C$436,2,FALSE),"")</f>
        <v>LUIS ALFREDO MORENO RIOS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59" t="s">
        <v>1005</v>
      </c>
    </row>
    <row r="31" spans="2:13" s="1" customFormat="1" ht="13.15" customHeight="1">
      <c r="B31" s="24">
        <v>24</v>
      </c>
      <c r="C31" s="33" t="s">
        <v>205</v>
      </c>
      <c r="D31" s="7" t="str">
        <f>IFERROR(VLOOKUP(C31,'Lista desplegable'!B$1:C$436,2,FALSE),"")</f>
        <v>CRISTIAN ALEJANDRO TOLEDO GONZALEZ</v>
      </c>
      <c r="E31" s="7" t="str">
        <f>IFERROR(VLOOKUP(D31,'Lista desplegable'!C$1:D$436,2,FALSE),"")</f>
        <v>ELECTROMECANICO</v>
      </c>
      <c r="F31" s="43"/>
      <c r="G31" s="43"/>
      <c r="H31" s="41"/>
      <c r="I31" s="50"/>
      <c r="J31" s="26" t="s">
        <v>37</v>
      </c>
      <c r="K31" s="11"/>
      <c r="L31" s="11"/>
      <c r="M31" s="59" t="s">
        <v>1056</v>
      </c>
    </row>
    <row r="32" spans="2:13" s="1" customFormat="1" ht="13.15" customHeight="1">
      <c r="B32" s="24">
        <v>25</v>
      </c>
      <c r="C32" s="33" t="s">
        <v>810</v>
      </c>
      <c r="D32" s="7" t="str">
        <f>IFERROR(VLOOKUP(C32,'Lista desplegable'!B$1:C$436,2,FALSE),"")</f>
        <v>RICARDO NICOLAS QUINTANA SANTANA</v>
      </c>
      <c r="E32" s="7" t="str">
        <f>IFERROR(VLOOKUP(D32,'Lista desplegable'!C$1:D$436,2,FALSE),"")</f>
        <v>AYUDANTE DE PERFORISTA</v>
      </c>
      <c r="F32" s="43"/>
      <c r="G32" s="43"/>
      <c r="H32" s="43"/>
      <c r="I32" s="37"/>
      <c r="J32" s="26" t="s">
        <v>37</v>
      </c>
      <c r="K32" s="11"/>
      <c r="L32" s="11"/>
      <c r="M32" s="59" t="s">
        <v>1056</v>
      </c>
    </row>
    <row r="33" spans="2:13" s="1" customFormat="1" ht="13.15" customHeight="1">
      <c r="B33" s="24">
        <v>26</v>
      </c>
      <c r="C33" s="33" t="s">
        <v>531</v>
      </c>
      <c r="D33" s="7" t="str">
        <f>IFERROR(VLOOKUP(C33,'Lista desplegable'!B$1:C$436,2,FALSE),"")</f>
        <v>JUAN ALEXIS AVILEZ MOLINA</v>
      </c>
      <c r="E33" s="7" t="str">
        <f>IFERROR(VLOOKUP(D33,'Lista desplegable'!C$1:D$436,2,FALSE),"")</f>
        <v>AYUDANTE DE PERFORISTA</v>
      </c>
      <c r="F33" s="43"/>
      <c r="G33" s="43"/>
      <c r="H33" s="43"/>
      <c r="I33" s="37"/>
      <c r="J33" s="26" t="s">
        <v>37</v>
      </c>
      <c r="K33" s="11"/>
      <c r="L33" s="11"/>
      <c r="M33" s="59" t="s">
        <v>1056</v>
      </c>
    </row>
    <row r="34" spans="2:13" s="1" customFormat="1" ht="13.15" customHeight="1">
      <c r="B34" s="24">
        <v>27</v>
      </c>
      <c r="C34" s="33" t="s">
        <v>623</v>
      </c>
      <c r="D34" s="7" t="str">
        <f>IFERROR(VLOOKUP(C34,'Lista desplegable'!B$1:C$436,2,FALSE),"")</f>
        <v>MARCELO DAVID VASQUEZ AVILEZ</v>
      </c>
      <c r="E34" s="7" t="str">
        <f>IFERROR(VLOOKUP(D34,'Lista desplegable'!C$1:D$436,2,FALSE),"")</f>
        <v>AYUDANTE DE PERFORISTA</v>
      </c>
      <c r="F34" s="43"/>
      <c r="G34" s="43"/>
      <c r="H34" s="44"/>
      <c r="I34" s="38"/>
      <c r="J34" s="26" t="s">
        <v>37</v>
      </c>
      <c r="K34" s="11"/>
      <c r="L34" s="11"/>
      <c r="M34" s="59" t="s">
        <v>1056</v>
      </c>
    </row>
    <row r="35" spans="2:13" s="1" customFormat="1" ht="13.15" customHeight="1">
      <c r="B35" s="24">
        <v>28</v>
      </c>
      <c r="C35" s="56"/>
      <c r="D35" s="7"/>
      <c r="E35" s="7"/>
      <c r="F35" s="43"/>
      <c r="G35" s="43"/>
      <c r="H35" s="44"/>
      <c r="I35" s="38"/>
      <c r="J35" s="11"/>
      <c r="K35" s="11"/>
      <c r="L35" s="11"/>
      <c r="M35" s="11"/>
    </row>
    <row r="36" spans="2:13" s="1" customFormat="1" ht="13.15" customHeight="1">
      <c r="B36" s="24">
        <v>29</v>
      </c>
      <c r="C36" s="33"/>
      <c r="D36" s="7"/>
      <c r="E36" s="7"/>
      <c r="F36" s="19"/>
      <c r="G36" s="11"/>
      <c r="H36" s="11"/>
      <c r="I36" s="11"/>
      <c r="J36" s="11"/>
      <c r="K36" s="11"/>
      <c r="L36" s="11"/>
      <c r="M36" s="43"/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43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/>
      <c r="G42" s="86"/>
      <c r="H42" s="86"/>
      <c r="I42" s="87"/>
      <c r="J42" s="11" t="s">
        <v>23</v>
      </c>
      <c r="K42" s="11"/>
      <c r="L42" s="11"/>
      <c r="M42" s="90"/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1024</v>
      </c>
      <c r="G43" s="86" t="s">
        <v>20</v>
      </c>
      <c r="H43" s="86" t="s">
        <v>52</v>
      </c>
      <c r="I43" s="106" t="s">
        <v>1057</v>
      </c>
      <c r="J43" s="11" t="s">
        <v>15</v>
      </c>
      <c r="K43" s="11" t="s">
        <v>14</v>
      </c>
      <c r="L43" s="11" t="s">
        <v>14</v>
      </c>
      <c r="M43" s="65"/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1024</v>
      </c>
      <c r="G44" s="86" t="s">
        <v>20</v>
      </c>
      <c r="H44" s="86" t="s">
        <v>52</v>
      </c>
      <c r="I44" s="106" t="s">
        <v>1057</v>
      </c>
      <c r="J44" s="11" t="s">
        <v>15</v>
      </c>
      <c r="K44" s="11" t="s">
        <v>14</v>
      </c>
      <c r="L44" s="11" t="s">
        <v>14</v>
      </c>
      <c r="M44" s="65"/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1024</v>
      </c>
      <c r="G45" s="86" t="s">
        <v>20</v>
      </c>
      <c r="H45" s="86" t="s">
        <v>52</v>
      </c>
      <c r="I45" s="106" t="s">
        <v>1057</v>
      </c>
      <c r="J45" s="11" t="s">
        <v>15</v>
      </c>
      <c r="K45" s="11" t="s">
        <v>14</v>
      </c>
      <c r="L45" s="11" t="s">
        <v>14</v>
      </c>
      <c r="M45" s="65"/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1024</v>
      </c>
      <c r="G46" s="86" t="s">
        <v>20</v>
      </c>
      <c r="H46" s="86" t="s">
        <v>52</v>
      </c>
      <c r="I46" s="106" t="s">
        <v>1057</v>
      </c>
      <c r="J46" s="11" t="s">
        <v>15</v>
      </c>
      <c r="K46" s="11" t="s">
        <v>14</v>
      </c>
      <c r="L46" s="11" t="s">
        <v>14</v>
      </c>
      <c r="M46" s="65"/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106" t="s">
        <v>1057</v>
      </c>
      <c r="J47" s="11" t="s">
        <v>15</v>
      </c>
      <c r="K47" s="11" t="s">
        <v>14</v>
      </c>
      <c r="L47" s="11" t="s">
        <v>14</v>
      </c>
      <c r="M47" s="65"/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106" t="s">
        <v>1057</v>
      </c>
      <c r="J48" s="11" t="s">
        <v>15</v>
      </c>
      <c r="K48" s="11" t="s">
        <v>14</v>
      </c>
      <c r="L48" s="11" t="s">
        <v>14</v>
      </c>
      <c r="M48" s="65"/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106" t="s">
        <v>1057</v>
      </c>
      <c r="J49" s="11" t="s">
        <v>15</v>
      </c>
      <c r="K49" s="11" t="s">
        <v>14</v>
      </c>
      <c r="L49" s="11" t="s">
        <v>14</v>
      </c>
      <c r="M49" s="65"/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106" t="s">
        <v>1057</v>
      </c>
      <c r="J50" s="11" t="s">
        <v>15</v>
      </c>
      <c r="K50" s="11" t="s">
        <v>14</v>
      </c>
      <c r="L50" s="11" t="s">
        <v>14</v>
      </c>
      <c r="M50" s="65"/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8" t="s">
        <v>1031</v>
      </c>
      <c r="J51" s="11" t="s">
        <v>15</v>
      </c>
      <c r="K51" s="11" t="s">
        <v>14</v>
      </c>
      <c r="L51" s="11" t="s">
        <v>14</v>
      </c>
      <c r="M51" s="65"/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8" t="s">
        <v>1031</v>
      </c>
      <c r="J52" s="11" t="s">
        <v>15</v>
      </c>
      <c r="K52" s="11" t="s">
        <v>14</v>
      </c>
      <c r="L52" s="11" t="s">
        <v>14</v>
      </c>
      <c r="M52" s="65"/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8" t="s">
        <v>1031</v>
      </c>
      <c r="J53" s="11" t="s">
        <v>15</v>
      </c>
      <c r="K53" s="11" t="s">
        <v>14</v>
      </c>
      <c r="L53" s="11" t="s">
        <v>14</v>
      </c>
      <c r="M53" s="65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D3F22FA-5957-4C10-837B-145B162663A6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0F544AC6-3C85-41DF-8FCF-166B5B5F0916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2AD53435-A8D7-4D1B-964B-E7C2B235A770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76CB18A2-41B8-4635-AB2D-139350D3E052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C1171065-F5ED-4278-A2A6-DA0476DE3C9D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B0706EEC-8B22-452A-952A-29101AE9F2FD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A6F2-84F4-444C-B409-20A5DE0B748C}">
  <dimension ref="B1:M82"/>
  <sheetViews>
    <sheetView zoomScaleNormal="100" workbookViewId="0">
      <selection activeCell="M18" sqref="M18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1058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03"/>
      <c r="G8" s="96"/>
      <c r="H8" s="86"/>
      <c r="I8" s="104"/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80" t="s">
        <v>358</v>
      </c>
      <c r="D9" s="7" t="str">
        <f>IFERROR(VLOOKUP(C9,'Lista desplegable'!B$1:C$436,2,FALSE),"")</f>
        <v>FELIX ALEJANDRO MERY ROBLEDO</v>
      </c>
      <c r="E9" s="7" t="str">
        <f>IFERROR(VLOOKUP(D9,'Lista desplegable'!C$1:D$436,2,FALSE),"")</f>
        <v>ADMINISTRADOR DE CONTRATO JUNIOR</v>
      </c>
      <c r="F9" s="63" t="s">
        <v>1026</v>
      </c>
      <c r="G9" s="96" t="s">
        <v>20</v>
      </c>
      <c r="H9" s="86" t="s">
        <v>52</v>
      </c>
      <c r="I9" s="50" t="s">
        <v>1059</v>
      </c>
      <c r="J9" s="11" t="s">
        <v>15</v>
      </c>
      <c r="K9" s="11" t="s">
        <v>14</v>
      </c>
      <c r="L9" s="11" t="s">
        <v>14</v>
      </c>
      <c r="M9" s="97" t="s">
        <v>1060</v>
      </c>
    </row>
    <row r="10" spans="2:13" s="1" customFormat="1" ht="13.15" customHeight="1">
      <c r="B10" s="24">
        <v>3</v>
      </c>
      <c r="C10" s="80" t="s">
        <v>904</v>
      </c>
      <c r="D10" s="7" t="str">
        <f>IFERROR(VLOOKUP(C10,'Lista desplegable'!B$1:C$436,2,FALSE),"")</f>
        <v>SIMONNE DE LA PAZ REYES BATLLE</v>
      </c>
      <c r="E10" s="7" t="str">
        <f>IFERROR(VLOOKUP(D10,'Lista desplegable'!C$1:D$436,2,FALSE),"")</f>
        <v>ADMINISTRATIVO DE FAENA</v>
      </c>
      <c r="F10" s="63" t="s">
        <v>1026</v>
      </c>
      <c r="G10" s="96" t="s">
        <v>20</v>
      </c>
      <c r="H10" s="86" t="s">
        <v>52</v>
      </c>
      <c r="I10" s="50" t="s">
        <v>1059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595</v>
      </c>
      <c r="D11" s="7" t="str">
        <f>IFERROR(VLOOKUP(C11,'Lista desplegable'!B$1:C$436,2,FALSE),"")</f>
        <v>LUIS GERARDO LOPEZ OLAVE</v>
      </c>
      <c r="E11" s="7" t="str">
        <f>IFERROR(VLOOKUP(D11,'Lista desplegable'!C$1:D$436,2,FALSE),"")</f>
        <v>MECANICO</v>
      </c>
      <c r="F11" s="63" t="s">
        <v>1026</v>
      </c>
      <c r="G11" s="96" t="s">
        <v>20</v>
      </c>
      <c r="H11" s="86" t="s">
        <v>52</v>
      </c>
      <c r="I11" s="50" t="s">
        <v>1059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972</v>
      </c>
      <c r="D12" s="7" t="str">
        <f>IFERROR(VLOOKUP(C12,'Lista desplegable'!B$1:C$436,2,FALSE),"")</f>
        <v>YONATHAN ALBERTO MOROSO CORTES</v>
      </c>
      <c r="E12" s="7" t="str">
        <f>IFERROR(VLOOKUP(D12,'Lista desplegable'!C$1:D$436,2,FALSE),"")</f>
        <v>ADMINISTRATIVO SENIOR</v>
      </c>
      <c r="F12" s="63" t="s">
        <v>1026</v>
      </c>
      <c r="G12" s="96" t="s">
        <v>20</v>
      </c>
      <c r="H12" s="86" t="s">
        <v>52</v>
      </c>
      <c r="I12" s="50" t="s">
        <v>1059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258</v>
      </c>
      <c r="D13" s="7" t="str">
        <f>IFERROR(VLOOKUP(C13,'Lista desplegable'!B$1:C$436,2,FALSE),"")</f>
        <v>DAVID AUGUSTO MARSHALL FLORES</v>
      </c>
      <c r="E13" s="7" t="str">
        <f>IFERROR(VLOOKUP(D13,'Lista desplegable'!C$1:D$436,2,FALSE),"")</f>
        <v>BODEGUERO</v>
      </c>
      <c r="F13" s="63" t="s">
        <v>1026</v>
      </c>
      <c r="G13" s="96" t="s">
        <v>20</v>
      </c>
      <c r="H13" s="86" t="s">
        <v>52</v>
      </c>
      <c r="I13" s="50" t="s">
        <v>1059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1" t="s">
        <v>788</v>
      </c>
      <c r="D14" s="7" t="str">
        <f>IFERROR(VLOOKUP(C14,'Lista desplegable'!B$1:C$436,2,FALSE),"")</f>
        <v>RAUL MANUEL BUSTAMANTE CERON</v>
      </c>
      <c r="E14" s="7" t="str">
        <f>IFERROR(VLOOKUP(D14,'Lista desplegable'!C$1:D$436,2,FALSE),"")</f>
        <v>SOLDADOR</v>
      </c>
      <c r="F14" s="63" t="s">
        <v>1026</v>
      </c>
      <c r="G14" s="96" t="s">
        <v>20</v>
      </c>
      <c r="H14" s="86" t="s">
        <v>52</v>
      </c>
      <c r="I14" s="50" t="s">
        <v>1059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476</v>
      </c>
      <c r="D15" s="7" t="str">
        <f>IFERROR(VLOOKUP(C15,'Lista desplegable'!B$1:C$436,2,FALSE),"")</f>
        <v>JONATHAN ALEXANDER OLIVARES NATES</v>
      </c>
      <c r="E15" s="7" t="str">
        <f>IFERROR(VLOOKUP(D15,'Lista desplegable'!C$1:D$436,2,FALSE),"")</f>
        <v>MECANICO</v>
      </c>
      <c r="F15" s="63" t="s">
        <v>1026</v>
      </c>
      <c r="G15" s="96" t="s">
        <v>20</v>
      </c>
      <c r="H15" s="86" t="s">
        <v>52</v>
      </c>
      <c r="I15" s="50" t="s">
        <v>1059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107" t="s">
        <v>893</v>
      </c>
      <c r="D16" s="7" t="str">
        <f>IFERROR(VLOOKUP(C16,'Lista desplegable'!B$1:C$436,2,FALSE),"")</f>
        <v>SEBASTIAN IGNACIO ORTEGA GOMEZ</v>
      </c>
      <c r="E16" s="7" t="str">
        <f>IFERROR(VLOOKUP(D16,'Lista desplegable'!C$1:D$436,2,FALSE),"")</f>
        <v>MECANICO</v>
      </c>
      <c r="F16" s="63"/>
      <c r="G16" s="96"/>
      <c r="H16" s="86"/>
      <c r="I16" s="50"/>
      <c r="J16" s="26" t="s">
        <v>15</v>
      </c>
      <c r="K16" s="11" t="s">
        <v>14</v>
      </c>
      <c r="L16" s="11" t="s">
        <v>14</v>
      </c>
      <c r="M16" s="98"/>
    </row>
    <row r="17" spans="2:13" s="1" customFormat="1" ht="13.15" customHeight="1">
      <c r="B17" s="24">
        <v>10</v>
      </c>
      <c r="C17" s="80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63" t="s">
        <v>1026</v>
      </c>
      <c r="G17" s="96" t="s">
        <v>20</v>
      </c>
      <c r="H17" s="86" t="s">
        <v>52</v>
      </c>
      <c r="I17" s="50" t="s">
        <v>1059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63" t="s">
        <v>1026</v>
      </c>
      <c r="G18" s="96" t="s">
        <v>20</v>
      </c>
      <c r="H18" s="86" t="s">
        <v>52</v>
      </c>
      <c r="I18" s="50" t="s">
        <v>1059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63" t="s">
        <v>1026</v>
      </c>
      <c r="G19" s="96" t="s">
        <v>20</v>
      </c>
      <c r="H19" s="86" t="s">
        <v>52</v>
      </c>
      <c r="I19" s="50" t="s">
        <v>1059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63" t="s">
        <v>1026</v>
      </c>
      <c r="G20" s="96" t="s">
        <v>20</v>
      </c>
      <c r="H20" s="86" t="s">
        <v>52</v>
      </c>
      <c r="I20" s="50" t="s">
        <v>1059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86" t="s">
        <v>52</v>
      </c>
      <c r="I21" s="50" t="s">
        <v>1059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6" t="s">
        <v>52</v>
      </c>
      <c r="I22" s="50" t="s">
        <v>1059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 t="s">
        <v>1059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86" t="s">
        <v>52</v>
      </c>
      <c r="I24" s="50" t="s">
        <v>1061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6" t="s">
        <v>52</v>
      </c>
      <c r="I25" s="50" t="s">
        <v>1061</v>
      </c>
      <c r="J25" s="26" t="s">
        <v>15</v>
      </c>
      <c r="K25" s="11" t="s">
        <v>14</v>
      </c>
      <c r="L25" s="11" t="s">
        <v>14</v>
      </c>
      <c r="M25" s="41"/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6" t="s">
        <v>52</v>
      </c>
      <c r="I26" s="50" t="s">
        <v>1061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1061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43"/>
      <c r="G28" s="43"/>
      <c r="H28" s="43"/>
      <c r="I28" s="50"/>
      <c r="J28" s="26" t="s">
        <v>37</v>
      </c>
      <c r="K28" s="11"/>
      <c r="L28" s="11"/>
      <c r="M28" s="59" t="s">
        <v>1060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63" t="s">
        <v>1024</v>
      </c>
      <c r="G29" s="81" t="s">
        <v>20</v>
      </c>
      <c r="H29" s="86" t="s">
        <v>52</v>
      </c>
      <c r="I29" s="50" t="s">
        <v>1059</v>
      </c>
      <c r="J29" s="26" t="s">
        <v>37</v>
      </c>
      <c r="K29" s="11"/>
      <c r="L29" s="11"/>
      <c r="M29" s="59" t="s">
        <v>1060</v>
      </c>
    </row>
    <row r="30" spans="2:13" s="1" customFormat="1" ht="13.15" customHeight="1">
      <c r="B30" s="24">
        <v>23</v>
      </c>
      <c r="C30" s="33" t="s">
        <v>734</v>
      </c>
      <c r="D30" s="7" t="str">
        <f>IFERROR(VLOOKUP(C30,'Lista desplegable'!B$1:C$436,2,FALSE),"")</f>
        <v>OSCAR ALEXIS JARA MEJIAS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59" t="s">
        <v>1005</v>
      </c>
    </row>
    <row r="31" spans="2:13" s="1" customFormat="1" ht="13.15" customHeight="1">
      <c r="B31" s="24">
        <v>24</v>
      </c>
      <c r="C31" s="33" t="s">
        <v>589</v>
      </c>
      <c r="D31" s="7" t="str">
        <f>IFERROR(VLOOKUP(C31,'Lista desplegable'!B$1:C$436,2,FALSE),"")</f>
        <v>LUIS ALFREDO MORENO RIOS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 t="s">
        <v>205</v>
      </c>
      <c r="D32" s="7" t="str">
        <f>IFERROR(VLOOKUP(C32,'Lista desplegable'!B$1:C$436,2,FALSE),"")</f>
        <v>CRISTIAN ALEJANDRO TOLEDO GONZALEZ</v>
      </c>
      <c r="E32" s="7" t="str">
        <f>IFERROR(VLOOKUP(D32,'Lista desplegable'!C$1:D$436,2,FALSE),"")</f>
        <v>ELECTROMECANICO</v>
      </c>
      <c r="F32" s="43"/>
      <c r="G32" s="43"/>
      <c r="H32" s="43"/>
      <c r="I32" s="37"/>
      <c r="J32" s="26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810</v>
      </c>
      <c r="D33" s="7" t="str">
        <f>IFERROR(VLOOKUP(C33,'Lista desplegable'!B$1:C$436,2,FALSE),"")</f>
        <v>RICARDO NICOLAS QUINTANA SANTANA</v>
      </c>
      <c r="E33" s="7" t="str">
        <f>IFERROR(VLOOKUP(D33,'Lista desplegable'!C$1:D$436,2,FALSE),"")</f>
        <v>AYUDANTE DE PERFORISTA</v>
      </c>
      <c r="F33" s="43"/>
      <c r="G33" s="43"/>
      <c r="H33" s="43"/>
      <c r="I33" s="37"/>
      <c r="J33" s="26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3" t="s">
        <v>531</v>
      </c>
      <c r="D34" s="7" t="str">
        <f>IFERROR(VLOOKUP(C34,'Lista desplegable'!B$1:C$436,2,FALSE),"")</f>
        <v>JUAN ALEXIS AVILEZ MOLINA</v>
      </c>
      <c r="E34" s="7" t="str">
        <f>IFERROR(VLOOKUP(D34,'Lista desplegable'!C$1:D$436,2,FALSE),"")</f>
        <v>AYUDANTE DE PERFORISTA</v>
      </c>
      <c r="F34" s="43"/>
      <c r="G34" s="43"/>
      <c r="H34" s="44"/>
      <c r="I34" s="38"/>
      <c r="J34" s="26" t="s">
        <v>37</v>
      </c>
      <c r="K34" s="11"/>
      <c r="L34" s="11"/>
      <c r="M34" s="59" t="s">
        <v>1005</v>
      </c>
    </row>
    <row r="35" spans="2:13" s="1" customFormat="1" ht="13.15" customHeight="1">
      <c r="B35" s="24">
        <v>28</v>
      </c>
      <c r="C35" s="33" t="s">
        <v>623</v>
      </c>
      <c r="D35" s="7" t="str">
        <f>IFERROR(VLOOKUP(C35,'Lista desplegable'!B$1:C$436,2,FALSE),"")</f>
        <v>MARCELO DAVID VASQUEZ AVILEZ</v>
      </c>
      <c r="E35" s="7" t="str">
        <f>IFERROR(VLOOKUP(D35,'Lista desplegable'!C$1:D$436,2,FALSE),"")</f>
        <v>AYUDANTE DE PERFORISTA</v>
      </c>
      <c r="F35" s="43"/>
      <c r="G35" s="43"/>
      <c r="H35" s="44"/>
      <c r="I35" s="38"/>
      <c r="J35" s="11" t="s">
        <v>37</v>
      </c>
      <c r="K35" s="11"/>
      <c r="L35" s="11"/>
      <c r="M35" s="59" t="s">
        <v>1005</v>
      </c>
    </row>
    <row r="36" spans="2:13" s="1" customFormat="1" ht="13.15" customHeight="1">
      <c r="B36" s="24">
        <v>29</v>
      </c>
      <c r="C36" s="33" t="s">
        <v>301</v>
      </c>
      <c r="D36" s="7" t="str">
        <f>IFERROR(VLOOKUP(C36,'Lista desplegable'!B$1:C$436,2,FALSE),"")</f>
        <v>ELMER RISCO RAMOS</v>
      </c>
      <c r="E36" s="7" t="str">
        <f>IFERROR(VLOOKUP(D36,'Lista desplegable'!C$1:D$436,2,FALSE),"")</f>
        <v>PERFORISTA</v>
      </c>
      <c r="F36" s="19"/>
      <c r="G36" s="11"/>
      <c r="H36" s="11"/>
      <c r="I36" s="11"/>
      <c r="J36" s="11" t="s">
        <v>15</v>
      </c>
      <c r="K36" s="11" t="s">
        <v>14</v>
      </c>
      <c r="L36" s="11" t="s">
        <v>14</v>
      </c>
      <c r="M36" s="43" t="s">
        <v>1060</v>
      </c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102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/>
      <c r="G42" s="86" t="s">
        <v>20</v>
      </c>
      <c r="H42" s="86" t="s">
        <v>52</v>
      </c>
      <c r="I42" s="87">
        <v>0</v>
      </c>
      <c r="J42" s="11" t="s">
        <v>15</v>
      </c>
      <c r="K42" s="11" t="s">
        <v>14</v>
      </c>
      <c r="L42" s="11" t="s">
        <v>14</v>
      </c>
      <c r="M42" s="40" t="s">
        <v>1062</v>
      </c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 t="s">
        <v>1024</v>
      </c>
      <c r="G43" s="86" t="s">
        <v>20</v>
      </c>
      <c r="H43" s="86" t="s">
        <v>52</v>
      </c>
      <c r="I43" s="87">
        <v>0</v>
      </c>
      <c r="J43" s="11" t="s">
        <v>15</v>
      </c>
      <c r="K43" s="11" t="s">
        <v>14</v>
      </c>
      <c r="L43" s="11" t="s">
        <v>14</v>
      </c>
      <c r="M43" s="40" t="s">
        <v>1062</v>
      </c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 t="s">
        <v>1024</v>
      </c>
      <c r="G44" s="86" t="s">
        <v>20</v>
      </c>
      <c r="H44" s="86" t="s">
        <v>52</v>
      </c>
      <c r="I44" s="87">
        <v>0</v>
      </c>
      <c r="J44" s="11" t="s">
        <v>15</v>
      </c>
      <c r="K44" s="11" t="s">
        <v>14</v>
      </c>
      <c r="L44" s="11" t="s">
        <v>14</v>
      </c>
      <c r="M44" s="40" t="s">
        <v>1062</v>
      </c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 t="s">
        <v>1024</v>
      </c>
      <c r="G45" s="86" t="s">
        <v>20</v>
      </c>
      <c r="H45" s="86" t="s">
        <v>52</v>
      </c>
      <c r="I45" s="87">
        <v>0</v>
      </c>
      <c r="J45" s="11" t="s">
        <v>15</v>
      </c>
      <c r="K45" s="11" t="s">
        <v>14</v>
      </c>
      <c r="L45" s="11" t="s">
        <v>14</v>
      </c>
      <c r="M45" s="40" t="s">
        <v>1062</v>
      </c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 t="s">
        <v>1024</v>
      </c>
      <c r="G46" s="86" t="s">
        <v>20</v>
      </c>
      <c r="H46" s="86" t="s">
        <v>52</v>
      </c>
      <c r="I46" s="87">
        <v>0</v>
      </c>
      <c r="J46" s="11" t="s">
        <v>15</v>
      </c>
      <c r="K46" s="11" t="s">
        <v>14</v>
      </c>
      <c r="L46" s="11" t="s">
        <v>14</v>
      </c>
      <c r="M46" s="40" t="s">
        <v>1062</v>
      </c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87">
        <v>0</v>
      </c>
      <c r="J47" s="11" t="s">
        <v>15</v>
      </c>
      <c r="K47" s="11" t="s">
        <v>14</v>
      </c>
      <c r="L47" s="11" t="s">
        <v>14</v>
      </c>
      <c r="M47" s="40" t="s">
        <v>1062</v>
      </c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87">
        <v>0</v>
      </c>
      <c r="J48" s="11" t="s">
        <v>15</v>
      </c>
      <c r="K48" s="11" t="s">
        <v>14</v>
      </c>
      <c r="L48" s="11" t="s">
        <v>14</v>
      </c>
      <c r="M48" s="40" t="s">
        <v>1062</v>
      </c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87">
        <v>0</v>
      </c>
      <c r="J49" s="11" t="s">
        <v>15</v>
      </c>
      <c r="K49" s="11" t="s">
        <v>14</v>
      </c>
      <c r="L49" s="11" t="s">
        <v>14</v>
      </c>
      <c r="M49" s="40" t="s">
        <v>1062</v>
      </c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87">
        <v>0</v>
      </c>
      <c r="J50" s="11" t="s">
        <v>15</v>
      </c>
      <c r="K50" s="11" t="s">
        <v>14</v>
      </c>
      <c r="L50" s="11" t="s">
        <v>14</v>
      </c>
      <c r="M50" s="40" t="s">
        <v>1062</v>
      </c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87">
        <v>0</v>
      </c>
      <c r="J51" s="11" t="s">
        <v>15</v>
      </c>
      <c r="K51" s="11" t="s">
        <v>14</v>
      </c>
      <c r="L51" s="11" t="s">
        <v>14</v>
      </c>
      <c r="M51" s="40" t="s">
        <v>1062</v>
      </c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87">
        <v>0</v>
      </c>
      <c r="J52" s="11" t="s">
        <v>15</v>
      </c>
      <c r="K52" s="11" t="s">
        <v>14</v>
      </c>
      <c r="L52" s="11" t="s">
        <v>14</v>
      </c>
      <c r="M52" s="40" t="s">
        <v>1062</v>
      </c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87">
        <v>0</v>
      </c>
      <c r="J53" s="11" t="s">
        <v>15</v>
      </c>
      <c r="K53" s="11" t="s">
        <v>14</v>
      </c>
      <c r="L53" s="11" t="s">
        <v>14</v>
      </c>
      <c r="M53" s="40" t="s">
        <v>1062</v>
      </c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1E0E945-4B5E-4A9C-A6C4-E669BDE4BFD5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22C886ED-91CF-4626-AC78-B3F466B0719D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4337167A-363E-47A7-8204-B33F825C39F6}">
          <x14:formula1>
            <xm:f>'Lista desplegable'!$J$2:$J$10</xm:f>
          </x14:formula1>
          <xm:sqref>H42:H61 H8:H37</xm:sqref>
        </x14:dataValidation>
        <x14:dataValidation type="list" allowBlank="1" showInputMessage="1" showErrorMessage="1" xr:uid="{1EF04AEE-9A83-4591-BBBF-2E27A9A5613E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ADBAB928-E890-42F3-9596-DA662E298A36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A18385BD-8878-4C94-879C-C6889922DB30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C42B-3C75-442E-B034-E52FA83E0A1F}">
  <dimension ref="B1:M82"/>
  <sheetViews>
    <sheetView zoomScaleNormal="100" workbookViewId="0">
      <selection activeCell="L53" sqref="L53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1063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03"/>
      <c r="G8" s="96"/>
      <c r="H8" s="86"/>
      <c r="I8" s="104"/>
      <c r="J8" s="11" t="s">
        <v>15</v>
      </c>
      <c r="K8" s="11"/>
      <c r="L8" s="11"/>
      <c r="M8" s="40" t="s">
        <v>1064</v>
      </c>
    </row>
    <row r="9" spans="2:13" s="1" customFormat="1" ht="13.15" customHeight="1">
      <c r="B9" s="24">
        <v>2</v>
      </c>
      <c r="C9" s="80" t="s">
        <v>358</v>
      </c>
      <c r="D9" s="7" t="str">
        <f>IFERROR(VLOOKUP(C9,'Lista desplegable'!B$1:C$436,2,FALSE),"")</f>
        <v>FELIX ALEJANDRO MERY ROBLEDO</v>
      </c>
      <c r="E9" s="7" t="str">
        <f>IFERROR(VLOOKUP(D9,'Lista desplegable'!C$1:D$436,2,FALSE),"")</f>
        <v>ADMINISTRADOR DE CONTRATO JUNIOR</v>
      </c>
      <c r="F9" s="81"/>
      <c r="G9" s="96"/>
      <c r="H9" s="86"/>
      <c r="I9" s="105"/>
      <c r="J9" s="11" t="s">
        <v>15</v>
      </c>
      <c r="K9" s="11" t="s">
        <v>14</v>
      </c>
      <c r="L9" s="11" t="s">
        <v>14</v>
      </c>
      <c r="M9" s="40" t="s">
        <v>1064</v>
      </c>
    </row>
    <row r="10" spans="2:13" s="1" customFormat="1" ht="13.15" customHeight="1">
      <c r="B10" s="24">
        <v>3</v>
      </c>
      <c r="C10" s="80" t="s">
        <v>904</v>
      </c>
      <c r="D10" s="7" t="str">
        <f>IFERROR(VLOOKUP(C10,'Lista desplegable'!B$1:C$436,2,FALSE),"")</f>
        <v>SIMONNE DE LA PAZ REYES BATLLE</v>
      </c>
      <c r="E10" s="7" t="str">
        <f>IFERROR(VLOOKUP(D10,'Lista desplegable'!C$1:D$436,2,FALSE),"")</f>
        <v>ADMINISTRATIVO DE FAENA</v>
      </c>
      <c r="F10" s="81"/>
      <c r="G10" s="96"/>
      <c r="H10" s="86"/>
      <c r="I10" s="50"/>
      <c r="J10" s="11" t="s">
        <v>23</v>
      </c>
      <c r="K10" s="11"/>
      <c r="L10" s="11"/>
      <c r="M10" s="40"/>
    </row>
    <row r="11" spans="2:13" s="1" customFormat="1" ht="13.15" customHeight="1">
      <c r="B11" s="24">
        <v>4</v>
      </c>
      <c r="C11" s="80" t="s">
        <v>595</v>
      </c>
      <c r="D11" s="7" t="str">
        <f>IFERROR(VLOOKUP(C11,'Lista desplegable'!B$1:C$436,2,FALSE),"")</f>
        <v>LUIS GERARDO LOPEZ OLAVE</v>
      </c>
      <c r="E11" s="7" t="str">
        <f>IFERROR(VLOOKUP(D11,'Lista desplegable'!C$1:D$436,2,FALSE),"")</f>
        <v>MECANICO</v>
      </c>
      <c r="F11" s="109"/>
      <c r="G11" s="96"/>
      <c r="H11" s="86"/>
      <c r="I11" s="50"/>
      <c r="J11" s="11" t="s">
        <v>15</v>
      </c>
      <c r="K11" s="11" t="s">
        <v>14</v>
      </c>
      <c r="L11" s="11" t="s">
        <v>14</v>
      </c>
      <c r="M11" s="40" t="s">
        <v>1064</v>
      </c>
    </row>
    <row r="12" spans="2:13" s="1" customFormat="1" ht="13.15" customHeight="1">
      <c r="B12" s="24">
        <v>5</v>
      </c>
      <c r="C12" s="80" t="s">
        <v>972</v>
      </c>
      <c r="D12" s="7" t="str">
        <f>IFERROR(VLOOKUP(C12,'Lista desplegable'!B$1:C$436,2,FALSE),"")</f>
        <v>YONATHAN ALBERTO MOROSO CORTES</v>
      </c>
      <c r="E12" s="7" t="str">
        <f>IFERROR(VLOOKUP(D12,'Lista desplegable'!C$1:D$436,2,FALSE),"")</f>
        <v>ADMINISTRATIVO SENIOR</v>
      </c>
      <c r="F12" s="81"/>
      <c r="G12" s="96"/>
      <c r="H12" s="86"/>
      <c r="I12" s="50"/>
      <c r="J12" s="11" t="s">
        <v>15</v>
      </c>
      <c r="K12" s="11" t="s">
        <v>14</v>
      </c>
      <c r="L12" s="11" t="s">
        <v>14</v>
      </c>
      <c r="M12" s="40" t="s">
        <v>1064</v>
      </c>
    </row>
    <row r="13" spans="2:13" s="1" customFormat="1" ht="13.15" customHeight="1">
      <c r="B13" s="24">
        <v>6</v>
      </c>
      <c r="C13" s="80" t="s">
        <v>258</v>
      </c>
      <c r="D13" s="7" t="str">
        <f>IFERROR(VLOOKUP(C13,'Lista desplegable'!B$1:C$436,2,FALSE),"")</f>
        <v>DAVID AUGUSTO MARSHALL FLORES</v>
      </c>
      <c r="E13" s="7" t="str">
        <f>IFERROR(VLOOKUP(D13,'Lista desplegable'!C$1:D$436,2,FALSE),"")</f>
        <v>BODEGUERO</v>
      </c>
      <c r="F13" s="81"/>
      <c r="G13" s="96"/>
      <c r="H13" s="86"/>
      <c r="I13" s="50"/>
      <c r="J13" s="11" t="s">
        <v>15</v>
      </c>
      <c r="K13" s="11" t="s">
        <v>14</v>
      </c>
      <c r="L13" s="11" t="s">
        <v>14</v>
      </c>
      <c r="M13" s="40" t="s">
        <v>1064</v>
      </c>
    </row>
    <row r="14" spans="2:13" s="1" customFormat="1" ht="13.15" customHeight="1">
      <c r="B14" s="24">
        <v>7</v>
      </c>
      <c r="C14" s="81" t="s">
        <v>788</v>
      </c>
      <c r="D14" s="7" t="str">
        <f>IFERROR(VLOOKUP(C14,'Lista desplegable'!B$1:C$436,2,FALSE),"")</f>
        <v>RAUL MANUEL BUSTAMANTE CERON</v>
      </c>
      <c r="E14" s="7" t="str">
        <f>IFERROR(VLOOKUP(D14,'Lista desplegable'!C$1:D$436,2,FALSE),"")</f>
        <v>SOLDADOR</v>
      </c>
      <c r="F14" s="81"/>
      <c r="G14" s="96"/>
      <c r="H14" s="86"/>
      <c r="I14" s="50"/>
      <c r="J14" s="11" t="s">
        <v>15</v>
      </c>
      <c r="K14" s="11" t="s">
        <v>14</v>
      </c>
      <c r="L14" s="11" t="s">
        <v>14</v>
      </c>
      <c r="M14" s="40" t="s">
        <v>1064</v>
      </c>
    </row>
    <row r="15" spans="2:13" s="1" customFormat="1" ht="13.15" customHeight="1">
      <c r="B15" s="24">
        <v>8</v>
      </c>
      <c r="C15" s="108" t="s">
        <v>476</v>
      </c>
      <c r="D15" s="7" t="str">
        <f>IFERROR(VLOOKUP(C15,'Lista desplegable'!B$1:C$436,2,FALSE),"")</f>
        <v>JONATHAN ALEXANDER OLIVARES NATES</v>
      </c>
      <c r="E15" s="7" t="str">
        <f>IFERROR(VLOOKUP(D15,'Lista desplegable'!C$1:D$436,2,FALSE),"")</f>
        <v>MECANICO</v>
      </c>
      <c r="F15" s="81"/>
      <c r="G15" s="96"/>
      <c r="H15" s="86"/>
      <c r="I15" s="50"/>
      <c r="J15" s="26" t="s">
        <v>15</v>
      </c>
      <c r="K15" s="11" t="s">
        <v>14</v>
      </c>
      <c r="L15" s="11" t="s">
        <v>14</v>
      </c>
      <c r="M15" s="40" t="s">
        <v>1064</v>
      </c>
    </row>
    <row r="16" spans="2:13" s="1" customFormat="1" ht="13.15" customHeight="1">
      <c r="B16" s="24">
        <v>9</v>
      </c>
      <c r="C16" s="108" t="s">
        <v>893</v>
      </c>
      <c r="D16" s="7" t="str">
        <f>IFERROR(VLOOKUP(C16,'Lista desplegable'!B$1:C$436,2,FALSE),"")</f>
        <v>SEBASTIAN IGNACIO ORTEGA GOMEZ</v>
      </c>
      <c r="E16" s="7" t="str">
        <f>IFERROR(VLOOKUP(D16,'Lista desplegable'!C$1:D$436,2,FALSE),"")</f>
        <v>MECANICO</v>
      </c>
      <c r="F16" s="81"/>
      <c r="G16" s="96"/>
      <c r="H16" s="86"/>
      <c r="I16" s="50"/>
      <c r="J16" s="26" t="s">
        <v>15</v>
      </c>
      <c r="K16" s="11" t="s">
        <v>14</v>
      </c>
      <c r="L16" s="11" t="s">
        <v>14</v>
      </c>
      <c r="M16" s="40" t="s">
        <v>1064</v>
      </c>
    </row>
    <row r="17" spans="2:13" s="1" customFormat="1" ht="13.15" customHeight="1">
      <c r="B17" s="24">
        <v>10</v>
      </c>
      <c r="C17" s="84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81"/>
      <c r="G17" s="96"/>
      <c r="H17" s="86"/>
      <c r="I17" s="50"/>
      <c r="J17" s="26" t="s">
        <v>15</v>
      </c>
      <c r="K17" s="11" t="s">
        <v>14</v>
      </c>
      <c r="L17" s="11" t="s">
        <v>14</v>
      </c>
      <c r="M17" s="40" t="s">
        <v>1064</v>
      </c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81"/>
      <c r="G18" s="96"/>
      <c r="H18" s="86"/>
      <c r="I18" s="50"/>
      <c r="J18" s="26" t="s">
        <v>15</v>
      </c>
      <c r="K18" s="11" t="s">
        <v>14</v>
      </c>
      <c r="L18" s="11" t="s">
        <v>14</v>
      </c>
      <c r="M18" s="40" t="s">
        <v>1064</v>
      </c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81"/>
      <c r="G19" s="96"/>
      <c r="H19" s="86"/>
      <c r="I19" s="50"/>
      <c r="J19" s="26" t="s">
        <v>15</v>
      </c>
      <c r="K19" s="11" t="s">
        <v>14</v>
      </c>
      <c r="L19" s="11" t="s">
        <v>14</v>
      </c>
      <c r="M19" s="40" t="s">
        <v>1064</v>
      </c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81"/>
      <c r="G20" s="96"/>
      <c r="H20" s="86"/>
      <c r="I20" s="50"/>
      <c r="J20" s="26" t="s">
        <v>15</v>
      </c>
      <c r="K20" s="11" t="s">
        <v>14</v>
      </c>
      <c r="L20" s="11" t="s">
        <v>14</v>
      </c>
      <c r="M20" s="40" t="s">
        <v>1064</v>
      </c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86" t="s">
        <v>52</v>
      </c>
      <c r="I21" s="50" t="s">
        <v>1015</v>
      </c>
      <c r="J21" s="26" t="s">
        <v>15</v>
      </c>
      <c r="K21" s="11" t="s">
        <v>14</v>
      </c>
      <c r="L21" s="11" t="s">
        <v>14</v>
      </c>
      <c r="M21" s="40" t="s">
        <v>1064</v>
      </c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6" t="s">
        <v>52</v>
      </c>
      <c r="I22" s="50" t="s">
        <v>1015</v>
      </c>
      <c r="J22" s="26" t="s">
        <v>15</v>
      </c>
      <c r="K22" s="11" t="s">
        <v>14</v>
      </c>
      <c r="L22" s="11" t="s">
        <v>14</v>
      </c>
      <c r="M22" s="40" t="s">
        <v>1064</v>
      </c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 t="s">
        <v>1015</v>
      </c>
      <c r="J23" s="26" t="s">
        <v>15</v>
      </c>
      <c r="K23" s="11" t="s">
        <v>14</v>
      </c>
      <c r="L23" s="11" t="s">
        <v>14</v>
      </c>
      <c r="M23" s="40" t="s">
        <v>1064</v>
      </c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86" t="s">
        <v>52</v>
      </c>
      <c r="I24" s="50" t="s">
        <v>1015</v>
      </c>
      <c r="J24" s="26" t="s">
        <v>15</v>
      </c>
      <c r="K24" s="11" t="s">
        <v>14</v>
      </c>
      <c r="L24" s="11" t="s">
        <v>14</v>
      </c>
      <c r="M24" s="40" t="s">
        <v>1064</v>
      </c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6" t="s">
        <v>52</v>
      </c>
      <c r="I25" s="50" t="s">
        <v>1015</v>
      </c>
      <c r="J25" s="26" t="s">
        <v>15</v>
      </c>
      <c r="K25" s="11" t="s">
        <v>14</v>
      </c>
      <c r="L25" s="11" t="s">
        <v>14</v>
      </c>
      <c r="M25" s="40" t="s">
        <v>1064</v>
      </c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6" t="s">
        <v>52</v>
      </c>
      <c r="I26" s="50" t="s">
        <v>1015</v>
      </c>
      <c r="J26" s="26" t="s">
        <v>15</v>
      </c>
      <c r="K26" s="11" t="s">
        <v>14</v>
      </c>
      <c r="L26" s="11" t="s">
        <v>14</v>
      </c>
      <c r="M26" s="40" t="s">
        <v>1064</v>
      </c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1015</v>
      </c>
      <c r="J27" s="26" t="s">
        <v>15</v>
      </c>
      <c r="K27" s="11" t="s">
        <v>14</v>
      </c>
      <c r="L27" s="11" t="s">
        <v>14</v>
      </c>
      <c r="M27" s="40" t="s">
        <v>1064</v>
      </c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43"/>
      <c r="G28" s="43"/>
      <c r="H28" s="43"/>
      <c r="I28" s="50"/>
      <c r="J28" s="26" t="s">
        <v>37</v>
      </c>
      <c r="K28" s="11"/>
      <c r="L28" s="11"/>
      <c r="M28" s="40" t="s">
        <v>1064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63" t="s">
        <v>1024</v>
      </c>
      <c r="G29" s="81" t="s">
        <v>20</v>
      </c>
      <c r="H29" s="86" t="s">
        <v>52</v>
      </c>
      <c r="I29" s="50" t="s">
        <v>1015</v>
      </c>
      <c r="J29" s="26" t="s">
        <v>15</v>
      </c>
      <c r="K29" s="11" t="s">
        <v>14</v>
      </c>
      <c r="L29" s="11" t="s">
        <v>14</v>
      </c>
      <c r="M29" s="40" t="s">
        <v>1064</v>
      </c>
    </row>
    <row r="30" spans="2:13" s="1" customFormat="1" ht="13.15" customHeight="1">
      <c r="B30" s="24">
        <v>23</v>
      </c>
      <c r="C30" s="33" t="s">
        <v>734</v>
      </c>
      <c r="D30" s="7" t="str">
        <f>IFERROR(VLOOKUP(C30,'Lista desplegable'!B$1:C$436,2,FALSE),"")</f>
        <v>OSCAR ALEXIS JARA MEJIAS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40" t="s">
        <v>1064</v>
      </c>
    </row>
    <row r="31" spans="2:13" s="1" customFormat="1" ht="13.15" customHeight="1">
      <c r="B31" s="24">
        <v>24</v>
      </c>
      <c r="C31" s="33" t="s">
        <v>589</v>
      </c>
      <c r="D31" s="7" t="str">
        <f>IFERROR(VLOOKUP(C31,'Lista desplegable'!B$1:C$436,2,FALSE),"")</f>
        <v>LUIS ALFREDO MORENO RIOS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40" t="s">
        <v>1064</v>
      </c>
    </row>
    <row r="32" spans="2:13" s="1" customFormat="1" ht="13.15" customHeight="1">
      <c r="B32" s="24">
        <v>25</v>
      </c>
      <c r="C32" s="33" t="s">
        <v>205</v>
      </c>
      <c r="D32" s="7" t="str">
        <f>IFERROR(VLOOKUP(C32,'Lista desplegable'!B$1:C$436,2,FALSE),"")</f>
        <v>CRISTIAN ALEJANDRO TOLEDO GONZALEZ</v>
      </c>
      <c r="E32" s="7" t="str">
        <f>IFERROR(VLOOKUP(D32,'Lista desplegable'!C$1:D$436,2,FALSE),"")</f>
        <v>ELECTROMECANICO</v>
      </c>
      <c r="F32" s="43"/>
      <c r="G32" s="43"/>
      <c r="H32" s="41"/>
      <c r="I32" s="50"/>
      <c r="J32" s="26" t="s">
        <v>37</v>
      </c>
      <c r="K32" s="11"/>
      <c r="L32" s="11"/>
      <c r="M32" s="40" t="s">
        <v>1064</v>
      </c>
    </row>
    <row r="33" spans="2:13" s="1" customFormat="1" ht="13.15" customHeight="1">
      <c r="B33" s="24">
        <v>26</v>
      </c>
      <c r="C33" s="33" t="s">
        <v>810</v>
      </c>
      <c r="D33" s="7" t="str">
        <f>IFERROR(VLOOKUP(C33,'Lista desplegable'!B$1:C$436,2,FALSE),"")</f>
        <v>RICARDO NICOLAS QUINTANA SANTANA</v>
      </c>
      <c r="E33" s="7" t="str">
        <f>IFERROR(VLOOKUP(D33,'Lista desplegable'!C$1:D$436,2,FALSE),"")</f>
        <v>AYUDANTE DE PERFORISTA</v>
      </c>
      <c r="F33" s="43"/>
      <c r="G33" s="43"/>
      <c r="H33" s="41"/>
      <c r="I33" s="50"/>
      <c r="J33" s="26" t="s">
        <v>37</v>
      </c>
      <c r="K33" s="11"/>
      <c r="L33" s="11"/>
      <c r="M33" s="40" t="s">
        <v>1064</v>
      </c>
    </row>
    <row r="34" spans="2:13" s="1" customFormat="1" ht="13.15" customHeight="1">
      <c r="B34" s="24">
        <v>27</v>
      </c>
      <c r="C34" s="33" t="s">
        <v>531</v>
      </c>
      <c r="D34" s="7" t="str">
        <f>IFERROR(VLOOKUP(C34,'Lista desplegable'!B$1:C$436,2,FALSE),"")</f>
        <v>JUAN ALEXIS AVILEZ MOLINA</v>
      </c>
      <c r="E34" s="7" t="str">
        <f>IFERROR(VLOOKUP(D34,'Lista desplegable'!C$1:D$436,2,FALSE),"")</f>
        <v>AYUDANTE DE PERFORISTA</v>
      </c>
      <c r="F34" s="43"/>
      <c r="G34" s="43"/>
      <c r="H34" s="41"/>
      <c r="I34" s="50"/>
      <c r="J34" s="26" t="s">
        <v>37</v>
      </c>
      <c r="K34" s="11"/>
      <c r="L34" s="11"/>
      <c r="M34" s="40" t="s">
        <v>1064</v>
      </c>
    </row>
    <row r="35" spans="2:13" s="1" customFormat="1" ht="13.15" customHeight="1">
      <c r="B35" s="24">
        <v>28</v>
      </c>
      <c r="C35" s="33" t="s">
        <v>623</v>
      </c>
      <c r="D35" s="7" t="str">
        <f>IFERROR(VLOOKUP(C35,'Lista desplegable'!B$1:C$436,2,FALSE),"")</f>
        <v>MARCELO DAVID VASQUEZ AVILEZ</v>
      </c>
      <c r="E35" s="7" t="str">
        <f>IFERROR(VLOOKUP(D35,'Lista desplegable'!C$1:D$436,2,FALSE),"")</f>
        <v>AYUDANTE DE PERFORISTA</v>
      </c>
      <c r="F35" s="43"/>
      <c r="G35" s="43"/>
      <c r="H35" s="41"/>
      <c r="I35" s="50"/>
      <c r="J35" s="11" t="s">
        <v>37</v>
      </c>
      <c r="K35" s="11"/>
      <c r="L35" s="11"/>
      <c r="M35" s="40" t="s">
        <v>1064</v>
      </c>
    </row>
    <row r="36" spans="2:13" s="1" customFormat="1" ht="13.15" customHeight="1">
      <c r="B36" s="24">
        <v>29</v>
      </c>
      <c r="C36" s="33" t="s">
        <v>301</v>
      </c>
      <c r="D36" s="7" t="str">
        <f>IFERROR(VLOOKUP(C36,'Lista desplegable'!B$1:C$436,2,FALSE),"")</f>
        <v>ELMER RISCO RAMOS</v>
      </c>
      <c r="E36" s="7" t="str">
        <f>IFERROR(VLOOKUP(D36,'Lista desplegable'!C$1:D$436,2,FALSE),"")</f>
        <v>PERFORISTA</v>
      </c>
      <c r="F36" s="43"/>
      <c r="G36" s="31"/>
      <c r="H36" s="110"/>
      <c r="I36" s="47"/>
      <c r="J36" s="11" t="s">
        <v>15</v>
      </c>
      <c r="K36" s="11" t="s">
        <v>14</v>
      </c>
      <c r="L36" s="11" t="s">
        <v>14</v>
      </c>
      <c r="M36" s="40" t="s">
        <v>1064</v>
      </c>
    </row>
    <row r="37" spans="2:13" s="1" customFormat="1" ht="13.15" customHeight="1">
      <c r="B37" s="24">
        <v>30</v>
      </c>
      <c r="C37" s="33"/>
      <c r="D37" s="7"/>
      <c r="E37" s="7"/>
      <c r="F37" s="19"/>
      <c r="G37" s="11"/>
      <c r="H37" s="11"/>
      <c r="I37" s="11"/>
      <c r="J37" s="11"/>
      <c r="K37" s="11"/>
      <c r="L37" s="11"/>
      <c r="M37" s="102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/>
      <c r="G42" s="86"/>
      <c r="H42" s="86"/>
      <c r="I42" s="87"/>
      <c r="J42" s="11" t="s">
        <v>15</v>
      </c>
      <c r="K42" s="11" t="s">
        <v>14</v>
      </c>
      <c r="L42" s="11" t="s">
        <v>14</v>
      </c>
      <c r="M42" s="40" t="s">
        <v>1062</v>
      </c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/>
      <c r="G43" s="86"/>
      <c r="H43" s="86"/>
      <c r="I43" s="106"/>
      <c r="J43" s="11" t="s">
        <v>15</v>
      </c>
      <c r="K43" s="11" t="s">
        <v>14</v>
      </c>
      <c r="L43" s="11" t="s">
        <v>14</v>
      </c>
      <c r="M43" s="40" t="s">
        <v>1062</v>
      </c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/>
      <c r="G44" s="86"/>
      <c r="H44" s="86"/>
      <c r="I44" s="106"/>
      <c r="J44" s="11" t="s">
        <v>15</v>
      </c>
      <c r="K44" s="11" t="s">
        <v>14</v>
      </c>
      <c r="L44" s="11" t="s">
        <v>14</v>
      </c>
      <c r="M44" s="40" t="s">
        <v>1062</v>
      </c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/>
      <c r="G45" s="86"/>
      <c r="H45" s="86"/>
      <c r="I45" s="106"/>
      <c r="J45" s="11" t="s">
        <v>15</v>
      </c>
      <c r="K45" s="11" t="s">
        <v>14</v>
      </c>
      <c r="L45" s="11" t="s">
        <v>14</v>
      </c>
      <c r="M45" s="40" t="s">
        <v>1062</v>
      </c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/>
      <c r="G46" s="86"/>
      <c r="H46" s="86"/>
      <c r="I46" s="106"/>
      <c r="J46" s="11" t="s">
        <v>15</v>
      </c>
      <c r="K46" s="11" t="s">
        <v>14</v>
      </c>
      <c r="L46" s="11" t="s">
        <v>14</v>
      </c>
      <c r="M46" s="40" t="s">
        <v>1062</v>
      </c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106" t="s">
        <v>1015</v>
      </c>
      <c r="J47" s="11" t="s">
        <v>15</v>
      </c>
      <c r="K47" s="11" t="s">
        <v>14</v>
      </c>
      <c r="L47" s="11" t="s">
        <v>14</v>
      </c>
      <c r="M47" s="40" t="s">
        <v>1062</v>
      </c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106" t="s">
        <v>1015</v>
      </c>
      <c r="J48" s="11" t="s">
        <v>15</v>
      </c>
      <c r="K48" s="11" t="s">
        <v>14</v>
      </c>
      <c r="L48" s="11" t="s">
        <v>14</v>
      </c>
      <c r="M48" s="40" t="s">
        <v>1062</v>
      </c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106" t="s">
        <v>1015</v>
      </c>
      <c r="J49" s="11" t="s">
        <v>15</v>
      </c>
      <c r="K49" s="11" t="s">
        <v>14</v>
      </c>
      <c r="L49" s="11" t="s">
        <v>14</v>
      </c>
      <c r="M49" s="40" t="s">
        <v>1062</v>
      </c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106" t="s">
        <v>1015</v>
      </c>
      <c r="J50" s="11" t="s">
        <v>15</v>
      </c>
      <c r="K50" s="11" t="s">
        <v>14</v>
      </c>
      <c r="L50" s="11" t="s">
        <v>14</v>
      </c>
      <c r="M50" s="40" t="s">
        <v>1062</v>
      </c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106" t="s">
        <v>1015</v>
      </c>
      <c r="J51" s="11" t="s">
        <v>15</v>
      </c>
      <c r="K51" s="11" t="s">
        <v>14</v>
      </c>
      <c r="L51" s="11" t="s">
        <v>14</v>
      </c>
      <c r="M51" s="40" t="s">
        <v>1062</v>
      </c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106" t="s">
        <v>1015</v>
      </c>
      <c r="J52" s="11" t="s">
        <v>15</v>
      </c>
      <c r="K52" s="11" t="s">
        <v>14</v>
      </c>
      <c r="L52" s="11" t="s">
        <v>14</v>
      </c>
      <c r="M52" s="40" t="s">
        <v>1062</v>
      </c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106" t="s">
        <v>1015</v>
      </c>
      <c r="J53" s="11" t="s">
        <v>15</v>
      </c>
      <c r="K53" s="11" t="s">
        <v>14</v>
      </c>
      <c r="L53" s="11" t="s">
        <v>14</v>
      </c>
      <c r="M53" s="40" t="s">
        <v>1062</v>
      </c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B6431E2-FB08-468F-91CA-6504F6C39303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ADC60EE3-815B-4E5D-99B7-B90037D357AB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55153FF2-1FDC-4504-AEB1-468B65EA3E03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C217DCDB-A95C-456B-BBBE-9557C84AF861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A7E6B504-6806-4160-9123-B1AF489D38E3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D7C5CF77-4B96-4776-AE1C-0C4F253FD45C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6CE-177C-4032-9B13-C3E47770D1D9}">
  <dimension ref="B1:M82"/>
  <sheetViews>
    <sheetView topLeftCell="B6" zoomScaleNormal="100" workbookViewId="0">
      <selection activeCell="M12" sqref="M12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1065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03"/>
      <c r="G8" s="96"/>
      <c r="H8" s="86"/>
      <c r="I8" s="104"/>
      <c r="J8" s="11" t="s">
        <v>15</v>
      </c>
      <c r="K8" s="11"/>
      <c r="L8" s="11"/>
      <c r="M8" s="40" t="s">
        <v>1064</v>
      </c>
    </row>
    <row r="9" spans="2:13" s="1" customFormat="1" ht="13.15" customHeight="1">
      <c r="B9" s="24">
        <v>2</v>
      </c>
      <c r="C9" s="80" t="s">
        <v>358</v>
      </c>
      <c r="D9" s="7" t="str">
        <f>IFERROR(VLOOKUP(C9,'Lista desplegable'!B$1:C$436,2,FALSE),"")</f>
        <v>FELIX ALEJANDRO MERY ROBLEDO</v>
      </c>
      <c r="E9" s="7" t="str">
        <f>IFERROR(VLOOKUP(D9,'Lista desplegable'!C$1:D$436,2,FALSE),"")</f>
        <v>ADMINISTRADOR DE CONTRATO JUNIOR</v>
      </c>
      <c r="F9" s="81"/>
      <c r="G9" s="96"/>
      <c r="H9" s="86"/>
      <c r="I9" s="105"/>
      <c r="J9" s="11" t="s">
        <v>15</v>
      </c>
      <c r="K9" s="11" t="s">
        <v>14</v>
      </c>
      <c r="L9" s="11" t="s">
        <v>14</v>
      </c>
      <c r="M9" s="40" t="s">
        <v>1064</v>
      </c>
    </row>
    <row r="10" spans="2:13" s="1" customFormat="1" ht="13.15" customHeight="1">
      <c r="B10" s="24">
        <v>3</v>
      </c>
      <c r="C10" s="80" t="s">
        <v>904</v>
      </c>
      <c r="D10" s="7" t="str">
        <f>IFERROR(VLOOKUP(C10,'Lista desplegable'!B$1:C$436,2,FALSE),"")</f>
        <v>SIMONNE DE LA PAZ REYES BATLLE</v>
      </c>
      <c r="E10" s="7" t="str">
        <f>IFERROR(VLOOKUP(D10,'Lista desplegable'!C$1:D$436,2,FALSE),"")</f>
        <v>ADMINISTRATIVO DE FAENA</v>
      </c>
      <c r="F10" s="81"/>
      <c r="G10" s="96"/>
      <c r="H10" s="86"/>
      <c r="I10" s="50"/>
      <c r="J10" s="11" t="s">
        <v>23</v>
      </c>
      <c r="K10" s="11"/>
      <c r="L10" s="11"/>
      <c r="M10" s="40"/>
    </row>
    <row r="11" spans="2:13" s="1" customFormat="1" ht="13.15" customHeight="1">
      <c r="B11" s="24">
        <v>4</v>
      </c>
      <c r="C11" s="80" t="s">
        <v>595</v>
      </c>
      <c r="D11" s="7" t="str">
        <f>IFERROR(VLOOKUP(C11,'Lista desplegable'!B$1:C$436,2,FALSE),"")</f>
        <v>LUIS GERARDO LOPEZ OLAVE</v>
      </c>
      <c r="E11" s="7" t="str">
        <f>IFERROR(VLOOKUP(D11,'Lista desplegable'!C$1:D$436,2,FALSE),"")</f>
        <v>MECANICO</v>
      </c>
      <c r="F11" s="109"/>
      <c r="G11" s="96"/>
      <c r="H11" s="86"/>
      <c r="I11" s="50"/>
      <c r="J11" s="11" t="s">
        <v>15</v>
      </c>
      <c r="K11" s="11" t="s">
        <v>14</v>
      </c>
      <c r="L11" s="11" t="s">
        <v>14</v>
      </c>
      <c r="M11" s="40" t="s">
        <v>1064</v>
      </c>
    </row>
    <row r="12" spans="2:13" s="1" customFormat="1" ht="13.15" customHeight="1">
      <c r="B12" s="24">
        <v>5</v>
      </c>
      <c r="C12" s="80" t="s">
        <v>972</v>
      </c>
      <c r="D12" s="7" t="str">
        <f>IFERROR(VLOOKUP(C12,'Lista desplegable'!B$1:C$436,2,FALSE),"")</f>
        <v>YONATHAN ALBERTO MOROSO CORTES</v>
      </c>
      <c r="E12" s="7" t="str">
        <f>IFERROR(VLOOKUP(D12,'Lista desplegable'!C$1:D$436,2,FALSE),"")</f>
        <v>ADMINISTRATIVO SENIOR</v>
      </c>
      <c r="F12" s="81"/>
      <c r="G12" s="96"/>
      <c r="H12" s="86"/>
      <c r="I12" s="50"/>
      <c r="J12" s="11" t="s">
        <v>15</v>
      </c>
      <c r="K12" s="11" t="s">
        <v>14</v>
      </c>
      <c r="L12" s="11" t="s">
        <v>14</v>
      </c>
      <c r="M12" s="40" t="s">
        <v>1064</v>
      </c>
    </row>
    <row r="13" spans="2:13" s="1" customFormat="1" ht="13.15" customHeight="1">
      <c r="B13" s="24">
        <v>6</v>
      </c>
      <c r="C13" s="80" t="s">
        <v>258</v>
      </c>
      <c r="D13" s="7" t="str">
        <f>IFERROR(VLOOKUP(C13,'Lista desplegable'!B$1:C$436,2,FALSE),"")</f>
        <v>DAVID AUGUSTO MARSHALL FLORES</v>
      </c>
      <c r="E13" s="7" t="str">
        <f>IFERROR(VLOOKUP(D13,'Lista desplegable'!C$1:D$436,2,FALSE),"")</f>
        <v>BODEGUERO</v>
      </c>
      <c r="F13" s="81"/>
      <c r="G13" s="96"/>
      <c r="H13" s="86"/>
      <c r="I13" s="50"/>
      <c r="J13" s="11" t="s">
        <v>15</v>
      </c>
      <c r="K13" s="11" t="s">
        <v>14</v>
      </c>
      <c r="L13" s="11" t="s">
        <v>14</v>
      </c>
      <c r="M13" s="40" t="s">
        <v>1064</v>
      </c>
    </row>
    <row r="14" spans="2:13" s="1" customFormat="1" ht="13.15" customHeight="1">
      <c r="B14" s="24">
        <v>7</v>
      </c>
      <c r="C14" s="81" t="s">
        <v>788</v>
      </c>
      <c r="D14" s="7" t="str">
        <f>IFERROR(VLOOKUP(C14,'Lista desplegable'!B$1:C$436,2,FALSE),"")</f>
        <v>RAUL MANUEL BUSTAMANTE CERON</v>
      </c>
      <c r="E14" s="7" t="str">
        <f>IFERROR(VLOOKUP(D14,'Lista desplegable'!C$1:D$436,2,FALSE),"")</f>
        <v>SOLDADOR</v>
      </c>
      <c r="F14" s="81"/>
      <c r="G14" s="96"/>
      <c r="H14" s="86"/>
      <c r="I14" s="50"/>
      <c r="J14" s="11" t="s">
        <v>15</v>
      </c>
      <c r="K14" s="11" t="s">
        <v>14</v>
      </c>
      <c r="L14" s="11" t="s">
        <v>14</v>
      </c>
      <c r="M14" s="40" t="s">
        <v>1064</v>
      </c>
    </row>
    <row r="15" spans="2:13" s="1" customFormat="1" ht="13.15" customHeight="1">
      <c r="B15" s="24">
        <v>8</v>
      </c>
      <c r="C15" s="81" t="s">
        <v>476</v>
      </c>
      <c r="D15" s="7" t="str">
        <f>IFERROR(VLOOKUP(C15,'Lista desplegable'!B$1:C$436,2,FALSE),"")</f>
        <v>JONATHAN ALEXANDER OLIVARES NATES</v>
      </c>
      <c r="E15" s="7" t="str">
        <f>IFERROR(VLOOKUP(D15,'Lista desplegable'!C$1:D$436,2,FALSE),"")</f>
        <v>MECANICO</v>
      </c>
      <c r="F15" s="81"/>
      <c r="G15" s="96"/>
      <c r="H15" s="86"/>
      <c r="I15" s="50"/>
      <c r="J15" s="26" t="s">
        <v>15</v>
      </c>
      <c r="K15" s="11" t="s">
        <v>14</v>
      </c>
      <c r="L15" s="11" t="s">
        <v>14</v>
      </c>
      <c r="M15" s="40" t="s">
        <v>1064</v>
      </c>
    </row>
    <row r="16" spans="2:13" s="1" customFormat="1" ht="13.15" customHeight="1">
      <c r="B16" s="24">
        <v>9</v>
      </c>
      <c r="C16" s="81" t="s">
        <v>893</v>
      </c>
      <c r="D16" s="7" t="str">
        <f>IFERROR(VLOOKUP(C16,'Lista desplegable'!B$1:C$436,2,FALSE),"")</f>
        <v>SEBASTIAN IGNACIO ORTEGA GOMEZ</v>
      </c>
      <c r="E16" s="7" t="str">
        <f>IFERROR(VLOOKUP(D16,'Lista desplegable'!C$1:D$436,2,FALSE),"")</f>
        <v>MECANICO</v>
      </c>
      <c r="F16" s="81"/>
      <c r="G16" s="96"/>
      <c r="H16" s="86"/>
      <c r="I16" s="50"/>
      <c r="J16" s="26" t="s">
        <v>15</v>
      </c>
      <c r="K16" s="11" t="s">
        <v>14</v>
      </c>
      <c r="L16" s="11" t="s">
        <v>14</v>
      </c>
      <c r="M16" s="40" t="s">
        <v>1064</v>
      </c>
    </row>
    <row r="17" spans="2:13" s="1" customFormat="1" ht="13.15" customHeight="1">
      <c r="B17" s="24">
        <v>10</v>
      </c>
      <c r="C17" s="80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81"/>
      <c r="G17" s="96"/>
      <c r="H17" s="86"/>
      <c r="I17" s="50"/>
      <c r="J17" s="26" t="s">
        <v>15</v>
      </c>
      <c r="K17" s="11" t="s">
        <v>14</v>
      </c>
      <c r="L17" s="11" t="s">
        <v>14</v>
      </c>
      <c r="M17" s="40" t="s">
        <v>1064</v>
      </c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81"/>
      <c r="G18" s="96"/>
      <c r="H18" s="86"/>
      <c r="I18" s="50"/>
      <c r="J18" s="26" t="s">
        <v>15</v>
      </c>
      <c r="K18" s="11" t="s">
        <v>14</v>
      </c>
      <c r="L18" s="11" t="s">
        <v>14</v>
      </c>
      <c r="M18" s="40" t="s">
        <v>1064</v>
      </c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81"/>
      <c r="G19" s="96"/>
      <c r="H19" s="86"/>
      <c r="I19" s="50"/>
      <c r="J19" s="26" t="s">
        <v>15</v>
      </c>
      <c r="K19" s="11" t="s">
        <v>14</v>
      </c>
      <c r="L19" s="11" t="s">
        <v>14</v>
      </c>
      <c r="M19" s="40" t="s">
        <v>1064</v>
      </c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81"/>
      <c r="G20" s="96"/>
      <c r="H20" s="86"/>
      <c r="I20" s="50"/>
      <c r="J20" s="26" t="s">
        <v>15</v>
      </c>
      <c r="K20" s="11" t="s">
        <v>14</v>
      </c>
      <c r="L20" s="11" t="s">
        <v>14</v>
      </c>
      <c r="M20" s="40" t="s">
        <v>1064</v>
      </c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86" t="s">
        <v>52</v>
      </c>
      <c r="I21" s="50" t="s">
        <v>1015</v>
      </c>
      <c r="J21" s="26" t="s">
        <v>15</v>
      </c>
      <c r="K21" s="11" t="s">
        <v>14</v>
      </c>
      <c r="L21" s="11" t="s">
        <v>14</v>
      </c>
      <c r="M21" s="40" t="s">
        <v>1064</v>
      </c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6" t="s">
        <v>52</v>
      </c>
      <c r="I22" s="50" t="s">
        <v>1015</v>
      </c>
      <c r="J22" s="26" t="s">
        <v>15</v>
      </c>
      <c r="K22" s="11" t="s">
        <v>14</v>
      </c>
      <c r="L22" s="11" t="s">
        <v>14</v>
      </c>
      <c r="M22" s="40" t="s">
        <v>1064</v>
      </c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 t="s">
        <v>1015</v>
      </c>
      <c r="J23" s="26" t="s">
        <v>15</v>
      </c>
      <c r="K23" s="11" t="s">
        <v>14</v>
      </c>
      <c r="L23" s="11" t="s">
        <v>14</v>
      </c>
      <c r="M23" s="40" t="s">
        <v>1064</v>
      </c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86" t="s">
        <v>52</v>
      </c>
      <c r="I24" s="50" t="s">
        <v>1015</v>
      </c>
      <c r="J24" s="26" t="s">
        <v>15</v>
      </c>
      <c r="K24" s="11" t="s">
        <v>14</v>
      </c>
      <c r="L24" s="11" t="s">
        <v>14</v>
      </c>
      <c r="M24" s="40" t="s">
        <v>1064</v>
      </c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6" t="s">
        <v>52</v>
      </c>
      <c r="I25" s="50" t="s">
        <v>1015</v>
      </c>
      <c r="J25" s="26" t="s">
        <v>15</v>
      </c>
      <c r="K25" s="11" t="s">
        <v>14</v>
      </c>
      <c r="L25" s="11" t="s">
        <v>14</v>
      </c>
      <c r="M25" s="40" t="s">
        <v>1064</v>
      </c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6" t="s">
        <v>52</v>
      </c>
      <c r="I26" s="50" t="s">
        <v>1015</v>
      </c>
      <c r="J26" s="26" t="s">
        <v>15</v>
      </c>
      <c r="K26" s="11" t="s">
        <v>14</v>
      </c>
      <c r="L26" s="11" t="s">
        <v>14</v>
      </c>
      <c r="M26" s="40" t="s">
        <v>1064</v>
      </c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1015</v>
      </c>
      <c r="J27" s="26" t="s">
        <v>15</v>
      </c>
      <c r="K27" s="11" t="s">
        <v>14</v>
      </c>
      <c r="L27" s="11" t="s">
        <v>14</v>
      </c>
      <c r="M27" s="40" t="s">
        <v>1064</v>
      </c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43"/>
      <c r="G28" s="43"/>
      <c r="H28" s="43"/>
      <c r="I28" s="50"/>
      <c r="J28" s="26" t="s">
        <v>37</v>
      </c>
      <c r="K28" s="11"/>
      <c r="L28" s="11"/>
      <c r="M28" s="40" t="s">
        <v>1064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63" t="s">
        <v>1024</v>
      </c>
      <c r="G29" s="81" t="s">
        <v>20</v>
      </c>
      <c r="H29" s="86" t="s">
        <v>52</v>
      </c>
      <c r="I29" s="50" t="s">
        <v>1015</v>
      </c>
      <c r="J29" s="26" t="s">
        <v>15</v>
      </c>
      <c r="K29" s="11" t="s">
        <v>14</v>
      </c>
      <c r="L29" s="11" t="s">
        <v>14</v>
      </c>
      <c r="M29" s="40" t="s">
        <v>1064</v>
      </c>
    </row>
    <row r="30" spans="2:13" s="1" customFormat="1" ht="13.15" customHeight="1">
      <c r="B30" s="24">
        <v>23</v>
      </c>
      <c r="C30" s="33" t="s">
        <v>734</v>
      </c>
      <c r="D30" s="7" t="str">
        <f>IFERROR(VLOOKUP(C30,'Lista desplegable'!B$1:C$436,2,FALSE),"")</f>
        <v>OSCAR ALEXIS JARA MEJIAS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40" t="s">
        <v>1064</v>
      </c>
    </row>
    <row r="31" spans="2:13" s="1" customFormat="1" ht="13.15" customHeight="1">
      <c r="B31" s="24">
        <v>24</v>
      </c>
      <c r="C31" s="33" t="s">
        <v>589</v>
      </c>
      <c r="D31" s="7" t="str">
        <f>IFERROR(VLOOKUP(C31,'Lista desplegable'!B$1:C$436,2,FALSE),"")</f>
        <v>LUIS ALFREDO MORENO RIOS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40" t="s">
        <v>1064</v>
      </c>
    </row>
    <row r="32" spans="2:13" s="1" customFormat="1" ht="13.15" customHeight="1">
      <c r="B32" s="24">
        <v>25</v>
      </c>
      <c r="C32" s="33" t="s">
        <v>205</v>
      </c>
      <c r="D32" s="7" t="str">
        <f>IFERROR(VLOOKUP(C32,'Lista desplegable'!B$1:C$436,2,FALSE),"")</f>
        <v>CRISTIAN ALEJANDRO TOLEDO GONZALEZ</v>
      </c>
      <c r="E32" s="7" t="str">
        <f>IFERROR(VLOOKUP(D32,'Lista desplegable'!C$1:D$436,2,FALSE),"")</f>
        <v>ELECTROMECANICO</v>
      </c>
      <c r="F32" s="43"/>
      <c r="G32" s="43"/>
      <c r="H32" s="41"/>
      <c r="I32" s="50"/>
      <c r="J32" s="26" t="s">
        <v>37</v>
      </c>
      <c r="K32" s="11"/>
      <c r="L32" s="11"/>
      <c r="M32" s="40" t="s">
        <v>1064</v>
      </c>
    </row>
    <row r="33" spans="2:13" s="1" customFormat="1" ht="13.15" customHeight="1">
      <c r="B33" s="24">
        <v>26</v>
      </c>
      <c r="C33" s="33" t="s">
        <v>810</v>
      </c>
      <c r="D33" s="7" t="str">
        <f>IFERROR(VLOOKUP(C33,'Lista desplegable'!B$1:C$436,2,FALSE),"")</f>
        <v>RICARDO NICOLAS QUINTANA SANTANA</v>
      </c>
      <c r="E33" s="7" t="str">
        <f>IFERROR(VLOOKUP(D33,'Lista desplegable'!C$1:D$436,2,FALSE),"")</f>
        <v>AYUDANTE DE PERFORISTA</v>
      </c>
      <c r="F33" s="43"/>
      <c r="G33" s="43"/>
      <c r="H33" s="41"/>
      <c r="I33" s="50"/>
      <c r="J33" s="26" t="s">
        <v>37</v>
      </c>
      <c r="K33" s="11"/>
      <c r="L33" s="11"/>
      <c r="M33" s="40" t="s">
        <v>1064</v>
      </c>
    </row>
    <row r="34" spans="2:13" s="1" customFormat="1" ht="13.15" customHeight="1">
      <c r="B34" s="24">
        <v>27</v>
      </c>
      <c r="C34" s="33" t="s">
        <v>531</v>
      </c>
      <c r="D34" s="7" t="str">
        <f>IFERROR(VLOOKUP(C34,'Lista desplegable'!B$1:C$436,2,FALSE),"")</f>
        <v>JUAN ALEXIS AVILEZ MOLINA</v>
      </c>
      <c r="E34" s="7" t="str">
        <f>IFERROR(VLOOKUP(D34,'Lista desplegable'!C$1:D$436,2,FALSE),"")</f>
        <v>AYUDANTE DE PERFORISTA</v>
      </c>
      <c r="F34" s="43"/>
      <c r="G34" s="43"/>
      <c r="H34" s="41"/>
      <c r="I34" s="50"/>
      <c r="J34" s="26" t="s">
        <v>37</v>
      </c>
      <c r="K34" s="11"/>
      <c r="L34" s="11"/>
      <c r="M34" s="40" t="s">
        <v>1064</v>
      </c>
    </row>
    <row r="35" spans="2:13" s="1" customFormat="1" ht="13.15" customHeight="1">
      <c r="B35" s="24">
        <v>28</v>
      </c>
      <c r="C35" s="33" t="s">
        <v>623</v>
      </c>
      <c r="D35" s="7" t="str">
        <f>IFERROR(VLOOKUP(C35,'Lista desplegable'!B$1:C$436,2,FALSE),"")</f>
        <v>MARCELO DAVID VASQUEZ AVILEZ</v>
      </c>
      <c r="E35" s="7" t="str">
        <f>IFERROR(VLOOKUP(D35,'Lista desplegable'!C$1:D$436,2,FALSE),"")</f>
        <v>AYUDANTE DE PERFORISTA</v>
      </c>
      <c r="F35" s="43"/>
      <c r="G35" s="43"/>
      <c r="H35" s="41"/>
      <c r="I35" s="50"/>
      <c r="J35" s="11" t="s">
        <v>37</v>
      </c>
      <c r="K35" s="11"/>
      <c r="L35" s="11"/>
      <c r="M35" s="40" t="s">
        <v>1064</v>
      </c>
    </row>
    <row r="36" spans="2:13" s="1" customFormat="1" ht="13.15" customHeight="1">
      <c r="B36" s="24">
        <v>29</v>
      </c>
      <c r="C36" s="35" t="s">
        <v>301</v>
      </c>
      <c r="D36" s="7" t="str">
        <f>IFERROR(VLOOKUP(C36,'Lista desplegable'!B$1:C$436,2,FALSE),"")</f>
        <v>ELMER RISCO RAMOS</v>
      </c>
      <c r="E36" s="7" t="str">
        <f>IFERROR(VLOOKUP(D36,'Lista desplegable'!C$1:D$436,2,FALSE),"")</f>
        <v>PERFORISTA</v>
      </c>
      <c r="F36" s="43"/>
      <c r="G36" s="31"/>
      <c r="H36" s="110"/>
      <c r="I36" s="47"/>
      <c r="J36" s="11" t="s">
        <v>15</v>
      </c>
      <c r="K36" s="11" t="s">
        <v>14</v>
      </c>
      <c r="L36" s="11" t="s">
        <v>14</v>
      </c>
      <c r="M36" s="40" t="s">
        <v>1064</v>
      </c>
    </row>
    <row r="37" spans="2:13" s="1" customFormat="1" ht="13.15" customHeight="1">
      <c r="B37" s="111">
        <v>30</v>
      </c>
      <c r="C37" s="33"/>
      <c r="D37" s="112"/>
      <c r="E37" s="7"/>
      <c r="F37" s="19"/>
      <c r="G37" s="11"/>
      <c r="H37" s="11"/>
      <c r="I37" s="11"/>
      <c r="J37" s="11"/>
      <c r="K37" s="11"/>
      <c r="L37" s="11"/>
      <c r="M37" s="102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375</v>
      </c>
      <c r="D42" s="7" t="str">
        <f>IFERROR(VLOOKUP(C42,'Lista desplegable'!B$1:C$436,2,FALSE),"")</f>
        <v>FRANCISCO PEDRO BORNAZ DELGADO</v>
      </c>
      <c r="E42" s="7" t="str">
        <f>IFERROR(VLOOKUP(D42,'Lista desplegable'!C$1:D$436,2,FALSE),"")</f>
        <v>SUPERVISOR DE OPERACIONES</v>
      </c>
      <c r="F42" s="86"/>
      <c r="G42" s="86"/>
      <c r="H42" s="86"/>
      <c r="I42" s="87"/>
      <c r="J42" s="11" t="s">
        <v>15</v>
      </c>
      <c r="K42" s="11" t="s">
        <v>14</v>
      </c>
      <c r="L42" s="11" t="s">
        <v>14</v>
      </c>
      <c r="M42" s="40" t="s">
        <v>1062</v>
      </c>
    </row>
    <row r="43" spans="2:13" ht="13.15" customHeight="1">
      <c r="B43" s="24">
        <v>2</v>
      </c>
      <c r="C43" s="83" t="s">
        <v>766</v>
      </c>
      <c r="D43" s="7" t="str">
        <f>IFERROR(VLOOKUP(C43,'Lista desplegable'!B$1:C$436,2,FALSE),"")</f>
        <v>PATRICIO RICARDO OETIKER OYARZUN</v>
      </c>
      <c r="E43" s="7" t="str">
        <f>IFERROR(VLOOKUP(D43,'Lista desplegable'!C$1:D$436,2,FALSE),"")</f>
        <v>PREVENCIONISTA DE RIESGOS</v>
      </c>
      <c r="F43" s="86"/>
      <c r="G43" s="86"/>
      <c r="H43" s="86"/>
      <c r="I43" s="106"/>
      <c r="J43" s="11" t="s">
        <v>15</v>
      </c>
      <c r="K43" s="11" t="s">
        <v>14</v>
      </c>
      <c r="L43" s="11" t="s">
        <v>14</v>
      </c>
      <c r="M43" s="40" t="s">
        <v>1062</v>
      </c>
    </row>
    <row r="44" spans="2:13" ht="13.15" customHeight="1">
      <c r="B44" s="24">
        <v>3</v>
      </c>
      <c r="C44" s="84" t="s">
        <v>245</v>
      </c>
      <c r="D44" s="7" t="str">
        <f>IFERROR(VLOOKUP(C44,'Lista desplegable'!B$1:C$436,2,FALSE),"")</f>
        <v>DANIEL ARMANDO LINDERMANN LINDERMANN</v>
      </c>
      <c r="E44" s="7" t="str">
        <f>IFERROR(VLOOKUP(D44,'Lista desplegable'!C$1:D$436,2,FALSE),"")</f>
        <v>SUPERVISOR DE OPERACIONES</v>
      </c>
      <c r="F44" s="86"/>
      <c r="G44" s="86"/>
      <c r="H44" s="86"/>
      <c r="I44" s="106"/>
      <c r="J44" s="11" t="s">
        <v>15</v>
      </c>
      <c r="K44" s="11" t="s">
        <v>14</v>
      </c>
      <c r="L44" s="11" t="s">
        <v>14</v>
      </c>
      <c r="M44" s="40" t="s">
        <v>1062</v>
      </c>
    </row>
    <row r="45" spans="2:13" ht="13.15" customHeight="1">
      <c r="B45" s="24">
        <v>4</v>
      </c>
      <c r="C45" s="83" t="s">
        <v>748</v>
      </c>
      <c r="D45" s="7" t="str">
        <f>IFERROR(VLOOKUP(C45,'Lista desplegable'!B$1:C$436,2,FALSE),"")</f>
        <v>PABLO ROMARIO BOSSA ZAMORANO</v>
      </c>
      <c r="E45" s="7" t="str">
        <f>IFERROR(VLOOKUP(D45,'Lista desplegable'!C$1:D$436,2,FALSE),"")</f>
        <v>CHOFER</v>
      </c>
      <c r="F45" s="86"/>
      <c r="G45" s="86"/>
      <c r="H45" s="86"/>
      <c r="I45" s="106"/>
      <c r="J45" s="11" t="s">
        <v>15</v>
      </c>
      <c r="K45" s="11" t="s">
        <v>14</v>
      </c>
      <c r="L45" s="11" t="s">
        <v>14</v>
      </c>
      <c r="M45" s="40" t="s">
        <v>1062</v>
      </c>
    </row>
    <row r="46" spans="2:13" ht="13.15" customHeight="1">
      <c r="B46" s="24">
        <v>5</v>
      </c>
      <c r="C46" s="82" t="s">
        <v>642</v>
      </c>
      <c r="D46" s="7" t="str">
        <f>IFERROR(VLOOKUP(C46,'Lista desplegable'!B$1:C$436,2,FALSE),"")</f>
        <v>MARIO ANDRES PUCHI CORTEZ</v>
      </c>
      <c r="E46" s="7" t="str">
        <f>IFERROR(VLOOKUP(D46,'Lista desplegable'!C$1:D$436,2,FALSE),"")</f>
        <v>MECANICO</v>
      </c>
      <c r="F46" s="86"/>
      <c r="G46" s="86"/>
      <c r="H46" s="86"/>
      <c r="I46" s="106"/>
      <c r="J46" s="11" t="s">
        <v>15</v>
      </c>
      <c r="K46" s="11" t="s">
        <v>14</v>
      </c>
      <c r="L46" s="11" t="s">
        <v>14</v>
      </c>
      <c r="M46" s="40" t="s">
        <v>1062</v>
      </c>
    </row>
    <row r="47" spans="2:13" ht="13.15" customHeight="1">
      <c r="B47" s="24">
        <v>6</v>
      </c>
      <c r="C47" s="84" t="s">
        <v>509</v>
      </c>
      <c r="D47" s="7" t="str">
        <f>IFERROR(VLOOKUP(C47,'Lista desplegable'!B$1:C$436,2,FALSE),"")</f>
        <v>JOSE IGNACIO HERNANDEZ ARAYA</v>
      </c>
      <c r="E47" s="7" t="str">
        <f>IFERROR(VLOOKUP(D47,'Lista desplegable'!C$1:D$436,2,FALSE),"")</f>
        <v>PERFORISTA</v>
      </c>
      <c r="F47" s="86" t="s">
        <v>1024</v>
      </c>
      <c r="G47" s="86" t="s">
        <v>20</v>
      </c>
      <c r="H47" s="86" t="s">
        <v>52</v>
      </c>
      <c r="I47" s="106" t="s">
        <v>1015</v>
      </c>
      <c r="J47" s="11" t="s">
        <v>15</v>
      </c>
      <c r="K47" s="11" t="s">
        <v>14</v>
      </c>
      <c r="L47" s="11" t="s">
        <v>14</v>
      </c>
      <c r="M47" s="40" t="s">
        <v>1062</v>
      </c>
    </row>
    <row r="48" spans="2:13" ht="13.15" customHeight="1">
      <c r="B48" s="24">
        <v>7</v>
      </c>
      <c r="C48" s="83" t="s">
        <v>621</v>
      </c>
      <c r="D48" s="7" t="str">
        <f>IFERROR(VLOOKUP(C48,'Lista desplegable'!B$1:C$436,2,FALSE),"")</f>
        <v>MARCELO ALEJANDRO INZUNZA ALARCON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106" t="s">
        <v>1015</v>
      </c>
      <c r="J48" s="11" t="s">
        <v>15</v>
      </c>
      <c r="K48" s="11" t="s">
        <v>14</v>
      </c>
      <c r="L48" s="11" t="s">
        <v>14</v>
      </c>
      <c r="M48" s="40" t="s">
        <v>1062</v>
      </c>
    </row>
    <row r="49" spans="2:13" ht="13.15" customHeight="1">
      <c r="B49" s="24">
        <v>8</v>
      </c>
      <c r="C49" s="84" t="s">
        <v>617</v>
      </c>
      <c r="D49" s="7" t="str">
        <f>IFERROR(VLOOKUP(C49,'Lista desplegable'!B$1:C$436,2,FALSE),"")</f>
        <v>MANUEL ARNOLDO ALISTE OLIVARES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106" t="s">
        <v>1015</v>
      </c>
      <c r="J49" s="11" t="s">
        <v>15</v>
      </c>
      <c r="K49" s="11" t="s">
        <v>14</v>
      </c>
      <c r="L49" s="11" t="s">
        <v>14</v>
      </c>
      <c r="M49" s="40" t="s">
        <v>1062</v>
      </c>
    </row>
    <row r="50" spans="2:13" ht="13.15" customHeight="1">
      <c r="B50" s="24">
        <v>9</v>
      </c>
      <c r="C50" s="83" t="s">
        <v>776</v>
      </c>
      <c r="D50" s="7" t="str">
        <f>IFERROR(VLOOKUP(C50,'Lista desplegable'!B$1:C$436,2,FALSE),"")</f>
        <v>PEDRO ENRIQUE BOLBARAN ROJAS</v>
      </c>
      <c r="E50" s="7" t="str">
        <f>IFERROR(VLOOKUP(D50,'Lista desplegable'!C$1:D$436,2,FALSE),"")</f>
        <v>AYUDANTE DE PERFORISTA</v>
      </c>
      <c r="F50" s="86" t="s">
        <v>1024</v>
      </c>
      <c r="G50" s="86" t="s">
        <v>20</v>
      </c>
      <c r="H50" s="86" t="s">
        <v>52</v>
      </c>
      <c r="I50" s="106" t="s">
        <v>1015</v>
      </c>
      <c r="J50" s="11" t="s">
        <v>15</v>
      </c>
      <c r="K50" s="11" t="s">
        <v>14</v>
      </c>
      <c r="L50" s="11" t="s">
        <v>14</v>
      </c>
      <c r="M50" s="40" t="s">
        <v>1062</v>
      </c>
    </row>
    <row r="51" spans="2:13" ht="13.15" customHeight="1">
      <c r="B51" s="24">
        <v>10</v>
      </c>
      <c r="C51" s="83" t="s">
        <v>345</v>
      </c>
      <c r="D51" s="7" t="str">
        <f>IFERROR(VLOOKUP(C51,'Lista desplegable'!B$1:C$436,2,FALSE),"")</f>
        <v>FELIPE ANDRES BOLBARAN ROJAS</v>
      </c>
      <c r="E51" s="7" t="str">
        <f>IFERROR(VLOOKUP(D51,'Lista desplegable'!C$1:D$436,2,FALSE),"")</f>
        <v>PERFORISTA</v>
      </c>
      <c r="F51" s="86" t="s">
        <v>1026</v>
      </c>
      <c r="G51" s="86" t="s">
        <v>20</v>
      </c>
      <c r="H51" s="86" t="s">
        <v>52</v>
      </c>
      <c r="I51" s="106" t="s">
        <v>1015</v>
      </c>
      <c r="J51" s="11" t="s">
        <v>15</v>
      </c>
      <c r="K51" s="11" t="s">
        <v>14</v>
      </c>
      <c r="L51" s="11" t="s">
        <v>14</v>
      </c>
      <c r="M51" s="40" t="s">
        <v>1062</v>
      </c>
    </row>
    <row r="52" spans="2:13" ht="13.15" customHeight="1">
      <c r="B52" s="24">
        <v>11</v>
      </c>
      <c r="C52" s="84" t="s">
        <v>738</v>
      </c>
      <c r="D52" s="7" t="str">
        <f>IFERROR(VLOOKUP(C52,'Lista desplegable'!B$1:C$436,2,FALSE),"")</f>
        <v>OSCAR MANUEL ESPINOZA ESPINOZA</v>
      </c>
      <c r="E52" s="7" t="str">
        <f>IFERROR(VLOOKUP(D52,'Lista desplegable'!C$1:D$436,2,FALSE),"")</f>
        <v>AYUDANTE DE PERFORISTA</v>
      </c>
      <c r="F52" s="86" t="s">
        <v>1026</v>
      </c>
      <c r="G52" s="86" t="s">
        <v>20</v>
      </c>
      <c r="H52" s="86" t="s">
        <v>52</v>
      </c>
      <c r="I52" s="106" t="s">
        <v>1015</v>
      </c>
      <c r="J52" s="11" t="s">
        <v>15</v>
      </c>
      <c r="K52" s="11" t="s">
        <v>14</v>
      </c>
      <c r="L52" s="11" t="s">
        <v>14</v>
      </c>
      <c r="M52" s="40" t="s">
        <v>1062</v>
      </c>
    </row>
    <row r="53" spans="2:13" ht="13.15" customHeight="1">
      <c r="B53" s="24">
        <v>12</v>
      </c>
      <c r="C53" s="85" t="s">
        <v>710</v>
      </c>
      <c r="D53" s="7" t="str">
        <f>IFERROR(VLOOKUP(C53,'Lista desplegable'!B$1:C$436,2,FALSE),"")</f>
        <v>NICOLAS ALBERTO CARVAJAL PASTEN</v>
      </c>
      <c r="E53" s="7" t="str">
        <f>IFERROR(VLOOKUP(D53,'Lista desplegable'!C$1:D$436,2,FALSE),"")</f>
        <v>AYUDANTE DE PERFORISTA</v>
      </c>
      <c r="F53" s="89" t="s">
        <v>1026</v>
      </c>
      <c r="G53" s="89" t="s">
        <v>20</v>
      </c>
      <c r="H53" s="86" t="s">
        <v>52</v>
      </c>
      <c r="I53" s="106" t="s">
        <v>1015</v>
      </c>
      <c r="J53" s="11" t="s">
        <v>15</v>
      </c>
      <c r="K53" s="11" t="s">
        <v>14</v>
      </c>
      <c r="L53" s="11" t="s">
        <v>14</v>
      </c>
      <c r="M53" s="40" t="s">
        <v>1062</v>
      </c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7F35DE6-5123-4471-BD25-4BF1C882134B}">
          <x14:formula1>
            <xm:f>'Lista desplegable'!$L$2:$L$3</xm:f>
          </x14:formula1>
          <xm:sqref>K8:L37 K42:L61</xm:sqref>
        </x14:dataValidation>
        <x14:dataValidation type="list" allowBlank="1" showInputMessage="1" showErrorMessage="1" xr:uid="{D6E63B59-49B8-4CDB-897D-0EEBA009937D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FBBDCBA0-D0C7-4061-B818-2ECE77E212FB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2383A17D-677A-404D-945B-9891220F19FC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35E3E7B2-CA8E-4C61-8F9E-221AA051B3E3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5C98C5CA-1EC6-40AB-ABCA-6FCBC05213D6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4101-7CF4-4C21-B70F-F512EA98EDA7}">
  <dimension ref="B1:M82"/>
  <sheetViews>
    <sheetView topLeftCell="A33" zoomScaleNormal="100" workbookViewId="0">
      <selection activeCell="L53" sqref="L53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1066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1026</v>
      </c>
      <c r="G8" s="81" t="s">
        <v>20</v>
      </c>
      <c r="H8" s="86" t="s">
        <v>52</v>
      </c>
      <c r="I8" s="50" t="s">
        <v>1067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80" t="s">
        <v>358</v>
      </c>
      <c r="D9" s="7" t="str">
        <f>IFERROR(VLOOKUP(C9,'Lista desplegable'!B$1:C$436,2,FALSE),"")</f>
        <v>FELIX ALEJANDRO MERY ROBLEDO</v>
      </c>
      <c r="E9" s="7" t="str">
        <f>IFERROR(VLOOKUP(D9,'Lista desplegable'!C$1:D$436,2,FALSE),"")</f>
        <v>ADMINISTRADOR DE CONTRATO JUNIOR</v>
      </c>
      <c r="F9" s="63" t="s">
        <v>1026</v>
      </c>
      <c r="G9" s="81" t="s">
        <v>20</v>
      </c>
      <c r="H9" s="86" t="s">
        <v>52</v>
      </c>
      <c r="I9" s="50" t="s">
        <v>1067</v>
      </c>
      <c r="J9" s="11" t="s">
        <v>15</v>
      </c>
      <c r="K9" s="11" t="s">
        <v>14</v>
      </c>
      <c r="L9" s="11" t="s">
        <v>14</v>
      </c>
      <c r="M9" s="97"/>
    </row>
    <row r="10" spans="2:13" s="1" customFormat="1" ht="13.15" customHeight="1">
      <c r="B10" s="24">
        <v>3</v>
      </c>
      <c r="C10" s="80" t="s">
        <v>904</v>
      </c>
      <c r="D10" s="7" t="str">
        <f>IFERROR(VLOOKUP(C10,'Lista desplegable'!B$1:C$436,2,FALSE),"")</f>
        <v>SIMONNE DE LA PAZ REYES BATLLE</v>
      </c>
      <c r="E10" s="7" t="str">
        <f>IFERROR(VLOOKUP(D10,'Lista desplegable'!C$1:D$436,2,FALSE),"")</f>
        <v>ADMINISTRATIVO DE FAENA</v>
      </c>
      <c r="F10" s="63"/>
      <c r="G10" s="81"/>
      <c r="H10" s="86"/>
      <c r="I10" s="50"/>
      <c r="J10" s="11" t="s">
        <v>23</v>
      </c>
      <c r="K10" s="11"/>
      <c r="L10" s="11"/>
      <c r="M10" s="97"/>
    </row>
    <row r="11" spans="2:13" s="1" customFormat="1" ht="13.15" customHeight="1">
      <c r="B11" s="24">
        <v>4</v>
      </c>
      <c r="C11" s="80" t="s">
        <v>595</v>
      </c>
      <c r="D11" s="7" t="str">
        <f>IFERROR(VLOOKUP(C11,'Lista desplegable'!B$1:C$436,2,FALSE),"")</f>
        <v>LUIS GERARDO LOPEZ OLAVE</v>
      </c>
      <c r="E11" s="7" t="str">
        <f>IFERROR(VLOOKUP(D11,'Lista desplegable'!C$1:D$436,2,FALSE),"")</f>
        <v>MECANICO</v>
      </c>
      <c r="F11" s="63" t="s">
        <v>1026</v>
      </c>
      <c r="G11" s="81" t="s">
        <v>20</v>
      </c>
      <c r="H11" s="86" t="s">
        <v>52</v>
      </c>
      <c r="I11" s="50" t="s">
        <v>1067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972</v>
      </c>
      <c r="D12" s="7" t="str">
        <f>IFERROR(VLOOKUP(C12,'Lista desplegable'!B$1:C$436,2,FALSE),"")</f>
        <v>YONATHAN ALBERTO MOROSO CORTES</v>
      </c>
      <c r="E12" s="7" t="str">
        <f>IFERROR(VLOOKUP(D12,'Lista desplegable'!C$1:D$436,2,FALSE),"")</f>
        <v>ADMINISTRATIVO SENIOR</v>
      </c>
      <c r="F12" s="63" t="s">
        <v>1026</v>
      </c>
      <c r="G12" s="81" t="s">
        <v>20</v>
      </c>
      <c r="H12" s="86" t="s">
        <v>52</v>
      </c>
      <c r="I12" s="50" t="s">
        <v>1067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258</v>
      </c>
      <c r="D13" s="7" t="str">
        <f>IFERROR(VLOOKUP(C13,'Lista desplegable'!B$1:C$436,2,FALSE),"")</f>
        <v>DAVID AUGUSTO MARSHALL FLORES</v>
      </c>
      <c r="E13" s="7" t="str">
        <f>IFERROR(VLOOKUP(D13,'Lista desplegable'!C$1:D$436,2,FALSE),"")</f>
        <v>BODEGUERO</v>
      </c>
      <c r="F13" s="63" t="s">
        <v>1026</v>
      </c>
      <c r="G13" s="81" t="s">
        <v>20</v>
      </c>
      <c r="H13" s="86" t="s">
        <v>52</v>
      </c>
      <c r="I13" s="50" t="s">
        <v>1067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1" t="s">
        <v>788</v>
      </c>
      <c r="D14" s="7" t="str">
        <f>IFERROR(VLOOKUP(C14,'Lista desplegable'!B$1:C$436,2,FALSE),"")</f>
        <v>RAUL MANUEL BUSTAMANTE CERON</v>
      </c>
      <c r="E14" s="7" t="str">
        <f>IFERROR(VLOOKUP(D14,'Lista desplegable'!C$1:D$436,2,FALSE),"")</f>
        <v>SOLDADOR</v>
      </c>
      <c r="F14" s="63" t="s">
        <v>1026</v>
      </c>
      <c r="G14" s="81" t="s">
        <v>20</v>
      </c>
      <c r="H14" s="86" t="s">
        <v>52</v>
      </c>
      <c r="I14" s="50" t="s">
        <v>1067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476</v>
      </c>
      <c r="D15" s="7" t="str">
        <f>IFERROR(VLOOKUP(C15,'Lista desplegable'!B$1:C$436,2,FALSE),"")</f>
        <v>JONATHAN ALEXANDER OLIVARES NATES</v>
      </c>
      <c r="E15" s="7" t="str">
        <f>IFERROR(VLOOKUP(D15,'Lista desplegable'!C$1:D$436,2,FALSE),"")</f>
        <v>MECANICO</v>
      </c>
      <c r="F15" s="63" t="s">
        <v>1026</v>
      </c>
      <c r="G15" s="81" t="s">
        <v>20</v>
      </c>
      <c r="H15" s="86" t="s">
        <v>52</v>
      </c>
      <c r="I15" s="50" t="s">
        <v>1067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81" t="s">
        <v>893</v>
      </c>
      <c r="D16" s="7" t="str">
        <f>IFERROR(VLOOKUP(C16,'Lista desplegable'!B$1:C$436,2,FALSE),"")</f>
        <v>SEBASTIAN IGNACIO ORTEGA GOMEZ</v>
      </c>
      <c r="E16" s="7" t="str">
        <f>IFERROR(VLOOKUP(D16,'Lista desplegable'!C$1:D$436,2,FALSE),"")</f>
        <v>MECANICO</v>
      </c>
      <c r="F16" s="63" t="s">
        <v>1026</v>
      </c>
      <c r="G16" s="81" t="s">
        <v>20</v>
      </c>
      <c r="H16" s="86" t="s">
        <v>52</v>
      </c>
      <c r="I16" s="50" t="s">
        <v>1067</v>
      </c>
      <c r="J16" s="26" t="s">
        <v>15</v>
      </c>
      <c r="K16" s="11" t="s">
        <v>14</v>
      </c>
      <c r="L16" s="11" t="s">
        <v>14</v>
      </c>
      <c r="M16" s="40"/>
    </row>
    <row r="17" spans="2:13" s="1" customFormat="1" ht="13.15" customHeight="1">
      <c r="B17" s="24">
        <v>10</v>
      </c>
      <c r="C17" s="80" t="s">
        <v>837</v>
      </c>
      <c r="D17" s="7" t="str">
        <f>IFERROR(VLOOKUP(C17,'Lista desplegable'!B$1:C$436,2,FALSE),"")</f>
        <v>ROBERTO MAURICIO VERGARA NEGRETE</v>
      </c>
      <c r="E17" s="7" t="str">
        <f>IFERROR(VLOOKUP(D17,'Lista desplegable'!C$1:D$436,2,FALSE),"")</f>
        <v>ELECTROMECÁNICO</v>
      </c>
      <c r="F17" s="63" t="s">
        <v>1026</v>
      </c>
      <c r="G17" s="81" t="s">
        <v>20</v>
      </c>
      <c r="H17" s="86" t="s">
        <v>52</v>
      </c>
      <c r="I17" s="50" t="s">
        <v>1067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178</v>
      </c>
      <c r="D18" s="7" t="str">
        <f>IFERROR(VLOOKUP(C18,'Lista desplegable'!B$1:C$436,2,FALSE),"")</f>
        <v>CELSO ANDRES ORREGO OLIVARES</v>
      </c>
      <c r="E18" s="7" t="str">
        <f>IFERROR(VLOOKUP(D18,'Lista desplegable'!C$1:D$436,2,FALSE),"")</f>
        <v>CHOFER</v>
      </c>
      <c r="F18" s="63" t="s">
        <v>1026</v>
      </c>
      <c r="G18" s="81" t="s">
        <v>20</v>
      </c>
      <c r="H18" s="86" t="s">
        <v>52</v>
      </c>
      <c r="I18" s="50" t="s">
        <v>1067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1" t="s">
        <v>784</v>
      </c>
      <c r="D19" s="7" t="str">
        <f>IFERROR(VLOOKUP(C19,'Lista desplegable'!B$1:C$436,2,FALSE),"")</f>
        <v>RAUL ALEJANDRO RIVERO RIVERO</v>
      </c>
      <c r="E19" s="7" t="str">
        <f>IFERROR(VLOOKUP(D19,'Lista desplegable'!C$1:D$436,2,FALSE),"")</f>
        <v>SUPERVISOR DE OPERACIONES</v>
      </c>
      <c r="F19" s="63" t="s">
        <v>1026</v>
      </c>
      <c r="G19" s="81" t="s">
        <v>20</v>
      </c>
      <c r="H19" s="86" t="s">
        <v>52</v>
      </c>
      <c r="I19" s="50" t="s">
        <v>1067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91" t="s">
        <v>744</v>
      </c>
      <c r="D20" s="7" t="str">
        <f>IFERROR(VLOOKUP(C20,'Lista desplegable'!B$1:C$436,2,FALSE),"")</f>
        <v>PABLO ANTONIO ALVAREZ CORTES</v>
      </c>
      <c r="E20" s="7" t="str">
        <f>IFERROR(VLOOKUP(D20,'Lista desplegable'!C$1:D$436,2,FALSE),"")</f>
        <v>PREVENCIONISTA DE RIESGOS</v>
      </c>
      <c r="F20" s="63" t="s">
        <v>1026</v>
      </c>
      <c r="G20" s="81" t="s">
        <v>20</v>
      </c>
      <c r="H20" s="86" t="s">
        <v>52</v>
      </c>
      <c r="I20" s="50" t="s">
        <v>1067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80" t="s">
        <v>398</v>
      </c>
      <c r="D21" s="7" t="str">
        <f>IFERROR(VLOOKUP(C21,'Lista desplegable'!B$1:C$436,2,FALSE),"")</f>
        <v>GUILLERMO ALFREDO CASTRO ZUÑIGA</v>
      </c>
      <c r="E21" s="7" t="str">
        <f>IFERROR(VLOOKUP(D21,'Lista desplegable'!C$1:D$436,2,FALSE),"")</f>
        <v>PERFORISTA</v>
      </c>
      <c r="F21" s="63" t="s">
        <v>1024</v>
      </c>
      <c r="G21" s="81" t="s">
        <v>20</v>
      </c>
      <c r="H21" s="86" t="s">
        <v>52</v>
      </c>
      <c r="I21" s="50" t="s">
        <v>1015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818</v>
      </c>
      <c r="D22" s="7" t="str">
        <f>IFERROR(VLOOKUP(C22,'Lista desplegable'!B$1:C$436,2,FALSE),"")</f>
        <v>RICKY DONNELLY ARAVENA POBLETE</v>
      </c>
      <c r="E22" s="7" t="str">
        <f>IFERROR(VLOOKUP(D22,'Lista desplegable'!C$1:D$436,2,FALSE),"")</f>
        <v>AYUDANTE DE PERFORISTA</v>
      </c>
      <c r="F22" s="63" t="s">
        <v>1024</v>
      </c>
      <c r="G22" s="81" t="s">
        <v>20</v>
      </c>
      <c r="H22" s="86" t="s">
        <v>52</v>
      </c>
      <c r="I22" s="50" t="s">
        <v>1015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1" t="s">
        <v>185</v>
      </c>
      <c r="D23" s="7" t="str">
        <f>IFERROR(VLOOKUP(C23,'Lista desplegable'!B$1:C$436,2,FALSE),"")</f>
        <v>CHRISTOFER HUESLY OLIVARES FERNANDEZ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 t="s">
        <v>1015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562</v>
      </c>
      <c r="D24" s="7" t="str">
        <f>IFERROR(VLOOKUP(C24,'Lista desplegable'!B$1:C$436,2,FALSE),"")</f>
        <v>KEVIN ESTEBAN VALENZUELA VALENZUELA</v>
      </c>
      <c r="E24" s="7" t="str">
        <f>IFERROR(VLOOKUP(D24,'Lista desplegable'!C$1:D$436,2,FALSE),"")</f>
        <v>PERFORISTA</v>
      </c>
      <c r="F24" s="63" t="s">
        <v>1026</v>
      </c>
      <c r="G24" s="81" t="s">
        <v>20</v>
      </c>
      <c r="H24" s="86" t="s">
        <v>52</v>
      </c>
      <c r="I24" s="50" t="s">
        <v>1067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897</v>
      </c>
      <c r="D25" s="7" t="str">
        <f>IFERROR(VLOOKUP(C25,'Lista desplegable'!B$1:C$436,2,FALSE),"")</f>
        <v>SERGIO ALFONSO BRUNA LEDEZMA</v>
      </c>
      <c r="E25" s="7" t="str">
        <f>IFERROR(VLOOKUP(D25,'Lista desplegable'!C$1:D$436,2,FALSE),"")</f>
        <v>AYUDANTE DE PERFORISTA</v>
      </c>
      <c r="F25" s="63" t="s">
        <v>1026</v>
      </c>
      <c r="G25" s="81" t="s">
        <v>20</v>
      </c>
      <c r="H25" s="86" t="s">
        <v>52</v>
      </c>
      <c r="I25" s="50" t="s">
        <v>1067</v>
      </c>
      <c r="J25" s="26" t="s">
        <v>15</v>
      </c>
      <c r="K25" s="11" t="s">
        <v>14</v>
      </c>
      <c r="L25" s="11" t="s">
        <v>14</v>
      </c>
      <c r="M25" s="41"/>
    </row>
    <row r="26" spans="2:13" s="1" customFormat="1" ht="13.15" customHeight="1">
      <c r="B26" s="24">
        <v>19</v>
      </c>
      <c r="C26" s="92" t="s">
        <v>305</v>
      </c>
      <c r="D26" s="7" t="str">
        <f>IFERROR(VLOOKUP(C26,'Lista desplegable'!B$1:C$436,2,FALSE),"")</f>
        <v>EMIL EDGARDO VARGAS BORDONES</v>
      </c>
      <c r="E26" s="7" t="str">
        <f>IFERROR(VLOOKUP(D26,'Lista desplegable'!C$1:D$436,2,FALSE),"")</f>
        <v>AYUDANTE DE PERFORISTA</v>
      </c>
      <c r="F26" s="95" t="s">
        <v>1026</v>
      </c>
      <c r="G26" s="96" t="s">
        <v>20</v>
      </c>
      <c r="H26" s="86" t="s">
        <v>52</v>
      </c>
      <c r="I26" s="50" t="s">
        <v>1067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92" t="s">
        <v>877</v>
      </c>
      <c r="D27" s="7" t="str">
        <f>IFERROR(VLOOKUP(C27,'Lista desplegable'!B$1:C$436,2,FALSE),"")</f>
        <v>SEBASTIAN ALEJANDRO ARANEDA MILLAR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1067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33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43"/>
      <c r="G28" s="43"/>
      <c r="H28" s="43"/>
      <c r="I28" s="50"/>
      <c r="J28" s="26" t="s">
        <v>37</v>
      </c>
      <c r="K28" s="11"/>
      <c r="L28" s="11"/>
      <c r="M28" s="59" t="s">
        <v>1068</v>
      </c>
    </row>
    <row r="29" spans="2:13" s="1" customFormat="1" ht="13.15" customHeight="1">
      <c r="B29" s="24">
        <v>22</v>
      </c>
      <c r="C29" s="33" t="s">
        <v>958</v>
      </c>
      <c r="D29" s="7" t="str">
        <f>IFERROR(VLOOKUP(C29,'Lista desplegable'!B$1:C$436,2,FALSE),"")</f>
        <v>WALTER LISANDRO SALAS MESA</v>
      </c>
      <c r="E29" s="7" t="str">
        <f>IFERROR(VLOOKUP(D29,'Lista desplegable'!C$1:D$436,2,FALSE),"")</f>
        <v>PERFORISTA</v>
      </c>
      <c r="F29" s="95" t="s">
        <v>1026</v>
      </c>
      <c r="G29" s="96" t="s">
        <v>20</v>
      </c>
      <c r="H29" s="86" t="s">
        <v>52</v>
      </c>
      <c r="I29" s="50" t="s">
        <v>1067</v>
      </c>
      <c r="J29" s="26" t="s">
        <v>15</v>
      </c>
      <c r="K29" s="11" t="s">
        <v>14</v>
      </c>
      <c r="L29" s="11" t="s">
        <v>14</v>
      </c>
      <c r="M29" s="59"/>
    </row>
    <row r="30" spans="2:13" s="1" customFormat="1" ht="13.15" customHeight="1">
      <c r="B30" s="24">
        <v>23</v>
      </c>
      <c r="C30" s="33" t="s">
        <v>734</v>
      </c>
      <c r="D30" s="7" t="str">
        <f>IFERROR(VLOOKUP(C30,'Lista desplegable'!B$1:C$436,2,FALSE),"")</f>
        <v>OSCAR ALEXIS JARA MEJIAS</v>
      </c>
      <c r="E30" s="7" t="str">
        <f>IFERROR(VLOOKUP(D30,'Lista desplegable'!C$1:D$436,2,FALSE),"")</f>
        <v>CHOFER</v>
      </c>
      <c r="F30" s="43"/>
      <c r="G30" s="43"/>
      <c r="H30" s="41"/>
      <c r="I30" s="50"/>
      <c r="J30" s="26" t="s">
        <v>37</v>
      </c>
      <c r="K30" s="11"/>
      <c r="L30" s="11"/>
      <c r="M30" s="59" t="s">
        <v>1005</v>
      </c>
    </row>
    <row r="31" spans="2:13" s="1" customFormat="1" ht="13.15" customHeight="1">
      <c r="B31" s="24">
        <v>24</v>
      </c>
      <c r="C31" s="33" t="s">
        <v>589</v>
      </c>
      <c r="D31" s="7" t="str">
        <f>IFERROR(VLOOKUP(C31,'Lista desplegable'!B$1:C$436,2,FALSE),"")</f>
        <v>LUIS ALFREDO MORENO RIOS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 t="s">
        <v>205</v>
      </c>
      <c r="D32" s="7" t="str">
        <f>IFERROR(VLOOKUP(C32,'Lista desplegable'!B$1:C$436,2,FALSE),"")</f>
        <v>CRISTIAN ALEJANDRO TOLEDO GONZALEZ</v>
      </c>
      <c r="E32" s="7" t="str">
        <f>IFERROR(VLOOKUP(D32,'Lista desplegable'!C$1:D$436,2,FALSE),"")</f>
        <v>ELECTROMECANICO</v>
      </c>
      <c r="F32" s="43"/>
      <c r="G32" s="43"/>
      <c r="H32" s="41"/>
      <c r="I32" s="50"/>
      <c r="J32" s="26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810</v>
      </c>
      <c r="D33" s="7" t="str">
        <f>IFERROR(VLOOKUP(C33,'Lista desplegable'!B$1:C$436,2,FALSE),"")</f>
        <v>RICARDO NICOLAS QUINTANA SANTANA</v>
      </c>
      <c r="E33" s="7" t="str">
        <f>IFERROR(VLOOKUP(D33,'Lista desplegable'!C$1:D$436,2,FALSE),"")</f>
        <v>AYUDANTE DE PERFORISTA</v>
      </c>
      <c r="F33" s="43"/>
      <c r="G33" s="43"/>
      <c r="H33" s="41"/>
      <c r="I33" s="50"/>
      <c r="J33" s="26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3" t="s">
        <v>531</v>
      </c>
      <c r="D34" s="7" t="str">
        <f>IFERROR(VLOOKUP(C34,'Lista desplegable'!B$1:C$436,2,FALSE),"")</f>
        <v>JUAN ALEXIS AVILEZ MOLINA</v>
      </c>
      <c r="E34" s="7" t="str">
        <f>IFERROR(VLOOKUP(D34,'Lista desplegable'!C$1:D$436,2,FALSE),"")</f>
        <v>AYUDANTE DE PERFORISTA</v>
      </c>
      <c r="F34" s="43"/>
      <c r="G34" s="43"/>
      <c r="H34" s="41"/>
      <c r="I34" s="50"/>
      <c r="J34" s="26" t="s">
        <v>37</v>
      </c>
      <c r="K34" s="11"/>
      <c r="L34" s="11"/>
      <c r="M34" s="59" t="s">
        <v>1005</v>
      </c>
    </row>
    <row r="35" spans="2:13" s="1" customFormat="1" ht="13.15" customHeight="1">
      <c r="B35" s="24">
        <v>28</v>
      </c>
      <c r="C35" s="33" t="s">
        <v>623</v>
      </c>
      <c r="D35" s="7" t="str">
        <f>IFERROR(VLOOKUP(C35,'Lista desplegable'!B$1:C$436,2,FALSE),"")</f>
        <v>MARCELO DAVID VASQUEZ AVILEZ</v>
      </c>
      <c r="E35" s="7" t="str">
        <f>IFERROR(VLOOKUP(D35,'Lista desplegable'!C$1:D$436,2,FALSE),"")</f>
        <v>AYUDANTE DE PERFORISTA</v>
      </c>
      <c r="F35" s="43"/>
      <c r="G35" s="43"/>
      <c r="H35" s="41"/>
      <c r="I35" s="50"/>
      <c r="J35" s="11" t="s">
        <v>37</v>
      </c>
      <c r="K35" s="11"/>
      <c r="L35" s="11"/>
      <c r="M35" s="59" t="s">
        <v>1005</v>
      </c>
    </row>
    <row r="36" spans="2:13" s="1" customFormat="1" ht="13.15" customHeight="1">
      <c r="B36" s="24">
        <v>29</v>
      </c>
      <c r="C36" s="83" t="s">
        <v>375</v>
      </c>
      <c r="D36" s="7" t="str">
        <f>IFERROR(VLOOKUP(C36,'Lista desplegable'!B$1:C$436,2,FALSE),"")</f>
        <v>FRANCISCO PEDRO BORNAZ DELGADO</v>
      </c>
      <c r="E36" s="7" t="str">
        <f>IFERROR(VLOOKUP(D36,'Lista desplegable'!C$1:D$436,2,FALSE),"")</f>
        <v>SUPERVISOR DE OPERACIONES</v>
      </c>
      <c r="F36" s="95" t="s">
        <v>1026</v>
      </c>
      <c r="G36" s="96" t="s">
        <v>20</v>
      </c>
      <c r="H36" s="86" t="s">
        <v>52</v>
      </c>
      <c r="I36" s="50" t="s">
        <v>1067</v>
      </c>
      <c r="J36" s="11" t="s">
        <v>15</v>
      </c>
      <c r="K36" s="11" t="s">
        <v>14</v>
      </c>
      <c r="L36" s="51" t="s">
        <v>14</v>
      </c>
      <c r="M36" s="55"/>
    </row>
    <row r="37" spans="2:13" s="1" customFormat="1" ht="13.15" customHeight="1">
      <c r="B37" s="111">
        <v>30</v>
      </c>
      <c r="C37" s="33"/>
      <c r="D37" s="112"/>
      <c r="E37" s="7"/>
      <c r="F37" s="19"/>
      <c r="G37" s="11"/>
      <c r="H37" s="11"/>
      <c r="I37" s="11"/>
      <c r="J37" s="11"/>
      <c r="K37" s="11"/>
      <c r="L37" s="51"/>
      <c r="M37" s="64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766</v>
      </c>
      <c r="D42" s="7" t="str">
        <f>IFERROR(VLOOKUP(C42,'Lista desplegable'!B$1:C$436,2,FALSE),"")</f>
        <v>PATRICIO RICARDO OETIKER OYARZUN</v>
      </c>
      <c r="E42" s="7" t="str">
        <f>IFERROR(VLOOKUP(D42,'Lista desplegable'!C$1:D$436,2,FALSE),"")</f>
        <v>PREVENCIONISTA DE RIESGOS</v>
      </c>
      <c r="F42" s="81" t="s">
        <v>1026</v>
      </c>
      <c r="G42" s="81" t="s">
        <v>20</v>
      </c>
      <c r="H42" s="81" t="s">
        <v>52</v>
      </c>
      <c r="I42" s="113" t="s">
        <v>989</v>
      </c>
      <c r="J42" s="11" t="s">
        <v>15</v>
      </c>
      <c r="K42" s="11" t="s">
        <v>14</v>
      </c>
      <c r="L42" s="11" t="s">
        <v>14</v>
      </c>
      <c r="M42" s="40"/>
    </row>
    <row r="43" spans="2:13" ht="13.15" customHeight="1">
      <c r="B43" s="24">
        <v>2</v>
      </c>
      <c r="C43" s="84" t="s">
        <v>245</v>
      </c>
      <c r="D43" s="7" t="str">
        <f>IFERROR(VLOOKUP(C43,'Lista desplegable'!B$1:C$436,2,FALSE),"")</f>
        <v>DANIEL ARMANDO LINDERMANN LINDERMANN</v>
      </c>
      <c r="E43" s="7" t="str">
        <f>IFERROR(VLOOKUP(D43,'Lista desplegable'!C$1:D$436,2,FALSE),"")</f>
        <v>SUPERVISOR DE OPERACIONES</v>
      </c>
      <c r="F43" s="81" t="s">
        <v>1026</v>
      </c>
      <c r="G43" s="81" t="s">
        <v>20</v>
      </c>
      <c r="H43" s="81" t="s">
        <v>52</v>
      </c>
      <c r="I43" s="113" t="s">
        <v>989</v>
      </c>
      <c r="J43" s="11" t="s">
        <v>15</v>
      </c>
      <c r="K43" s="11" t="s">
        <v>14</v>
      </c>
      <c r="L43" s="11" t="s">
        <v>14</v>
      </c>
      <c r="M43" s="40"/>
    </row>
    <row r="44" spans="2:13" ht="13.15" customHeight="1">
      <c r="B44" s="24">
        <v>3</v>
      </c>
      <c r="C44" s="83" t="s">
        <v>748</v>
      </c>
      <c r="D44" s="7" t="str">
        <f>IFERROR(VLOOKUP(C44,'Lista desplegable'!B$1:C$436,2,FALSE),"")</f>
        <v>PABLO ROMARIO BOSSA ZAMORANO</v>
      </c>
      <c r="E44" s="7" t="str">
        <f>IFERROR(VLOOKUP(D44,'Lista desplegable'!C$1:D$436,2,FALSE),"")</f>
        <v>CHOFER</v>
      </c>
      <c r="F44" s="81" t="s">
        <v>1026</v>
      </c>
      <c r="G44" s="81" t="s">
        <v>20</v>
      </c>
      <c r="H44" s="81" t="s">
        <v>52</v>
      </c>
      <c r="I44" s="113" t="s">
        <v>989</v>
      </c>
      <c r="J44" s="11" t="s">
        <v>15</v>
      </c>
      <c r="K44" s="11" t="s">
        <v>14</v>
      </c>
      <c r="L44" s="11" t="s">
        <v>14</v>
      </c>
      <c r="M44" s="40"/>
    </row>
    <row r="45" spans="2:13" ht="13.15" customHeight="1">
      <c r="B45" s="24">
        <v>4</v>
      </c>
      <c r="C45" s="82" t="s">
        <v>642</v>
      </c>
      <c r="D45" s="7" t="str">
        <f>IFERROR(VLOOKUP(C45,'Lista desplegable'!B$1:C$436,2,FALSE),"")</f>
        <v>MARIO ANDRES PUCHI CORTEZ</v>
      </c>
      <c r="E45" s="7" t="str">
        <f>IFERROR(VLOOKUP(D45,'Lista desplegable'!C$1:D$436,2,FALSE),"")</f>
        <v>MECANICO</v>
      </c>
      <c r="F45" s="81" t="s">
        <v>1026</v>
      </c>
      <c r="G45" s="81" t="s">
        <v>20</v>
      </c>
      <c r="H45" s="81" t="s">
        <v>52</v>
      </c>
      <c r="I45" s="113" t="s">
        <v>989</v>
      </c>
      <c r="J45" s="11" t="s">
        <v>15</v>
      </c>
      <c r="K45" s="11" t="s">
        <v>14</v>
      </c>
      <c r="L45" s="11" t="s">
        <v>14</v>
      </c>
      <c r="M45" s="40"/>
    </row>
    <row r="46" spans="2:13" ht="13.15" customHeight="1">
      <c r="B46" s="24">
        <v>5</v>
      </c>
      <c r="C46" s="84" t="s">
        <v>509</v>
      </c>
      <c r="D46" s="7" t="str">
        <f>IFERROR(VLOOKUP(C46,'Lista desplegable'!B$1:C$436,2,FALSE),"")</f>
        <v>JOSE IGNACIO HERNANDEZ ARAYA</v>
      </c>
      <c r="E46" s="7" t="str">
        <f>IFERROR(VLOOKUP(D46,'Lista desplegable'!C$1:D$436,2,FALSE),"")</f>
        <v>PERFORISTA</v>
      </c>
      <c r="F46" s="81" t="s">
        <v>1024</v>
      </c>
      <c r="G46" s="81" t="s">
        <v>20</v>
      </c>
      <c r="H46" s="81" t="s">
        <v>52</v>
      </c>
      <c r="I46" s="113" t="s">
        <v>1069</v>
      </c>
      <c r="J46" s="11" t="s">
        <v>15</v>
      </c>
      <c r="K46" s="11" t="s">
        <v>14</v>
      </c>
      <c r="L46" s="11" t="s">
        <v>14</v>
      </c>
      <c r="M46" s="40"/>
    </row>
    <row r="47" spans="2:13" ht="13.15" customHeight="1">
      <c r="B47" s="24">
        <v>6</v>
      </c>
      <c r="C47" s="83" t="s">
        <v>621</v>
      </c>
      <c r="D47" s="7" t="str">
        <f>IFERROR(VLOOKUP(C47,'Lista desplegable'!B$1:C$436,2,FALSE),"")</f>
        <v>MARCELO ALEJANDRO INZUNZA ALARCON</v>
      </c>
      <c r="E47" s="7" t="str">
        <f>IFERROR(VLOOKUP(D47,'Lista desplegable'!C$1:D$436,2,FALSE),"")</f>
        <v>AYUDANTE DE PERFORISTA</v>
      </c>
      <c r="F47" s="81" t="s">
        <v>1024</v>
      </c>
      <c r="G47" s="81" t="s">
        <v>20</v>
      </c>
      <c r="H47" s="81" t="s">
        <v>52</v>
      </c>
      <c r="I47" s="113" t="s">
        <v>1069</v>
      </c>
      <c r="J47" s="11" t="s">
        <v>15</v>
      </c>
      <c r="K47" s="11" t="s">
        <v>14</v>
      </c>
      <c r="L47" s="11" t="s">
        <v>14</v>
      </c>
      <c r="M47" s="40"/>
    </row>
    <row r="48" spans="2:13" ht="13.15" customHeight="1">
      <c r="B48" s="24">
        <v>7</v>
      </c>
      <c r="C48" s="84" t="s">
        <v>617</v>
      </c>
      <c r="D48" s="7" t="str">
        <f>IFERROR(VLOOKUP(C48,'Lista desplegable'!B$1:C$436,2,FALSE),"")</f>
        <v>MANUEL ARNOLDO ALISTE OLIVARES</v>
      </c>
      <c r="E48" s="7" t="str">
        <f>IFERROR(VLOOKUP(D48,'Lista desplegable'!C$1:D$436,2,FALSE),"")</f>
        <v>AYUDANTE DE PERFORISTA</v>
      </c>
      <c r="F48" s="81" t="s">
        <v>1024</v>
      </c>
      <c r="G48" s="81" t="s">
        <v>20</v>
      </c>
      <c r="H48" s="81" t="s">
        <v>52</v>
      </c>
      <c r="I48" s="113" t="s">
        <v>1069</v>
      </c>
      <c r="J48" s="11" t="s">
        <v>15</v>
      </c>
      <c r="K48" s="11" t="s">
        <v>14</v>
      </c>
      <c r="L48" s="11" t="s">
        <v>14</v>
      </c>
      <c r="M48" s="40"/>
    </row>
    <row r="49" spans="2:13" ht="13.15" customHeight="1">
      <c r="B49" s="24">
        <v>8</v>
      </c>
      <c r="C49" s="83" t="s">
        <v>776</v>
      </c>
      <c r="D49" s="7" t="str">
        <f>IFERROR(VLOOKUP(C49,'Lista desplegable'!B$1:C$436,2,FALSE),"")</f>
        <v>PEDRO ENRIQUE BOLBARAN ROJAS</v>
      </c>
      <c r="E49" s="7" t="str">
        <f>IFERROR(VLOOKUP(D49,'Lista desplegable'!C$1:D$436,2,FALSE),"")</f>
        <v>AYUDANTE DE PERFORISTA</v>
      </c>
      <c r="F49" s="81" t="s">
        <v>1024</v>
      </c>
      <c r="G49" s="81" t="s">
        <v>20</v>
      </c>
      <c r="H49" s="81" t="s">
        <v>52</v>
      </c>
      <c r="I49" s="113" t="s">
        <v>989</v>
      </c>
      <c r="J49" s="11" t="s">
        <v>15</v>
      </c>
      <c r="K49" s="11" t="s">
        <v>14</v>
      </c>
      <c r="L49" s="11" t="s">
        <v>14</v>
      </c>
      <c r="M49" s="40"/>
    </row>
    <row r="50" spans="2:13" ht="13.15" customHeight="1">
      <c r="B50" s="24">
        <v>9</v>
      </c>
      <c r="C50" s="83" t="s">
        <v>345</v>
      </c>
      <c r="D50" s="7" t="str">
        <f>IFERROR(VLOOKUP(C50,'Lista desplegable'!B$1:C$436,2,FALSE),"")</f>
        <v>FELIPE ANDRES BOLBARAN ROJAS</v>
      </c>
      <c r="E50" s="7" t="str">
        <f>IFERROR(VLOOKUP(D50,'Lista desplegable'!C$1:D$436,2,FALSE),"")</f>
        <v>PERFORISTA</v>
      </c>
      <c r="F50" s="86" t="s">
        <v>1026</v>
      </c>
      <c r="G50" s="86" t="s">
        <v>20</v>
      </c>
      <c r="H50" s="81" t="s">
        <v>52</v>
      </c>
      <c r="I50" s="106" t="s">
        <v>989</v>
      </c>
      <c r="J50" s="11" t="s">
        <v>15</v>
      </c>
      <c r="K50" s="11" t="s">
        <v>14</v>
      </c>
      <c r="L50" s="11" t="s">
        <v>14</v>
      </c>
      <c r="M50" s="40"/>
    </row>
    <row r="51" spans="2:13" ht="13.15" customHeight="1">
      <c r="B51" s="24">
        <v>10</v>
      </c>
      <c r="C51" s="84" t="s">
        <v>738</v>
      </c>
      <c r="D51" s="7" t="str">
        <f>IFERROR(VLOOKUP(C51,'Lista desplegable'!B$1:C$436,2,FALSE),"")</f>
        <v>OSCAR MANUEL ESPINOZA ESPINOZA</v>
      </c>
      <c r="E51" s="7" t="str">
        <f>IFERROR(VLOOKUP(D51,'Lista desplegable'!C$1:D$436,2,FALSE),"")</f>
        <v>AYUDANTE DE PERFORISTA</v>
      </c>
      <c r="F51" s="89" t="s">
        <v>1026</v>
      </c>
      <c r="G51" s="89" t="s">
        <v>20</v>
      </c>
      <c r="H51" s="81" t="s">
        <v>52</v>
      </c>
      <c r="I51" s="115" t="s">
        <v>989</v>
      </c>
      <c r="J51" s="11" t="s">
        <v>15</v>
      </c>
      <c r="K51" s="11" t="s">
        <v>14</v>
      </c>
      <c r="L51" s="11" t="s">
        <v>14</v>
      </c>
      <c r="M51" s="40"/>
    </row>
    <row r="52" spans="2:13" ht="13.15" customHeight="1">
      <c r="B52" s="24">
        <v>11</v>
      </c>
      <c r="C52" s="85" t="s">
        <v>710</v>
      </c>
      <c r="D52" s="7" t="str">
        <f>IFERROR(VLOOKUP(C52,'Lista desplegable'!B$1:C$436,2,FALSE),"")</f>
        <v>NICOLAS ALBERTO CARVAJAL PASTEN</v>
      </c>
      <c r="E52" s="114" t="str">
        <f>IFERROR(VLOOKUP(D52,'Lista desplegable'!C$1:D$436,2,FALSE),"")</f>
        <v>AYUDANTE DE PERFORISTA</v>
      </c>
      <c r="F52" s="81" t="s">
        <v>1026</v>
      </c>
      <c r="G52" s="81" t="s">
        <v>20</v>
      </c>
      <c r="H52" s="81" t="s">
        <v>52</v>
      </c>
      <c r="I52" s="106" t="s">
        <v>989</v>
      </c>
      <c r="J52" s="26" t="s">
        <v>15</v>
      </c>
      <c r="K52" s="11" t="s">
        <v>14</v>
      </c>
      <c r="L52" s="11" t="s">
        <v>14</v>
      </c>
      <c r="M52" s="40"/>
    </row>
    <row r="53" spans="2:13" ht="13.15" customHeight="1">
      <c r="B53" s="24">
        <v>12</v>
      </c>
      <c r="C53" s="33" t="s">
        <v>301</v>
      </c>
      <c r="D53" s="7" t="str">
        <f>IFERROR(VLOOKUP(C53,'Lista desplegable'!B$1:C$436,2,FALSE),"")</f>
        <v>ELMER RISCO RAMOS</v>
      </c>
      <c r="E53" s="7" t="str">
        <f>IFERROR(VLOOKUP(D53,'Lista desplegable'!C$1:D$436,2,FALSE),"")</f>
        <v>PERFORISTA</v>
      </c>
      <c r="F53" s="81" t="s">
        <v>1026</v>
      </c>
      <c r="G53" s="81" t="s">
        <v>20</v>
      </c>
      <c r="H53" s="81" t="s">
        <v>52</v>
      </c>
      <c r="I53" s="106" t="s">
        <v>989</v>
      </c>
      <c r="J53" s="11" t="s">
        <v>15</v>
      </c>
      <c r="K53" s="11" t="s">
        <v>14</v>
      </c>
      <c r="L53" s="11" t="s">
        <v>14</v>
      </c>
      <c r="M53" s="40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431940A-AE61-4719-BE37-3821D1A8B556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A0D1B6EA-92BC-4D8E-B53D-1C29763B99CF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A00DB1BD-0816-46F9-8EEB-35F466A8D375}">
          <x14:formula1>
            <xm:f>'Lista desplegable'!$F$2:$F$19</xm:f>
          </x14:formula1>
          <xm:sqref>F8:F37 F42:F61</xm:sqref>
        </x14:dataValidation>
        <x14:dataValidation type="list" allowBlank="1" showInputMessage="1" showErrorMessage="1" xr:uid="{5A1FF34C-B4D9-4D95-88B8-62E59D6831A8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E515FEF7-2CA2-4B0F-A3A8-052D98CF425A}">
          <x14:formula1>
            <xm:f>'Lista desplegable'!$H$2:$H$7</xm:f>
          </x14:formula1>
          <xm:sqref>G8:G37 G42:G61</xm:sqref>
        </x14:dataValidation>
        <x14:dataValidation type="list" allowBlank="1" showInputMessage="1" showErrorMessage="1" xr:uid="{C4A587C4-2CFE-4DE5-A592-B176FD12F3C6}">
          <x14:formula1>
            <xm:f>'Lista desplegable'!$L$2:$L$3</xm:f>
          </x14:formula1>
          <xm:sqref>K8:L37 K42:L61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78BA-5A97-4652-A375-34F46016F01F}">
  <dimension ref="B1:M82"/>
  <sheetViews>
    <sheetView topLeftCell="A33" zoomScaleNormal="100" workbookViewId="0">
      <selection activeCell="D32" sqref="D32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1070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63" t="s">
        <v>1026</v>
      </c>
      <c r="G8" s="81" t="s">
        <v>20</v>
      </c>
      <c r="H8" s="86" t="s">
        <v>52</v>
      </c>
      <c r="I8" s="50" t="s">
        <v>1071</v>
      </c>
      <c r="J8" s="11" t="s">
        <v>15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17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63" t="s">
        <v>1026</v>
      </c>
      <c r="G9" s="81" t="s">
        <v>20</v>
      </c>
      <c r="H9" s="86" t="s">
        <v>52</v>
      </c>
      <c r="I9" s="50" t="s">
        <v>1071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84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63" t="s">
        <v>1026</v>
      </c>
      <c r="G10" s="81" t="s">
        <v>20</v>
      </c>
      <c r="H10" s="86" t="s">
        <v>52</v>
      </c>
      <c r="I10" s="50" t="s">
        <v>1071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63" t="s">
        <v>1026</v>
      </c>
      <c r="G11" s="81" t="s">
        <v>20</v>
      </c>
      <c r="H11" s="86" t="s">
        <v>52</v>
      </c>
      <c r="I11" s="50" t="s">
        <v>1071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595</v>
      </c>
      <c r="D12" s="7" t="str">
        <f>IFERROR(VLOOKUP(C12,'Lista desplegable'!B$1:C$436,2,FALSE),"")</f>
        <v>LUIS GERARDO LOPEZ OLAVE</v>
      </c>
      <c r="E12" s="7" t="str">
        <f>IFERROR(VLOOKUP(D12,'Lista desplegable'!C$1:D$436,2,FALSE),"")</f>
        <v>MECANICO</v>
      </c>
      <c r="F12" s="63" t="s">
        <v>1026</v>
      </c>
      <c r="G12" s="81" t="s">
        <v>20</v>
      </c>
      <c r="H12" s="86" t="s">
        <v>52</v>
      </c>
      <c r="I12" s="50" t="s">
        <v>1071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972</v>
      </c>
      <c r="D13" s="7" t="str">
        <f>IFERROR(VLOOKUP(C13,'Lista desplegable'!B$1:C$436,2,FALSE),"")</f>
        <v>YONATHAN ALBERTO MOROSO CORTES</v>
      </c>
      <c r="E13" s="7" t="str">
        <f>IFERROR(VLOOKUP(D13,'Lista desplegable'!C$1:D$436,2,FALSE),"")</f>
        <v>ADMINISTRATIVO SENIOR</v>
      </c>
      <c r="F13" s="63" t="s">
        <v>1026</v>
      </c>
      <c r="G13" s="81" t="s">
        <v>20</v>
      </c>
      <c r="H13" s="86" t="s">
        <v>52</v>
      </c>
      <c r="I13" s="50" t="s">
        <v>1071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0" t="s">
        <v>258</v>
      </c>
      <c r="D14" s="7" t="str">
        <f>IFERROR(VLOOKUP(C14,'Lista desplegable'!B$1:C$436,2,FALSE),"")</f>
        <v>DAVID AUGUSTO MARSHALL FLORES</v>
      </c>
      <c r="E14" s="7" t="str">
        <f>IFERROR(VLOOKUP(D14,'Lista desplegable'!C$1:D$436,2,FALSE),"")</f>
        <v>BODEGUERO</v>
      </c>
      <c r="F14" s="63" t="s">
        <v>1026</v>
      </c>
      <c r="G14" s="81" t="s">
        <v>20</v>
      </c>
      <c r="H14" s="86" t="s">
        <v>52</v>
      </c>
      <c r="I14" s="50" t="s">
        <v>1071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788</v>
      </c>
      <c r="D15" s="7" t="str">
        <f>IFERROR(VLOOKUP(C15,'Lista desplegable'!B$1:C$436,2,FALSE),"")</f>
        <v>RAUL MANUEL BUSTAMANTE CERON</v>
      </c>
      <c r="E15" s="7" t="str">
        <f>IFERROR(VLOOKUP(D15,'Lista desplegable'!C$1:D$436,2,FALSE),"")</f>
        <v>SOLDADOR</v>
      </c>
      <c r="F15" s="63" t="s">
        <v>1026</v>
      </c>
      <c r="G15" s="81" t="s">
        <v>20</v>
      </c>
      <c r="H15" s="86" t="s">
        <v>52</v>
      </c>
      <c r="I15" s="50" t="s">
        <v>1071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81" t="s">
        <v>476</v>
      </c>
      <c r="D16" s="7" t="str">
        <f>IFERROR(VLOOKUP(C16,'Lista desplegable'!B$1:C$436,2,FALSE),"")</f>
        <v>JONATHAN ALEXANDER OLIVARES NATES</v>
      </c>
      <c r="E16" s="7" t="str">
        <f>IFERROR(VLOOKUP(D16,'Lista desplegable'!C$1:D$436,2,FALSE),"")</f>
        <v>MECANICO</v>
      </c>
      <c r="F16" s="63" t="s">
        <v>1026</v>
      </c>
      <c r="G16" s="81" t="s">
        <v>20</v>
      </c>
      <c r="H16" s="86" t="s">
        <v>52</v>
      </c>
      <c r="I16" s="50" t="s">
        <v>1071</v>
      </c>
      <c r="J16" s="26" t="s">
        <v>15</v>
      </c>
      <c r="K16" s="11" t="s">
        <v>14</v>
      </c>
      <c r="L16" s="11" t="s">
        <v>14</v>
      </c>
      <c r="M16" s="40"/>
    </row>
    <row r="17" spans="2:13" s="1" customFormat="1" ht="13.15" customHeight="1">
      <c r="B17" s="24">
        <v>10</v>
      </c>
      <c r="C17" s="81" t="s">
        <v>893</v>
      </c>
      <c r="D17" s="7" t="str">
        <f>IFERROR(VLOOKUP(C17,'Lista desplegable'!B$1:C$436,2,FALSE),"")</f>
        <v>SEBASTIAN IGNACIO ORTEGA GOMEZ</v>
      </c>
      <c r="E17" s="7" t="str">
        <f>IFERROR(VLOOKUP(D17,'Lista desplegable'!C$1:D$436,2,FALSE),"")</f>
        <v>MECANICO</v>
      </c>
      <c r="F17" s="63" t="s">
        <v>1026</v>
      </c>
      <c r="G17" s="81" t="s">
        <v>20</v>
      </c>
      <c r="H17" s="86" t="s">
        <v>52</v>
      </c>
      <c r="I17" s="50" t="s">
        <v>1071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837</v>
      </c>
      <c r="D18" s="7" t="str">
        <f>IFERROR(VLOOKUP(C18,'Lista desplegable'!B$1:C$436,2,FALSE),"")</f>
        <v>ROBERTO MAURICIO VERGARA NEGRETE</v>
      </c>
      <c r="E18" s="7" t="str">
        <f>IFERROR(VLOOKUP(D18,'Lista desplegable'!C$1:D$436,2,FALSE),"")</f>
        <v>ELECTROMECÁNICO</v>
      </c>
      <c r="F18" s="63" t="s">
        <v>1026</v>
      </c>
      <c r="G18" s="81" t="s">
        <v>20</v>
      </c>
      <c r="H18" s="86" t="s">
        <v>52</v>
      </c>
      <c r="I18" s="50" t="s">
        <v>1071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0" t="s">
        <v>178</v>
      </c>
      <c r="D19" s="7" t="str">
        <f>IFERROR(VLOOKUP(C19,'Lista desplegable'!B$1:C$436,2,FALSE),"")</f>
        <v>CELSO ANDRES ORREGO OLIVARES</v>
      </c>
      <c r="E19" s="7" t="str">
        <f>IFERROR(VLOOKUP(D19,'Lista desplegable'!C$1:D$436,2,FALSE),"")</f>
        <v>CHOFER</v>
      </c>
      <c r="F19" s="63" t="s">
        <v>1026</v>
      </c>
      <c r="G19" s="81" t="s">
        <v>20</v>
      </c>
      <c r="H19" s="86" t="s">
        <v>52</v>
      </c>
      <c r="I19" s="50" t="s">
        <v>1071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81" t="s">
        <v>784</v>
      </c>
      <c r="D20" s="7" t="str">
        <f>IFERROR(VLOOKUP(C20,'Lista desplegable'!B$1:C$436,2,FALSE),"")</f>
        <v>RAUL ALEJANDRO RIVERO RIVERO</v>
      </c>
      <c r="E20" s="7" t="str">
        <f>IFERROR(VLOOKUP(D20,'Lista desplegable'!C$1:D$436,2,FALSE),"")</f>
        <v>SUPERVISOR DE OPERACIONES</v>
      </c>
      <c r="F20" s="63" t="s">
        <v>1026</v>
      </c>
      <c r="G20" s="81" t="s">
        <v>20</v>
      </c>
      <c r="H20" s="86" t="s">
        <v>52</v>
      </c>
      <c r="I20" s="50" t="s">
        <v>1071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91" t="s">
        <v>744</v>
      </c>
      <c r="D21" s="7" t="str">
        <f>IFERROR(VLOOKUP(C21,'Lista desplegable'!B$1:C$436,2,FALSE),"")</f>
        <v>PABLO ANTONIO ALVAREZ CORTES</v>
      </c>
      <c r="E21" s="7" t="str">
        <f>IFERROR(VLOOKUP(D21,'Lista desplegable'!C$1:D$436,2,FALSE),"")</f>
        <v>PREVENCIONISTA DE RIESGOS</v>
      </c>
      <c r="F21" s="63" t="s">
        <v>1026</v>
      </c>
      <c r="G21" s="81" t="s">
        <v>20</v>
      </c>
      <c r="H21" s="86" t="s">
        <v>52</v>
      </c>
      <c r="I21" s="50" t="s">
        <v>1071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398</v>
      </c>
      <c r="D22" s="7" t="str">
        <f>IFERROR(VLOOKUP(C22,'Lista desplegable'!B$1:C$436,2,FALSE),"")</f>
        <v>GUILLERMO ALFREDO CASTRO ZUÑIGA</v>
      </c>
      <c r="E22" s="7" t="str">
        <f>IFERROR(VLOOKUP(D22,'Lista desplegable'!C$1:D$436,2,FALSE),"")</f>
        <v>PERFORISTA</v>
      </c>
      <c r="F22" s="63" t="s">
        <v>1024</v>
      </c>
      <c r="G22" s="81" t="s">
        <v>20</v>
      </c>
      <c r="H22" s="86" t="s">
        <v>52</v>
      </c>
      <c r="I22" s="50" t="s">
        <v>1072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0" t="s">
        <v>818</v>
      </c>
      <c r="D23" s="7" t="str">
        <f>IFERROR(VLOOKUP(C23,'Lista desplegable'!B$1:C$436,2,FALSE),"")</f>
        <v>RICKY DONNELLY ARAVENA POBLETE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 t="s">
        <v>1072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185</v>
      </c>
      <c r="D24" s="7" t="str">
        <f>IFERROR(VLOOKUP(C24,'Lista desplegable'!B$1:C$436,2,FALSE),"")</f>
        <v>CHRISTOFER HUESLY OLIVARES FERNANDEZ</v>
      </c>
      <c r="E24" s="7" t="str">
        <f>IFERROR(VLOOKUP(D24,'Lista desplegable'!C$1:D$436,2,FALSE),"")</f>
        <v>AYUDANTE DE PERFORISTA</v>
      </c>
      <c r="F24" s="63" t="s">
        <v>1024</v>
      </c>
      <c r="G24" s="81" t="s">
        <v>20</v>
      </c>
      <c r="H24" s="86" t="s">
        <v>52</v>
      </c>
      <c r="I24" s="50" t="s">
        <v>1072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562</v>
      </c>
      <c r="D25" s="7" t="str">
        <f>IFERROR(VLOOKUP(C25,'Lista desplegable'!B$1:C$436,2,FALSE),"")</f>
        <v>KEVIN ESTEBAN VALENZUELA VALENZUELA</v>
      </c>
      <c r="E25" s="7" t="str">
        <f>IFERROR(VLOOKUP(D25,'Lista desplegable'!C$1:D$436,2,FALSE),"")</f>
        <v>PERFORISTA</v>
      </c>
      <c r="F25" s="63" t="s">
        <v>1026</v>
      </c>
      <c r="G25" s="81" t="s">
        <v>20</v>
      </c>
      <c r="H25" s="86" t="s">
        <v>52</v>
      </c>
      <c r="I25" s="50" t="s">
        <v>1071</v>
      </c>
      <c r="J25" s="26" t="s">
        <v>15</v>
      </c>
      <c r="K25" s="11" t="s">
        <v>14</v>
      </c>
      <c r="L25" s="11" t="s">
        <v>14</v>
      </c>
      <c r="M25" s="41"/>
    </row>
    <row r="26" spans="2:13" s="1" customFormat="1" ht="13.15" customHeight="1">
      <c r="B26" s="24">
        <v>19</v>
      </c>
      <c r="C26" s="81" t="s">
        <v>897</v>
      </c>
      <c r="D26" s="7" t="str">
        <f>IFERROR(VLOOKUP(C26,'Lista desplegable'!B$1:C$436,2,FALSE),"")</f>
        <v>SERGIO ALFONSO BRUNA LEDEZMA</v>
      </c>
      <c r="E26" s="7" t="str">
        <f>IFERROR(VLOOKUP(D26,'Lista desplegable'!C$1:D$436,2,FALSE),"")</f>
        <v>AYUDANTE DE PERFORISTA</v>
      </c>
      <c r="F26" s="63" t="s">
        <v>1026</v>
      </c>
      <c r="G26" s="81" t="s">
        <v>20</v>
      </c>
      <c r="H26" s="86" t="s">
        <v>52</v>
      </c>
      <c r="I26" s="50" t="s">
        <v>1071</v>
      </c>
      <c r="J26" s="26" t="s">
        <v>15</v>
      </c>
      <c r="K26" s="11" t="s">
        <v>14</v>
      </c>
      <c r="L26" s="11" t="s">
        <v>14</v>
      </c>
      <c r="M26" s="79"/>
    </row>
    <row r="27" spans="2:13" s="1" customFormat="1" ht="13.15" customHeight="1">
      <c r="B27" s="24">
        <v>20</v>
      </c>
      <c r="C27" s="92" t="s">
        <v>305</v>
      </c>
      <c r="D27" s="7" t="str">
        <f>IFERROR(VLOOKUP(C27,'Lista desplegable'!B$1:C$436,2,FALSE),"")</f>
        <v>EMIL EDGARDO VARGAS BORDONES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1071</v>
      </c>
      <c r="J27" s="26" t="s">
        <v>15</v>
      </c>
      <c r="K27" s="11" t="s">
        <v>14</v>
      </c>
      <c r="L27" s="11" t="s">
        <v>14</v>
      </c>
      <c r="M27" s="57"/>
    </row>
    <row r="28" spans="2:13" s="1" customFormat="1" ht="13.15" customHeight="1">
      <c r="B28" s="24">
        <v>21</v>
      </c>
      <c r="C28" s="92" t="s">
        <v>877</v>
      </c>
      <c r="D28" s="7" t="str">
        <f>IFERROR(VLOOKUP(C28,'Lista desplegable'!B$1:C$436,2,FALSE),"")</f>
        <v>SEBASTIAN ALEJANDRO ARANEDA MILLAR</v>
      </c>
      <c r="E28" s="7" t="str">
        <f>IFERROR(VLOOKUP(D28,'Lista desplegable'!C$1:D$436,2,FALSE),"")</f>
        <v>AYUDANTE DE PERFORISTA</v>
      </c>
      <c r="F28" s="95" t="s">
        <v>1026</v>
      </c>
      <c r="G28" s="96" t="s">
        <v>20</v>
      </c>
      <c r="H28" s="86" t="s">
        <v>52</v>
      </c>
      <c r="I28" s="50" t="s">
        <v>1071</v>
      </c>
      <c r="J28" s="26" t="s">
        <v>15</v>
      </c>
      <c r="K28" s="11" t="s">
        <v>14</v>
      </c>
      <c r="L28" s="11" t="s">
        <v>14</v>
      </c>
      <c r="M28" s="59"/>
    </row>
    <row r="29" spans="2:13" s="1" customFormat="1" ht="13.15" customHeight="1">
      <c r="B29" s="24">
        <v>22</v>
      </c>
      <c r="C29" s="33" t="s">
        <v>98</v>
      </c>
      <c r="D29" s="7" t="str">
        <f>IFERROR(VLOOKUP(C29,'Lista desplegable'!B$1:C$436,2,FALSE),"")</f>
        <v>ANGELO GIOVANNI BIZAMA ORELLANA</v>
      </c>
      <c r="E29" s="7" t="str">
        <f>IFERROR(VLOOKUP(D29,'Lista desplegable'!C$1:D$436,2,FALSE),"")</f>
        <v>AYUDANTE DE PERFORISTA</v>
      </c>
      <c r="F29" s="43"/>
      <c r="G29" s="43"/>
      <c r="H29" s="43"/>
      <c r="I29" s="50"/>
      <c r="J29" s="26" t="s">
        <v>37</v>
      </c>
      <c r="K29" s="11"/>
      <c r="L29" s="11"/>
      <c r="M29" s="59" t="s">
        <v>1068</v>
      </c>
    </row>
    <row r="30" spans="2:13" s="1" customFormat="1" ht="13.15" customHeight="1">
      <c r="B30" s="24">
        <v>23</v>
      </c>
      <c r="C30" s="33" t="s">
        <v>958</v>
      </c>
      <c r="D30" s="7" t="str">
        <f>IFERROR(VLOOKUP(C30,'Lista desplegable'!B$1:C$436,2,FALSE),"")</f>
        <v>WALTER LISANDRO SALAS MESA</v>
      </c>
      <c r="E30" s="7" t="str">
        <f>IFERROR(VLOOKUP(D30,'Lista desplegable'!C$1:D$436,2,FALSE),"")</f>
        <v>PERFORISTA</v>
      </c>
      <c r="F30" s="63" t="s">
        <v>1024</v>
      </c>
      <c r="G30" s="81" t="s">
        <v>20</v>
      </c>
      <c r="H30" s="86" t="s">
        <v>52</v>
      </c>
      <c r="I30" s="50" t="s">
        <v>1072</v>
      </c>
      <c r="J30" s="26" t="s">
        <v>15</v>
      </c>
      <c r="K30" s="11" t="s">
        <v>14</v>
      </c>
      <c r="L30" s="11" t="s">
        <v>14</v>
      </c>
      <c r="M30" s="59"/>
    </row>
    <row r="31" spans="2:13" s="1" customFormat="1" ht="13.15" customHeight="1">
      <c r="B31" s="24">
        <v>24</v>
      </c>
      <c r="C31" s="33" t="s">
        <v>734</v>
      </c>
      <c r="D31" s="7" t="str">
        <f>IFERROR(VLOOKUP(C31,'Lista desplegable'!B$1:C$436,2,FALSE),"")</f>
        <v>OSCAR ALEXIS JARA MEJIAS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 t="s">
        <v>589</v>
      </c>
      <c r="D32" s="7" t="str">
        <f>IFERROR(VLOOKUP(C32,'Lista desplegable'!B$1:C$436,2,FALSE),"")</f>
        <v>LUIS ALFREDO MORENO RIOS</v>
      </c>
      <c r="E32" s="7" t="str">
        <f>IFERROR(VLOOKUP(D32,'Lista desplegable'!C$1:D$436,2,FALSE),"")</f>
        <v>CHOFER</v>
      </c>
      <c r="F32" s="43"/>
      <c r="G32" s="43"/>
      <c r="H32" s="41"/>
      <c r="I32" s="50"/>
      <c r="J32" s="26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205</v>
      </c>
      <c r="D33" s="7" t="str">
        <f>IFERROR(VLOOKUP(C33,'Lista desplegable'!B$1:C$436,2,FALSE),"")</f>
        <v>CRISTIAN ALEJANDRO TOLEDO GONZALEZ</v>
      </c>
      <c r="E33" s="7" t="str">
        <f>IFERROR(VLOOKUP(D33,'Lista desplegable'!C$1:D$436,2,FALSE),"")</f>
        <v>ELECTROMECANICO</v>
      </c>
      <c r="F33" s="43"/>
      <c r="G33" s="43"/>
      <c r="H33" s="41"/>
      <c r="I33" s="50"/>
      <c r="J33" s="26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3" t="s">
        <v>810</v>
      </c>
      <c r="D34" s="7" t="str">
        <f>IFERROR(VLOOKUP(C34,'Lista desplegable'!B$1:C$436,2,FALSE),"")</f>
        <v>RICARDO NICOLAS QUINTANA SANTANA</v>
      </c>
      <c r="E34" s="7" t="str">
        <f>IFERROR(VLOOKUP(D34,'Lista desplegable'!C$1:D$436,2,FALSE),"")</f>
        <v>AYUDANTE DE PERFORISTA</v>
      </c>
      <c r="F34" s="43"/>
      <c r="G34" s="43"/>
      <c r="H34" s="41"/>
      <c r="I34" s="50"/>
      <c r="J34" s="26" t="s">
        <v>37</v>
      </c>
      <c r="K34" s="11"/>
      <c r="L34" s="11"/>
      <c r="M34" s="59" t="s">
        <v>1005</v>
      </c>
    </row>
    <row r="35" spans="2:13" s="1" customFormat="1" ht="13.15" customHeight="1">
      <c r="B35" s="24">
        <v>28</v>
      </c>
      <c r="C35" s="33" t="s">
        <v>531</v>
      </c>
      <c r="D35" s="7" t="str">
        <f>IFERROR(VLOOKUP(C35,'Lista desplegable'!B$1:C$436,2,FALSE),"")</f>
        <v>JUAN ALEXIS AVILEZ MOLINA</v>
      </c>
      <c r="E35" s="7" t="str">
        <f>IFERROR(VLOOKUP(D35,'Lista desplegable'!C$1:D$436,2,FALSE),"")</f>
        <v>AYUDANTE DE PERFORISTA</v>
      </c>
      <c r="F35" s="43"/>
      <c r="G35" s="43"/>
      <c r="H35" s="41"/>
      <c r="I35" s="50"/>
      <c r="J35" s="11" t="s">
        <v>37</v>
      </c>
      <c r="K35" s="11"/>
      <c r="L35" s="11"/>
      <c r="M35" s="59" t="s">
        <v>1005</v>
      </c>
    </row>
    <row r="36" spans="2:13" s="1" customFormat="1" ht="13.15" customHeight="1">
      <c r="B36" s="24">
        <v>29</v>
      </c>
      <c r="C36" s="33" t="s">
        <v>623</v>
      </c>
      <c r="D36" s="7" t="str">
        <f>IFERROR(VLOOKUP(C36,'Lista desplegable'!B$1:C$436,2,FALSE),"")</f>
        <v>MARCELO DAVID VASQUEZ AVILEZ</v>
      </c>
      <c r="E36" s="7" t="str">
        <f>IFERROR(VLOOKUP(D36,'Lista desplegable'!C$1:D$436,2,FALSE),"")</f>
        <v>AYUDANTE DE PERFORISTA</v>
      </c>
      <c r="F36" s="43"/>
      <c r="G36" s="43"/>
      <c r="H36" s="41"/>
      <c r="I36" s="50"/>
      <c r="J36" s="11" t="s">
        <v>37</v>
      </c>
      <c r="K36" s="11"/>
      <c r="L36" s="51"/>
      <c r="M36" s="59" t="s">
        <v>1005</v>
      </c>
    </row>
    <row r="37" spans="2:13" s="1" customFormat="1" ht="13.15" customHeight="1">
      <c r="B37" s="111">
        <v>30</v>
      </c>
      <c r="C37" s="83" t="s">
        <v>375</v>
      </c>
      <c r="D37" s="7" t="str">
        <f>IFERROR(VLOOKUP(C37,'Lista desplegable'!B$1:C$436,2,FALSE),"")</f>
        <v>FRANCISCO PEDRO BORNAZ DELGADO</v>
      </c>
      <c r="E37" s="7" t="str">
        <f>IFERROR(VLOOKUP(D37,'Lista desplegable'!C$1:D$436,2,FALSE),"")</f>
        <v>SUPERVISOR DE OPERACIONES</v>
      </c>
      <c r="F37" s="95" t="s">
        <v>1026</v>
      </c>
      <c r="G37" s="96" t="s">
        <v>20</v>
      </c>
      <c r="H37" s="86" t="s">
        <v>52</v>
      </c>
      <c r="I37" s="50" t="s">
        <v>1071</v>
      </c>
      <c r="J37" s="11" t="s">
        <v>15</v>
      </c>
      <c r="K37" s="11" t="s">
        <v>14</v>
      </c>
      <c r="L37" s="51" t="s">
        <v>14</v>
      </c>
      <c r="M37" s="64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766</v>
      </c>
      <c r="D42" s="7" t="str">
        <f>IFERROR(VLOOKUP(C42,'Lista desplegable'!B$1:C$436,2,FALSE),"")</f>
        <v>PATRICIO RICARDO OETIKER OYARZUN</v>
      </c>
      <c r="E42" s="7" t="str">
        <f>IFERROR(VLOOKUP(D42,'Lista desplegable'!C$1:D$436,2,FALSE),"")</f>
        <v>PREVENCIONISTA DE RIESGOS</v>
      </c>
      <c r="F42" s="86" t="s">
        <v>1024</v>
      </c>
      <c r="G42" s="86" t="s">
        <v>20</v>
      </c>
      <c r="H42" s="86" t="s">
        <v>52</v>
      </c>
      <c r="I42" s="106" t="s">
        <v>1073</v>
      </c>
      <c r="J42" s="11" t="s">
        <v>15</v>
      </c>
      <c r="K42" s="11" t="s">
        <v>14</v>
      </c>
      <c r="L42" s="11" t="s">
        <v>14</v>
      </c>
      <c r="M42" s="40"/>
    </row>
    <row r="43" spans="2:13" ht="13.15" customHeight="1">
      <c r="B43" s="24">
        <v>2</v>
      </c>
      <c r="C43" s="84" t="s">
        <v>245</v>
      </c>
      <c r="D43" s="7" t="str">
        <f>IFERROR(VLOOKUP(C43,'Lista desplegable'!B$1:C$436,2,FALSE),"")</f>
        <v>DANIEL ARMANDO LINDERMANN LINDERMANN</v>
      </c>
      <c r="E43" s="7" t="str">
        <f>IFERROR(VLOOKUP(D43,'Lista desplegable'!C$1:D$436,2,FALSE),"")</f>
        <v>SUPERVISOR DE OPERACIONES</v>
      </c>
      <c r="F43" s="86" t="s">
        <v>1024</v>
      </c>
      <c r="G43" s="86" t="s">
        <v>20</v>
      </c>
      <c r="H43" s="86" t="s">
        <v>52</v>
      </c>
      <c r="I43" s="106" t="s">
        <v>1073</v>
      </c>
      <c r="J43" s="11" t="s">
        <v>15</v>
      </c>
      <c r="K43" s="11" t="s">
        <v>14</v>
      </c>
      <c r="L43" s="11" t="s">
        <v>14</v>
      </c>
      <c r="M43" s="40"/>
    </row>
    <row r="44" spans="2:13" ht="13.15" customHeight="1">
      <c r="B44" s="24">
        <v>3</v>
      </c>
      <c r="C44" s="83" t="s">
        <v>748</v>
      </c>
      <c r="D44" s="7" t="str">
        <f>IFERROR(VLOOKUP(C44,'Lista desplegable'!B$1:C$436,2,FALSE),"")</f>
        <v>PABLO ROMARIO BOSSA ZAMORANO</v>
      </c>
      <c r="E44" s="7" t="str">
        <f>IFERROR(VLOOKUP(D44,'Lista desplegable'!C$1:D$436,2,FALSE),"")</f>
        <v>CHOFER</v>
      </c>
      <c r="F44" s="86" t="s">
        <v>1024</v>
      </c>
      <c r="G44" s="86" t="s">
        <v>20</v>
      </c>
      <c r="H44" s="86" t="s">
        <v>52</v>
      </c>
      <c r="I44" s="106" t="s">
        <v>1073</v>
      </c>
      <c r="J44" s="11" t="s">
        <v>15</v>
      </c>
      <c r="K44" s="11" t="s">
        <v>14</v>
      </c>
      <c r="L44" s="11" t="s">
        <v>14</v>
      </c>
      <c r="M44" s="40"/>
    </row>
    <row r="45" spans="2:13" ht="13.15" customHeight="1">
      <c r="B45" s="24">
        <v>4</v>
      </c>
      <c r="C45" s="82" t="s">
        <v>642</v>
      </c>
      <c r="D45" s="7" t="str">
        <f>IFERROR(VLOOKUP(C45,'Lista desplegable'!B$1:C$436,2,FALSE),"")</f>
        <v>MARIO ANDRES PUCHI CORTEZ</v>
      </c>
      <c r="E45" s="7" t="str">
        <f>IFERROR(VLOOKUP(D45,'Lista desplegable'!C$1:D$436,2,FALSE),"")</f>
        <v>MECANICO</v>
      </c>
      <c r="F45" s="86" t="s">
        <v>1024</v>
      </c>
      <c r="G45" s="86" t="s">
        <v>20</v>
      </c>
      <c r="H45" s="86" t="s">
        <v>52</v>
      </c>
      <c r="I45" s="106" t="s">
        <v>1073</v>
      </c>
      <c r="J45" s="11" t="s">
        <v>15</v>
      </c>
      <c r="K45" s="11" t="s">
        <v>14</v>
      </c>
      <c r="L45" s="11" t="s">
        <v>14</v>
      </c>
      <c r="M45" s="40"/>
    </row>
    <row r="46" spans="2:13" ht="13.15" customHeight="1">
      <c r="B46" s="24">
        <v>5</v>
      </c>
      <c r="C46" s="84" t="s">
        <v>509</v>
      </c>
      <c r="D46" s="7" t="str">
        <f>IFERROR(VLOOKUP(C46,'Lista desplegable'!B$1:C$436,2,FALSE),"")</f>
        <v>JOSE IGNACIO HERNANDEZ ARAYA</v>
      </c>
      <c r="E46" s="7" t="str">
        <f>IFERROR(VLOOKUP(D46,'Lista desplegable'!C$1:D$436,2,FALSE),"")</f>
        <v>PERFORISTA</v>
      </c>
      <c r="F46" s="86" t="s">
        <v>1024</v>
      </c>
      <c r="G46" s="86" t="s">
        <v>20</v>
      </c>
      <c r="H46" s="86" t="s">
        <v>52</v>
      </c>
      <c r="I46" s="106" t="s">
        <v>1073</v>
      </c>
      <c r="J46" s="11" t="s">
        <v>15</v>
      </c>
      <c r="K46" s="11" t="s">
        <v>14</v>
      </c>
      <c r="L46" s="11" t="s">
        <v>14</v>
      </c>
      <c r="M46" s="40"/>
    </row>
    <row r="47" spans="2:13" ht="13.15" customHeight="1">
      <c r="B47" s="24">
        <v>6</v>
      </c>
      <c r="C47" s="83" t="s">
        <v>621</v>
      </c>
      <c r="D47" s="7" t="str">
        <f>IFERROR(VLOOKUP(C47,'Lista desplegable'!B$1:C$436,2,FALSE),"")</f>
        <v>MARCELO ALEJANDRO INZUNZA ALARCON</v>
      </c>
      <c r="E47" s="7" t="str">
        <f>IFERROR(VLOOKUP(D47,'Lista desplegable'!C$1:D$436,2,FALSE),"")</f>
        <v>AYUDANTE DE PERFORISTA</v>
      </c>
      <c r="F47" s="86" t="s">
        <v>1024</v>
      </c>
      <c r="G47" s="86" t="s">
        <v>20</v>
      </c>
      <c r="H47" s="86" t="s">
        <v>52</v>
      </c>
      <c r="I47" s="106" t="s">
        <v>1073</v>
      </c>
      <c r="J47" s="11" t="s">
        <v>15</v>
      </c>
      <c r="K47" s="11" t="s">
        <v>14</v>
      </c>
      <c r="L47" s="11" t="s">
        <v>14</v>
      </c>
      <c r="M47" s="40"/>
    </row>
    <row r="48" spans="2:13" ht="13.15" customHeight="1">
      <c r="B48" s="24">
        <v>7</v>
      </c>
      <c r="C48" s="84" t="s">
        <v>617</v>
      </c>
      <c r="D48" s="7" t="str">
        <f>IFERROR(VLOOKUP(C48,'Lista desplegable'!B$1:C$436,2,FALSE),"")</f>
        <v>MANUEL ARNOLDO ALISTE OLIVARES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106" t="s">
        <v>1073</v>
      </c>
      <c r="J48" s="11" t="s">
        <v>15</v>
      </c>
      <c r="K48" s="11" t="s">
        <v>14</v>
      </c>
      <c r="L48" s="11" t="s">
        <v>14</v>
      </c>
      <c r="M48" s="40"/>
    </row>
    <row r="49" spans="2:13" ht="13.15" customHeight="1">
      <c r="B49" s="24">
        <v>8</v>
      </c>
      <c r="C49" s="83" t="s">
        <v>776</v>
      </c>
      <c r="D49" s="7" t="str">
        <f>IFERROR(VLOOKUP(C49,'Lista desplegable'!B$1:C$436,2,FALSE),"")</f>
        <v>PEDRO ENRIQUE BOLBARAN ROJAS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106" t="s">
        <v>1073</v>
      </c>
      <c r="J49" s="11" t="s">
        <v>15</v>
      </c>
      <c r="K49" s="11" t="s">
        <v>14</v>
      </c>
      <c r="L49" s="11" t="s">
        <v>14</v>
      </c>
      <c r="M49" s="40"/>
    </row>
    <row r="50" spans="2:13" ht="13.15" customHeight="1">
      <c r="B50" s="24">
        <v>9</v>
      </c>
      <c r="C50" s="83" t="s">
        <v>345</v>
      </c>
      <c r="D50" s="7" t="str">
        <f>IFERROR(VLOOKUP(C50,'Lista desplegable'!B$1:C$436,2,FALSE),"")</f>
        <v>FELIPE ANDRES BOLBARAN ROJAS</v>
      </c>
      <c r="E50" s="7" t="str">
        <f>IFERROR(VLOOKUP(D50,'Lista desplegable'!C$1:D$436,2,FALSE),"")</f>
        <v>PERFORISTA</v>
      </c>
      <c r="F50" s="86" t="s">
        <v>1026</v>
      </c>
      <c r="G50" s="86" t="s">
        <v>20</v>
      </c>
      <c r="H50" s="86" t="s">
        <v>52</v>
      </c>
      <c r="I50" s="88" t="s">
        <v>1074</v>
      </c>
      <c r="J50" s="11" t="s">
        <v>15</v>
      </c>
      <c r="K50" s="11" t="s">
        <v>14</v>
      </c>
      <c r="L50" s="11" t="s">
        <v>14</v>
      </c>
      <c r="M50" s="40"/>
    </row>
    <row r="51" spans="2:13" ht="13.15" customHeight="1">
      <c r="B51" s="24">
        <v>10</v>
      </c>
      <c r="C51" s="84" t="s">
        <v>738</v>
      </c>
      <c r="D51" s="7" t="str">
        <f>IFERROR(VLOOKUP(C51,'Lista desplegable'!B$1:C$436,2,FALSE),"")</f>
        <v>OSCAR MANUEL ESPINOZA ESPINOZA</v>
      </c>
      <c r="E51" s="7" t="str">
        <f>IFERROR(VLOOKUP(D51,'Lista desplegable'!C$1:D$436,2,FALSE),"")</f>
        <v>AYUDANTE DE PERFORISTA</v>
      </c>
      <c r="F51" s="86" t="s">
        <v>1026</v>
      </c>
      <c r="G51" s="86" t="s">
        <v>20</v>
      </c>
      <c r="H51" s="86" t="s">
        <v>52</v>
      </c>
      <c r="I51" s="88" t="s">
        <v>1074</v>
      </c>
      <c r="J51" s="11" t="s">
        <v>15</v>
      </c>
      <c r="K51" s="11" t="s">
        <v>14</v>
      </c>
      <c r="L51" s="11" t="s">
        <v>14</v>
      </c>
      <c r="M51" s="40"/>
    </row>
    <row r="52" spans="2:13" ht="13.15" customHeight="1">
      <c r="B52" s="24">
        <v>11</v>
      </c>
      <c r="C52" s="85" t="s">
        <v>710</v>
      </c>
      <c r="D52" s="7" t="str">
        <f>IFERROR(VLOOKUP(C52,'Lista desplegable'!B$1:C$436,2,FALSE),"")</f>
        <v>NICOLAS ALBERTO CARVAJAL PASTEN</v>
      </c>
      <c r="E52" s="114" t="str">
        <f>IFERROR(VLOOKUP(D52,'Lista desplegable'!C$1:D$436,2,FALSE),"")</f>
        <v>AYUDANTE DE PERFORISTA</v>
      </c>
      <c r="F52" s="89" t="s">
        <v>1026</v>
      </c>
      <c r="G52" s="89" t="s">
        <v>20</v>
      </c>
      <c r="H52" s="86" t="s">
        <v>52</v>
      </c>
      <c r="I52" s="88" t="s">
        <v>1074</v>
      </c>
      <c r="J52" s="26" t="s">
        <v>15</v>
      </c>
      <c r="K52" s="11" t="s">
        <v>14</v>
      </c>
      <c r="L52" s="11" t="s">
        <v>14</v>
      </c>
      <c r="M52" s="40"/>
    </row>
    <row r="53" spans="2:13" ht="13.15" customHeight="1">
      <c r="B53" s="24">
        <v>12</v>
      </c>
      <c r="C53" s="33" t="s">
        <v>301</v>
      </c>
      <c r="D53" s="7" t="str">
        <f>IFERROR(VLOOKUP(C53,'Lista desplegable'!B$1:C$436,2,FALSE),"")</f>
        <v>ELMER RISCO RAMOS</v>
      </c>
      <c r="E53" s="7" t="str">
        <f>IFERROR(VLOOKUP(D53,'Lista desplegable'!C$1:D$436,2,FALSE),"")</f>
        <v>PERFORISTA</v>
      </c>
      <c r="F53" s="89" t="s">
        <v>1026</v>
      </c>
      <c r="G53" s="89" t="s">
        <v>20</v>
      </c>
      <c r="H53" s="86" t="s">
        <v>52</v>
      </c>
      <c r="I53" s="88" t="s">
        <v>1074</v>
      </c>
      <c r="J53" s="11" t="s">
        <v>15</v>
      </c>
      <c r="K53" s="11" t="s">
        <v>14</v>
      </c>
      <c r="L53" s="11" t="s">
        <v>14</v>
      </c>
      <c r="M53" s="40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F197D2C-2A15-40A7-9B78-A9190A445698}">
          <x14:formula1>
            <xm:f>'Lista desplegable'!$L$2:$L$3</xm:f>
          </x14:formula1>
          <xm:sqref>K42:L61 K8:L37</xm:sqref>
        </x14:dataValidation>
        <x14:dataValidation type="list" allowBlank="1" showInputMessage="1" showErrorMessage="1" xr:uid="{AE498F78-5C02-4746-92E5-69E4025BD0CF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7F2C0566-7598-4B3C-B094-1FA37EF122A3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44889CF1-6446-4BE8-BD4D-161BA8D06C9C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2D2B021C-4B4E-4BD2-BBB1-2942107AA6D0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F0F80193-6397-44B3-9714-39298C0EE1D5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61B8-59FD-4EF1-9F8D-7EC0E0A3AC00}">
  <dimension ref="B1:M82"/>
  <sheetViews>
    <sheetView topLeftCell="A27" zoomScaleNormal="100" workbookViewId="0">
      <selection activeCell="M29" sqref="M29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1075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81"/>
      <c r="G8" s="81"/>
      <c r="H8" s="81"/>
      <c r="I8" s="50"/>
      <c r="J8" s="11" t="s">
        <v>23</v>
      </c>
      <c r="K8" s="11"/>
      <c r="L8" s="11"/>
      <c r="M8" s="11"/>
    </row>
    <row r="9" spans="2:13" s="1" customFormat="1" ht="13.15" customHeight="1">
      <c r="B9" s="24">
        <v>2</v>
      </c>
      <c r="C9" s="117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63" t="s">
        <v>1024</v>
      </c>
      <c r="G9" s="81" t="s">
        <v>20</v>
      </c>
      <c r="H9" s="86" t="s">
        <v>52</v>
      </c>
      <c r="I9" s="50" t="s">
        <v>1076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84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63" t="s">
        <v>1024</v>
      </c>
      <c r="G10" s="81" t="s">
        <v>20</v>
      </c>
      <c r="H10" s="86" t="s">
        <v>52</v>
      </c>
      <c r="I10" s="50" t="s">
        <v>1076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63" t="s">
        <v>1024</v>
      </c>
      <c r="G11" s="81" t="s">
        <v>20</v>
      </c>
      <c r="H11" s="86" t="s">
        <v>52</v>
      </c>
      <c r="I11" s="50" t="s">
        <v>1076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595</v>
      </c>
      <c r="D12" s="7" t="str">
        <f>IFERROR(VLOOKUP(C12,'Lista desplegable'!B$1:C$436,2,FALSE),"")</f>
        <v>LUIS GERARDO LOPEZ OLAVE</v>
      </c>
      <c r="E12" s="7" t="str">
        <f>IFERROR(VLOOKUP(D12,'Lista desplegable'!C$1:D$436,2,FALSE),"")</f>
        <v>MECANICO</v>
      </c>
      <c r="F12" s="63" t="s">
        <v>1024</v>
      </c>
      <c r="G12" s="81" t="s">
        <v>20</v>
      </c>
      <c r="H12" s="86" t="s">
        <v>52</v>
      </c>
      <c r="I12" s="50" t="s">
        <v>1076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972</v>
      </c>
      <c r="D13" s="7" t="str">
        <f>IFERROR(VLOOKUP(C13,'Lista desplegable'!B$1:C$436,2,FALSE),"")</f>
        <v>YONATHAN ALBERTO MOROSO CORTES</v>
      </c>
      <c r="E13" s="7" t="str">
        <f>IFERROR(VLOOKUP(D13,'Lista desplegable'!C$1:D$436,2,FALSE),"")</f>
        <v>ADMINISTRATIVO SENIOR</v>
      </c>
      <c r="F13" s="63" t="s">
        <v>1024</v>
      </c>
      <c r="G13" s="81" t="s">
        <v>20</v>
      </c>
      <c r="H13" s="86" t="s">
        <v>52</v>
      </c>
      <c r="I13" s="50" t="s">
        <v>1076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0" t="s">
        <v>258</v>
      </c>
      <c r="D14" s="7" t="str">
        <f>IFERROR(VLOOKUP(C14,'Lista desplegable'!B$1:C$436,2,FALSE),"")</f>
        <v>DAVID AUGUSTO MARSHALL FLORES</v>
      </c>
      <c r="E14" s="7" t="str">
        <f>IFERROR(VLOOKUP(D14,'Lista desplegable'!C$1:D$436,2,FALSE),"")</f>
        <v>BODEGUERO</v>
      </c>
      <c r="F14" s="63" t="s">
        <v>1024</v>
      </c>
      <c r="G14" s="81" t="s">
        <v>20</v>
      </c>
      <c r="H14" s="86" t="s">
        <v>52</v>
      </c>
      <c r="I14" s="50" t="s">
        <v>1076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788</v>
      </c>
      <c r="D15" s="7" t="str">
        <f>IFERROR(VLOOKUP(C15,'Lista desplegable'!B$1:C$436,2,FALSE),"")</f>
        <v>RAUL MANUEL BUSTAMANTE CERON</v>
      </c>
      <c r="E15" s="7" t="str">
        <f>IFERROR(VLOOKUP(D15,'Lista desplegable'!C$1:D$436,2,FALSE),"")</f>
        <v>SOLDADOR</v>
      </c>
      <c r="F15" s="63" t="s">
        <v>1024</v>
      </c>
      <c r="G15" s="81" t="s">
        <v>20</v>
      </c>
      <c r="H15" s="86" t="s">
        <v>52</v>
      </c>
      <c r="I15" s="50" t="s">
        <v>1076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81" t="s">
        <v>476</v>
      </c>
      <c r="D16" s="7" t="str">
        <f>IFERROR(VLOOKUP(C16,'Lista desplegable'!B$1:C$436,2,FALSE),"")</f>
        <v>JONATHAN ALEXANDER OLIVARES NATES</v>
      </c>
      <c r="E16" s="7" t="str">
        <f>IFERROR(VLOOKUP(D16,'Lista desplegable'!C$1:D$436,2,FALSE),"")</f>
        <v>MECANICO</v>
      </c>
      <c r="F16" s="63" t="s">
        <v>1024</v>
      </c>
      <c r="G16" s="81" t="s">
        <v>20</v>
      </c>
      <c r="H16" s="86" t="s">
        <v>52</v>
      </c>
      <c r="I16" s="50" t="s">
        <v>1076</v>
      </c>
      <c r="J16" s="26" t="s">
        <v>15</v>
      </c>
      <c r="K16" s="11" t="s">
        <v>14</v>
      </c>
      <c r="L16" s="11" t="s">
        <v>14</v>
      </c>
      <c r="M16" s="40"/>
    </row>
    <row r="17" spans="2:13" s="1" customFormat="1" ht="13.15" customHeight="1">
      <c r="B17" s="24">
        <v>10</v>
      </c>
      <c r="C17" s="81" t="s">
        <v>893</v>
      </c>
      <c r="D17" s="7" t="str">
        <f>IFERROR(VLOOKUP(C17,'Lista desplegable'!B$1:C$436,2,FALSE),"")</f>
        <v>SEBASTIAN IGNACIO ORTEGA GOMEZ</v>
      </c>
      <c r="E17" s="7" t="str">
        <f>IFERROR(VLOOKUP(D17,'Lista desplegable'!C$1:D$436,2,FALSE),"")</f>
        <v>MECANICO</v>
      </c>
      <c r="F17" s="63" t="s">
        <v>1024</v>
      </c>
      <c r="G17" s="81" t="s">
        <v>20</v>
      </c>
      <c r="H17" s="86" t="s">
        <v>52</v>
      </c>
      <c r="I17" s="50" t="s">
        <v>1076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837</v>
      </c>
      <c r="D18" s="7" t="str">
        <f>IFERROR(VLOOKUP(C18,'Lista desplegable'!B$1:C$436,2,FALSE),"")</f>
        <v>ROBERTO MAURICIO VERGARA NEGRETE</v>
      </c>
      <c r="E18" s="7" t="str">
        <f>IFERROR(VLOOKUP(D18,'Lista desplegable'!C$1:D$436,2,FALSE),"")</f>
        <v>ELECTROMECÁNICO</v>
      </c>
      <c r="F18" s="63" t="s">
        <v>1024</v>
      </c>
      <c r="G18" s="81" t="s">
        <v>20</v>
      </c>
      <c r="H18" s="86" t="s">
        <v>52</v>
      </c>
      <c r="I18" s="50" t="s">
        <v>1076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0" t="s">
        <v>178</v>
      </c>
      <c r="D19" s="7" t="str">
        <f>IFERROR(VLOOKUP(C19,'Lista desplegable'!B$1:C$436,2,FALSE),"")</f>
        <v>CELSO ANDRES ORREGO OLIVARES</v>
      </c>
      <c r="E19" s="7" t="str">
        <f>IFERROR(VLOOKUP(D19,'Lista desplegable'!C$1:D$436,2,FALSE),"")</f>
        <v>CHOFER</v>
      </c>
      <c r="F19" s="63" t="s">
        <v>1024</v>
      </c>
      <c r="G19" s="81" t="s">
        <v>20</v>
      </c>
      <c r="H19" s="86" t="s">
        <v>52</v>
      </c>
      <c r="I19" s="50" t="s">
        <v>1076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81" t="s">
        <v>784</v>
      </c>
      <c r="D20" s="7" t="str">
        <f>IFERROR(VLOOKUP(C20,'Lista desplegable'!B$1:C$436,2,FALSE),"")</f>
        <v>RAUL ALEJANDRO RIVERO RIVERO</v>
      </c>
      <c r="E20" s="7" t="str">
        <f>IFERROR(VLOOKUP(D20,'Lista desplegable'!C$1:D$436,2,FALSE),"")</f>
        <v>SUPERVISOR DE OPERACIONES</v>
      </c>
      <c r="F20" s="63" t="s">
        <v>1024</v>
      </c>
      <c r="G20" s="81" t="s">
        <v>20</v>
      </c>
      <c r="H20" s="86" t="s">
        <v>52</v>
      </c>
      <c r="I20" s="50" t="s">
        <v>1076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91" t="s">
        <v>744</v>
      </c>
      <c r="D21" s="7" t="str">
        <f>IFERROR(VLOOKUP(C21,'Lista desplegable'!B$1:C$436,2,FALSE),"")</f>
        <v>PABLO ANTONIO ALVAREZ CORTES</v>
      </c>
      <c r="E21" s="7" t="str">
        <f>IFERROR(VLOOKUP(D21,'Lista desplegable'!C$1:D$436,2,FALSE),"")</f>
        <v>PREVENCIONISTA DE RIESGOS</v>
      </c>
      <c r="F21" s="63" t="s">
        <v>1024</v>
      </c>
      <c r="G21" s="81" t="s">
        <v>20</v>
      </c>
      <c r="H21" s="86" t="s">
        <v>52</v>
      </c>
      <c r="I21" s="50" t="s">
        <v>1076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398</v>
      </c>
      <c r="D22" s="7" t="str">
        <f>IFERROR(VLOOKUP(C22,'Lista desplegable'!B$1:C$436,2,FALSE),"")</f>
        <v>GUILLERMO ALFREDO CASTRO ZUÑIGA</v>
      </c>
      <c r="E22" s="7" t="str">
        <f>IFERROR(VLOOKUP(D22,'Lista desplegable'!C$1:D$436,2,FALSE),"")</f>
        <v>PERFORISTA</v>
      </c>
      <c r="F22" s="63" t="s">
        <v>1024</v>
      </c>
      <c r="G22" s="81" t="s">
        <v>20</v>
      </c>
      <c r="H22" s="86" t="s">
        <v>52</v>
      </c>
      <c r="I22" s="50" t="s">
        <v>1076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0" t="s">
        <v>818</v>
      </c>
      <c r="D23" s="7" t="str">
        <f>IFERROR(VLOOKUP(C23,'Lista desplegable'!B$1:C$436,2,FALSE),"")</f>
        <v>RICKY DONNELLY ARAVENA POBLETE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 t="s">
        <v>1076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185</v>
      </c>
      <c r="D24" s="7" t="str">
        <f>IFERROR(VLOOKUP(C24,'Lista desplegable'!B$1:C$436,2,FALSE),"")</f>
        <v>CHRISTOFER HUESLY OLIVARES FERNANDEZ</v>
      </c>
      <c r="E24" s="7" t="str">
        <f>IFERROR(VLOOKUP(D24,'Lista desplegable'!C$1:D$436,2,FALSE),"")</f>
        <v>AYUDANTE DE PERFORISTA</v>
      </c>
      <c r="F24" s="63" t="s">
        <v>1024</v>
      </c>
      <c r="G24" s="81" t="s">
        <v>20</v>
      </c>
      <c r="H24" s="86" t="s">
        <v>52</v>
      </c>
      <c r="I24" s="50" t="s">
        <v>1076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562</v>
      </c>
      <c r="D25" s="7" t="str">
        <f>IFERROR(VLOOKUP(C25,'Lista desplegable'!B$1:C$436,2,FALSE),"")</f>
        <v>KEVIN ESTEBAN VALENZUELA VALENZUELA</v>
      </c>
      <c r="E25" s="7" t="str">
        <f>IFERROR(VLOOKUP(D25,'Lista desplegable'!C$1:D$436,2,FALSE),"")</f>
        <v>PERFORISTA</v>
      </c>
      <c r="F25" s="63" t="s">
        <v>1026</v>
      </c>
      <c r="G25" s="81" t="s">
        <v>20</v>
      </c>
      <c r="H25" s="86" t="s">
        <v>52</v>
      </c>
      <c r="I25" s="50" t="s">
        <v>1015</v>
      </c>
      <c r="J25" s="26" t="s">
        <v>15</v>
      </c>
      <c r="K25" s="11" t="s">
        <v>14</v>
      </c>
      <c r="L25" s="11" t="s">
        <v>14</v>
      </c>
      <c r="M25" s="41" t="s">
        <v>1016</v>
      </c>
    </row>
    <row r="26" spans="2:13" s="1" customFormat="1" ht="13.15" customHeight="1">
      <c r="B26" s="24">
        <v>19</v>
      </c>
      <c r="C26" s="81" t="s">
        <v>897</v>
      </c>
      <c r="D26" s="7" t="str">
        <f>IFERROR(VLOOKUP(C26,'Lista desplegable'!B$1:C$436,2,FALSE),"")</f>
        <v>SERGIO ALFONSO BRUNA LEDEZMA</v>
      </c>
      <c r="E26" s="7" t="str">
        <f>IFERROR(VLOOKUP(D26,'Lista desplegable'!C$1:D$436,2,FALSE),"")</f>
        <v>AYUDANTE DE PERFORISTA</v>
      </c>
      <c r="F26" s="63" t="s">
        <v>1026</v>
      </c>
      <c r="G26" s="81" t="s">
        <v>20</v>
      </c>
      <c r="H26" s="86" t="s">
        <v>52</v>
      </c>
      <c r="I26" s="50" t="s">
        <v>1015</v>
      </c>
      <c r="J26" s="26" t="s">
        <v>15</v>
      </c>
      <c r="K26" s="11" t="s">
        <v>14</v>
      </c>
      <c r="L26" s="11" t="s">
        <v>14</v>
      </c>
      <c r="M26" s="41" t="s">
        <v>1016</v>
      </c>
    </row>
    <row r="27" spans="2:13" s="1" customFormat="1" ht="13.15" customHeight="1">
      <c r="B27" s="24">
        <v>20</v>
      </c>
      <c r="C27" s="92" t="s">
        <v>305</v>
      </c>
      <c r="D27" s="7" t="str">
        <f>IFERROR(VLOOKUP(C27,'Lista desplegable'!B$1:C$436,2,FALSE),"")</f>
        <v>EMIL EDGARDO VARGAS BORDONES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1015</v>
      </c>
      <c r="J27" s="26" t="s">
        <v>15</v>
      </c>
      <c r="K27" s="11" t="s">
        <v>14</v>
      </c>
      <c r="L27" s="11" t="s">
        <v>14</v>
      </c>
      <c r="M27" s="41" t="s">
        <v>1016</v>
      </c>
    </row>
    <row r="28" spans="2:13" s="1" customFormat="1" ht="13.15" customHeight="1">
      <c r="B28" s="24">
        <v>21</v>
      </c>
      <c r="C28" s="92" t="s">
        <v>877</v>
      </c>
      <c r="D28" s="7" t="str">
        <f>IFERROR(VLOOKUP(C28,'Lista desplegable'!B$1:C$436,2,FALSE),"")</f>
        <v>SEBASTIAN ALEJANDRO ARANEDA MILLAR</v>
      </c>
      <c r="E28" s="7" t="str">
        <f>IFERROR(VLOOKUP(D28,'Lista desplegable'!C$1:D$436,2,FALSE),"")</f>
        <v>AYUDANTE DE PERFORISTA</v>
      </c>
      <c r="F28" s="95" t="s">
        <v>1026</v>
      </c>
      <c r="G28" s="96" t="s">
        <v>20</v>
      </c>
      <c r="H28" s="86" t="s">
        <v>52</v>
      </c>
      <c r="I28" s="50" t="s">
        <v>1015</v>
      </c>
      <c r="J28" s="26" t="s">
        <v>15</v>
      </c>
      <c r="K28" s="11" t="s">
        <v>14</v>
      </c>
      <c r="L28" s="11" t="s">
        <v>14</v>
      </c>
      <c r="M28" s="41" t="s">
        <v>1016</v>
      </c>
    </row>
    <row r="29" spans="2:13" s="1" customFormat="1" ht="13.15" customHeight="1">
      <c r="B29" s="24">
        <v>22</v>
      </c>
      <c r="C29" s="33" t="s">
        <v>98</v>
      </c>
      <c r="D29" s="7" t="str">
        <f>IFERROR(VLOOKUP(C29,'Lista desplegable'!B$1:C$436,2,FALSE),"")</f>
        <v>ANGELO GIOVANNI BIZAMA ORELLANA</v>
      </c>
      <c r="E29" s="7" t="str">
        <f>IFERROR(VLOOKUP(D29,'Lista desplegable'!C$1:D$436,2,FALSE),"")</f>
        <v>AYUDANTE DE PERFORISTA</v>
      </c>
      <c r="F29" s="43"/>
      <c r="G29" s="43"/>
      <c r="H29" s="43"/>
      <c r="I29" s="50"/>
      <c r="J29" s="26" t="s">
        <v>37</v>
      </c>
      <c r="K29" s="11"/>
      <c r="L29" s="11"/>
      <c r="M29" s="59" t="s">
        <v>1068</v>
      </c>
    </row>
    <row r="30" spans="2:13" s="1" customFormat="1" ht="13.15" customHeight="1">
      <c r="B30" s="24">
        <v>23</v>
      </c>
      <c r="C30" s="33" t="s">
        <v>958</v>
      </c>
      <c r="D30" s="7" t="str">
        <f>IFERROR(VLOOKUP(C30,'Lista desplegable'!B$1:C$436,2,FALSE),"")</f>
        <v>WALTER LISANDRO SALAS MESA</v>
      </c>
      <c r="E30" s="7" t="str">
        <f>IFERROR(VLOOKUP(D30,'Lista desplegable'!C$1:D$436,2,FALSE),"")</f>
        <v>PERFORISTA</v>
      </c>
      <c r="F30" s="63" t="s">
        <v>1024</v>
      </c>
      <c r="G30" s="81" t="s">
        <v>20</v>
      </c>
      <c r="H30" s="86" t="s">
        <v>52</v>
      </c>
      <c r="I30" s="50" t="s">
        <v>1076</v>
      </c>
      <c r="J30" s="26" t="s">
        <v>15</v>
      </c>
      <c r="K30" s="11" t="s">
        <v>14</v>
      </c>
      <c r="L30" s="11" t="s">
        <v>14</v>
      </c>
      <c r="M30" s="59"/>
    </row>
    <row r="31" spans="2:13" s="1" customFormat="1" ht="13.15" customHeight="1">
      <c r="B31" s="24">
        <v>24</v>
      </c>
      <c r="C31" s="33" t="s">
        <v>734</v>
      </c>
      <c r="D31" s="7" t="str">
        <f>IFERROR(VLOOKUP(C31,'Lista desplegable'!B$1:C$436,2,FALSE),"")</f>
        <v>OSCAR ALEXIS JARA MEJIAS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59" t="s">
        <v>1005</v>
      </c>
    </row>
    <row r="32" spans="2:13" s="1" customFormat="1" ht="13.15" customHeight="1">
      <c r="B32" s="24">
        <v>25</v>
      </c>
      <c r="C32" s="33" t="s">
        <v>589</v>
      </c>
      <c r="D32" s="7" t="str">
        <f>IFERROR(VLOOKUP(C32,'Lista desplegable'!B$1:C$436,2,FALSE),"")</f>
        <v>LUIS ALFREDO MORENO RIOS</v>
      </c>
      <c r="E32" s="7" t="str">
        <f>IFERROR(VLOOKUP(D32,'Lista desplegable'!C$1:D$436,2,FALSE),"")</f>
        <v>CHOFER</v>
      </c>
      <c r="F32" s="43"/>
      <c r="G32" s="43"/>
      <c r="H32" s="41"/>
      <c r="I32" s="50"/>
      <c r="J32" s="26" t="s">
        <v>37</v>
      </c>
      <c r="K32" s="11"/>
      <c r="L32" s="11"/>
      <c r="M32" s="59" t="s">
        <v>1005</v>
      </c>
    </row>
    <row r="33" spans="2:13" s="1" customFormat="1" ht="13.15" customHeight="1">
      <c r="B33" s="24">
        <v>26</v>
      </c>
      <c r="C33" s="33" t="s">
        <v>205</v>
      </c>
      <c r="D33" s="7" t="str">
        <f>IFERROR(VLOOKUP(C33,'Lista desplegable'!B$1:C$436,2,FALSE),"")</f>
        <v>CRISTIAN ALEJANDRO TOLEDO GONZALEZ</v>
      </c>
      <c r="E33" s="7" t="str">
        <f>IFERROR(VLOOKUP(D33,'Lista desplegable'!C$1:D$436,2,FALSE),"")</f>
        <v>ELECTROMECANICO</v>
      </c>
      <c r="F33" s="43"/>
      <c r="G33" s="43"/>
      <c r="H33" s="41"/>
      <c r="I33" s="50"/>
      <c r="J33" s="26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3" t="s">
        <v>810</v>
      </c>
      <c r="D34" s="7" t="str">
        <f>IFERROR(VLOOKUP(C34,'Lista desplegable'!B$1:C$436,2,FALSE),"")</f>
        <v>RICARDO NICOLAS QUINTANA SANTANA</v>
      </c>
      <c r="E34" s="7" t="str">
        <f>IFERROR(VLOOKUP(D34,'Lista desplegable'!C$1:D$436,2,FALSE),"")</f>
        <v>AYUDANTE DE PERFORISTA</v>
      </c>
      <c r="F34" s="43"/>
      <c r="G34" s="43"/>
      <c r="H34" s="41"/>
      <c r="I34" s="50"/>
      <c r="J34" s="26" t="s">
        <v>37</v>
      </c>
      <c r="K34" s="11"/>
      <c r="L34" s="11"/>
      <c r="M34" s="59" t="s">
        <v>1005</v>
      </c>
    </row>
    <row r="35" spans="2:13" s="1" customFormat="1" ht="13.15" customHeight="1">
      <c r="B35" s="24">
        <v>28</v>
      </c>
      <c r="C35" s="33" t="s">
        <v>531</v>
      </c>
      <c r="D35" s="7" t="str">
        <f>IFERROR(VLOOKUP(C35,'Lista desplegable'!B$1:C$436,2,FALSE),"")</f>
        <v>JUAN ALEXIS AVILEZ MOLINA</v>
      </c>
      <c r="E35" s="7" t="str">
        <f>IFERROR(VLOOKUP(D35,'Lista desplegable'!C$1:D$436,2,FALSE),"")</f>
        <v>AYUDANTE DE PERFORISTA</v>
      </c>
      <c r="F35" s="43"/>
      <c r="G35" s="43"/>
      <c r="H35" s="41"/>
      <c r="I35" s="50"/>
      <c r="J35" s="11" t="s">
        <v>37</v>
      </c>
      <c r="K35" s="11"/>
      <c r="L35" s="11"/>
      <c r="M35" s="59" t="s">
        <v>1005</v>
      </c>
    </row>
    <row r="36" spans="2:13" s="1" customFormat="1" ht="13.15" customHeight="1">
      <c r="B36" s="24">
        <v>29</v>
      </c>
      <c r="C36" s="33" t="s">
        <v>623</v>
      </c>
      <c r="D36" s="7" t="str">
        <f>IFERROR(VLOOKUP(C36,'Lista desplegable'!B$1:C$436,2,FALSE),"")</f>
        <v>MARCELO DAVID VASQUEZ AVILEZ</v>
      </c>
      <c r="E36" s="7" t="str">
        <f>IFERROR(VLOOKUP(D36,'Lista desplegable'!C$1:D$436,2,FALSE),"")</f>
        <v>AYUDANTE DE PERFORISTA</v>
      </c>
      <c r="F36" s="43"/>
      <c r="G36" s="43"/>
      <c r="H36" s="41"/>
      <c r="I36" s="50"/>
      <c r="J36" s="11" t="s">
        <v>37</v>
      </c>
      <c r="K36" s="11"/>
      <c r="L36" s="51"/>
      <c r="M36" s="59" t="s">
        <v>1005</v>
      </c>
    </row>
    <row r="37" spans="2:13" s="1" customFormat="1" ht="13.15" customHeight="1">
      <c r="B37" s="111">
        <v>30</v>
      </c>
      <c r="C37" s="83" t="s">
        <v>375</v>
      </c>
      <c r="D37" s="7" t="str">
        <f>IFERROR(VLOOKUP(C37,'Lista desplegable'!B$1:C$436,2,FALSE),"")</f>
        <v>FRANCISCO PEDRO BORNAZ DELGADO</v>
      </c>
      <c r="E37" s="7" t="str">
        <f>IFERROR(VLOOKUP(D37,'Lista desplegable'!C$1:D$436,2,FALSE),"")</f>
        <v>SUPERVISOR DE OPERACIONES</v>
      </c>
      <c r="F37" s="63" t="s">
        <v>1024</v>
      </c>
      <c r="G37" s="81" t="s">
        <v>20</v>
      </c>
      <c r="H37" s="86" t="s">
        <v>52</v>
      </c>
      <c r="I37" s="50" t="s">
        <v>1076</v>
      </c>
      <c r="J37" s="11" t="s">
        <v>15</v>
      </c>
      <c r="K37" s="11" t="s">
        <v>14</v>
      </c>
      <c r="L37" s="51" t="s">
        <v>14</v>
      </c>
      <c r="M37" s="64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766</v>
      </c>
      <c r="D42" s="7" t="str">
        <f>IFERROR(VLOOKUP(C42,'Lista desplegable'!B$1:C$436,2,FALSE),"")</f>
        <v>PATRICIO RICARDO OETIKER OYARZUN</v>
      </c>
      <c r="E42" s="7" t="str">
        <f>IFERROR(VLOOKUP(D42,'Lista desplegable'!C$1:D$436,2,FALSE),"")</f>
        <v>PREVENCIONISTA DE RIESGOS</v>
      </c>
      <c r="F42" s="86" t="s">
        <v>1024</v>
      </c>
      <c r="G42" s="86" t="s">
        <v>20</v>
      </c>
      <c r="H42" s="86" t="s">
        <v>52</v>
      </c>
      <c r="I42" s="106" t="s">
        <v>1077</v>
      </c>
      <c r="J42" s="11" t="s">
        <v>15</v>
      </c>
      <c r="K42" s="11" t="s">
        <v>14</v>
      </c>
      <c r="L42" s="11" t="s">
        <v>14</v>
      </c>
      <c r="M42" s="40"/>
    </row>
    <row r="43" spans="2:13" ht="13.15" customHeight="1">
      <c r="B43" s="24">
        <v>2</v>
      </c>
      <c r="C43" s="84" t="s">
        <v>245</v>
      </c>
      <c r="D43" s="7" t="str">
        <f>IFERROR(VLOOKUP(C43,'Lista desplegable'!B$1:C$436,2,FALSE),"")</f>
        <v>DANIEL ARMANDO LINDERMANN LINDERMANN</v>
      </c>
      <c r="E43" s="7" t="str">
        <f>IFERROR(VLOOKUP(D43,'Lista desplegable'!C$1:D$436,2,FALSE),"")</f>
        <v>SUPERVISOR DE OPERACIONES</v>
      </c>
      <c r="F43" s="86" t="s">
        <v>1024</v>
      </c>
      <c r="G43" s="86" t="s">
        <v>20</v>
      </c>
      <c r="H43" s="86" t="s">
        <v>52</v>
      </c>
      <c r="I43" s="106" t="s">
        <v>1077</v>
      </c>
      <c r="J43" s="11" t="s">
        <v>15</v>
      </c>
      <c r="K43" s="11" t="s">
        <v>14</v>
      </c>
      <c r="L43" s="11" t="s">
        <v>14</v>
      </c>
      <c r="M43" s="40"/>
    </row>
    <row r="44" spans="2:13" ht="13.15" customHeight="1">
      <c r="B44" s="24">
        <v>3</v>
      </c>
      <c r="C44" s="83" t="s">
        <v>748</v>
      </c>
      <c r="D44" s="7" t="str">
        <f>IFERROR(VLOOKUP(C44,'Lista desplegable'!B$1:C$436,2,FALSE),"")</f>
        <v>PABLO ROMARIO BOSSA ZAMORANO</v>
      </c>
      <c r="E44" s="7" t="str">
        <f>IFERROR(VLOOKUP(D44,'Lista desplegable'!C$1:D$436,2,FALSE),"")</f>
        <v>CHOFER</v>
      </c>
      <c r="F44" s="86" t="s">
        <v>1024</v>
      </c>
      <c r="G44" s="86" t="s">
        <v>20</v>
      </c>
      <c r="H44" s="86" t="s">
        <v>52</v>
      </c>
      <c r="I44" s="106" t="s">
        <v>1077</v>
      </c>
      <c r="J44" s="11" t="s">
        <v>15</v>
      </c>
      <c r="K44" s="11" t="s">
        <v>14</v>
      </c>
      <c r="L44" s="11" t="s">
        <v>14</v>
      </c>
      <c r="M44" s="40"/>
    </row>
    <row r="45" spans="2:13" ht="13.15" customHeight="1">
      <c r="B45" s="24">
        <v>4</v>
      </c>
      <c r="C45" s="82" t="s">
        <v>642</v>
      </c>
      <c r="D45" s="7" t="str">
        <f>IFERROR(VLOOKUP(C45,'Lista desplegable'!B$1:C$436,2,FALSE),"")</f>
        <v>MARIO ANDRES PUCHI CORTEZ</v>
      </c>
      <c r="E45" s="7" t="str">
        <f>IFERROR(VLOOKUP(D45,'Lista desplegable'!C$1:D$436,2,FALSE),"")</f>
        <v>MECANICO</v>
      </c>
      <c r="F45" s="86" t="s">
        <v>1024</v>
      </c>
      <c r="G45" s="86" t="s">
        <v>20</v>
      </c>
      <c r="H45" s="86" t="s">
        <v>52</v>
      </c>
      <c r="I45" s="106" t="s">
        <v>1077</v>
      </c>
      <c r="J45" s="11" t="s">
        <v>15</v>
      </c>
      <c r="K45" s="11" t="s">
        <v>14</v>
      </c>
      <c r="L45" s="11" t="s">
        <v>14</v>
      </c>
      <c r="M45" s="40"/>
    </row>
    <row r="46" spans="2:13" ht="13.15" customHeight="1">
      <c r="B46" s="24">
        <v>5</v>
      </c>
      <c r="C46" s="84" t="s">
        <v>509</v>
      </c>
      <c r="D46" s="7" t="str">
        <f>IFERROR(VLOOKUP(C46,'Lista desplegable'!B$1:C$436,2,FALSE),"")</f>
        <v>JOSE IGNACIO HERNANDEZ ARAYA</v>
      </c>
      <c r="E46" s="7" t="str">
        <f>IFERROR(VLOOKUP(D46,'Lista desplegable'!C$1:D$436,2,FALSE),"")</f>
        <v>PERFORISTA</v>
      </c>
      <c r="F46" s="86" t="s">
        <v>1024</v>
      </c>
      <c r="G46" s="86" t="s">
        <v>20</v>
      </c>
      <c r="H46" s="86" t="s">
        <v>52</v>
      </c>
      <c r="I46" s="106" t="s">
        <v>1077</v>
      </c>
      <c r="J46" s="11" t="s">
        <v>15</v>
      </c>
      <c r="K46" s="11" t="s">
        <v>14</v>
      </c>
      <c r="L46" s="11" t="s">
        <v>14</v>
      </c>
      <c r="M46" s="40"/>
    </row>
    <row r="47" spans="2:13" ht="13.15" customHeight="1">
      <c r="B47" s="24">
        <v>6</v>
      </c>
      <c r="C47" s="83" t="s">
        <v>621</v>
      </c>
      <c r="D47" s="7" t="str">
        <f>IFERROR(VLOOKUP(C47,'Lista desplegable'!B$1:C$436,2,FALSE),"")</f>
        <v>MARCELO ALEJANDRO INZUNZA ALARCON</v>
      </c>
      <c r="E47" s="7" t="str">
        <f>IFERROR(VLOOKUP(D47,'Lista desplegable'!C$1:D$436,2,FALSE),"")</f>
        <v>AYUDANTE DE PERFORISTA</v>
      </c>
      <c r="F47" s="86" t="s">
        <v>1024</v>
      </c>
      <c r="G47" s="86" t="s">
        <v>20</v>
      </c>
      <c r="H47" s="86" t="s">
        <v>52</v>
      </c>
      <c r="I47" s="106" t="s">
        <v>1077</v>
      </c>
      <c r="J47" s="11" t="s">
        <v>15</v>
      </c>
      <c r="K47" s="11" t="s">
        <v>14</v>
      </c>
      <c r="L47" s="11" t="s">
        <v>14</v>
      </c>
      <c r="M47" s="40"/>
    </row>
    <row r="48" spans="2:13" ht="13.15" customHeight="1">
      <c r="B48" s="24">
        <v>7</v>
      </c>
      <c r="C48" s="84" t="s">
        <v>617</v>
      </c>
      <c r="D48" s="7" t="str">
        <f>IFERROR(VLOOKUP(C48,'Lista desplegable'!B$1:C$436,2,FALSE),"")</f>
        <v>MANUEL ARNOLDO ALISTE OLIVARES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106" t="s">
        <v>1077</v>
      </c>
      <c r="J48" s="11" t="s">
        <v>15</v>
      </c>
      <c r="K48" s="11" t="s">
        <v>14</v>
      </c>
      <c r="L48" s="11" t="s">
        <v>14</v>
      </c>
      <c r="M48" s="40"/>
    </row>
    <row r="49" spans="2:13" ht="13.15" customHeight="1">
      <c r="B49" s="24">
        <v>8</v>
      </c>
      <c r="C49" s="83" t="s">
        <v>776</v>
      </c>
      <c r="D49" s="7" t="str">
        <f>IFERROR(VLOOKUP(C49,'Lista desplegable'!B$1:C$436,2,FALSE),"")</f>
        <v>PEDRO ENRIQUE BOLBARAN ROJAS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106" t="s">
        <v>1077</v>
      </c>
      <c r="J49" s="11" t="s">
        <v>15</v>
      </c>
      <c r="K49" s="11" t="s">
        <v>14</v>
      </c>
      <c r="L49" s="11" t="s">
        <v>14</v>
      </c>
      <c r="M49" s="40"/>
    </row>
    <row r="50" spans="2:13" ht="13.15" customHeight="1">
      <c r="B50" s="24">
        <v>9</v>
      </c>
      <c r="C50" s="83" t="s">
        <v>345</v>
      </c>
      <c r="D50" s="7" t="str">
        <f>IFERROR(VLOOKUP(C50,'Lista desplegable'!B$1:C$436,2,FALSE),"")</f>
        <v>FELIPE ANDRES BOLBARAN ROJAS</v>
      </c>
      <c r="E50" s="7" t="str">
        <f>IFERROR(VLOOKUP(D50,'Lista desplegable'!C$1:D$436,2,FALSE),"")</f>
        <v>PERFORISTA</v>
      </c>
      <c r="F50" s="89" t="s">
        <v>1026</v>
      </c>
      <c r="G50" s="89" t="s">
        <v>20</v>
      </c>
      <c r="H50" s="86" t="s">
        <v>52</v>
      </c>
      <c r="I50" s="118" t="s">
        <v>1078</v>
      </c>
      <c r="J50" s="11" t="s">
        <v>15</v>
      </c>
      <c r="K50" s="11" t="s">
        <v>14</v>
      </c>
      <c r="L50" s="11" t="s">
        <v>14</v>
      </c>
      <c r="M50" s="40"/>
    </row>
    <row r="51" spans="2:13" ht="13.15" customHeight="1">
      <c r="B51" s="24">
        <v>10</v>
      </c>
      <c r="C51" s="84" t="s">
        <v>738</v>
      </c>
      <c r="D51" s="7" t="str">
        <f>IFERROR(VLOOKUP(C51,'Lista desplegable'!B$1:C$436,2,FALSE),"")</f>
        <v>OSCAR MANUEL ESPINOZA ESPINOZA</v>
      </c>
      <c r="E51" s="7" t="str">
        <f>IFERROR(VLOOKUP(D51,'Lista desplegable'!C$1:D$436,2,FALSE),"")</f>
        <v>AYUDANTE DE PERFORISTA</v>
      </c>
      <c r="F51" s="81" t="s">
        <v>1026</v>
      </c>
      <c r="G51" s="81" t="s">
        <v>20</v>
      </c>
      <c r="H51" s="86" t="s">
        <v>52</v>
      </c>
      <c r="I51" s="93" t="s">
        <v>1078</v>
      </c>
      <c r="J51" s="11" t="s">
        <v>15</v>
      </c>
      <c r="K51" s="11" t="s">
        <v>14</v>
      </c>
      <c r="L51" s="11" t="s">
        <v>14</v>
      </c>
      <c r="M51" s="40"/>
    </row>
    <row r="52" spans="2:13" ht="13.15" customHeight="1">
      <c r="B52" s="24">
        <v>11</v>
      </c>
      <c r="C52" s="85" t="s">
        <v>710</v>
      </c>
      <c r="D52" s="7" t="str">
        <f>IFERROR(VLOOKUP(C52,'Lista desplegable'!B$1:C$436,2,FALSE),"")</f>
        <v>NICOLAS ALBERTO CARVAJAL PASTEN</v>
      </c>
      <c r="E52" s="114" t="str">
        <f>IFERROR(VLOOKUP(D52,'Lista desplegable'!C$1:D$436,2,FALSE),"")</f>
        <v>AYUDANTE DE PERFORISTA</v>
      </c>
      <c r="F52" s="81" t="s">
        <v>1026</v>
      </c>
      <c r="G52" s="81" t="s">
        <v>20</v>
      </c>
      <c r="H52" s="86" t="s">
        <v>52</v>
      </c>
      <c r="I52" s="93" t="s">
        <v>1078</v>
      </c>
      <c r="J52" s="26" t="s">
        <v>15</v>
      </c>
      <c r="K52" s="11" t="s">
        <v>14</v>
      </c>
      <c r="L52" s="11" t="s">
        <v>14</v>
      </c>
      <c r="M52" s="40"/>
    </row>
    <row r="53" spans="2:13" ht="13.15" customHeight="1">
      <c r="B53" s="24">
        <v>12</v>
      </c>
      <c r="C53" s="33" t="s">
        <v>301</v>
      </c>
      <c r="D53" s="7" t="str">
        <f>IFERROR(VLOOKUP(C53,'Lista desplegable'!B$1:C$436,2,FALSE),"")</f>
        <v>ELMER RISCO RAMOS</v>
      </c>
      <c r="E53" s="7" t="str">
        <f>IFERROR(VLOOKUP(D53,'Lista desplegable'!C$1:D$436,2,FALSE),"")</f>
        <v>PERFORISTA</v>
      </c>
      <c r="F53" s="81" t="s">
        <v>1024</v>
      </c>
      <c r="G53" s="81" t="s">
        <v>20</v>
      </c>
      <c r="H53" s="86" t="s">
        <v>52</v>
      </c>
      <c r="I53" s="106" t="s">
        <v>1077</v>
      </c>
      <c r="J53" s="11" t="s">
        <v>15</v>
      </c>
      <c r="K53" s="11" t="s">
        <v>14</v>
      </c>
      <c r="L53" s="11" t="s">
        <v>14</v>
      </c>
      <c r="M53" s="40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480B749-71F7-47DA-947D-2A948947C1DD}">
          <x14:formula1>
            <xm:f>'Lista desplegable'!$N$2:$N$5</xm:f>
          </x14:formula1>
          <xm:sqref>J42:J61 J8:J37</xm:sqref>
        </x14:dataValidation>
        <x14:dataValidation type="list" allowBlank="1" showInputMessage="1" showErrorMessage="1" xr:uid="{69225562-7664-42DA-8A21-007EADAB2B2F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0FC756B1-3F76-4790-B680-46137DB907C2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CDAD7B1E-C136-4DE5-94A4-991F43D6281C}">
          <x14:formula1>
            <xm:f>'Lista desplegable'!$J$2:$J$10</xm:f>
          </x14:formula1>
          <xm:sqref>H8:H37 H42:H61</xm:sqref>
        </x14:dataValidation>
        <x14:dataValidation type="list" allowBlank="1" showInputMessage="1" showErrorMessage="1" xr:uid="{B14EE62B-C866-402A-B13B-DD45767A43DF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DFA4F02A-CA2C-4EA6-A24D-6901EF6B6C82}">
          <x14:formula1>
            <xm:f>'Lista desplegable'!$L$2:$L$3</xm:f>
          </x14:formula1>
          <xm:sqref>K42:L61 K8:L37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0FA2-B749-4EE3-904E-BBE22BD3B107}">
  <dimension ref="B1:M82"/>
  <sheetViews>
    <sheetView topLeftCell="A5" zoomScaleNormal="100" workbookViewId="0">
      <selection activeCell="M39" sqref="M39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C2" s="4"/>
      <c r="D2" s="1"/>
      <c r="E2" s="1"/>
      <c r="G2" s="132" t="s">
        <v>976</v>
      </c>
      <c r="H2" s="133"/>
      <c r="I2" s="134"/>
      <c r="J2" s="23"/>
      <c r="M2" s="1"/>
    </row>
    <row r="3" spans="2:13">
      <c r="C3" s="3"/>
      <c r="D3" s="5" t="s">
        <v>977</v>
      </c>
      <c r="E3" s="13" t="s">
        <v>978</v>
      </c>
      <c r="G3" s="135" t="s">
        <v>1079</v>
      </c>
      <c r="H3" s="136"/>
      <c r="I3" s="137"/>
      <c r="J3" s="16"/>
      <c r="K3" s="16"/>
      <c r="L3" s="16"/>
      <c r="M3" s="1"/>
    </row>
    <row r="4" spans="2:13">
      <c r="C4" s="3"/>
      <c r="D4" s="2"/>
      <c r="M4" s="1"/>
    </row>
    <row r="5" spans="2:13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1023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5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81"/>
      <c r="G8" s="81"/>
      <c r="H8" s="81"/>
      <c r="I8" s="50"/>
      <c r="J8" s="11" t="s">
        <v>23</v>
      </c>
      <c r="K8" s="11"/>
      <c r="L8" s="11"/>
      <c r="M8" s="11"/>
    </row>
    <row r="9" spans="2:13" s="1" customFormat="1" ht="13.15" customHeight="1">
      <c r="B9" s="24">
        <v>2</v>
      </c>
      <c r="C9" s="117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63" t="s">
        <v>1026</v>
      </c>
      <c r="G9" s="81" t="s">
        <v>20</v>
      </c>
      <c r="H9" s="86" t="s">
        <v>52</v>
      </c>
      <c r="I9" s="50" t="s">
        <v>1080</v>
      </c>
      <c r="J9" s="11" t="s">
        <v>15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84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63" t="s">
        <v>1026</v>
      </c>
      <c r="G10" s="81" t="s">
        <v>20</v>
      </c>
      <c r="H10" s="86" t="s">
        <v>52</v>
      </c>
      <c r="I10" s="50" t="s">
        <v>1080</v>
      </c>
      <c r="J10" s="11" t="s">
        <v>15</v>
      </c>
      <c r="K10" s="11" t="s">
        <v>14</v>
      </c>
      <c r="L10" s="11" t="s">
        <v>14</v>
      </c>
      <c r="M10" s="97"/>
    </row>
    <row r="11" spans="2:13" s="1" customFormat="1" ht="13.15" customHeight="1">
      <c r="B11" s="24">
        <v>4</v>
      </c>
      <c r="C11" s="80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63" t="s">
        <v>1026</v>
      </c>
      <c r="G11" s="81" t="s">
        <v>20</v>
      </c>
      <c r="H11" s="86" t="s">
        <v>52</v>
      </c>
      <c r="I11" s="50" t="s">
        <v>1080</v>
      </c>
      <c r="J11" s="11" t="s">
        <v>15</v>
      </c>
      <c r="K11" s="11" t="s">
        <v>14</v>
      </c>
      <c r="L11" s="11" t="s">
        <v>14</v>
      </c>
      <c r="M11" s="97"/>
    </row>
    <row r="12" spans="2:13" s="1" customFormat="1" ht="13.15" customHeight="1">
      <c r="B12" s="24">
        <v>5</v>
      </c>
      <c r="C12" s="80" t="s">
        <v>595</v>
      </c>
      <c r="D12" s="7" t="str">
        <f>IFERROR(VLOOKUP(C12,'Lista desplegable'!B$1:C$436,2,FALSE),"")</f>
        <v>LUIS GERARDO LOPEZ OLAVE</v>
      </c>
      <c r="E12" s="7" t="str">
        <f>IFERROR(VLOOKUP(D12,'Lista desplegable'!C$1:D$436,2,FALSE),"")</f>
        <v>MECANICO</v>
      </c>
      <c r="F12" s="63" t="s">
        <v>1026</v>
      </c>
      <c r="G12" s="81" t="s">
        <v>20</v>
      </c>
      <c r="H12" s="86" t="s">
        <v>52</v>
      </c>
      <c r="I12" s="50" t="s">
        <v>1080</v>
      </c>
      <c r="J12" s="11" t="s">
        <v>15</v>
      </c>
      <c r="K12" s="11" t="s">
        <v>14</v>
      </c>
      <c r="L12" s="11" t="s">
        <v>14</v>
      </c>
      <c r="M12" s="97"/>
    </row>
    <row r="13" spans="2:13" s="1" customFormat="1" ht="13.15" customHeight="1">
      <c r="B13" s="24">
        <v>6</v>
      </c>
      <c r="C13" s="80" t="s">
        <v>972</v>
      </c>
      <c r="D13" s="7" t="str">
        <f>IFERROR(VLOOKUP(C13,'Lista desplegable'!B$1:C$436,2,FALSE),"")</f>
        <v>YONATHAN ALBERTO MOROSO CORTES</v>
      </c>
      <c r="E13" s="7" t="str">
        <f>IFERROR(VLOOKUP(D13,'Lista desplegable'!C$1:D$436,2,FALSE),"")</f>
        <v>ADMINISTRATIVO SENIOR</v>
      </c>
      <c r="F13" s="63" t="s">
        <v>1026</v>
      </c>
      <c r="G13" s="81" t="s">
        <v>20</v>
      </c>
      <c r="H13" s="86" t="s">
        <v>52</v>
      </c>
      <c r="I13" s="50" t="s">
        <v>1080</v>
      </c>
      <c r="J13" s="11" t="s">
        <v>15</v>
      </c>
      <c r="K13" s="11" t="s">
        <v>14</v>
      </c>
      <c r="L13" s="11" t="s">
        <v>14</v>
      </c>
      <c r="M13" s="97"/>
    </row>
    <row r="14" spans="2:13" s="1" customFormat="1" ht="13.15" customHeight="1">
      <c r="B14" s="24">
        <v>7</v>
      </c>
      <c r="C14" s="80" t="s">
        <v>258</v>
      </c>
      <c r="D14" s="7" t="str">
        <f>IFERROR(VLOOKUP(C14,'Lista desplegable'!B$1:C$436,2,FALSE),"")</f>
        <v>DAVID AUGUSTO MARSHALL FLORES</v>
      </c>
      <c r="E14" s="7" t="str">
        <f>IFERROR(VLOOKUP(D14,'Lista desplegable'!C$1:D$436,2,FALSE),"")</f>
        <v>BODEGUERO</v>
      </c>
      <c r="F14" s="63" t="s">
        <v>1026</v>
      </c>
      <c r="G14" s="81" t="s">
        <v>20</v>
      </c>
      <c r="H14" s="86" t="s">
        <v>52</v>
      </c>
      <c r="I14" s="50" t="s">
        <v>1080</v>
      </c>
      <c r="J14" s="11" t="s">
        <v>15</v>
      </c>
      <c r="K14" s="11" t="s">
        <v>14</v>
      </c>
      <c r="L14" s="11" t="s">
        <v>14</v>
      </c>
      <c r="M14" s="97"/>
    </row>
    <row r="15" spans="2:13" s="1" customFormat="1" ht="13.15" customHeight="1">
      <c r="B15" s="24">
        <v>8</v>
      </c>
      <c r="C15" s="81" t="s">
        <v>788</v>
      </c>
      <c r="D15" s="7" t="str">
        <f>IFERROR(VLOOKUP(C15,'Lista desplegable'!B$1:C$436,2,FALSE),"")</f>
        <v>RAUL MANUEL BUSTAMANTE CERON</v>
      </c>
      <c r="E15" s="7" t="str">
        <f>IFERROR(VLOOKUP(D15,'Lista desplegable'!C$1:D$436,2,FALSE),"")</f>
        <v>SOLDADOR</v>
      </c>
      <c r="F15" s="63" t="s">
        <v>1026</v>
      </c>
      <c r="G15" s="81" t="s">
        <v>20</v>
      </c>
      <c r="H15" s="86" t="s">
        <v>52</v>
      </c>
      <c r="I15" s="50" t="s">
        <v>1080</v>
      </c>
      <c r="J15" s="26" t="s">
        <v>15</v>
      </c>
      <c r="K15" s="11" t="s">
        <v>14</v>
      </c>
      <c r="L15" s="11" t="s">
        <v>14</v>
      </c>
      <c r="M15" s="98"/>
    </row>
    <row r="16" spans="2:13" s="1" customFormat="1" ht="13.15" customHeight="1">
      <c r="B16" s="24">
        <v>9</v>
      </c>
      <c r="C16" s="81" t="s">
        <v>476</v>
      </c>
      <c r="D16" s="7" t="str">
        <f>IFERROR(VLOOKUP(C16,'Lista desplegable'!B$1:C$436,2,FALSE),"")</f>
        <v>JONATHAN ALEXANDER OLIVARES NATES</v>
      </c>
      <c r="E16" s="7" t="str">
        <f>IFERROR(VLOOKUP(D16,'Lista desplegable'!C$1:D$436,2,FALSE),"")</f>
        <v>MECANICO</v>
      </c>
      <c r="F16" s="63" t="s">
        <v>1026</v>
      </c>
      <c r="G16" s="81" t="s">
        <v>20</v>
      </c>
      <c r="H16" s="86" t="s">
        <v>52</v>
      </c>
      <c r="I16" s="50" t="s">
        <v>1080</v>
      </c>
      <c r="J16" s="26" t="s">
        <v>15</v>
      </c>
      <c r="K16" s="11" t="s">
        <v>14</v>
      </c>
      <c r="L16" s="11" t="s">
        <v>14</v>
      </c>
      <c r="M16" s="40"/>
    </row>
    <row r="17" spans="2:13" s="1" customFormat="1" ht="13.15" customHeight="1">
      <c r="B17" s="24">
        <v>10</v>
      </c>
      <c r="C17" s="81" t="s">
        <v>893</v>
      </c>
      <c r="D17" s="7" t="str">
        <f>IFERROR(VLOOKUP(C17,'Lista desplegable'!B$1:C$436,2,FALSE),"")</f>
        <v>SEBASTIAN IGNACIO ORTEGA GOMEZ</v>
      </c>
      <c r="E17" s="7" t="str">
        <f>IFERROR(VLOOKUP(D17,'Lista desplegable'!C$1:D$436,2,FALSE),"")</f>
        <v>MECANICO</v>
      </c>
      <c r="F17" s="63" t="s">
        <v>1026</v>
      </c>
      <c r="G17" s="81" t="s">
        <v>20</v>
      </c>
      <c r="H17" s="86" t="s">
        <v>52</v>
      </c>
      <c r="I17" s="50" t="s">
        <v>1080</v>
      </c>
      <c r="J17" s="26" t="s">
        <v>15</v>
      </c>
      <c r="K17" s="11" t="s">
        <v>14</v>
      </c>
      <c r="L17" s="11" t="s">
        <v>14</v>
      </c>
      <c r="M17" s="99"/>
    </row>
    <row r="18" spans="2:13" s="1" customFormat="1" ht="13.15" customHeight="1">
      <c r="B18" s="24">
        <v>11</v>
      </c>
      <c r="C18" s="80" t="s">
        <v>837</v>
      </c>
      <c r="D18" s="7" t="str">
        <f>IFERROR(VLOOKUP(C18,'Lista desplegable'!B$1:C$436,2,FALSE),"")</f>
        <v>ROBERTO MAURICIO VERGARA NEGRETE</v>
      </c>
      <c r="E18" s="7" t="str">
        <f>IFERROR(VLOOKUP(D18,'Lista desplegable'!C$1:D$436,2,FALSE),"")</f>
        <v>ELECTROMECÁNICO</v>
      </c>
      <c r="F18" s="63" t="s">
        <v>1026</v>
      </c>
      <c r="G18" s="81" t="s">
        <v>20</v>
      </c>
      <c r="H18" s="86" t="s">
        <v>52</v>
      </c>
      <c r="I18" s="50" t="s">
        <v>1080</v>
      </c>
      <c r="J18" s="26" t="s">
        <v>15</v>
      </c>
      <c r="K18" s="11" t="s">
        <v>14</v>
      </c>
      <c r="L18" s="11" t="s">
        <v>14</v>
      </c>
      <c r="M18" s="99"/>
    </row>
    <row r="19" spans="2:13" s="1" customFormat="1" ht="13.15" customHeight="1">
      <c r="B19" s="24">
        <v>12</v>
      </c>
      <c r="C19" s="80" t="s">
        <v>178</v>
      </c>
      <c r="D19" s="7" t="str">
        <f>IFERROR(VLOOKUP(C19,'Lista desplegable'!B$1:C$436,2,FALSE),"")</f>
        <v>CELSO ANDRES ORREGO OLIVARES</v>
      </c>
      <c r="E19" s="7" t="str">
        <f>IFERROR(VLOOKUP(D19,'Lista desplegable'!C$1:D$436,2,FALSE),"")</f>
        <v>CHOFER</v>
      </c>
      <c r="F19" s="63" t="s">
        <v>1026</v>
      </c>
      <c r="G19" s="81" t="s">
        <v>20</v>
      </c>
      <c r="H19" s="86" t="s">
        <v>52</v>
      </c>
      <c r="I19" s="50" t="s">
        <v>1080</v>
      </c>
      <c r="J19" s="26" t="s">
        <v>15</v>
      </c>
      <c r="K19" s="11" t="s">
        <v>14</v>
      </c>
      <c r="L19" s="11" t="s">
        <v>14</v>
      </c>
      <c r="M19" s="99"/>
    </row>
    <row r="20" spans="2:13" s="1" customFormat="1" ht="13.15" customHeight="1">
      <c r="B20" s="24">
        <v>13</v>
      </c>
      <c r="C20" s="81" t="s">
        <v>784</v>
      </c>
      <c r="D20" s="7" t="str">
        <f>IFERROR(VLOOKUP(C20,'Lista desplegable'!B$1:C$436,2,FALSE),"")</f>
        <v>RAUL ALEJANDRO RIVERO RIVERO</v>
      </c>
      <c r="E20" s="7" t="str">
        <f>IFERROR(VLOOKUP(D20,'Lista desplegable'!C$1:D$436,2,FALSE),"")</f>
        <v>SUPERVISOR DE OPERACIONES</v>
      </c>
      <c r="F20" s="63" t="s">
        <v>1026</v>
      </c>
      <c r="G20" s="81" t="s">
        <v>20</v>
      </c>
      <c r="H20" s="86" t="s">
        <v>52</v>
      </c>
      <c r="I20" s="50" t="s">
        <v>1080</v>
      </c>
      <c r="J20" s="26" t="s">
        <v>15</v>
      </c>
      <c r="K20" s="11" t="s">
        <v>14</v>
      </c>
      <c r="L20" s="11" t="s">
        <v>14</v>
      </c>
      <c r="M20" s="99"/>
    </row>
    <row r="21" spans="2:13" s="1" customFormat="1" ht="13.15" customHeight="1">
      <c r="B21" s="24">
        <v>14</v>
      </c>
      <c r="C21" s="91" t="s">
        <v>744</v>
      </c>
      <c r="D21" s="7" t="str">
        <f>IFERROR(VLOOKUP(C21,'Lista desplegable'!B$1:C$436,2,FALSE),"")</f>
        <v>PABLO ANTONIO ALVAREZ CORTES</v>
      </c>
      <c r="E21" s="7" t="str">
        <f>IFERROR(VLOOKUP(D21,'Lista desplegable'!C$1:D$436,2,FALSE),"")</f>
        <v>PREVENCIONISTA DE RIESGOS</v>
      </c>
      <c r="F21" s="63" t="s">
        <v>1026</v>
      </c>
      <c r="G21" s="81" t="s">
        <v>20</v>
      </c>
      <c r="H21" s="86" t="s">
        <v>52</v>
      </c>
      <c r="I21" s="50" t="s">
        <v>1080</v>
      </c>
      <c r="J21" s="26" t="s">
        <v>15</v>
      </c>
      <c r="K21" s="11" t="s">
        <v>14</v>
      </c>
      <c r="L21" s="11" t="s">
        <v>14</v>
      </c>
      <c r="M21" s="100"/>
    </row>
    <row r="22" spans="2:13" s="1" customFormat="1" ht="13.15" customHeight="1">
      <c r="B22" s="24">
        <v>15</v>
      </c>
      <c r="C22" s="80" t="s">
        <v>398</v>
      </c>
      <c r="D22" s="7" t="str">
        <f>IFERROR(VLOOKUP(C22,'Lista desplegable'!B$1:C$436,2,FALSE),"")</f>
        <v>GUILLERMO ALFREDO CASTRO ZUÑIGA</v>
      </c>
      <c r="E22" s="7" t="str">
        <f>IFERROR(VLOOKUP(D22,'Lista desplegable'!C$1:D$436,2,FALSE),"")</f>
        <v>PERFORISTA</v>
      </c>
      <c r="F22" s="63" t="s">
        <v>1024</v>
      </c>
      <c r="G22" s="81" t="s">
        <v>20</v>
      </c>
      <c r="H22" s="86" t="s">
        <v>52</v>
      </c>
      <c r="I22" s="50">
        <v>0</v>
      </c>
      <c r="J22" s="26" t="s">
        <v>15</v>
      </c>
      <c r="K22" s="11" t="s">
        <v>14</v>
      </c>
      <c r="L22" s="11" t="s">
        <v>14</v>
      </c>
      <c r="M22" s="41"/>
    </row>
    <row r="23" spans="2:13" s="1" customFormat="1" ht="13.15" customHeight="1">
      <c r="B23" s="24">
        <v>16</v>
      </c>
      <c r="C23" s="80" t="s">
        <v>818</v>
      </c>
      <c r="D23" s="7" t="str">
        <f>IFERROR(VLOOKUP(C23,'Lista desplegable'!B$1:C$436,2,FALSE),"")</f>
        <v>RICKY DONNELLY ARAVENA POBLETE</v>
      </c>
      <c r="E23" s="7" t="str">
        <f>IFERROR(VLOOKUP(D23,'Lista desplegable'!C$1:D$436,2,FALSE),"")</f>
        <v>AYUDANTE DE PERFORISTA</v>
      </c>
      <c r="F23" s="63" t="s">
        <v>1024</v>
      </c>
      <c r="G23" s="81" t="s">
        <v>20</v>
      </c>
      <c r="H23" s="86" t="s">
        <v>52</v>
      </c>
      <c r="I23" s="50">
        <v>0</v>
      </c>
      <c r="J23" s="26" t="s">
        <v>15</v>
      </c>
      <c r="K23" s="11" t="s">
        <v>14</v>
      </c>
      <c r="L23" s="11" t="s">
        <v>14</v>
      </c>
      <c r="M23" s="41"/>
    </row>
    <row r="24" spans="2:13" s="1" customFormat="1" ht="13.15" customHeight="1">
      <c r="B24" s="24">
        <v>17</v>
      </c>
      <c r="C24" s="81" t="s">
        <v>185</v>
      </c>
      <c r="D24" s="7" t="str">
        <f>IFERROR(VLOOKUP(C24,'Lista desplegable'!B$1:C$436,2,FALSE),"")</f>
        <v>CHRISTOFER HUESLY OLIVARES FERNANDEZ</v>
      </c>
      <c r="E24" s="7" t="str">
        <f>IFERROR(VLOOKUP(D24,'Lista desplegable'!C$1:D$436,2,FALSE),"")</f>
        <v>AYUDANTE DE PERFORISTA</v>
      </c>
      <c r="F24" s="63" t="s">
        <v>1024</v>
      </c>
      <c r="G24" s="81" t="s">
        <v>20</v>
      </c>
      <c r="H24" s="86" t="s">
        <v>52</v>
      </c>
      <c r="I24" s="50">
        <v>0</v>
      </c>
      <c r="J24" s="26" t="s">
        <v>15</v>
      </c>
      <c r="K24" s="11" t="s">
        <v>14</v>
      </c>
      <c r="L24" s="11" t="s">
        <v>14</v>
      </c>
      <c r="M24" s="41"/>
    </row>
    <row r="25" spans="2:13" s="1" customFormat="1" ht="13.15" customHeight="1">
      <c r="B25" s="24">
        <v>18</v>
      </c>
      <c r="C25" s="81" t="s">
        <v>562</v>
      </c>
      <c r="D25" s="7" t="str">
        <f>IFERROR(VLOOKUP(C25,'Lista desplegable'!B$1:C$436,2,FALSE),"")</f>
        <v>KEVIN ESTEBAN VALENZUELA VALENZUELA</v>
      </c>
      <c r="E25" s="7" t="str">
        <f>IFERROR(VLOOKUP(D25,'Lista desplegable'!C$1:D$436,2,FALSE),"")</f>
        <v>PERFORISTA</v>
      </c>
      <c r="F25" s="63" t="s">
        <v>1026</v>
      </c>
      <c r="G25" s="81" t="s">
        <v>20</v>
      </c>
      <c r="H25" s="86" t="s">
        <v>52</v>
      </c>
      <c r="I25" s="50" t="s">
        <v>1080</v>
      </c>
      <c r="J25" s="26" t="s">
        <v>15</v>
      </c>
      <c r="K25" s="11" t="s">
        <v>14</v>
      </c>
      <c r="L25" s="11" t="s">
        <v>14</v>
      </c>
      <c r="M25" s="41" t="s">
        <v>1016</v>
      </c>
    </row>
    <row r="26" spans="2:13" s="1" customFormat="1" ht="13.15" customHeight="1">
      <c r="B26" s="24">
        <v>19</v>
      </c>
      <c r="C26" s="81" t="s">
        <v>897</v>
      </c>
      <c r="D26" s="7" t="str">
        <f>IFERROR(VLOOKUP(C26,'Lista desplegable'!B$1:C$436,2,FALSE),"")</f>
        <v>SERGIO ALFONSO BRUNA LEDEZMA</v>
      </c>
      <c r="E26" s="7" t="str">
        <f>IFERROR(VLOOKUP(D26,'Lista desplegable'!C$1:D$436,2,FALSE),"")</f>
        <v>AYUDANTE DE PERFORISTA</v>
      </c>
      <c r="F26" s="63" t="s">
        <v>1026</v>
      </c>
      <c r="G26" s="81" t="s">
        <v>20</v>
      </c>
      <c r="H26" s="86" t="s">
        <v>52</v>
      </c>
      <c r="I26" s="50" t="s">
        <v>1080</v>
      </c>
      <c r="J26" s="26" t="s">
        <v>15</v>
      </c>
      <c r="K26" s="11" t="s">
        <v>14</v>
      </c>
      <c r="L26" s="11" t="s">
        <v>14</v>
      </c>
      <c r="M26" s="41" t="s">
        <v>1016</v>
      </c>
    </row>
    <row r="27" spans="2:13" s="1" customFormat="1" ht="13.15" customHeight="1">
      <c r="B27" s="24">
        <v>20</v>
      </c>
      <c r="C27" s="92" t="s">
        <v>305</v>
      </c>
      <c r="D27" s="7" t="str">
        <f>IFERROR(VLOOKUP(C27,'Lista desplegable'!B$1:C$436,2,FALSE),"")</f>
        <v>EMIL EDGARDO VARGAS BORDONES</v>
      </c>
      <c r="E27" s="7" t="str">
        <f>IFERROR(VLOOKUP(D27,'Lista desplegable'!C$1:D$436,2,FALSE),"")</f>
        <v>AYUDANTE DE PERFORISTA</v>
      </c>
      <c r="F27" s="95" t="s">
        <v>1026</v>
      </c>
      <c r="G27" s="96" t="s">
        <v>20</v>
      </c>
      <c r="H27" s="86" t="s">
        <v>52</v>
      </c>
      <c r="I27" s="50" t="s">
        <v>1080</v>
      </c>
      <c r="J27" s="26" t="s">
        <v>15</v>
      </c>
      <c r="K27" s="11" t="s">
        <v>14</v>
      </c>
      <c r="L27" s="11" t="s">
        <v>14</v>
      </c>
      <c r="M27" s="41" t="s">
        <v>1016</v>
      </c>
    </row>
    <row r="28" spans="2:13" s="1" customFormat="1" ht="13.15" customHeight="1">
      <c r="B28" s="24">
        <v>21</v>
      </c>
      <c r="C28" s="92" t="s">
        <v>877</v>
      </c>
      <c r="D28" s="7" t="str">
        <f>IFERROR(VLOOKUP(C28,'Lista desplegable'!B$1:C$436,2,FALSE),"")</f>
        <v>SEBASTIAN ALEJANDRO ARANEDA MILLAR</v>
      </c>
      <c r="E28" s="7" t="str">
        <f>IFERROR(VLOOKUP(D28,'Lista desplegable'!C$1:D$436,2,FALSE),"")</f>
        <v>AYUDANTE DE PERFORISTA</v>
      </c>
      <c r="F28" s="95" t="s">
        <v>1026</v>
      </c>
      <c r="G28" s="96" t="s">
        <v>20</v>
      </c>
      <c r="H28" s="86" t="s">
        <v>52</v>
      </c>
      <c r="I28" s="50" t="s">
        <v>1080</v>
      </c>
      <c r="J28" s="26" t="s">
        <v>15</v>
      </c>
      <c r="K28" s="11" t="s">
        <v>14</v>
      </c>
      <c r="L28" s="11" t="s">
        <v>14</v>
      </c>
      <c r="M28" s="41" t="s">
        <v>1016</v>
      </c>
    </row>
    <row r="29" spans="2:13" s="1" customFormat="1" ht="13.15" customHeight="1">
      <c r="B29" s="24">
        <v>22</v>
      </c>
      <c r="C29" s="33" t="s">
        <v>98</v>
      </c>
      <c r="D29" s="7" t="str">
        <f>IFERROR(VLOOKUP(C29,'Lista desplegable'!B$1:C$436,2,FALSE),"")</f>
        <v>ANGELO GIOVANNI BIZAMA ORELLANA</v>
      </c>
      <c r="E29" s="7" t="str">
        <f>IFERROR(VLOOKUP(D29,'Lista desplegable'!C$1:D$436,2,FALSE),"")</f>
        <v>AYUDANTE DE PERFORISTA</v>
      </c>
      <c r="F29" s="43"/>
      <c r="G29" s="43"/>
      <c r="H29" s="43"/>
      <c r="I29" s="50"/>
      <c r="J29" s="26" t="s">
        <v>37</v>
      </c>
      <c r="K29" s="11"/>
      <c r="L29" s="11"/>
      <c r="M29" s="59" t="s">
        <v>1068</v>
      </c>
    </row>
    <row r="30" spans="2:13" s="1" customFormat="1" ht="13.15" customHeight="1">
      <c r="B30" s="24">
        <v>23</v>
      </c>
      <c r="C30" s="33" t="s">
        <v>958</v>
      </c>
      <c r="D30" s="7" t="str">
        <f>IFERROR(VLOOKUP(C30,'Lista desplegable'!B$1:C$436,2,FALSE),"")</f>
        <v>WALTER LISANDRO SALAS MESA</v>
      </c>
      <c r="E30" s="7" t="str">
        <f>IFERROR(VLOOKUP(D30,'Lista desplegable'!C$1:D$436,2,FALSE),"")</f>
        <v>PERFORISTA</v>
      </c>
      <c r="F30" s="63" t="s">
        <v>1024</v>
      </c>
      <c r="G30" s="81" t="s">
        <v>20</v>
      </c>
      <c r="H30" s="86" t="s">
        <v>52</v>
      </c>
      <c r="I30" s="50">
        <v>0</v>
      </c>
      <c r="J30" s="26" t="s">
        <v>15</v>
      </c>
      <c r="K30" s="11" t="s">
        <v>14</v>
      </c>
      <c r="L30" s="11" t="s">
        <v>14</v>
      </c>
      <c r="M30" s="41" t="s">
        <v>1016</v>
      </c>
    </row>
    <row r="31" spans="2:13" s="1" customFormat="1" ht="13.15" customHeight="1">
      <c r="B31" s="24">
        <v>24</v>
      </c>
      <c r="C31" s="33" t="s">
        <v>734</v>
      </c>
      <c r="D31" s="7" t="str">
        <f>IFERROR(VLOOKUP(C31,'Lista desplegable'!B$1:C$436,2,FALSE),"")</f>
        <v>OSCAR ALEXIS JARA MEJIAS</v>
      </c>
      <c r="E31" s="7" t="str">
        <f>IFERROR(VLOOKUP(D31,'Lista desplegable'!C$1:D$436,2,FALSE),"")</f>
        <v>CHOFER</v>
      </c>
      <c r="F31" s="43"/>
      <c r="G31" s="43"/>
      <c r="H31" s="41"/>
      <c r="I31" s="50"/>
      <c r="J31" s="26" t="s">
        <v>37</v>
      </c>
      <c r="K31" s="11"/>
      <c r="L31" s="11"/>
      <c r="M31" s="59" t="s">
        <v>1081</v>
      </c>
    </row>
    <row r="32" spans="2:13" s="1" customFormat="1" ht="13.15" customHeight="1">
      <c r="B32" s="24">
        <v>25</v>
      </c>
      <c r="C32" s="33" t="s">
        <v>589</v>
      </c>
      <c r="D32" s="7" t="str">
        <f>IFERROR(VLOOKUP(C32,'Lista desplegable'!B$1:C$436,2,FALSE),"")</f>
        <v>LUIS ALFREDO MORENO RIOS</v>
      </c>
      <c r="E32" s="7" t="str">
        <f>IFERROR(VLOOKUP(D32,'Lista desplegable'!C$1:D$436,2,FALSE),"")</f>
        <v>CHOFER</v>
      </c>
      <c r="F32" s="43"/>
      <c r="G32" s="43"/>
      <c r="H32" s="41"/>
      <c r="I32" s="50"/>
      <c r="J32" s="26" t="s">
        <v>37</v>
      </c>
      <c r="K32" s="11"/>
      <c r="L32" s="11"/>
      <c r="M32" s="59" t="s">
        <v>1081</v>
      </c>
    </row>
    <row r="33" spans="2:13" s="1" customFormat="1" ht="13.15" customHeight="1">
      <c r="B33" s="24">
        <v>26</v>
      </c>
      <c r="C33" s="33" t="s">
        <v>205</v>
      </c>
      <c r="D33" s="7" t="str">
        <f>IFERROR(VLOOKUP(C33,'Lista desplegable'!B$1:C$436,2,FALSE),"")</f>
        <v>CRISTIAN ALEJANDRO TOLEDO GONZALEZ</v>
      </c>
      <c r="E33" s="7" t="str">
        <f>IFERROR(VLOOKUP(D33,'Lista desplegable'!C$1:D$436,2,FALSE),"")</f>
        <v>ELECTROMECANICO</v>
      </c>
      <c r="F33" s="43"/>
      <c r="G33" s="43"/>
      <c r="H33" s="41"/>
      <c r="I33" s="50"/>
      <c r="J33" s="26" t="s">
        <v>37</v>
      </c>
      <c r="K33" s="11"/>
      <c r="L33" s="11"/>
      <c r="M33" s="59" t="s">
        <v>1005</v>
      </c>
    </row>
    <row r="34" spans="2:13" s="1" customFormat="1" ht="13.15" customHeight="1">
      <c r="B34" s="24">
        <v>27</v>
      </c>
      <c r="C34" s="33" t="s">
        <v>810</v>
      </c>
      <c r="D34" s="7" t="str">
        <f>IFERROR(VLOOKUP(C34,'Lista desplegable'!B$1:C$436,2,FALSE),"")</f>
        <v>RICARDO NICOLAS QUINTANA SANTANA</v>
      </c>
      <c r="E34" s="7" t="str">
        <f>IFERROR(VLOOKUP(D34,'Lista desplegable'!C$1:D$436,2,FALSE),"")</f>
        <v>AYUDANTE DE PERFORISTA</v>
      </c>
      <c r="F34" s="43"/>
      <c r="G34" s="43"/>
      <c r="H34" s="41"/>
      <c r="I34" s="50"/>
      <c r="J34" s="26" t="s">
        <v>37</v>
      </c>
      <c r="K34" s="11"/>
      <c r="L34" s="11"/>
      <c r="M34" s="59" t="s">
        <v>1005</v>
      </c>
    </row>
    <row r="35" spans="2:13" s="1" customFormat="1" ht="13.15" customHeight="1">
      <c r="B35" s="24">
        <v>28</v>
      </c>
      <c r="C35" s="33" t="s">
        <v>531</v>
      </c>
      <c r="D35" s="7" t="str">
        <f>IFERROR(VLOOKUP(C35,'Lista desplegable'!B$1:C$436,2,FALSE),"")</f>
        <v>JUAN ALEXIS AVILEZ MOLINA</v>
      </c>
      <c r="E35" s="7" t="str">
        <f>IFERROR(VLOOKUP(D35,'Lista desplegable'!C$1:D$436,2,FALSE),"")</f>
        <v>AYUDANTE DE PERFORISTA</v>
      </c>
      <c r="F35" s="43"/>
      <c r="G35" s="43"/>
      <c r="H35" s="41"/>
      <c r="I35" s="50"/>
      <c r="J35" s="11" t="s">
        <v>37</v>
      </c>
      <c r="K35" s="11"/>
      <c r="L35" s="11"/>
      <c r="M35" s="59" t="s">
        <v>1005</v>
      </c>
    </row>
    <row r="36" spans="2:13" s="1" customFormat="1" ht="13.15" customHeight="1">
      <c r="B36" s="24">
        <v>29</v>
      </c>
      <c r="C36" s="33" t="s">
        <v>623</v>
      </c>
      <c r="D36" s="7" t="str">
        <f>IFERROR(VLOOKUP(C36,'Lista desplegable'!B$1:C$436,2,FALSE),"")</f>
        <v>MARCELO DAVID VASQUEZ AVILEZ</v>
      </c>
      <c r="E36" s="7" t="str">
        <f>IFERROR(VLOOKUP(D36,'Lista desplegable'!C$1:D$436,2,FALSE),"")</f>
        <v>AYUDANTE DE PERFORISTA</v>
      </c>
      <c r="F36" s="43"/>
      <c r="G36" s="43"/>
      <c r="H36" s="41"/>
      <c r="I36" s="50"/>
      <c r="J36" s="11" t="s">
        <v>37</v>
      </c>
      <c r="K36" s="11"/>
      <c r="L36" s="51"/>
      <c r="M36" s="59" t="s">
        <v>1005</v>
      </c>
    </row>
    <row r="37" spans="2:13" s="1" customFormat="1" ht="13.15" customHeight="1">
      <c r="B37" s="111">
        <v>30</v>
      </c>
      <c r="C37" s="83" t="s">
        <v>375</v>
      </c>
      <c r="D37" s="7" t="str">
        <f>IFERROR(VLOOKUP(C37,'Lista desplegable'!B$1:C$436,2,FALSE),"")</f>
        <v>FRANCISCO PEDRO BORNAZ DELGADO</v>
      </c>
      <c r="E37" s="7" t="str">
        <f>IFERROR(VLOOKUP(D37,'Lista desplegable'!C$1:D$436,2,FALSE),"")</f>
        <v>SUPERVISOR DE OPERACIONES</v>
      </c>
      <c r="F37" s="63" t="s">
        <v>1026</v>
      </c>
      <c r="G37" s="81" t="s">
        <v>20</v>
      </c>
      <c r="H37" s="86" t="s">
        <v>52</v>
      </c>
      <c r="I37" s="50" t="s">
        <v>1080</v>
      </c>
      <c r="J37" s="11" t="s">
        <v>15</v>
      </c>
      <c r="K37" s="11" t="s">
        <v>14</v>
      </c>
      <c r="L37" s="51" t="s">
        <v>14</v>
      </c>
      <c r="M37" s="64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1027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19" t="s">
        <v>982</v>
      </c>
      <c r="G41" s="119" t="s">
        <v>983</v>
      </c>
      <c r="H41" s="119" t="s">
        <v>984</v>
      </c>
      <c r="I41" s="119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83" t="s">
        <v>766</v>
      </c>
      <c r="D42" s="7" t="str">
        <f>IFERROR(VLOOKUP(C42,'Lista desplegable'!B$1:C$436,2,FALSE),"")</f>
        <v>PATRICIO RICARDO OETIKER OYARZUN</v>
      </c>
      <c r="E42" s="114" t="str">
        <f>IFERROR(VLOOKUP(D42,'Lista desplegable'!C$1:D$436,2,FALSE),"")</f>
        <v>PREVENCIONISTA DE RIESGOS</v>
      </c>
      <c r="F42" s="81" t="s">
        <v>1026</v>
      </c>
      <c r="G42" s="81" t="s">
        <v>20</v>
      </c>
      <c r="H42" s="81" t="s">
        <v>52</v>
      </c>
      <c r="I42" s="93" t="s">
        <v>1071</v>
      </c>
      <c r="J42" s="26" t="s">
        <v>15</v>
      </c>
      <c r="K42" s="11" t="s">
        <v>14</v>
      </c>
      <c r="L42" s="11" t="s">
        <v>14</v>
      </c>
      <c r="M42" s="40"/>
    </row>
    <row r="43" spans="2:13" ht="13.15" customHeight="1">
      <c r="B43" s="24">
        <v>2</v>
      </c>
      <c r="C43" s="84" t="s">
        <v>245</v>
      </c>
      <c r="D43" s="7" t="str">
        <f>IFERROR(VLOOKUP(C43,'Lista desplegable'!B$1:C$436,2,FALSE),"")</f>
        <v>DANIEL ARMANDO LINDERMANN LINDERMANN</v>
      </c>
      <c r="E43" s="114" t="str">
        <f>IFERROR(VLOOKUP(D43,'Lista desplegable'!C$1:D$436,2,FALSE),"")</f>
        <v>SUPERVISOR DE OPERACIONES</v>
      </c>
      <c r="F43" s="81" t="s">
        <v>1026</v>
      </c>
      <c r="G43" s="81" t="s">
        <v>20</v>
      </c>
      <c r="H43" s="81" t="s">
        <v>52</v>
      </c>
      <c r="I43" s="93" t="s">
        <v>1071</v>
      </c>
      <c r="J43" s="26" t="s">
        <v>15</v>
      </c>
      <c r="K43" s="11" t="s">
        <v>14</v>
      </c>
      <c r="L43" s="11" t="s">
        <v>14</v>
      </c>
      <c r="M43" s="40"/>
    </row>
    <row r="44" spans="2:13" ht="13.15" customHeight="1">
      <c r="B44" s="24">
        <v>3</v>
      </c>
      <c r="C44" s="83" t="s">
        <v>748</v>
      </c>
      <c r="D44" s="7" t="str">
        <f>IFERROR(VLOOKUP(C44,'Lista desplegable'!B$1:C$436,2,FALSE),"")</f>
        <v>PABLO ROMARIO BOSSA ZAMORANO</v>
      </c>
      <c r="E44" s="114" t="str">
        <f>IFERROR(VLOOKUP(D44,'Lista desplegable'!C$1:D$436,2,FALSE),"")</f>
        <v>CHOFER</v>
      </c>
      <c r="F44" s="81" t="s">
        <v>1026</v>
      </c>
      <c r="G44" s="81" t="s">
        <v>20</v>
      </c>
      <c r="H44" s="81" t="s">
        <v>52</v>
      </c>
      <c r="I44" s="93" t="s">
        <v>1071</v>
      </c>
      <c r="J44" s="26" t="s">
        <v>15</v>
      </c>
      <c r="K44" s="11" t="s">
        <v>14</v>
      </c>
      <c r="L44" s="11" t="s">
        <v>14</v>
      </c>
      <c r="M44" s="40"/>
    </row>
    <row r="45" spans="2:13" ht="13.15" customHeight="1">
      <c r="B45" s="24">
        <v>4</v>
      </c>
      <c r="C45" s="82" t="s">
        <v>642</v>
      </c>
      <c r="D45" s="7" t="str">
        <f>IFERROR(VLOOKUP(C45,'Lista desplegable'!B$1:C$436,2,FALSE),"")</f>
        <v>MARIO ANDRES PUCHI CORTEZ</v>
      </c>
      <c r="E45" s="114" t="str">
        <f>IFERROR(VLOOKUP(D45,'Lista desplegable'!C$1:D$436,2,FALSE),"")</f>
        <v>MECANICO</v>
      </c>
      <c r="F45" s="81" t="s">
        <v>1026</v>
      </c>
      <c r="G45" s="81" t="s">
        <v>20</v>
      </c>
      <c r="H45" s="81" t="s">
        <v>52</v>
      </c>
      <c r="I45" s="93" t="s">
        <v>1071</v>
      </c>
      <c r="J45" s="26" t="s">
        <v>15</v>
      </c>
      <c r="K45" s="11" t="s">
        <v>14</v>
      </c>
      <c r="L45" s="11" t="s">
        <v>14</v>
      </c>
      <c r="M45" s="40"/>
    </row>
    <row r="46" spans="2:13" ht="13.15" customHeight="1">
      <c r="B46" s="24">
        <v>5</v>
      </c>
      <c r="C46" s="84" t="s">
        <v>509</v>
      </c>
      <c r="D46" s="7" t="str">
        <f>IFERROR(VLOOKUP(C46,'Lista desplegable'!B$1:C$436,2,FALSE),"")</f>
        <v>JOSE IGNACIO HERNANDEZ ARAYA</v>
      </c>
      <c r="E46" s="114" t="str">
        <f>IFERROR(VLOOKUP(D46,'Lista desplegable'!C$1:D$436,2,FALSE),"")</f>
        <v>PERFORISTA</v>
      </c>
      <c r="F46" s="81" t="s">
        <v>1024</v>
      </c>
      <c r="G46" s="81" t="s">
        <v>20</v>
      </c>
      <c r="H46" s="81" t="s">
        <v>52</v>
      </c>
      <c r="I46" s="106" t="s">
        <v>1082</v>
      </c>
      <c r="J46" s="26" t="s">
        <v>15</v>
      </c>
      <c r="K46" s="11" t="s">
        <v>14</v>
      </c>
      <c r="L46" s="11" t="s">
        <v>14</v>
      </c>
      <c r="M46" s="40"/>
    </row>
    <row r="47" spans="2:13" ht="13.15" customHeight="1">
      <c r="B47" s="24">
        <v>6</v>
      </c>
      <c r="C47" s="83" t="s">
        <v>621</v>
      </c>
      <c r="D47" s="7" t="str">
        <f>IFERROR(VLOOKUP(C47,'Lista desplegable'!B$1:C$436,2,FALSE),"")</f>
        <v>MARCELO ALEJANDRO INZUNZA ALARCON</v>
      </c>
      <c r="E47" s="7" t="str">
        <f>IFERROR(VLOOKUP(D47,'Lista desplegable'!C$1:D$436,2,FALSE),"")</f>
        <v>AYUDANTE DE PERFORISTA</v>
      </c>
      <c r="F47" s="86" t="s">
        <v>1024</v>
      </c>
      <c r="G47" s="86" t="s">
        <v>20</v>
      </c>
      <c r="H47" s="86" t="s">
        <v>52</v>
      </c>
      <c r="I47" s="116" t="s">
        <v>1082</v>
      </c>
      <c r="J47" s="11" t="s">
        <v>15</v>
      </c>
      <c r="K47" s="11" t="s">
        <v>14</v>
      </c>
      <c r="L47" s="11" t="s">
        <v>14</v>
      </c>
      <c r="M47" s="40"/>
    </row>
    <row r="48" spans="2:13" ht="13.15" customHeight="1">
      <c r="B48" s="24">
        <v>7</v>
      </c>
      <c r="C48" s="84" t="s">
        <v>617</v>
      </c>
      <c r="D48" s="7" t="str">
        <f>IFERROR(VLOOKUP(C48,'Lista desplegable'!B$1:C$436,2,FALSE),"")</f>
        <v>MANUEL ARNOLDO ALISTE OLIVARES</v>
      </c>
      <c r="E48" s="7" t="str">
        <f>IFERROR(VLOOKUP(D48,'Lista desplegable'!C$1:D$436,2,FALSE),"")</f>
        <v>AYUDANTE DE PERFORISTA</v>
      </c>
      <c r="F48" s="86" t="s">
        <v>1024</v>
      </c>
      <c r="G48" s="86" t="s">
        <v>20</v>
      </c>
      <c r="H48" s="86" t="s">
        <v>52</v>
      </c>
      <c r="I48" s="106" t="s">
        <v>1082</v>
      </c>
      <c r="J48" s="11" t="s">
        <v>15</v>
      </c>
      <c r="K48" s="11" t="s">
        <v>14</v>
      </c>
      <c r="L48" s="11" t="s">
        <v>14</v>
      </c>
      <c r="M48" s="40"/>
    </row>
    <row r="49" spans="2:13" ht="13.15" customHeight="1">
      <c r="B49" s="24">
        <v>8</v>
      </c>
      <c r="C49" s="83" t="s">
        <v>776</v>
      </c>
      <c r="D49" s="7" t="str">
        <f>IFERROR(VLOOKUP(C49,'Lista desplegable'!B$1:C$436,2,FALSE),"")</f>
        <v>PEDRO ENRIQUE BOLBARAN ROJAS</v>
      </c>
      <c r="E49" s="7" t="str">
        <f>IFERROR(VLOOKUP(D49,'Lista desplegable'!C$1:D$436,2,FALSE),"")</f>
        <v>AYUDANTE DE PERFORISTA</v>
      </c>
      <c r="F49" s="86" t="s">
        <v>1024</v>
      </c>
      <c r="G49" s="86" t="s">
        <v>20</v>
      </c>
      <c r="H49" s="86" t="s">
        <v>52</v>
      </c>
      <c r="I49" s="106" t="s">
        <v>1082</v>
      </c>
      <c r="J49" s="11" t="s">
        <v>15</v>
      </c>
      <c r="K49" s="11" t="s">
        <v>14</v>
      </c>
      <c r="L49" s="11" t="s">
        <v>14</v>
      </c>
      <c r="M49" s="40"/>
    </row>
    <row r="50" spans="2:13" ht="13.15" customHeight="1">
      <c r="B50" s="24">
        <v>9</v>
      </c>
      <c r="C50" s="83" t="s">
        <v>345</v>
      </c>
      <c r="D50" s="7" t="str">
        <f>IFERROR(VLOOKUP(C50,'Lista desplegable'!B$1:C$436,2,FALSE),"")</f>
        <v>FELIPE ANDRES BOLBARAN ROJAS</v>
      </c>
      <c r="E50" s="7" t="str">
        <f>IFERROR(VLOOKUP(D50,'Lista desplegable'!C$1:D$436,2,FALSE),"")</f>
        <v>PERFORISTA</v>
      </c>
      <c r="F50" s="89" t="s">
        <v>1026</v>
      </c>
      <c r="G50" s="89" t="s">
        <v>20</v>
      </c>
      <c r="H50" s="86" t="s">
        <v>52</v>
      </c>
      <c r="I50" s="118" t="s">
        <v>1071</v>
      </c>
      <c r="J50" s="11" t="s">
        <v>15</v>
      </c>
      <c r="K50" s="11" t="s">
        <v>14</v>
      </c>
      <c r="L50" s="11" t="s">
        <v>14</v>
      </c>
      <c r="M50" s="40"/>
    </row>
    <row r="51" spans="2:13" ht="13.15" customHeight="1">
      <c r="B51" s="24">
        <v>10</v>
      </c>
      <c r="C51" s="84" t="s">
        <v>738</v>
      </c>
      <c r="D51" s="7" t="str">
        <f>IFERROR(VLOOKUP(C51,'Lista desplegable'!B$1:C$436,2,FALSE),"")</f>
        <v>OSCAR MANUEL ESPINOZA ESPINOZA</v>
      </c>
      <c r="E51" s="7" t="str">
        <f>IFERROR(VLOOKUP(D51,'Lista desplegable'!C$1:D$436,2,FALSE),"")</f>
        <v>AYUDANTE DE PERFORISTA</v>
      </c>
      <c r="F51" s="81" t="s">
        <v>1026</v>
      </c>
      <c r="G51" s="81" t="s">
        <v>20</v>
      </c>
      <c r="H51" s="86" t="s">
        <v>52</v>
      </c>
      <c r="I51" s="93" t="s">
        <v>1071</v>
      </c>
      <c r="J51" s="11" t="s">
        <v>15</v>
      </c>
      <c r="K51" s="11" t="s">
        <v>14</v>
      </c>
      <c r="L51" s="11" t="s">
        <v>14</v>
      </c>
      <c r="M51" s="40"/>
    </row>
    <row r="52" spans="2:13" ht="13.15" customHeight="1">
      <c r="B52" s="24">
        <v>11</v>
      </c>
      <c r="C52" s="85" t="s">
        <v>710</v>
      </c>
      <c r="D52" s="7" t="str">
        <f>IFERROR(VLOOKUP(C52,'Lista desplegable'!B$1:C$436,2,FALSE),"")</f>
        <v>NICOLAS ALBERTO CARVAJAL PASTEN</v>
      </c>
      <c r="E52" s="114" t="str">
        <f>IFERROR(VLOOKUP(D52,'Lista desplegable'!C$1:D$436,2,FALSE),"")</f>
        <v>AYUDANTE DE PERFORISTA</v>
      </c>
      <c r="F52" s="81" t="s">
        <v>1026</v>
      </c>
      <c r="G52" s="81" t="s">
        <v>20</v>
      </c>
      <c r="H52" s="86" t="s">
        <v>52</v>
      </c>
      <c r="I52" s="93" t="s">
        <v>1071</v>
      </c>
      <c r="J52" s="26" t="s">
        <v>15</v>
      </c>
      <c r="K52" s="11" t="s">
        <v>14</v>
      </c>
      <c r="L52" s="11" t="s">
        <v>14</v>
      </c>
      <c r="M52" s="40"/>
    </row>
    <row r="53" spans="2:13" ht="13.15" customHeight="1">
      <c r="B53" s="24">
        <v>12</v>
      </c>
      <c r="C53" s="33" t="s">
        <v>301</v>
      </c>
      <c r="D53" s="7" t="str">
        <f>IFERROR(VLOOKUP(C53,'Lista desplegable'!B$1:C$436,2,FALSE),"")</f>
        <v>ELMER RISCO RAMOS</v>
      </c>
      <c r="E53" s="7" t="str">
        <f>IFERROR(VLOOKUP(D53,'Lista desplegable'!C$1:D$436,2,FALSE),"")</f>
        <v>PERFORISTA</v>
      </c>
      <c r="F53" s="81" t="s">
        <v>1024</v>
      </c>
      <c r="G53" s="81" t="s">
        <v>20</v>
      </c>
      <c r="H53" s="81" t="s">
        <v>52</v>
      </c>
      <c r="I53" s="106" t="s">
        <v>1082</v>
      </c>
      <c r="J53" s="11" t="s">
        <v>15</v>
      </c>
      <c r="K53" s="11" t="s">
        <v>14</v>
      </c>
      <c r="L53" s="11" t="s">
        <v>14</v>
      </c>
      <c r="M53" s="40"/>
    </row>
    <row r="54" spans="2:13" ht="13.15" customHeight="1">
      <c r="B54" s="24">
        <v>13</v>
      </c>
      <c r="C54" s="35"/>
      <c r="D54" s="7"/>
      <c r="E54" s="7"/>
      <c r="F54" s="53"/>
      <c r="G54" s="45"/>
      <c r="H54" s="31"/>
      <c r="I54" s="39"/>
      <c r="J54" s="11"/>
      <c r="K54" s="11"/>
      <c r="L54" s="11"/>
      <c r="M54" s="11"/>
    </row>
    <row r="55" spans="2:13" ht="13.15" customHeight="1">
      <c r="B55" s="24">
        <v>14</v>
      </c>
      <c r="C55" s="35"/>
      <c r="D55" s="7"/>
      <c r="E55" s="7"/>
      <c r="F55" s="53"/>
      <c r="G55" s="31"/>
      <c r="H55" s="31"/>
      <c r="I55" s="39"/>
      <c r="J55" s="11"/>
      <c r="K55" s="11"/>
      <c r="L55" s="11"/>
      <c r="M55" s="11"/>
    </row>
    <row r="56" spans="2:13" ht="13.15" customHeight="1">
      <c r="B56" s="24">
        <v>15</v>
      </c>
      <c r="C56" s="35"/>
      <c r="D56" s="7"/>
      <c r="E56" s="7"/>
      <c r="F56" s="53"/>
      <c r="G56" s="45"/>
      <c r="H56" s="31"/>
      <c r="I56" s="39"/>
      <c r="J56" s="11"/>
      <c r="K56" s="11"/>
      <c r="L56" s="11"/>
      <c r="M56" s="11"/>
    </row>
    <row r="57" spans="2:13" ht="13.15" customHeight="1">
      <c r="B57" s="24">
        <v>16</v>
      </c>
      <c r="C57" s="11"/>
      <c r="D57" s="7"/>
      <c r="E57" s="7"/>
      <c r="F57" s="44"/>
      <c r="G57" s="31"/>
      <c r="H57" s="31"/>
      <c r="I57" s="39"/>
      <c r="J57" s="11"/>
      <c r="K57" s="11"/>
      <c r="L57" s="11"/>
      <c r="M57" s="11"/>
    </row>
    <row r="58" spans="2:13" ht="13.15" customHeight="1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15" customHeight="1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15" customHeight="1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15" customHeight="1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5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5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5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5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5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5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5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5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5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5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5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5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5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5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5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3:13" ht="13.5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3:13" ht="13.5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3:13" ht="13.5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3:13" ht="13.5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5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5">
      <c r="C82" s="9"/>
      <c r="D82" s="6"/>
      <c r="E82" s="6"/>
    </row>
  </sheetData>
  <mergeCells count="4">
    <mergeCell ref="G2:I2"/>
    <mergeCell ref="G3:I3"/>
    <mergeCell ref="C6:M6"/>
    <mergeCell ref="C40:M40"/>
  </mergeCells>
  <phoneticPr fontId="5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DABD637-D3DA-4854-9A7F-BBCA010FCDD5}">
          <x14:formula1>
            <xm:f>'Lista desplegable'!$L$2:$L$3</xm:f>
          </x14:formula1>
          <xm:sqref>K42:L61 K8:L37</xm:sqref>
        </x14:dataValidation>
        <x14:dataValidation type="list" allowBlank="1" showInputMessage="1" showErrorMessage="1" xr:uid="{FBA34753-4E09-41EC-AEC9-DABF88F80EE5}">
          <x14:formula1>
            <xm:f>'Lista desplegable'!$H$2:$H$7</xm:f>
          </x14:formula1>
          <xm:sqref>G42:G61 G8:G37</xm:sqref>
        </x14:dataValidation>
        <x14:dataValidation type="list" allowBlank="1" showInputMessage="1" showErrorMessage="1" xr:uid="{D6239EA2-6446-4AA5-8D89-4E5BD1D90652}">
          <x14:formula1>
            <xm:f>'Lista desplegable'!$J$2:$J$10</xm:f>
          </x14:formula1>
          <xm:sqref>H42:H61 H8:H37</xm:sqref>
        </x14:dataValidation>
        <x14:dataValidation type="list" allowBlank="1" showInputMessage="1" showErrorMessage="1" xr:uid="{28B13B9B-EA84-48AC-8875-93A1B5C7ECCB}">
          <x14:formula1>
            <xm:f>'Lista desplegable'!$F$2:$F$19</xm:f>
          </x14:formula1>
          <xm:sqref>F42:F61 F8:F37</xm:sqref>
        </x14:dataValidation>
        <x14:dataValidation type="list" allowBlank="1" showInputMessage="1" showErrorMessage="1" xr:uid="{EBD60D34-EF6A-46F1-B284-94E8DCF80818}">
          <x14:formula1>
            <xm:f>'Lista desplegable'!$B$2:$B$436</xm:f>
          </x14:formula1>
          <xm:sqref>C42:C61 C8:C37</xm:sqref>
        </x14:dataValidation>
        <x14:dataValidation type="list" allowBlank="1" showInputMessage="1" showErrorMessage="1" xr:uid="{57E9EF3A-2855-4DA8-A2CC-E4F0128C71CD}">
          <x14:formula1>
            <xm:f>'Lista desplegable'!$N$2:$N$5</xm:f>
          </x14:formula1>
          <xm:sqref>J42:J61 J8:J37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DE9E-DE26-4C0F-AFFF-FE4A4D7E9F1E}">
  <dimension ref="B1:M75"/>
  <sheetViews>
    <sheetView topLeftCell="C1" zoomScaleNormal="100" workbookViewId="0">
      <selection activeCell="D14" sqref="D14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1083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 t="s">
        <v>41</v>
      </c>
      <c r="G8" s="11" t="s">
        <v>20</v>
      </c>
      <c r="H8" s="11" t="s">
        <v>52</v>
      </c>
      <c r="I8" s="25" t="s">
        <v>1085</v>
      </c>
      <c r="J8" s="11" t="s">
        <v>37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 t="s">
        <v>41</v>
      </c>
      <c r="G9" s="11" t="s">
        <v>20</v>
      </c>
      <c r="H9" s="11" t="s">
        <v>52</v>
      </c>
      <c r="I9" s="25" t="s">
        <v>1085</v>
      </c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19" t="s">
        <v>41</v>
      </c>
      <c r="G10" s="11" t="s">
        <v>20</v>
      </c>
      <c r="H10" s="11" t="s">
        <v>52</v>
      </c>
      <c r="I10" s="25" t="s">
        <v>1085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11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 t="s">
        <v>41</v>
      </c>
      <c r="G11" s="11" t="s">
        <v>20</v>
      </c>
      <c r="H11" s="11" t="s">
        <v>52</v>
      </c>
      <c r="I11" s="25" t="s">
        <v>1085</v>
      </c>
      <c r="J11" s="11" t="s">
        <v>15</v>
      </c>
      <c r="K11" s="11" t="s">
        <v>14</v>
      </c>
      <c r="L11" s="11" t="s">
        <v>14</v>
      </c>
      <c r="M11" s="11"/>
    </row>
    <row r="12" spans="2:13" s="1" customFormat="1" ht="13.15" customHeight="1">
      <c r="B12" s="24">
        <v>5</v>
      </c>
      <c r="C12" s="11" t="s">
        <v>149</v>
      </c>
      <c r="D12" s="7" t="str">
        <f>IFERROR(VLOOKUP(C12,'Lista desplegable'!B$1:C$436,2,FALSE),"")</f>
        <v>CAMILO FELIPE CRUZ MOLINA</v>
      </c>
      <c r="E12" s="7" t="str">
        <f>IFERROR(VLOOKUP(D12,'Lista desplegable'!C$1:D$436,2,FALSE),"")</f>
        <v>SUPERVISOR DE OPERACIONES</v>
      </c>
      <c r="F12" s="19" t="s">
        <v>41</v>
      </c>
      <c r="G12" s="11" t="s">
        <v>20</v>
      </c>
      <c r="H12" s="11" t="s">
        <v>52</v>
      </c>
      <c r="I12" s="25" t="s">
        <v>1085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786</v>
      </c>
      <c r="D13" s="7" t="str">
        <f>IFERROR(VLOOKUP(C13,'Lista desplegable'!B$1:C$436,2,FALSE),"")</f>
        <v>RAUL ESTEBAN HERNANDEZ PIZARRO</v>
      </c>
      <c r="E13" s="7" t="str">
        <f>IFERROR(VLOOKUP(D13,'Lista desplegable'!C$1:D$436,2,FALSE),"")</f>
        <v>PREVENCIONISTA DE RIESGOS</v>
      </c>
      <c r="F13" s="19" t="s">
        <v>41</v>
      </c>
      <c r="G13" s="11" t="s">
        <v>20</v>
      </c>
      <c r="H13" s="11" t="s">
        <v>52</v>
      </c>
      <c r="I13" s="25" t="s">
        <v>1085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609</v>
      </c>
      <c r="D14" s="7" t="str">
        <f>IFERROR(VLOOKUP(C14,'Lista desplegable'!B$1:C$436,2,FALSE),"")</f>
        <v>MANUEL ALEJANDRO LISAMBARTH CARABANTES</v>
      </c>
      <c r="E14" s="7" t="str">
        <f>IFERROR(VLOOKUP(D14,'Lista desplegable'!C$1:D$436,2,FALSE),"")</f>
        <v>ADMINISTRATIVO DE FAENA</v>
      </c>
      <c r="F14" s="19" t="s">
        <v>41</v>
      </c>
      <c r="G14" s="11" t="s">
        <v>20</v>
      </c>
      <c r="H14" s="11" t="s">
        <v>52</v>
      </c>
      <c r="I14" s="25" t="s">
        <v>1085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851</v>
      </c>
      <c r="D15" s="7" t="str">
        <f>IFERROR(VLOOKUP(C15,'Lista desplegable'!B$1:C$436,2,FALSE),"")</f>
        <v>RODRIGO ANDRES DIAZ INOSTROZA</v>
      </c>
      <c r="E15" s="7" t="str">
        <f>IFERROR(VLOOKUP(D15,'Lista desplegable'!C$1:D$436,2,FALSE),"")</f>
        <v>BODEGUERO</v>
      </c>
      <c r="F15" s="19" t="s">
        <v>41</v>
      </c>
      <c r="G15" s="11" t="s">
        <v>20</v>
      </c>
      <c r="H15" s="11" t="s">
        <v>52</v>
      </c>
      <c r="I15" s="25" t="s">
        <v>1085</v>
      </c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595</v>
      </c>
      <c r="D16" s="7" t="str">
        <f>IFERROR(VLOOKUP(C16,'Lista desplegable'!B$1:C$436,2,FALSE),"")</f>
        <v>LUIS GERARDO LOPEZ OLAVE</v>
      </c>
      <c r="E16" s="7" t="str">
        <f>IFERROR(VLOOKUP(D16,'Lista desplegable'!C$1:D$436,2,FALSE),"")</f>
        <v>MECANICO</v>
      </c>
      <c r="F16" s="19" t="s">
        <v>41</v>
      </c>
      <c r="G16" s="11" t="s">
        <v>20</v>
      </c>
      <c r="H16" s="11" t="s">
        <v>52</v>
      </c>
      <c r="I16" s="25" t="s">
        <v>1085</v>
      </c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205</v>
      </c>
      <c r="D17" s="7" t="str">
        <f>IFERROR(VLOOKUP(C17,'Lista desplegable'!B$1:C$436,2,FALSE),"")</f>
        <v>CRISTIAN ALEJANDRO TOLEDO GONZALEZ</v>
      </c>
      <c r="E17" s="7" t="str">
        <f>IFERROR(VLOOKUP(D17,'Lista desplegable'!C$1:D$436,2,FALSE),"")</f>
        <v>ELECTROMECANICO</v>
      </c>
      <c r="F17" s="19" t="s">
        <v>41</v>
      </c>
      <c r="G17" s="11" t="s">
        <v>20</v>
      </c>
      <c r="H17" s="11" t="s">
        <v>52</v>
      </c>
      <c r="I17" s="25" t="s">
        <v>1085</v>
      </c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19" t="s">
        <v>41</v>
      </c>
      <c r="G18" s="11" t="s">
        <v>20</v>
      </c>
      <c r="H18" s="11" t="s">
        <v>52</v>
      </c>
      <c r="I18" s="25" t="s">
        <v>1085</v>
      </c>
      <c r="J18" s="11" t="s">
        <v>15</v>
      </c>
      <c r="K18" s="11" t="s">
        <v>14</v>
      </c>
      <c r="L18" s="11" t="s">
        <v>14</v>
      </c>
      <c r="M18" s="11" t="s">
        <v>1086</v>
      </c>
    </row>
    <row r="19" spans="2:13" s="1" customFormat="1" ht="13.15" customHeight="1">
      <c r="B19" s="24">
        <v>12</v>
      </c>
      <c r="C19" s="11" t="s">
        <v>183</v>
      </c>
      <c r="D19" s="7" t="str">
        <f>IFERROR(VLOOKUP(C19,'Lista desplegable'!B$1:C$436,2,FALSE),"")</f>
        <v>CHRISTIAN DARIEM PIZARRO MUÑOZ</v>
      </c>
      <c r="E19" s="7" t="str">
        <f>IFERROR(VLOOKUP(D19,'Lista desplegable'!C$1:D$436,2,FALSE),"")</f>
        <v>SOLDADOR</v>
      </c>
      <c r="F19" s="19" t="s">
        <v>41</v>
      </c>
      <c r="G19" s="11" t="s">
        <v>20</v>
      </c>
      <c r="H19" s="11" t="s">
        <v>52</v>
      </c>
      <c r="I19" s="25" t="s">
        <v>1085</v>
      </c>
      <c r="J19" s="11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11" t="s">
        <v>867</v>
      </c>
      <c r="D20" s="7" t="str">
        <f>IFERROR(VLOOKUP(C20,'Lista desplegable'!B$1:C$436,2,FALSE),"")</f>
        <v>RONALD SEBASTIAN BORQUEZ CAMPUSANO</v>
      </c>
      <c r="E20" s="7" t="str">
        <f>IFERROR(VLOOKUP(D20,'Lista desplegable'!C$1:D$436,2,FALSE),"")</f>
        <v>CHOFER</v>
      </c>
      <c r="F20" s="19" t="s">
        <v>41</v>
      </c>
      <c r="G20" s="11" t="s">
        <v>20</v>
      </c>
      <c r="H20" s="11" t="s">
        <v>52</v>
      </c>
      <c r="I20" s="25" t="s">
        <v>1085</v>
      </c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734</v>
      </c>
      <c r="D21" s="7" t="str">
        <f>IFERROR(VLOOKUP(C21,'Lista desplegable'!B$1:C$436,2,FALSE),"")</f>
        <v>OSCAR ALEXIS JARA MEJIAS</v>
      </c>
      <c r="E21" s="7" t="str">
        <f>IFERROR(VLOOKUP(D21,'Lista desplegable'!C$1:D$436,2,FALSE),"")</f>
        <v>CHOFER</v>
      </c>
      <c r="F21" s="19" t="s">
        <v>41</v>
      </c>
      <c r="G21" s="11" t="s">
        <v>20</v>
      </c>
      <c r="H21" s="11" t="s">
        <v>52</v>
      </c>
      <c r="I21" s="25" t="s">
        <v>1085</v>
      </c>
      <c r="J21" s="11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11" t="s">
        <v>243</v>
      </c>
      <c r="D22" s="7" t="str">
        <f>IFERROR(VLOOKUP(C22,'Lista desplegable'!B$1:C$436,2,FALSE),"")</f>
        <v>DANIEL ANDRES VENEGAS CARRASCO</v>
      </c>
      <c r="E22" s="7" t="str">
        <f>IFERROR(VLOOKUP(D22,'Lista desplegable'!C$1:D$436,2,FALSE),"")</f>
        <v>PERFORISTA</v>
      </c>
      <c r="F22" s="19" t="s">
        <v>34</v>
      </c>
      <c r="G22" s="11" t="s">
        <v>20</v>
      </c>
      <c r="H22" s="11" t="s">
        <v>52</v>
      </c>
      <c r="I22" s="25">
        <v>0</v>
      </c>
      <c r="J22" s="11" t="s">
        <v>15</v>
      </c>
      <c r="K22" s="11" t="s">
        <v>14</v>
      </c>
      <c r="L22" s="11" t="s">
        <v>14</v>
      </c>
      <c r="M22" s="11" t="s">
        <v>1087</v>
      </c>
    </row>
    <row r="23" spans="2:13" s="1" customFormat="1" ht="13.15" customHeight="1">
      <c r="B23" s="24">
        <v>16</v>
      </c>
      <c r="C23" s="11" t="s">
        <v>632</v>
      </c>
      <c r="D23" s="7" t="str">
        <f>IFERROR(VLOOKUP(C23,'Lista desplegable'!B$1:C$436,2,FALSE),"")</f>
        <v>MARCO ANTONIO VELASQUEZ CIFUENTES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11" t="s">
        <v>52</v>
      </c>
      <c r="I23" s="25">
        <v>0</v>
      </c>
      <c r="J23" s="11" t="s">
        <v>15</v>
      </c>
      <c r="K23" s="11" t="s">
        <v>14</v>
      </c>
      <c r="L23" s="11" t="s">
        <v>14</v>
      </c>
      <c r="M23" s="11" t="s">
        <v>1087</v>
      </c>
    </row>
    <row r="24" spans="2:13" s="1" customFormat="1" ht="13.15" customHeight="1">
      <c r="B24" s="24">
        <v>17</v>
      </c>
      <c r="C24" s="11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>
        <v>0</v>
      </c>
      <c r="J24" s="11" t="s">
        <v>15</v>
      </c>
      <c r="K24" s="11" t="s">
        <v>14</v>
      </c>
      <c r="L24" s="11" t="s">
        <v>14</v>
      </c>
      <c r="M24" s="11" t="s">
        <v>1087</v>
      </c>
    </row>
    <row r="25" spans="2:13" s="1" customFormat="1" ht="13.15" customHeight="1">
      <c r="B25" s="24">
        <v>18</v>
      </c>
      <c r="C25" s="11" t="s">
        <v>80</v>
      </c>
      <c r="D25" s="7" t="str">
        <f>IFERROR(VLOOKUP(C25,'Lista desplegable'!B$1:C$436,2,FALSE),"")</f>
        <v>ALVARO IGNACIO GODOY BRUNA</v>
      </c>
      <c r="E25" s="7" t="str">
        <f>IFERROR(VLOOKUP(D25,'Lista desplegable'!C$1:D$436,2,FALSE),"")</f>
        <v>PERFORISTA</v>
      </c>
      <c r="F25" s="19" t="s">
        <v>41</v>
      </c>
      <c r="G25" s="11" t="s">
        <v>20</v>
      </c>
      <c r="H25" s="11" t="s">
        <v>52</v>
      </c>
      <c r="I25" s="25" t="s">
        <v>1085</v>
      </c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11" t="s">
        <v>802</v>
      </c>
      <c r="D26" s="7" t="str">
        <f>IFERROR(VLOOKUP(C26,'Lista desplegable'!B$1:C$436,2,FALSE),"")</f>
        <v>RICARDO ALEXIS LEMUS LOPEZ</v>
      </c>
      <c r="E26" s="7" t="str">
        <f>IFERROR(VLOOKUP(D26,'Lista desplegable'!C$1:D$436,2,FALSE),"")</f>
        <v>AYUDANTE DE PERFORISTA</v>
      </c>
      <c r="F26" s="19" t="s">
        <v>41</v>
      </c>
      <c r="G26" s="11" t="s">
        <v>20</v>
      </c>
      <c r="H26" s="11" t="s">
        <v>52</v>
      </c>
      <c r="I26" s="25" t="s">
        <v>1085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11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11" t="s">
        <v>52</v>
      </c>
      <c r="I27" s="25" t="s">
        <v>1085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11" t="s">
        <v>412</v>
      </c>
      <c r="D28" s="7" t="str">
        <f>IFERROR(VLOOKUP(C28,'Lista desplegable'!B$1:C$436,2,FALSE),"")</f>
        <v>HECTOR HUGO SEPULVEDA GAVILAN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 t="s">
        <v>1085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11" t="s">
        <v>952</v>
      </c>
      <c r="D29" s="7" t="str">
        <f>IFERROR(VLOOKUP(C29,'Lista desplegable'!B$1:C$436,2,FALSE),"")</f>
        <v>VLADIMIR OMAR CASTRO ENCINA</v>
      </c>
      <c r="E29" s="7" t="str">
        <f>IFERROR(VLOOKUP(D29,'Lista desplegable'!C$1:D$436,2,FALSE),"")</f>
        <v>PERFORISTA</v>
      </c>
      <c r="F29" s="19" t="s">
        <v>41</v>
      </c>
      <c r="G29" s="11" t="s">
        <v>20</v>
      </c>
      <c r="H29" s="11" t="s">
        <v>52</v>
      </c>
      <c r="I29" s="25" t="s">
        <v>1085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19" t="s">
        <v>41</v>
      </c>
      <c r="G30" s="11" t="s">
        <v>20</v>
      </c>
      <c r="H30" s="11" t="s">
        <v>52</v>
      </c>
      <c r="I30" s="25" t="s">
        <v>1085</v>
      </c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810</v>
      </c>
      <c r="D31" s="7" t="str">
        <f>IFERROR(VLOOKUP(C31,'Lista desplegable'!B$1:C$436,2,FALSE),"")</f>
        <v>RICARDO NICOLAS QUINTANA SANTANA</v>
      </c>
      <c r="E31" s="7" t="str">
        <f>IFERROR(VLOOKUP(D31,'Lista desplegable'!C$1:D$436,2,FALSE),"")</f>
        <v>AYUDANTE DE PERFORISTA</v>
      </c>
      <c r="F31" s="19" t="s">
        <v>41</v>
      </c>
      <c r="G31" s="11" t="s">
        <v>20</v>
      </c>
      <c r="H31" s="11" t="s">
        <v>52</v>
      </c>
      <c r="I31" s="25" t="s">
        <v>1085</v>
      </c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899</v>
      </c>
      <c r="D32" s="7" t="str">
        <f>IFERROR(VLOOKUP(C32,'Lista desplegable'!B$1:C$436,2,FALSE),"")</f>
        <v>SHANNAN ELIZABETH DOBB .</v>
      </c>
      <c r="E32" s="7" t="str">
        <f>IFERROR(VLOOKUP(D32,'Lista desplegable'!C$1:D$436,2,FALSE),"")</f>
        <v>AYUDANTE DE PERFORISTA</v>
      </c>
      <c r="F32" s="19" t="s">
        <v>41</v>
      </c>
      <c r="G32" s="11" t="s">
        <v>20</v>
      </c>
      <c r="H32" s="11" t="s">
        <v>52</v>
      </c>
      <c r="I32" s="25" t="s">
        <v>1085</v>
      </c>
      <c r="J32" s="11" t="s">
        <v>15</v>
      </c>
      <c r="K32" s="11" t="s">
        <v>14</v>
      </c>
      <c r="L32" s="11" t="s">
        <v>14</v>
      </c>
      <c r="M32" s="11"/>
    </row>
    <row r="33" spans="2:13" s="1" customFormat="1" ht="13.15" customHeight="1">
      <c r="B33" s="24">
        <v>26</v>
      </c>
      <c r="C33" s="11" t="s">
        <v>375</v>
      </c>
      <c r="D33" s="7" t="str">
        <f>IFERROR(VLOOKUP(C33,'Lista desplegable'!B$1:C$436,2,FALSE),"")</f>
        <v>FRANCISCO PEDRO BORNAZ DELGADO</v>
      </c>
      <c r="E33" s="7" t="str">
        <f>IFERROR(VLOOKUP(D33,'Lista desplegable'!C$1:D$436,2,FALSE),"")</f>
        <v>SUPERVISOR DE OPERACIONES</v>
      </c>
      <c r="F33" s="19" t="s">
        <v>41</v>
      </c>
      <c r="G33" s="11" t="s">
        <v>20</v>
      </c>
      <c r="H33" s="11" t="s">
        <v>52</v>
      </c>
      <c r="I33" s="25" t="s">
        <v>1085</v>
      </c>
      <c r="J33" s="11" t="s">
        <v>23</v>
      </c>
      <c r="K33" s="11" t="s">
        <v>14</v>
      </c>
      <c r="L33" s="11" t="s">
        <v>14</v>
      </c>
      <c r="M33" s="11"/>
    </row>
    <row r="34" spans="2:13" ht="13.15" customHeight="1">
      <c r="B34" s="24">
        <v>27</v>
      </c>
      <c r="C34" s="11" t="s">
        <v>531</v>
      </c>
      <c r="D34" s="7" t="str">
        <f>IFERROR(VLOOKUP(C34,'Lista desplegable'!B$1:C$436,2,FALSE),"")</f>
        <v>JUAN ALEXIS AVILEZ MOLINA</v>
      </c>
      <c r="E34" s="7" t="str">
        <f>IFERROR(VLOOKUP(D34,'Lista desplegable'!C$1:D$436,2,FALSE),"")</f>
        <v>AYUDANTE DE PERFORISTA</v>
      </c>
      <c r="F34" s="19" t="s">
        <v>41</v>
      </c>
      <c r="G34" s="11" t="s">
        <v>20</v>
      </c>
      <c r="H34" s="11" t="s">
        <v>52</v>
      </c>
      <c r="I34" s="25" t="s">
        <v>1085</v>
      </c>
      <c r="J34" s="11" t="s">
        <v>15</v>
      </c>
      <c r="K34" s="11" t="s">
        <v>14</v>
      </c>
      <c r="L34" s="11" t="s">
        <v>14</v>
      </c>
      <c r="M34" s="11"/>
    </row>
    <row r="35" spans="2:13" s="1" customFormat="1" ht="13.15" customHeight="1">
      <c r="B35" s="24">
        <v>28</v>
      </c>
      <c r="C35" s="11" t="s">
        <v>589</v>
      </c>
      <c r="D35" s="7" t="str">
        <f>IFERROR(VLOOKUP(C35,'Lista desplegable'!B$1:C$436,2,FALSE),"")</f>
        <v>LUIS ALFREDO MORENO RIOS</v>
      </c>
      <c r="E35" s="7" t="str">
        <f>IFERROR(VLOOKUP(D35,'Lista desplegable'!C$1:D$436,2,FALSE),"")</f>
        <v>CHOFER</v>
      </c>
      <c r="F35" s="19"/>
      <c r="G35" s="11"/>
      <c r="H35" s="11"/>
      <c r="I35" s="25"/>
      <c r="J35" s="11" t="s">
        <v>37</v>
      </c>
      <c r="K35" s="11"/>
      <c r="L35" s="11"/>
      <c r="M35" s="11" t="s">
        <v>1088</v>
      </c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ht="13.15" customHeight="1">
      <c r="C37"/>
    </row>
    <row r="38" spans="2:13" ht="13.15" customHeight="1">
      <c r="C38"/>
    </row>
    <row r="39" spans="2:13" ht="25.15" customHeight="1">
      <c r="C39" s="138" t="s">
        <v>1089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</row>
    <row r="40" spans="2:13" ht="33.4" customHeight="1">
      <c r="B40" s="12" t="s">
        <v>980</v>
      </c>
      <c r="C40" s="12" t="s">
        <v>0</v>
      </c>
      <c r="D40" s="12" t="s">
        <v>1</v>
      </c>
      <c r="E40" s="12" t="s">
        <v>981</v>
      </c>
      <c r="F40" s="12" t="s">
        <v>982</v>
      </c>
      <c r="G40" s="12" t="s">
        <v>983</v>
      </c>
      <c r="H40" s="12" t="s">
        <v>984</v>
      </c>
      <c r="I40" s="12" t="s">
        <v>985</v>
      </c>
      <c r="J40" s="12" t="s">
        <v>7</v>
      </c>
      <c r="K40" s="17" t="s">
        <v>986</v>
      </c>
      <c r="L40" s="17" t="s">
        <v>987</v>
      </c>
      <c r="M40" s="12" t="s">
        <v>988</v>
      </c>
    </row>
    <row r="41" spans="2:13" ht="13.15" customHeight="1">
      <c r="B41" s="24">
        <v>1</v>
      </c>
      <c r="C41" s="11" t="s">
        <v>702</v>
      </c>
      <c r="D41" s="7" t="str">
        <f>IFERROR(VLOOKUP(C41,'Lista desplegable'!B$1:C$436,2,FALSE),"")</f>
        <v>NELSON PATRICIO FLORES SANHUEZA</v>
      </c>
      <c r="E41" s="7" t="str">
        <f>IFERROR(VLOOKUP(D41,'Lista desplegable'!C$1:D$436,2,FALSE),"")</f>
        <v>PREVENCIONISTA DE RIESGOS</v>
      </c>
      <c r="F41" s="19" t="s">
        <v>34</v>
      </c>
      <c r="G41" s="11" t="s">
        <v>20</v>
      </c>
      <c r="H41" s="11" t="s">
        <v>52</v>
      </c>
      <c r="I41" s="25" t="s">
        <v>1090</v>
      </c>
      <c r="J41" s="11" t="s">
        <v>15</v>
      </c>
      <c r="K41" s="11" t="s">
        <v>14</v>
      </c>
      <c r="L41" s="11" t="s">
        <v>22</v>
      </c>
      <c r="M41" s="11" t="s">
        <v>1091</v>
      </c>
    </row>
    <row r="42" spans="2:13" ht="13.15" customHeight="1">
      <c r="B42" s="24">
        <v>2</v>
      </c>
      <c r="C42" s="11" t="s">
        <v>156</v>
      </c>
      <c r="D42" s="7" t="str">
        <f>IFERROR(VLOOKUP(C42,'Lista desplegable'!B$1:C$436,2,FALSE),"")</f>
        <v>CARLOS ALBERTO RAMOS VELASQUEZ</v>
      </c>
      <c r="E42" s="7" t="str">
        <f>IFERROR(VLOOKUP(D42,'Lista desplegable'!C$1:D$436,2,FALSE),"")</f>
        <v>SUPERVISOR DE OPERACIONES</v>
      </c>
      <c r="F42" s="19" t="s">
        <v>34</v>
      </c>
      <c r="G42" s="11" t="s">
        <v>20</v>
      </c>
      <c r="H42" s="11" t="s">
        <v>52</v>
      </c>
      <c r="I42" s="25" t="s">
        <v>1090</v>
      </c>
      <c r="J42" s="11" t="s">
        <v>15</v>
      </c>
      <c r="K42" s="11" t="s">
        <v>14</v>
      </c>
      <c r="L42" s="11" t="s">
        <v>22</v>
      </c>
      <c r="M42" s="11" t="s">
        <v>1091</v>
      </c>
    </row>
    <row r="43" spans="2:13" ht="13.15" customHeight="1">
      <c r="B43" s="24">
        <v>3</v>
      </c>
      <c r="C43" s="11" t="s">
        <v>283</v>
      </c>
      <c r="D43" s="7" t="str">
        <f>IFERROR(VLOOKUP(C43,'Lista desplegable'!B$1:C$436,2,FALSE),"")</f>
        <v>DIEGO NICOLAS GONZALEZ OLIVARES</v>
      </c>
      <c r="E43" s="7" t="str">
        <f>IFERROR(VLOOKUP(D43,'Lista desplegable'!C$1:D$436,2,FALSE),"")</f>
        <v>MECANICO</v>
      </c>
      <c r="F43" s="19" t="s">
        <v>34</v>
      </c>
      <c r="G43" s="11" t="s">
        <v>20</v>
      </c>
      <c r="H43" s="11" t="s">
        <v>52</v>
      </c>
      <c r="I43" s="25" t="s">
        <v>1090</v>
      </c>
      <c r="J43" s="11" t="s">
        <v>15</v>
      </c>
      <c r="K43" s="11" t="s">
        <v>14</v>
      </c>
      <c r="L43" s="11" t="s">
        <v>22</v>
      </c>
      <c r="M43" s="11" t="s">
        <v>1091</v>
      </c>
    </row>
    <row r="44" spans="2:13" ht="13.15" customHeight="1">
      <c r="B44" s="24">
        <v>4</v>
      </c>
      <c r="C44" s="11" t="s">
        <v>636</v>
      </c>
      <c r="D44" s="7" t="str">
        <f>IFERROR(VLOOKUP(C44,'Lista desplegable'!B$1:C$436,2,FALSE),"")</f>
        <v>MARCOS ANTONIO ALDEA BEROIZA</v>
      </c>
      <c r="E44" s="7" t="str">
        <f>IFERROR(VLOOKUP(D44,'Lista desplegable'!C$1:D$436,2,FALSE),"")</f>
        <v>CHOFER</v>
      </c>
      <c r="F44" s="19" t="s">
        <v>34</v>
      </c>
      <c r="G44" s="11" t="s">
        <v>20</v>
      </c>
      <c r="H44" s="11" t="s">
        <v>52</v>
      </c>
      <c r="I44" s="25" t="s">
        <v>1090</v>
      </c>
      <c r="J44" s="11" t="s">
        <v>15</v>
      </c>
      <c r="K44" s="11" t="s">
        <v>14</v>
      </c>
      <c r="L44" s="11" t="s">
        <v>22</v>
      </c>
      <c r="M44" s="11" t="s">
        <v>1091</v>
      </c>
    </row>
    <row r="45" spans="2:13" ht="13.15" customHeight="1">
      <c r="B45" s="24">
        <v>5</v>
      </c>
      <c r="C45" s="11" t="s">
        <v>294</v>
      </c>
      <c r="D45" s="7" t="str">
        <f>IFERROR(VLOOKUP(C45,'Lista desplegable'!B$1:C$436,2,FALSE),"")</f>
        <v>EDUARDO ANTONIO CASTILLO VALENZUELA</v>
      </c>
      <c r="E45" s="7" t="str">
        <f>IFERROR(VLOOKUP(D45,'Lista desplegable'!C$1:D$436,2,FALSE),"")</f>
        <v>PERFORISTA</v>
      </c>
      <c r="F45" s="19" t="s">
        <v>34</v>
      </c>
      <c r="G45" s="11" t="s">
        <v>20</v>
      </c>
      <c r="H45" s="11" t="s">
        <v>52</v>
      </c>
      <c r="I45" s="25" t="s">
        <v>1090</v>
      </c>
      <c r="J45" s="11" t="s">
        <v>15</v>
      </c>
      <c r="K45" s="11" t="s">
        <v>14</v>
      </c>
      <c r="L45" s="11" t="s">
        <v>22</v>
      </c>
      <c r="M45" s="11" t="s">
        <v>1091</v>
      </c>
    </row>
    <row r="46" spans="2:13" ht="13.15" customHeight="1">
      <c r="B46" s="24">
        <v>6</v>
      </c>
      <c r="C46" s="11" t="s">
        <v>451</v>
      </c>
      <c r="D46" s="7" t="str">
        <f>IFERROR(VLOOKUP(C46,'Lista desplegable'!B$1:C$436,2,FALSE),"")</f>
        <v>JEAN CHARLES CERDA ORREGO</v>
      </c>
      <c r="E46" s="7" t="str">
        <f>IFERROR(VLOOKUP(D46,'Lista desplegable'!C$1:D$436,2,FALSE),"")</f>
        <v>AYUDANTE DE PERFORISTA</v>
      </c>
      <c r="F46" s="19" t="s">
        <v>34</v>
      </c>
      <c r="G46" s="11" t="s">
        <v>20</v>
      </c>
      <c r="H46" s="11" t="s">
        <v>52</v>
      </c>
      <c r="I46" s="25" t="s">
        <v>1090</v>
      </c>
      <c r="J46" s="11" t="s">
        <v>15</v>
      </c>
      <c r="K46" s="11" t="s">
        <v>14</v>
      </c>
      <c r="L46" s="11" t="s">
        <v>22</v>
      </c>
      <c r="M46" s="11" t="s">
        <v>1091</v>
      </c>
    </row>
    <row r="47" spans="2:13" ht="13.15" customHeight="1">
      <c r="B47" s="24">
        <v>7</v>
      </c>
      <c r="C47" s="11" t="s">
        <v>871</v>
      </c>
      <c r="D47" s="7" t="str">
        <f>IFERROR(VLOOKUP(C47,'Lista desplegable'!B$1:C$436,2,FALSE),"")</f>
        <v>RUBEN IGNACIO CORTES BORBON</v>
      </c>
      <c r="E47" s="7" t="str">
        <f>IFERROR(VLOOKUP(D47,'Lista desplegable'!C$1:D$436,2,FALSE),"")</f>
        <v>AYUDANTE DE PERFORISTA</v>
      </c>
      <c r="F47" s="19" t="s">
        <v>34</v>
      </c>
      <c r="G47" s="11" t="s">
        <v>20</v>
      </c>
      <c r="H47" s="11" t="s">
        <v>52</v>
      </c>
      <c r="I47" s="25" t="s">
        <v>1090</v>
      </c>
      <c r="J47" s="11" t="s">
        <v>15</v>
      </c>
      <c r="K47" s="11" t="s">
        <v>14</v>
      </c>
      <c r="L47" s="11" t="s">
        <v>22</v>
      </c>
      <c r="M47" s="11" t="s">
        <v>1091</v>
      </c>
    </row>
    <row r="48" spans="2:13" ht="13.15" customHeight="1">
      <c r="B48" s="24">
        <v>8</v>
      </c>
      <c r="C48" s="11" t="s">
        <v>560</v>
      </c>
      <c r="D48" s="7" t="str">
        <f>IFERROR(VLOOKUP(C48,'Lista desplegable'!B$1:C$436,2,FALSE),"")</f>
        <v>KEVIN ALEXIS NEYRA CORTES</v>
      </c>
      <c r="E48" s="7" t="str">
        <f>IFERROR(VLOOKUP(D48,'Lista desplegable'!C$1:D$436,2,FALSE),"")</f>
        <v>PERFORISTA</v>
      </c>
      <c r="F48" s="19" t="s">
        <v>41</v>
      </c>
      <c r="G48" s="11" t="s">
        <v>20</v>
      </c>
      <c r="H48" s="11" t="s">
        <v>52</v>
      </c>
      <c r="I48" s="25" t="s">
        <v>1092</v>
      </c>
      <c r="J48" s="11" t="s">
        <v>15</v>
      </c>
      <c r="K48" s="11" t="s">
        <v>14</v>
      </c>
      <c r="L48" s="11" t="s">
        <v>22</v>
      </c>
      <c r="M48" s="11" t="s">
        <v>1091</v>
      </c>
    </row>
    <row r="49" spans="2:13" ht="13.15" customHeight="1">
      <c r="B49" s="24">
        <v>9</v>
      </c>
      <c r="C49" s="11" t="s">
        <v>740</v>
      </c>
      <c r="D49" s="7" t="str">
        <f>IFERROR(VLOOKUP(C49,'Lista desplegable'!B$1:C$436,2,FALSE),"")</f>
        <v>OSCAR RODRIGO ARIAS LEIVA</v>
      </c>
      <c r="E49" s="7" t="str">
        <f>IFERROR(VLOOKUP(D49,'Lista desplegable'!C$1:D$436,2,FALSE),"")</f>
        <v>AYUDANTE DE PERFORISTA</v>
      </c>
      <c r="F49" s="19" t="s">
        <v>41</v>
      </c>
      <c r="G49" s="11" t="s">
        <v>20</v>
      </c>
      <c r="H49" s="11" t="s">
        <v>52</v>
      </c>
      <c r="I49" s="25" t="s">
        <v>1092</v>
      </c>
      <c r="J49" s="11" t="s">
        <v>15</v>
      </c>
      <c r="K49" s="11" t="s">
        <v>14</v>
      </c>
      <c r="L49" s="11" t="s">
        <v>22</v>
      </c>
      <c r="M49" s="11" t="s">
        <v>1091</v>
      </c>
    </row>
    <row r="50" spans="2:13" ht="13.15" customHeight="1">
      <c r="B50" s="24">
        <v>10</v>
      </c>
      <c r="C50" s="11" t="s">
        <v>764</v>
      </c>
      <c r="D50" s="7" t="str">
        <f>IFERROR(VLOOKUP(C50,'Lista desplegable'!B$1:C$436,2,FALSE),"")</f>
        <v>PATRICIO RENAN GONZALEZ CABELLO</v>
      </c>
      <c r="E50" s="7" t="str">
        <f>IFERROR(VLOOKUP(D50,'Lista desplegable'!C$1:D$436,2,FALSE),"")</f>
        <v>AYUDANTE DE PERFORISTA</v>
      </c>
      <c r="F50" s="19" t="s">
        <v>41</v>
      </c>
      <c r="G50" s="11" t="s">
        <v>20</v>
      </c>
      <c r="H50" s="11" t="s">
        <v>52</v>
      </c>
      <c r="I50" s="25" t="s">
        <v>1092</v>
      </c>
      <c r="J50" s="11" t="s">
        <v>15</v>
      </c>
      <c r="K50" s="11" t="s">
        <v>14</v>
      </c>
      <c r="L50" s="11" t="s">
        <v>22</v>
      </c>
      <c r="M50" s="11" t="s">
        <v>1091</v>
      </c>
    </row>
    <row r="51" spans="2:13" ht="13.15" customHeight="1">
      <c r="B51" s="24">
        <v>11</v>
      </c>
      <c r="C51" s="11" t="s">
        <v>301</v>
      </c>
      <c r="D51" s="7" t="str">
        <f>IFERROR(VLOOKUP(C51,'Lista desplegable'!B$1:C$436,2,FALSE),"")</f>
        <v>ELMER RISCO RAMOS</v>
      </c>
      <c r="E51" s="7" t="str">
        <f>IFERROR(VLOOKUP(D51,'Lista desplegable'!C$1:D$436,2,FALSE),"")</f>
        <v>PERFORISTA</v>
      </c>
      <c r="F51" s="19" t="s">
        <v>34</v>
      </c>
      <c r="G51" s="11" t="s">
        <v>20</v>
      </c>
      <c r="H51" s="11" t="s">
        <v>52</v>
      </c>
      <c r="I51" s="25" t="s">
        <v>1090</v>
      </c>
      <c r="J51" s="11" t="s">
        <v>15</v>
      </c>
      <c r="K51" s="11" t="s">
        <v>14</v>
      </c>
      <c r="L51" s="11" t="s">
        <v>22</v>
      </c>
      <c r="M51" s="11" t="s">
        <v>1093</v>
      </c>
    </row>
    <row r="52" spans="2:13" ht="13.15" customHeight="1">
      <c r="B52" s="24">
        <v>12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25"/>
      <c r="J52" s="11"/>
      <c r="K52" s="11"/>
      <c r="L52" s="11"/>
      <c r="M52" s="11"/>
    </row>
    <row r="53" spans="2:13" ht="13.15" customHeight="1">
      <c r="B53" s="24">
        <v>13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25"/>
      <c r="J53" s="11"/>
      <c r="K53" s="11"/>
      <c r="L53" s="11"/>
      <c r="M53" s="11"/>
    </row>
    <row r="54" spans="2:13" ht="13.15" customHeight="1">
      <c r="B54" s="24">
        <v>14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25"/>
      <c r="J54" s="11"/>
      <c r="K54" s="11"/>
      <c r="L54" s="11"/>
      <c r="M54" s="11"/>
    </row>
    <row r="55" spans="2:13" ht="13.9">
      <c r="C55" s="9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ht="13.9">
      <c r="C56" s="9"/>
      <c r="D56" s="6" t="s">
        <v>1094</v>
      </c>
      <c r="E56" s="6" t="s">
        <v>1095</v>
      </c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 t="s">
        <v>1096</v>
      </c>
      <c r="E57" s="6" t="s">
        <v>1097</v>
      </c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 t="s">
        <v>1098</v>
      </c>
      <c r="E58" s="6" t="s">
        <v>1099</v>
      </c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9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9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9">
      <c r="C75" s="9"/>
      <c r="D75" s="6"/>
      <c r="E75" s="6"/>
    </row>
  </sheetData>
  <mergeCells count="4">
    <mergeCell ref="G2:I2"/>
    <mergeCell ref="G3:I3"/>
    <mergeCell ref="C6:M6"/>
    <mergeCell ref="C39:M39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0736BD2-7D28-47D8-9F9A-A7CBF0FEAAC6}">
          <x14:formula1>
            <xm:f>'Lista desplegable'!$N$2:$N$5</xm:f>
          </x14:formula1>
          <xm:sqref>J41:J54 J8:J36</xm:sqref>
        </x14:dataValidation>
        <x14:dataValidation type="list" allowBlank="1" showInputMessage="1" showErrorMessage="1" xr:uid="{77796332-BE28-4B33-9B3E-661E51D967B3}">
          <x14:formula1>
            <xm:f>'Lista desplegable'!$B$2:$B$436</xm:f>
          </x14:formula1>
          <xm:sqref>C41:C54 C8:C36</xm:sqref>
        </x14:dataValidation>
        <x14:dataValidation type="list" allowBlank="1" showInputMessage="1" showErrorMessage="1" xr:uid="{B5B47AD5-F1A9-45D7-8AA8-E51F58262651}">
          <x14:formula1>
            <xm:f>'Lista desplegable'!$F$2:$F$19</xm:f>
          </x14:formula1>
          <xm:sqref>F41:F54 F8:F36</xm:sqref>
        </x14:dataValidation>
        <x14:dataValidation type="list" allowBlank="1" showInputMessage="1" showErrorMessage="1" xr:uid="{CC45F9AC-0FF7-4E44-AB72-395BB09E1251}">
          <x14:formula1>
            <xm:f>'Lista desplegable'!$J$2:$J$10</xm:f>
          </x14:formula1>
          <xm:sqref>H41:H54 H8:H36</xm:sqref>
        </x14:dataValidation>
        <x14:dataValidation type="list" allowBlank="1" showInputMessage="1" showErrorMessage="1" xr:uid="{B3399A3C-2DDF-4490-829D-F7196D135656}">
          <x14:formula1>
            <xm:f>'Lista desplegable'!$H$2:$H$7</xm:f>
          </x14:formula1>
          <xm:sqref>G41:G54 G8:G36</xm:sqref>
        </x14:dataValidation>
        <x14:dataValidation type="list" allowBlank="1" showInputMessage="1" showErrorMessage="1" xr:uid="{1A077658-CB84-49E9-930E-C871D79326F3}">
          <x14:formula1>
            <xm:f>'Lista desplegable'!$L$2:$L$3</xm:f>
          </x14:formula1>
          <xm:sqref>K41:L54 K8:L36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9BB5-8837-4FC7-8FDE-C0D34299DB1A}">
  <dimension ref="B1:M76"/>
  <sheetViews>
    <sheetView zoomScaleNormal="100" workbookViewId="0">
      <selection activeCell="M44" sqref="M44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1100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 t="s">
        <v>34</v>
      </c>
      <c r="G8" s="11" t="s">
        <v>20</v>
      </c>
      <c r="H8" s="11" t="s">
        <v>52</v>
      </c>
      <c r="I8" s="25" t="s">
        <v>1012</v>
      </c>
      <c r="J8" s="11" t="s">
        <v>37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 t="s">
        <v>34</v>
      </c>
      <c r="G9" s="11" t="s">
        <v>20</v>
      </c>
      <c r="H9" s="11" t="s">
        <v>52</v>
      </c>
      <c r="I9" s="25" t="s">
        <v>1012</v>
      </c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19" t="s">
        <v>34</v>
      </c>
      <c r="G10" s="11" t="s">
        <v>20</v>
      </c>
      <c r="H10" s="11" t="s">
        <v>52</v>
      </c>
      <c r="I10" s="25" t="s">
        <v>1012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11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/>
      <c r="G11" s="11"/>
      <c r="H11" s="11"/>
      <c r="I11" s="25"/>
      <c r="J11" s="11" t="s">
        <v>23</v>
      </c>
      <c r="K11" s="11"/>
      <c r="L11" s="11"/>
      <c r="M11" s="11"/>
    </row>
    <row r="12" spans="2:13" s="1" customFormat="1" ht="13.15" customHeight="1">
      <c r="B12" s="24">
        <v>5</v>
      </c>
      <c r="C12" s="11" t="s">
        <v>149</v>
      </c>
      <c r="D12" s="7" t="str">
        <f>IFERROR(VLOOKUP(C12,'Lista desplegable'!B$1:C$436,2,FALSE),"")</f>
        <v>CAMILO FELIPE CRUZ MOLINA</v>
      </c>
      <c r="E12" s="7" t="str">
        <f>IFERROR(VLOOKUP(D12,'Lista desplegable'!C$1:D$436,2,FALSE),"")</f>
        <v>SUPERVISOR DE OPERACIONES</v>
      </c>
      <c r="F12" s="19" t="s">
        <v>34</v>
      </c>
      <c r="G12" s="11" t="s">
        <v>20</v>
      </c>
      <c r="H12" s="11" t="s">
        <v>52</v>
      </c>
      <c r="I12" s="25" t="s">
        <v>1012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786</v>
      </c>
      <c r="D13" s="7" t="str">
        <f>IFERROR(VLOOKUP(C13,'Lista desplegable'!B$1:C$436,2,FALSE),"")</f>
        <v>RAUL ESTEBAN HERNANDEZ PIZARRO</v>
      </c>
      <c r="E13" s="7" t="str">
        <f>IFERROR(VLOOKUP(D13,'Lista desplegable'!C$1:D$436,2,FALSE),"")</f>
        <v>PREVENCIONISTA DE RIESGOS</v>
      </c>
      <c r="F13" s="19" t="s">
        <v>34</v>
      </c>
      <c r="G13" s="11" t="s">
        <v>20</v>
      </c>
      <c r="H13" s="11" t="s">
        <v>52</v>
      </c>
      <c r="I13" s="25" t="s">
        <v>1012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609</v>
      </c>
      <c r="D14" s="7" t="str">
        <f>IFERROR(VLOOKUP(C14,'Lista desplegable'!B$1:C$436,2,FALSE),"")</f>
        <v>MANUEL ALEJANDRO LISAMBARTH CARABANTES</v>
      </c>
      <c r="E14" s="7" t="str">
        <f>IFERROR(VLOOKUP(D14,'Lista desplegable'!C$1:D$436,2,FALSE),"")</f>
        <v>ADMINISTRATIVO DE FAENA</v>
      </c>
      <c r="F14" s="19" t="s">
        <v>34</v>
      </c>
      <c r="G14" s="11" t="s">
        <v>20</v>
      </c>
      <c r="H14" s="11" t="s">
        <v>52</v>
      </c>
      <c r="I14" s="25" t="s">
        <v>1012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851</v>
      </c>
      <c r="D15" s="7" t="str">
        <f>IFERROR(VLOOKUP(C15,'Lista desplegable'!B$1:C$436,2,FALSE),"")</f>
        <v>RODRIGO ANDRES DIAZ INOSTROZA</v>
      </c>
      <c r="E15" s="7" t="str">
        <f>IFERROR(VLOOKUP(D15,'Lista desplegable'!C$1:D$436,2,FALSE),"")</f>
        <v>BODEGUERO</v>
      </c>
      <c r="F15" s="19" t="s">
        <v>34</v>
      </c>
      <c r="G15" s="11" t="s">
        <v>20</v>
      </c>
      <c r="H15" s="11" t="s">
        <v>52</v>
      </c>
      <c r="I15" s="25" t="s">
        <v>1012</v>
      </c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595</v>
      </c>
      <c r="D16" s="7" t="str">
        <f>IFERROR(VLOOKUP(C16,'Lista desplegable'!B$1:C$436,2,FALSE),"")</f>
        <v>LUIS GERARDO LOPEZ OLAVE</v>
      </c>
      <c r="E16" s="7" t="str">
        <f>IFERROR(VLOOKUP(D16,'Lista desplegable'!C$1:D$436,2,FALSE),"")</f>
        <v>MECANICO</v>
      </c>
      <c r="F16" s="19" t="s">
        <v>34</v>
      </c>
      <c r="G16" s="11" t="s">
        <v>20</v>
      </c>
      <c r="H16" s="11" t="s">
        <v>52</v>
      </c>
      <c r="I16" s="25" t="s">
        <v>1012</v>
      </c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205</v>
      </c>
      <c r="D17" s="7" t="str">
        <f>IFERROR(VLOOKUP(C17,'Lista desplegable'!B$1:C$436,2,FALSE),"")</f>
        <v>CRISTIAN ALEJANDRO TOLEDO GONZALEZ</v>
      </c>
      <c r="E17" s="7" t="str">
        <f>IFERROR(VLOOKUP(D17,'Lista desplegable'!C$1:D$436,2,FALSE),"")</f>
        <v>ELECTROMECANICO</v>
      </c>
      <c r="F17" s="19" t="s">
        <v>34</v>
      </c>
      <c r="G17" s="11" t="s">
        <v>20</v>
      </c>
      <c r="H17" s="11" t="s">
        <v>52</v>
      </c>
      <c r="I17" s="25" t="s">
        <v>1012</v>
      </c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19" t="s">
        <v>34</v>
      </c>
      <c r="G18" s="11" t="s">
        <v>20</v>
      </c>
      <c r="H18" s="11" t="s">
        <v>52</v>
      </c>
      <c r="I18" s="25" t="s">
        <v>1012</v>
      </c>
      <c r="J18" s="11" t="s">
        <v>15</v>
      </c>
      <c r="K18" s="11" t="s">
        <v>14</v>
      </c>
      <c r="L18" s="11" t="s">
        <v>14</v>
      </c>
      <c r="M18" s="11" t="s">
        <v>1101</v>
      </c>
    </row>
    <row r="19" spans="2:13" s="1" customFormat="1" ht="13.15" customHeight="1">
      <c r="B19" s="24">
        <v>12</v>
      </c>
      <c r="C19" s="11" t="s">
        <v>183</v>
      </c>
      <c r="D19" s="7" t="str">
        <f>IFERROR(VLOOKUP(C19,'Lista desplegable'!B$1:C$436,2,FALSE),"")</f>
        <v>CHRISTIAN DARIEM PIZARRO MUÑOZ</v>
      </c>
      <c r="E19" s="7" t="str">
        <f>IFERROR(VLOOKUP(D19,'Lista desplegable'!C$1:D$436,2,FALSE),"")</f>
        <v>SOLDADOR</v>
      </c>
      <c r="F19" s="19" t="s">
        <v>34</v>
      </c>
      <c r="G19" s="11" t="s">
        <v>20</v>
      </c>
      <c r="H19" s="11" t="s">
        <v>52</v>
      </c>
      <c r="I19" s="25" t="s">
        <v>1012</v>
      </c>
      <c r="J19" s="11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11" t="s">
        <v>867</v>
      </c>
      <c r="D20" s="7" t="str">
        <f>IFERROR(VLOOKUP(C20,'Lista desplegable'!B$1:C$436,2,FALSE),"")</f>
        <v>RONALD SEBASTIAN BORQUEZ CAMPUSANO</v>
      </c>
      <c r="E20" s="7" t="str">
        <f>IFERROR(VLOOKUP(D20,'Lista desplegable'!C$1:D$436,2,FALSE),"")</f>
        <v>CHOFER</v>
      </c>
      <c r="F20" s="19" t="s">
        <v>34</v>
      </c>
      <c r="G20" s="11" t="s">
        <v>20</v>
      </c>
      <c r="H20" s="11" t="s">
        <v>52</v>
      </c>
      <c r="I20" s="25" t="s">
        <v>1012</v>
      </c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734</v>
      </c>
      <c r="D21" s="7" t="str">
        <f>IFERROR(VLOOKUP(C21,'Lista desplegable'!B$1:C$436,2,FALSE),"")</f>
        <v>OSCAR ALEXIS JARA MEJIAS</v>
      </c>
      <c r="E21" s="7" t="str">
        <f>IFERROR(VLOOKUP(D21,'Lista desplegable'!C$1:D$436,2,FALSE),"")</f>
        <v>CHOFER</v>
      </c>
      <c r="F21" s="19" t="s">
        <v>34</v>
      </c>
      <c r="G21" s="11" t="s">
        <v>20</v>
      </c>
      <c r="H21" s="11" t="s">
        <v>52</v>
      </c>
      <c r="I21" s="25" t="s">
        <v>1012</v>
      </c>
      <c r="J21" s="11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11" t="s">
        <v>243</v>
      </c>
      <c r="D22" s="7" t="str">
        <f>IFERROR(VLOOKUP(C22,'Lista desplegable'!B$1:C$436,2,FALSE),"")</f>
        <v>DANIEL ANDRES VENEGAS CARRASCO</v>
      </c>
      <c r="E22" s="7" t="str">
        <f>IFERROR(VLOOKUP(D22,'Lista desplegable'!C$1:D$436,2,FALSE),"")</f>
        <v>PERFORISTA</v>
      </c>
      <c r="F22" s="19" t="s">
        <v>34</v>
      </c>
      <c r="G22" s="11" t="s">
        <v>20</v>
      </c>
      <c r="H22" s="11" t="s">
        <v>52</v>
      </c>
      <c r="I22" s="25" t="s">
        <v>1012</v>
      </c>
      <c r="J22" s="11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11" t="s">
        <v>632</v>
      </c>
      <c r="D23" s="7" t="str">
        <f>IFERROR(VLOOKUP(C23,'Lista desplegable'!B$1:C$436,2,FALSE),"")</f>
        <v>MARCO ANTONIO VELASQUEZ CIFUENTES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11" t="s">
        <v>52</v>
      </c>
      <c r="I23" s="25" t="s">
        <v>1012</v>
      </c>
      <c r="J23" s="11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11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 t="s">
        <v>1012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11" t="s">
        <v>412</v>
      </c>
      <c r="D25" s="7" t="str">
        <f>IFERROR(VLOOKUP(C25,'Lista desplegable'!B$1:C$436,2,FALSE),"")</f>
        <v>HECTOR HUGO SEPULVEDA GAVILAN</v>
      </c>
      <c r="E25" s="7" t="str">
        <f>IFERROR(VLOOKUP(D25,'Lista desplegable'!C$1:D$436,2,FALSE),"")</f>
        <v>AYUDANTE DE PERFORISTA</v>
      </c>
      <c r="F25" s="19" t="s">
        <v>34</v>
      </c>
      <c r="G25" s="11" t="s">
        <v>20</v>
      </c>
      <c r="H25" s="11" t="s">
        <v>52</v>
      </c>
      <c r="I25" s="25" t="s">
        <v>1012</v>
      </c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11" t="s">
        <v>80</v>
      </c>
      <c r="D26" s="7" t="str">
        <f>IFERROR(VLOOKUP(C26,'Lista desplegable'!B$1:C$436,2,FALSE),"")</f>
        <v>ALVARO IGNACIO GODOY BRUNA</v>
      </c>
      <c r="E26" s="7" t="str">
        <f>IFERROR(VLOOKUP(D26,'Lista desplegable'!C$1:D$436,2,FALSE),"")</f>
        <v>PERFORISTA</v>
      </c>
      <c r="F26" s="19" t="s">
        <v>41</v>
      </c>
      <c r="G26" s="11" t="s">
        <v>20</v>
      </c>
      <c r="H26" s="11" t="s">
        <v>52</v>
      </c>
      <c r="I26" s="25" t="s">
        <v>1102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11" t="s">
        <v>802</v>
      </c>
      <c r="D27" s="120" t="str">
        <f>IFERROR(VLOOKUP(C27,'Lista desplegable'!B$1:C$436,2,FALSE),"")</f>
        <v>RICARDO ALEXIS LEMUS LOPEZ</v>
      </c>
      <c r="E27" s="7" t="str">
        <f>IFERROR(VLOOKUP(D27,'Lista desplegable'!C$1:D$436,2,FALSE),"")</f>
        <v>AYUDANTE DE PERFORISTA</v>
      </c>
      <c r="F27" s="19"/>
      <c r="G27" s="11"/>
      <c r="H27" s="11"/>
      <c r="I27" s="25"/>
      <c r="J27" s="11" t="s">
        <v>15</v>
      </c>
      <c r="K27" s="11" t="s">
        <v>14</v>
      </c>
      <c r="L27" s="11" t="s">
        <v>22</v>
      </c>
      <c r="M27" s="11" t="s">
        <v>1103</v>
      </c>
    </row>
    <row r="28" spans="2:13" s="1" customFormat="1" ht="13.15" customHeight="1">
      <c r="B28" s="24">
        <v>21</v>
      </c>
      <c r="C28" s="11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 t="s">
        <v>1102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11" t="s">
        <v>810</v>
      </c>
      <c r="D29" s="7" t="str">
        <f>IFERROR(VLOOKUP(C29,'Lista desplegable'!B$1:C$436,2,FALSE),"")</f>
        <v>RICARDO NICOLAS QUINTANA SANTANA</v>
      </c>
      <c r="E29" s="7" t="str">
        <f>IFERROR(VLOOKUP(D29,'Lista desplegable'!C$1:D$436,2,FALSE),"")</f>
        <v>AYUDANTE DE PERFORISTA</v>
      </c>
      <c r="F29" s="19" t="s">
        <v>34</v>
      </c>
      <c r="G29" s="11" t="s">
        <v>20</v>
      </c>
      <c r="H29" s="11" t="s">
        <v>52</v>
      </c>
      <c r="I29" s="25" t="s">
        <v>1102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 t="s">
        <v>952</v>
      </c>
      <c r="D30" s="7" t="str">
        <f>IFERROR(VLOOKUP(C30,'Lista desplegable'!B$1:C$436,2,FALSE),"")</f>
        <v>VLADIMIR OMAR CASTRO ENCINA</v>
      </c>
      <c r="E30" s="7" t="str">
        <f>IFERROR(VLOOKUP(D30,'Lista desplegable'!C$1:D$436,2,FALSE),"")</f>
        <v>PERFORISTA</v>
      </c>
      <c r="F30" s="19" t="s">
        <v>34</v>
      </c>
      <c r="G30" s="11" t="s">
        <v>20</v>
      </c>
      <c r="H30" s="11" t="s">
        <v>52</v>
      </c>
      <c r="I30" s="25" t="s">
        <v>1012</v>
      </c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732</v>
      </c>
      <c r="D31" s="7" t="str">
        <f>IFERROR(VLOOKUP(C31,'Lista desplegable'!B$1:C$436,2,FALSE),"")</f>
        <v>ORLANDO PATRICIO CONTRERAS RIOS</v>
      </c>
      <c r="E31" s="7" t="str">
        <f>IFERROR(VLOOKUP(D31,'Lista desplegable'!C$1:D$436,2,FALSE),"")</f>
        <v>PERFORISTA</v>
      </c>
      <c r="F31" s="19" t="s">
        <v>34</v>
      </c>
      <c r="G31" s="11" t="s">
        <v>20</v>
      </c>
      <c r="H31" s="11" t="s">
        <v>52</v>
      </c>
      <c r="I31" s="25" t="s">
        <v>1012</v>
      </c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899</v>
      </c>
      <c r="D32" s="7" t="str">
        <f>IFERROR(VLOOKUP(C32,'Lista desplegable'!B$1:C$436,2,FALSE),"")</f>
        <v>SHANNAN ELIZABETH DOBB .</v>
      </c>
      <c r="E32" s="7" t="str">
        <f>IFERROR(VLOOKUP(D32,'Lista desplegable'!C$1:D$436,2,FALSE),"")</f>
        <v>AYUDANTE DE PERFORISTA</v>
      </c>
      <c r="F32" s="19" t="s">
        <v>34</v>
      </c>
      <c r="G32" s="11" t="s">
        <v>20</v>
      </c>
      <c r="H32" s="11" t="s">
        <v>52</v>
      </c>
      <c r="I32" s="25" t="s">
        <v>1012</v>
      </c>
      <c r="J32" s="11" t="s">
        <v>15</v>
      </c>
      <c r="K32" s="11" t="s">
        <v>14</v>
      </c>
      <c r="L32" s="11" t="s">
        <v>14</v>
      </c>
      <c r="M32" s="11"/>
    </row>
    <row r="33" spans="2:13" s="1" customFormat="1" ht="13.15" customHeight="1">
      <c r="B33" s="24">
        <v>26</v>
      </c>
      <c r="C33" s="11" t="s">
        <v>375</v>
      </c>
      <c r="D33" s="7" t="str">
        <f>IFERROR(VLOOKUP(C33,'Lista desplegable'!B$1:C$436,2,FALSE),"")</f>
        <v>FRANCISCO PEDRO BORNAZ DELGADO</v>
      </c>
      <c r="E33" s="7" t="str">
        <f>IFERROR(VLOOKUP(D33,'Lista desplegable'!C$1:D$436,2,FALSE),"")</f>
        <v>SUPERVISOR DE OPERACIONES</v>
      </c>
      <c r="F33" s="19" t="s">
        <v>34</v>
      </c>
      <c r="G33" s="11" t="s">
        <v>20</v>
      </c>
      <c r="H33" s="11" t="s">
        <v>52</v>
      </c>
      <c r="I33" s="25" t="s">
        <v>1012</v>
      </c>
      <c r="J33" s="11" t="s">
        <v>23</v>
      </c>
      <c r="K33" s="11"/>
      <c r="L33" s="11"/>
      <c r="M33" s="11"/>
    </row>
    <row r="34" spans="2:13" ht="13.15" customHeight="1">
      <c r="B34" s="24">
        <v>27</v>
      </c>
      <c r="C34" s="11" t="s">
        <v>531</v>
      </c>
      <c r="D34" s="7" t="str">
        <f>IFERROR(VLOOKUP(C34,'Lista desplegable'!B$1:C$436,2,FALSE),"")</f>
        <v>JUAN ALEXIS AVILEZ MOLINA</v>
      </c>
      <c r="E34" s="7" t="str">
        <f>IFERROR(VLOOKUP(D34,'Lista desplegable'!C$1:D$436,2,FALSE),"")</f>
        <v>AYUDANTE DE PERFORISTA</v>
      </c>
      <c r="F34" s="19" t="s">
        <v>34</v>
      </c>
      <c r="G34" s="11" t="s">
        <v>20</v>
      </c>
      <c r="H34" s="11" t="s">
        <v>52</v>
      </c>
      <c r="I34" s="25" t="s">
        <v>1012</v>
      </c>
      <c r="J34" s="11" t="s">
        <v>15</v>
      </c>
      <c r="K34" s="11" t="s">
        <v>14</v>
      </c>
      <c r="L34" s="11" t="s">
        <v>14</v>
      </c>
      <c r="M34" s="11"/>
    </row>
    <row r="35" spans="2:13" s="1" customFormat="1" ht="13.15" customHeight="1">
      <c r="B35" s="24">
        <v>28</v>
      </c>
      <c r="C35" s="11" t="s">
        <v>589</v>
      </c>
      <c r="D35" s="7" t="str">
        <f>IFERROR(VLOOKUP(C35,'Lista desplegable'!B$1:C$436,2,FALSE),"")</f>
        <v>LUIS ALFREDO MORENO RIOS</v>
      </c>
      <c r="E35" s="7" t="str">
        <f>IFERROR(VLOOKUP(D35,'Lista desplegable'!C$1:D$436,2,FALSE),"")</f>
        <v>CHOFER</v>
      </c>
      <c r="F35" s="19"/>
      <c r="G35" s="11"/>
      <c r="H35" s="11"/>
      <c r="I35" s="11"/>
      <c r="J35" s="11" t="s">
        <v>37</v>
      </c>
      <c r="K35" s="11"/>
      <c r="L35" s="11"/>
      <c r="M35" s="11" t="s">
        <v>1088</v>
      </c>
    </row>
    <row r="36" spans="2:13" s="1" customFormat="1" ht="13.15" customHeight="1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15" customHeight="1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15" customHeight="1">
      <c r="C38"/>
    </row>
    <row r="39" spans="2:13" ht="13.15" customHeight="1">
      <c r="C39"/>
    </row>
    <row r="40" spans="2:13" ht="25.15" customHeight="1">
      <c r="C40" s="138" t="s">
        <v>1089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</row>
    <row r="41" spans="2:13" ht="33.4" customHeight="1">
      <c r="B41" s="12" t="s">
        <v>980</v>
      </c>
      <c r="C41" s="12" t="s">
        <v>0</v>
      </c>
      <c r="D41" s="12" t="s">
        <v>1</v>
      </c>
      <c r="E41" s="12" t="s">
        <v>981</v>
      </c>
      <c r="F41" s="12" t="s">
        <v>982</v>
      </c>
      <c r="G41" s="12" t="s">
        <v>983</v>
      </c>
      <c r="H41" s="12" t="s">
        <v>984</v>
      </c>
      <c r="I41" s="12" t="s">
        <v>985</v>
      </c>
      <c r="J41" s="12" t="s">
        <v>7</v>
      </c>
      <c r="K41" s="17" t="s">
        <v>986</v>
      </c>
      <c r="L41" s="17" t="s">
        <v>987</v>
      </c>
      <c r="M41" s="12" t="s">
        <v>988</v>
      </c>
    </row>
    <row r="42" spans="2:13" ht="13.15" customHeight="1">
      <c r="B42" s="24">
        <v>1</v>
      </c>
      <c r="C42" s="11" t="s">
        <v>702</v>
      </c>
      <c r="D42" s="7" t="str">
        <f>IFERROR(VLOOKUP(C42,'Lista desplegable'!B$1:C$436,2,FALSE),"")</f>
        <v>NELSON PATRICIO FLORES SANHUEZA</v>
      </c>
      <c r="E42" s="7" t="str">
        <f>IFERROR(VLOOKUP(D42,'Lista desplegable'!C$1:D$436,2,FALSE),"")</f>
        <v>PREVENCIONISTA DE RIESGOS</v>
      </c>
      <c r="F42" s="19" t="s">
        <v>34</v>
      </c>
      <c r="G42" s="11" t="s">
        <v>20</v>
      </c>
      <c r="H42" s="11" t="s">
        <v>52</v>
      </c>
      <c r="I42" s="25" t="s">
        <v>1104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2</v>
      </c>
      <c r="C43" s="11" t="s">
        <v>156</v>
      </c>
      <c r="D43" s="7" t="str">
        <f>IFERROR(VLOOKUP(C43,'Lista desplegable'!B$1:C$436,2,FALSE),"")</f>
        <v>CARLOS ALBERTO RAMOS VELASQUEZ</v>
      </c>
      <c r="E43" s="7" t="str">
        <f>IFERROR(VLOOKUP(D43,'Lista desplegable'!C$1:D$436,2,FALSE),"")</f>
        <v>SUPERVISOR DE OPERACIONES</v>
      </c>
      <c r="F43" s="19" t="s">
        <v>34</v>
      </c>
      <c r="G43" s="11" t="s">
        <v>20</v>
      </c>
      <c r="H43" s="11" t="s">
        <v>52</v>
      </c>
      <c r="I43" s="25" t="s">
        <v>1104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3</v>
      </c>
      <c r="C44" s="11" t="s">
        <v>283</v>
      </c>
      <c r="D44" s="7" t="str">
        <f>IFERROR(VLOOKUP(C44,'Lista desplegable'!B$1:C$436,2,FALSE),"")</f>
        <v>DIEGO NICOLAS GONZALEZ OLIVARES</v>
      </c>
      <c r="E44" s="7" t="str">
        <f>IFERROR(VLOOKUP(D44,'Lista desplegable'!C$1:D$436,2,FALSE),"")</f>
        <v>MECANICO</v>
      </c>
      <c r="F44" s="19" t="s">
        <v>34</v>
      </c>
      <c r="G44" s="11" t="s">
        <v>20</v>
      </c>
      <c r="H44" s="11" t="s">
        <v>52</v>
      </c>
      <c r="I44" s="25" t="s">
        <v>1104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4</v>
      </c>
      <c r="C45" s="11" t="s">
        <v>636</v>
      </c>
      <c r="D45" s="7" t="str">
        <f>IFERROR(VLOOKUP(C45,'Lista desplegable'!B$1:C$436,2,FALSE),"")</f>
        <v>MARCOS ANTONIO ALDEA BEROIZA</v>
      </c>
      <c r="E45" s="7" t="str">
        <f>IFERROR(VLOOKUP(D45,'Lista desplegable'!C$1:D$436,2,FALSE),"")</f>
        <v>CHOFER</v>
      </c>
      <c r="F45" s="19" t="s">
        <v>34</v>
      </c>
      <c r="G45" s="11" t="s">
        <v>20</v>
      </c>
      <c r="H45" s="11" t="s">
        <v>52</v>
      </c>
      <c r="I45" s="25" t="s">
        <v>1104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5</v>
      </c>
      <c r="C46" s="11" t="s">
        <v>294</v>
      </c>
      <c r="D46" s="7" t="str">
        <f>IFERROR(VLOOKUP(C46,'Lista desplegable'!B$1:C$436,2,FALSE),"")</f>
        <v>EDUARDO ANTONIO CASTILLO VALENZUELA</v>
      </c>
      <c r="E46" s="7" t="str">
        <f>IFERROR(VLOOKUP(D46,'Lista desplegable'!C$1:D$436,2,FALSE),"")</f>
        <v>PERFORISTA</v>
      </c>
      <c r="F46" s="19" t="s">
        <v>34</v>
      </c>
      <c r="G46" s="11" t="s">
        <v>20</v>
      </c>
      <c r="H46" s="11" t="s">
        <v>52</v>
      </c>
      <c r="I46" s="25" t="s">
        <v>1104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6</v>
      </c>
      <c r="C47" s="11" t="s">
        <v>451</v>
      </c>
      <c r="D47" s="120" t="str">
        <f>IFERROR(VLOOKUP(C47,'Lista desplegable'!B$1:C$436,2,FALSE),"")</f>
        <v>JEAN CHARLES CERDA ORREGO</v>
      </c>
      <c r="E47" s="7" t="str">
        <f>IFERROR(VLOOKUP(D47,'Lista desplegable'!C$1:D$436,2,FALSE),"")</f>
        <v>AYUDANTE DE PERFORISTA</v>
      </c>
      <c r="F47" s="19"/>
      <c r="G47" s="11"/>
      <c r="H47" s="11"/>
      <c r="I47" s="25"/>
      <c r="J47" s="11" t="s">
        <v>30</v>
      </c>
      <c r="K47" s="11" t="s">
        <v>14</v>
      </c>
      <c r="L47" s="11" t="s">
        <v>22</v>
      </c>
      <c r="M47" s="11" t="s">
        <v>1103</v>
      </c>
    </row>
    <row r="48" spans="2:13" ht="13.15" customHeight="1">
      <c r="B48" s="24">
        <v>7</v>
      </c>
      <c r="C48" s="11" t="s">
        <v>871</v>
      </c>
      <c r="D48" s="7" t="str">
        <f>IFERROR(VLOOKUP(C48,'Lista desplegable'!B$1:C$436,2,FALSE),"")</f>
        <v>RUBEN IGNACIO CORTES BORBON</v>
      </c>
      <c r="E48" s="7" t="str">
        <f>IFERROR(VLOOKUP(D48,'Lista desplegable'!C$1:D$436,2,FALSE),"")</f>
        <v>AYUDANTE DE PERFORISTA</v>
      </c>
      <c r="F48" s="19" t="s">
        <v>34</v>
      </c>
      <c r="G48" s="11" t="s">
        <v>20</v>
      </c>
      <c r="H48" s="11" t="s">
        <v>52</v>
      </c>
      <c r="I48" s="25" t="s">
        <v>1104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8</v>
      </c>
      <c r="C49" s="11" t="s">
        <v>560</v>
      </c>
      <c r="D49" s="7" t="str">
        <f>IFERROR(VLOOKUP(C49,'Lista desplegable'!B$1:C$436,2,FALSE),"")</f>
        <v>KEVIN ALEXIS NEYRA CORTES</v>
      </c>
      <c r="E49" s="7" t="str">
        <f>IFERROR(VLOOKUP(D49,'Lista desplegable'!C$1:D$436,2,FALSE),"")</f>
        <v>PERFORISTA</v>
      </c>
      <c r="F49" s="19" t="s">
        <v>41</v>
      </c>
      <c r="G49" s="11" t="s">
        <v>20</v>
      </c>
      <c r="H49" s="11" t="s">
        <v>52</v>
      </c>
      <c r="I49" s="25" t="s">
        <v>1105</v>
      </c>
      <c r="J49" s="11" t="s">
        <v>15</v>
      </c>
      <c r="K49" s="11" t="s">
        <v>14</v>
      </c>
      <c r="L49" s="11" t="s">
        <v>14</v>
      </c>
      <c r="M49" s="11" t="s">
        <v>1106</v>
      </c>
    </row>
    <row r="50" spans="2:13" ht="13.15" customHeight="1">
      <c r="B50" s="24">
        <v>9</v>
      </c>
      <c r="C50" s="11" t="s">
        <v>740</v>
      </c>
      <c r="D50" s="120" t="str">
        <f>IFERROR(VLOOKUP(C50,'Lista desplegable'!B$1:C$436,2,FALSE),"")</f>
        <v>OSCAR RODRIGO ARIAS LEIVA</v>
      </c>
      <c r="E50" s="7" t="str">
        <f>IFERROR(VLOOKUP(D50,'Lista desplegable'!C$1:D$436,2,FALSE),"")</f>
        <v>AYUDANTE DE PERFORISTA</v>
      </c>
      <c r="F50" s="19"/>
      <c r="G50" s="11"/>
      <c r="H50" s="11"/>
      <c r="I50" s="25"/>
      <c r="J50" s="11" t="s">
        <v>30</v>
      </c>
      <c r="K50" s="11" t="s">
        <v>14</v>
      </c>
      <c r="L50" s="11" t="s">
        <v>22</v>
      </c>
      <c r="M50" s="11" t="s">
        <v>1103</v>
      </c>
    </row>
    <row r="51" spans="2:13" ht="13.15" customHeight="1">
      <c r="B51" s="24">
        <v>10</v>
      </c>
      <c r="C51" s="11" t="s">
        <v>764</v>
      </c>
      <c r="D51" s="7" t="str">
        <f>IFERROR(VLOOKUP(C51,'Lista desplegable'!B$1:C$436,2,FALSE),"")</f>
        <v>PATRICIO RENAN GONZALEZ CABELLO</v>
      </c>
      <c r="E51" s="7" t="str">
        <f>IFERROR(VLOOKUP(D51,'Lista desplegable'!C$1:D$436,2,FALSE),"")</f>
        <v>AYUDANTE DE PERFORISTA</v>
      </c>
      <c r="F51" s="19" t="s">
        <v>34</v>
      </c>
      <c r="G51" s="11" t="s">
        <v>20</v>
      </c>
      <c r="H51" s="11" t="s">
        <v>52</v>
      </c>
      <c r="I51" s="25" t="s">
        <v>1104</v>
      </c>
      <c r="J51" s="11" t="s">
        <v>15</v>
      </c>
      <c r="K51" s="11" t="s">
        <v>14</v>
      </c>
      <c r="L51" s="11" t="s">
        <v>14</v>
      </c>
      <c r="M51" s="11"/>
    </row>
    <row r="52" spans="2:13" ht="13.15" customHeight="1">
      <c r="B52" s="24">
        <v>11</v>
      </c>
      <c r="C52" s="11" t="s">
        <v>301</v>
      </c>
      <c r="D52" s="7" t="str">
        <f>IFERROR(VLOOKUP(C52,'Lista desplegable'!B$1:C$436,2,FALSE),"")</f>
        <v>ELMER RISCO RAMOS</v>
      </c>
      <c r="E52" s="7" t="str">
        <f>IFERROR(VLOOKUP(D52,'Lista desplegable'!C$1:D$436,2,FALSE),"")</f>
        <v>PERFORISTA</v>
      </c>
      <c r="F52" s="19" t="s">
        <v>34</v>
      </c>
      <c r="G52" s="11" t="s">
        <v>20</v>
      </c>
      <c r="H52" s="11" t="s">
        <v>52</v>
      </c>
      <c r="I52" s="25" t="s">
        <v>1104</v>
      </c>
      <c r="J52" s="11" t="s">
        <v>15</v>
      </c>
      <c r="K52" s="11" t="s">
        <v>14</v>
      </c>
      <c r="L52" s="11" t="s">
        <v>14</v>
      </c>
      <c r="M52" s="11" t="s">
        <v>1093</v>
      </c>
    </row>
    <row r="53" spans="2:13" ht="13.15" customHeight="1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25"/>
      <c r="J53" s="11"/>
      <c r="K53" s="11"/>
      <c r="L53" s="11"/>
      <c r="M53" s="11"/>
    </row>
    <row r="54" spans="2:13" ht="13.15" customHeight="1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25"/>
      <c r="J54" s="11"/>
      <c r="K54" s="11"/>
      <c r="L54" s="11"/>
      <c r="M54" s="11"/>
    </row>
    <row r="55" spans="2:13" ht="13.15" customHeight="1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25"/>
      <c r="J55" s="11"/>
      <c r="K55" s="11"/>
      <c r="L55" s="11"/>
      <c r="M55" s="11"/>
    </row>
    <row r="56" spans="2:13" ht="13.9">
      <c r="C56" s="9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 t="s">
        <v>1094</v>
      </c>
      <c r="E57" s="6" t="s">
        <v>1095</v>
      </c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 t="s">
        <v>1096</v>
      </c>
      <c r="E58" s="6" t="s">
        <v>1097</v>
      </c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 t="s">
        <v>1098</v>
      </c>
      <c r="E59" s="6" t="s">
        <v>1099</v>
      </c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9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3:13" ht="13.9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3:13" ht="13.9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3:13" ht="13.9">
      <c r="C76" s="9"/>
      <c r="D76" s="6"/>
      <c r="E76" s="6"/>
    </row>
  </sheetData>
  <mergeCells count="4">
    <mergeCell ref="G2:I2"/>
    <mergeCell ref="G3:I3"/>
    <mergeCell ref="C6:M6"/>
    <mergeCell ref="C40:M40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6D48042-E51B-4F81-8DD0-627379A2C1A6}">
          <x14:formula1>
            <xm:f>'Lista desplegable'!$L$2:$L$3</xm:f>
          </x14:formula1>
          <xm:sqref>K42:L55 K8:L37</xm:sqref>
        </x14:dataValidation>
        <x14:dataValidation type="list" allowBlank="1" showInputMessage="1" showErrorMessage="1" xr:uid="{46C6A46D-CAC1-4BD3-9FB4-5A74C3597886}">
          <x14:formula1>
            <xm:f>'Lista desplegable'!$H$2:$H$7</xm:f>
          </x14:formula1>
          <xm:sqref>G8:G37 G42:G55</xm:sqref>
        </x14:dataValidation>
        <x14:dataValidation type="list" allowBlank="1" showInputMessage="1" showErrorMessage="1" xr:uid="{473427FB-9E49-4E23-B9D1-9D3FF03EB87B}">
          <x14:formula1>
            <xm:f>'Lista desplegable'!$J$2:$J$10</xm:f>
          </x14:formula1>
          <xm:sqref>H8:H37 H42:H55</xm:sqref>
        </x14:dataValidation>
        <x14:dataValidation type="list" allowBlank="1" showInputMessage="1" showErrorMessage="1" xr:uid="{9E374260-FEA2-43C9-8BB5-D10784EAE7C1}">
          <x14:formula1>
            <xm:f>'Lista desplegable'!$F$2:$F$19</xm:f>
          </x14:formula1>
          <xm:sqref>F8:F37 F42:F55</xm:sqref>
        </x14:dataValidation>
        <x14:dataValidation type="list" allowBlank="1" showInputMessage="1" showErrorMessage="1" xr:uid="{E67F3A40-8018-4EBC-9E5A-1E7FFCE64C63}">
          <x14:formula1>
            <xm:f>'Lista desplegable'!$B$2:$B$436</xm:f>
          </x14:formula1>
          <xm:sqref>C42:C55 C8:C37</xm:sqref>
        </x14:dataValidation>
        <x14:dataValidation type="list" allowBlank="1" showInputMessage="1" showErrorMessage="1" xr:uid="{96EB320D-2F9E-471D-8922-26AB09F97F9A}">
          <x14:formula1>
            <xm:f>'Lista desplegable'!$N$2:$N$5</xm:f>
          </x14:formula1>
          <xm:sqref>J42:J55 J8:J37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10C9-7A02-400B-8CFB-FED0D7AF2142}">
  <dimension ref="B1:M73"/>
  <sheetViews>
    <sheetView topLeftCell="A22" zoomScaleNormal="100" workbookViewId="0">
      <selection activeCell="M48" sqref="M48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1107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 t="s">
        <v>41</v>
      </c>
      <c r="G8" s="11" t="s">
        <v>20</v>
      </c>
      <c r="H8" s="11" t="s">
        <v>52</v>
      </c>
      <c r="I8" s="25" t="s">
        <v>1108</v>
      </c>
      <c r="J8" s="11" t="s">
        <v>37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 t="s">
        <v>41</v>
      </c>
      <c r="G9" s="11" t="s">
        <v>20</v>
      </c>
      <c r="H9" s="11" t="s">
        <v>52</v>
      </c>
      <c r="I9" s="25" t="s">
        <v>1108</v>
      </c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19" t="s">
        <v>41</v>
      </c>
      <c r="G10" s="11" t="s">
        <v>20</v>
      </c>
      <c r="H10" s="11" t="s">
        <v>52</v>
      </c>
      <c r="I10" s="25" t="s">
        <v>1108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11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/>
      <c r="G11" s="11"/>
      <c r="H11" s="11"/>
      <c r="I11" s="25"/>
      <c r="J11" s="11" t="s">
        <v>23</v>
      </c>
      <c r="K11" s="11"/>
      <c r="L11" s="11"/>
      <c r="M11" s="11"/>
    </row>
    <row r="12" spans="2:13" s="1" customFormat="1" ht="13.15" customHeight="1">
      <c r="B12" s="24">
        <v>5</v>
      </c>
      <c r="C12" s="11" t="s">
        <v>149</v>
      </c>
      <c r="D12" s="7" t="str">
        <f>IFERROR(VLOOKUP(C12,'Lista desplegable'!B$1:C$436,2,FALSE),"")</f>
        <v>CAMILO FELIPE CRUZ MOLINA</v>
      </c>
      <c r="E12" s="7" t="str">
        <f>IFERROR(VLOOKUP(D12,'Lista desplegable'!C$1:D$436,2,FALSE),"")</f>
        <v>SUPERVISOR DE OPERACIONES</v>
      </c>
      <c r="F12" s="19" t="s">
        <v>41</v>
      </c>
      <c r="G12" s="11" t="s">
        <v>20</v>
      </c>
      <c r="H12" s="11" t="s">
        <v>52</v>
      </c>
      <c r="I12" s="25" t="s">
        <v>1108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786</v>
      </c>
      <c r="D13" s="7" t="str">
        <f>IFERROR(VLOOKUP(C13,'Lista desplegable'!B$1:C$436,2,FALSE),"")</f>
        <v>RAUL ESTEBAN HERNANDEZ PIZARRO</v>
      </c>
      <c r="E13" s="7" t="str">
        <f>IFERROR(VLOOKUP(D13,'Lista desplegable'!C$1:D$436,2,FALSE),"")</f>
        <v>PREVENCIONISTA DE RIESGOS</v>
      </c>
      <c r="F13" s="19" t="s">
        <v>41</v>
      </c>
      <c r="G13" s="11" t="s">
        <v>20</v>
      </c>
      <c r="H13" s="11" t="s">
        <v>52</v>
      </c>
      <c r="I13" s="25" t="s">
        <v>1108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609</v>
      </c>
      <c r="D14" s="7" t="str">
        <f>IFERROR(VLOOKUP(C14,'Lista desplegable'!B$1:C$436,2,FALSE),"")</f>
        <v>MANUEL ALEJANDRO LISAMBARTH CARABANTES</v>
      </c>
      <c r="E14" s="7" t="str">
        <f>IFERROR(VLOOKUP(D14,'Lista desplegable'!C$1:D$436,2,FALSE),"")</f>
        <v>ADMINISTRATIVO DE FAENA</v>
      </c>
      <c r="F14" s="19" t="s">
        <v>41</v>
      </c>
      <c r="G14" s="11" t="s">
        <v>20</v>
      </c>
      <c r="H14" s="11" t="s">
        <v>52</v>
      </c>
      <c r="I14" s="25" t="s">
        <v>1108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851</v>
      </c>
      <c r="D15" s="7" t="str">
        <f>IFERROR(VLOOKUP(C15,'Lista desplegable'!B$1:C$436,2,FALSE),"")</f>
        <v>RODRIGO ANDRES DIAZ INOSTROZA</v>
      </c>
      <c r="E15" s="7" t="str">
        <f>IFERROR(VLOOKUP(D15,'Lista desplegable'!C$1:D$436,2,FALSE),"")</f>
        <v>BODEGUERO</v>
      </c>
      <c r="F15" s="19" t="s">
        <v>41</v>
      </c>
      <c r="G15" s="11" t="s">
        <v>20</v>
      </c>
      <c r="H15" s="11" t="s">
        <v>52</v>
      </c>
      <c r="I15" s="25" t="s">
        <v>1108</v>
      </c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595</v>
      </c>
      <c r="D16" s="7" t="str">
        <f>IFERROR(VLOOKUP(C16,'Lista desplegable'!B$1:C$436,2,FALSE),"")</f>
        <v>LUIS GERARDO LOPEZ OLAVE</v>
      </c>
      <c r="E16" s="7" t="str">
        <f>IFERROR(VLOOKUP(D16,'Lista desplegable'!C$1:D$436,2,FALSE),"")</f>
        <v>MECANICO</v>
      </c>
      <c r="F16" s="19" t="s">
        <v>41</v>
      </c>
      <c r="G16" s="11" t="s">
        <v>20</v>
      </c>
      <c r="H16" s="11" t="s">
        <v>52</v>
      </c>
      <c r="I16" s="25" t="s">
        <v>1108</v>
      </c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205</v>
      </c>
      <c r="D17" s="7" t="str">
        <f>IFERROR(VLOOKUP(C17,'Lista desplegable'!B$1:C$436,2,FALSE),"")</f>
        <v>CRISTIAN ALEJANDRO TOLEDO GONZALEZ</v>
      </c>
      <c r="E17" s="7" t="str">
        <f>IFERROR(VLOOKUP(D17,'Lista desplegable'!C$1:D$436,2,FALSE),"")</f>
        <v>ELECTROMECANICO</v>
      </c>
      <c r="F17" s="19" t="s">
        <v>41</v>
      </c>
      <c r="G17" s="11" t="s">
        <v>20</v>
      </c>
      <c r="H17" s="11" t="s">
        <v>52</v>
      </c>
      <c r="I17" s="25" t="s">
        <v>1108</v>
      </c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19" t="s">
        <v>41</v>
      </c>
      <c r="G18" s="11" t="s">
        <v>20</v>
      </c>
      <c r="H18" s="11" t="s">
        <v>52</v>
      </c>
      <c r="I18" s="25" t="s">
        <v>1108</v>
      </c>
      <c r="J18" s="11" t="s">
        <v>15</v>
      </c>
      <c r="K18" s="11" t="s">
        <v>14</v>
      </c>
      <c r="L18" s="11" t="s">
        <v>14</v>
      </c>
      <c r="M18" s="11" t="s">
        <v>1101</v>
      </c>
    </row>
    <row r="19" spans="2:13" s="1" customFormat="1" ht="13.15" customHeight="1">
      <c r="B19" s="24">
        <v>12</v>
      </c>
      <c r="C19" s="11" t="s">
        <v>183</v>
      </c>
      <c r="D19" s="7" t="str">
        <f>IFERROR(VLOOKUP(C19,'Lista desplegable'!B$1:C$436,2,FALSE),"")</f>
        <v>CHRISTIAN DARIEM PIZARRO MUÑOZ</v>
      </c>
      <c r="E19" s="7" t="str">
        <f>IFERROR(VLOOKUP(D19,'Lista desplegable'!C$1:D$436,2,FALSE),"")</f>
        <v>SOLDADOR</v>
      </c>
      <c r="F19" s="19" t="s">
        <v>41</v>
      </c>
      <c r="G19" s="11" t="s">
        <v>20</v>
      </c>
      <c r="H19" s="11" t="s">
        <v>52</v>
      </c>
      <c r="I19" s="25" t="s">
        <v>1108</v>
      </c>
      <c r="J19" s="11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11" t="s">
        <v>867</v>
      </c>
      <c r="D20" s="7" t="str">
        <f>IFERROR(VLOOKUP(C20,'Lista desplegable'!B$1:C$436,2,FALSE),"")</f>
        <v>RONALD SEBASTIAN BORQUEZ CAMPUSANO</v>
      </c>
      <c r="E20" s="7" t="str">
        <f>IFERROR(VLOOKUP(D20,'Lista desplegable'!C$1:D$436,2,FALSE),"")</f>
        <v>CHOFER</v>
      </c>
      <c r="F20" s="19" t="s">
        <v>41</v>
      </c>
      <c r="G20" s="11" t="s">
        <v>20</v>
      </c>
      <c r="H20" s="11" t="s">
        <v>52</v>
      </c>
      <c r="I20" s="25" t="s">
        <v>1108</v>
      </c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734</v>
      </c>
      <c r="D21" s="7" t="str">
        <f>IFERROR(VLOOKUP(C21,'Lista desplegable'!B$1:C$436,2,FALSE),"")</f>
        <v>OSCAR ALEXIS JARA MEJIAS</v>
      </c>
      <c r="E21" s="7" t="str">
        <f>IFERROR(VLOOKUP(D21,'Lista desplegable'!C$1:D$436,2,FALSE),"")</f>
        <v>CHOFER</v>
      </c>
      <c r="F21" s="19" t="s">
        <v>41</v>
      </c>
      <c r="G21" s="11" t="s">
        <v>20</v>
      </c>
      <c r="H21" s="11" t="s">
        <v>52</v>
      </c>
      <c r="I21" s="25" t="s">
        <v>1108</v>
      </c>
      <c r="J21" s="11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11" t="s">
        <v>243</v>
      </c>
      <c r="D22" s="7" t="str">
        <f>IFERROR(VLOOKUP(C22,'Lista desplegable'!B$1:C$436,2,FALSE),"")</f>
        <v>DANIEL ANDRES VENEGAS CARRASCO</v>
      </c>
      <c r="E22" s="7" t="str">
        <f>IFERROR(VLOOKUP(D22,'Lista desplegable'!C$1:D$436,2,FALSE),"")</f>
        <v>PERFORISTA</v>
      </c>
      <c r="F22" s="19" t="s">
        <v>34</v>
      </c>
      <c r="G22" s="11" t="s">
        <v>20</v>
      </c>
      <c r="H22" s="11" t="s">
        <v>52</v>
      </c>
      <c r="I22" s="25" t="s">
        <v>1109</v>
      </c>
      <c r="J22" s="11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11" t="s">
        <v>632</v>
      </c>
      <c r="D23" s="7" t="str">
        <f>IFERROR(VLOOKUP(C23,'Lista desplegable'!B$1:C$436,2,FALSE),"")</f>
        <v>MARCO ANTONIO VELASQUEZ CIFUENTES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11" t="s">
        <v>52</v>
      </c>
      <c r="I23" s="25" t="s">
        <v>1109</v>
      </c>
      <c r="J23" s="11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11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 t="s">
        <v>1109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11" t="s">
        <v>810</v>
      </c>
      <c r="D25" s="7" t="str">
        <f>IFERROR(VLOOKUP(C25,'Lista desplegable'!B$1:C$436,2,FALSE),"")</f>
        <v>RICARDO NICOLAS QUINTANA SANTANA</v>
      </c>
      <c r="E25" s="7" t="str">
        <f>IFERROR(VLOOKUP(D25,'Lista desplegable'!C$1:D$436,2,FALSE),"")</f>
        <v>AYUDANTE DE PERFORISTA</v>
      </c>
      <c r="F25" s="19" t="s">
        <v>34</v>
      </c>
      <c r="G25" s="11" t="s">
        <v>20</v>
      </c>
      <c r="H25" s="11" t="s">
        <v>52</v>
      </c>
      <c r="I25" s="25" t="s">
        <v>1109</v>
      </c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11" t="s">
        <v>80</v>
      </c>
      <c r="D26" s="7" t="str">
        <f>IFERROR(VLOOKUP(C26,'Lista desplegable'!B$1:C$436,2,FALSE),"")</f>
        <v>ALVARO IGNACIO GODOY BRUNA</v>
      </c>
      <c r="E26" s="7" t="str">
        <f>IFERROR(VLOOKUP(D26,'Lista desplegable'!C$1:D$436,2,FALSE),"")</f>
        <v>PERFORISTA</v>
      </c>
      <c r="F26" s="19" t="s">
        <v>41</v>
      </c>
      <c r="G26" s="11" t="s">
        <v>20</v>
      </c>
      <c r="H26" s="11" t="s">
        <v>52</v>
      </c>
      <c r="I26" s="25" t="s">
        <v>1108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11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11" t="s">
        <v>52</v>
      </c>
      <c r="I27" s="25" t="s">
        <v>1108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11" t="s">
        <v>412</v>
      </c>
      <c r="D28" s="7" t="str">
        <f>IFERROR(VLOOKUP(C28,'Lista desplegable'!B$1:C$436,2,FALSE),"")</f>
        <v>HECTOR HUGO SEPULVEDA GAVILAN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 t="s">
        <v>1108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11" t="s">
        <v>952</v>
      </c>
      <c r="D29" s="7" t="str">
        <f>IFERROR(VLOOKUP(C29,'Lista desplegable'!B$1:C$436,2,FALSE),"")</f>
        <v>VLADIMIR OMAR CASTRO ENCINA</v>
      </c>
      <c r="E29" s="7" t="str">
        <f>IFERROR(VLOOKUP(D29,'Lista desplegable'!C$1:D$436,2,FALSE),"")</f>
        <v>PERFORISTA</v>
      </c>
      <c r="F29" s="19" t="s">
        <v>41</v>
      </c>
      <c r="G29" s="11" t="s">
        <v>20</v>
      </c>
      <c r="H29" s="11" t="s">
        <v>52</v>
      </c>
      <c r="I29" s="25" t="s">
        <v>1108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19" t="s">
        <v>41</v>
      </c>
      <c r="G30" s="11" t="s">
        <v>20</v>
      </c>
      <c r="H30" s="11" t="s">
        <v>52</v>
      </c>
      <c r="I30" s="25" t="s">
        <v>1108</v>
      </c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899</v>
      </c>
      <c r="D31" s="7" t="str">
        <f>IFERROR(VLOOKUP(C31,'Lista desplegable'!B$1:C$436,2,FALSE),"")</f>
        <v>SHANNAN ELIZABETH DOBB .</v>
      </c>
      <c r="E31" s="7" t="str">
        <f>IFERROR(VLOOKUP(D31,'Lista desplegable'!C$1:D$436,2,FALSE),"")</f>
        <v>AYUDANTE DE PERFORISTA</v>
      </c>
      <c r="F31" s="19" t="s">
        <v>41</v>
      </c>
      <c r="G31" s="11" t="s">
        <v>20</v>
      </c>
      <c r="H31" s="11" t="s">
        <v>52</v>
      </c>
      <c r="I31" s="25" t="s">
        <v>1108</v>
      </c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375</v>
      </c>
      <c r="D32" s="7" t="str">
        <f>IFERROR(VLOOKUP(C32,'Lista desplegable'!B$1:C$436,2,FALSE),"")</f>
        <v>FRANCISCO PEDRO BORNAZ DELGADO</v>
      </c>
      <c r="E32" s="7" t="str">
        <f>IFERROR(VLOOKUP(D32,'Lista desplegable'!C$1:D$436,2,FALSE),"")</f>
        <v>SUPERVISOR DE OPERACIONES</v>
      </c>
      <c r="F32" s="19" t="s">
        <v>41</v>
      </c>
      <c r="G32" s="11" t="s">
        <v>20</v>
      </c>
      <c r="H32" s="11" t="s">
        <v>52</v>
      </c>
      <c r="I32" s="25" t="s">
        <v>1108</v>
      </c>
      <c r="J32" s="11" t="s">
        <v>15</v>
      </c>
      <c r="K32" s="11" t="s">
        <v>14</v>
      </c>
      <c r="L32" s="11" t="s">
        <v>14</v>
      </c>
      <c r="M32" s="11"/>
    </row>
    <row r="33" spans="2:13" s="1" customFormat="1" ht="13.15" customHeight="1">
      <c r="B33" s="24">
        <v>26</v>
      </c>
      <c r="C33" s="11" t="s">
        <v>589</v>
      </c>
      <c r="D33" s="7" t="str">
        <f>IFERROR(VLOOKUP(C33,'Lista desplegable'!B$1:C$436,2,FALSE),"")</f>
        <v>LUIS ALFREDO MORENO RIOS</v>
      </c>
      <c r="E33" s="7" t="str">
        <f>IFERROR(VLOOKUP(D33,'Lista desplegable'!C$1:D$436,2,FALSE),"")</f>
        <v>CHOFER</v>
      </c>
      <c r="F33" s="19"/>
      <c r="G33" s="11"/>
      <c r="H33" s="11"/>
      <c r="I33" s="11"/>
      <c r="J33" s="11" t="s">
        <v>37</v>
      </c>
      <c r="K33" s="11"/>
      <c r="L33" s="11"/>
      <c r="M33" s="11" t="s">
        <v>1088</v>
      </c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ht="13.15" customHeight="1">
      <c r="C36"/>
    </row>
    <row r="37" spans="2:13" ht="13.15" customHeight="1">
      <c r="C37"/>
    </row>
    <row r="38" spans="2:13" ht="25.15" customHeight="1">
      <c r="C38" s="138" t="s">
        <v>1089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</row>
    <row r="39" spans="2:13" ht="33.4" customHeight="1">
      <c r="B39" s="12" t="s">
        <v>980</v>
      </c>
      <c r="C39" s="12" t="s">
        <v>0</v>
      </c>
      <c r="D39" s="12" t="s">
        <v>1</v>
      </c>
      <c r="E39" s="12" t="s">
        <v>981</v>
      </c>
      <c r="F39" s="12" t="s">
        <v>982</v>
      </c>
      <c r="G39" s="12" t="s">
        <v>983</v>
      </c>
      <c r="H39" s="12" t="s">
        <v>984</v>
      </c>
      <c r="I39" s="12" t="s">
        <v>985</v>
      </c>
      <c r="J39" s="12" t="s">
        <v>7</v>
      </c>
      <c r="K39" s="17" t="s">
        <v>986</v>
      </c>
      <c r="L39" s="17" t="s">
        <v>987</v>
      </c>
      <c r="M39" s="12" t="s">
        <v>988</v>
      </c>
    </row>
    <row r="40" spans="2:13" ht="13.15" customHeight="1">
      <c r="B40" s="24">
        <v>1</v>
      </c>
      <c r="C40" s="11" t="s">
        <v>702</v>
      </c>
      <c r="D40" s="7" t="str">
        <f>IFERROR(VLOOKUP(C40,'Lista desplegable'!B$1:C$436,2,FALSE),"")</f>
        <v>NELSON PATRICIO FLORES SANHUEZA</v>
      </c>
      <c r="E40" s="7" t="str">
        <f>IFERROR(VLOOKUP(D40,'Lista desplegable'!C$1:D$436,2,FALSE),"")</f>
        <v>PREVENCIONISTA DE RIESGOS</v>
      </c>
      <c r="F40" s="19" t="s">
        <v>34</v>
      </c>
      <c r="G40" s="19" t="s">
        <v>46</v>
      </c>
      <c r="H40" s="11" t="s">
        <v>52</v>
      </c>
      <c r="I40" s="25" t="s">
        <v>1110</v>
      </c>
      <c r="J40" s="11" t="s">
        <v>15</v>
      </c>
      <c r="K40" s="11" t="s">
        <v>14</v>
      </c>
      <c r="L40" s="11" t="s">
        <v>14</v>
      </c>
      <c r="M40" s="11"/>
    </row>
    <row r="41" spans="2:13" ht="13.15" customHeight="1">
      <c r="B41" s="24">
        <v>2</v>
      </c>
      <c r="C41" s="11" t="s">
        <v>156</v>
      </c>
      <c r="D41" s="7" t="str">
        <f>IFERROR(VLOOKUP(C41,'Lista desplegable'!B$1:C$436,2,FALSE),"")</f>
        <v>CARLOS ALBERTO RAMOS VELASQUEZ</v>
      </c>
      <c r="E41" s="7" t="str">
        <f>IFERROR(VLOOKUP(D41,'Lista desplegable'!C$1:D$436,2,FALSE),"")</f>
        <v>SUPERVISOR DE OPERACIONES</v>
      </c>
      <c r="F41" s="19" t="s">
        <v>34</v>
      </c>
      <c r="G41" s="19" t="s">
        <v>46</v>
      </c>
      <c r="H41" s="11" t="s">
        <v>52</v>
      </c>
      <c r="I41" s="25" t="s">
        <v>1110</v>
      </c>
      <c r="J41" s="11" t="s">
        <v>15</v>
      </c>
      <c r="K41" s="11" t="s">
        <v>14</v>
      </c>
      <c r="L41" s="11" t="s">
        <v>14</v>
      </c>
      <c r="M41" s="11"/>
    </row>
    <row r="42" spans="2:13" ht="13.15" customHeight="1">
      <c r="B42" s="24">
        <v>3</v>
      </c>
      <c r="C42" s="11" t="s">
        <v>283</v>
      </c>
      <c r="D42" s="7" t="str">
        <f>IFERROR(VLOOKUP(C42,'Lista desplegable'!B$1:C$436,2,FALSE),"")</f>
        <v>DIEGO NICOLAS GONZALEZ OLIVARES</v>
      </c>
      <c r="E42" s="7" t="str">
        <f>IFERROR(VLOOKUP(D42,'Lista desplegable'!C$1:D$436,2,FALSE),"")</f>
        <v>MECANICO</v>
      </c>
      <c r="F42" s="19" t="s">
        <v>34</v>
      </c>
      <c r="G42" s="19" t="s">
        <v>46</v>
      </c>
      <c r="H42" s="11" t="s">
        <v>52</v>
      </c>
      <c r="I42" s="25" t="s">
        <v>1110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4</v>
      </c>
      <c r="C43" s="11" t="s">
        <v>636</v>
      </c>
      <c r="D43" s="7" t="str">
        <f>IFERROR(VLOOKUP(C43,'Lista desplegable'!B$1:C$436,2,FALSE),"")</f>
        <v>MARCOS ANTONIO ALDEA BEROIZA</v>
      </c>
      <c r="E43" s="7" t="str">
        <f>IFERROR(VLOOKUP(D43,'Lista desplegable'!C$1:D$436,2,FALSE),"")</f>
        <v>CHOFER</v>
      </c>
      <c r="F43" s="19" t="s">
        <v>34</v>
      </c>
      <c r="G43" s="19" t="s">
        <v>46</v>
      </c>
      <c r="H43" s="11" t="s">
        <v>52</v>
      </c>
      <c r="I43" s="25" t="s">
        <v>1110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5</v>
      </c>
      <c r="C44" s="11" t="s">
        <v>294</v>
      </c>
      <c r="D44" s="7" t="str">
        <f>IFERROR(VLOOKUP(C44,'Lista desplegable'!B$1:C$436,2,FALSE),"")</f>
        <v>EDUARDO ANTONIO CASTILLO VALENZUELA</v>
      </c>
      <c r="E44" s="7" t="str">
        <f>IFERROR(VLOOKUP(D44,'Lista desplegable'!C$1:D$436,2,FALSE),"")</f>
        <v>PERFORISTA</v>
      </c>
      <c r="F44" s="19" t="s">
        <v>34</v>
      </c>
      <c r="G44" s="19" t="s">
        <v>46</v>
      </c>
      <c r="H44" s="11" t="s">
        <v>52</v>
      </c>
      <c r="I44" s="25" t="s">
        <v>1110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6</v>
      </c>
      <c r="C45" s="11" t="s">
        <v>871</v>
      </c>
      <c r="D45" s="7" t="str">
        <f>IFERROR(VLOOKUP(C45,'Lista desplegable'!B$1:C$436,2,FALSE),"")</f>
        <v>RUBEN IGNACIO CORTES BORBON</v>
      </c>
      <c r="E45" s="7" t="str">
        <f>IFERROR(VLOOKUP(D45,'Lista desplegable'!C$1:D$436,2,FALSE),"")</f>
        <v>AYUDANTE DE PERFORISTA</v>
      </c>
      <c r="F45" s="19" t="s">
        <v>34</v>
      </c>
      <c r="G45" s="11" t="s">
        <v>20</v>
      </c>
      <c r="H45" s="11" t="s">
        <v>52</v>
      </c>
      <c r="I45" s="25" t="s">
        <v>1110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7</v>
      </c>
      <c r="C46" s="11" t="s">
        <v>301</v>
      </c>
      <c r="D46" s="7" t="str">
        <f>IFERROR(VLOOKUP(C46,'Lista desplegable'!B$1:C$436,2,FALSE),"")</f>
        <v>ELMER RISCO RAMOS</v>
      </c>
      <c r="E46" s="7" t="str">
        <f>IFERROR(VLOOKUP(D46,'Lista desplegable'!C$1:D$436,2,FALSE),"")</f>
        <v>PERFORISTA</v>
      </c>
      <c r="F46" s="19" t="s">
        <v>34</v>
      </c>
      <c r="G46" s="11" t="s">
        <v>20</v>
      </c>
      <c r="H46" s="11" t="s">
        <v>52</v>
      </c>
      <c r="I46" s="25" t="s">
        <v>1110</v>
      </c>
      <c r="J46" s="11" t="s">
        <v>15</v>
      </c>
      <c r="K46" s="11" t="s">
        <v>14</v>
      </c>
      <c r="L46" s="11" t="s">
        <v>14</v>
      </c>
      <c r="M46" s="11" t="s">
        <v>1093</v>
      </c>
    </row>
    <row r="47" spans="2:13" ht="13.15" customHeight="1">
      <c r="B47" s="24">
        <v>8</v>
      </c>
      <c r="C47" s="11" t="s">
        <v>560</v>
      </c>
      <c r="D47" s="7" t="str">
        <f>IFERROR(VLOOKUP(C47,'Lista desplegable'!B$1:C$436,2,FALSE),"")</f>
        <v>KEVIN ALEXIS NEYRA CORTES</v>
      </c>
      <c r="E47" s="7" t="str">
        <f>IFERROR(VLOOKUP(D47,'Lista desplegable'!C$1:D$436,2,FALSE),"")</f>
        <v>PERFORISTA</v>
      </c>
      <c r="F47" s="19" t="s">
        <v>41</v>
      </c>
      <c r="G47" s="11" t="s">
        <v>20</v>
      </c>
      <c r="H47" s="11" t="s">
        <v>52</v>
      </c>
      <c r="I47" s="25" t="s">
        <v>1111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9</v>
      </c>
      <c r="C48" s="11" t="s">
        <v>764</v>
      </c>
      <c r="D48" s="7" t="str">
        <f>IFERROR(VLOOKUP(C48,'Lista desplegable'!B$1:C$436,2,FALSE),"")</f>
        <v>PATRICIO RENAN GONZALEZ CABELLO</v>
      </c>
      <c r="E48" s="7" t="str">
        <f>IFERROR(VLOOKUP(D48,'Lista desplegable'!C$1:D$436,2,FALSE),"")</f>
        <v>AYUDANTE DE PERFORISTA</v>
      </c>
      <c r="F48" s="19" t="s">
        <v>41</v>
      </c>
      <c r="G48" s="11" t="s">
        <v>20</v>
      </c>
      <c r="H48" s="11" t="s">
        <v>52</v>
      </c>
      <c r="I48" s="25" t="s">
        <v>1111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10</v>
      </c>
      <c r="C49" s="11" t="s">
        <v>531</v>
      </c>
      <c r="D49" s="7" t="str">
        <f>IFERROR(VLOOKUP(C49,'Lista desplegable'!B$1:C$436,2,FALSE),"")</f>
        <v>JUAN ALEXIS AVILEZ MOLINA</v>
      </c>
      <c r="E49" s="7" t="str">
        <f>IFERROR(VLOOKUP(D49,'Lista desplegable'!C$1:D$436,2,FALSE),"")</f>
        <v>AYUDANTE DE PERFORISTA</v>
      </c>
      <c r="F49" s="19" t="s">
        <v>34</v>
      </c>
      <c r="G49" s="19" t="s">
        <v>46</v>
      </c>
      <c r="H49" s="11" t="s">
        <v>52</v>
      </c>
      <c r="I49" s="25" t="s">
        <v>1110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11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25"/>
      <c r="J50" s="11"/>
      <c r="K50" s="11"/>
      <c r="L50" s="11"/>
      <c r="M50" s="11"/>
    </row>
    <row r="51" spans="2:13" ht="13.15" customHeight="1">
      <c r="B51" s="24">
        <v>12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25"/>
      <c r="J51" s="11"/>
      <c r="K51" s="11"/>
      <c r="L51" s="11"/>
      <c r="M51" s="11"/>
    </row>
    <row r="52" spans="2:13" ht="13.15" customHeight="1">
      <c r="B52" s="24">
        <v>13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25"/>
      <c r="J52" s="11"/>
      <c r="K52" s="11"/>
      <c r="L52" s="11"/>
      <c r="M52" s="11"/>
    </row>
    <row r="53" spans="2:13" ht="13.9">
      <c r="C53" s="9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ht="13.9">
      <c r="C54" s="9"/>
      <c r="D54" s="6" t="s">
        <v>1094</v>
      </c>
      <c r="E54" s="6" t="s">
        <v>1095</v>
      </c>
      <c r="F54" s="6"/>
      <c r="G54" s="6"/>
      <c r="H54" s="6"/>
      <c r="I54" s="6"/>
      <c r="J54" s="6"/>
      <c r="K54" s="6"/>
      <c r="L54" s="6"/>
      <c r="M54" s="6"/>
    </row>
    <row r="55" spans="2:13" ht="13.9">
      <c r="C55" s="9"/>
      <c r="D55" s="6" t="s">
        <v>1096</v>
      </c>
      <c r="E55" s="6" t="s">
        <v>1097</v>
      </c>
      <c r="F55" s="6"/>
      <c r="G55" s="6"/>
      <c r="H55" s="6"/>
      <c r="I55" s="6"/>
      <c r="J55" s="6"/>
      <c r="K55" s="6"/>
      <c r="L55" s="6"/>
      <c r="M55" s="6"/>
    </row>
    <row r="56" spans="2:13" ht="13.9">
      <c r="C56" s="9"/>
      <c r="D56" s="6" t="s">
        <v>1098</v>
      </c>
      <c r="E56" s="6" t="s">
        <v>1099</v>
      </c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9">
      <c r="C73" s="9"/>
      <c r="D73" s="6"/>
      <c r="E73" s="6"/>
    </row>
  </sheetData>
  <mergeCells count="4">
    <mergeCell ref="G2:I2"/>
    <mergeCell ref="G3:I3"/>
    <mergeCell ref="C6:M6"/>
    <mergeCell ref="C38:M38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B83ED90-7335-4171-B373-192BCD60F014}">
          <x14:formula1>
            <xm:f>'Lista desplegable'!$N$2:$N$5</xm:f>
          </x14:formula1>
          <xm:sqref>J40:J52 J8:J35</xm:sqref>
        </x14:dataValidation>
        <x14:dataValidation type="list" allowBlank="1" showInputMessage="1" showErrorMessage="1" xr:uid="{2195060A-5DE9-4965-B2CD-778A397DDEA5}">
          <x14:formula1>
            <xm:f>'Lista desplegable'!$B$2:$B$436</xm:f>
          </x14:formula1>
          <xm:sqref>C40:C52 C8:C35</xm:sqref>
        </x14:dataValidation>
        <x14:dataValidation type="list" allowBlank="1" showInputMessage="1" showErrorMessage="1" xr:uid="{7A3A7F6D-C98E-4C60-93A1-C40652F03FFC}">
          <x14:formula1>
            <xm:f>'Lista desplegable'!$F$2:$F$19</xm:f>
          </x14:formula1>
          <xm:sqref>F8:F35 G40:G44 F40:F52 G49</xm:sqref>
        </x14:dataValidation>
        <x14:dataValidation type="list" allowBlank="1" showInputMessage="1" showErrorMessage="1" xr:uid="{A2314DC0-6BCB-46E7-8D5C-04DB6A5E852E}">
          <x14:formula1>
            <xm:f>'Lista desplegable'!$J$2:$J$10</xm:f>
          </x14:formula1>
          <xm:sqref>H8:H35 H40:H52</xm:sqref>
        </x14:dataValidation>
        <x14:dataValidation type="list" allowBlank="1" showInputMessage="1" showErrorMessage="1" xr:uid="{2D9F083B-FB8F-4FE2-8285-2FC44D85419F}">
          <x14:formula1>
            <xm:f>'Lista desplegable'!$H$2:$H$7</xm:f>
          </x14:formula1>
          <xm:sqref>G8:G35 G45:G48 G50:G52</xm:sqref>
        </x14:dataValidation>
        <x14:dataValidation type="list" allowBlank="1" showInputMessage="1" showErrorMessage="1" xr:uid="{016C1517-69D8-4884-B5A0-562F765239D5}">
          <x14:formula1>
            <xm:f>'Lista desplegable'!$L$2:$L$3</xm:f>
          </x14:formula1>
          <xm:sqref>K40:L52 K8:L35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940E-5A1A-4F20-86A2-B25FEA35564F}">
  <dimension ref="B1:M73"/>
  <sheetViews>
    <sheetView topLeftCell="A27" zoomScaleNormal="100" workbookViewId="0">
      <selection activeCell="M26" sqref="M26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1112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 t="s">
        <v>34</v>
      </c>
      <c r="G8" s="11" t="s">
        <v>20</v>
      </c>
      <c r="H8" s="11" t="s">
        <v>52</v>
      </c>
      <c r="I8" s="25" t="s">
        <v>1113</v>
      </c>
      <c r="J8" s="11" t="s">
        <v>37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 t="s">
        <v>34</v>
      </c>
      <c r="G9" s="11" t="s">
        <v>20</v>
      </c>
      <c r="H9" s="11" t="s">
        <v>52</v>
      </c>
      <c r="I9" s="25" t="s">
        <v>1113</v>
      </c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19"/>
      <c r="G10" s="11"/>
      <c r="H10" s="11"/>
      <c r="I10" s="25"/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11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 t="s">
        <v>34</v>
      </c>
      <c r="G11" s="11" t="s">
        <v>20</v>
      </c>
      <c r="H11" s="11" t="s">
        <v>52</v>
      </c>
      <c r="I11" s="25" t="s">
        <v>1113</v>
      </c>
      <c r="J11" s="11" t="s">
        <v>23</v>
      </c>
      <c r="K11" s="11"/>
      <c r="L11" s="11"/>
      <c r="M11" s="11"/>
    </row>
    <row r="12" spans="2:13" s="1" customFormat="1" ht="13.15" customHeight="1">
      <c r="B12" s="24">
        <v>5</v>
      </c>
      <c r="C12" s="11" t="s">
        <v>149</v>
      </c>
      <c r="D12" s="7" t="str">
        <f>IFERROR(VLOOKUP(C12,'Lista desplegable'!B$1:C$436,2,FALSE),"")</f>
        <v>CAMILO FELIPE CRUZ MOLINA</v>
      </c>
      <c r="E12" s="7" t="str">
        <f>IFERROR(VLOOKUP(D12,'Lista desplegable'!C$1:D$436,2,FALSE),"")</f>
        <v>SUPERVISOR DE OPERACIONES</v>
      </c>
      <c r="F12" s="19" t="s">
        <v>34</v>
      </c>
      <c r="G12" s="11" t="s">
        <v>20</v>
      </c>
      <c r="H12" s="11" t="s">
        <v>52</v>
      </c>
      <c r="I12" s="25" t="s">
        <v>1113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786</v>
      </c>
      <c r="D13" s="7" t="str">
        <f>IFERROR(VLOOKUP(C13,'Lista desplegable'!B$1:C$436,2,FALSE),"")</f>
        <v>RAUL ESTEBAN HERNANDEZ PIZARRO</v>
      </c>
      <c r="E13" s="7" t="str">
        <f>IFERROR(VLOOKUP(D13,'Lista desplegable'!C$1:D$436,2,FALSE),"")</f>
        <v>PREVENCIONISTA DE RIESGOS</v>
      </c>
      <c r="F13" s="19" t="s">
        <v>34</v>
      </c>
      <c r="G13" s="11" t="s">
        <v>20</v>
      </c>
      <c r="H13" s="11" t="s">
        <v>52</v>
      </c>
      <c r="I13" s="25" t="s">
        <v>1113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609</v>
      </c>
      <c r="D14" s="7" t="str">
        <f>IFERROR(VLOOKUP(C14,'Lista desplegable'!B$1:C$436,2,FALSE),"")</f>
        <v>MANUEL ALEJANDRO LISAMBARTH CARABANTES</v>
      </c>
      <c r="E14" s="7" t="str">
        <f>IFERROR(VLOOKUP(D14,'Lista desplegable'!C$1:D$436,2,FALSE),"")</f>
        <v>ADMINISTRATIVO DE FAENA</v>
      </c>
      <c r="F14" s="19" t="s">
        <v>34</v>
      </c>
      <c r="G14" s="11" t="s">
        <v>20</v>
      </c>
      <c r="H14" s="11" t="s">
        <v>52</v>
      </c>
      <c r="I14" s="25" t="s">
        <v>1113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851</v>
      </c>
      <c r="D15" s="7" t="str">
        <f>IFERROR(VLOOKUP(C15,'Lista desplegable'!B$1:C$436,2,FALSE),"")</f>
        <v>RODRIGO ANDRES DIAZ INOSTROZA</v>
      </c>
      <c r="E15" s="7" t="str">
        <f>IFERROR(VLOOKUP(D15,'Lista desplegable'!C$1:D$436,2,FALSE),"")</f>
        <v>BODEGUERO</v>
      </c>
      <c r="F15" s="19" t="s">
        <v>34</v>
      </c>
      <c r="G15" s="11" t="s">
        <v>20</v>
      </c>
      <c r="H15" s="11" t="s">
        <v>52</v>
      </c>
      <c r="I15" s="25" t="s">
        <v>1113</v>
      </c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595</v>
      </c>
      <c r="D16" s="7" t="str">
        <f>IFERROR(VLOOKUP(C16,'Lista desplegable'!B$1:C$436,2,FALSE),"")</f>
        <v>LUIS GERARDO LOPEZ OLAVE</v>
      </c>
      <c r="E16" s="7" t="str">
        <f>IFERROR(VLOOKUP(D16,'Lista desplegable'!C$1:D$436,2,FALSE),"")</f>
        <v>MECANICO</v>
      </c>
      <c r="F16" s="19" t="s">
        <v>34</v>
      </c>
      <c r="G16" s="11" t="s">
        <v>20</v>
      </c>
      <c r="H16" s="11" t="s">
        <v>52</v>
      </c>
      <c r="I16" s="25" t="s">
        <v>1113</v>
      </c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205</v>
      </c>
      <c r="D17" s="7" t="str">
        <f>IFERROR(VLOOKUP(C17,'Lista desplegable'!B$1:C$436,2,FALSE),"")</f>
        <v>CRISTIAN ALEJANDRO TOLEDO GONZALEZ</v>
      </c>
      <c r="E17" s="7" t="str">
        <f>IFERROR(VLOOKUP(D17,'Lista desplegable'!C$1:D$436,2,FALSE),"")</f>
        <v>ELECTROMECANICO</v>
      </c>
      <c r="F17" s="19" t="s">
        <v>34</v>
      </c>
      <c r="G17" s="11" t="s">
        <v>20</v>
      </c>
      <c r="H17" s="11" t="s">
        <v>52</v>
      </c>
      <c r="I17" s="25" t="s">
        <v>1113</v>
      </c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19" t="s">
        <v>34</v>
      </c>
      <c r="G18" s="11" t="s">
        <v>20</v>
      </c>
      <c r="H18" s="11" t="s">
        <v>52</v>
      </c>
      <c r="I18" s="25" t="s">
        <v>1113</v>
      </c>
      <c r="J18" s="11" t="s">
        <v>15</v>
      </c>
      <c r="K18" s="11" t="s">
        <v>14</v>
      </c>
      <c r="L18" s="11" t="s">
        <v>14</v>
      </c>
      <c r="M18" s="11" t="s">
        <v>1101</v>
      </c>
    </row>
    <row r="19" spans="2:13" s="1" customFormat="1" ht="13.15" customHeight="1">
      <c r="B19" s="24">
        <v>12</v>
      </c>
      <c r="C19" s="11" t="s">
        <v>183</v>
      </c>
      <c r="D19" s="7" t="str">
        <f>IFERROR(VLOOKUP(C19,'Lista desplegable'!B$1:C$436,2,FALSE),"")</f>
        <v>CHRISTIAN DARIEM PIZARRO MUÑOZ</v>
      </c>
      <c r="E19" s="7" t="str">
        <f>IFERROR(VLOOKUP(D19,'Lista desplegable'!C$1:D$436,2,FALSE),"")</f>
        <v>SOLDADOR</v>
      </c>
      <c r="F19" s="19" t="s">
        <v>34</v>
      </c>
      <c r="G19" s="11" t="s">
        <v>20</v>
      </c>
      <c r="H19" s="11" t="s">
        <v>52</v>
      </c>
      <c r="I19" s="25" t="s">
        <v>1113</v>
      </c>
      <c r="J19" s="11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11" t="s">
        <v>867</v>
      </c>
      <c r="D20" s="7" t="str">
        <f>IFERROR(VLOOKUP(C20,'Lista desplegable'!B$1:C$436,2,FALSE),"")</f>
        <v>RONALD SEBASTIAN BORQUEZ CAMPUSANO</v>
      </c>
      <c r="E20" s="7" t="str">
        <f>IFERROR(VLOOKUP(D20,'Lista desplegable'!C$1:D$436,2,FALSE),"")</f>
        <v>CHOFER</v>
      </c>
      <c r="F20" s="19" t="s">
        <v>34</v>
      </c>
      <c r="G20" s="11" t="s">
        <v>20</v>
      </c>
      <c r="H20" s="11" t="s">
        <v>52</v>
      </c>
      <c r="I20" s="25" t="s">
        <v>1113</v>
      </c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734</v>
      </c>
      <c r="D21" s="7" t="str">
        <f>IFERROR(VLOOKUP(C21,'Lista desplegable'!B$1:C$436,2,FALSE),"")</f>
        <v>OSCAR ALEXIS JARA MEJIAS</v>
      </c>
      <c r="E21" s="7" t="str">
        <f>IFERROR(VLOOKUP(D21,'Lista desplegable'!C$1:D$436,2,FALSE),"")</f>
        <v>CHOFER</v>
      </c>
      <c r="F21" s="19" t="s">
        <v>34</v>
      </c>
      <c r="G21" s="11" t="s">
        <v>20</v>
      </c>
      <c r="H21" s="11" t="s">
        <v>52</v>
      </c>
      <c r="I21" s="25" t="s">
        <v>1113</v>
      </c>
      <c r="J21" s="11" t="s">
        <v>15</v>
      </c>
      <c r="K21" s="11" t="s">
        <v>14</v>
      </c>
      <c r="L21" s="11" t="s">
        <v>14</v>
      </c>
      <c r="M21" s="123"/>
    </row>
    <row r="22" spans="2:13" s="1" customFormat="1" ht="13.15" customHeight="1">
      <c r="B22" s="24">
        <v>15</v>
      </c>
      <c r="C22" s="11" t="s">
        <v>243</v>
      </c>
      <c r="D22" s="7" t="str">
        <f>IFERROR(VLOOKUP(C22,'Lista desplegable'!B$1:C$436,2,FALSE),"")</f>
        <v>DANIEL ANDRES VENEGAS CARRASCO</v>
      </c>
      <c r="E22" s="7" t="str">
        <f>IFERROR(VLOOKUP(D22,'Lista desplegable'!C$1:D$436,2,FALSE),"")</f>
        <v>PERFORISTA</v>
      </c>
      <c r="F22" s="19" t="s">
        <v>34</v>
      </c>
      <c r="G22" s="11" t="s">
        <v>20</v>
      </c>
      <c r="H22" s="11" t="s">
        <v>52</v>
      </c>
      <c r="I22" s="25" t="s">
        <v>1113</v>
      </c>
      <c r="J22" s="11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11" t="s">
        <v>632</v>
      </c>
      <c r="D23" s="7" t="str">
        <f>IFERROR(VLOOKUP(C23,'Lista desplegable'!B$1:C$436,2,FALSE),"")</f>
        <v>MARCO ANTONIO VELASQUEZ CIFUENTES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11" t="s">
        <v>52</v>
      </c>
      <c r="I23" s="25" t="s">
        <v>1113</v>
      </c>
      <c r="J23" s="11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11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 t="s">
        <v>1113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11" t="s">
        <v>810</v>
      </c>
      <c r="D25" s="7" t="str">
        <f>IFERROR(VLOOKUP(C25,'Lista desplegable'!B$1:C$436,2,FALSE),"")</f>
        <v>RICARDO NICOLAS QUINTANA SANTANA</v>
      </c>
      <c r="E25" s="7" t="str">
        <f>IFERROR(VLOOKUP(D25,'Lista desplegable'!C$1:D$436,2,FALSE),"")</f>
        <v>AYUDANTE DE PERFORISTA</v>
      </c>
      <c r="F25" s="19" t="s">
        <v>34</v>
      </c>
      <c r="G25" s="11" t="s">
        <v>20</v>
      </c>
      <c r="H25" s="11" t="s">
        <v>52</v>
      </c>
      <c r="I25" s="25" t="s">
        <v>1113</v>
      </c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11" t="s">
        <v>80</v>
      </c>
      <c r="D26" s="7" t="str">
        <f>IFERROR(VLOOKUP(C26,'Lista desplegable'!B$1:C$436,2,FALSE),"")</f>
        <v>ALVARO IGNACIO GODOY BRUNA</v>
      </c>
      <c r="E26" s="7" t="str">
        <f>IFERROR(VLOOKUP(D26,'Lista desplegable'!C$1:D$436,2,FALSE),"")</f>
        <v>PERFORISTA</v>
      </c>
      <c r="F26" s="19" t="s">
        <v>41</v>
      </c>
      <c r="G26" s="11" t="s">
        <v>20</v>
      </c>
      <c r="H26" s="11" t="s">
        <v>52</v>
      </c>
      <c r="I26" s="25" t="s">
        <v>1069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11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11" t="s">
        <v>52</v>
      </c>
      <c r="I27" s="25" t="s">
        <v>1069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11" t="s">
        <v>412</v>
      </c>
      <c r="D28" s="7" t="str">
        <f>IFERROR(VLOOKUP(C28,'Lista desplegable'!B$1:C$436,2,FALSE),"")</f>
        <v>HECTOR HUGO SEPULVEDA GAVILAN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 t="s">
        <v>1069</v>
      </c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11" t="s">
        <v>952</v>
      </c>
      <c r="D29" s="7" t="str">
        <f>IFERROR(VLOOKUP(C29,'Lista desplegable'!B$1:C$436,2,FALSE),"")</f>
        <v>VLADIMIR OMAR CASTRO ENCINA</v>
      </c>
      <c r="E29" s="7" t="str">
        <f>IFERROR(VLOOKUP(D29,'Lista desplegable'!C$1:D$436,2,FALSE),"")</f>
        <v>PERFORISTA</v>
      </c>
      <c r="F29" s="19" t="s">
        <v>34</v>
      </c>
      <c r="G29" s="11" t="s">
        <v>20</v>
      </c>
      <c r="H29" s="11" t="s">
        <v>52</v>
      </c>
      <c r="I29" s="25" t="s">
        <v>1113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19" t="s">
        <v>34</v>
      </c>
      <c r="G30" s="11" t="s">
        <v>20</v>
      </c>
      <c r="H30" s="11" t="s">
        <v>52</v>
      </c>
      <c r="I30" s="25" t="s">
        <v>1113</v>
      </c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899</v>
      </c>
      <c r="D31" s="7" t="str">
        <f>IFERROR(VLOOKUP(C31,'Lista desplegable'!B$1:C$436,2,FALSE),"")</f>
        <v>SHANNAN ELIZABETH DOBB .</v>
      </c>
      <c r="E31" s="7" t="str">
        <f>IFERROR(VLOOKUP(D31,'Lista desplegable'!C$1:D$436,2,FALSE),"")</f>
        <v>AYUDANTE DE PERFORISTA</v>
      </c>
      <c r="F31" s="19" t="s">
        <v>34</v>
      </c>
      <c r="G31" s="11" t="s">
        <v>20</v>
      </c>
      <c r="H31" s="11" t="s">
        <v>52</v>
      </c>
      <c r="I31" s="25" t="s">
        <v>1113</v>
      </c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375</v>
      </c>
      <c r="D32" s="7" t="str">
        <f>IFERROR(VLOOKUP(C32,'Lista desplegable'!B$1:C$436,2,FALSE),"")</f>
        <v>FRANCISCO PEDRO BORNAZ DELGADO</v>
      </c>
      <c r="E32" s="7" t="str">
        <f>IFERROR(VLOOKUP(D32,'Lista desplegable'!C$1:D$436,2,FALSE),"")</f>
        <v>SUPERVISOR DE OPERACIONES</v>
      </c>
      <c r="F32" s="19" t="s">
        <v>34</v>
      </c>
      <c r="G32" s="11" t="s">
        <v>20</v>
      </c>
      <c r="H32" s="11" t="s">
        <v>52</v>
      </c>
      <c r="I32" s="25" t="s">
        <v>1113</v>
      </c>
      <c r="J32" s="11" t="s">
        <v>15</v>
      </c>
      <c r="K32" s="11" t="s">
        <v>14</v>
      </c>
      <c r="L32" s="11" t="s">
        <v>14</v>
      </c>
      <c r="M32" s="11"/>
    </row>
    <row r="33" spans="2:13" s="1" customFormat="1" ht="13.15" customHeight="1">
      <c r="B33" s="24">
        <v>26</v>
      </c>
      <c r="C33" s="11" t="s">
        <v>589</v>
      </c>
      <c r="D33" s="7" t="str">
        <f>IFERROR(VLOOKUP(C33,'Lista desplegable'!B$1:C$436,2,FALSE),"")</f>
        <v>LUIS ALFREDO MORENO RIOS</v>
      </c>
      <c r="E33" s="7" t="str">
        <f>IFERROR(VLOOKUP(D33,'Lista desplegable'!C$1:D$436,2,FALSE),"")</f>
        <v>CHOFER</v>
      </c>
      <c r="F33" s="19"/>
      <c r="G33" s="11"/>
      <c r="H33" s="11"/>
      <c r="I33" s="11"/>
      <c r="J33" s="11" t="s">
        <v>37</v>
      </c>
      <c r="K33" s="11"/>
      <c r="L33" s="11"/>
      <c r="M33" s="11" t="s">
        <v>1088</v>
      </c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ht="13.15" customHeight="1">
      <c r="C36"/>
    </row>
    <row r="37" spans="2:13" ht="13.15" customHeight="1">
      <c r="C37"/>
    </row>
    <row r="38" spans="2:13" ht="25.15" customHeight="1">
      <c r="C38" s="138" t="s">
        <v>1089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</row>
    <row r="39" spans="2:13" ht="33.4" customHeight="1">
      <c r="B39" s="12" t="s">
        <v>980</v>
      </c>
      <c r="C39" s="12" t="s">
        <v>0</v>
      </c>
      <c r="D39" s="12" t="s">
        <v>1</v>
      </c>
      <c r="E39" s="12" t="s">
        <v>981</v>
      </c>
      <c r="F39" s="12" t="s">
        <v>982</v>
      </c>
      <c r="G39" s="12" t="s">
        <v>983</v>
      </c>
      <c r="H39" s="12" t="s">
        <v>984</v>
      </c>
      <c r="I39" s="12" t="s">
        <v>985</v>
      </c>
      <c r="J39" s="12" t="s">
        <v>7</v>
      </c>
      <c r="K39" s="17" t="s">
        <v>986</v>
      </c>
      <c r="L39" s="17" t="s">
        <v>987</v>
      </c>
      <c r="M39" s="12" t="s">
        <v>988</v>
      </c>
    </row>
    <row r="40" spans="2:13" ht="13.15" customHeight="1">
      <c r="B40" s="24">
        <v>1</v>
      </c>
      <c r="C40" s="11" t="s">
        <v>702</v>
      </c>
      <c r="D40" s="7" t="str">
        <f>IFERROR(VLOOKUP(C40,'Lista desplegable'!B$1:C$436,2,FALSE),"")</f>
        <v>NELSON PATRICIO FLORES SANHUEZA</v>
      </c>
      <c r="E40" s="7" t="str">
        <f>IFERROR(VLOOKUP(D40,'Lista desplegable'!C$1:D$436,2,FALSE),"")</f>
        <v>PREVENCIONISTA DE RIESGOS</v>
      </c>
      <c r="F40" s="19" t="s">
        <v>41</v>
      </c>
      <c r="G40" s="11" t="s">
        <v>20</v>
      </c>
      <c r="H40" s="11" t="s">
        <v>52</v>
      </c>
      <c r="I40" s="25" t="s">
        <v>1114</v>
      </c>
      <c r="J40" s="11" t="s">
        <v>15</v>
      </c>
      <c r="K40" s="11" t="s">
        <v>14</v>
      </c>
      <c r="L40" s="11" t="s">
        <v>14</v>
      </c>
      <c r="M40" s="11"/>
    </row>
    <row r="41" spans="2:13" ht="13.15" customHeight="1">
      <c r="B41" s="24">
        <v>2</v>
      </c>
      <c r="C41" s="11" t="s">
        <v>156</v>
      </c>
      <c r="D41" s="7" t="str">
        <f>IFERROR(VLOOKUP(C41,'Lista desplegable'!B$1:C$436,2,FALSE),"")</f>
        <v>CARLOS ALBERTO RAMOS VELASQUEZ</v>
      </c>
      <c r="E41" s="7" t="str">
        <f>IFERROR(VLOOKUP(D41,'Lista desplegable'!C$1:D$436,2,FALSE),"")</f>
        <v>SUPERVISOR DE OPERACIONES</v>
      </c>
      <c r="F41" s="19" t="s">
        <v>41</v>
      </c>
      <c r="G41" s="11" t="s">
        <v>20</v>
      </c>
      <c r="H41" s="11" t="s">
        <v>52</v>
      </c>
      <c r="I41" s="25" t="s">
        <v>1114</v>
      </c>
      <c r="J41" s="11" t="s">
        <v>15</v>
      </c>
      <c r="K41" s="11" t="s">
        <v>14</v>
      </c>
      <c r="L41" s="11" t="s">
        <v>14</v>
      </c>
      <c r="M41" s="11"/>
    </row>
    <row r="42" spans="2:13" ht="13.15" customHeight="1">
      <c r="B42" s="24">
        <v>3</v>
      </c>
      <c r="C42" s="11" t="s">
        <v>283</v>
      </c>
      <c r="D42" s="7" t="str">
        <f>IFERROR(VLOOKUP(C42,'Lista desplegable'!B$1:C$436,2,FALSE),"")</f>
        <v>DIEGO NICOLAS GONZALEZ OLIVARES</v>
      </c>
      <c r="E42" s="7" t="str">
        <f>IFERROR(VLOOKUP(D42,'Lista desplegable'!C$1:D$436,2,FALSE),"")</f>
        <v>MECANICO</v>
      </c>
      <c r="F42" s="19" t="s">
        <v>41</v>
      </c>
      <c r="G42" s="11" t="s">
        <v>20</v>
      </c>
      <c r="H42" s="11" t="s">
        <v>52</v>
      </c>
      <c r="I42" s="25" t="s">
        <v>1114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4</v>
      </c>
      <c r="C43" s="11" t="s">
        <v>636</v>
      </c>
      <c r="D43" s="7" t="str">
        <f>IFERROR(VLOOKUP(C43,'Lista desplegable'!B$1:C$436,2,FALSE),"")</f>
        <v>MARCOS ANTONIO ALDEA BEROIZA</v>
      </c>
      <c r="E43" s="7" t="str">
        <f>IFERROR(VLOOKUP(D43,'Lista desplegable'!C$1:D$436,2,FALSE),"")</f>
        <v>CHOFER</v>
      </c>
      <c r="F43" s="19" t="s">
        <v>41</v>
      </c>
      <c r="G43" s="11" t="s">
        <v>20</v>
      </c>
      <c r="H43" s="11" t="s">
        <v>52</v>
      </c>
      <c r="I43" s="25" t="s">
        <v>1114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5</v>
      </c>
      <c r="C44" s="11" t="s">
        <v>294</v>
      </c>
      <c r="D44" s="7" t="str">
        <f>IFERROR(VLOOKUP(C44,'Lista desplegable'!B$1:C$436,2,FALSE),"")</f>
        <v>EDUARDO ANTONIO CASTILLO VALENZUELA</v>
      </c>
      <c r="E44" s="7" t="str">
        <f>IFERROR(VLOOKUP(D44,'Lista desplegable'!C$1:D$436,2,FALSE),"")</f>
        <v>PERFORISTA</v>
      </c>
      <c r="F44" s="19" t="s">
        <v>34</v>
      </c>
      <c r="G44" s="11" t="s">
        <v>20</v>
      </c>
      <c r="H44" s="11" t="s">
        <v>52</v>
      </c>
      <c r="I44" s="25" t="s">
        <v>1115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6</v>
      </c>
      <c r="C45" s="11" t="s">
        <v>871</v>
      </c>
      <c r="D45" s="7" t="str">
        <f>IFERROR(VLOOKUP(C45,'Lista desplegable'!B$1:C$436,2,FALSE),"")</f>
        <v>RUBEN IGNACIO CORTES BORBON</v>
      </c>
      <c r="E45" s="7" t="str">
        <f>IFERROR(VLOOKUP(D45,'Lista desplegable'!C$1:D$436,2,FALSE),"")</f>
        <v>AYUDANTE DE PERFORISTA</v>
      </c>
      <c r="F45" s="19" t="s">
        <v>34</v>
      </c>
      <c r="G45" s="11" t="s">
        <v>20</v>
      </c>
      <c r="H45" s="11" t="s">
        <v>52</v>
      </c>
      <c r="I45" s="25" t="s">
        <v>1115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7</v>
      </c>
      <c r="C46" s="11" t="s">
        <v>301</v>
      </c>
      <c r="D46" s="7" t="str">
        <f>IFERROR(VLOOKUP(C46,'Lista desplegable'!B$1:C$436,2,FALSE),"")</f>
        <v>ELMER RISCO RAMOS</v>
      </c>
      <c r="E46" s="7" t="str">
        <f>IFERROR(VLOOKUP(D46,'Lista desplegable'!C$1:D$436,2,FALSE),"")</f>
        <v>PERFORISTA</v>
      </c>
      <c r="F46" s="19" t="s">
        <v>34</v>
      </c>
      <c r="G46" s="11" t="s">
        <v>20</v>
      </c>
      <c r="H46" s="11" t="s">
        <v>52</v>
      </c>
      <c r="I46" s="25" t="s">
        <v>1115</v>
      </c>
      <c r="J46" s="11" t="s">
        <v>15</v>
      </c>
      <c r="K46" s="11" t="s">
        <v>14</v>
      </c>
      <c r="L46" s="11" t="s">
        <v>14</v>
      </c>
      <c r="M46" s="11" t="s">
        <v>1093</v>
      </c>
    </row>
    <row r="47" spans="2:13" ht="13.15" customHeight="1">
      <c r="B47" s="24">
        <v>8</v>
      </c>
      <c r="C47" s="11" t="s">
        <v>560</v>
      </c>
      <c r="D47" s="7" t="str">
        <f>IFERROR(VLOOKUP(C47,'Lista desplegable'!B$1:C$436,2,FALSE),"")</f>
        <v>KEVIN ALEXIS NEYRA CORTES</v>
      </c>
      <c r="E47" s="7" t="str">
        <f>IFERROR(VLOOKUP(D47,'Lista desplegable'!C$1:D$436,2,FALSE),"")</f>
        <v>PERFORISTA</v>
      </c>
      <c r="F47" s="19" t="s">
        <v>41</v>
      </c>
      <c r="G47" s="11" t="s">
        <v>20</v>
      </c>
      <c r="H47" s="11" t="s">
        <v>52</v>
      </c>
      <c r="I47" s="25" t="s">
        <v>1114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9</v>
      </c>
      <c r="C48" s="11" t="s">
        <v>764</v>
      </c>
      <c r="D48" s="7" t="str">
        <f>IFERROR(VLOOKUP(C48,'Lista desplegable'!B$1:C$436,2,FALSE),"")</f>
        <v>PATRICIO RENAN GONZALEZ CABELLO</v>
      </c>
      <c r="E48" s="7" t="str">
        <f>IFERROR(VLOOKUP(D48,'Lista desplegable'!C$1:D$436,2,FALSE),"")</f>
        <v>AYUDANTE DE PERFORISTA</v>
      </c>
      <c r="F48" s="19" t="s">
        <v>41</v>
      </c>
      <c r="G48" s="11" t="s">
        <v>20</v>
      </c>
      <c r="H48" s="11" t="s">
        <v>52</v>
      </c>
      <c r="I48" s="25" t="s">
        <v>1114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10</v>
      </c>
      <c r="C49" s="11" t="s">
        <v>531</v>
      </c>
      <c r="D49" s="7" t="str">
        <f>IFERROR(VLOOKUP(C49,'Lista desplegable'!B$1:C$436,2,FALSE),"")</f>
        <v>JUAN ALEXIS AVILEZ MOLINA</v>
      </c>
      <c r="E49" s="7" t="str">
        <f>IFERROR(VLOOKUP(D49,'Lista desplegable'!C$1:D$436,2,FALSE),"")</f>
        <v>AYUDANTE DE PERFORISTA</v>
      </c>
      <c r="F49" s="19" t="s">
        <v>41</v>
      </c>
      <c r="G49" s="11" t="s">
        <v>20</v>
      </c>
      <c r="H49" s="11" t="s">
        <v>52</v>
      </c>
      <c r="I49" s="25" t="s">
        <v>1114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11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25"/>
      <c r="J50" s="11"/>
      <c r="K50" s="11"/>
      <c r="L50" s="11"/>
      <c r="M50" s="11"/>
    </row>
    <row r="51" spans="2:13" ht="13.15" customHeight="1">
      <c r="B51" s="24">
        <v>12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25"/>
      <c r="J51" s="11"/>
      <c r="K51" s="11"/>
      <c r="L51" s="11"/>
      <c r="M51" s="11"/>
    </row>
    <row r="52" spans="2:13" ht="13.15" customHeight="1">
      <c r="B52" s="24">
        <v>13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25"/>
      <c r="J52" s="11"/>
      <c r="K52" s="11"/>
      <c r="L52" s="11"/>
      <c r="M52" s="11"/>
    </row>
    <row r="53" spans="2:13" ht="13.9">
      <c r="C53" s="9"/>
      <c r="D53" s="6"/>
      <c r="E53" s="6"/>
      <c r="F53" s="6"/>
      <c r="G53" s="6"/>
      <c r="H53" s="6"/>
      <c r="I53" s="6"/>
      <c r="J53" s="6"/>
      <c r="K53" s="121">
        <v>0.83333333333333337</v>
      </c>
      <c r="L53" s="121">
        <v>0.33333333333333331</v>
      </c>
      <c r="M53" s="6"/>
    </row>
    <row r="54" spans="2:13" ht="13.9">
      <c r="C54" s="9"/>
      <c r="D54" s="6" t="s">
        <v>1094</v>
      </c>
      <c r="E54" s="6" t="s">
        <v>1095</v>
      </c>
      <c r="F54" s="6"/>
      <c r="G54" s="6"/>
      <c r="H54" s="6"/>
      <c r="I54" s="6"/>
      <c r="J54" s="6"/>
      <c r="K54" s="6"/>
      <c r="L54" s="6"/>
      <c r="M54" s="6"/>
    </row>
    <row r="55" spans="2:13" ht="13.9">
      <c r="C55" s="9"/>
      <c r="D55" s="6" t="s">
        <v>1096</v>
      </c>
      <c r="E55" s="6" t="s">
        <v>1097</v>
      </c>
      <c r="F55" s="6"/>
      <c r="G55" s="6"/>
      <c r="H55" s="6"/>
      <c r="I55" s="6"/>
      <c r="J55" s="6"/>
      <c r="K55" s="6"/>
      <c r="L55" s="6"/>
      <c r="M55" s="6"/>
    </row>
    <row r="56" spans="2:13" ht="13.9">
      <c r="C56" s="9"/>
      <c r="D56" s="6" t="s">
        <v>1098</v>
      </c>
      <c r="E56" s="6" t="s">
        <v>1099</v>
      </c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9">
      <c r="C73" s="9"/>
      <c r="D73" s="6"/>
      <c r="E73" s="6"/>
    </row>
  </sheetData>
  <mergeCells count="4">
    <mergeCell ref="G2:I2"/>
    <mergeCell ref="G3:I3"/>
    <mergeCell ref="C6:M6"/>
    <mergeCell ref="C38:M38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339FC48-39D7-4603-8CC2-BEE55DC5E3E6}">
          <x14:formula1>
            <xm:f>'Lista desplegable'!$L$2:$L$3</xm:f>
          </x14:formula1>
          <xm:sqref>K40:L52 K8:L35</xm:sqref>
        </x14:dataValidation>
        <x14:dataValidation type="list" allowBlank="1" showInputMessage="1" showErrorMessage="1" xr:uid="{DD787433-FCEB-456C-A82F-542D82C95D31}">
          <x14:formula1>
            <xm:f>'Lista desplegable'!$H$2:$H$7</xm:f>
          </x14:formula1>
          <xm:sqref>G8:G35 G40:G52</xm:sqref>
        </x14:dataValidation>
        <x14:dataValidation type="list" allowBlank="1" showInputMessage="1" showErrorMessage="1" xr:uid="{882D324A-1EC2-4358-9C45-0D2813381926}">
          <x14:formula1>
            <xm:f>'Lista desplegable'!$J$2:$J$10</xm:f>
          </x14:formula1>
          <xm:sqref>H8:H35 H40:H52</xm:sqref>
        </x14:dataValidation>
        <x14:dataValidation type="list" allowBlank="1" showInputMessage="1" showErrorMessage="1" xr:uid="{EAF725D8-8D30-42F2-8808-217A678C4943}">
          <x14:formula1>
            <xm:f>'Lista desplegable'!$F$2:$F$19</xm:f>
          </x14:formula1>
          <xm:sqref>F8:F35 F40:F52</xm:sqref>
        </x14:dataValidation>
        <x14:dataValidation type="list" allowBlank="1" showInputMessage="1" showErrorMessage="1" xr:uid="{C055A426-B429-4EE9-B2F6-F618ECC4A1B2}">
          <x14:formula1>
            <xm:f>'Lista desplegable'!$B$2:$B$436</xm:f>
          </x14:formula1>
          <xm:sqref>C40:C52 C8:C35</xm:sqref>
        </x14:dataValidation>
        <x14:dataValidation type="list" allowBlank="1" showInputMessage="1" showErrorMessage="1" xr:uid="{329F5F03-6D35-428A-8D7B-B297842F09EA}">
          <x14:formula1>
            <xm:f>'Lista desplegable'!$N$2:$N$5</xm:f>
          </x14:formula1>
          <xm:sqref>J40:J52 J8:J35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CC41-42A6-457B-A9DF-D47BADD3BBBB}">
  <dimension ref="B1:M73"/>
  <sheetViews>
    <sheetView topLeftCell="D32" zoomScaleNormal="100" workbookViewId="0">
      <selection activeCell="M25" sqref="M25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1116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/>
      <c r="G8" s="11" t="s">
        <v>20</v>
      </c>
      <c r="H8" s="11" t="s">
        <v>52</v>
      </c>
      <c r="I8" s="25"/>
      <c r="J8" s="11" t="s">
        <v>23</v>
      </c>
      <c r="K8" s="11"/>
      <c r="L8" s="11"/>
      <c r="M8" s="11"/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 t="s">
        <v>41</v>
      </c>
      <c r="G9" s="11" t="s">
        <v>20</v>
      </c>
      <c r="H9" s="11" t="s">
        <v>52</v>
      </c>
      <c r="I9" s="25" t="s">
        <v>1013</v>
      </c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358</v>
      </c>
      <c r="D10" s="7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19" t="s">
        <v>41</v>
      </c>
      <c r="G10" s="11" t="s">
        <v>20</v>
      </c>
      <c r="H10" s="11" t="s">
        <v>52</v>
      </c>
      <c r="I10" s="25" t="s">
        <v>1013</v>
      </c>
      <c r="J10" s="11" t="s">
        <v>15</v>
      </c>
      <c r="K10" s="11" t="s">
        <v>14</v>
      </c>
      <c r="L10" s="11" t="s">
        <v>14</v>
      </c>
      <c r="M10" s="11"/>
    </row>
    <row r="11" spans="2:13" s="1" customFormat="1" ht="13.15" customHeight="1">
      <c r="B11" s="24">
        <v>4</v>
      </c>
      <c r="C11" s="11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 t="s">
        <v>41</v>
      </c>
      <c r="G11" s="11" t="s">
        <v>20</v>
      </c>
      <c r="H11" s="11" t="s">
        <v>52</v>
      </c>
      <c r="I11" s="25" t="s">
        <v>1013</v>
      </c>
      <c r="J11" s="11" t="s">
        <v>15</v>
      </c>
      <c r="K11" s="11" t="s">
        <v>14</v>
      </c>
      <c r="L11" s="11" t="s">
        <v>14</v>
      </c>
      <c r="M11" s="11"/>
    </row>
    <row r="12" spans="2:13" s="1" customFormat="1" ht="13.15" customHeight="1">
      <c r="B12" s="24">
        <v>5</v>
      </c>
      <c r="C12" s="11" t="s">
        <v>149</v>
      </c>
      <c r="D12" s="7" t="str">
        <f>IFERROR(VLOOKUP(C12,'Lista desplegable'!B$1:C$436,2,FALSE),"")</f>
        <v>CAMILO FELIPE CRUZ MOLINA</v>
      </c>
      <c r="E12" s="7" t="str">
        <f>IFERROR(VLOOKUP(D12,'Lista desplegable'!C$1:D$436,2,FALSE),"")</f>
        <v>SUPERVISOR DE OPERACIONES</v>
      </c>
      <c r="F12" s="19" t="s">
        <v>41</v>
      </c>
      <c r="G12" s="11" t="s">
        <v>20</v>
      </c>
      <c r="H12" s="11" t="s">
        <v>52</v>
      </c>
      <c r="I12" s="25" t="s">
        <v>1013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786</v>
      </c>
      <c r="D13" s="7" t="str">
        <f>IFERROR(VLOOKUP(C13,'Lista desplegable'!B$1:C$436,2,FALSE),"")</f>
        <v>RAUL ESTEBAN HERNANDEZ PIZARRO</v>
      </c>
      <c r="E13" s="7" t="str">
        <f>IFERROR(VLOOKUP(D13,'Lista desplegable'!C$1:D$436,2,FALSE),"")</f>
        <v>PREVENCIONISTA DE RIESGOS</v>
      </c>
      <c r="F13" s="19" t="s">
        <v>41</v>
      </c>
      <c r="G13" s="11" t="s">
        <v>20</v>
      </c>
      <c r="H13" s="11" t="s">
        <v>52</v>
      </c>
      <c r="I13" s="25" t="s">
        <v>1013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609</v>
      </c>
      <c r="D14" s="7" t="str">
        <f>IFERROR(VLOOKUP(C14,'Lista desplegable'!B$1:C$436,2,FALSE),"")</f>
        <v>MANUEL ALEJANDRO LISAMBARTH CARABANTES</v>
      </c>
      <c r="E14" s="7" t="str">
        <f>IFERROR(VLOOKUP(D14,'Lista desplegable'!C$1:D$436,2,FALSE),"")</f>
        <v>ADMINISTRATIVO DE FAENA</v>
      </c>
      <c r="F14" s="19" t="s">
        <v>41</v>
      </c>
      <c r="G14" s="11" t="s">
        <v>20</v>
      </c>
      <c r="H14" s="11" t="s">
        <v>52</v>
      </c>
      <c r="I14" s="25" t="s">
        <v>1013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851</v>
      </c>
      <c r="D15" s="7" t="str">
        <f>IFERROR(VLOOKUP(C15,'Lista desplegable'!B$1:C$436,2,FALSE),"")</f>
        <v>RODRIGO ANDRES DIAZ INOSTROZA</v>
      </c>
      <c r="E15" s="7" t="str">
        <f>IFERROR(VLOOKUP(D15,'Lista desplegable'!C$1:D$436,2,FALSE),"")</f>
        <v>BODEGUERO</v>
      </c>
      <c r="F15" s="19" t="s">
        <v>41</v>
      </c>
      <c r="G15" s="11" t="s">
        <v>20</v>
      </c>
      <c r="H15" s="11" t="s">
        <v>52</v>
      </c>
      <c r="I15" s="25" t="s">
        <v>1013</v>
      </c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595</v>
      </c>
      <c r="D16" s="7" t="str">
        <f>IFERROR(VLOOKUP(C16,'Lista desplegable'!B$1:C$436,2,FALSE),"")</f>
        <v>LUIS GERARDO LOPEZ OLAVE</v>
      </c>
      <c r="E16" s="7" t="str">
        <f>IFERROR(VLOOKUP(D16,'Lista desplegable'!C$1:D$436,2,FALSE),"")</f>
        <v>MECANICO</v>
      </c>
      <c r="F16" s="19" t="s">
        <v>41</v>
      </c>
      <c r="G16" s="11" t="s">
        <v>20</v>
      </c>
      <c r="H16" s="11" t="s">
        <v>52</v>
      </c>
      <c r="I16" s="25" t="s">
        <v>1013</v>
      </c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205</v>
      </c>
      <c r="D17" s="7" t="str">
        <f>IFERROR(VLOOKUP(C17,'Lista desplegable'!B$1:C$436,2,FALSE),"")</f>
        <v>CRISTIAN ALEJANDRO TOLEDO GONZALEZ</v>
      </c>
      <c r="E17" s="7" t="str">
        <f>IFERROR(VLOOKUP(D17,'Lista desplegable'!C$1:D$436,2,FALSE),"")</f>
        <v>ELECTROMECANICO</v>
      </c>
      <c r="F17" s="19" t="s">
        <v>41</v>
      </c>
      <c r="G17" s="11" t="s">
        <v>20</v>
      </c>
      <c r="H17" s="11" t="s">
        <v>52</v>
      </c>
      <c r="I17" s="25" t="s">
        <v>1013</v>
      </c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19" t="s">
        <v>41</v>
      </c>
      <c r="G18" s="11" t="s">
        <v>20</v>
      </c>
      <c r="H18" s="11" t="s">
        <v>52</v>
      </c>
      <c r="I18" s="25" t="s">
        <v>1013</v>
      </c>
      <c r="J18" s="11" t="s">
        <v>15</v>
      </c>
      <c r="K18" s="11" t="s">
        <v>14</v>
      </c>
      <c r="L18" s="11" t="s">
        <v>14</v>
      </c>
      <c r="M18" s="11" t="s">
        <v>1101</v>
      </c>
    </row>
    <row r="19" spans="2:13" s="1" customFormat="1" ht="13.15" customHeight="1">
      <c r="B19" s="24">
        <v>12</v>
      </c>
      <c r="C19" s="11" t="s">
        <v>183</v>
      </c>
      <c r="D19" s="7" t="str">
        <f>IFERROR(VLOOKUP(C19,'Lista desplegable'!B$1:C$436,2,FALSE),"")</f>
        <v>CHRISTIAN DARIEM PIZARRO MUÑOZ</v>
      </c>
      <c r="E19" s="7" t="str">
        <f>IFERROR(VLOOKUP(D19,'Lista desplegable'!C$1:D$436,2,FALSE),"")</f>
        <v>SOLDADOR</v>
      </c>
      <c r="F19" s="19" t="s">
        <v>41</v>
      </c>
      <c r="G19" s="11" t="s">
        <v>20</v>
      </c>
      <c r="H19" s="11" t="s">
        <v>52</v>
      </c>
      <c r="I19" s="25" t="s">
        <v>1013</v>
      </c>
      <c r="J19" s="11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11" t="s">
        <v>867</v>
      </c>
      <c r="D20" s="7" t="str">
        <f>IFERROR(VLOOKUP(C20,'Lista desplegable'!B$1:C$436,2,FALSE),"")</f>
        <v>RONALD SEBASTIAN BORQUEZ CAMPUSANO</v>
      </c>
      <c r="E20" s="7" t="str">
        <f>IFERROR(VLOOKUP(D20,'Lista desplegable'!C$1:D$436,2,FALSE),"")</f>
        <v>CHOFER</v>
      </c>
      <c r="F20" s="19" t="s">
        <v>41</v>
      </c>
      <c r="G20" s="11" t="s">
        <v>20</v>
      </c>
      <c r="H20" s="11" t="s">
        <v>52</v>
      </c>
      <c r="I20" s="25" t="s">
        <v>1013</v>
      </c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734</v>
      </c>
      <c r="D21" s="7" t="str">
        <f>IFERROR(VLOOKUP(C21,'Lista desplegable'!B$1:C$436,2,FALSE),"")</f>
        <v>OSCAR ALEXIS JARA MEJIAS</v>
      </c>
      <c r="E21" s="7" t="str">
        <f>IFERROR(VLOOKUP(D21,'Lista desplegable'!C$1:D$436,2,FALSE),"")</f>
        <v>CHOFER</v>
      </c>
      <c r="F21" s="19" t="s">
        <v>41</v>
      </c>
      <c r="G21" s="11" t="s">
        <v>20</v>
      </c>
      <c r="H21" s="11" t="s">
        <v>52</v>
      </c>
      <c r="I21" s="25" t="s">
        <v>1013</v>
      </c>
      <c r="J21" s="11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11" t="s">
        <v>243</v>
      </c>
      <c r="D22" s="7" t="str">
        <f>IFERROR(VLOOKUP(C22,'Lista desplegable'!B$1:C$436,2,FALSE),"")</f>
        <v>DANIEL ANDRES VENEGAS CARRASCO</v>
      </c>
      <c r="E22" s="7" t="str">
        <f>IFERROR(VLOOKUP(D22,'Lista desplegable'!C$1:D$436,2,FALSE),"")</f>
        <v>PERFORISTA</v>
      </c>
      <c r="F22" s="19" t="s">
        <v>34</v>
      </c>
      <c r="G22" s="11" t="s">
        <v>20</v>
      </c>
      <c r="H22" s="11" t="s">
        <v>52</v>
      </c>
      <c r="I22" s="25" t="s">
        <v>1117</v>
      </c>
      <c r="J22" s="11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11" t="s">
        <v>632</v>
      </c>
      <c r="D23" s="7" t="str">
        <f>IFERROR(VLOOKUP(C23,'Lista desplegable'!B$1:C$436,2,FALSE),"")</f>
        <v>MARCO ANTONIO VELASQUEZ CIFUENTES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11" t="s">
        <v>52</v>
      </c>
      <c r="I23" s="25" t="s">
        <v>1117</v>
      </c>
      <c r="J23" s="11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11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 t="s">
        <v>1117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11" t="s">
        <v>810</v>
      </c>
      <c r="D25" s="7" t="str">
        <f>IFERROR(VLOOKUP(C25,'Lista desplegable'!B$1:C$436,2,FALSE),"")</f>
        <v>RICARDO NICOLAS QUINTANA SANTANA</v>
      </c>
      <c r="E25" s="7" t="str">
        <f>IFERROR(VLOOKUP(D25,'Lista desplegable'!C$1:D$436,2,FALSE),"")</f>
        <v>AYUDANTE DE PERFORISTA</v>
      </c>
      <c r="F25" s="19" t="s">
        <v>34</v>
      </c>
      <c r="G25" s="11" t="s">
        <v>20</v>
      </c>
      <c r="H25" s="11" t="s">
        <v>52</v>
      </c>
      <c r="I25" s="25" t="s">
        <v>1117</v>
      </c>
      <c r="J25" s="11" t="s">
        <v>15</v>
      </c>
      <c r="K25" s="11" t="s">
        <v>14</v>
      </c>
      <c r="L25" s="11" t="s">
        <v>14</v>
      </c>
      <c r="M25" s="122"/>
    </row>
    <row r="26" spans="2:13" s="1" customFormat="1" ht="13.15" customHeight="1">
      <c r="B26" s="24">
        <v>19</v>
      </c>
      <c r="C26" s="11" t="s">
        <v>80</v>
      </c>
      <c r="D26" s="7" t="str">
        <f>IFERROR(VLOOKUP(C26,'Lista desplegable'!B$1:C$436,2,FALSE),"")</f>
        <v>ALVARO IGNACIO GODOY BRUNA</v>
      </c>
      <c r="E26" s="7" t="str">
        <f>IFERROR(VLOOKUP(D26,'Lista desplegable'!C$1:D$436,2,FALSE),"")</f>
        <v>PERFORISTA</v>
      </c>
      <c r="F26" s="19" t="s">
        <v>41</v>
      </c>
      <c r="G26" s="11" t="s">
        <v>20</v>
      </c>
      <c r="H26" s="11" t="s">
        <v>52</v>
      </c>
      <c r="I26" s="25" t="s">
        <v>1013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11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11" t="s">
        <v>52</v>
      </c>
      <c r="I27" s="25" t="s">
        <v>1013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11" t="s">
        <v>412</v>
      </c>
      <c r="D28" s="7" t="str">
        <f>IFERROR(VLOOKUP(C28,'Lista desplegable'!B$1:C$436,2,FALSE),"")</f>
        <v>HECTOR HUGO SEPULVEDA GAVILAN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 t="s">
        <v>1013</v>
      </c>
      <c r="J28" s="11" t="s">
        <v>15</v>
      </c>
      <c r="K28" s="11" t="s">
        <v>14</v>
      </c>
      <c r="L28" s="11" t="s">
        <v>14</v>
      </c>
      <c r="M28" s="122"/>
    </row>
    <row r="29" spans="2:13" s="1" customFormat="1" ht="13.15" customHeight="1">
      <c r="B29" s="24">
        <v>22</v>
      </c>
      <c r="C29" s="11" t="s">
        <v>952</v>
      </c>
      <c r="D29" s="7" t="str">
        <f>IFERROR(VLOOKUP(C29,'Lista desplegable'!B$1:C$436,2,FALSE),"")</f>
        <v>VLADIMIR OMAR CASTRO ENCINA</v>
      </c>
      <c r="E29" s="7" t="str">
        <f>IFERROR(VLOOKUP(D29,'Lista desplegable'!C$1:D$436,2,FALSE),"")</f>
        <v>PERFORISTA</v>
      </c>
      <c r="F29" s="19" t="s">
        <v>41</v>
      </c>
      <c r="G29" s="11" t="s">
        <v>20</v>
      </c>
      <c r="H29" s="11" t="s">
        <v>52</v>
      </c>
      <c r="I29" s="25" t="s">
        <v>1013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19" t="s">
        <v>41</v>
      </c>
      <c r="G30" s="11" t="s">
        <v>20</v>
      </c>
      <c r="H30" s="11" t="s">
        <v>52</v>
      </c>
      <c r="I30" s="25" t="s">
        <v>1013</v>
      </c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899</v>
      </c>
      <c r="D31" s="7" t="str">
        <f>IFERROR(VLOOKUP(C31,'Lista desplegable'!B$1:C$436,2,FALSE),"")</f>
        <v>SHANNAN ELIZABETH DOBB .</v>
      </c>
      <c r="E31" s="7" t="str">
        <f>IFERROR(VLOOKUP(D31,'Lista desplegable'!C$1:D$436,2,FALSE),"")</f>
        <v>AYUDANTE DE PERFORISTA</v>
      </c>
      <c r="F31" s="19" t="s">
        <v>41</v>
      </c>
      <c r="G31" s="11" t="s">
        <v>20</v>
      </c>
      <c r="H31" s="11" t="s">
        <v>52</v>
      </c>
      <c r="I31" s="25" t="s">
        <v>1013</v>
      </c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375</v>
      </c>
      <c r="D32" s="7" t="str">
        <f>IFERROR(VLOOKUP(C32,'Lista desplegable'!B$1:C$436,2,FALSE),"")</f>
        <v>FRANCISCO PEDRO BORNAZ DELGADO</v>
      </c>
      <c r="E32" s="7" t="str">
        <f>IFERROR(VLOOKUP(D32,'Lista desplegable'!C$1:D$436,2,FALSE),"")</f>
        <v>SUPERVISOR DE OPERACIONES</v>
      </c>
      <c r="F32" s="19" t="s">
        <v>41</v>
      </c>
      <c r="G32" s="11" t="s">
        <v>20</v>
      </c>
      <c r="H32" s="11" t="s">
        <v>52</v>
      </c>
      <c r="I32" s="25" t="s">
        <v>1013</v>
      </c>
      <c r="J32" s="11" t="s">
        <v>15</v>
      </c>
      <c r="K32" s="11" t="s">
        <v>14</v>
      </c>
      <c r="L32" s="11" t="s">
        <v>14</v>
      </c>
      <c r="M32" s="11" t="s">
        <v>1118</v>
      </c>
    </row>
    <row r="33" spans="2:13" s="1" customFormat="1" ht="13.15" customHeight="1">
      <c r="B33" s="24">
        <v>26</v>
      </c>
      <c r="C33" s="11" t="s">
        <v>589</v>
      </c>
      <c r="D33" s="7" t="str">
        <f>IFERROR(VLOOKUP(C33,'Lista desplegable'!B$1:C$436,2,FALSE),"")</f>
        <v>LUIS ALFREDO MORENO RIOS</v>
      </c>
      <c r="E33" s="7" t="str">
        <f>IFERROR(VLOOKUP(D33,'Lista desplegable'!C$1:D$436,2,FALSE),"")</f>
        <v>CHOFER</v>
      </c>
      <c r="F33" s="19"/>
      <c r="G33" s="11"/>
      <c r="H33" s="11"/>
      <c r="I33" s="11"/>
      <c r="J33" s="11" t="s">
        <v>37</v>
      </c>
      <c r="K33" s="11"/>
      <c r="L33" s="11"/>
      <c r="M33" s="11" t="s">
        <v>1088</v>
      </c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ht="13.15" customHeight="1">
      <c r="C36"/>
    </row>
    <row r="37" spans="2:13" ht="13.15" customHeight="1">
      <c r="C37"/>
    </row>
    <row r="38" spans="2:13" ht="25.15" customHeight="1">
      <c r="C38" s="138" t="s">
        <v>1089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</row>
    <row r="39" spans="2:13" ht="33.4" customHeight="1">
      <c r="B39" s="12" t="s">
        <v>980</v>
      </c>
      <c r="C39" s="12" t="s">
        <v>0</v>
      </c>
      <c r="D39" s="12" t="s">
        <v>1</v>
      </c>
      <c r="E39" s="12" t="s">
        <v>981</v>
      </c>
      <c r="F39" s="12" t="s">
        <v>982</v>
      </c>
      <c r="G39" s="12" t="s">
        <v>983</v>
      </c>
      <c r="H39" s="12" t="s">
        <v>984</v>
      </c>
      <c r="I39" s="12" t="s">
        <v>985</v>
      </c>
      <c r="J39" s="12" t="s">
        <v>7</v>
      </c>
      <c r="K39" s="17" t="s">
        <v>986</v>
      </c>
      <c r="L39" s="17" t="s">
        <v>987</v>
      </c>
      <c r="M39" s="12" t="s">
        <v>988</v>
      </c>
    </row>
    <row r="40" spans="2:13" ht="13.15" customHeight="1">
      <c r="B40" s="24">
        <v>1</v>
      </c>
      <c r="C40" s="11" t="s">
        <v>702</v>
      </c>
      <c r="D40" s="7" t="str">
        <f>IFERROR(VLOOKUP(C40,'Lista desplegable'!B$1:C$436,2,FALSE),"")</f>
        <v>NELSON PATRICIO FLORES SANHUEZA</v>
      </c>
      <c r="E40" s="7" t="str">
        <f>IFERROR(VLOOKUP(D40,'Lista desplegable'!C$1:D$436,2,FALSE),"")</f>
        <v>PREVENCIONISTA DE RIESGOS</v>
      </c>
      <c r="F40" s="19" t="s">
        <v>41</v>
      </c>
      <c r="G40" s="11" t="s">
        <v>20</v>
      </c>
      <c r="H40" s="11" t="s">
        <v>52</v>
      </c>
      <c r="I40" s="25" t="s">
        <v>1078</v>
      </c>
      <c r="J40" s="11" t="s">
        <v>15</v>
      </c>
      <c r="K40" s="11" t="s">
        <v>14</v>
      </c>
      <c r="L40" s="11" t="s">
        <v>14</v>
      </c>
      <c r="M40" s="11"/>
    </row>
    <row r="41" spans="2:13" ht="13.15" customHeight="1">
      <c r="B41" s="24">
        <v>2</v>
      </c>
      <c r="C41" s="11" t="s">
        <v>156</v>
      </c>
      <c r="D41" s="7" t="str">
        <f>IFERROR(VLOOKUP(C41,'Lista desplegable'!B$1:C$436,2,FALSE),"")</f>
        <v>CARLOS ALBERTO RAMOS VELASQUEZ</v>
      </c>
      <c r="E41" s="7" t="str">
        <f>IFERROR(VLOOKUP(D41,'Lista desplegable'!C$1:D$436,2,FALSE),"")</f>
        <v>SUPERVISOR DE OPERACIONES</v>
      </c>
      <c r="F41" s="19" t="s">
        <v>41</v>
      </c>
      <c r="G41" s="11" t="s">
        <v>20</v>
      </c>
      <c r="H41" s="11" t="s">
        <v>52</v>
      </c>
      <c r="I41" s="25" t="s">
        <v>1078</v>
      </c>
      <c r="J41" s="11" t="s">
        <v>15</v>
      </c>
      <c r="K41" s="11" t="s">
        <v>14</v>
      </c>
      <c r="L41" s="11" t="s">
        <v>14</v>
      </c>
      <c r="M41" s="11"/>
    </row>
    <row r="42" spans="2:13" ht="13.15" customHeight="1">
      <c r="B42" s="24">
        <v>3</v>
      </c>
      <c r="C42" s="11" t="s">
        <v>283</v>
      </c>
      <c r="D42" s="7" t="str">
        <f>IFERROR(VLOOKUP(C42,'Lista desplegable'!B$1:C$436,2,FALSE),"")</f>
        <v>DIEGO NICOLAS GONZALEZ OLIVARES</v>
      </c>
      <c r="E42" s="7" t="str">
        <f>IFERROR(VLOOKUP(D42,'Lista desplegable'!C$1:D$436,2,FALSE),"")</f>
        <v>MECANICO</v>
      </c>
      <c r="F42" s="19" t="s">
        <v>41</v>
      </c>
      <c r="G42" s="11" t="s">
        <v>20</v>
      </c>
      <c r="H42" s="11" t="s">
        <v>52</v>
      </c>
      <c r="I42" s="25" t="s">
        <v>1078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4</v>
      </c>
      <c r="C43" s="11" t="s">
        <v>636</v>
      </c>
      <c r="D43" s="7" t="str">
        <f>IFERROR(VLOOKUP(C43,'Lista desplegable'!B$1:C$436,2,FALSE),"")</f>
        <v>MARCOS ANTONIO ALDEA BEROIZA</v>
      </c>
      <c r="E43" s="7" t="str">
        <f>IFERROR(VLOOKUP(D43,'Lista desplegable'!C$1:D$436,2,FALSE),"")</f>
        <v>CHOFER</v>
      </c>
      <c r="F43" s="19" t="s">
        <v>41</v>
      </c>
      <c r="G43" s="11" t="s">
        <v>20</v>
      </c>
      <c r="H43" s="11" t="s">
        <v>52</v>
      </c>
      <c r="I43" s="25" t="s">
        <v>1078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5</v>
      </c>
      <c r="C44" s="11" t="s">
        <v>294</v>
      </c>
      <c r="D44" s="7" t="str">
        <f>IFERROR(VLOOKUP(C44,'Lista desplegable'!B$1:C$436,2,FALSE),"")</f>
        <v>EDUARDO ANTONIO CASTILLO VALENZUELA</v>
      </c>
      <c r="E44" s="7" t="str">
        <f>IFERROR(VLOOKUP(D44,'Lista desplegable'!C$1:D$436,2,FALSE),"")</f>
        <v>PERFORISTA</v>
      </c>
      <c r="F44" s="19" t="s">
        <v>34</v>
      </c>
      <c r="G44" s="11" t="s">
        <v>20</v>
      </c>
      <c r="H44" s="11" t="s">
        <v>52</v>
      </c>
      <c r="I44" s="25" t="s">
        <v>1119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6</v>
      </c>
      <c r="C45" s="11" t="s">
        <v>871</v>
      </c>
      <c r="D45" s="7" t="str">
        <f>IFERROR(VLOOKUP(C45,'Lista desplegable'!B$1:C$436,2,FALSE),"")</f>
        <v>RUBEN IGNACIO CORTES BORBON</v>
      </c>
      <c r="E45" s="7" t="str">
        <f>IFERROR(VLOOKUP(D45,'Lista desplegable'!C$1:D$436,2,FALSE),"")</f>
        <v>AYUDANTE DE PERFORISTA</v>
      </c>
      <c r="F45" s="19" t="s">
        <v>34</v>
      </c>
      <c r="G45" s="11" t="s">
        <v>20</v>
      </c>
      <c r="H45" s="11" t="s">
        <v>52</v>
      </c>
      <c r="I45" s="25" t="s">
        <v>1119</v>
      </c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7</v>
      </c>
      <c r="C46" s="11" t="s">
        <v>301</v>
      </c>
      <c r="D46" s="7" t="str">
        <f>IFERROR(VLOOKUP(C46,'Lista desplegable'!B$1:C$436,2,FALSE),"")</f>
        <v>ELMER RISCO RAMOS</v>
      </c>
      <c r="E46" s="7" t="str">
        <f>IFERROR(VLOOKUP(D46,'Lista desplegable'!C$1:D$436,2,FALSE),"")</f>
        <v>PERFORISTA</v>
      </c>
      <c r="F46" s="19" t="s">
        <v>34</v>
      </c>
      <c r="G46" s="11" t="s">
        <v>20</v>
      </c>
      <c r="H46" s="11" t="s">
        <v>52</v>
      </c>
      <c r="I46" s="25" t="s">
        <v>1119</v>
      </c>
      <c r="J46" s="11" t="s">
        <v>15</v>
      </c>
      <c r="K46" s="11" t="s">
        <v>14</v>
      </c>
      <c r="L46" s="11" t="s">
        <v>14</v>
      </c>
      <c r="M46" s="11" t="s">
        <v>1093</v>
      </c>
    </row>
    <row r="47" spans="2:13" ht="13.15" customHeight="1">
      <c r="B47" s="24">
        <v>8</v>
      </c>
      <c r="C47" s="11" t="s">
        <v>560</v>
      </c>
      <c r="D47" s="7" t="str">
        <f>IFERROR(VLOOKUP(C47,'Lista desplegable'!B$1:C$436,2,FALSE),"")</f>
        <v>KEVIN ALEXIS NEYRA CORTES</v>
      </c>
      <c r="E47" s="7" t="str">
        <f>IFERROR(VLOOKUP(D47,'Lista desplegable'!C$1:D$436,2,FALSE),"")</f>
        <v>PERFORISTA</v>
      </c>
      <c r="F47" s="19" t="s">
        <v>41</v>
      </c>
      <c r="G47" s="11" t="s">
        <v>20</v>
      </c>
      <c r="H47" s="11" t="s">
        <v>52</v>
      </c>
      <c r="I47" s="25" t="s">
        <v>1078</v>
      </c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9</v>
      </c>
      <c r="C48" s="11" t="s">
        <v>764</v>
      </c>
      <c r="D48" s="7" t="str">
        <f>IFERROR(VLOOKUP(C48,'Lista desplegable'!B$1:C$436,2,FALSE),"")</f>
        <v>PATRICIO RENAN GONZALEZ CABELLO</v>
      </c>
      <c r="E48" s="7" t="str">
        <f>IFERROR(VLOOKUP(D48,'Lista desplegable'!C$1:D$436,2,FALSE),"")</f>
        <v>AYUDANTE DE PERFORISTA</v>
      </c>
      <c r="F48" s="19" t="s">
        <v>41</v>
      </c>
      <c r="G48" s="11" t="s">
        <v>20</v>
      </c>
      <c r="H48" s="11" t="s">
        <v>52</v>
      </c>
      <c r="I48" s="25" t="s">
        <v>1078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10</v>
      </c>
      <c r="C49" s="11" t="s">
        <v>531</v>
      </c>
      <c r="D49" s="7" t="str">
        <f>IFERROR(VLOOKUP(C49,'Lista desplegable'!B$1:C$436,2,FALSE),"")</f>
        <v>JUAN ALEXIS AVILEZ MOLINA</v>
      </c>
      <c r="E49" s="7" t="str">
        <f>IFERROR(VLOOKUP(D49,'Lista desplegable'!C$1:D$436,2,FALSE),"")</f>
        <v>AYUDANTE DE PERFORISTA</v>
      </c>
      <c r="F49" s="19" t="s">
        <v>41</v>
      </c>
      <c r="G49" s="11" t="s">
        <v>20</v>
      </c>
      <c r="H49" s="11" t="s">
        <v>52</v>
      </c>
      <c r="I49" s="25" t="s">
        <v>1078</v>
      </c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11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25"/>
      <c r="J50" s="11"/>
      <c r="K50" s="11"/>
      <c r="L50" s="11"/>
      <c r="M50" s="11"/>
    </row>
    <row r="51" spans="2:13" ht="13.15" customHeight="1">
      <c r="B51" s="24">
        <v>12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25"/>
      <c r="J51" s="11"/>
      <c r="K51" s="11"/>
      <c r="L51" s="11"/>
      <c r="M51" s="11"/>
    </row>
    <row r="52" spans="2:13" ht="13.15" customHeight="1">
      <c r="B52" s="24">
        <v>13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25"/>
      <c r="J52" s="11"/>
      <c r="K52" s="11"/>
      <c r="L52" s="11"/>
      <c r="M52" s="11"/>
    </row>
    <row r="53" spans="2:13" ht="13.9">
      <c r="C53" s="9"/>
      <c r="D53" s="6"/>
      <c r="E53" s="6"/>
      <c r="F53" s="6"/>
      <c r="G53" s="6"/>
      <c r="H53" s="6"/>
      <c r="I53" s="6"/>
      <c r="J53" s="6"/>
      <c r="K53" s="121">
        <v>0.83333333333333337</v>
      </c>
      <c r="L53" s="121">
        <v>0.33333333333333331</v>
      </c>
      <c r="M53" s="6"/>
    </row>
    <row r="54" spans="2:13" ht="13.9">
      <c r="C54" s="9"/>
      <c r="D54" s="6" t="s">
        <v>1094</v>
      </c>
      <c r="E54" s="6" t="s">
        <v>1095</v>
      </c>
      <c r="F54" s="6"/>
      <c r="G54" s="6"/>
      <c r="H54" s="6"/>
      <c r="I54" s="6"/>
      <c r="J54" s="6"/>
      <c r="K54" s="6"/>
      <c r="L54" s="6"/>
      <c r="M54" s="6"/>
    </row>
    <row r="55" spans="2:13" ht="13.9">
      <c r="C55" s="9"/>
      <c r="D55" s="6" t="s">
        <v>1096</v>
      </c>
      <c r="E55" s="6" t="s">
        <v>1097</v>
      </c>
      <c r="F55" s="6"/>
      <c r="G55" s="6"/>
      <c r="H55" s="6"/>
      <c r="I55" s="6"/>
      <c r="J55" s="6"/>
      <c r="K55" s="6"/>
      <c r="L55" s="6"/>
      <c r="M55" s="6"/>
    </row>
    <row r="56" spans="2:13" ht="13.9">
      <c r="C56" s="9"/>
      <c r="D56" s="6" t="s">
        <v>1098</v>
      </c>
      <c r="E56" s="6" t="s">
        <v>1099</v>
      </c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3:13" ht="13.9">
      <c r="C73" s="9"/>
      <c r="D73" s="6"/>
      <c r="E73" s="6"/>
    </row>
  </sheetData>
  <mergeCells count="4">
    <mergeCell ref="G2:I2"/>
    <mergeCell ref="G3:I3"/>
    <mergeCell ref="C6:M6"/>
    <mergeCell ref="C38:M38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DC83776-2D98-4E1A-BA0D-4235E5210E0A}">
          <x14:formula1>
            <xm:f>'Lista desplegable'!$N$2:$N$5</xm:f>
          </x14:formula1>
          <xm:sqref>J40:J52 J8:J35</xm:sqref>
        </x14:dataValidation>
        <x14:dataValidation type="list" allowBlank="1" showInputMessage="1" showErrorMessage="1" xr:uid="{E6ADF5BC-7058-4941-9A8A-1CEC4412402A}">
          <x14:formula1>
            <xm:f>'Lista desplegable'!$B$2:$B$436</xm:f>
          </x14:formula1>
          <xm:sqref>C40:C52 C8:C35</xm:sqref>
        </x14:dataValidation>
        <x14:dataValidation type="list" allowBlank="1" showInputMessage="1" showErrorMessage="1" xr:uid="{EE9760A1-35EC-449A-AA02-1BA6DA3F9978}">
          <x14:formula1>
            <xm:f>'Lista desplegable'!$F$2:$F$19</xm:f>
          </x14:formula1>
          <xm:sqref>F40:F52 F8:F35</xm:sqref>
        </x14:dataValidation>
        <x14:dataValidation type="list" allowBlank="1" showInputMessage="1" showErrorMessage="1" xr:uid="{B6AD64F4-39CB-4FC3-900A-0EFC2AB7D0A8}">
          <x14:formula1>
            <xm:f>'Lista desplegable'!$J$2:$J$10</xm:f>
          </x14:formula1>
          <xm:sqref>H40:H52 H8:H35</xm:sqref>
        </x14:dataValidation>
        <x14:dataValidation type="list" allowBlank="1" showInputMessage="1" showErrorMessage="1" xr:uid="{07590838-EBDD-45AC-B7E8-5C2F9DEC4050}">
          <x14:formula1>
            <xm:f>'Lista desplegable'!$H$2:$H$7</xm:f>
          </x14:formula1>
          <xm:sqref>G40:G52 G8:G35</xm:sqref>
        </x14:dataValidation>
        <x14:dataValidation type="list" allowBlank="1" showInputMessage="1" showErrorMessage="1" xr:uid="{9977418B-2E82-454E-91F7-C89850487971}">
          <x14:formula1>
            <xm:f>'Lista desplegable'!$L$2:$L$3</xm:f>
          </x14:formula1>
          <xm:sqref>K40:L52 K8:L35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F68C-6A45-434B-91A8-BA2BF801CD78}">
  <dimension ref="B1:M71"/>
  <sheetViews>
    <sheetView topLeftCell="A6" zoomScaleNormal="100" workbookViewId="0">
      <selection activeCell="M45" sqref="M45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bestFit="1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1120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/>
      <c r="G8" s="11" t="s">
        <v>20</v>
      </c>
      <c r="H8" s="11" t="s">
        <v>52</v>
      </c>
      <c r="I8" s="25"/>
      <c r="J8" s="11" t="s">
        <v>23</v>
      </c>
      <c r="K8" s="11"/>
      <c r="L8" s="11"/>
      <c r="M8" s="11"/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 t="s">
        <v>41</v>
      </c>
      <c r="G9" s="11" t="s">
        <v>20</v>
      </c>
      <c r="H9" s="11" t="s">
        <v>52</v>
      </c>
      <c r="I9" s="25" t="s">
        <v>1080</v>
      </c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358</v>
      </c>
      <c r="D10" s="120" t="str">
        <f>IFERROR(VLOOKUP(C10,'Lista desplegable'!B$1:C$436,2,FALSE),"")</f>
        <v>FELIX ALEJANDRO MERY ROBLEDO</v>
      </c>
      <c r="E10" s="7" t="str">
        <f>IFERROR(VLOOKUP(D10,'Lista desplegable'!C$1:D$436,2,FALSE),"")</f>
        <v>ADMINISTRADOR DE CONTRATO JUNIOR</v>
      </c>
      <c r="F10" s="19" t="s">
        <v>41</v>
      </c>
      <c r="G10" s="11" t="s">
        <v>20</v>
      </c>
      <c r="H10" s="11" t="s">
        <v>52</v>
      </c>
      <c r="I10" s="25" t="s">
        <v>1080</v>
      </c>
      <c r="J10" s="11" t="s">
        <v>15</v>
      </c>
      <c r="K10" s="11" t="s">
        <v>14</v>
      </c>
      <c r="L10" s="11" t="s">
        <v>14</v>
      </c>
      <c r="M10" s="131"/>
    </row>
    <row r="11" spans="2:13" s="1" customFormat="1" ht="13.15" customHeight="1">
      <c r="B11" s="24">
        <v>4</v>
      </c>
      <c r="C11" s="11" t="s">
        <v>904</v>
      </c>
      <c r="D11" s="7" t="str">
        <f>IFERROR(VLOOKUP(C11,'Lista desplegable'!B$1:C$436,2,FALSE),"")</f>
        <v>SIMONNE DE LA PAZ REYES BATLLE</v>
      </c>
      <c r="E11" s="7" t="str">
        <f>IFERROR(VLOOKUP(D11,'Lista desplegable'!C$1:D$436,2,FALSE),"")</f>
        <v>ADMINISTRATIVO DE FAENA</v>
      </c>
      <c r="F11" s="19" t="s">
        <v>41</v>
      </c>
      <c r="G11" s="11" t="s">
        <v>20</v>
      </c>
      <c r="H11" s="11" t="s">
        <v>52</v>
      </c>
      <c r="I11" s="25" t="s">
        <v>1080</v>
      </c>
      <c r="J11" s="11" t="s">
        <v>15</v>
      </c>
      <c r="K11" s="11" t="s">
        <v>14</v>
      </c>
      <c r="L11" s="11" t="s">
        <v>14</v>
      </c>
      <c r="M11" s="11"/>
    </row>
    <row r="12" spans="2:13" s="1" customFormat="1" ht="13.15" customHeight="1">
      <c r="B12" s="24">
        <v>5</v>
      </c>
      <c r="C12" s="11" t="s">
        <v>149</v>
      </c>
      <c r="D12" s="7" t="str">
        <f>IFERROR(VLOOKUP(C12,'Lista desplegable'!B$1:C$436,2,FALSE),"")</f>
        <v>CAMILO FELIPE CRUZ MOLINA</v>
      </c>
      <c r="E12" s="7" t="str">
        <f>IFERROR(VLOOKUP(D12,'Lista desplegable'!C$1:D$436,2,FALSE),"")</f>
        <v>SUPERVISOR DE OPERACIONES</v>
      </c>
      <c r="F12" s="19" t="s">
        <v>41</v>
      </c>
      <c r="G12" s="11" t="s">
        <v>20</v>
      </c>
      <c r="H12" s="11" t="s">
        <v>52</v>
      </c>
      <c r="I12" s="25" t="s">
        <v>1080</v>
      </c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786</v>
      </c>
      <c r="D13" s="7" t="str">
        <f>IFERROR(VLOOKUP(C13,'Lista desplegable'!B$1:C$436,2,FALSE),"")</f>
        <v>RAUL ESTEBAN HERNANDEZ PIZARRO</v>
      </c>
      <c r="E13" s="7" t="str">
        <f>IFERROR(VLOOKUP(D13,'Lista desplegable'!C$1:D$436,2,FALSE),"")</f>
        <v>PREVENCIONISTA DE RIESGOS</v>
      </c>
      <c r="F13" s="19" t="s">
        <v>41</v>
      </c>
      <c r="G13" s="11" t="s">
        <v>20</v>
      </c>
      <c r="H13" s="11" t="s">
        <v>52</v>
      </c>
      <c r="I13" s="25" t="s">
        <v>1080</v>
      </c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609</v>
      </c>
      <c r="D14" s="7" t="str">
        <f>IFERROR(VLOOKUP(C14,'Lista desplegable'!B$1:C$436,2,FALSE),"")</f>
        <v>MANUEL ALEJANDRO LISAMBARTH CARABANTES</v>
      </c>
      <c r="E14" s="7" t="str">
        <f>IFERROR(VLOOKUP(D14,'Lista desplegable'!C$1:D$436,2,FALSE),"")</f>
        <v>ADMINISTRATIVO DE FAENA</v>
      </c>
      <c r="F14" s="19" t="s">
        <v>41</v>
      </c>
      <c r="G14" s="11" t="s">
        <v>20</v>
      </c>
      <c r="H14" s="11" t="s">
        <v>52</v>
      </c>
      <c r="I14" s="25" t="s">
        <v>1080</v>
      </c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851</v>
      </c>
      <c r="D15" s="7" t="str">
        <f>IFERROR(VLOOKUP(C15,'Lista desplegable'!B$1:C$436,2,FALSE),"")</f>
        <v>RODRIGO ANDRES DIAZ INOSTROZA</v>
      </c>
      <c r="E15" s="7" t="str">
        <f>IFERROR(VLOOKUP(D15,'Lista desplegable'!C$1:D$436,2,FALSE),"")</f>
        <v>BODEGUERO</v>
      </c>
      <c r="F15" s="19" t="s">
        <v>41</v>
      </c>
      <c r="G15" s="11" t="s">
        <v>20</v>
      </c>
      <c r="H15" s="11" t="s">
        <v>52</v>
      </c>
      <c r="I15" s="25" t="s">
        <v>1080</v>
      </c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595</v>
      </c>
      <c r="D16" s="120" t="str">
        <f>IFERROR(VLOOKUP(C16,'Lista desplegable'!B$1:C$436,2,FALSE),"")</f>
        <v>LUIS GERARDO LOPEZ OLAVE</v>
      </c>
      <c r="E16" s="7" t="str">
        <f>IFERROR(VLOOKUP(D16,'Lista desplegable'!C$1:D$436,2,FALSE),"")</f>
        <v>MECANICO</v>
      </c>
      <c r="F16" s="19" t="s">
        <v>41</v>
      </c>
      <c r="G16" s="11" t="s">
        <v>20</v>
      </c>
      <c r="H16" s="11" t="s">
        <v>52</v>
      </c>
      <c r="I16" s="25" t="s">
        <v>1080</v>
      </c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205</v>
      </c>
      <c r="D17" s="7" t="str">
        <f>IFERROR(VLOOKUP(C17,'Lista desplegable'!B$1:C$436,2,FALSE),"")</f>
        <v>CRISTIAN ALEJANDRO TOLEDO GONZALEZ</v>
      </c>
      <c r="E17" s="7" t="str">
        <f>IFERROR(VLOOKUP(D17,'Lista desplegable'!C$1:D$436,2,FALSE),"")</f>
        <v>ELECTROMECANICO</v>
      </c>
      <c r="F17" s="19" t="s">
        <v>41</v>
      </c>
      <c r="G17" s="11" t="s">
        <v>20</v>
      </c>
      <c r="H17" s="11" t="s">
        <v>52</v>
      </c>
      <c r="I17" s="25" t="s">
        <v>1080</v>
      </c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490</v>
      </c>
      <c r="D18" s="7" t="str">
        <f>IFERROR(VLOOKUP(C18,'Lista desplegable'!B$1:C$436,2,FALSE),"")</f>
        <v>JORGE ANDRES LICANQUEO PEREZ</v>
      </c>
      <c r="E18" s="7" t="str">
        <f>IFERROR(VLOOKUP(D18,'Lista desplegable'!C$1:D$436,2,FALSE),"")</f>
        <v>MECANICO</v>
      </c>
      <c r="F18" s="19" t="s">
        <v>41</v>
      </c>
      <c r="G18" s="11" t="s">
        <v>20</v>
      </c>
      <c r="H18" s="11" t="s">
        <v>52</v>
      </c>
      <c r="I18" s="25" t="s">
        <v>1080</v>
      </c>
      <c r="J18" s="11" t="s">
        <v>15</v>
      </c>
      <c r="K18" s="11" t="s">
        <v>14</v>
      </c>
      <c r="L18" s="11" t="s">
        <v>14</v>
      </c>
      <c r="M18" s="11" t="s">
        <v>1101</v>
      </c>
    </row>
    <row r="19" spans="2:13" s="1" customFormat="1" ht="13.15" customHeight="1">
      <c r="B19" s="24">
        <v>12</v>
      </c>
      <c r="C19" s="11" t="s">
        <v>183</v>
      </c>
      <c r="D19" s="7" t="str">
        <f>IFERROR(VLOOKUP(C19,'Lista desplegable'!B$1:C$436,2,FALSE),"")</f>
        <v>CHRISTIAN DARIEM PIZARRO MUÑOZ</v>
      </c>
      <c r="E19" s="7" t="str">
        <f>IFERROR(VLOOKUP(D19,'Lista desplegable'!C$1:D$436,2,FALSE),"")</f>
        <v>SOLDADOR</v>
      </c>
      <c r="F19" s="19" t="s">
        <v>41</v>
      </c>
      <c r="G19" s="11" t="s">
        <v>20</v>
      </c>
      <c r="H19" s="11" t="s">
        <v>52</v>
      </c>
      <c r="I19" s="25" t="s">
        <v>1080</v>
      </c>
      <c r="J19" s="11" t="s">
        <v>15</v>
      </c>
      <c r="K19" s="11" t="s">
        <v>14</v>
      </c>
      <c r="L19" s="11" t="s">
        <v>14</v>
      </c>
      <c r="M19" s="11"/>
    </row>
    <row r="20" spans="2:13" s="1" customFormat="1" ht="13.15" customHeight="1">
      <c r="B20" s="24">
        <v>13</v>
      </c>
      <c r="C20" s="11" t="s">
        <v>867</v>
      </c>
      <c r="D20" s="7" t="str">
        <f>IFERROR(VLOOKUP(C20,'Lista desplegable'!B$1:C$436,2,FALSE),"")</f>
        <v>RONALD SEBASTIAN BORQUEZ CAMPUSANO</v>
      </c>
      <c r="E20" s="7" t="str">
        <f>IFERROR(VLOOKUP(D20,'Lista desplegable'!C$1:D$436,2,FALSE),"")</f>
        <v>CHOFER</v>
      </c>
      <c r="F20" s="19" t="s">
        <v>41</v>
      </c>
      <c r="G20" s="11" t="s">
        <v>20</v>
      </c>
      <c r="H20" s="11" t="s">
        <v>52</v>
      </c>
      <c r="I20" s="25" t="s">
        <v>1080</v>
      </c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734</v>
      </c>
      <c r="D21" s="7" t="str">
        <f>IFERROR(VLOOKUP(C21,'Lista desplegable'!B$1:C$436,2,FALSE),"")</f>
        <v>OSCAR ALEXIS JARA MEJIAS</v>
      </c>
      <c r="E21" s="7" t="str">
        <f>IFERROR(VLOOKUP(D21,'Lista desplegable'!C$1:D$436,2,FALSE),"")</f>
        <v>CHOFER</v>
      </c>
      <c r="F21" s="19" t="s">
        <v>41</v>
      </c>
      <c r="G21" s="11" t="s">
        <v>20</v>
      </c>
      <c r="H21" s="11" t="s">
        <v>52</v>
      </c>
      <c r="I21" s="25" t="s">
        <v>1080</v>
      </c>
      <c r="J21" s="11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11" t="s">
        <v>243</v>
      </c>
      <c r="D22" s="7" t="str">
        <f>IFERROR(VLOOKUP(C22,'Lista desplegable'!B$1:C$436,2,FALSE),"")</f>
        <v>DANIEL ANDRES VENEGAS CARRASCO</v>
      </c>
      <c r="E22" s="7" t="str">
        <f>IFERROR(VLOOKUP(D22,'Lista desplegable'!C$1:D$436,2,FALSE),"")</f>
        <v>PERFORISTA</v>
      </c>
      <c r="F22" s="19" t="s">
        <v>34</v>
      </c>
      <c r="G22" s="11" t="s">
        <v>20</v>
      </c>
      <c r="H22" s="11" t="s">
        <v>52</v>
      </c>
      <c r="I22" s="25" t="s">
        <v>1121</v>
      </c>
      <c r="J22" s="11" t="s">
        <v>15</v>
      </c>
      <c r="K22" s="11" t="s">
        <v>14</v>
      </c>
      <c r="L22" s="11" t="s">
        <v>14</v>
      </c>
      <c r="M22" s="122"/>
    </row>
    <row r="23" spans="2:13" s="1" customFormat="1" ht="13.15" customHeight="1">
      <c r="B23" s="24">
        <v>16</v>
      </c>
      <c r="C23" s="11" t="s">
        <v>632</v>
      </c>
      <c r="D23" s="7" t="str">
        <f>IFERROR(VLOOKUP(C23,'Lista desplegable'!B$1:C$436,2,FALSE),"")</f>
        <v>MARCO ANTONIO VELASQUEZ CIFUENTES</v>
      </c>
      <c r="E23" s="7" t="str">
        <f>IFERROR(VLOOKUP(D23,'Lista desplegable'!C$1:D$436,2,FALSE),"")</f>
        <v>AYUDANTE DE PERFORISTA</v>
      </c>
      <c r="F23" s="19" t="s">
        <v>34</v>
      </c>
      <c r="G23" s="11" t="s">
        <v>20</v>
      </c>
      <c r="H23" s="11" t="s">
        <v>52</v>
      </c>
      <c r="I23" s="25" t="s">
        <v>1121</v>
      </c>
      <c r="J23" s="11" t="s">
        <v>15</v>
      </c>
      <c r="K23" s="11" t="s">
        <v>14</v>
      </c>
      <c r="L23" s="11" t="s">
        <v>14</v>
      </c>
      <c r="M23" s="11"/>
    </row>
    <row r="24" spans="2:13" s="1" customFormat="1" ht="13.15" customHeight="1">
      <c r="B24" s="24">
        <v>17</v>
      </c>
      <c r="C24" s="11" t="s">
        <v>730</v>
      </c>
      <c r="D24" s="7" t="str">
        <f>IFERROR(VLOOKUP(C24,'Lista desplegable'!B$1:C$436,2,FALSE),"")</f>
        <v>OMAR ANDRES ARAYA ZUÑIGA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 t="s">
        <v>1121</v>
      </c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11" t="s">
        <v>810</v>
      </c>
      <c r="D25" s="7" t="str">
        <f>IFERROR(VLOOKUP(C25,'Lista desplegable'!B$1:C$436,2,FALSE),"")</f>
        <v>RICARDO NICOLAS QUINTANA SANTANA</v>
      </c>
      <c r="E25" s="7" t="str">
        <f>IFERROR(VLOOKUP(D25,'Lista desplegable'!C$1:D$436,2,FALSE),"")</f>
        <v>AYUDANTE DE PERFORISTA</v>
      </c>
      <c r="F25" s="19" t="s">
        <v>34</v>
      </c>
      <c r="G25" s="11" t="s">
        <v>20</v>
      </c>
      <c r="H25" s="11" t="s">
        <v>52</v>
      </c>
      <c r="I25" s="25" t="s">
        <v>1121</v>
      </c>
      <c r="J25" s="11" t="s">
        <v>15</v>
      </c>
      <c r="K25" s="11" t="s">
        <v>14</v>
      </c>
      <c r="L25" s="11" t="s">
        <v>14</v>
      </c>
      <c r="M25" s="122"/>
    </row>
    <row r="26" spans="2:13" s="1" customFormat="1" ht="13.15" customHeight="1">
      <c r="B26" s="24">
        <v>19</v>
      </c>
      <c r="C26" s="11" t="s">
        <v>80</v>
      </c>
      <c r="D26" s="7" t="str">
        <f>IFERROR(VLOOKUP(C26,'Lista desplegable'!B$1:C$436,2,FALSE),"")</f>
        <v>ALVARO IGNACIO GODOY BRUNA</v>
      </c>
      <c r="E26" s="7" t="str">
        <f>IFERROR(VLOOKUP(D26,'Lista desplegable'!C$1:D$436,2,FALSE),"")</f>
        <v>PERFORISTA</v>
      </c>
      <c r="F26" s="19" t="s">
        <v>41</v>
      </c>
      <c r="G26" s="11" t="s">
        <v>20</v>
      </c>
      <c r="H26" s="11" t="s">
        <v>52</v>
      </c>
      <c r="I26" s="25" t="s">
        <v>1080</v>
      </c>
      <c r="J26" s="11" t="s">
        <v>15</v>
      </c>
      <c r="K26" s="11" t="s">
        <v>14</v>
      </c>
      <c r="L26" s="11" t="s">
        <v>14</v>
      </c>
      <c r="M26" s="11"/>
    </row>
    <row r="27" spans="2:13" s="1" customFormat="1" ht="13.15" customHeight="1">
      <c r="B27" s="24">
        <v>20</v>
      </c>
      <c r="C27" s="11" t="s">
        <v>98</v>
      </c>
      <c r="D27" s="7" t="str">
        <f>IFERROR(VLOOKUP(C27,'Lista desplegable'!B$1:C$436,2,FALSE),"")</f>
        <v>ANGELO GIOVANNI BIZAMA ORELLANA</v>
      </c>
      <c r="E27" s="7" t="str">
        <f>IFERROR(VLOOKUP(D27,'Lista desplegable'!C$1:D$436,2,FALSE),"")</f>
        <v>AYUDANTE DE PERFORISTA</v>
      </c>
      <c r="F27" s="19" t="s">
        <v>41</v>
      </c>
      <c r="G27" s="11" t="s">
        <v>20</v>
      </c>
      <c r="H27" s="11" t="s">
        <v>52</v>
      </c>
      <c r="I27" s="25" t="s">
        <v>1080</v>
      </c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11" t="s">
        <v>412</v>
      </c>
      <c r="D28" s="7" t="str">
        <f>IFERROR(VLOOKUP(C28,'Lista desplegable'!B$1:C$436,2,FALSE),"")</f>
        <v>HECTOR HUGO SEPULVEDA GAVILAN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 t="s">
        <v>1080</v>
      </c>
      <c r="J28" s="11" t="s">
        <v>15</v>
      </c>
      <c r="K28" s="11" t="s">
        <v>14</v>
      </c>
      <c r="L28" s="11" t="s">
        <v>14</v>
      </c>
      <c r="M28" s="122"/>
    </row>
    <row r="29" spans="2:13" s="1" customFormat="1" ht="13.15" customHeight="1">
      <c r="B29" s="24">
        <v>22</v>
      </c>
      <c r="C29" s="11" t="s">
        <v>952</v>
      </c>
      <c r="D29" s="7" t="str">
        <f>IFERROR(VLOOKUP(C29,'Lista desplegable'!B$1:C$436,2,FALSE),"")</f>
        <v>VLADIMIR OMAR CASTRO ENCINA</v>
      </c>
      <c r="E29" s="7" t="str">
        <f>IFERROR(VLOOKUP(D29,'Lista desplegable'!C$1:D$436,2,FALSE),"")</f>
        <v>PERFORISTA</v>
      </c>
      <c r="F29" s="19" t="s">
        <v>41</v>
      </c>
      <c r="G29" s="11" t="s">
        <v>20</v>
      </c>
      <c r="H29" s="11" t="s">
        <v>52</v>
      </c>
      <c r="I29" s="25" t="s">
        <v>1080</v>
      </c>
      <c r="J29" s="11" t="s">
        <v>15</v>
      </c>
      <c r="K29" s="11" t="s">
        <v>14</v>
      </c>
      <c r="L29" s="11" t="s">
        <v>14</v>
      </c>
      <c r="M29" s="11"/>
    </row>
    <row r="30" spans="2:13" s="1" customFormat="1" ht="13.15" customHeight="1">
      <c r="B30" s="24">
        <v>23</v>
      </c>
      <c r="C30" s="11" t="s">
        <v>732</v>
      </c>
      <c r="D30" s="7" t="str">
        <f>IFERROR(VLOOKUP(C30,'Lista desplegable'!B$1:C$436,2,FALSE),"")</f>
        <v>ORLANDO PATRICIO CONTRERAS RIOS</v>
      </c>
      <c r="E30" s="7" t="str">
        <f>IFERROR(VLOOKUP(D30,'Lista desplegable'!C$1:D$436,2,FALSE),"")</f>
        <v>PERFORISTA</v>
      </c>
      <c r="F30" s="19" t="s">
        <v>41</v>
      </c>
      <c r="G30" s="11" t="s">
        <v>20</v>
      </c>
      <c r="H30" s="11" t="s">
        <v>52</v>
      </c>
      <c r="I30" s="25" t="s">
        <v>1080</v>
      </c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899</v>
      </c>
      <c r="D31" s="7" t="str">
        <f>IFERROR(VLOOKUP(C31,'Lista desplegable'!B$1:C$436,2,FALSE),"")</f>
        <v>SHANNAN ELIZABETH DOBB .</v>
      </c>
      <c r="E31" s="7" t="str">
        <f>IFERROR(VLOOKUP(D31,'Lista desplegable'!C$1:D$436,2,FALSE),"")</f>
        <v>AYUDANTE DE PERFORISTA</v>
      </c>
      <c r="F31" s="19" t="s">
        <v>41</v>
      </c>
      <c r="G31" s="11" t="s">
        <v>20</v>
      </c>
      <c r="H31" s="11" t="s">
        <v>52</v>
      </c>
      <c r="I31" s="25" t="s">
        <v>1080</v>
      </c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589</v>
      </c>
      <c r="D32" s="7" t="str">
        <f>IFERROR(VLOOKUP(C32,'Lista desplegable'!B$1:C$436,2,FALSE),"")</f>
        <v>LUIS ALFREDO MORENO RIOS</v>
      </c>
      <c r="E32" s="7" t="str">
        <f>IFERROR(VLOOKUP(D32,'Lista desplegable'!C$1:D$436,2,FALSE),"")</f>
        <v>CHOFER</v>
      </c>
      <c r="F32" s="19"/>
      <c r="G32" s="11"/>
      <c r="H32" s="11"/>
      <c r="I32" s="11"/>
      <c r="J32" s="11" t="s">
        <v>37</v>
      </c>
      <c r="K32" s="11"/>
      <c r="L32" s="11"/>
      <c r="M32" s="11" t="s">
        <v>1088</v>
      </c>
    </row>
    <row r="33" spans="2:13" s="1" customFormat="1" ht="13.15" customHeight="1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ht="13.15" customHeight="1">
      <c r="C35"/>
    </row>
    <row r="36" spans="2:13" ht="13.15" customHeight="1">
      <c r="C36"/>
    </row>
    <row r="37" spans="2:13" ht="25.15" customHeight="1">
      <c r="C37" s="138" t="s">
        <v>1089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</row>
    <row r="38" spans="2:13" ht="33.4" customHeight="1">
      <c r="B38" s="12" t="s">
        <v>980</v>
      </c>
      <c r="C38" s="12" t="s">
        <v>0</v>
      </c>
      <c r="D38" s="12" t="s">
        <v>1</v>
      </c>
      <c r="E38" s="12" t="s">
        <v>981</v>
      </c>
      <c r="F38" s="12" t="s">
        <v>982</v>
      </c>
      <c r="G38" s="12" t="s">
        <v>983</v>
      </c>
      <c r="H38" s="12" t="s">
        <v>984</v>
      </c>
      <c r="I38" s="12" t="s">
        <v>985</v>
      </c>
      <c r="J38" s="12" t="s">
        <v>7</v>
      </c>
      <c r="K38" s="17" t="s">
        <v>986</v>
      </c>
      <c r="L38" s="17" t="s">
        <v>987</v>
      </c>
      <c r="M38" s="12" t="s">
        <v>988</v>
      </c>
    </row>
    <row r="39" spans="2:13" ht="13.15" customHeight="1">
      <c r="B39" s="24">
        <v>1</v>
      </c>
      <c r="C39" s="11" t="s">
        <v>702</v>
      </c>
      <c r="D39" s="7" t="str">
        <f>IFERROR(VLOOKUP(C39,'Lista desplegable'!B$1:C$436,2,FALSE),"")</f>
        <v>NELSON PATRICIO FLORES SANHUEZA</v>
      </c>
      <c r="E39" s="7" t="str">
        <f>IFERROR(VLOOKUP(D39,'Lista desplegable'!C$1:D$436,2,FALSE),"")</f>
        <v>PREVENCIONISTA DE RIESGOS</v>
      </c>
      <c r="F39" s="19" t="s">
        <v>34</v>
      </c>
      <c r="G39" s="11" t="s">
        <v>20</v>
      </c>
      <c r="H39" s="11" t="s">
        <v>52</v>
      </c>
      <c r="I39" s="25" t="s">
        <v>1122</v>
      </c>
      <c r="J39" s="11" t="s">
        <v>15</v>
      </c>
      <c r="K39" s="11" t="s">
        <v>14</v>
      </c>
      <c r="L39" s="11" t="s">
        <v>14</v>
      </c>
      <c r="M39" s="11"/>
    </row>
    <row r="40" spans="2:13" ht="13.15" customHeight="1">
      <c r="B40" s="24">
        <v>2</v>
      </c>
      <c r="C40" s="11" t="s">
        <v>156</v>
      </c>
      <c r="D40" s="7" t="str">
        <f>IFERROR(VLOOKUP(C40,'Lista desplegable'!B$1:C$436,2,FALSE),"")</f>
        <v>CARLOS ALBERTO RAMOS VELASQUEZ</v>
      </c>
      <c r="E40" s="7" t="str">
        <f>IFERROR(VLOOKUP(D40,'Lista desplegable'!C$1:D$436,2,FALSE),"")</f>
        <v>SUPERVISOR DE OPERACIONES</v>
      </c>
      <c r="F40" s="19" t="s">
        <v>34</v>
      </c>
      <c r="G40" s="11" t="s">
        <v>20</v>
      </c>
      <c r="H40" s="11" t="s">
        <v>52</v>
      </c>
      <c r="I40" s="25" t="s">
        <v>1122</v>
      </c>
      <c r="J40" s="11" t="s">
        <v>15</v>
      </c>
      <c r="K40" s="11" t="s">
        <v>14</v>
      </c>
      <c r="L40" s="11" t="s">
        <v>14</v>
      </c>
      <c r="M40" s="122"/>
    </row>
    <row r="41" spans="2:13" ht="13.15" customHeight="1">
      <c r="B41" s="24">
        <v>3</v>
      </c>
      <c r="C41" s="11" t="s">
        <v>283</v>
      </c>
      <c r="D41" s="7" t="str">
        <f>IFERROR(VLOOKUP(C41,'Lista desplegable'!B$1:C$436,2,FALSE),"")</f>
        <v>DIEGO NICOLAS GONZALEZ OLIVARES</v>
      </c>
      <c r="E41" s="7" t="str">
        <f>IFERROR(VLOOKUP(D41,'Lista desplegable'!C$1:D$436,2,FALSE),"")</f>
        <v>MECANICO</v>
      </c>
      <c r="F41" s="19" t="s">
        <v>34</v>
      </c>
      <c r="G41" s="11" t="s">
        <v>20</v>
      </c>
      <c r="H41" s="11" t="s">
        <v>52</v>
      </c>
      <c r="I41" s="25" t="s">
        <v>1122</v>
      </c>
      <c r="J41" s="11" t="s">
        <v>15</v>
      </c>
      <c r="K41" s="11" t="s">
        <v>14</v>
      </c>
      <c r="L41" s="11" t="s">
        <v>14</v>
      </c>
      <c r="M41" s="11"/>
    </row>
    <row r="42" spans="2:13" ht="13.15" customHeight="1">
      <c r="B42" s="24">
        <v>4</v>
      </c>
      <c r="C42" s="11" t="s">
        <v>636</v>
      </c>
      <c r="D42" s="7" t="str">
        <f>IFERROR(VLOOKUP(C42,'Lista desplegable'!B$1:C$436,2,FALSE),"")</f>
        <v>MARCOS ANTONIO ALDEA BEROIZA</v>
      </c>
      <c r="E42" s="7" t="str">
        <f>IFERROR(VLOOKUP(D42,'Lista desplegable'!C$1:D$436,2,FALSE),"")</f>
        <v>CHOFER</v>
      </c>
      <c r="F42" s="19" t="s">
        <v>34</v>
      </c>
      <c r="G42" s="11" t="s">
        <v>20</v>
      </c>
      <c r="H42" s="11" t="s">
        <v>52</v>
      </c>
      <c r="I42" s="25" t="s">
        <v>1122</v>
      </c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5</v>
      </c>
      <c r="C43" s="11" t="s">
        <v>294</v>
      </c>
      <c r="D43" s="7" t="str">
        <f>IFERROR(VLOOKUP(C43,'Lista desplegable'!B$1:C$436,2,FALSE),"")</f>
        <v>EDUARDO ANTONIO CASTILLO VALENZUELA</v>
      </c>
      <c r="E43" s="7" t="str">
        <f>IFERROR(VLOOKUP(D43,'Lista desplegable'!C$1:D$436,2,FALSE),"")</f>
        <v>PERFORISTA</v>
      </c>
      <c r="F43" s="19" t="s">
        <v>34</v>
      </c>
      <c r="G43" s="11" t="s">
        <v>20</v>
      </c>
      <c r="H43" s="11" t="s">
        <v>52</v>
      </c>
      <c r="I43" s="25" t="s">
        <v>1122</v>
      </c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6</v>
      </c>
      <c r="C44" s="11" t="s">
        <v>871</v>
      </c>
      <c r="D44" s="7" t="str">
        <f>IFERROR(VLOOKUP(C44,'Lista desplegable'!B$1:C$436,2,FALSE),"")</f>
        <v>RUBEN IGNACIO CORTES BORBON</v>
      </c>
      <c r="E44" s="7" t="str">
        <f>IFERROR(VLOOKUP(D44,'Lista desplegable'!C$1:D$436,2,FALSE),"")</f>
        <v>AYUDANTE DE PERFORISTA</v>
      </c>
      <c r="F44" s="19" t="s">
        <v>34</v>
      </c>
      <c r="G44" s="11" t="s">
        <v>20</v>
      </c>
      <c r="H44" s="11" t="s">
        <v>52</v>
      </c>
      <c r="I44" s="25" t="s">
        <v>1122</v>
      </c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7</v>
      </c>
      <c r="C45" s="11" t="s">
        <v>301</v>
      </c>
      <c r="D45" s="120" t="str">
        <f>IFERROR(VLOOKUP(C45,'Lista desplegable'!B$1:C$436,2,FALSE),"")</f>
        <v>ELMER RISCO RAMOS</v>
      </c>
      <c r="E45" s="7" t="str">
        <f>IFERROR(VLOOKUP(D45,'Lista desplegable'!C$1:D$436,2,FALSE),"")</f>
        <v>PERFORISTA</v>
      </c>
      <c r="F45" s="19" t="s">
        <v>34</v>
      </c>
      <c r="G45" s="11" t="s">
        <v>20</v>
      </c>
      <c r="H45" s="11" t="s">
        <v>52</v>
      </c>
      <c r="I45" s="25" t="s">
        <v>1122</v>
      </c>
      <c r="J45" s="11" t="s">
        <v>15</v>
      </c>
      <c r="K45" s="11" t="s">
        <v>14</v>
      </c>
      <c r="L45" s="11" t="s">
        <v>14</v>
      </c>
      <c r="M45" s="11" t="s">
        <v>1093</v>
      </c>
    </row>
    <row r="46" spans="2:13" ht="13.15" customHeight="1">
      <c r="B46" s="24">
        <v>8</v>
      </c>
      <c r="C46" s="11" t="s">
        <v>560</v>
      </c>
      <c r="D46" s="7" t="str">
        <f>IFERROR(VLOOKUP(C46,'Lista desplegable'!B$1:C$436,2,FALSE),"")</f>
        <v>KEVIN ALEXIS NEYRA CORTES</v>
      </c>
      <c r="E46" s="7" t="str">
        <f>IFERROR(VLOOKUP(D46,'Lista desplegable'!C$1:D$436,2,FALSE),"")</f>
        <v>PERFORISTA</v>
      </c>
      <c r="F46" s="19" t="s">
        <v>41</v>
      </c>
      <c r="G46" s="11" t="s">
        <v>20</v>
      </c>
      <c r="H46" s="11" t="s">
        <v>52</v>
      </c>
      <c r="I46" s="25" t="s">
        <v>1123</v>
      </c>
      <c r="J46" s="11" t="s">
        <v>15</v>
      </c>
      <c r="K46" s="11" t="s">
        <v>14</v>
      </c>
      <c r="L46" s="11" t="s">
        <v>14</v>
      </c>
      <c r="M46" s="11"/>
    </row>
    <row r="47" spans="2:13" ht="13.15" customHeight="1">
      <c r="B47" s="24">
        <v>9</v>
      </c>
      <c r="C47" s="11" t="s">
        <v>764</v>
      </c>
      <c r="D47" s="7" t="str">
        <f>IFERROR(VLOOKUP(C47,'Lista desplegable'!B$1:C$436,2,FALSE),"")</f>
        <v>PATRICIO RENAN GONZALEZ CABELLO</v>
      </c>
      <c r="E47" s="7" t="str">
        <f>IFERROR(VLOOKUP(D47,'Lista desplegable'!C$1:D$436,2,FALSE),"")</f>
        <v>AYUDANTE DE PERFORISTA</v>
      </c>
      <c r="F47" s="19" t="s">
        <v>41</v>
      </c>
      <c r="G47" s="11" t="s">
        <v>20</v>
      </c>
      <c r="H47" s="11" t="s">
        <v>52</v>
      </c>
      <c r="I47" s="25" t="s">
        <v>1123</v>
      </c>
      <c r="J47" s="11" t="s">
        <v>15</v>
      </c>
      <c r="K47" s="11" t="s">
        <v>14</v>
      </c>
      <c r="L47" s="11" t="s">
        <v>14</v>
      </c>
      <c r="M47" s="122"/>
    </row>
    <row r="48" spans="2:13" ht="13.15" customHeight="1">
      <c r="B48" s="24">
        <v>10</v>
      </c>
      <c r="C48" s="11" t="s">
        <v>531</v>
      </c>
      <c r="D48" s="7" t="str">
        <f>IFERROR(VLOOKUP(C48,'Lista desplegable'!B$1:C$436,2,FALSE),"")</f>
        <v>JUAN ALEXIS AVILEZ MOLINA</v>
      </c>
      <c r="E48" s="7" t="str">
        <f>IFERROR(VLOOKUP(D48,'Lista desplegable'!C$1:D$436,2,FALSE),"")</f>
        <v>AYUDANTE DE PERFORISTA</v>
      </c>
      <c r="F48" s="19" t="s">
        <v>41</v>
      </c>
      <c r="G48" s="11" t="s">
        <v>20</v>
      </c>
      <c r="H48" s="11" t="s">
        <v>52</v>
      </c>
      <c r="I48" s="25" t="s">
        <v>1123</v>
      </c>
      <c r="J48" s="11" t="s">
        <v>15</v>
      </c>
      <c r="K48" s="11" t="s">
        <v>14</v>
      </c>
      <c r="L48" s="11" t="s">
        <v>14</v>
      </c>
      <c r="M48" s="11"/>
    </row>
    <row r="49" spans="2:13" ht="13.15" customHeight="1">
      <c r="B49" s="24">
        <v>11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25"/>
      <c r="J49" s="11"/>
      <c r="K49" s="11"/>
      <c r="L49" s="11"/>
      <c r="M49" s="11"/>
    </row>
    <row r="50" spans="2:13" ht="13.15" customHeight="1">
      <c r="B50" s="24">
        <v>12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25"/>
      <c r="J50" s="11"/>
      <c r="K50" s="11"/>
      <c r="L50" s="11"/>
      <c r="M50" s="11"/>
    </row>
    <row r="51" spans="2:13" ht="13.15" customHeight="1">
      <c r="B51" s="24">
        <v>13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25"/>
      <c r="J51" s="11"/>
      <c r="K51" s="11"/>
      <c r="L51" s="11"/>
      <c r="M51" s="11"/>
    </row>
    <row r="52" spans="2:13" ht="13.9">
      <c r="C52" s="9"/>
      <c r="D52" s="6"/>
      <c r="E52" s="6"/>
      <c r="F52" s="6"/>
      <c r="G52" s="6"/>
      <c r="H52" s="6"/>
      <c r="I52" s="6"/>
      <c r="J52" s="6"/>
      <c r="K52" s="121">
        <v>0.83333333333333337</v>
      </c>
      <c r="L52" s="121">
        <v>0.33333333333333331</v>
      </c>
      <c r="M52" s="6"/>
    </row>
    <row r="53" spans="2:13" ht="13.9">
      <c r="C53" s="9"/>
      <c r="D53" s="6" t="s">
        <v>1094</v>
      </c>
      <c r="E53" s="6" t="s">
        <v>1095</v>
      </c>
      <c r="F53" s="6"/>
      <c r="G53" s="6"/>
      <c r="H53" s="6"/>
      <c r="I53" s="6"/>
      <c r="J53" s="6"/>
      <c r="K53" s="6"/>
      <c r="L53" s="6"/>
      <c r="M53" s="6"/>
    </row>
    <row r="54" spans="2:13" ht="13.9">
      <c r="C54" s="9"/>
      <c r="D54" s="6" t="s">
        <v>1098</v>
      </c>
      <c r="E54" s="6" t="s">
        <v>1099</v>
      </c>
      <c r="F54" s="6"/>
      <c r="G54" s="6"/>
      <c r="H54" s="6"/>
      <c r="I54" s="6"/>
      <c r="J54" s="6"/>
      <c r="K54" s="6"/>
      <c r="L54" s="6"/>
      <c r="M54" s="6"/>
    </row>
    <row r="55" spans="2:13" ht="13.9">
      <c r="C55" s="9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ht="13.9">
      <c r="C56" s="9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</row>
  </sheetData>
  <mergeCells count="4">
    <mergeCell ref="G2:I2"/>
    <mergeCell ref="G3:I3"/>
    <mergeCell ref="C6:M6"/>
    <mergeCell ref="C37:M37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59E74F7-908C-447D-A8E9-18D59B916A99}">
          <x14:formula1>
            <xm:f>'Lista desplegable'!$L$2:$L$3</xm:f>
          </x14:formula1>
          <xm:sqref>K39:L51 K8:L34</xm:sqref>
        </x14:dataValidation>
        <x14:dataValidation type="list" allowBlank="1" showInputMessage="1" showErrorMessage="1" xr:uid="{362F67EA-A2DC-4E06-80A1-7F81499F3CE9}">
          <x14:formula1>
            <xm:f>'Lista desplegable'!$H$2:$H$7</xm:f>
          </x14:formula1>
          <xm:sqref>G39:G51 G8:G34</xm:sqref>
        </x14:dataValidation>
        <x14:dataValidation type="list" allowBlank="1" showInputMessage="1" showErrorMessage="1" xr:uid="{8309D460-B3BE-4C4F-8CE9-2AA34D0D9B08}">
          <x14:formula1>
            <xm:f>'Lista desplegable'!$J$2:$J$10</xm:f>
          </x14:formula1>
          <xm:sqref>H39:H51 H8:H34</xm:sqref>
        </x14:dataValidation>
        <x14:dataValidation type="list" allowBlank="1" showInputMessage="1" showErrorMessage="1" xr:uid="{6DC1683B-0273-4600-A7C4-A1EF4536D294}">
          <x14:formula1>
            <xm:f>'Lista desplegable'!$F$2:$F$19</xm:f>
          </x14:formula1>
          <xm:sqref>F39:F51 F8:F34</xm:sqref>
        </x14:dataValidation>
        <x14:dataValidation type="list" allowBlank="1" showInputMessage="1" showErrorMessage="1" xr:uid="{2A6BF438-0445-4CB5-ACC4-99BC34D08264}">
          <x14:formula1>
            <xm:f>'Lista desplegable'!$B$2:$B$436</xm:f>
          </x14:formula1>
          <xm:sqref>C39:C51 C8:C34</xm:sqref>
        </x14:dataValidation>
        <x14:dataValidation type="list" allowBlank="1" showInputMessage="1" showErrorMessage="1" xr:uid="{95F96703-5E3C-48C1-9C56-C807A5EFF2CD}">
          <x14:formula1>
            <xm:f>'Lista desplegable'!$N$2:$N$5</xm:f>
          </x14:formula1>
          <xm:sqref>J39:J51 J8:J34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B1D4-251B-4D81-9A9B-35BAD3B742B9}">
  <dimension ref="B1:M72"/>
  <sheetViews>
    <sheetView tabSelected="1" zoomScaleNormal="100" workbookViewId="0">
      <selection activeCell="M60" sqref="M59:M60"/>
    </sheetView>
  </sheetViews>
  <sheetFormatPr defaultColWidth="10.7109375" defaultRowHeight="12.75"/>
  <cols>
    <col min="1" max="1" width="4.85546875" customWidth="1"/>
    <col min="2" max="2" width="6.85546875" customWidth="1"/>
    <col min="3" max="3" width="17.140625" style="8" customWidth="1"/>
    <col min="4" max="4" width="36.28515625" customWidth="1"/>
    <col min="5" max="5" width="30.7109375" customWidth="1"/>
    <col min="6" max="6" width="11.28515625" customWidth="1"/>
    <col min="7" max="7" width="13.140625" customWidth="1"/>
    <col min="8" max="9" width="10.5703125" customWidth="1"/>
    <col min="10" max="10" width="13.5703125" bestFit="1" customWidth="1"/>
    <col min="11" max="11" width="13" customWidth="1"/>
    <col min="12" max="12" width="14.28515625" customWidth="1"/>
    <col min="13" max="13" width="49.28515625" customWidth="1"/>
  </cols>
  <sheetData>
    <row r="1" spans="2:13" ht="13.1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ht="13.15">
      <c r="C2" s="4"/>
      <c r="D2" s="1"/>
      <c r="E2" s="1"/>
      <c r="G2" s="132" t="s">
        <v>976</v>
      </c>
      <c r="H2" s="133"/>
      <c r="I2" s="134"/>
      <c r="J2" s="23"/>
      <c r="M2" s="1"/>
    </row>
    <row r="3" spans="2:13" ht="13.15">
      <c r="C3" s="3"/>
      <c r="D3" s="5" t="s">
        <v>977</v>
      </c>
      <c r="E3" s="13" t="s">
        <v>978</v>
      </c>
      <c r="G3" s="135" t="s">
        <v>1124</v>
      </c>
      <c r="H3" s="136"/>
      <c r="I3" s="137"/>
      <c r="J3" s="16"/>
      <c r="K3" s="16"/>
      <c r="L3" s="16"/>
      <c r="M3" s="1"/>
    </row>
    <row r="4" spans="2:13" ht="13.15">
      <c r="C4" s="3"/>
      <c r="D4" s="2"/>
      <c r="M4" s="1"/>
    </row>
    <row r="5" spans="2:13" ht="13.1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15" customHeight="1">
      <c r="C6" s="138" t="s">
        <v>1084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</row>
    <row r="7" spans="2:13" ht="33.4" customHeight="1">
      <c r="B7" s="12" t="s">
        <v>980</v>
      </c>
      <c r="C7" s="12" t="s">
        <v>0</v>
      </c>
      <c r="D7" s="12" t="s">
        <v>1</v>
      </c>
      <c r="E7" s="12" t="s">
        <v>981</v>
      </c>
      <c r="F7" s="12" t="s">
        <v>982</v>
      </c>
      <c r="G7" s="12" t="s">
        <v>983</v>
      </c>
      <c r="H7" s="12" t="s">
        <v>984</v>
      </c>
      <c r="I7" s="12" t="s">
        <v>985</v>
      </c>
      <c r="J7" s="12" t="s">
        <v>7</v>
      </c>
      <c r="K7" s="17" t="s">
        <v>986</v>
      </c>
      <c r="L7" s="17" t="s">
        <v>987</v>
      </c>
      <c r="M7" s="12" t="s">
        <v>988</v>
      </c>
    </row>
    <row r="8" spans="2:13" s="1" customFormat="1" ht="13.15" customHeight="1">
      <c r="B8" s="24">
        <v>1</v>
      </c>
      <c r="C8" s="11" t="s">
        <v>96</v>
      </c>
      <c r="D8" s="7" t="str">
        <f>IFERROR(VLOOKUP(C8,'Lista desplegable'!B$1:C$436,2,FALSE),"")</f>
        <v>ANDREW JAMES WILSON .</v>
      </c>
      <c r="E8" s="7" t="str">
        <f>IFERROR(VLOOKUP(D8,'Lista desplegable'!C$1:D$436,2,FALSE),"")</f>
        <v>PERFORISTA</v>
      </c>
      <c r="F8" s="19"/>
      <c r="G8" s="11" t="s">
        <v>20</v>
      </c>
      <c r="H8" s="11" t="s">
        <v>52</v>
      </c>
      <c r="I8" s="25"/>
      <c r="J8" s="11" t="s">
        <v>37</v>
      </c>
      <c r="K8" s="11"/>
      <c r="L8" s="11"/>
      <c r="M8" s="11" t="s">
        <v>990</v>
      </c>
    </row>
    <row r="9" spans="2:13" s="1" customFormat="1" ht="13.15" customHeight="1">
      <c r="B9" s="24">
        <v>2</v>
      </c>
      <c r="C9" s="11" t="s">
        <v>527</v>
      </c>
      <c r="D9" s="7" t="str">
        <f>IFERROR(VLOOKUP(C9,'Lista desplegable'!B$1:C$436,2,FALSE),"")</f>
        <v>JOSHUA MANN .</v>
      </c>
      <c r="E9" s="7" t="str">
        <f>IFERROR(VLOOKUP(D9,'Lista desplegable'!C$1:D$436,2,FALSE),"")</f>
        <v>SUPERVISOR DE OPERACIONES</v>
      </c>
      <c r="F9" s="19"/>
      <c r="G9" s="11" t="s">
        <v>20</v>
      </c>
      <c r="H9" s="11" t="s">
        <v>52</v>
      </c>
      <c r="I9" s="25"/>
      <c r="J9" s="11" t="s">
        <v>37</v>
      </c>
      <c r="K9" s="11"/>
      <c r="L9" s="11"/>
      <c r="M9" s="11" t="s">
        <v>990</v>
      </c>
    </row>
    <row r="10" spans="2:13" s="1" customFormat="1" ht="13.15" customHeight="1">
      <c r="B10" s="24">
        <v>3</v>
      </c>
      <c r="C10" s="11" t="s">
        <v>521</v>
      </c>
      <c r="D10" s="7" t="str">
        <f>IFERROR(VLOOKUP(C10,'Lista desplegable'!B$1:C$436,2,FALSE),"")</f>
        <v>JOSE MANUEL CASTILLO GARCIA</v>
      </c>
      <c r="E10" s="7" t="str">
        <f>IFERROR(VLOOKUP(D10,'Lista desplegable'!C$1:D$436,2,FALSE),"")</f>
        <v>INSTRUCTOR DE OPERACIONES</v>
      </c>
      <c r="F10" s="19"/>
      <c r="G10" s="11"/>
      <c r="H10" s="11"/>
      <c r="I10" s="25"/>
      <c r="J10" s="11" t="s">
        <v>37</v>
      </c>
      <c r="K10" s="11"/>
      <c r="L10" s="11"/>
      <c r="M10" s="11" t="s">
        <v>1125</v>
      </c>
    </row>
    <row r="11" spans="2:13" s="1" customFormat="1" ht="13.15" customHeight="1">
      <c r="B11" s="24">
        <v>4</v>
      </c>
      <c r="C11" s="11" t="s">
        <v>358</v>
      </c>
      <c r="D11" s="120" t="str">
        <f>IFERROR(VLOOKUP(C11,'Lista desplegable'!B$1:C$436,2,FALSE),"")</f>
        <v>FELIX ALEJANDRO MERY ROBLEDO</v>
      </c>
      <c r="E11" s="7" t="str">
        <f>IFERROR(VLOOKUP(D11,'Lista desplegable'!C$1:D$436,2,FALSE),"")</f>
        <v>ADMINISTRADOR DE CONTRATO JUNIOR</v>
      </c>
      <c r="F11" s="19"/>
      <c r="G11" s="11" t="s">
        <v>20</v>
      </c>
      <c r="H11" s="11" t="s">
        <v>52</v>
      </c>
      <c r="I11" s="25"/>
      <c r="J11" s="11" t="s">
        <v>15</v>
      </c>
      <c r="K11" s="11" t="s">
        <v>14</v>
      </c>
      <c r="L11" s="11" t="s">
        <v>14</v>
      </c>
      <c r="M11" s="123"/>
    </row>
    <row r="12" spans="2:13" s="1" customFormat="1" ht="13.15" customHeight="1">
      <c r="B12" s="24">
        <v>5</v>
      </c>
      <c r="C12" s="11" t="s">
        <v>904</v>
      </c>
      <c r="D12" s="7" t="str">
        <f>IFERROR(VLOOKUP(C12,'Lista desplegable'!B$1:C$436,2,FALSE),"")</f>
        <v>SIMONNE DE LA PAZ REYES BATLLE</v>
      </c>
      <c r="E12" s="7" t="str">
        <f>IFERROR(VLOOKUP(D12,'Lista desplegable'!C$1:D$436,2,FALSE),"")</f>
        <v>ADMINISTRATIVO DE FAENA</v>
      </c>
      <c r="F12" s="19"/>
      <c r="G12" s="11" t="s">
        <v>20</v>
      </c>
      <c r="H12" s="11" t="s">
        <v>52</v>
      </c>
      <c r="I12" s="25"/>
      <c r="J12" s="11" t="s">
        <v>15</v>
      </c>
      <c r="K12" s="11" t="s">
        <v>14</v>
      </c>
      <c r="L12" s="11" t="s">
        <v>14</v>
      </c>
      <c r="M12" s="11"/>
    </row>
    <row r="13" spans="2:13" s="1" customFormat="1" ht="13.15" customHeight="1">
      <c r="B13" s="24">
        <v>6</v>
      </c>
      <c r="C13" s="11" t="s">
        <v>149</v>
      </c>
      <c r="D13" s="7" t="str">
        <f>IFERROR(VLOOKUP(C13,'Lista desplegable'!B$1:C$436,2,FALSE),"")</f>
        <v>CAMILO FELIPE CRUZ MOLINA</v>
      </c>
      <c r="E13" s="7" t="str">
        <f>IFERROR(VLOOKUP(D13,'Lista desplegable'!C$1:D$436,2,FALSE),"")</f>
        <v>SUPERVISOR DE OPERACIONES</v>
      </c>
      <c r="F13" s="19"/>
      <c r="G13" s="11" t="s">
        <v>20</v>
      </c>
      <c r="H13" s="11" t="s">
        <v>52</v>
      </c>
      <c r="I13" s="25"/>
      <c r="J13" s="11" t="s">
        <v>15</v>
      </c>
      <c r="K13" s="11" t="s">
        <v>14</v>
      </c>
      <c r="L13" s="11" t="s">
        <v>14</v>
      </c>
      <c r="M13" s="11"/>
    </row>
    <row r="14" spans="2:13" s="1" customFormat="1" ht="13.15" customHeight="1">
      <c r="B14" s="24">
        <v>7</v>
      </c>
      <c r="C14" s="11" t="s">
        <v>786</v>
      </c>
      <c r="D14" s="7" t="str">
        <f>IFERROR(VLOOKUP(C14,'Lista desplegable'!B$1:C$436,2,FALSE),"")</f>
        <v>RAUL ESTEBAN HERNANDEZ PIZARRO</v>
      </c>
      <c r="E14" s="7" t="str">
        <f>IFERROR(VLOOKUP(D14,'Lista desplegable'!C$1:D$436,2,FALSE),"")</f>
        <v>PREVENCIONISTA DE RIESGOS</v>
      </c>
      <c r="F14" s="19"/>
      <c r="G14" s="11" t="s">
        <v>20</v>
      </c>
      <c r="H14" s="11" t="s">
        <v>52</v>
      </c>
      <c r="I14" s="25"/>
      <c r="J14" s="11" t="s">
        <v>15</v>
      </c>
      <c r="K14" s="11" t="s">
        <v>14</v>
      </c>
      <c r="L14" s="11" t="s">
        <v>14</v>
      </c>
      <c r="M14" s="11"/>
    </row>
    <row r="15" spans="2:13" s="1" customFormat="1" ht="13.15" customHeight="1">
      <c r="B15" s="24">
        <v>8</v>
      </c>
      <c r="C15" s="11" t="s">
        <v>609</v>
      </c>
      <c r="D15" s="7" t="str">
        <f>IFERROR(VLOOKUP(C15,'Lista desplegable'!B$1:C$436,2,FALSE),"")</f>
        <v>MANUEL ALEJANDRO LISAMBARTH CARABANTES</v>
      </c>
      <c r="E15" s="7" t="str">
        <f>IFERROR(VLOOKUP(D15,'Lista desplegable'!C$1:D$436,2,FALSE),"")</f>
        <v>ADMINISTRATIVO DE FAENA</v>
      </c>
      <c r="F15" s="19"/>
      <c r="G15" s="11" t="s">
        <v>20</v>
      </c>
      <c r="H15" s="11" t="s">
        <v>52</v>
      </c>
      <c r="I15" s="25"/>
      <c r="J15" s="11" t="s">
        <v>15</v>
      </c>
      <c r="K15" s="11" t="s">
        <v>14</v>
      </c>
      <c r="L15" s="11" t="s">
        <v>14</v>
      </c>
      <c r="M15" s="11"/>
    </row>
    <row r="16" spans="2:13" s="1" customFormat="1" ht="13.15" customHeight="1">
      <c r="B16" s="24">
        <v>9</v>
      </c>
      <c r="C16" s="11" t="s">
        <v>851</v>
      </c>
      <c r="D16" s="7" t="str">
        <f>IFERROR(VLOOKUP(C16,'Lista desplegable'!B$1:C$436,2,FALSE),"")</f>
        <v>RODRIGO ANDRES DIAZ INOSTROZA</v>
      </c>
      <c r="E16" s="7" t="str">
        <f>IFERROR(VLOOKUP(D16,'Lista desplegable'!C$1:D$436,2,FALSE),"")</f>
        <v>BODEGUERO</v>
      </c>
      <c r="F16" s="19"/>
      <c r="G16" s="11" t="s">
        <v>20</v>
      </c>
      <c r="H16" s="11" t="s">
        <v>52</v>
      </c>
      <c r="I16" s="25"/>
      <c r="J16" s="11" t="s">
        <v>15</v>
      </c>
      <c r="K16" s="11" t="s">
        <v>14</v>
      </c>
      <c r="L16" s="11" t="s">
        <v>14</v>
      </c>
      <c r="M16" s="11"/>
    </row>
    <row r="17" spans="2:13" s="1" customFormat="1" ht="13.15" customHeight="1">
      <c r="B17" s="24">
        <v>10</v>
      </c>
      <c r="C17" s="11" t="s">
        <v>595</v>
      </c>
      <c r="D17" s="120" t="str">
        <f>IFERROR(VLOOKUP(C17,'Lista desplegable'!B$1:C$436,2,FALSE),"")</f>
        <v>LUIS GERARDO LOPEZ OLAVE</v>
      </c>
      <c r="E17" s="7" t="str">
        <f>IFERROR(VLOOKUP(D17,'Lista desplegable'!C$1:D$436,2,FALSE),"")</f>
        <v>MECANICO</v>
      </c>
      <c r="F17" s="19"/>
      <c r="G17" s="11" t="s">
        <v>20</v>
      </c>
      <c r="H17" s="11" t="s">
        <v>52</v>
      </c>
      <c r="I17" s="25"/>
      <c r="J17" s="11" t="s">
        <v>15</v>
      </c>
      <c r="K17" s="11" t="s">
        <v>14</v>
      </c>
      <c r="L17" s="11" t="s">
        <v>14</v>
      </c>
      <c r="M17" s="11"/>
    </row>
    <row r="18" spans="2:13" s="1" customFormat="1" ht="13.15" customHeight="1">
      <c r="B18" s="24">
        <v>11</v>
      </c>
      <c r="C18" s="11" t="s">
        <v>205</v>
      </c>
      <c r="D18" s="7" t="str">
        <f>IFERROR(VLOOKUP(C18,'Lista desplegable'!B$1:C$436,2,FALSE),"")</f>
        <v>CRISTIAN ALEJANDRO TOLEDO GONZALEZ</v>
      </c>
      <c r="E18" s="7" t="str">
        <f>IFERROR(VLOOKUP(D18,'Lista desplegable'!C$1:D$436,2,FALSE),"")</f>
        <v>ELECTROMECANICO</v>
      </c>
      <c r="F18" s="19"/>
      <c r="G18" s="11" t="s">
        <v>20</v>
      </c>
      <c r="H18" s="11" t="s">
        <v>52</v>
      </c>
      <c r="I18" s="25"/>
      <c r="J18" s="11" t="s">
        <v>15</v>
      </c>
      <c r="K18" s="11" t="s">
        <v>14</v>
      </c>
      <c r="L18" s="11" t="s">
        <v>14</v>
      </c>
      <c r="M18" s="11"/>
    </row>
    <row r="19" spans="2:13" s="1" customFormat="1" ht="13.15" customHeight="1">
      <c r="B19" s="24">
        <v>12</v>
      </c>
      <c r="C19" s="11" t="s">
        <v>490</v>
      </c>
      <c r="D19" s="7" t="str">
        <f>IFERROR(VLOOKUP(C19,'Lista desplegable'!B$1:C$436,2,FALSE),"")</f>
        <v>JORGE ANDRES LICANQUEO PEREZ</v>
      </c>
      <c r="E19" s="7" t="str">
        <f>IFERROR(VLOOKUP(D19,'Lista desplegable'!C$1:D$436,2,FALSE),"")</f>
        <v>MECANICO</v>
      </c>
      <c r="F19" s="19"/>
      <c r="G19" s="11" t="s">
        <v>20</v>
      </c>
      <c r="H19" s="11" t="s">
        <v>52</v>
      </c>
      <c r="I19" s="25"/>
      <c r="J19" s="11" t="s">
        <v>15</v>
      </c>
      <c r="K19" s="11" t="s">
        <v>14</v>
      </c>
      <c r="L19" s="11" t="s">
        <v>14</v>
      </c>
      <c r="M19" s="11" t="s">
        <v>1101</v>
      </c>
    </row>
    <row r="20" spans="2:13" s="1" customFormat="1" ht="13.15" customHeight="1">
      <c r="B20" s="24">
        <v>13</v>
      </c>
      <c r="C20" s="11" t="s">
        <v>183</v>
      </c>
      <c r="D20" s="7" t="str">
        <f>IFERROR(VLOOKUP(C20,'Lista desplegable'!B$1:C$436,2,FALSE),"")</f>
        <v>CHRISTIAN DARIEM PIZARRO MUÑOZ</v>
      </c>
      <c r="E20" s="7" t="str">
        <f>IFERROR(VLOOKUP(D20,'Lista desplegable'!C$1:D$436,2,FALSE),"")</f>
        <v>SOLDADOR</v>
      </c>
      <c r="F20" s="19"/>
      <c r="G20" s="11" t="s">
        <v>20</v>
      </c>
      <c r="H20" s="11" t="s">
        <v>52</v>
      </c>
      <c r="I20" s="25"/>
      <c r="J20" s="11" t="s">
        <v>15</v>
      </c>
      <c r="K20" s="11" t="s">
        <v>14</v>
      </c>
      <c r="L20" s="11" t="s">
        <v>14</v>
      </c>
      <c r="M20" s="11"/>
    </row>
    <row r="21" spans="2:13" s="1" customFormat="1" ht="13.15" customHeight="1">
      <c r="B21" s="24">
        <v>14</v>
      </c>
      <c r="C21" s="11" t="s">
        <v>867</v>
      </c>
      <c r="D21" s="7" t="str">
        <f>IFERROR(VLOOKUP(C21,'Lista desplegable'!B$1:C$436,2,FALSE),"")</f>
        <v>RONALD SEBASTIAN BORQUEZ CAMPUSANO</v>
      </c>
      <c r="E21" s="7" t="str">
        <f>IFERROR(VLOOKUP(D21,'Lista desplegable'!C$1:D$436,2,FALSE),"")</f>
        <v>CHOFER</v>
      </c>
      <c r="F21" s="19"/>
      <c r="G21" s="11" t="s">
        <v>20</v>
      </c>
      <c r="H21" s="11" t="s">
        <v>52</v>
      </c>
      <c r="I21" s="25"/>
      <c r="J21" s="11" t="s">
        <v>15</v>
      </c>
      <c r="K21" s="11" t="s">
        <v>14</v>
      </c>
      <c r="L21" s="11" t="s">
        <v>14</v>
      </c>
      <c r="M21" s="11"/>
    </row>
    <row r="22" spans="2:13" s="1" customFormat="1" ht="13.15" customHeight="1">
      <c r="B22" s="24">
        <v>15</v>
      </c>
      <c r="C22" s="11" t="s">
        <v>734</v>
      </c>
      <c r="D22" s="7" t="str">
        <f>IFERROR(VLOOKUP(C22,'Lista desplegable'!B$1:C$436,2,FALSE),"")</f>
        <v>OSCAR ALEXIS JARA MEJIAS</v>
      </c>
      <c r="E22" s="7" t="str">
        <f>IFERROR(VLOOKUP(D22,'Lista desplegable'!C$1:D$436,2,FALSE),"")</f>
        <v>CHOFER</v>
      </c>
      <c r="F22" s="19"/>
      <c r="G22" s="11" t="s">
        <v>20</v>
      </c>
      <c r="H22" s="11" t="s">
        <v>52</v>
      </c>
      <c r="I22" s="25"/>
      <c r="J22" s="11" t="s">
        <v>15</v>
      </c>
      <c r="K22" s="11" t="s">
        <v>14</v>
      </c>
      <c r="L22" s="11" t="s">
        <v>14</v>
      </c>
      <c r="M22" s="11"/>
    </row>
    <row r="23" spans="2:13" s="1" customFormat="1" ht="13.15" customHeight="1">
      <c r="B23" s="24">
        <v>16</v>
      </c>
      <c r="C23" s="11" t="s">
        <v>243</v>
      </c>
      <c r="D23" s="7" t="str">
        <f>IFERROR(VLOOKUP(C23,'Lista desplegable'!B$1:C$436,2,FALSE),"")</f>
        <v>DANIEL ANDRES VENEGAS CARRASCO</v>
      </c>
      <c r="E23" s="7" t="str">
        <f>IFERROR(VLOOKUP(D23,'Lista desplegable'!C$1:D$436,2,FALSE),"")</f>
        <v>PERFORISTA</v>
      </c>
      <c r="F23" s="19" t="s">
        <v>34</v>
      </c>
      <c r="G23" s="11" t="s">
        <v>20</v>
      </c>
      <c r="H23" s="11" t="s">
        <v>52</v>
      </c>
      <c r="I23" s="25"/>
      <c r="J23" s="11" t="s">
        <v>15</v>
      </c>
      <c r="K23" s="11" t="s">
        <v>14</v>
      </c>
      <c r="L23" s="11" t="s">
        <v>14</v>
      </c>
      <c r="M23" s="122"/>
    </row>
    <row r="24" spans="2:13" s="1" customFormat="1" ht="13.15" customHeight="1">
      <c r="B24" s="24">
        <v>17</v>
      </c>
      <c r="C24" s="11" t="s">
        <v>632</v>
      </c>
      <c r="D24" s="7" t="str">
        <f>IFERROR(VLOOKUP(C24,'Lista desplegable'!B$1:C$436,2,FALSE),"")</f>
        <v>MARCO ANTONIO VELASQUEZ CIFUENTES</v>
      </c>
      <c r="E24" s="7" t="str">
        <f>IFERROR(VLOOKUP(D24,'Lista desplegable'!C$1:D$436,2,FALSE),"")</f>
        <v>AYUDANTE DE PERFORISTA</v>
      </c>
      <c r="F24" s="19" t="s">
        <v>34</v>
      </c>
      <c r="G24" s="11" t="s">
        <v>20</v>
      </c>
      <c r="H24" s="11" t="s">
        <v>52</v>
      </c>
      <c r="I24" s="25"/>
      <c r="J24" s="11" t="s">
        <v>15</v>
      </c>
      <c r="K24" s="11" t="s">
        <v>14</v>
      </c>
      <c r="L24" s="11" t="s">
        <v>14</v>
      </c>
      <c r="M24" s="11"/>
    </row>
    <row r="25" spans="2:13" s="1" customFormat="1" ht="13.15" customHeight="1">
      <c r="B25" s="24">
        <v>18</v>
      </c>
      <c r="C25" s="11" t="s">
        <v>730</v>
      </c>
      <c r="D25" s="7" t="str">
        <f>IFERROR(VLOOKUP(C25,'Lista desplegable'!B$1:C$436,2,FALSE),"")</f>
        <v>OMAR ANDRES ARAYA ZUÑIGA</v>
      </c>
      <c r="E25" s="7" t="str">
        <f>IFERROR(VLOOKUP(D25,'Lista desplegable'!C$1:D$436,2,FALSE),"")</f>
        <v>AYUDANTE DE PERFORISTA</v>
      </c>
      <c r="F25" s="19" t="s">
        <v>34</v>
      </c>
      <c r="G25" s="11" t="s">
        <v>20</v>
      </c>
      <c r="H25" s="11" t="s">
        <v>52</v>
      </c>
      <c r="I25" s="25"/>
      <c r="J25" s="11" t="s">
        <v>15</v>
      </c>
      <c r="K25" s="11" t="s">
        <v>14</v>
      </c>
      <c r="L25" s="11" t="s">
        <v>14</v>
      </c>
      <c r="M25" s="11"/>
    </row>
    <row r="26" spans="2:13" s="1" customFormat="1" ht="13.15" customHeight="1">
      <c r="B26" s="24">
        <v>19</v>
      </c>
      <c r="C26" s="11" t="s">
        <v>810</v>
      </c>
      <c r="D26" s="7" t="str">
        <f>IFERROR(VLOOKUP(C26,'Lista desplegable'!B$1:C$436,2,FALSE),"")</f>
        <v>RICARDO NICOLAS QUINTANA SANTANA</v>
      </c>
      <c r="E26" s="7" t="str">
        <f>IFERROR(VLOOKUP(D26,'Lista desplegable'!C$1:D$436,2,FALSE),"")</f>
        <v>AYUDANTE DE PERFORISTA</v>
      </c>
      <c r="F26" s="19" t="s">
        <v>34</v>
      </c>
      <c r="G26" s="11" t="s">
        <v>20</v>
      </c>
      <c r="H26" s="11" t="s">
        <v>52</v>
      </c>
      <c r="I26" s="25"/>
      <c r="J26" s="11" t="s">
        <v>15</v>
      </c>
      <c r="K26" s="11" t="s">
        <v>14</v>
      </c>
      <c r="L26" s="11" t="s">
        <v>14</v>
      </c>
      <c r="M26" s="122"/>
    </row>
    <row r="27" spans="2:13" s="1" customFormat="1" ht="13.15" customHeight="1">
      <c r="B27" s="24">
        <v>20</v>
      </c>
      <c r="C27" s="11" t="s">
        <v>80</v>
      </c>
      <c r="D27" s="7" t="str">
        <f>IFERROR(VLOOKUP(C27,'Lista desplegable'!B$1:C$436,2,FALSE),"")</f>
        <v>ALVARO IGNACIO GODOY BRUNA</v>
      </c>
      <c r="E27" s="7" t="str">
        <f>IFERROR(VLOOKUP(D27,'Lista desplegable'!C$1:D$436,2,FALSE),"")</f>
        <v>PERFORISTA</v>
      </c>
      <c r="F27" s="19" t="s">
        <v>41</v>
      </c>
      <c r="G27" s="11" t="s">
        <v>20</v>
      </c>
      <c r="H27" s="11" t="s">
        <v>52</v>
      </c>
      <c r="I27" s="25"/>
      <c r="J27" s="11" t="s">
        <v>15</v>
      </c>
      <c r="K27" s="11" t="s">
        <v>14</v>
      </c>
      <c r="L27" s="11" t="s">
        <v>14</v>
      </c>
      <c r="M27" s="11"/>
    </row>
    <row r="28" spans="2:13" s="1" customFormat="1" ht="13.15" customHeight="1">
      <c r="B28" s="24">
        <v>21</v>
      </c>
      <c r="C28" s="11" t="s">
        <v>98</v>
      </c>
      <c r="D28" s="7" t="str">
        <f>IFERROR(VLOOKUP(C28,'Lista desplegable'!B$1:C$436,2,FALSE),"")</f>
        <v>ANGELO GIOVANNI BIZAMA ORELLANA</v>
      </c>
      <c r="E28" s="7" t="str">
        <f>IFERROR(VLOOKUP(D28,'Lista desplegable'!C$1:D$436,2,FALSE),"")</f>
        <v>AYUDANTE DE PERFORISTA</v>
      </c>
      <c r="F28" s="19" t="s">
        <v>41</v>
      </c>
      <c r="G28" s="11" t="s">
        <v>20</v>
      </c>
      <c r="H28" s="11" t="s">
        <v>52</v>
      </c>
      <c r="I28" s="25"/>
      <c r="J28" s="11" t="s">
        <v>15</v>
      </c>
      <c r="K28" s="11" t="s">
        <v>14</v>
      </c>
      <c r="L28" s="11" t="s">
        <v>14</v>
      </c>
      <c r="M28" s="11"/>
    </row>
    <row r="29" spans="2:13" s="1" customFormat="1" ht="13.15" customHeight="1">
      <c r="B29" s="24">
        <v>22</v>
      </c>
      <c r="C29" s="11" t="s">
        <v>412</v>
      </c>
      <c r="D29" s="7" t="str">
        <f>IFERROR(VLOOKUP(C29,'Lista desplegable'!B$1:C$436,2,FALSE),"")</f>
        <v>HECTOR HUGO SEPULVEDA GAVILAN</v>
      </c>
      <c r="E29" s="7" t="str">
        <f>IFERROR(VLOOKUP(D29,'Lista desplegable'!C$1:D$436,2,FALSE),"")</f>
        <v>AYUDANTE DE PERFORISTA</v>
      </c>
      <c r="F29" s="19" t="s">
        <v>41</v>
      </c>
      <c r="G29" s="11" t="s">
        <v>20</v>
      </c>
      <c r="H29" s="11" t="s">
        <v>52</v>
      </c>
      <c r="I29" s="25"/>
      <c r="J29" s="11" t="s">
        <v>15</v>
      </c>
      <c r="K29" s="11" t="s">
        <v>14</v>
      </c>
      <c r="L29" s="11" t="s">
        <v>14</v>
      </c>
      <c r="M29" s="122"/>
    </row>
    <row r="30" spans="2:13" s="1" customFormat="1" ht="13.15" customHeight="1">
      <c r="B30" s="24">
        <v>23</v>
      </c>
      <c r="C30" s="11" t="s">
        <v>952</v>
      </c>
      <c r="D30" s="7" t="str">
        <f>IFERROR(VLOOKUP(C30,'Lista desplegable'!B$1:C$436,2,FALSE),"")</f>
        <v>VLADIMIR OMAR CASTRO ENCINA</v>
      </c>
      <c r="E30" s="7" t="str">
        <f>IFERROR(VLOOKUP(D30,'Lista desplegable'!C$1:D$436,2,FALSE),"")</f>
        <v>PERFORISTA</v>
      </c>
      <c r="F30" s="19"/>
      <c r="G30" s="11" t="s">
        <v>20</v>
      </c>
      <c r="H30" s="11" t="s">
        <v>52</v>
      </c>
      <c r="I30" s="25"/>
      <c r="J30" s="11" t="s">
        <v>15</v>
      </c>
      <c r="K30" s="11" t="s">
        <v>14</v>
      </c>
      <c r="L30" s="11" t="s">
        <v>14</v>
      </c>
      <c r="M30" s="11"/>
    </row>
    <row r="31" spans="2:13" s="1" customFormat="1" ht="13.15" customHeight="1">
      <c r="B31" s="24">
        <v>24</v>
      </c>
      <c r="C31" s="11" t="s">
        <v>732</v>
      </c>
      <c r="D31" s="7" t="str">
        <f>IFERROR(VLOOKUP(C31,'Lista desplegable'!B$1:C$436,2,FALSE),"")</f>
        <v>ORLANDO PATRICIO CONTRERAS RIOS</v>
      </c>
      <c r="E31" s="7" t="str">
        <f>IFERROR(VLOOKUP(D31,'Lista desplegable'!C$1:D$436,2,FALSE),"")</f>
        <v>PERFORISTA</v>
      </c>
      <c r="F31" s="19"/>
      <c r="G31" s="11" t="s">
        <v>20</v>
      </c>
      <c r="H31" s="11" t="s">
        <v>52</v>
      </c>
      <c r="I31" s="25"/>
      <c r="J31" s="11" t="s">
        <v>15</v>
      </c>
      <c r="K31" s="11" t="s">
        <v>14</v>
      </c>
      <c r="L31" s="11" t="s">
        <v>14</v>
      </c>
      <c r="M31" s="11"/>
    </row>
    <row r="32" spans="2:13" s="1" customFormat="1" ht="13.15" customHeight="1">
      <c r="B32" s="24">
        <v>25</v>
      </c>
      <c r="C32" s="11" t="s">
        <v>899</v>
      </c>
      <c r="D32" s="7" t="str">
        <f>IFERROR(VLOOKUP(C32,'Lista desplegable'!B$1:C$436,2,FALSE),"")</f>
        <v>SHANNAN ELIZABETH DOBB .</v>
      </c>
      <c r="E32" s="7" t="str">
        <f>IFERROR(VLOOKUP(D32,'Lista desplegable'!C$1:D$436,2,FALSE),"")</f>
        <v>AYUDANTE DE PERFORISTA</v>
      </c>
      <c r="F32" s="19"/>
      <c r="G32" s="11" t="s">
        <v>20</v>
      </c>
      <c r="H32" s="11" t="s">
        <v>52</v>
      </c>
      <c r="I32" s="25"/>
      <c r="J32" s="11" t="s">
        <v>15</v>
      </c>
      <c r="K32" s="11" t="s">
        <v>14</v>
      </c>
      <c r="L32" s="11" t="s">
        <v>14</v>
      </c>
      <c r="M32" s="11"/>
    </row>
    <row r="33" spans="2:13" s="1" customFormat="1" ht="13.15" customHeight="1">
      <c r="B33" s="24">
        <v>26</v>
      </c>
      <c r="C33" s="11" t="s">
        <v>589</v>
      </c>
      <c r="D33" s="7" t="str">
        <f>IFERROR(VLOOKUP(C33,'Lista desplegable'!B$1:C$436,2,FALSE),"")</f>
        <v>LUIS ALFREDO MORENO RIOS</v>
      </c>
      <c r="E33" s="7" t="str">
        <f>IFERROR(VLOOKUP(D33,'Lista desplegable'!C$1:D$436,2,FALSE),"")</f>
        <v>CHOFER</v>
      </c>
      <c r="F33" s="19"/>
      <c r="G33" s="11"/>
      <c r="H33" s="11"/>
      <c r="I33" s="11"/>
      <c r="J33" s="11" t="s">
        <v>37</v>
      </c>
      <c r="K33" s="11"/>
      <c r="L33" s="11"/>
      <c r="M33" s="11" t="s">
        <v>1088</v>
      </c>
    </row>
    <row r="34" spans="2:13" s="1" customFormat="1" ht="13.15" customHeight="1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15" customHeight="1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ht="13.15" customHeight="1">
      <c r="C36"/>
    </row>
    <row r="37" spans="2:13" ht="13.15" customHeight="1">
      <c r="C37"/>
    </row>
    <row r="38" spans="2:13" ht="25.15" customHeight="1">
      <c r="C38" s="138" t="s">
        <v>1089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</row>
    <row r="39" spans="2:13" ht="33.4" customHeight="1">
      <c r="B39" s="12" t="s">
        <v>980</v>
      </c>
      <c r="C39" s="12" t="s">
        <v>0</v>
      </c>
      <c r="D39" s="12" t="s">
        <v>1</v>
      </c>
      <c r="E39" s="12" t="s">
        <v>981</v>
      </c>
      <c r="F39" s="12" t="s">
        <v>982</v>
      </c>
      <c r="G39" s="12" t="s">
        <v>983</v>
      </c>
      <c r="H39" s="12" t="s">
        <v>984</v>
      </c>
      <c r="I39" s="12" t="s">
        <v>985</v>
      </c>
      <c r="J39" s="12" t="s">
        <v>7</v>
      </c>
      <c r="K39" s="17" t="s">
        <v>986</v>
      </c>
      <c r="L39" s="17" t="s">
        <v>987</v>
      </c>
      <c r="M39" s="12" t="s">
        <v>988</v>
      </c>
    </row>
    <row r="40" spans="2:13" ht="13.15" customHeight="1">
      <c r="B40" s="24">
        <v>1</v>
      </c>
      <c r="C40" s="11" t="s">
        <v>702</v>
      </c>
      <c r="D40" s="7" t="str">
        <f>IFERROR(VLOOKUP(C40,'Lista desplegable'!B$1:C$436,2,FALSE),"")</f>
        <v>NELSON PATRICIO FLORES SANHUEZA</v>
      </c>
      <c r="E40" s="7" t="str">
        <f>IFERROR(VLOOKUP(D40,'Lista desplegable'!C$1:D$436,2,FALSE),"")</f>
        <v>PREVENCIONISTA DE RIESGOS</v>
      </c>
      <c r="F40" s="19"/>
      <c r="G40" s="11" t="s">
        <v>20</v>
      </c>
      <c r="H40" s="11" t="s">
        <v>52</v>
      </c>
      <c r="I40" s="25"/>
      <c r="J40" s="11" t="s">
        <v>15</v>
      </c>
      <c r="K40" s="11" t="s">
        <v>14</v>
      </c>
      <c r="L40" s="11" t="s">
        <v>14</v>
      </c>
      <c r="M40" s="11"/>
    </row>
    <row r="41" spans="2:13" ht="13.15" customHeight="1">
      <c r="B41" s="24">
        <v>2</v>
      </c>
      <c r="C41" s="11" t="s">
        <v>156</v>
      </c>
      <c r="D41" s="7" t="str">
        <f>IFERROR(VLOOKUP(C41,'Lista desplegable'!B$1:C$436,2,FALSE),"")</f>
        <v>CARLOS ALBERTO RAMOS VELASQUEZ</v>
      </c>
      <c r="E41" s="7" t="str">
        <f>IFERROR(VLOOKUP(D41,'Lista desplegable'!C$1:D$436,2,FALSE),"")</f>
        <v>SUPERVISOR DE OPERACIONES</v>
      </c>
      <c r="F41" s="19"/>
      <c r="G41" s="11" t="s">
        <v>20</v>
      </c>
      <c r="H41" s="11" t="s">
        <v>52</v>
      </c>
      <c r="I41" s="25"/>
      <c r="J41" s="11" t="s">
        <v>15</v>
      </c>
      <c r="K41" s="11" t="s">
        <v>14</v>
      </c>
      <c r="L41" s="11" t="s">
        <v>14</v>
      </c>
      <c r="M41" s="122"/>
    </row>
    <row r="42" spans="2:13" ht="13.15" customHeight="1">
      <c r="B42" s="24">
        <v>3</v>
      </c>
      <c r="C42" s="11" t="s">
        <v>283</v>
      </c>
      <c r="D42" s="7" t="str">
        <f>IFERROR(VLOOKUP(C42,'Lista desplegable'!B$1:C$436,2,FALSE),"")</f>
        <v>DIEGO NICOLAS GONZALEZ OLIVARES</v>
      </c>
      <c r="E42" s="7" t="str">
        <f>IFERROR(VLOOKUP(D42,'Lista desplegable'!C$1:D$436,2,FALSE),"")</f>
        <v>MECANICO</v>
      </c>
      <c r="F42" s="19"/>
      <c r="G42" s="11" t="s">
        <v>20</v>
      </c>
      <c r="H42" s="11" t="s">
        <v>52</v>
      </c>
      <c r="I42" s="25"/>
      <c r="J42" s="11" t="s">
        <v>15</v>
      </c>
      <c r="K42" s="11" t="s">
        <v>14</v>
      </c>
      <c r="L42" s="11" t="s">
        <v>14</v>
      </c>
      <c r="M42" s="11"/>
    </row>
    <row r="43" spans="2:13" ht="13.15" customHeight="1">
      <c r="B43" s="24">
        <v>4</v>
      </c>
      <c r="C43" s="11" t="s">
        <v>636</v>
      </c>
      <c r="D43" s="7" t="str">
        <f>IFERROR(VLOOKUP(C43,'Lista desplegable'!B$1:C$436,2,FALSE),"")</f>
        <v>MARCOS ANTONIO ALDEA BEROIZA</v>
      </c>
      <c r="E43" s="7" t="str">
        <f>IFERROR(VLOOKUP(D43,'Lista desplegable'!C$1:D$436,2,FALSE),"")</f>
        <v>CHOFER</v>
      </c>
      <c r="F43" s="19"/>
      <c r="G43" s="11" t="s">
        <v>20</v>
      </c>
      <c r="H43" s="11" t="s">
        <v>52</v>
      </c>
      <c r="I43" s="25"/>
      <c r="J43" s="11" t="s">
        <v>15</v>
      </c>
      <c r="K43" s="11" t="s">
        <v>14</v>
      </c>
      <c r="L43" s="11" t="s">
        <v>14</v>
      </c>
      <c r="M43" s="11"/>
    </row>
    <row r="44" spans="2:13" ht="13.15" customHeight="1">
      <c r="B44" s="24">
        <v>5</v>
      </c>
      <c r="C44" s="11" t="s">
        <v>294</v>
      </c>
      <c r="D44" s="7" t="str">
        <f>IFERROR(VLOOKUP(C44,'Lista desplegable'!B$1:C$436,2,FALSE),"")</f>
        <v>EDUARDO ANTONIO CASTILLO VALENZUELA</v>
      </c>
      <c r="E44" s="7" t="str">
        <f>IFERROR(VLOOKUP(D44,'Lista desplegable'!C$1:D$436,2,FALSE),"")</f>
        <v>PERFORISTA</v>
      </c>
      <c r="F44" s="19"/>
      <c r="G44" s="11" t="s">
        <v>20</v>
      </c>
      <c r="H44" s="11" t="s">
        <v>52</v>
      </c>
      <c r="I44" s="25"/>
      <c r="J44" s="11" t="s">
        <v>15</v>
      </c>
      <c r="K44" s="11" t="s">
        <v>14</v>
      </c>
      <c r="L44" s="11" t="s">
        <v>14</v>
      </c>
      <c r="M44" s="11"/>
    </row>
    <row r="45" spans="2:13" ht="13.15" customHeight="1">
      <c r="B45" s="24">
        <v>6</v>
      </c>
      <c r="C45" s="11" t="s">
        <v>871</v>
      </c>
      <c r="D45" s="7" t="str">
        <f>IFERROR(VLOOKUP(C45,'Lista desplegable'!B$1:C$436,2,FALSE),"")</f>
        <v>RUBEN IGNACIO CORTES BORBON</v>
      </c>
      <c r="E45" s="7" t="str">
        <f>IFERROR(VLOOKUP(D45,'Lista desplegable'!C$1:D$436,2,FALSE),"")</f>
        <v>AYUDANTE DE PERFORISTA</v>
      </c>
      <c r="F45" s="19" t="s">
        <v>34</v>
      </c>
      <c r="G45" s="11" t="s">
        <v>20</v>
      </c>
      <c r="H45" s="11" t="s">
        <v>52</v>
      </c>
      <c r="I45" s="25"/>
      <c r="J45" s="11" t="s">
        <v>15</v>
      </c>
      <c r="K45" s="11" t="s">
        <v>14</v>
      </c>
      <c r="L45" s="11" t="s">
        <v>14</v>
      </c>
      <c r="M45" s="11"/>
    </row>
    <row r="46" spans="2:13" ht="13.15" customHeight="1">
      <c r="B46" s="24">
        <v>7</v>
      </c>
      <c r="C46" s="11" t="s">
        <v>301</v>
      </c>
      <c r="D46" s="120" t="str">
        <f>IFERROR(VLOOKUP(C46,'Lista desplegable'!B$1:C$436,2,FALSE),"")</f>
        <v>ELMER RISCO RAMOS</v>
      </c>
      <c r="E46" s="7" t="str">
        <f>IFERROR(VLOOKUP(D46,'Lista desplegable'!C$1:D$436,2,FALSE),"")</f>
        <v>PERFORISTA</v>
      </c>
      <c r="F46" s="19" t="s">
        <v>34</v>
      </c>
      <c r="G46" s="11" t="s">
        <v>20</v>
      </c>
      <c r="H46" s="11" t="s">
        <v>52</v>
      </c>
      <c r="I46" s="25"/>
      <c r="J46" s="11" t="s">
        <v>15</v>
      </c>
      <c r="K46" s="11" t="s">
        <v>14</v>
      </c>
      <c r="L46" s="11" t="s">
        <v>14</v>
      </c>
      <c r="M46" s="11" t="s">
        <v>1093</v>
      </c>
    </row>
    <row r="47" spans="2:13" ht="13.15" customHeight="1">
      <c r="B47" s="24">
        <v>8</v>
      </c>
      <c r="C47" s="11" t="s">
        <v>560</v>
      </c>
      <c r="D47" s="7" t="str">
        <f>IFERROR(VLOOKUP(C47,'Lista desplegable'!B$1:C$436,2,FALSE),"")</f>
        <v>KEVIN ALEXIS NEYRA CORTES</v>
      </c>
      <c r="E47" s="7" t="str">
        <f>IFERROR(VLOOKUP(D47,'Lista desplegable'!C$1:D$436,2,FALSE),"")</f>
        <v>PERFORISTA</v>
      </c>
      <c r="F47" s="19" t="s">
        <v>41</v>
      </c>
      <c r="G47" s="11" t="s">
        <v>20</v>
      </c>
      <c r="H47" s="11" t="s">
        <v>52</v>
      </c>
      <c r="I47" s="25"/>
      <c r="J47" s="11" t="s">
        <v>15</v>
      </c>
      <c r="K47" s="11" t="s">
        <v>14</v>
      </c>
      <c r="L47" s="11" t="s">
        <v>14</v>
      </c>
      <c r="M47" s="11"/>
    </row>
    <row r="48" spans="2:13" ht="13.15" customHeight="1">
      <c r="B48" s="24">
        <v>9</v>
      </c>
      <c r="C48" s="11" t="s">
        <v>764</v>
      </c>
      <c r="D48" s="7" t="str">
        <f>IFERROR(VLOOKUP(C48,'Lista desplegable'!B$1:C$436,2,FALSE),"")</f>
        <v>PATRICIO RENAN GONZALEZ CABELLO</v>
      </c>
      <c r="E48" s="7" t="str">
        <f>IFERROR(VLOOKUP(D48,'Lista desplegable'!C$1:D$436,2,FALSE),"")</f>
        <v>AYUDANTE DE PERFORISTA</v>
      </c>
      <c r="F48" s="19" t="s">
        <v>41</v>
      </c>
      <c r="G48" s="11" t="s">
        <v>20</v>
      </c>
      <c r="H48" s="11" t="s">
        <v>52</v>
      </c>
      <c r="I48" s="25"/>
      <c r="J48" s="11" t="s">
        <v>15</v>
      </c>
      <c r="K48" s="11" t="s">
        <v>14</v>
      </c>
      <c r="L48" s="11" t="s">
        <v>14</v>
      </c>
      <c r="M48" s="122"/>
    </row>
    <row r="49" spans="2:13" ht="13.15" customHeight="1">
      <c r="B49" s="24">
        <v>10</v>
      </c>
      <c r="C49" s="11" t="s">
        <v>531</v>
      </c>
      <c r="D49" s="7" t="str">
        <f>IFERROR(VLOOKUP(C49,'Lista desplegable'!B$1:C$436,2,FALSE),"")</f>
        <v>JUAN ALEXIS AVILEZ MOLINA</v>
      </c>
      <c r="E49" s="7" t="str">
        <f>IFERROR(VLOOKUP(D49,'Lista desplegable'!C$1:D$436,2,FALSE),"")</f>
        <v>AYUDANTE DE PERFORISTA</v>
      </c>
      <c r="F49" s="19" t="s">
        <v>41</v>
      </c>
      <c r="G49" s="11" t="s">
        <v>20</v>
      </c>
      <c r="H49" s="11" t="s">
        <v>52</v>
      </c>
      <c r="I49" s="25"/>
      <c r="J49" s="11" t="s">
        <v>15</v>
      </c>
      <c r="K49" s="11" t="s">
        <v>14</v>
      </c>
      <c r="L49" s="11" t="s">
        <v>14</v>
      </c>
      <c r="M49" s="11"/>
    </row>
    <row r="50" spans="2:13" ht="13.15" customHeight="1">
      <c r="B50" s="24">
        <v>11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25"/>
      <c r="J50" s="11"/>
      <c r="K50" s="11"/>
      <c r="L50" s="11"/>
      <c r="M50" s="11"/>
    </row>
    <row r="51" spans="2:13" ht="13.15" customHeight="1">
      <c r="B51" s="24">
        <v>12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25"/>
      <c r="J51" s="11"/>
      <c r="K51" s="11"/>
      <c r="L51" s="11"/>
      <c r="M51" s="11"/>
    </row>
    <row r="52" spans="2:13" ht="13.15" customHeight="1">
      <c r="B52" s="24">
        <v>13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25"/>
      <c r="J52" s="11"/>
      <c r="K52" s="11"/>
      <c r="L52" s="11"/>
      <c r="M52" s="11"/>
    </row>
    <row r="53" spans="2:13" ht="13.9">
      <c r="C53" s="9"/>
      <c r="D53" s="6"/>
      <c r="E53" s="6"/>
      <c r="F53" s="6"/>
      <c r="G53" s="6"/>
      <c r="H53" s="6"/>
      <c r="I53" s="6"/>
      <c r="J53" s="6"/>
      <c r="K53" s="121">
        <v>0.83333333333333337</v>
      </c>
      <c r="L53" s="121">
        <v>0.33333333333333331</v>
      </c>
      <c r="M53" s="6"/>
    </row>
    <row r="54" spans="2:13" ht="13.9">
      <c r="C54" s="9"/>
      <c r="D54" s="6" t="s">
        <v>1094</v>
      </c>
      <c r="E54" s="6" t="s">
        <v>1095</v>
      </c>
      <c r="F54" s="6"/>
      <c r="G54" s="6"/>
      <c r="H54" s="6"/>
      <c r="I54" s="6"/>
      <c r="J54" s="6"/>
      <c r="K54" s="6"/>
      <c r="L54" s="6"/>
      <c r="M54" s="6"/>
    </row>
    <row r="55" spans="2:13" ht="13.9">
      <c r="C55" s="9"/>
      <c r="D55" s="6" t="s">
        <v>1098</v>
      </c>
      <c r="E55" s="6" t="s">
        <v>1099</v>
      </c>
      <c r="F55" s="6"/>
      <c r="G55" s="6"/>
      <c r="H55" s="6"/>
      <c r="I55" s="6"/>
      <c r="J55" s="6"/>
      <c r="K55" s="6"/>
      <c r="L55" s="6"/>
      <c r="M55" s="6"/>
    </row>
    <row r="56" spans="2:13" ht="13.9">
      <c r="C56" s="9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ht="13.9">
      <c r="C57" s="9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3.9">
      <c r="C58" s="9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ht="13.9"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ht="13.9">
      <c r="C60" s="9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3.9">
      <c r="C61" s="9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3.9">
      <c r="C62" s="9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ht="13.9"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ht="13.9">
      <c r="C64" s="9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3:13" ht="13.9">
      <c r="C65" s="9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3:13" ht="13.9">
      <c r="C66" s="9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3:13" ht="13.9"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3:13" ht="13.9"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3:13" ht="13.9">
      <c r="C69" s="9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3:13" ht="13.9">
      <c r="C70" s="9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3:13" ht="13.9"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3:13" ht="13.9">
      <c r="C72" s="9"/>
      <c r="D72" s="6"/>
      <c r="E72" s="6"/>
    </row>
  </sheetData>
  <mergeCells count="4">
    <mergeCell ref="G2:I2"/>
    <mergeCell ref="G3:I3"/>
    <mergeCell ref="C6:M6"/>
    <mergeCell ref="C38:M38"/>
  </mergeCells>
  <phoneticPr fontId="10" type="noConversion"/>
  <pageMargins left="0.7" right="0.7" top="0.75" bottom="0.75" header="0.3" footer="0.3"/>
  <pageSetup orientation="portrait" horizontalDpi="360" verticalDpi="36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EA34D16-FFA4-42B2-A46D-D530E333D2D4}">
          <x14:formula1>
            <xm:f>'Lista desplegable'!$N$2:$N$5</xm:f>
          </x14:formula1>
          <xm:sqref>J40:J52 J8:J35</xm:sqref>
        </x14:dataValidation>
        <x14:dataValidation type="list" allowBlank="1" showInputMessage="1" showErrorMessage="1" xr:uid="{6EB8AAEA-0A77-409C-805E-0914A5BDB393}">
          <x14:formula1>
            <xm:f>'Lista desplegable'!$B$2:$B$436</xm:f>
          </x14:formula1>
          <xm:sqref>C40:C52 C8:C35</xm:sqref>
        </x14:dataValidation>
        <x14:dataValidation type="list" allowBlank="1" showInputMessage="1" showErrorMessage="1" xr:uid="{2CFEF968-67B0-4255-8F00-63952361D58D}">
          <x14:formula1>
            <xm:f>'Lista desplegable'!$F$2:$F$19</xm:f>
          </x14:formula1>
          <xm:sqref>F40:F52 F8:F35</xm:sqref>
        </x14:dataValidation>
        <x14:dataValidation type="list" allowBlank="1" showInputMessage="1" showErrorMessage="1" xr:uid="{18638112-2616-4D98-AF20-1F7AC5F8A0E3}">
          <x14:formula1>
            <xm:f>'Lista desplegable'!$J$2:$J$10</xm:f>
          </x14:formula1>
          <xm:sqref>H40:H52 H8:H35</xm:sqref>
        </x14:dataValidation>
        <x14:dataValidation type="list" allowBlank="1" showInputMessage="1" showErrorMessage="1" xr:uid="{1B9F3F5B-00C1-4356-B4BA-4552AA37929F}">
          <x14:formula1>
            <xm:f>'Lista desplegable'!$H$2:$H$7</xm:f>
          </x14:formula1>
          <xm:sqref>G40:G52 G8:G35</xm:sqref>
        </x14:dataValidation>
        <x14:dataValidation type="list" allowBlank="1" showInputMessage="1" showErrorMessage="1" xr:uid="{6059FEB1-EB64-4080-BD18-1402CA03A8BE}">
          <x14:formula1>
            <xm:f>'Lista desplegable'!$L$2:$L$3</xm:f>
          </x14:formula1>
          <xm:sqref>K40:L52 K8:L35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75D075854844CA974E19316141396" ma:contentTypeVersion="10" ma:contentTypeDescription="Create a new document." ma:contentTypeScope="" ma:versionID="64607db74cddf5e8b388300ec78858cb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c5827b0f12733f8a541d88b38763a6e4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3FDFA-5FBF-4FF0-A656-29FE6F76A3E3}"/>
</file>

<file path=customXml/itemProps2.xml><?xml version="1.0" encoding="utf-8"?>
<ds:datastoreItem xmlns:ds="http://schemas.openxmlformats.org/officeDocument/2006/customXml" ds:itemID="{B0D51AD1-7B8D-40F1-A8C4-300F83893DB5}"/>
</file>

<file path=customXml/itemProps3.xml><?xml version="1.0" encoding="utf-8"?>
<ds:datastoreItem xmlns:ds="http://schemas.openxmlformats.org/officeDocument/2006/customXml" ds:itemID="{A8C164C2-4FA0-4099-A2BF-080A5C3D25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Major Drilling Group Int.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Major Drilling Chile S.A.</dc:creator>
  <cp:keywords/>
  <dc:description/>
  <cp:lastModifiedBy/>
  <cp:revision/>
  <dcterms:created xsi:type="dcterms:W3CDTF">2006-02-10T16:42:01Z</dcterms:created>
  <dcterms:modified xsi:type="dcterms:W3CDTF">2026-10-13T14:06:16Z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  <property fmtid="{D5CDD505-2E9C-101B-9397-08002B2CF9AE}" pid="3" name="MediaServiceImageTags">
    <vt:lpwstr/>
  </property>
</Properties>
</file>